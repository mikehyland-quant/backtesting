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9_{455ED53E-E3A9-4645-A05C-A7208A0DC259}" xr6:coauthVersionLast="47" xr6:coauthVersionMax="47" xr10:uidLastSave="{00000000-0000-0000-0000-000000000000}"/>
  <bookViews>
    <workbookView xWindow="28680" yWindow="-120" windowWidth="29040" windowHeight="15720" xr2:uid="{BF1237D3-8985-430B-851E-6A0AABB6C5B3}"/>
  </bookViews>
  <sheets>
    <sheet name="ITA_XAR_1" sheetId="1" r:id="rId1"/>
  </sheets>
  <externalReferences>
    <externalReference r:id="rId2"/>
    <externalReference r:id="rId3"/>
  </externalReferences>
  <calcPr calcId="0"/>
</workbook>
</file>

<file path=xl/calcChain.xml><?xml version="1.0" encoding="utf-8"?>
<calcChain xmlns="http://schemas.openxmlformats.org/spreadsheetml/2006/main">
  <c r="CO14" i="1" l="1"/>
  <c r="CP14" i="1"/>
  <c r="CQ14" i="1"/>
  <c r="CR14" i="1"/>
  <c r="CS14" i="1"/>
  <c r="CT14" i="1"/>
  <c r="CN14" i="1"/>
  <c r="CO3" i="1"/>
  <c r="CP3" i="1"/>
  <c r="CQ3" i="1"/>
  <c r="CR3" i="1"/>
  <c r="CS3" i="1"/>
  <c r="CT3" i="1"/>
  <c r="CN3" i="1"/>
  <c r="CL17" i="1"/>
  <c r="CL18" i="1"/>
  <c r="CL19" i="1"/>
  <c r="CL20" i="1"/>
  <c r="CL21" i="1"/>
  <c r="CL22" i="1"/>
  <c r="CL16" i="1"/>
  <c r="CL6" i="1"/>
  <c r="CL7" i="1"/>
  <c r="CL8" i="1"/>
  <c r="CL9" i="1"/>
  <c r="CL10" i="1"/>
  <c r="CL11" i="1"/>
  <c r="CL5" i="1"/>
  <c r="BQ167" i="1"/>
  <c r="BO167" i="1"/>
  <c r="BN167" i="1"/>
  <c r="BE167" i="1"/>
  <c r="BC167" i="1"/>
  <c r="BB167" i="1"/>
  <c r="BQ166" i="1"/>
  <c r="BO166" i="1"/>
  <c r="BN166" i="1"/>
  <c r="BE166" i="1"/>
  <c r="BC166" i="1"/>
  <c r="BB166" i="1"/>
  <c r="BF167" i="1" s="1"/>
  <c r="BQ165" i="1"/>
  <c r="BO165" i="1"/>
  <c r="BN165" i="1"/>
  <c r="BE165" i="1"/>
  <c r="BC165" i="1"/>
  <c r="BB165" i="1"/>
  <c r="BF166" i="1" s="1"/>
  <c r="BQ164" i="1"/>
  <c r="BO164" i="1"/>
  <c r="BN164" i="1"/>
  <c r="BE164" i="1"/>
  <c r="BC164" i="1"/>
  <c r="BB164" i="1"/>
  <c r="BF165" i="1" s="1"/>
  <c r="BQ163" i="1"/>
  <c r="BO163" i="1"/>
  <c r="BN163" i="1"/>
  <c r="BE163" i="1"/>
  <c r="BC163" i="1"/>
  <c r="BB163" i="1"/>
  <c r="BQ162" i="1"/>
  <c r="BO162" i="1"/>
  <c r="BN162" i="1"/>
  <c r="BR163" i="1" s="1"/>
  <c r="BE162" i="1"/>
  <c r="BC162" i="1"/>
  <c r="BB162" i="1"/>
  <c r="BQ161" i="1"/>
  <c r="BO161" i="1"/>
  <c r="BN161" i="1"/>
  <c r="BR162" i="1" s="1"/>
  <c r="BE161" i="1"/>
  <c r="BC161" i="1"/>
  <c r="BB161" i="1"/>
  <c r="BQ160" i="1"/>
  <c r="BO160" i="1"/>
  <c r="BN160" i="1"/>
  <c r="BR161" i="1" s="1"/>
  <c r="BE160" i="1"/>
  <c r="BC160" i="1"/>
  <c r="BB160" i="1"/>
  <c r="BQ159" i="1"/>
  <c r="BO159" i="1"/>
  <c r="BN159" i="1"/>
  <c r="BR160" i="1" s="1"/>
  <c r="BE159" i="1"/>
  <c r="BC159" i="1"/>
  <c r="BB159" i="1"/>
  <c r="BQ158" i="1"/>
  <c r="BO158" i="1"/>
  <c r="BN158" i="1"/>
  <c r="BR159" i="1" s="1"/>
  <c r="BE158" i="1"/>
  <c r="BC158" i="1"/>
  <c r="BB158" i="1"/>
  <c r="BQ157" i="1"/>
  <c r="BO157" i="1"/>
  <c r="BN157" i="1"/>
  <c r="BR158" i="1" s="1"/>
  <c r="BE157" i="1"/>
  <c r="BC157" i="1"/>
  <c r="BB157" i="1"/>
  <c r="BF158" i="1" s="1"/>
  <c r="BQ156" i="1"/>
  <c r="BO156" i="1"/>
  <c r="BN156" i="1"/>
  <c r="BR157" i="1" s="1"/>
  <c r="BE156" i="1"/>
  <c r="BC156" i="1"/>
  <c r="BB156" i="1"/>
  <c r="BF157" i="1" s="1"/>
  <c r="BQ155" i="1"/>
  <c r="BO155" i="1"/>
  <c r="BN155" i="1"/>
  <c r="BR156" i="1" s="1"/>
  <c r="BE155" i="1"/>
  <c r="BC155" i="1"/>
  <c r="BB155" i="1"/>
  <c r="BF156" i="1" s="1"/>
  <c r="BQ154" i="1"/>
  <c r="BO154" i="1"/>
  <c r="BN154" i="1"/>
  <c r="BR155" i="1" s="1"/>
  <c r="BE154" i="1"/>
  <c r="BC154" i="1"/>
  <c r="BB154" i="1"/>
  <c r="BF155" i="1" s="1"/>
  <c r="BQ153" i="1"/>
  <c r="BO153" i="1"/>
  <c r="BN153" i="1"/>
  <c r="BR154" i="1" s="1"/>
  <c r="BE153" i="1"/>
  <c r="BC153" i="1"/>
  <c r="BB153" i="1"/>
  <c r="BF154" i="1" s="1"/>
  <c r="BQ152" i="1"/>
  <c r="BO152" i="1"/>
  <c r="BN152" i="1"/>
  <c r="BR153" i="1" s="1"/>
  <c r="BE152" i="1"/>
  <c r="BC152" i="1"/>
  <c r="BB152" i="1"/>
  <c r="BQ151" i="1"/>
  <c r="BO151" i="1"/>
  <c r="BN151" i="1"/>
  <c r="BR152" i="1" s="1"/>
  <c r="BE151" i="1"/>
  <c r="BC151" i="1"/>
  <c r="BB151" i="1"/>
  <c r="BQ150" i="1"/>
  <c r="BO150" i="1"/>
  <c r="BN150" i="1"/>
  <c r="BR151" i="1" s="1"/>
  <c r="BE150" i="1"/>
  <c r="BC150" i="1"/>
  <c r="BB150" i="1"/>
  <c r="BQ149" i="1"/>
  <c r="BO149" i="1"/>
  <c r="BN149" i="1"/>
  <c r="BE149" i="1"/>
  <c r="BC149" i="1"/>
  <c r="BB149" i="1"/>
  <c r="BQ148" i="1"/>
  <c r="BO148" i="1"/>
  <c r="BN148" i="1"/>
  <c r="BE148" i="1"/>
  <c r="BC148" i="1"/>
  <c r="BB148" i="1"/>
  <c r="BF149" i="1" s="1"/>
  <c r="BQ147" i="1"/>
  <c r="BO147" i="1"/>
  <c r="BN147" i="1"/>
  <c r="BE147" i="1"/>
  <c r="BC147" i="1"/>
  <c r="BB147" i="1"/>
  <c r="BF148" i="1" s="1"/>
  <c r="BQ146" i="1"/>
  <c r="BO146" i="1"/>
  <c r="BN146" i="1"/>
  <c r="BE146" i="1"/>
  <c r="BC146" i="1"/>
  <c r="BB146" i="1"/>
  <c r="BF147" i="1" s="1"/>
  <c r="BQ145" i="1"/>
  <c r="BO145" i="1"/>
  <c r="BN145" i="1"/>
  <c r="BE145" i="1"/>
  <c r="BC145" i="1"/>
  <c r="BB145" i="1"/>
  <c r="BF146" i="1" s="1"/>
  <c r="BQ144" i="1"/>
  <c r="BO144" i="1"/>
  <c r="BN144" i="1"/>
  <c r="BR145" i="1" s="1"/>
  <c r="BE144" i="1"/>
  <c r="BC144" i="1"/>
  <c r="BB144" i="1"/>
  <c r="BF145" i="1" s="1"/>
  <c r="BQ143" i="1"/>
  <c r="BO143" i="1"/>
  <c r="BN143" i="1"/>
  <c r="BE143" i="1"/>
  <c r="BC143" i="1"/>
  <c r="BB143" i="1"/>
  <c r="BF144" i="1" s="1"/>
  <c r="BQ142" i="1"/>
  <c r="BO142" i="1"/>
  <c r="BN142" i="1"/>
  <c r="BE142" i="1"/>
  <c r="BC142" i="1"/>
  <c r="BB142" i="1"/>
  <c r="BF143" i="1" s="1"/>
  <c r="BQ141" i="1"/>
  <c r="BO141" i="1"/>
  <c r="BN141" i="1"/>
  <c r="BE141" i="1"/>
  <c r="BC141" i="1"/>
  <c r="BB141" i="1"/>
  <c r="BF142" i="1" s="1"/>
  <c r="BQ140" i="1"/>
  <c r="BO140" i="1"/>
  <c r="BN140" i="1"/>
  <c r="BE140" i="1"/>
  <c r="BC140" i="1"/>
  <c r="BB140" i="1"/>
  <c r="BF141" i="1" s="1"/>
  <c r="BQ139" i="1"/>
  <c r="BO139" i="1"/>
  <c r="BN139" i="1"/>
  <c r="BE139" i="1"/>
  <c r="BC139" i="1"/>
  <c r="BB139" i="1"/>
  <c r="BF140" i="1" s="1"/>
  <c r="BQ138" i="1"/>
  <c r="BO138" i="1"/>
  <c r="BN138" i="1"/>
  <c r="BR139" i="1" s="1"/>
  <c r="BE138" i="1"/>
  <c r="BC138" i="1"/>
  <c r="BB138" i="1"/>
  <c r="BQ137" i="1"/>
  <c r="BO137" i="1"/>
  <c r="BN137" i="1"/>
  <c r="BE137" i="1"/>
  <c r="BC137" i="1"/>
  <c r="BB137" i="1"/>
  <c r="BF138" i="1" s="1"/>
  <c r="BQ136" i="1"/>
  <c r="BO136" i="1"/>
  <c r="BN136" i="1"/>
  <c r="BE136" i="1"/>
  <c r="BC136" i="1"/>
  <c r="BB136" i="1"/>
  <c r="BQ135" i="1"/>
  <c r="BO135" i="1"/>
  <c r="BN135" i="1"/>
  <c r="BE135" i="1"/>
  <c r="BC135" i="1"/>
  <c r="BB135" i="1"/>
  <c r="BF136" i="1" s="1"/>
  <c r="BQ134" i="1"/>
  <c r="BO134" i="1"/>
  <c r="BN134" i="1"/>
  <c r="BE134" i="1"/>
  <c r="BC134" i="1"/>
  <c r="BB134" i="1"/>
  <c r="BF135" i="1" s="1"/>
  <c r="BQ133" i="1"/>
  <c r="BO133" i="1"/>
  <c r="BN133" i="1"/>
  <c r="BE133" i="1"/>
  <c r="BC133" i="1"/>
  <c r="BB133" i="1"/>
  <c r="BQ132" i="1"/>
  <c r="BO132" i="1"/>
  <c r="BN132" i="1"/>
  <c r="BR133" i="1" s="1"/>
  <c r="BE132" i="1"/>
  <c r="BC132" i="1"/>
  <c r="BB132" i="1"/>
  <c r="BQ131" i="1"/>
  <c r="BO131" i="1"/>
  <c r="BN131" i="1"/>
  <c r="BE131" i="1"/>
  <c r="BC131" i="1"/>
  <c r="BB131" i="1"/>
  <c r="BQ130" i="1"/>
  <c r="BO130" i="1"/>
  <c r="BN130" i="1"/>
  <c r="BE130" i="1"/>
  <c r="BC130" i="1"/>
  <c r="BB130" i="1"/>
  <c r="BF131" i="1" s="1"/>
  <c r="BQ129" i="1"/>
  <c r="BO129" i="1"/>
  <c r="BN129" i="1"/>
  <c r="BE129" i="1"/>
  <c r="BC129" i="1"/>
  <c r="BB129" i="1"/>
  <c r="BQ128" i="1"/>
  <c r="BO128" i="1"/>
  <c r="BN128" i="1"/>
  <c r="BE128" i="1"/>
  <c r="BC128" i="1"/>
  <c r="BB128" i="1"/>
  <c r="BQ127" i="1"/>
  <c r="BO127" i="1"/>
  <c r="BN127" i="1"/>
  <c r="BE127" i="1"/>
  <c r="BC127" i="1"/>
  <c r="BB127" i="1"/>
  <c r="BQ126" i="1"/>
  <c r="BO126" i="1"/>
  <c r="BN126" i="1"/>
  <c r="BE126" i="1"/>
  <c r="BC126" i="1"/>
  <c r="BB126" i="1"/>
  <c r="BQ125" i="1"/>
  <c r="BO125" i="1"/>
  <c r="BN125" i="1"/>
  <c r="BE125" i="1"/>
  <c r="BC125" i="1"/>
  <c r="BB125" i="1"/>
  <c r="BF126" i="1" s="1"/>
  <c r="BQ124" i="1"/>
  <c r="BO124" i="1"/>
  <c r="BN124" i="1"/>
  <c r="BE124" i="1"/>
  <c r="BC124" i="1"/>
  <c r="BB124" i="1"/>
  <c r="BQ123" i="1"/>
  <c r="BO123" i="1"/>
  <c r="BN123" i="1"/>
  <c r="BE123" i="1"/>
  <c r="BC123" i="1"/>
  <c r="BB123" i="1"/>
  <c r="BF124" i="1" s="1"/>
  <c r="BQ122" i="1"/>
  <c r="BO122" i="1"/>
  <c r="BN122" i="1"/>
  <c r="BE122" i="1"/>
  <c r="BC122" i="1"/>
  <c r="BB122" i="1"/>
  <c r="BQ121" i="1"/>
  <c r="BO121" i="1"/>
  <c r="BN121" i="1"/>
  <c r="BR122" i="1" s="1"/>
  <c r="BE121" i="1"/>
  <c r="BC121" i="1"/>
  <c r="BB121" i="1"/>
  <c r="BF122" i="1" s="1"/>
  <c r="BQ120" i="1"/>
  <c r="BO120" i="1"/>
  <c r="BN120" i="1"/>
  <c r="BR121" i="1" s="1"/>
  <c r="BE120" i="1"/>
  <c r="BC120" i="1"/>
  <c r="BB120" i="1"/>
  <c r="BF121" i="1" s="1"/>
  <c r="BQ119" i="1"/>
  <c r="BO119" i="1"/>
  <c r="BN119" i="1"/>
  <c r="BE119" i="1"/>
  <c r="BC119" i="1"/>
  <c r="BB119" i="1"/>
  <c r="BF120" i="1" s="1"/>
  <c r="BQ118" i="1"/>
  <c r="BO118" i="1"/>
  <c r="BN118" i="1"/>
  <c r="BE118" i="1"/>
  <c r="BC118" i="1"/>
  <c r="BB118" i="1"/>
  <c r="BF119" i="1" s="1"/>
  <c r="BQ117" i="1"/>
  <c r="BO117" i="1"/>
  <c r="BN117" i="1"/>
  <c r="BE117" i="1"/>
  <c r="BC117" i="1"/>
  <c r="BB117" i="1"/>
  <c r="BF118" i="1" s="1"/>
  <c r="BQ116" i="1"/>
  <c r="BO116" i="1"/>
  <c r="BN116" i="1"/>
  <c r="BE116" i="1"/>
  <c r="BC116" i="1"/>
  <c r="BB116" i="1"/>
  <c r="BF117" i="1" s="1"/>
  <c r="BQ115" i="1"/>
  <c r="BO115" i="1"/>
  <c r="BN115" i="1"/>
  <c r="BE115" i="1"/>
  <c r="BC115" i="1"/>
  <c r="BB115" i="1"/>
  <c r="BQ114" i="1"/>
  <c r="BO114" i="1"/>
  <c r="BN114" i="1"/>
  <c r="BE114" i="1"/>
  <c r="BC114" i="1"/>
  <c r="BB114" i="1"/>
  <c r="BF115" i="1" s="1"/>
  <c r="BQ113" i="1"/>
  <c r="BO113" i="1"/>
  <c r="BN113" i="1"/>
  <c r="BE113" i="1"/>
  <c r="BC113" i="1"/>
  <c r="BB113" i="1"/>
  <c r="BF114" i="1" s="1"/>
  <c r="BQ112" i="1"/>
  <c r="BO112" i="1"/>
  <c r="BN112" i="1"/>
  <c r="BR113" i="1" s="1"/>
  <c r="BE112" i="1"/>
  <c r="BC112" i="1"/>
  <c r="BB112" i="1"/>
  <c r="BQ111" i="1"/>
  <c r="BO111" i="1"/>
  <c r="BN111" i="1"/>
  <c r="BE111" i="1"/>
  <c r="BC111" i="1"/>
  <c r="BB111" i="1"/>
  <c r="BQ110" i="1"/>
  <c r="BO110" i="1"/>
  <c r="BN110" i="1"/>
  <c r="BE110" i="1"/>
  <c r="BC110" i="1"/>
  <c r="BB110" i="1"/>
  <c r="BQ109" i="1"/>
  <c r="BO109" i="1"/>
  <c r="BN109" i="1"/>
  <c r="BE109" i="1"/>
  <c r="BC109" i="1"/>
  <c r="BB109" i="1"/>
  <c r="BQ108" i="1"/>
  <c r="BO108" i="1"/>
  <c r="BN108" i="1"/>
  <c r="BE108" i="1"/>
  <c r="BC108" i="1"/>
  <c r="BB108" i="1"/>
  <c r="BQ107" i="1"/>
  <c r="BO107" i="1"/>
  <c r="BN107" i="1"/>
  <c r="BR108" i="1" s="1"/>
  <c r="BE107" i="1"/>
  <c r="BC107" i="1"/>
  <c r="BB107" i="1"/>
  <c r="BQ106" i="1"/>
  <c r="BO106" i="1"/>
  <c r="BN106" i="1"/>
  <c r="BR107" i="1" s="1"/>
  <c r="BE106" i="1"/>
  <c r="BC106" i="1"/>
  <c r="BB106" i="1"/>
  <c r="BQ105" i="1"/>
  <c r="BO105" i="1"/>
  <c r="BN105" i="1"/>
  <c r="BR106" i="1" s="1"/>
  <c r="BE105" i="1"/>
  <c r="BC105" i="1"/>
  <c r="BB105" i="1"/>
  <c r="BQ104" i="1"/>
  <c r="BO104" i="1"/>
  <c r="BN104" i="1"/>
  <c r="BR105" i="1" s="1"/>
  <c r="BE104" i="1"/>
  <c r="BC104" i="1"/>
  <c r="BB104" i="1"/>
  <c r="BQ103" i="1"/>
  <c r="BO103" i="1"/>
  <c r="BN103" i="1"/>
  <c r="BR104" i="1" s="1"/>
  <c r="BE103" i="1"/>
  <c r="BC103" i="1"/>
  <c r="BB103" i="1"/>
  <c r="BQ102" i="1"/>
  <c r="BO102" i="1"/>
  <c r="BN102" i="1"/>
  <c r="BE102" i="1"/>
  <c r="BC102" i="1"/>
  <c r="BB102" i="1"/>
  <c r="BF103" i="1" s="1"/>
  <c r="BQ101" i="1"/>
  <c r="BO101" i="1"/>
  <c r="BN101" i="1"/>
  <c r="BR102" i="1" s="1"/>
  <c r="BE101" i="1"/>
  <c r="BC101" i="1"/>
  <c r="BB101" i="1"/>
  <c r="BQ100" i="1"/>
  <c r="BO100" i="1"/>
  <c r="BN100" i="1"/>
  <c r="BR101" i="1" s="1"/>
  <c r="BE100" i="1"/>
  <c r="BC100" i="1"/>
  <c r="BB100" i="1"/>
  <c r="BQ99" i="1"/>
  <c r="BO99" i="1"/>
  <c r="BN99" i="1"/>
  <c r="BE99" i="1"/>
  <c r="BC99" i="1"/>
  <c r="BB99" i="1"/>
  <c r="BQ98" i="1"/>
  <c r="BO98" i="1"/>
  <c r="BN98" i="1"/>
  <c r="BR99" i="1" s="1"/>
  <c r="BE98" i="1"/>
  <c r="BC98" i="1"/>
  <c r="BB98" i="1"/>
  <c r="BQ97" i="1"/>
  <c r="BO97" i="1"/>
  <c r="BN97" i="1"/>
  <c r="BE97" i="1"/>
  <c r="BC97" i="1"/>
  <c r="BB97" i="1"/>
  <c r="BQ96" i="1"/>
  <c r="BO96" i="1"/>
  <c r="BN96" i="1"/>
  <c r="BE96" i="1"/>
  <c r="BC96" i="1"/>
  <c r="BB96" i="1"/>
  <c r="BQ95" i="1"/>
  <c r="BO95" i="1"/>
  <c r="BN95" i="1"/>
  <c r="BR96" i="1" s="1"/>
  <c r="BE95" i="1"/>
  <c r="BC95" i="1"/>
  <c r="BB95" i="1"/>
  <c r="BQ94" i="1"/>
  <c r="BO94" i="1"/>
  <c r="BN94" i="1"/>
  <c r="BR95" i="1" s="1"/>
  <c r="BE94" i="1"/>
  <c r="BC94" i="1"/>
  <c r="BB94" i="1"/>
  <c r="BQ93" i="1"/>
  <c r="BO93" i="1"/>
  <c r="BN93" i="1"/>
  <c r="BE93" i="1"/>
  <c r="BC93" i="1"/>
  <c r="BB93" i="1"/>
  <c r="BQ92" i="1"/>
  <c r="BO92" i="1"/>
  <c r="BN92" i="1"/>
  <c r="BE92" i="1"/>
  <c r="BC92" i="1"/>
  <c r="BB92" i="1"/>
  <c r="BQ91" i="1"/>
  <c r="BO91" i="1"/>
  <c r="BN91" i="1"/>
  <c r="BE91" i="1"/>
  <c r="BC91" i="1"/>
  <c r="BB91" i="1"/>
  <c r="BQ90" i="1"/>
  <c r="BO90" i="1"/>
  <c r="BN90" i="1"/>
  <c r="BE90" i="1"/>
  <c r="BC90" i="1"/>
  <c r="BB90" i="1"/>
  <c r="BQ89" i="1"/>
  <c r="BO89" i="1"/>
  <c r="BN89" i="1"/>
  <c r="BE89" i="1"/>
  <c r="BC89" i="1"/>
  <c r="BB89" i="1"/>
  <c r="BQ88" i="1"/>
  <c r="BO88" i="1"/>
  <c r="BN88" i="1"/>
  <c r="BE88" i="1"/>
  <c r="BC88" i="1"/>
  <c r="BB88" i="1"/>
  <c r="BQ87" i="1"/>
  <c r="BO87" i="1"/>
  <c r="BN87" i="1"/>
  <c r="BR88" i="1" s="1"/>
  <c r="BE87" i="1"/>
  <c r="BC87" i="1"/>
  <c r="BB87" i="1"/>
  <c r="BQ86" i="1"/>
  <c r="BO86" i="1"/>
  <c r="BN86" i="1"/>
  <c r="BR87" i="1" s="1"/>
  <c r="BE86" i="1"/>
  <c r="BC86" i="1"/>
  <c r="BB86" i="1"/>
  <c r="BQ85" i="1"/>
  <c r="BO85" i="1"/>
  <c r="BN85" i="1"/>
  <c r="BE85" i="1"/>
  <c r="BC85" i="1"/>
  <c r="BB85" i="1"/>
  <c r="BQ84" i="1"/>
  <c r="BO84" i="1"/>
  <c r="BN84" i="1"/>
  <c r="BE84" i="1"/>
  <c r="BC84" i="1"/>
  <c r="BB84" i="1"/>
  <c r="BQ83" i="1"/>
  <c r="BO83" i="1"/>
  <c r="BN83" i="1"/>
  <c r="BR84" i="1" s="1"/>
  <c r="BE83" i="1"/>
  <c r="BC83" i="1"/>
  <c r="BB83" i="1"/>
  <c r="BQ82" i="1"/>
  <c r="BO82" i="1"/>
  <c r="BN82" i="1"/>
  <c r="BE82" i="1"/>
  <c r="BC82" i="1"/>
  <c r="BB82" i="1"/>
  <c r="BQ81" i="1"/>
  <c r="BO81" i="1"/>
  <c r="BN81" i="1"/>
  <c r="BE81" i="1"/>
  <c r="BC81" i="1"/>
  <c r="BB81" i="1"/>
  <c r="BQ80" i="1"/>
  <c r="BO80" i="1"/>
  <c r="BN80" i="1"/>
  <c r="BE80" i="1"/>
  <c r="BC80" i="1"/>
  <c r="BB80" i="1"/>
  <c r="BQ79" i="1"/>
  <c r="BO79" i="1"/>
  <c r="BN79" i="1"/>
  <c r="BR80" i="1" s="1"/>
  <c r="BE79" i="1"/>
  <c r="BC79" i="1"/>
  <c r="BB79" i="1"/>
  <c r="BQ78" i="1"/>
  <c r="BO78" i="1"/>
  <c r="BN78" i="1"/>
  <c r="BE78" i="1"/>
  <c r="BC78" i="1"/>
  <c r="BB78" i="1"/>
  <c r="BQ77" i="1"/>
  <c r="BO77" i="1"/>
  <c r="BN77" i="1"/>
  <c r="BR78" i="1" s="1"/>
  <c r="BE77" i="1"/>
  <c r="BC77" i="1"/>
  <c r="BB77" i="1"/>
  <c r="BF78" i="1" s="1"/>
  <c r="BQ76" i="1"/>
  <c r="BO76" i="1"/>
  <c r="BN76" i="1"/>
  <c r="BR77" i="1" s="1"/>
  <c r="BE76" i="1"/>
  <c r="BC76" i="1"/>
  <c r="BB76" i="1"/>
  <c r="BQ75" i="1"/>
  <c r="BO75" i="1"/>
  <c r="BN75" i="1"/>
  <c r="BR76" i="1" s="1"/>
  <c r="BE75" i="1"/>
  <c r="BC75" i="1"/>
  <c r="BB75" i="1"/>
  <c r="BQ74" i="1"/>
  <c r="BO74" i="1"/>
  <c r="BN74" i="1"/>
  <c r="BE74" i="1"/>
  <c r="BC74" i="1"/>
  <c r="BB74" i="1"/>
  <c r="BQ73" i="1"/>
  <c r="BO73" i="1"/>
  <c r="BN73" i="1"/>
  <c r="BR74" i="1" s="1"/>
  <c r="BE73" i="1"/>
  <c r="BC73" i="1"/>
  <c r="BB73" i="1"/>
  <c r="BQ72" i="1"/>
  <c r="BO72" i="1"/>
  <c r="BN72" i="1"/>
  <c r="BE72" i="1"/>
  <c r="BC72" i="1"/>
  <c r="BB72" i="1"/>
  <c r="BQ71" i="1"/>
  <c r="BO71" i="1"/>
  <c r="BN71" i="1"/>
  <c r="BR72" i="1" s="1"/>
  <c r="BE71" i="1"/>
  <c r="BC71" i="1"/>
  <c r="BB71" i="1"/>
  <c r="BQ70" i="1"/>
  <c r="BO70" i="1"/>
  <c r="BN70" i="1"/>
  <c r="BE70" i="1"/>
  <c r="BC70" i="1"/>
  <c r="BB70" i="1"/>
  <c r="BQ69" i="1"/>
  <c r="BO69" i="1"/>
  <c r="BN69" i="1"/>
  <c r="BE69" i="1"/>
  <c r="BC69" i="1"/>
  <c r="BB69" i="1"/>
  <c r="BF70" i="1" s="1"/>
  <c r="BQ68" i="1"/>
  <c r="BO68" i="1"/>
  <c r="BN68" i="1"/>
  <c r="BE68" i="1"/>
  <c r="BC68" i="1"/>
  <c r="BB68" i="1"/>
  <c r="BF69" i="1" s="1"/>
  <c r="BQ67" i="1"/>
  <c r="BO67" i="1"/>
  <c r="BN67" i="1"/>
  <c r="BE67" i="1"/>
  <c r="BC67" i="1"/>
  <c r="BB67" i="1"/>
  <c r="BQ66" i="1"/>
  <c r="BO66" i="1"/>
  <c r="BN66" i="1"/>
  <c r="BE66" i="1"/>
  <c r="BC66" i="1"/>
  <c r="BB66" i="1"/>
  <c r="BQ65" i="1"/>
  <c r="BO65" i="1"/>
  <c r="BN65" i="1"/>
  <c r="BE65" i="1"/>
  <c r="BC65" i="1"/>
  <c r="BB65" i="1"/>
  <c r="BQ64" i="1"/>
  <c r="BO64" i="1"/>
  <c r="BN64" i="1"/>
  <c r="BE64" i="1"/>
  <c r="BC64" i="1"/>
  <c r="BB64" i="1"/>
  <c r="BQ63" i="1"/>
  <c r="BO63" i="1"/>
  <c r="BN63" i="1"/>
  <c r="BE63" i="1"/>
  <c r="BC63" i="1"/>
  <c r="BB63" i="1"/>
  <c r="BF64" i="1" s="1"/>
  <c r="BQ62" i="1"/>
  <c r="BO62" i="1"/>
  <c r="BN62" i="1"/>
  <c r="BE62" i="1"/>
  <c r="BC62" i="1"/>
  <c r="BB62" i="1"/>
  <c r="BF63" i="1" s="1"/>
  <c r="BQ61" i="1"/>
  <c r="BO61" i="1"/>
  <c r="BN61" i="1"/>
  <c r="BE61" i="1"/>
  <c r="BC61" i="1"/>
  <c r="BB61" i="1"/>
  <c r="BF62" i="1" s="1"/>
  <c r="BQ60" i="1"/>
  <c r="BO60" i="1"/>
  <c r="BN60" i="1"/>
  <c r="BE60" i="1"/>
  <c r="BC60" i="1"/>
  <c r="BB60" i="1"/>
  <c r="BF61" i="1" s="1"/>
  <c r="BQ59" i="1"/>
  <c r="BO59" i="1"/>
  <c r="BN59" i="1"/>
  <c r="BR60" i="1" s="1"/>
  <c r="BE59" i="1"/>
  <c r="BC59" i="1"/>
  <c r="BB59" i="1"/>
  <c r="BQ58" i="1"/>
  <c r="BO58" i="1"/>
  <c r="BN58" i="1"/>
  <c r="BE58" i="1"/>
  <c r="BC58" i="1"/>
  <c r="BB58" i="1"/>
  <c r="BQ57" i="1"/>
  <c r="BO57" i="1"/>
  <c r="BN57" i="1"/>
  <c r="BR58" i="1" s="1"/>
  <c r="BE57" i="1"/>
  <c r="BC57" i="1"/>
  <c r="BB57" i="1"/>
  <c r="BQ56" i="1"/>
  <c r="BO56" i="1"/>
  <c r="BN56" i="1"/>
  <c r="BR57" i="1" s="1"/>
  <c r="BE56" i="1"/>
  <c r="BC56" i="1"/>
  <c r="BB56" i="1"/>
  <c r="BQ55" i="1"/>
  <c r="BO55" i="1"/>
  <c r="BN55" i="1"/>
  <c r="BE55" i="1"/>
  <c r="BC55" i="1"/>
  <c r="BB55" i="1"/>
  <c r="BF56" i="1" s="1"/>
  <c r="BQ54" i="1"/>
  <c r="BO54" i="1"/>
  <c r="BN54" i="1"/>
  <c r="BR55" i="1" s="1"/>
  <c r="BE54" i="1"/>
  <c r="BC54" i="1"/>
  <c r="BB54" i="1"/>
  <c r="BQ53" i="1"/>
  <c r="BO53" i="1"/>
  <c r="BN53" i="1"/>
  <c r="BR54" i="1" s="1"/>
  <c r="BE53" i="1"/>
  <c r="BC53" i="1"/>
  <c r="BB53" i="1"/>
  <c r="BQ52" i="1"/>
  <c r="BO52" i="1"/>
  <c r="BN52" i="1"/>
  <c r="BR53" i="1" s="1"/>
  <c r="BE52" i="1"/>
  <c r="BC52" i="1"/>
  <c r="BB52" i="1"/>
  <c r="BQ51" i="1"/>
  <c r="BO51" i="1"/>
  <c r="BN51" i="1"/>
  <c r="BE51" i="1"/>
  <c r="BC51" i="1"/>
  <c r="BB51" i="1"/>
  <c r="BQ50" i="1"/>
  <c r="BO50" i="1"/>
  <c r="BN50" i="1"/>
  <c r="BE50" i="1"/>
  <c r="BC50" i="1"/>
  <c r="BB50" i="1"/>
  <c r="BF51" i="1" s="1"/>
  <c r="BQ49" i="1"/>
  <c r="BO49" i="1"/>
  <c r="BN49" i="1"/>
  <c r="BR50" i="1" s="1"/>
  <c r="BE49" i="1"/>
  <c r="BC49" i="1"/>
  <c r="BB49" i="1"/>
  <c r="BQ48" i="1"/>
  <c r="BO48" i="1"/>
  <c r="BN48" i="1"/>
  <c r="BR49" i="1" s="1"/>
  <c r="BE48" i="1"/>
  <c r="BC48" i="1"/>
  <c r="BB48" i="1"/>
  <c r="BQ47" i="1"/>
  <c r="BO47" i="1"/>
  <c r="BN47" i="1"/>
  <c r="BE47" i="1"/>
  <c r="BC47" i="1"/>
  <c r="BB47" i="1"/>
  <c r="BQ46" i="1"/>
  <c r="BO46" i="1"/>
  <c r="BN46" i="1"/>
  <c r="BR47" i="1" s="1"/>
  <c r="BE46" i="1"/>
  <c r="BC46" i="1"/>
  <c r="BB46" i="1"/>
  <c r="BQ45" i="1"/>
  <c r="BO45" i="1"/>
  <c r="BN45" i="1"/>
  <c r="BE45" i="1"/>
  <c r="BC45" i="1"/>
  <c r="BB45" i="1"/>
  <c r="BF46" i="1" s="1"/>
  <c r="BQ44" i="1"/>
  <c r="BO44" i="1"/>
  <c r="BN44" i="1"/>
  <c r="BR45" i="1" s="1"/>
  <c r="BE44" i="1"/>
  <c r="BC44" i="1"/>
  <c r="BB44" i="1"/>
  <c r="BQ43" i="1"/>
  <c r="BO43" i="1"/>
  <c r="BN43" i="1"/>
  <c r="BR44" i="1" s="1"/>
  <c r="BE43" i="1"/>
  <c r="BC43" i="1"/>
  <c r="BB43" i="1"/>
  <c r="BQ42" i="1"/>
  <c r="BO42" i="1"/>
  <c r="BN42" i="1"/>
  <c r="BE42" i="1"/>
  <c r="BC42" i="1"/>
  <c r="BB42" i="1"/>
  <c r="BF43" i="1" s="1"/>
  <c r="BQ41" i="1"/>
  <c r="BO41" i="1"/>
  <c r="BN41" i="1"/>
  <c r="BE41" i="1"/>
  <c r="BC41" i="1"/>
  <c r="BB41" i="1"/>
  <c r="BF42" i="1" s="1"/>
  <c r="BQ40" i="1"/>
  <c r="BO40" i="1"/>
  <c r="BN40" i="1"/>
  <c r="BE40" i="1"/>
  <c r="BC40" i="1"/>
  <c r="BB40" i="1"/>
  <c r="BF41" i="1" s="1"/>
  <c r="BQ39" i="1"/>
  <c r="BO39" i="1"/>
  <c r="BN39" i="1"/>
  <c r="BR40" i="1" s="1"/>
  <c r="BE39" i="1"/>
  <c r="BC39" i="1"/>
  <c r="BB39" i="1"/>
  <c r="BQ38" i="1"/>
  <c r="BO38" i="1"/>
  <c r="BN38" i="1"/>
  <c r="BE38" i="1"/>
  <c r="BC38" i="1"/>
  <c r="BB38" i="1"/>
  <c r="BF39" i="1" s="1"/>
  <c r="BQ37" i="1"/>
  <c r="BO37" i="1"/>
  <c r="BN37" i="1"/>
  <c r="BE37" i="1"/>
  <c r="BC37" i="1"/>
  <c r="BB37" i="1"/>
  <c r="BF38" i="1" s="1"/>
  <c r="BQ36" i="1"/>
  <c r="BO36" i="1"/>
  <c r="BN36" i="1"/>
  <c r="BE36" i="1"/>
  <c r="BC36" i="1"/>
  <c r="BB36" i="1"/>
  <c r="BF37" i="1" s="1"/>
  <c r="BQ35" i="1"/>
  <c r="BO35" i="1"/>
  <c r="BN35" i="1"/>
  <c r="BE35" i="1"/>
  <c r="BC35" i="1"/>
  <c r="BB35" i="1"/>
  <c r="BQ34" i="1"/>
  <c r="BO34" i="1"/>
  <c r="BN34" i="1"/>
  <c r="BE34" i="1"/>
  <c r="BC34" i="1"/>
  <c r="BB34" i="1"/>
  <c r="BQ33" i="1"/>
  <c r="BO33" i="1"/>
  <c r="BN33" i="1"/>
  <c r="BE33" i="1"/>
  <c r="BC33" i="1"/>
  <c r="BB33" i="1"/>
  <c r="BQ32" i="1"/>
  <c r="BO32" i="1"/>
  <c r="BN32" i="1"/>
  <c r="BE32" i="1"/>
  <c r="BC32" i="1"/>
  <c r="BB32" i="1"/>
  <c r="BQ31" i="1"/>
  <c r="BO31" i="1"/>
  <c r="BN31" i="1"/>
  <c r="BE31" i="1"/>
  <c r="BC31" i="1"/>
  <c r="BB31" i="1"/>
  <c r="BF32" i="1" s="1"/>
  <c r="BQ30" i="1"/>
  <c r="BO30" i="1"/>
  <c r="BN30" i="1"/>
  <c r="BE30" i="1"/>
  <c r="BC30" i="1"/>
  <c r="BB30" i="1"/>
  <c r="BQ29" i="1"/>
  <c r="BO29" i="1"/>
  <c r="BN29" i="1"/>
  <c r="BE29" i="1"/>
  <c r="BC29" i="1"/>
  <c r="BB29" i="1"/>
  <c r="BF30" i="1" s="1"/>
  <c r="BQ28" i="1"/>
  <c r="BO28" i="1"/>
  <c r="BN28" i="1"/>
  <c r="BE28" i="1"/>
  <c r="BC28" i="1"/>
  <c r="BB28" i="1"/>
  <c r="BF29" i="1" s="1"/>
  <c r="BQ27" i="1"/>
  <c r="BO27" i="1"/>
  <c r="BN27" i="1"/>
  <c r="BE27" i="1"/>
  <c r="BC27" i="1"/>
  <c r="BB27" i="1"/>
  <c r="BQ26" i="1"/>
  <c r="BO26" i="1"/>
  <c r="BN26" i="1"/>
  <c r="BE26" i="1"/>
  <c r="BC26" i="1"/>
  <c r="BB26" i="1"/>
  <c r="BQ25" i="1"/>
  <c r="BO25" i="1"/>
  <c r="BN25" i="1"/>
  <c r="BR26" i="1" s="1"/>
  <c r="BE25" i="1"/>
  <c r="BC25" i="1"/>
  <c r="BB25" i="1"/>
  <c r="BQ24" i="1"/>
  <c r="BO24" i="1"/>
  <c r="BN24" i="1"/>
  <c r="BE24" i="1"/>
  <c r="BC24" i="1"/>
  <c r="BB24" i="1"/>
  <c r="BQ23" i="1"/>
  <c r="BO23" i="1"/>
  <c r="BN23" i="1"/>
  <c r="BE23" i="1"/>
  <c r="BC23" i="1"/>
  <c r="BB23" i="1"/>
  <c r="BQ22" i="1"/>
  <c r="BP22" i="1"/>
  <c r="BO22" i="1"/>
  <c r="BN22" i="1"/>
  <c r="BE22" i="1"/>
  <c r="BD22" i="1"/>
  <c r="BC22" i="1"/>
  <c r="BB22" i="1"/>
  <c r="BQ21" i="1"/>
  <c r="BR22" i="1" s="1"/>
  <c r="BE21" i="1"/>
  <c r="BF22" i="1" s="1"/>
  <c r="BT20" i="1"/>
  <c r="BS20" i="1"/>
  <c r="BH20" i="1"/>
  <c r="BG20" i="1"/>
  <c r="BR24" i="1" l="1"/>
  <c r="BR79" i="1"/>
  <c r="BR103" i="1"/>
  <c r="BR100" i="1"/>
  <c r="BR91" i="1"/>
  <c r="BR68" i="1"/>
  <c r="BR52" i="1"/>
  <c r="BR75" i="1"/>
  <c r="BR86" i="1"/>
  <c r="BR94" i="1"/>
  <c r="BR90" i="1"/>
  <c r="BR82" i="1"/>
  <c r="BR71" i="1"/>
  <c r="BR98" i="1"/>
  <c r="BR92" i="1"/>
  <c r="BR85" i="1"/>
  <c r="BR81" i="1"/>
  <c r="BR23" i="1"/>
  <c r="BR65" i="1"/>
  <c r="BR93" i="1"/>
  <c r="BR66" i="1"/>
  <c r="BF48" i="1"/>
  <c r="BF137" i="1"/>
  <c r="BF150" i="1"/>
  <c r="BF123" i="1"/>
  <c r="BF97" i="1"/>
  <c r="BF89" i="1"/>
  <c r="BF34" i="1"/>
  <c r="BF25" i="1"/>
  <c r="BF31" i="1"/>
  <c r="BF132" i="1"/>
  <c r="BF129" i="1"/>
  <c r="BF127" i="1"/>
  <c r="BF110" i="1"/>
  <c r="BF83" i="1"/>
  <c r="BF28" i="1"/>
  <c r="BF128" i="1"/>
  <c r="BF35" i="1"/>
  <c r="BF33" i="1"/>
  <c r="BF109" i="1"/>
  <c r="BF36" i="1"/>
  <c r="BF27" i="1"/>
  <c r="BF23" i="1"/>
  <c r="BF164" i="1"/>
  <c r="BF134" i="1"/>
  <c r="BF133" i="1"/>
  <c r="BF130" i="1"/>
  <c r="BF125" i="1"/>
  <c r="BF116" i="1"/>
  <c r="BF112" i="1"/>
  <c r="BF67" i="1"/>
  <c r="BR59" i="1"/>
  <c r="BR73" i="1"/>
  <c r="BF26" i="1"/>
  <c r="BF111" i="1"/>
  <c r="BG167" i="1"/>
  <c r="BH167" i="1"/>
  <c r="BD167" i="1"/>
  <c r="BG166" i="1"/>
  <c r="BH166" i="1"/>
  <c r="BD166" i="1"/>
  <c r="BG165" i="1"/>
  <c r="BH165" i="1"/>
  <c r="BD165" i="1"/>
  <c r="BG164" i="1"/>
  <c r="BH164" i="1"/>
  <c r="BD164" i="1"/>
  <c r="BS163" i="1"/>
  <c r="BT163" i="1"/>
  <c r="BP163" i="1"/>
  <c r="BR164" i="1" s="1"/>
  <c r="BS162" i="1"/>
  <c r="BP162" i="1"/>
  <c r="BT162" i="1"/>
  <c r="BS161" i="1"/>
  <c r="BT161" i="1"/>
  <c r="BP161" i="1"/>
  <c r="BS160" i="1"/>
  <c r="BT160" i="1"/>
  <c r="BP160" i="1"/>
  <c r="BT159" i="1"/>
  <c r="BS159" i="1"/>
  <c r="BU159" i="1" s="1"/>
  <c r="BP159" i="1"/>
  <c r="BT158" i="1"/>
  <c r="BS158" i="1"/>
  <c r="BU158" i="1" s="1"/>
  <c r="BP158" i="1"/>
  <c r="BH158" i="1"/>
  <c r="BG158" i="1"/>
  <c r="BD158" i="1"/>
  <c r="BF159" i="1" s="1"/>
  <c r="BP157" i="1"/>
  <c r="BS157" i="1"/>
  <c r="BT157" i="1"/>
  <c r="BH157" i="1"/>
  <c r="BG157" i="1"/>
  <c r="BD157" i="1"/>
  <c r="BT156" i="1"/>
  <c r="BP156" i="1"/>
  <c r="BS156" i="1"/>
  <c r="BU156" i="1" s="1"/>
  <c r="BD156" i="1"/>
  <c r="BG156" i="1"/>
  <c r="BH156" i="1"/>
  <c r="BP155" i="1"/>
  <c r="BS155" i="1"/>
  <c r="BT155" i="1"/>
  <c r="BH155" i="1"/>
  <c r="BG155" i="1"/>
  <c r="BI155" i="1" s="1"/>
  <c r="BD155" i="1"/>
  <c r="BP154" i="1"/>
  <c r="BS154" i="1"/>
  <c r="BT154" i="1"/>
  <c r="BH154" i="1"/>
  <c r="BD154" i="1"/>
  <c r="BG154" i="1"/>
  <c r="BI154" i="1" s="1"/>
  <c r="BT153" i="1"/>
  <c r="BP153" i="1"/>
  <c r="BS153" i="1"/>
  <c r="BS152" i="1"/>
  <c r="BP152" i="1"/>
  <c r="BT152" i="1"/>
  <c r="BT151" i="1"/>
  <c r="BP151" i="1"/>
  <c r="BS151" i="1"/>
  <c r="BU151" i="1" s="1"/>
  <c r="BH150" i="1"/>
  <c r="BD150" i="1"/>
  <c r="BF151" i="1" s="1"/>
  <c r="BG150" i="1"/>
  <c r="BI150" i="1" s="1"/>
  <c r="BD149" i="1"/>
  <c r="BG149" i="1"/>
  <c r="BH149" i="1"/>
  <c r="BH148" i="1"/>
  <c r="BD148" i="1"/>
  <c r="BG148" i="1"/>
  <c r="BI148" i="1" s="1"/>
  <c r="BH147" i="1"/>
  <c r="BG147" i="1"/>
  <c r="BI147" i="1" s="1"/>
  <c r="BD147" i="1"/>
  <c r="BH146" i="1"/>
  <c r="BG146" i="1"/>
  <c r="BD146" i="1"/>
  <c r="BT145" i="1"/>
  <c r="BP145" i="1"/>
  <c r="BR146" i="1" s="1"/>
  <c r="BS145" i="1"/>
  <c r="BH145" i="1"/>
  <c r="BD145" i="1"/>
  <c r="BG145" i="1"/>
  <c r="BI145" i="1" s="1"/>
  <c r="BH144" i="1"/>
  <c r="BD144" i="1"/>
  <c r="BG144" i="1"/>
  <c r="BI144" i="1" s="1"/>
  <c r="BG143" i="1"/>
  <c r="BD143" i="1"/>
  <c r="BH143" i="1"/>
  <c r="BD142" i="1"/>
  <c r="BH142" i="1"/>
  <c r="BG142" i="1"/>
  <c r="BI142" i="1" s="1"/>
  <c r="BD141" i="1"/>
  <c r="BG141" i="1"/>
  <c r="BH141" i="1"/>
  <c r="BH140" i="1"/>
  <c r="BD140" i="1"/>
  <c r="BG140" i="1"/>
  <c r="BI140" i="1" s="1"/>
  <c r="BT139" i="1"/>
  <c r="BP139" i="1"/>
  <c r="BR140" i="1" s="1"/>
  <c r="BS139" i="1"/>
  <c r="BU139" i="1" s="1"/>
  <c r="BD138" i="1"/>
  <c r="BF139" i="1" s="1"/>
  <c r="BG138" i="1"/>
  <c r="BH138" i="1"/>
  <c r="BD136" i="1"/>
  <c r="BH136" i="1"/>
  <c r="BG136" i="1"/>
  <c r="BI136" i="1" s="1"/>
  <c r="BG135" i="1"/>
  <c r="BH135" i="1"/>
  <c r="BD135" i="1"/>
  <c r="BS133" i="1"/>
  <c r="BT133" i="1"/>
  <c r="BP133" i="1"/>
  <c r="BR134" i="1" s="1"/>
  <c r="BG131" i="1"/>
  <c r="BH131" i="1"/>
  <c r="BD131" i="1"/>
  <c r="BG126" i="1"/>
  <c r="BH126" i="1"/>
  <c r="BD126" i="1"/>
  <c r="BG124" i="1"/>
  <c r="BH124" i="1"/>
  <c r="BD124" i="1"/>
  <c r="BS122" i="1"/>
  <c r="BT122" i="1"/>
  <c r="BP122" i="1"/>
  <c r="BR123" i="1" s="1"/>
  <c r="BG122" i="1"/>
  <c r="BH122" i="1"/>
  <c r="BD122" i="1"/>
  <c r="BP121" i="1"/>
  <c r="BT121" i="1"/>
  <c r="BS121" i="1"/>
  <c r="BU121" i="1" s="1"/>
  <c r="BD121" i="1"/>
  <c r="BG121" i="1"/>
  <c r="BH121" i="1"/>
  <c r="BD120" i="1"/>
  <c r="BG120" i="1"/>
  <c r="BH120" i="1"/>
  <c r="BG119" i="1"/>
  <c r="BD119" i="1"/>
  <c r="BH119" i="1"/>
  <c r="BD118" i="1"/>
  <c r="BG118" i="1"/>
  <c r="BH118" i="1"/>
  <c r="BH117" i="1"/>
  <c r="BD117" i="1"/>
  <c r="BG117" i="1"/>
  <c r="BI117" i="1" s="1"/>
  <c r="BD115" i="1"/>
  <c r="BH115" i="1"/>
  <c r="BG115" i="1"/>
  <c r="BI115" i="1" s="1"/>
  <c r="BG114" i="1"/>
  <c r="BH114" i="1"/>
  <c r="BD114" i="1"/>
  <c r="BT113" i="1"/>
  <c r="BP113" i="1"/>
  <c r="BR114" i="1" s="1"/>
  <c r="BS113" i="1"/>
  <c r="BP108" i="1"/>
  <c r="BR109" i="1" s="1"/>
  <c r="BS108" i="1"/>
  <c r="BT108" i="1"/>
  <c r="BT107" i="1"/>
  <c r="BS107" i="1"/>
  <c r="BU107" i="1" s="1"/>
  <c r="BP107" i="1"/>
  <c r="BS106" i="1"/>
  <c r="BP106" i="1"/>
  <c r="BT106" i="1"/>
  <c r="BP104" i="1"/>
  <c r="BT104" i="1"/>
  <c r="BS104" i="1"/>
  <c r="BU104" i="1" s="1"/>
  <c r="BT105" i="1"/>
  <c r="BP105" i="1"/>
  <c r="BS105" i="1"/>
  <c r="BU105" i="1" s="1"/>
  <c r="BS103" i="1"/>
  <c r="BT103" i="1"/>
  <c r="BP103" i="1"/>
  <c r="BG103" i="1"/>
  <c r="BH103" i="1"/>
  <c r="BD103" i="1"/>
  <c r="BF104" i="1" s="1"/>
  <c r="BS102" i="1"/>
  <c r="BT102" i="1"/>
  <c r="BP102" i="1"/>
  <c r="BS101" i="1"/>
  <c r="BT101" i="1"/>
  <c r="BP101" i="1"/>
  <c r="BS100" i="1"/>
  <c r="BT100" i="1"/>
  <c r="BP100" i="1"/>
  <c r="BS99" i="1"/>
  <c r="BT99" i="1"/>
  <c r="BP99" i="1"/>
  <c r="BS98" i="1"/>
  <c r="BT98" i="1"/>
  <c r="BP98" i="1"/>
  <c r="BS96" i="1"/>
  <c r="BT96" i="1"/>
  <c r="BP96" i="1"/>
  <c r="BR97" i="1" s="1"/>
  <c r="BS95" i="1"/>
  <c r="BT95" i="1"/>
  <c r="BP95" i="1"/>
  <c r="BS94" i="1"/>
  <c r="BT94" i="1"/>
  <c r="BP94" i="1"/>
  <c r="BS93" i="1"/>
  <c r="BT93" i="1"/>
  <c r="BP93" i="1"/>
  <c r="BS92" i="1"/>
  <c r="BT92" i="1"/>
  <c r="BP92" i="1"/>
  <c r="BS91" i="1"/>
  <c r="BT91" i="1"/>
  <c r="BP91" i="1"/>
  <c r="BS90" i="1"/>
  <c r="BT90" i="1"/>
  <c r="BP90" i="1"/>
  <c r="BS88" i="1"/>
  <c r="BT88" i="1"/>
  <c r="BP88" i="1"/>
  <c r="BR89" i="1" s="1"/>
  <c r="BS87" i="1"/>
  <c r="BT87" i="1"/>
  <c r="BP87" i="1"/>
  <c r="BS86" i="1"/>
  <c r="BT86" i="1"/>
  <c r="BP86" i="1"/>
  <c r="BS85" i="1"/>
  <c r="BT85" i="1"/>
  <c r="BP85" i="1"/>
  <c r="BS84" i="1"/>
  <c r="BT84" i="1"/>
  <c r="BP84" i="1"/>
  <c r="BS82" i="1"/>
  <c r="BT82" i="1"/>
  <c r="BP82" i="1"/>
  <c r="BR83" i="1" s="1"/>
  <c r="BS81" i="1"/>
  <c r="BT81" i="1"/>
  <c r="BP81" i="1"/>
  <c r="BS80" i="1"/>
  <c r="BT80" i="1"/>
  <c r="BP80" i="1"/>
  <c r="BS79" i="1"/>
  <c r="BT79" i="1"/>
  <c r="BP79" i="1"/>
  <c r="BP78" i="1"/>
  <c r="BT78" i="1"/>
  <c r="BS78" i="1"/>
  <c r="BU78" i="1" s="1"/>
  <c r="BD78" i="1"/>
  <c r="BF79" i="1" s="1"/>
  <c r="BH78" i="1"/>
  <c r="BG78" i="1"/>
  <c r="BI78" i="1" s="1"/>
  <c r="BT77" i="1"/>
  <c r="BS77" i="1"/>
  <c r="BU77" i="1" s="1"/>
  <c r="BP77" i="1"/>
  <c r="BT76" i="1"/>
  <c r="BP76" i="1"/>
  <c r="BS76" i="1"/>
  <c r="BU76" i="1" s="1"/>
  <c r="BT75" i="1"/>
  <c r="BP75" i="1"/>
  <c r="BS75" i="1"/>
  <c r="BU75" i="1" s="1"/>
  <c r="BP74" i="1"/>
  <c r="BS74" i="1"/>
  <c r="BT74" i="1"/>
  <c r="BS72" i="1"/>
  <c r="BP72" i="1"/>
  <c r="BT72" i="1"/>
  <c r="BS71" i="1"/>
  <c r="BT71" i="1"/>
  <c r="BP71" i="1"/>
  <c r="BG70" i="1"/>
  <c r="BH70" i="1"/>
  <c r="BD70" i="1"/>
  <c r="BF71" i="1" s="1"/>
  <c r="BG69" i="1"/>
  <c r="BH69" i="1"/>
  <c r="BD69" i="1"/>
  <c r="BS68" i="1"/>
  <c r="BT68" i="1"/>
  <c r="BP68" i="1"/>
  <c r="BR69" i="1" s="1"/>
  <c r="BS66" i="1"/>
  <c r="BT66" i="1"/>
  <c r="BP66" i="1"/>
  <c r="BR67" i="1" s="1"/>
  <c r="BS65" i="1"/>
  <c r="BT65" i="1"/>
  <c r="BP65" i="1"/>
  <c r="BG64" i="1"/>
  <c r="BH64" i="1"/>
  <c r="BD64" i="1"/>
  <c r="BF65" i="1" s="1"/>
  <c r="BG63" i="1"/>
  <c r="BH63" i="1"/>
  <c r="BD63" i="1"/>
  <c r="BG62" i="1"/>
  <c r="BH62" i="1"/>
  <c r="BD62" i="1"/>
  <c r="BG61" i="1"/>
  <c r="BH61" i="1"/>
  <c r="BD61" i="1"/>
  <c r="BS60" i="1"/>
  <c r="BT60" i="1"/>
  <c r="BP60" i="1"/>
  <c r="BR61" i="1" s="1"/>
  <c r="BS58" i="1"/>
  <c r="BT58" i="1"/>
  <c r="BP58" i="1"/>
  <c r="BS57" i="1"/>
  <c r="BT57" i="1"/>
  <c r="BP57" i="1"/>
  <c r="BG56" i="1"/>
  <c r="BH56" i="1"/>
  <c r="BD56" i="1"/>
  <c r="BF57" i="1" s="1"/>
  <c r="BS55" i="1"/>
  <c r="BT55" i="1"/>
  <c r="BP55" i="1"/>
  <c r="BR56" i="1" s="1"/>
  <c r="BS54" i="1"/>
  <c r="BT54" i="1"/>
  <c r="BP54" i="1"/>
  <c r="BS53" i="1"/>
  <c r="BT53" i="1"/>
  <c r="BP53" i="1"/>
  <c r="BS52" i="1"/>
  <c r="BT52" i="1"/>
  <c r="BP52" i="1"/>
  <c r="BG51" i="1"/>
  <c r="BH51" i="1"/>
  <c r="BD51" i="1"/>
  <c r="BF52" i="1" s="1"/>
  <c r="BS50" i="1"/>
  <c r="BT50" i="1"/>
  <c r="BP50" i="1"/>
  <c r="BR51" i="1" s="1"/>
  <c r="BS49" i="1"/>
  <c r="BT49" i="1"/>
  <c r="BP49" i="1"/>
  <c r="BG48" i="1"/>
  <c r="BH48" i="1"/>
  <c r="BD48" i="1"/>
  <c r="BF49" i="1" s="1"/>
  <c r="BS47" i="1"/>
  <c r="BT47" i="1"/>
  <c r="BP47" i="1"/>
  <c r="BR48" i="1" s="1"/>
  <c r="BG46" i="1"/>
  <c r="BH46" i="1"/>
  <c r="BD46" i="1"/>
  <c r="BF47" i="1" s="1"/>
  <c r="BS45" i="1"/>
  <c r="BT45" i="1"/>
  <c r="BP45" i="1"/>
  <c r="BR46" i="1" s="1"/>
  <c r="BS44" i="1"/>
  <c r="BT44" i="1"/>
  <c r="BP44" i="1"/>
  <c r="BD43" i="1"/>
  <c r="BF44" i="1" s="1"/>
  <c r="BG43" i="1"/>
  <c r="BH43" i="1"/>
  <c r="BD42" i="1"/>
  <c r="BG42" i="1"/>
  <c r="BH42" i="1"/>
  <c r="BS40" i="1"/>
  <c r="BP40" i="1"/>
  <c r="BR41" i="1" s="1"/>
  <c r="BT40" i="1"/>
  <c r="BG41" i="1"/>
  <c r="BH41" i="1"/>
  <c r="BD41" i="1"/>
  <c r="BG39" i="1"/>
  <c r="BH39" i="1"/>
  <c r="BD39" i="1"/>
  <c r="BF40" i="1" s="1"/>
  <c r="BG38" i="1"/>
  <c r="BH38" i="1"/>
  <c r="BD38" i="1"/>
  <c r="BG37" i="1"/>
  <c r="BH37" i="1"/>
  <c r="BD37" i="1"/>
  <c r="BG32" i="1"/>
  <c r="BH32" i="1"/>
  <c r="BD32" i="1"/>
  <c r="BG30" i="1"/>
  <c r="BH30" i="1"/>
  <c r="BD30" i="1"/>
  <c r="BG29" i="1"/>
  <c r="BH29" i="1"/>
  <c r="BD29" i="1"/>
  <c r="BS26" i="1"/>
  <c r="BT26" i="1"/>
  <c r="BP26" i="1"/>
  <c r="BR27" i="1" s="1"/>
  <c r="BS24" i="1"/>
  <c r="BT24" i="1"/>
  <c r="BP24" i="1"/>
  <c r="BR25" i="1" s="1"/>
  <c r="BS22" i="1"/>
  <c r="BT22" i="1"/>
  <c r="BG22" i="1"/>
  <c r="BI22" i="1" s="1"/>
  <c r="BH22" i="1"/>
  <c r="BU153" i="1" l="1"/>
  <c r="BT146" i="1"/>
  <c r="BP146" i="1"/>
  <c r="BR147" i="1" s="1"/>
  <c r="BS146" i="1"/>
  <c r="BU146" i="1" s="1"/>
  <c r="BP123" i="1"/>
  <c r="BR124" i="1" s="1"/>
  <c r="BT123" i="1"/>
  <c r="BS123" i="1"/>
  <c r="BU123" i="1" s="1"/>
  <c r="BU145" i="1"/>
  <c r="BU113" i="1"/>
  <c r="BX78" i="1"/>
  <c r="BS23" i="1"/>
  <c r="BT23" i="1"/>
  <c r="BP23" i="1"/>
  <c r="BX145" i="1"/>
  <c r="BS59" i="1"/>
  <c r="BT59" i="1"/>
  <c r="BP59" i="1"/>
  <c r="BS73" i="1"/>
  <c r="BT73" i="1"/>
  <c r="BP73" i="1"/>
  <c r="BP164" i="1"/>
  <c r="BR165" i="1" s="1"/>
  <c r="BT164" i="1"/>
  <c r="BS164" i="1"/>
  <c r="BU164" i="1" s="1"/>
  <c r="BX164" i="1" s="1"/>
  <c r="BP147" i="1"/>
  <c r="BR148" i="1" s="1"/>
  <c r="BT147" i="1"/>
  <c r="BS147" i="1"/>
  <c r="BU147" i="1" s="1"/>
  <c r="BX147" i="1" s="1"/>
  <c r="BT140" i="1"/>
  <c r="BS140" i="1"/>
  <c r="BU140" i="1" s="1"/>
  <c r="BX140" i="1" s="1"/>
  <c r="BP140" i="1"/>
  <c r="BR141" i="1" s="1"/>
  <c r="BP134" i="1"/>
  <c r="BR135" i="1" s="1"/>
  <c r="BT134" i="1"/>
  <c r="BS134" i="1"/>
  <c r="BU134" i="1" s="1"/>
  <c r="BX134" i="1" s="1"/>
  <c r="BT114" i="1"/>
  <c r="BS114" i="1"/>
  <c r="BU114" i="1" s="1"/>
  <c r="BX114" i="1" s="1"/>
  <c r="BP114" i="1"/>
  <c r="BR115" i="1" s="1"/>
  <c r="BS109" i="1"/>
  <c r="BT109" i="1"/>
  <c r="BP109" i="1"/>
  <c r="BR110" i="1" s="1"/>
  <c r="BP97" i="1"/>
  <c r="BT97" i="1"/>
  <c r="BS97" i="1"/>
  <c r="BU97" i="1" s="1"/>
  <c r="BP89" i="1"/>
  <c r="BT89" i="1"/>
  <c r="BS89" i="1"/>
  <c r="BU89" i="1" s="1"/>
  <c r="BX89" i="1" s="1"/>
  <c r="BP83" i="1"/>
  <c r="BT83" i="1"/>
  <c r="BS83" i="1"/>
  <c r="BU83" i="1" s="1"/>
  <c r="BP69" i="1"/>
  <c r="BR70" i="1" s="1"/>
  <c r="BT69" i="1"/>
  <c r="BS69" i="1"/>
  <c r="BP67" i="1"/>
  <c r="BT67" i="1"/>
  <c r="BS67" i="1"/>
  <c r="BP61" i="1"/>
  <c r="BR62" i="1" s="1"/>
  <c r="BT61" i="1"/>
  <c r="BS61" i="1"/>
  <c r="BU61" i="1" s="1"/>
  <c r="BP51" i="1"/>
  <c r="BT51" i="1"/>
  <c r="BS51" i="1"/>
  <c r="BP46" i="1"/>
  <c r="BT46" i="1"/>
  <c r="BS46" i="1"/>
  <c r="BU46" i="1" s="1"/>
  <c r="BT41" i="1"/>
  <c r="BP41" i="1"/>
  <c r="BR42" i="1" s="1"/>
  <c r="BS41" i="1"/>
  <c r="BU41" i="1" s="1"/>
  <c r="BX41" i="1" s="1"/>
  <c r="BP27" i="1"/>
  <c r="BR28" i="1" s="1"/>
  <c r="BT27" i="1"/>
  <c r="BS27" i="1"/>
  <c r="BU27" i="1" s="1"/>
  <c r="BX27" i="1" s="1"/>
  <c r="BP25" i="1"/>
  <c r="BT25" i="1"/>
  <c r="BS25" i="1"/>
  <c r="BU25" i="1" s="1"/>
  <c r="BH137" i="1"/>
  <c r="BD137" i="1"/>
  <c r="BG137" i="1"/>
  <c r="BI137" i="1" s="1"/>
  <c r="BG123" i="1"/>
  <c r="BI123" i="1" s="1"/>
  <c r="BH123" i="1"/>
  <c r="BD123" i="1"/>
  <c r="BI157" i="1"/>
  <c r="BI146" i="1"/>
  <c r="BX146" i="1" s="1"/>
  <c r="BG97" i="1"/>
  <c r="BI97" i="1" s="1"/>
  <c r="BD97" i="1"/>
  <c r="BF98" i="1" s="1"/>
  <c r="BH97" i="1"/>
  <c r="BH89" i="1"/>
  <c r="BG89" i="1"/>
  <c r="BI89" i="1" s="1"/>
  <c r="BD89" i="1"/>
  <c r="BF90" i="1" s="1"/>
  <c r="BG34" i="1"/>
  <c r="BI34" i="1" s="1"/>
  <c r="BD34" i="1"/>
  <c r="BH34" i="1"/>
  <c r="BD25" i="1"/>
  <c r="BG25" i="1"/>
  <c r="BI25" i="1" s="1"/>
  <c r="BH25" i="1"/>
  <c r="BG31" i="1"/>
  <c r="BI31" i="1" s="1"/>
  <c r="BD31" i="1"/>
  <c r="BH31" i="1"/>
  <c r="BG132" i="1"/>
  <c r="BI132" i="1" s="1"/>
  <c r="BH132" i="1"/>
  <c r="BD132" i="1"/>
  <c r="BG129" i="1"/>
  <c r="BI129" i="1" s="1"/>
  <c r="BH129" i="1"/>
  <c r="BD129" i="1"/>
  <c r="BG127" i="1"/>
  <c r="BI127" i="1" s="1"/>
  <c r="BH127" i="1"/>
  <c r="BD127" i="1"/>
  <c r="BH110" i="1"/>
  <c r="BD110" i="1"/>
  <c r="BG110" i="1"/>
  <c r="BI110" i="1" s="1"/>
  <c r="BD83" i="1"/>
  <c r="BF84" i="1" s="1"/>
  <c r="BH83" i="1"/>
  <c r="BG83" i="1"/>
  <c r="BI83" i="1" s="1"/>
  <c r="BD28" i="1"/>
  <c r="BG28" i="1"/>
  <c r="BI28" i="1" s="1"/>
  <c r="BH28" i="1"/>
  <c r="BG128" i="1"/>
  <c r="BI128" i="1" s="1"/>
  <c r="BD128" i="1"/>
  <c r="BH128" i="1"/>
  <c r="BG35" i="1"/>
  <c r="BI35" i="1" s="1"/>
  <c r="BD35" i="1"/>
  <c r="BH35" i="1"/>
  <c r="BH33" i="1"/>
  <c r="BD33" i="1"/>
  <c r="BG33" i="1"/>
  <c r="BI33" i="1" s="1"/>
  <c r="BH109" i="1"/>
  <c r="BG109" i="1"/>
  <c r="BI109" i="1" s="1"/>
  <c r="BD109" i="1"/>
  <c r="BG36" i="1"/>
  <c r="BI36" i="1" s="1"/>
  <c r="BD36" i="1"/>
  <c r="BH36" i="1"/>
  <c r="BG27" i="1"/>
  <c r="BI27" i="1" s="1"/>
  <c r="BH27" i="1"/>
  <c r="BD27" i="1"/>
  <c r="BG23" i="1"/>
  <c r="BI23" i="1" s="1"/>
  <c r="BH23" i="1"/>
  <c r="BD23" i="1"/>
  <c r="BF24" i="1" s="1"/>
  <c r="BD134" i="1"/>
  <c r="BG134" i="1"/>
  <c r="BH134" i="1"/>
  <c r="BD133" i="1"/>
  <c r="BH133" i="1"/>
  <c r="BG133" i="1"/>
  <c r="BI133" i="1" s="1"/>
  <c r="BG130" i="1"/>
  <c r="BD130" i="1"/>
  <c r="BH130" i="1"/>
  <c r="BD125" i="1"/>
  <c r="BH125" i="1"/>
  <c r="BG125" i="1"/>
  <c r="BI125" i="1" s="1"/>
  <c r="BH116" i="1"/>
  <c r="BD116" i="1"/>
  <c r="BG116" i="1"/>
  <c r="BI116" i="1" s="1"/>
  <c r="BD112" i="1"/>
  <c r="BF113" i="1" s="1"/>
  <c r="BG112" i="1"/>
  <c r="BH112" i="1"/>
  <c r="BG67" i="1"/>
  <c r="BH67" i="1"/>
  <c r="BD67" i="1"/>
  <c r="BF68" i="1" s="1"/>
  <c r="BI158" i="1"/>
  <c r="BX158" i="1" s="1"/>
  <c r="BI141" i="1"/>
  <c r="BD159" i="1"/>
  <c r="BF160" i="1" s="1"/>
  <c r="BG159" i="1"/>
  <c r="BH159" i="1"/>
  <c r="BG151" i="1"/>
  <c r="BH151" i="1"/>
  <c r="BD151" i="1"/>
  <c r="BF152" i="1" s="1"/>
  <c r="BD139" i="1"/>
  <c r="BG139" i="1"/>
  <c r="BH139" i="1"/>
  <c r="BG113" i="1"/>
  <c r="BD113" i="1"/>
  <c r="BH113" i="1"/>
  <c r="BG104" i="1"/>
  <c r="BD104" i="1"/>
  <c r="BF105" i="1" s="1"/>
  <c r="BH104" i="1"/>
  <c r="BD98" i="1"/>
  <c r="BF99" i="1" s="1"/>
  <c r="BH98" i="1"/>
  <c r="BG98" i="1"/>
  <c r="BD90" i="1"/>
  <c r="BF91" i="1" s="1"/>
  <c r="BH90" i="1"/>
  <c r="BG90" i="1"/>
  <c r="BI90" i="1" s="1"/>
  <c r="BD84" i="1"/>
  <c r="BF85" i="1" s="1"/>
  <c r="BH84" i="1"/>
  <c r="BG84" i="1"/>
  <c r="BI84" i="1" s="1"/>
  <c r="BH79" i="1"/>
  <c r="BG79" i="1"/>
  <c r="BI79" i="1" s="1"/>
  <c r="BD79" i="1"/>
  <c r="BF80" i="1" s="1"/>
  <c r="BD71" i="1"/>
  <c r="BF72" i="1" s="1"/>
  <c r="BH71" i="1"/>
  <c r="BG71" i="1"/>
  <c r="BI71" i="1" s="1"/>
  <c r="BD68" i="1"/>
  <c r="BH68" i="1"/>
  <c r="BG68" i="1"/>
  <c r="BI68" i="1" s="1"/>
  <c r="BD65" i="1"/>
  <c r="BF66" i="1" s="1"/>
  <c r="BH65" i="1"/>
  <c r="BG65" i="1"/>
  <c r="BI65" i="1" s="1"/>
  <c r="BD57" i="1"/>
  <c r="BF58" i="1" s="1"/>
  <c r="BH57" i="1"/>
  <c r="BG57" i="1"/>
  <c r="BI57" i="1" s="1"/>
  <c r="BD52" i="1"/>
  <c r="BF53" i="1" s="1"/>
  <c r="BH52" i="1"/>
  <c r="BG52" i="1"/>
  <c r="BI52" i="1" s="1"/>
  <c r="BD49" i="1"/>
  <c r="BF50" i="1" s="1"/>
  <c r="BH49" i="1"/>
  <c r="BG49" i="1"/>
  <c r="BI49" i="1" s="1"/>
  <c r="BD47" i="1"/>
  <c r="BH47" i="1"/>
  <c r="BG47" i="1"/>
  <c r="BI47" i="1" s="1"/>
  <c r="BD44" i="1"/>
  <c r="BF45" i="1" s="1"/>
  <c r="BH44" i="1"/>
  <c r="BG44" i="1"/>
  <c r="BI44" i="1" s="1"/>
  <c r="BG40" i="1"/>
  <c r="BH40" i="1"/>
  <c r="BD40" i="1"/>
  <c r="BU108" i="1"/>
  <c r="BU103" i="1"/>
  <c r="BU101" i="1"/>
  <c r="BU98" i="1"/>
  <c r="BU95" i="1"/>
  <c r="BI134" i="1"/>
  <c r="BI131" i="1"/>
  <c r="BI114" i="1"/>
  <c r="BI98" i="1"/>
  <c r="BX98" i="1" s="1"/>
  <c r="BG26" i="1"/>
  <c r="BH26" i="1"/>
  <c r="BD26" i="1"/>
  <c r="BH111" i="1"/>
  <c r="BD111" i="1"/>
  <c r="BG111" i="1"/>
  <c r="BI111" i="1" s="1"/>
  <c r="BP56" i="1"/>
  <c r="BT56" i="1"/>
  <c r="BS56" i="1"/>
  <c r="BU56" i="1" s="1"/>
  <c r="BP48" i="1"/>
  <c r="BT48" i="1"/>
  <c r="BS48" i="1"/>
  <c r="BU48" i="1" s="1"/>
  <c r="BJ22" i="1"/>
  <c r="BX22" i="1"/>
  <c r="BI138" i="1"/>
  <c r="BI126" i="1"/>
  <c r="BI124" i="1"/>
  <c r="BU122" i="1"/>
  <c r="BI122" i="1"/>
  <c r="BX122" i="1" s="1"/>
  <c r="BI121" i="1"/>
  <c r="BX121" i="1" s="1"/>
  <c r="BI120" i="1"/>
  <c r="BI119" i="1"/>
  <c r="BI118" i="1"/>
  <c r="BU99" i="1"/>
  <c r="BU96" i="1"/>
  <c r="BU94" i="1"/>
  <c r="BU93" i="1"/>
  <c r="BU92" i="1"/>
  <c r="BU91" i="1"/>
  <c r="BU90" i="1"/>
  <c r="BU88" i="1"/>
  <c r="BU87" i="1"/>
  <c r="BU86" i="1"/>
  <c r="BU85" i="1"/>
  <c r="BU84" i="1"/>
  <c r="BU82" i="1"/>
  <c r="BU81" i="1"/>
  <c r="BU80" i="1"/>
  <c r="BU79" i="1"/>
  <c r="BU74" i="1"/>
  <c r="BU72" i="1"/>
  <c r="BU71" i="1"/>
  <c r="BI70" i="1"/>
  <c r="BI69" i="1"/>
  <c r="BU68" i="1"/>
  <c r="BU66" i="1"/>
  <c r="BU65" i="1"/>
  <c r="BI64" i="1"/>
  <c r="BI63" i="1"/>
  <c r="BI62" i="1"/>
  <c r="BI61" i="1"/>
  <c r="BU58" i="1"/>
  <c r="BU57" i="1"/>
  <c r="BI56" i="1"/>
  <c r="BX56" i="1" s="1"/>
  <c r="BU55" i="1"/>
  <c r="BU54" i="1"/>
  <c r="BU53" i="1"/>
  <c r="BU52" i="1"/>
  <c r="BI51" i="1"/>
  <c r="BU50" i="1"/>
  <c r="BU49" i="1"/>
  <c r="BI48" i="1"/>
  <c r="BX48" i="1" s="1"/>
  <c r="BU47" i="1"/>
  <c r="BI46" i="1"/>
  <c r="BU45" i="1"/>
  <c r="BU44" i="1"/>
  <c r="BI43" i="1"/>
  <c r="BI42" i="1"/>
  <c r="BU40" i="1"/>
  <c r="BI41" i="1"/>
  <c r="BI39" i="1"/>
  <c r="BI38" i="1"/>
  <c r="BI37" i="1"/>
  <c r="BI32" i="1"/>
  <c r="BI30" i="1"/>
  <c r="BI29" i="1"/>
  <c r="BU26" i="1"/>
  <c r="BU24" i="1"/>
  <c r="BI143" i="1"/>
  <c r="BI135" i="1"/>
  <c r="BI103" i="1"/>
  <c r="BI167" i="1"/>
  <c r="BI166" i="1"/>
  <c r="BI165" i="1"/>
  <c r="BI164" i="1"/>
  <c r="BU163" i="1"/>
  <c r="BU162" i="1"/>
  <c r="BU161" i="1"/>
  <c r="BU160" i="1"/>
  <c r="BU157" i="1"/>
  <c r="BI156" i="1"/>
  <c r="BX156" i="1" s="1"/>
  <c r="BU155" i="1"/>
  <c r="BX155" i="1" s="1"/>
  <c r="BU154" i="1"/>
  <c r="BX154" i="1" s="1"/>
  <c r="BU152" i="1"/>
  <c r="BI149" i="1"/>
  <c r="BU102" i="1"/>
  <c r="BU100" i="1"/>
  <c r="BU22" i="1"/>
  <c r="BU133" i="1"/>
  <c r="BU106" i="1"/>
  <c r="BU60" i="1"/>
  <c r="BU51" i="1" l="1"/>
  <c r="BX51" i="1" s="1"/>
  <c r="BP124" i="1"/>
  <c r="BR125" i="1" s="1"/>
  <c r="BT124" i="1"/>
  <c r="BS124" i="1"/>
  <c r="BU124" i="1" s="1"/>
  <c r="BX124" i="1" s="1"/>
  <c r="BP135" i="1"/>
  <c r="BR136" i="1" s="1"/>
  <c r="BS135" i="1"/>
  <c r="BT135" i="1"/>
  <c r="BX90" i="1"/>
  <c r="BX123" i="1"/>
  <c r="BU23" i="1"/>
  <c r="BX23" i="1" s="1"/>
  <c r="BU59" i="1"/>
  <c r="BX84" i="1"/>
  <c r="BX79" i="1"/>
  <c r="BU73" i="1"/>
  <c r="BU69" i="1"/>
  <c r="BX69" i="1" s="1"/>
  <c r="BX71" i="1"/>
  <c r="BX68" i="1"/>
  <c r="BX65" i="1"/>
  <c r="BX57" i="1"/>
  <c r="BX52" i="1"/>
  <c r="BX49" i="1"/>
  <c r="BX47" i="1"/>
  <c r="BX44" i="1"/>
  <c r="BU67" i="1"/>
  <c r="BP165" i="1"/>
  <c r="BR166" i="1" s="1"/>
  <c r="BT165" i="1"/>
  <c r="BS165" i="1"/>
  <c r="BU165" i="1" s="1"/>
  <c r="BX165" i="1" s="1"/>
  <c r="BS148" i="1"/>
  <c r="BT148" i="1"/>
  <c r="BP148" i="1"/>
  <c r="BR149" i="1" s="1"/>
  <c r="BP141" i="1"/>
  <c r="BR142" i="1" s="1"/>
  <c r="BS141" i="1"/>
  <c r="BT141" i="1"/>
  <c r="BS115" i="1"/>
  <c r="BT115" i="1"/>
  <c r="BP115" i="1"/>
  <c r="BR116" i="1" s="1"/>
  <c r="BS110" i="1"/>
  <c r="BT110" i="1"/>
  <c r="BP110" i="1"/>
  <c r="BR111" i="1" s="1"/>
  <c r="BP62" i="1"/>
  <c r="BR63" i="1" s="1"/>
  <c r="BT62" i="1"/>
  <c r="BS62" i="1"/>
  <c r="BU62" i="1" s="1"/>
  <c r="BX62" i="1" s="1"/>
  <c r="BS42" i="1"/>
  <c r="BT42" i="1"/>
  <c r="BP42" i="1"/>
  <c r="BR43" i="1" s="1"/>
  <c r="BP28" i="1"/>
  <c r="BR29" i="1" s="1"/>
  <c r="BT28" i="1"/>
  <c r="BS28" i="1"/>
  <c r="BU28" i="1" s="1"/>
  <c r="BX28" i="1" s="1"/>
  <c r="BX61" i="1"/>
  <c r="BX46" i="1"/>
  <c r="BX83" i="1"/>
  <c r="BX103" i="1"/>
  <c r="BX97" i="1"/>
  <c r="BU109" i="1"/>
  <c r="BX109" i="1" s="1"/>
  <c r="BP70" i="1"/>
  <c r="BT70" i="1"/>
  <c r="BS70" i="1"/>
  <c r="BU70" i="1" s="1"/>
  <c r="BX70" i="1" s="1"/>
  <c r="BX157" i="1"/>
  <c r="BI130" i="1"/>
  <c r="BI67" i="1"/>
  <c r="BD24" i="1"/>
  <c r="BG24" i="1"/>
  <c r="BH24" i="1"/>
  <c r="BI112" i="1"/>
  <c r="BI40" i="1"/>
  <c r="BX40" i="1" s="1"/>
  <c r="BI26" i="1"/>
  <c r="BD160" i="1"/>
  <c r="BF161" i="1" s="1"/>
  <c r="BH160" i="1"/>
  <c r="BG160" i="1"/>
  <c r="BI160" i="1" s="1"/>
  <c r="BX160" i="1" s="1"/>
  <c r="BD152" i="1"/>
  <c r="BF153" i="1" s="1"/>
  <c r="BH152" i="1"/>
  <c r="BG152" i="1"/>
  <c r="BI152" i="1" s="1"/>
  <c r="BX152" i="1" s="1"/>
  <c r="BH105" i="1"/>
  <c r="BD105" i="1"/>
  <c r="BF106" i="1" s="1"/>
  <c r="BG105" i="1"/>
  <c r="BI105" i="1" s="1"/>
  <c r="BX105" i="1" s="1"/>
  <c r="BD99" i="1"/>
  <c r="BF100" i="1" s="1"/>
  <c r="BH99" i="1"/>
  <c r="BG99" i="1"/>
  <c r="BI99" i="1" s="1"/>
  <c r="BX99" i="1" s="1"/>
  <c r="BD91" i="1"/>
  <c r="BF92" i="1" s="1"/>
  <c r="BH91" i="1"/>
  <c r="BG91" i="1"/>
  <c r="BD85" i="1"/>
  <c r="BF86" i="1" s="1"/>
  <c r="BH85" i="1"/>
  <c r="BG85" i="1"/>
  <c r="BI85" i="1" s="1"/>
  <c r="BX85" i="1" s="1"/>
  <c r="BD80" i="1"/>
  <c r="BF81" i="1" s="1"/>
  <c r="BH80" i="1"/>
  <c r="BG80" i="1"/>
  <c r="BI80" i="1" s="1"/>
  <c r="BX80" i="1" s="1"/>
  <c r="BH72" i="1"/>
  <c r="BD72" i="1"/>
  <c r="BF73" i="1" s="1"/>
  <c r="BG72" i="1"/>
  <c r="BI72" i="1" s="1"/>
  <c r="BX72" i="1" s="1"/>
  <c r="BD66" i="1"/>
  <c r="BH66" i="1"/>
  <c r="BG66" i="1"/>
  <c r="BI66" i="1" s="1"/>
  <c r="BX66" i="1" s="1"/>
  <c r="BD58" i="1"/>
  <c r="BF59" i="1" s="1"/>
  <c r="BH58" i="1"/>
  <c r="BG58" i="1"/>
  <c r="BI58" i="1" s="1"/>
  <c r="BX58" i="1" s="1"/>
  <c r="BD53" i="1"/>
  <c r="BF54" i="1" s="1"/>
  <c r="BH53" i="1"/>
  <c r="BG53" i="1"/>
  <c r="BD45" i="1"/>
  <c r="BH45" i="1"/>
  <c r="BG45" i="1"/>
  <c r="BI45" i="1" s="1"/>
  <c r="BI159" i="1"/>
  <c r="BX159" i="1" s="1"/>
  <c r="BI151" i="1"/>
  <c r="BX151" i="1" s="1"/>
  <c r="BI139" i="1"/>
  <c r="BX139" i="1" s="1"/>
  <c r="BI113" i="1"/>
  <c r="BX113" i="1" s="1"/>
  <c r="BI104" i="1"/>
  <c r="BX104" i="1" s="1"/>
  <c r="BJ23" i="1"/>
  <c r="BD50" i="1"/>
  <c r="BH50" i="1"/>
  <c r="BG50" i="1"/>
  <c r="BI50" i="1" s="1"/>
  <c r="BX50" i="1" s="1"/>
  <c r="BX26" i="1"/>
  <c r="BY22" i="1"/>
  <c r="BV22" i="1"/>
  <c r="BX133" i="1"/>
  <c r="BX25" i="1"/>
  <c r="BS125" i="1" l="1"/>
  <c r="BT125" i="1"/>
  <c r="BP125" i="1"/>
  <c r="BR126" i="1" s="1"/>
  <c r="BT136" i="1"/>
  <c r="BS136" i="1"/>
  <c r="BP136" i="1"/>
  <c r="BR137" i="1" s="1"/>
  <c r="BU135" i="1"/>
  <c r="BX135" i="1" s="1"/>
  <c r="BX67" i="1"/>
  <c r="BY23" i="1"/>
  <c r="BV23" i="1"/>
  <c r="BV24" i="1" s="1"/>
  <c r="BV25" i="1" s="1"/>
  <c r="BV26" i="1" s="1"/>
  <c r="BV27" i="1" s="1"/>
  <c r="BV28" i="1" s="1"/>
  <c r="BP166" i="1"/>
  <c r="BR167" i="1" s="1"/>
  <c r="BT166" i="1"/>
  <c r="BS166" i="1"/>
  <c r="BT149" i="1"/>
  <c r="BP149" i="1"/>
  <c r="BR150" i="1" s="1"/>
  <c r="BS149" i="1"/>
  <c r="BU149" i="1" s="1"/>
  <c r="BX149" i="1" s="1"/>
  <c r="BS142" i="1"/>
  <c r="BT142" i="1"/>
  <c r="BP142" i="1"/>
  <c r="BR143" i="1" s="1"/>
  <c r="BS116" i="1"/>
  <c r="BP116" i="1"/>
  <c r="BR117" i="1" s="1"/>
  <c r="BT116" i="1"/>
  <c r="BP111" i="1"/>
  <c r="BR112" i="1" s="1"/>
  <c r="BS111" i="1"/>
  <c r="BT111" i="1"/>
  <c r="BP63" i="1"/>
  <c r="BR64" i="1" s="1"/>
  <c r="BT63" i="1"/>
  <c r="BS63" i="1"/>
  <c r="BU63" i="1" s="1"/>
  <c r="BX63" i="1" s="1"/>
  <c r="BS43" i="1"/>
  <c r="BT43" i="1"/>
  <c r="BP43" i="1"/>
  <c r="BP29" i="1"/>
  <c r="BR30" i="1" s="1"/>
  <c r="BT29" i="1"/>
  <c r="BS29" i="1"/>
  <c r="BU29" i="1" s="1"/>
  <c r="BU148" i="1"/>
  <c r="BX148" i="1" s="1"/>
  <c r="BU141" i="1"/>
  <c r="BX141" i="1" s="1"/>
  <c r="BU115" i="1"/>
  <c r="BX115" i="1" s="1"/>
  <c r="BU110" i="1"/>
  <c r="BX110" i="1" s="1"/>
  <c r="BU42" i="1"/>
  <c r="BX42" i="1" s="1"/>
  <c r="BI91" i="1"/>
  <c r="BX91" i="1" s="1"/>
  <c r="BI24" i="1"/>
  <c r="BI53" i="1"/>
  <c r="BX53" i="1" s="1"/>
  <c r="BH161" i="1"/>
  <c r="BG161" i="1"/>
  <c r="BI161" i="1" s="1"/>
  <c r="BX161" i="1" s="1"/>
  <c r="BD161" i="1"/>
  <c r="BF162" i="1" s="1"/>
  <c r="BH153" i="1"/>
  <c r="BG153" i="1"/>
  <c r="BI153" i="1" s="1"/>
  <c r="BX153" i="1" s="1"/>
  <c r="BD153" i="1"/>
  <c r="BG106" i="1"/>
  <c r="BH106" i="1"/>
  <c r="BD106" i="1"/>
  <c r="BF107" i="1" s="1"/>
  <c r="BD100" i="1"/>
  <c r="BF101" i="1" s="1"/>
  <c r="BH100" i="1"/>
  <c r="BG100" i="1"/>
  <c r="BI100" i="1" s="1"/>
  <c r="BX100" i="1" s="1"/>
  <c r="BD92" i="1"/>
  <c r="BF93" i="1" s="1"/>
  <c r="BH92" i="1"/>
  <c r="BG92" i="1"/>
  <c r="BI92" i="1" s="1"/>
  <c r="BX92" i="1" s="1"/>
  <c r="BD86" i="1"/>
  <c r="BF87" i="1" s="1"/>
  <c r="BH86" i="1"/>
  <c r="BG86" i="1"/>
  <c r="BI86" i="1" s="1"/>
  <c r="BX86" i="1" s="1"/>
  <c r="BD81" i="1"/>
  <c r="BF82" i="1" s="1"/>
  <c r="BH81" i="1"/>
  <c r="BG81" i="1"/>
  <c r="BH73" i="1"/>
  <c r="BD73" i="1"/>
  <c r="BF74" i="1" s="1"/>
  <c r="BG73" i="1"/>
  <c r="BI73" i="1" s="1"/>
  <c r="BX73" i="1" s="1"/>
  <c r="BD59" i="1"/>
  <c r="BF60" i="1" s="1"/>
  <c r="BH59" i="1"/>
  <c r="BG59" i="1"/>
  <c r="BI59" i="1" s="1"/>
  <c r="BX59" i="1" s="1"/>
  <c r="BD54" i="1"/>
  <c r="BF55" i="1" s="1"/>
  <c r="BH54" i="1"/>
  <c r="BG54" i="1"/>
  <c r="BI54" i="1" s="1"/>
  <c r="BX45" i="1"/>
  <c r="BU136" i="1" l="1"/>
  <c r="BX136" i="1" s="1"/>
  <c r="BS126" i="1"/>
  <c r="BT126" i="1"/>
  <c r="BP126" i="1"/>
  <c r="BR127" i="1" s="1"/>
  <c r="BP137" i="1"/>
  <c r="BR138" i="1" s="1"/>
  <c r="BT137" i="1"/>
  <c r="BS137" i="1"/>
  <c r="BU137" i="1" s="1"/>
  <c r="BX137" i="1" s="1"/>
  <c r="BU125" i="1"/>
  <c r="BX125" i="1" s="1"/>
  <c r="BT30" i="1"/>
  <c r="BP30" i="1"/>
  <c r="BR31" i="1" s="1"/>
  <c r="BS30" i="1"/>
  <c r="BU30" i="1" s="1"/>
  <c r="BX30" i="1" s="1"/>
  <c r="BU142" i="1"/>
  <c r="BX142" i="1" s="1"/>
  <c r="BU166" i="1"/>
  <c r="BX166" i="1" s="1"/>
  <c r="BP167" i="1"/>
  <c r="BT167" i="1"/>
  <c r="BS167" i="1"/>
  <c r="BU167" i="1" s="1"/>
  <c r="BX167" i="1" s="1"/>
  <c r="BS150" i="1"/>
  <c r="BP150" i="1"/>
  <c r="BT150" i="1"/>
  <c r="BP143" i="1"/>
  <c r="BR144" i="1" s="1"/>
  <c r="BS143" i="1"/>
  <c r="BT143" i="1"/>
  <c r="BP117" i="1"/>
  <c r="BR118" i="1" s="1"/>
  <c r="BT117" i="1"/>
  <c r="BS117" i="1"/>
  <c r="BU117" i="1" s="1"/>
  <c r="BX117" i="1" s="1"/>
  <c r="BS112" i="1"/>
  <c r="BT112" i="1"/>
  <c r="BP112" i="1"/>
  <c r="BP64" i="1"/>
  <c r="BT64" i="1"/>
  <c r="BS64" i="1"/>
  <c r="BV29" i="1"/>
  <c r="BV30" i="1" s="1"/>
  <c r="BX29" i="1"/>
  <c r="BU43" i="1"/>
  <c r="BX43" i="1" s="1"/>
  <c r="BU116" i="1"/>
  <c r="BX116" i="1" s="1"/>
  <c r="BU111" i="1"/>
  <c r="BX111" i="1" s="1"/>
  <c r="BI81" i="1"/>
  <c r="BX81" i="1" s="1"/>
  <c r="BX24" i="1"/>
  <c r="BY24" i="1" s="1"/>
  <c r="BY25" i="1" s="1"/>
  <c r="BY26" i="1" s="1"/>
  <c r="BY27" i="1" s="1"/>
  <c r="BY28" i="1" s="1"/>
  <c r="BJ24" i="1"/>
  <c r="BJ25" i="1" s="1"/>
  <c r="BJ26" i="1" s="1"/>
  <c r="BJ27" i="1" s="1"/>
  <c r="BJ28" i="1" s="1"/>
  <c r="BJ29" i="1" s="1"/>
  <c r="BJ30" i="1" s="1"/>
  <c r="BJ31" i="1" s="1"/>
  <c r="BJ32" i="1" s="1"/>
  <c r="BJ33" i="1" s="1"/>
  <c r="BJ34" i="1" s="1"/>
  <c r="BJ35" i="1" s="1"/>
  <c r="BJ36" i="1" s="1"/>
  <c r="BJ37" i="1" s="1"/>
  <c r="BJ38" i="1" s="1"/>
  <c r="BJ39" i="1" s="1"/>
  <c r="BJ40" i="1" s="1"/>
  <c r="BJ41" i="1" s="1"/>
  <c r="BJ42" i="1" s="1"/>
  <c r="BJ43" i="1" s="1"/>
  <c r="BJ44" i="1" s="1"/>
  <c r="BJ45" i="1" s="1"/>
  <c r="BJ46" i="1" s="1"/>
  <c r="BJ47" i="1" s="1"/>
  <c r="BJ48" i="1" s="1"/>
  <c r="BJ49" i="1" s="1"/>
  <c r="BJ50" i="1" s="1"/>
  <c r="BJ51" i="1" s="1"/>
  <c r="BJ52" i="1" s="1"/>
  <c r="BJ53" i="1" s="1"/>
  <c r="BJ54" i="1" s="1"/>
  <c r="BD162" i="1"/>
  <c r="BF163" i="1" s="1"/>
  <c r="BG162" i="1"/>
  <c r="BH162" i="1"/>
  <c r="BD107" i="1"/>
  <c r="BF108" i="1" s="1"/>
  <c r="BH107" i="1"/>
  <c r="BG107" i="1"/>
  <c r="BI107" i="1" s="1"/>
  <c r="BX107" i="1" s="1"/>
  <c r="BD101" i="1"/>
  <c r="BF102" i="1" s="1"/>
  <c r="BH101" i="1"/>
  <c r="BG101" i="1"/>
  <c r="BI101" i="1" s="1"/>
  <c r="BX101" i="1" s="1"/>
  <c r="BD93" i="1"/>
  <c r="BF94" i="1" s="1"/>
  <c r="BH93" i="1"/>
  <c r="BG93" i="1"/>
  <c r="BI93" i="1" s="1"/>
  <c r="BX93" i="1" s="1"/>
  <c r="BD87" i="1"/>
  <c r="BF88" i="1" s="1"/>
  <c r="BH87" i="1"/>
  <c r="BG87" i="1"/>
  <c r="BG82" i="1"/>
  <c r="BH82" i="1"/>
  <c r="BD82" i="1"/>
  <c r="BD74" i="1"/>
  <c r="BF75" i="1" s="1"/>
  <c r="BG74" i="1"/>
  <c r="BH74" i="1"/>
  <c r="BD60" i="1"/>
  <c r="BH60" i="1"/>
  <c r="BG60" i="1"/>
  <c r="BI60" i="1" s="1"/>
  <c r="BX60" i="1" s="1"/>
  <c r="BD55" i="1"/>
  <c r="BH55" i="1"/>
  <c r="BG55" i="1"/>
  <c r="BI55" i="1" s="1"/>
  <c r="BX54" i="1"/>
  <c r="BI106" i="1"/>
  <c r="BX106" i="1" s="1"/>
  <c r="BY29" i="1" l="1"/>
  <c r="BY30" i="1" s="1"/>
  <c r="BS127" i="1"/>
  <c r="BT127" i="1"/>
  <c r="BP127" i="1"/>
  <c r="BR128" i="1" s="1"/>
  <c r="BP138" i="1"/>
  <c r="BT138" i="1"/>
  <c r="BS138" i="1"/>
  <c r="BU138" i="1" s="1"/>
  <c r="BX138" i="1" s="1"/>
  <c r="BS31" i="1"/>
  <c r="BT31" i="1"/>
  <c r="BP31" i="1"/>
  <c r="BR32" i="1" s="1"/>
  <c r="BU126" i="1"/>
  <c r="BX126" i="1" s="1"/>
  <c r="BP144" i="1"/>
  <c r="BS144" i="1"/>
  <c r="BT144" i="1"/>
  <c r="BU64" i="1"/>
  <c r="BX64" i="1" s="1"/>
  <c r="BS118" i="1"/>
  <c r="BP118" i="1"/>
  <c r="BR119" i="1" s="1"/>
  <c r="BT118" i="1"/>
  <c r="BU150" i="1"/>
  <c r="BX150" i="1" s="1"/>
  <c r="BU143" i="1"/>
  <c r="BX143" i="1" s="1"/>
  <c r="BU112" i="1"/>
  <c r="BX112" i="1" s="1"/>
  <c r="BJ55" i="1"/>
  <c r="BJ56" i="1" s="1"/>
  <c r="BJ57" i="1" s="1"/>
  <c r="BJ58" i="1" s="1"/>
  <c r="BJ59" i="1" s="1"/>
  <c r="BI87" i="1"/>
  <c r="BX87" i="1" s="1"/>
  <c r="BJ60" i="1"/>
  <c r="BJ61" i="1" s="1"/>
  <c r="BJ62" i="1" s="1"/>
  <c r="BJ63" i="1" s="1"/>
  <c r="BJ64" i="1" s="1"/>
  <c r="BJ65" i="1" s="1"/>
  <c r="BJ66" i="1" s="1"/>
  <c r="BJ67" i="1" s="1"/>
  <c r="BJ68" i="1" s="1"/>
  <c r="BJ69" i="1" s="1"/>
  <c r="BJ70" i="1" s="1"/>
  <c r="BJ71" i="1" s="1"/>
  <c r="BJ72" i="1" s="1"/>
  <c r="BJ73" i="1" s="1"/>
  <c r="BG163" i="1"/>
  <c r="BH163" i="1"/>
  <c r="BD163" i="1"/>
  <c r="BH108" i="1"/>
  <c r="BG108" i="1"/>
  <c r="BI108" i="1" s="1"/>
  <c r="BX108" i="1" s="1"/>
  <c r="BD108" i="1"/>
  <c r="BD102" i="1"/>
  <c r="BH102" i="1"/>
  <c r="BG102" i="1"/>
  <c r="BD94" i="1"/>
  <c r="BF95" i="1" s="1"/>
  <c r="BH94" i="1"/>
  <c r="BG94" i="1"/>
  <c r="BI94" i="1" s="1"/>
  <c r="BX94" i="1" s="1"/>
  <c r="BD88" i="1"/>
  <c r="BH88" i="1"/>
  <c r="BG88" i="1"/>
  <c r="BI88" i="1" s="1"/>
  <c r="BX88" i="1" s="1"/>
  <c r="BH75" i="1"/>
  <c r="BG75" i="1"/>
  <c r="BD75" i="1"/>
  <c r="BF76" i="1" s="1"/>
  <c r="BX55" i="1"/>
  <c r="BI162" i="1"/>
  <c r="BX162" i="1" s="1"/>
  <c r="BI82" i="1"/>
  <c r="BX82" i="1" s="1"/>
  <c r="BI74" i="1"/>
  <c r="BT128" i="1" l="1"/>
  <c r="BS128" i="1"/>
  <c r="BU128" i="1" s="1"/>
  <c r="BX128" i="1" s="1"/>
  <c r="BP128" i="1"/>
  <c r="BR129" i="1" s="1"/>
  <c r="BS32" i="1"/>
  <c r="BT32" i="1"/>
  <c r="BP32" i="1"/>
  <c r="BR33" i="1" s="1"/>
  <c r="BU127" i="1"/>
  <c r="BX127" i="1" s="1"/>
  <c r="BU31" i="1"/>
  <c r="BU144" i="1"/>
  <c r="BX144" i="1" s="1"/>
  <c r="BT119" i="1"/>
  <c r="BS119" i="1"/>
  <c r="BP119" i="1"/>
  <c r="BR120" i="1" s="1"/>
  <c r="BU118" i="1"/>
  <c r="BX118" i="1" s="1"/>
  <c r="BI75" i="1"/>
  <c r="BX75" i="1" s="1"/>
  <c r="BI102" i="1"/>
  <c r="BX102" i="1" s="1"/>
  <c r="BD95" i="1"/>
  <c r="BF96" i="1" s="1"/>
  <c r="BH95" i="1"/>
  <c r="BG95" i="1"/>
  <c r="BI95" i="1" s="1"/>
  <c r="BX95" i="1" s="1"/>
  <c r="BG76" i="1"/>
  <c r="BH76" i="1"/>
  <c r="BD76" i="1"/>
  <c r="BF77" i="1" s="1"/>
  <c r="BJ74" i="1"/>
  <c r="BX74" i="1"/>
  <c r="BI163" i="1"/>
  <c r="BX163" i="1" s="1"/>
  <c r="BU119" i="1" l="1"/>
  <c r="BX119" i="1" s="1"/>
  <c r="BP129" i="1"/>
  <c r="BR130" i="1" s="1"/>
  <c r="BS129" i="1"/>
  <c r="BT129" i="1"/>
  <c r="BS33" i="1"/>
  <c r="BT33" i="1"/>
  <c r="BP33" i="1"/>
  <c r="BR34" i="1" s="1"/>
  <c r="BX31" i="1"/>
  <c r="BY31" i="1" s="1"/>
  <c r="BV31" i="1"/>
  <c r="BU32" i="1"/>
  <c r="BS120" i="1"/>
  <c r="BT120" i="1"/>
  <c r="BP120" i="1"/>
  <c r="BJ75" i="1"/>
  <c r="BI76" i="1"/>
  <c r="BD96" i="1"/>
  <c r="BH96" i="1"/>
  <c r="BG96" i="1"/>
  <c r="BX76" i="1"/>
  <c r="BG77" i="1"/>
  <c r="BH77" i="1"/>
  <c r="BD77" i="1"/>
  <c r="BJ76" i="1"/>
  <c r="BU120" i="1" l="1"/>
  <c r="BX120" i="1" s="1"/>
  <c r="BS130" i="1"/>
  <c r="BP130" i="1"/>
  <c r="BR131" i="1" s="1"/>
  <c r="BT130" i="1"/>
  <c r="BT34" i="1"/>
  <c r="BP34" i="1"/>
  <c r="BR35" i="1" s="1"/>
  <c r="BS34" i="1"/>
  <c r="BU34" i="1" s="1"/>
  <c r="BX34" i="1" s="1"/>
  <c r="BU129" i="1"/>
  <c r="BX129" i="1" s="1"/>
  <c r="BU33" i="1"/>
  <c r="BV32" i="1"/>
  <c r="BV33" i="1" s="1"/>
  <c r="BX32" i="1"/>
  <c r="BY32" i="1" s="1"/>
  <c r="BI96" i="1"/>
  <c r="BX96" i="1" s="1"/>
  <c r="BI77" i="1"/>
  <c r="BV34" i="1" l="1"/>
  <c r="BS131" i="1"/>
  <c r="BT131" i="1"/>
  <c r="BP131" i="1"/>
  <c r="BR132" i="1" s="1"/>
  <c r="BS35" i="1"/>
  <c r="BT35" i="1"/>
  <c r="BP35" i="1"/>
  <c r="BR36" i="1" s="1"/>
  <c r="BU130" i="1"/>
  <c r="BX130" i="1" s="1"/>
  <c r="BX33" i="1"/>
  <c r="BY33" i="1" s="1"/>
  <c r="BY34" i="1" s="1"/>
  <c r="BJ9" i="1"/>
  <c r="BJ10" i="1"/>
  <c r="BJ77" i="1"/>
  <c r="BJ78" i="1" s="1"/>
  <c r="BJ79" i="1" s="1"/>
  <c r="BJ80" i="1" s="1"/>
  <c r="BJ81" i="1" s="1"/>
  <c r="BJ82" i="1" s="1"/>
  <c r="BJ83" i="1" s="1"/>
  <c r="BJ84" i="1" s="1"/>
  <c r="BJ85" i="1" s="1"/>
  <c r="BJ86" i="1" s="1"/>
  <c r="BJ87" i="1" s="1"/>
  <c r="BJ88" i="1" s="1"/>
  <c r="BJ89" i="1" s="1"/>
  <c r="BJ90" i="1" s="1"/>
  <c r="BJ91" i="1" s="1"/>
  <c r="BJ92" i="1" s="1"/>
  <c r="BJ93" i="1" s="1"/>
  <c r="BJ94" i="1" s="1"/>
  <c r="BJ95" i="1" s="1"/>
  <c r="BJ96" i="1" s="1"/>
  <c r="BJ97" i="1" s="1"/>
  <c r="BJ98" i="1" s="1"/>
  <c r="BJ99" i="1" s="1"/>
  <c r="BJ100" i="1" s="1"/>
  <c r="BJ101" i="1" s="1"/>
  <c r="BJ102" i="1" s="1"/>
  <c r="BJ103" i="1" s="1"/>
  <c r="BJ104" i="1" s="1"/>
  <c r="BJ105" i="1" s="1"/>
  <c r="BJ106" i="1" s="1"/>
  <c r="BJ107" i="1" s="1"/>
  <c r="BJ108" i="1" s="1"/>
  <c r="BJ109" i="1" s="1"/>
  <c r="BJ110" i="1" s="1"/>
  <c r="BJ111" i="1" s="1"/>
  <c r="BJ112" i="1" s="1"/>
  <c r="BJ113" i="1" s="1"/>
  <c r="BJ114" i="1" s="1"/>
  <c r="BJ115" i="1" s="1"/>
  <c r="BJ116" i="1" s="1"/>
  <c r="BJ117" i="1" s="1"/>
  <c r="BJ118" i="1" s="1"/>
  <c r="BJ119" i="1" s="1"/>
  <c r="BJ120" i="1" s="1"/>
  <c r="BJ121" i="1" s="1"/>
  <c r="BJ122" i="1" s="1"/>
  <c r="BJ123" i="1" s="1"/>
  <c r="BJ124" i="1" s="1"/>
  <c r="BJ125" i="1" s="1"/>
  <c r="BJ126" i="1" s="1"/>
  <c r="BJ127" i="1" s="1"/>
  <c r="BJ128" i="1" s="1"/>
  <c r="BJ129" i="1" s="1"/>
  <c r="BJ130" i="1" s="1"/>
  <c r="BJ131" i="1" s="1"/>
  <c r="BJ132" i="1" s="1"/>
  <c r="BJ133" i="1" s="1"/>
  <c r="BJ134" i="1" s="1"/>
  <c r="BJ135" i="1" s="1"/>
  <c r="BJ136" i="1" s="1"/>
  <c r="BJ137" i="1" s="1"/>
  <c r="BJ138" i="1" s="1"/>
  <c r="BJ139" i="1" s="1"/>
  <c r="BJ140" i="1" s="1"/>
  <c r="BJ141" i="1" s="1"/>
  <c r="BJ142" i="1" s="1"/>
  <c r="BJ143" i="1" s="1"/>
  <c r="BJ144" i="1" s="1"/>
  <c r="BJ145" i="1" s="1"/>
  <c r="BJ146" i="1" s="1"/>
  <c r="BJ147" i="1" s="1"/>
  <c r="BJ148" i="1" s="1"/>
  <c r="BJ149" i="1" s="1"/>
  <c r="BJ150" i="1" s="1"/>
  <c r="BJ151" i="1" s="1"/>
  <c r="BJ152" i="1" s="1"/>
  <c r="BJ153" i="1" s="1"/>
  <c r="BJ154" i="1" s="1"/>
  <c r="BJ155" i="1" s="1"/>
  <c r="BJ156" i="1" s="1"/>
  <c r="BJ157" i="1" s="1"/>
  <c r="BJ158" i="1" s="1"/>
  <c r="BJ159" i="1" s="1"/>
  <c r="BJ160" i="1" s="1"/>
  <c r="BJ161" i="1" s="1"/>
  <c r="BJ162" i="1" s="1"/>
  <c r="BJ163" i="1" s="1"/>
  <c r="BJ164" i="1" s="1"/>
  <c r="BJ165" i="1" s="1"/>
  <c r="BJ166" i="1" s="1"/>
  <c r="BJ167" i="1" s="1"/>
  <c r="BJ1" i="1" s="1"/>
  <c r="BX77" i="1"/>
  <c r="BT132" i="1" l="1"/>
  <c r="BP132" i="1"/>
  <c r="BS132" i="1"/>
  <c r="BU132" i="1" s="1"/>
  <c r="BX132" i="1" s="1"/>
  <c r="BS36" i="1"/>
  <c r="BT36" i="1"/>
  <c r="BP36" i="1"/>
  <c r="BR37" i="1" s="1"/>
  <c r="BU131" i="1"/>
  <c r="BX131" i="1" s="1"/>
  <c r="BU35" i="1"/>
  <c r="BJ11" i="1"/>
  <c r="CL3" i="1" s="1"/>
  <c r="BS37" i="1" l="1"/>
  <c r="BP37" i="1"/>
  <c r="BR38" i="1" s="1"/>
  <c r="BT37" i="1"/>
  <c r="BX35" i="1"/>
  <c r="BV35" i="1"/>
  <c r="BU36" i="1"/>
  <c r="BV36" i="1" l="1"/>
  <c r="BS38" i="1"/>
  <c r="BP38" i="1"/>
  <c r="BR39" i="1" s="1"/>
  <c r="BT38" i="1"/>
  <c r="BY35" i="1"/>
  <c r="BU37" i="1"/>
  <c r="BX36" i="1"/>
  <c r="BU38" i="1" l="1"/>
  <c r="BX38" i="1" s="1"/>
  <c r="BY36" i="1"/>
  <c r="BS39" i="1"/>
  <c r="BT39" i="1"/>
  <c r="BP39" i="1"/>
  <c r="BV37" i="1"/>
  <c r="BV38" i="1" s="1"/>
  <c r="BX37" i="1"/>
  <c r="BY37" i="1" l="1"/>
  <c r="BY38" i="1" s="1"/>
  <c r="BU39" i="1"/>
  <c r="BX39" i="1" l="1"/>
  <c r="BV9" i="1"/>
  <c r="BV10" i="1"/>
  <c r="BV39" i="1"/>
  <c r="BV40" i="1" s="1"/>
  <c r="BV41" i="1" s="1"/>
  <c r="BV42" i="1" s="1"/>
  <c r="BV43" i="1" s="1"/>
  <c r="BV44" i="1" s="1"/>
  <c r="BV45" i="1" s="1"/>
  <c r="BV46" i="1" s="1"/>
  <c r="BV47" i="1" s="1"/>
  <c r="BV48" i="1" s="1"/>
  <c r="BV49" i="1" s="1"/>
  <c r="BV50" i="1" s="1"/>
  <c r="BV51" i="1" s="1"/>
  <c r="BV52" i="1" s="1"/>
  <c r="BV53" i="1" s="1"/>
  <c r="BV54" i="1" s="1"/>
  <c r="BV55" i="1" s="1"/>
  <c r="BV56" i="1" s="1"/>
  <c r="BV57" i="1" s="1"/>
  <c r="BV58" i="1" s="1"/>
  <c r="BV59" i="1" s="1"/>
  <c r="BV60" i="1" s="1"/>
  <c r="BV61" i="1" s="1"/>
  <c r="BV62" i="1" s="1"/>
  <c r="BV63" i="1" s="1"/>
  <c r="BV64" i="1" s="1"/>
  <c r="BV65" i="1" s="1"/>
  <c r="BV66" i="1" s="1"/>
  <c r="BV67" i="1" s="1"/>
  <c r="BV68" i="1" s="1"/>
  <c r="BV69" i="1" s="1"/>
  <c r="BV70" i="1" s="1"/>
  <c r="BV71" i="1" s="1"/>
  <c r="BV72" i="1" s="1"/>
  <c r="BV73" i="1" s="1"/>
  <c r="BV74" i="1" s="1"/>
  <c r="BV75" i="1" s="1"/>
  <c r="BV76" i="1" s="1"/>
  <c r="BV77" i="1" s="1"/>
  <c r="BV78" i="1" s="1"/>
  <c r="BV79" i="1" s="1"/>
  <c r="BV80" i="1" s="1"/>
  <c r="BV81" i="1" s="1"/>
  <c r="BV82" i="1" s="1"/>
  <c r="BV83" i="1" s="1"/>
  <c r="BV84" i="1" s="1"/>
  <c r="BV85" i="1" s="1"/>
  <c r="BV86" i="1" s="1"/>
  <c r="BV87" i="1" s="1"/>
  <c r="BV88" i="1" s="1"/>
  <c r="BV89" i="1" s="1"/>
  <c r="BV90" i="1" s="1"/>
  <c r="BV91" i="1" s="1"/>
  <c r="BV92" i="1" s="1"/>
  <c r="BV93" i="1" s="1"/>
  <c r="BV94" i="1" s="1"/>
  <c r="BV95" i="1" s="1"/>
  <c r="BV96" i="1" s="1"/>
  <c r="BV97" i="1" s="1"/>
  <c r="BV98" i="1" s="1"/>
  <c r="BV99" i="1" s="1"/>
  <c r="BV100" i="1" s="1"/>
  <c r="BV101" i="1" s="1"/>
  <c r="BV102" i="1" s="1"/>
  <c r="BV103" i="1" s="1"/>
  <c r="BV104" i="1" s="1"/>
  <c r="BV105" i="1" s="1"/>
  <c r="BV106" i="1" s="1"/>
  <c r="BV107" i="1" s="1"/>
  <c r="BV108" i="1" s="1"/>
  <c r="BV109" i="1" s="1"/>
  <c r="BV110" i="1" s="1"/>
  <c r="BV111" i="1" s="1"/>
  <c r="BV112" i="1" s="1"/>
  <c r="BV113" i="1" s="1"/>
  <c r="BV114" i="1" s="1"/>
  <c r="BV115" i="1" s="1"/>
  <c r="BV116" i="1" s="1"/>
  <c r="BV117" i="1" s="1"/>
  <c r="BV118" i="1" s="1"/>
  <c r="BV119" i="1" s="1"/>
  <c r="BV120" i="1" s="1"/>
  <c r="BV121" i="1" s="1"/>
  <c r="BV122" i="1" s="1"/>
  <c r="BV123" i="1" s="1"/>
  <c r="BV124" i="1" s="1"/>
  <c r="BV125" i="1" s="1"/>
  <c r="BV126" i="1" s="1"/>
  <c r="BV127" i="1" s="1"/>
  <c r="BV128" i="1" s="1"/>
  <c r="BV129" i="1" s="1"/>
  <c r="BV130" i="1" s="1"/>
  <c r="BV131" i="1" s="1"/>
  <c r="BV132" i="1" s="1"/>
  <c r="BV133" i="1" s="1"/>
  <c r="BV134" i="1" s="1"/>
  <c r="BV135" i="1" s="1"/>
  <c r="BV136" i="1" s="1"/>
  <c r="BV137" i="1" s="1"/>
  <c r="BV138" i="1" s="1"/>
  <c r="BV139" i="1" s="1"/>
  <c r="BV140" i="1" s="1"/>
  <c r="BV141" i="1" s="1"/>
  <c r="BV142" i="1" s="1"/>
  <c r="BV143" i="1" s="1"/>
  <c r="BV144" i="1" s="1"/>
  <c r="BV145" i="1" s="1"/>
  <c r="BV146" i="1" s="1"/>
  <c r="BV147" i="1" s="1"/>
  <c r="BV148" i="1" s="1"/>
  <c r="BV149" i="1" s="1"/>
  <c r="BV150" i="1" s="1"/>
  <c r="BV151" i="1" s="1"/>
  <c r="BV152" i="1" s="1"/>
  <c r="BV153" i="1" s="1"/>
  <c r="BV154" i="1" s="1"/>
  <c r="BV155" i="1" s="1"/>
  <c r="BV156" i="1" s="1"/>
  <c r="BV157" i="1" s="1"/>
  <c r="BV158" i="1" s="1"/>
  <c r="BV159" i="1" s="1"/>
  <c r="BV160" i="1" s="1"/>
  <c r="BV161" i="1" s="1"/>
  <c r="BV162" i="1" s="1"/>
  <c r="BV163" i="1" s="1"/>
  <c r="BV164" i="1" s="1"/>
  <c r="BV165" i="1" s="1"/>
  <c r="BV166" i="1" s="1"/>
  <c r="BV167" i="1" s="1"/>
  <c r="BV1" i="1" s="1"/>
  <c r="BY39" i="1" l="1"/>
  <c r="BY40" i="1" s="1"/>
  <c r="BY41" i="1" s="1"/>
  <c r="BY42" i="1" s="1"/>
  <c r="BY43" i="1" s="1"/>
  <c r="BY44" i="1" s="1"/>
  <c r="BY45" i="1" s="1"/>
  <c r="BY46" i="1" s="1"/>
  <c r="BY47" i="1" s="1"/>
  <c r="BY48" i="1" s="1"/>
  <c r="BY49" i="1" s="1"/>
  <c r="BY50" i="1" s="1"/>
  <c r="BY51" i="1" s="1"/>
  <c r="BY52" i="1" s="1"/>
  <c r="BY53" i="1" s="1"/>
  <c r="BY54" i="1" s="1"/>
  <c r="BY55" i="1" s="1"/>
  <c r="BY56" i="1" s="1"/>
  <c r="BY57" i="1" s="1"/>
  <c r="BY58" i="1" s="1"/>
  <c r="BY59" i="1" s="1"/>
  <c r="BY60" i="1" s="1"/>
  <c r="BY61" i="1" s="1"/>
  <c r="BY62" i="1" s="1"/>
  <c r="BY63" i="1" s="1"/>
  <c r="BY64" i="1" s="1"/>
  <c r="BY65" i="1" s="1"/>
  <c r="BY66" i="1" s="1"/>
  <c r="BY67" i="1" s="1"/>
  <c r="BY68" i="1" s="1"/>
  <c r="BY69" i="1" s="1"/>
  <c r="BY70" i="1" s="1"/>
  <c r="BY71" i="1" s="1"/>
  <c r="BY72" i="1" s="1"/>
  <c r="BY73" i="1" s="1"/>
  <c r="BY74" i="1" s="1"/>
  <c r="BY75" i="1" s="1"/>
  <c r="BY76" i="1" s="1"/>
  <c r="BY77" i="1" s="1"/>
  <c r="BY78" i="1" s="1"/>
  <c r="BY79" i="1" s="1"/>
  <c r="BY80" i="1" s="1"/>
  <c r="BY81" i="1" s="1"/>
  <c r="BY82" i="1" s="1"/>
  <c r="BY83" i="1" s="1"/>
  <c r="BY84" i="1" s="1"/>
  <c r="BY85" i="1" s="1"/>
  <c r="BY86" i="1" s="1"/>
  <c r="BY87" i="1" s="1"/>
  <c r="BY88" i="1" s="1"/>
  <c r="BY89" i="1" s="1"/>
  <c r="BY90" i="1" s="1"/>
  <c r="BY91" i="1" s="1"/>
  <c r="BY92" i="1" s="1"/>
  <c r="BY93" i="1" s="1"/>
  <c r="BY94" i="1" s="1"/>
  <c r="BY95" i="1" s="1"/>
  <c r="BY96" i="1" s="1"/>
  <c r="BY97" i="1" s="1"/>
  <c r="BY98" i="1" s="1"/>
  <c r="BY99" i="1" s="1"/>
  <c r="BY100" i="1" s="1"/>
  <c r="BY101" i="1" s="1"/>
  <c r="BY102" i="1" s="1"/>
  <c r="BY103" i="1" s="1"/>
  <c r="BY104" i="1" s="1"/>
  <c r="BY105" i="1" s="1"/>
  <c r="BY106" i="1" s="1"/>
  <c r="BY107" i="1" s="1"/>
  <c r="BY108" i="1" s="1"/>
  <c r="BY109" i="1" s="1"/>
  <c r="BY110" i="1" s="1"/>
  <c r="BY111" i="1" s="1"/>
  <c r="BY112" i="1" s="1"/>
  <c r="BY113" i="1" s="1"/>
  <c r="BY114" i="1" s="1"/>
  <c r="BY115" i="1" s="1"/>
  <c r="BY116" i="1" s="1"/>
  <c r="BY117" i="1" s="1"/>
  <c r="BY118" i="1" s="1"/>
  <c r="BY119" i="1" s="1"/>
  <c r="BY120" i="1" s="1"/>
  <c r="BY121" i="1" s="1"/>
  <c r="BY122" i="1" s="1"/>
  <c r="BY123" i="1" s="1"/>
  <c r="BY124" i="1" s="1"/>
  <c r="BY125" i="1" s="1"/>
  <c r="BY126" i="1" s="1"/>
  <c r="BY127" i="1" s="1"/>
  <c r="BY128" i="1" s="1"/>
  <c r="BY129" i="1" s="1"/>
  <c r="BY130" i="1" s="1"/>
  <c r="BY131" i="1" s="1"/>
  <c r="BY132" i="1" s="1"/>
  <c r="BY133" i="1" s="1"/>
  <c r="BY134" i="1" s="1"/>
  <c r="BY135" i="1" s="1"/>
  <c r="BY136" i="1" s="1"/>
  <c r="BY137" i="1" s="1"/>
  <c r="BY138" i="1" s="1"/>
  <c r="BY139" i="1" s="1"/>
  <c r="BY140" i="1" s="1"/>
  <c r="BY141" i="1" s="1"/>
  <c r="BY142" i="1" s="1"/>
  <c r="BY143" i="1" s="1"/>
  <c r="BY144" i="1" s="1"/>
  <c r="BY145" i="1" s="1"/>
  <c r="BY146" i="1" s="1"/>
  <c r="BY147" i="1" s="1"/>
  <c r="BY148" i="1" s="1"/>
  <c r="BY149" i="1" s="1"/>
  <c r="BY150" i="1" s="1"/>
  <c r="BY151" i="1" s="1"/>
  <c r="BY152" i="1" s="1"/>
  <c r="BY153" i="1" s="1"/>
  <c r="BY154" i="1" s="1"/>
  <c r="BY155" i="1" s="1"/>
  <c r="BY156" i="1" s="1"/>
  <c r="BY157" i="1" s="1"/>
  <c r="BY158" i="1" s="1"/>
  <c r="BY159" i="1" s="1"/>
  <c r="BY160" i="1" s="1"/>
  <c r="BY161" i="1" s="1"/>
  <c r="BY162" i="1" s="1"/>
  <c r="BY163" i="1" s="1"/>
  <c r="BY164" i="1" s="1"/>
  <c r="BY165" i="1" s="1"/>
  <c r="BY166" i="1" s="1"/>
  <c r="BY167" i="1" s="1"/>
  <c r="BY1" i="1" s="1"/>
  <c r="BY9" i="1"/>
  <c r="BY10" i="1"/>
  <c r="BV11" i="1"/>
  <c r="CL14" i="1" s="1"/>
  <c r="BY11" i="1" l="1"/>
</calcChain>
</file>

<file path=xl/sharedStrings.xml><?xml version="1.0" encoding="utf-8"?>
<sst xmlns="http://schemas.openxmlformats.org/spreadsheetml/2006/main" count="65" uniqueCount="50">
  <si>
    <t>date</t>
  </si>
  <si>
    <t>ITA</t>
  </si>
  <si>
    <t>XAR</t>
  </si>
  <si>
    <t>ITA log rtn</t>
  </si>
  <si>
    <t>XAR log rtn</t>
  </si>
  <si>
    <t>ITA div</t>
  </si>
  <si>
    <t>ITA div cumsum</t>
  </si>
  <si>
    <t>XAR div</t>
  </si>
  <si>
    <t>XAR div cumsum</t>
  </si>
  <si>
    <t>ITA div adjustment</t>
  </si>
  <si>
    <t>XAR div adjustment</t>
  </si>
  <si>
    <t>ITA*</t>
  </si>
  <si>
    <t>XAR*</t>
  </si>
  <si>
    <t>XAR/ITA</t>
  </si>
  <si>
    <t>XAR/ITA avg</t>
  </si>
  <si>
    <t>XAR/ITA 10 dma</t>
  </si>
  <si>
    <t>XAR/ITA 20 dma</t>
  </si>
  <si>
    <t>ITA x avg</t>
  </si>
  <si>
    <t>ITA x 10 dma</t>
  </si>
  <si>
    <t>ITA x 20 dma</t>
  </si>
  <si>
    <t>log diff ITA x avg / XAR</t>
  </si>
  <si>
    <t>log diff ITA x 10 dma / XAR</t>
  </si>
  <si>
    <t>log diff ITA x 20 dma / XAR</t>
  </si>
  <si>
    <t>XAR*/ITA*</t>
  </si>
  <si>
    <t>XAR*/ITA* avg</t>
  </si>
  <si>
    <t>XAR*/ITA* 10 dma</t>
  </si>
  <si>
    <t>XAR*/ITA* 20 dma</t>
  </si>
  <si>
    <t>ITA* x avg</t>
  </si>
  <si>
    <t>ITA* x 10 dma</t>
  </si>
  <si>
    <t>ITA* x 20 dma</t>
  </si>
  <si>
    <t>log diff ITA* x avg / XAR*</t>
  </si>
  <si>
    <t>log diff ITA* x 10 dma / XAR*</t>
  </si>
  <si>
    <t>log diff ITA* x 20 dma / XAR*</t>
  </si>
  <si>
    <t>enter</t>
  </si>
  <si>
    <t>row</t>
  </si>
  <si>
    <t>ba20</t>
  </si>
  <si>
    <t>col</t>
  </si>
  <si>
    <t>ba21</t>
  </si>
  <si>
    <t>exit</t>
  </si>
  <si>
    <t>bm20</t>
  </si>
  <si>
    <t>bm21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</si>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</sst>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6" formatCode="_(&quot;$&quot;* #,##0.0000_);_(&quot;$&quot;* \(#,##0.0000\);_(&quot;$&quot;* &quot;-&quot;??_);_(@_)"/>
    <numFmt numFmtId="168" formatCode="_(* #,##0.0000_);_(* \(#,##0.0000\);_(* &quot;-&quot;??_);_(@_)"/>
    <numFmt numFmtId="170" formatCode="0.0000%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right"/>
    </xf>
    <xf numFmtId="44" fontId="18" fillId="0" borderId="0" xfId="2" applyFont="1" applyAlignment="1">
      <alignment horizontal="right"/>
    </xf>
    <xf numFmtId="44" fontId="0" fillId="0" borderId="0" xfId="2" applyFont="1"/>
    <xf numFmtId="10" fontId="0" fillId="0" borderId="0" xfId="3" applyNumberFormat="1" applyFont="1"/>
    <xf numFmtId="166" fontId="18" fillId="0" borderId="0" xfId="2" applyNumberFormat="1" applyFont="1" applyAlignment="1">
      <alignment horizontal="right"/>
    </xf>
    <xf numFmtId="166" fontId="0" fillId="0" borderId="0" xfId="2" applyNumberFormat="1" applyFont="1"/>
    <xf numFmtId="43" fontId="0" fillId="0" borderId="0" xfId="1" applyFont="1"/>
    <xf numFmtId="168" fontId="18" fillId="0" borderId="0" xfId="1" applyNumberFormat="1" applyFont="1" applyAlignment="1">
      <alignment horizontal="right"/>
    </xf>
    <xf numFmtId="168" fontId="0" fillId="0" borderId="0" xfId="1" applyNumberFormat="1" applyFont="1"/>
    <xf numFmtId="170" fontId="18" fillId="0" borderId="0" xfId="3" applyNumberFormat="1" applyFont="1" applyAlignment="1">
      <alignment horizontal="right"/>
    </xf>
    <xf numFmtId="170" fontId="0" fillId="0" borderId="0" xfId="3" applyNumberFormat="1" applyFont="1"/>
    <xf numFmtId="0" fontId="18" fillId="0" borderId="0" xfId="0" applyFont="1" applyAlignment="1">
      <alignment horizontal="center"/>
    </xf>
    <xf numFmtId="10" fontId="18" fillId="0" borderId="0" xfId="0" applyNumberFormat="1" applyFont="1" applyAlignment="1">
      <alignment horizontal="right"/>
    </xf>
    <xf numFmtId="43" fontId="16" fillId="0" borderId="0" xfId="1" applyFont="1"/>
    <xf numFmtId="10" fontId="16" fillId="0" borderId="0" xfId="3" applyNumberFormat="1" applyFont="1"/>
    <xf numFmtId="43" fontId="0" fillId="0" borderId="0" xfId="1" applyFont="1" applyBorder="1"/>
    <xf numFmtId="43" fontId="0" fillId="0" borderId="10" xfId="1" applyFont="1" applyBorder="1"/>
    <xf numFmtId="10" fontId="0" fillId="0" borderId="0" xfId="0" applyNumberFormat="1"/>
    <xf numFmtId="44" fontId="19" fillId="0" borderId="0" xfId="2" applyFont="1"/>
    <xf numFmtId="10" fontId="16" fillId="0" borderId="0" xfId="3" applyNumberFormat="1" applyFont="1" applyBorder="1"/>
    <xf numFmtId="10" fontId="18" fillId="33" borderId="0" xfId="2" applyNumberFormat="1" applyFont="1" applyFill="1" applyAlignment="1">
      <alignment horizontal="right"/>
    </xf>
    <xf numFmtId="0" fontId="20" fillId="0" borderId="0" xfId="0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35"/>
              <c:pt idx="0">
                <c:v>0</c:v>
              </c:pt>
              <c:pt idx="1">
                <c:v>2.5655612473939916E-4</c:v>
              </c:pt>
              <c:pt idx="2">
                <c:v>1.2322882204119003E-3</c:v>
              </c:pt>
              <c:pt idx="3">
                <c:v>-5.0947972912353499E-3</c:v>
              </c:pt>
              <c:pt idx="4">
                <c:v>-2.8633555070699951E-4</c:v>
              </c:pt>
              <c:pt idx="5">
                <c:v>-4.5251554042158998E-4</c:v>
              </c:pt>
              <c:pt idx="6">
                <c:v>1.1289511372309206E-3</c:v>
              </c:pt>
              <c:pt idx="7">
                <c:v>-9.8761185406727979E-4</c:v>
              </c:pt>
              <c:pt idx="8">
                <c:v>-5.4727685673478009E-4</c:v>
              </c:pt>
              <c:pt idx="9">
                <c:v>-5.594905262751998E-4</c:v>
              </c:pt>
              <c:pt idx="10">
                <c:v>1.29597048851968E-3</c:v>
              </c:pt>
              <c:pt idx="11">
                <c:v>7.191482242066994E-5</c:v>
              </c:pt>
              <c:pt idx="12">
                <c:v>9.3164059269089015E-4</c:v>
              </c:pt>
              <c:pt idx="13">
                <c:v>5.1716490161134035E-4</c:v>
              </c:pt>
              <c:pt idx="14">
                <c:v>-1.4985850797733808E-3</c:v>
              </c:pt>
              <c:pt idx="15">
                <c:v>1.5122813474586399E-3</c:v>
              </c:pt>
              <c:pt idx="16">
                <c:v>-9.5908364865202999E-4</c:v>
              </c:pt>
              <c:pt idx="17">
                <c:v>1.9681366196250098E-5</c:v>
              </c:pt>
              <c:pt idx="18">
                <c:v>-1.3677455060214019E-3</c:v>
              </c:pt>
              <c:pt idx="19">
                <c:v>-9.5638973534810032E-4</c:v>
              </c:pt>
              <c:pt idx="20">
                <c:v>3.9978956944260007E-4</c:v>
              </c:pt>
              <c:pt idx="21">
                <c:v>3.1650783210060993E-4</c:v>
              </c:pt>
              <c:pt idx="22">
                <c:v>1.3975054026032982E-3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1.6409299811566934E-4</c:v>
              </c:pt>
              <c:pt idx="61">
                <c:v>-3.7065137416799829E-4</c:v>
              </c:pt>
              <c:pt idx="62">
                <c:v>2.2687656697265896E-3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-3.3131496543292987E-4</c:v>
              </c:pt>
              <c:pt idx="74">
                <c:v>3.0042270948379968E-4</c:v>
              </c:pt>
              <c:pt idx="75">
                <c:v>2.0987533391123941E-3</c:v>
              </c:pt>
              <c:pt idx="76">
                <c:v>0</c:v>
              </c:pt>
              <c:pt idx="77">
                <c:v>0</c:v>
              </c:pt>
              <c:pt idx="78">
                <c:v>1.5987367691278594E-3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0</c:v>
              </c:pt>
              <c:pt idx="86">
                <c:v>0</c:v>
              </c:pt>
              <c:pt idx="87">
                <c:v>-4.5036590465891016E-4</c:v>
              </c:pt>
              <c:pt idx="88">
                <c:v>9.9027335604300049E-4</c:v>
              </c:pt>
              <c:pt idx="89">
                <c:v>-1.8314011768762999E-3</c:v>
              </c:pt>
              <c:pt idx="90">
                <c:v>1.0530970198409373E-6</c:v>
              </c:pt>
              <c:pt idx="91">
                <c:v>-1.9532654165801012E-4</c:v>
              </c:pt>
              <c:pt idx="92">
                <c:v>0</c:v>
              </c:pt>
              <c:pt idx="93">
                <c:v>-1.108290123227555E-3</c:v>
              </c:pt>
              <c:pt idx="94">
                <c:v>1.4700961019821004E-3</c:v>
              </c:pt>
              <c:pt idx="95">
                <c:v>1.5765128411539403E-3</c:v>
              </c:pt>
              <c:pt idx="96">
                <c:v>0</c:v>
              </c:pt>
              <c:pt idx="97">
                <c:v>0</c:v>
              </c:pt>
              <c:pt idx="98">
                <c:v>0</c:v>
              </c:pt>
              <c:pt idx="99">
                <c:v>0</c:v>
              </c:pt>
              <c:pt idx="100">
                <c:v>0</c:v>
              </c:pt>
              <c:pt idx="101">
                <c:v>0</c:v>
              </c:pt>
              <c:pt idx="102">
                <c:v>0</c:v>
              </c:pt>
              <c:pt idx="103">
                <c:v>0</c:v>
              </c:pt>
              <c:pt idx="104">
                <c:v>0</c:v>
              </c:pt>
              <c:pt idx="105">
                <c:v>0</c:v>
              </c:pt>
              <c:pt idx="106">
                <c:v>0</c:v>
              </c:pt>
              <c:pt idx="107">
                <c:v>0</c:v>
              </c:pt>
              <c:pt idx="108">
                <c:v>0</c:v>
              </c:pt>
              <c:pt idx="109">
                <c:v>0</c:v>
              </c:pt>
              <c:pt idx="110">
                <c:v>0</c:v>
              </c:pt>
              <c:pt idx="111">
                <c:v>0</c:v>
              </c:pt>
              <c:pt idx="112">
                <c:v>0</c:v>
              </c:pt>
              <c:pt idx="113">
                <c:v>0</c:v>
              </c:pt>
              <c:pt idx="114">
                <c:v>-3.1087123362060973E-4</c:v>
              </c:pt>
              <c:pt idx="115">
                <c:v>-5.3091986857230038E-4</c:v>
              </c:pt>
              <c:pt idx="116">
                <c:v>1.3855393723185942E-4</c:v>
              </c:pt>
              <c:pt idx="117">
                <c:v>6.7049373454159018E-4</c:v>
              </c:pt>
              <c:pt idx="118">
                <c:v>2.0287992299430034E-4</c:v>
              </c:pt>
              <c:pt idx="119">
                <c:v>-6.6965313589710009E-4</c:v>
              </c:pt>
              <c:pt idx="120">
                <c:v>-5.7123927667679982E-4</c:v>
              </c:pt>
              <c:pt idx="121">
                <c:v>-7.5904201566300011E-4</c:v>
              </c:pt>
              <c:pt idx="122">
                <c:v>1.2379197900768031E-4</c:v>
              </c:pt>
              <c:pt idx="123">
                <c:v>1.3552481405523994E-3</c:v>
              </c:pt>
              <c:pt idx="124">
                <c:v>-1.0494934167632301E-3</c:v>
              </c:pt>
              <c:pt idx="125">
                <c:v>4.4458284337378987E-4</c:v>
              </c:pt>
              <c:pt idx="126">
                <c:v>8.6329166118799701E-4</c:v>
              </c:pt>
              <c:pt idx="127">
                <c:v>-1.0430565057380041E-4</c:v>
              </c:pt>
              <c:pt idx="128">
                <c:v>2.5898888172290989E-4</c:v>
              </c:pt>
              <c:pt idx="129">
                <c:v>3.4648672890874501E-3</c:v>
              </c:pt>
              <c:pt idx="130">
                <c:v>0</c:v>
              </c:pt>
              <c:pt idx="131">
                <c:v>0</c:v>
              </c:pt>
              <c:pt idx="132">
                <c:v>0</c:v>
              </c:pt>
              <c:pt idx="133">
                <c:v>0</c:v>
              </c:pt>
              <c:pt idx="13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2DA6-4AEB-B932-0FFC0A451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ITA_XAR_1!$BY$22:$BY$167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1.4662346452878998E-2</c:v>
                </c:pt>
                <c:pt idx="5">
                  <c:v>2.605399151548099E-2</c:v>
                </c:pt>
                <c:pt idx="6">
                  <c:v>2.605399151548099E-2</c:v>
                </c:pt>
                <c:pt idx="7">
                  <c:v>2.605399151548099E-2</c:v>
                </c:pt>
                <c:pt idx="8">
                  <c:v>2.605399151548099E-2</c:v>
                </c:pt>
                <c:pt idx="9">
                  <c:v>2.605399151548099E-2</c:v>
                </c:pt>
                <c:pt idx="10">
                  <c:v>2.605399151548099E-2</c:v>
                </c:pt>
                <c:pt idx="11">
                  <c:v>2.605399151548099E-2</c:v>
                </c:pt>
                <c:pt idx="12">
                  <c:v>2.605399151548099E-2</c:v>
                </c:pt>
                <c:pt idx="13">
                  <c:v>2.605399151548099E-2</c:v>
                </c:pt>
                <c:pt idx="14">
                  <c:v>2.605399151548099E-2</c:v>
                </c:pt>
                <c:pt idx="15">
                  <c:v>2.605399151548099E-2</c:v>
                </c:pt>
                <c:pt idx="16">
                  <c:v>2.605399151548099E-2</c:v>
                </c:pt>
                <c:pt idx="17">
                  <c:v>2.605399151548099E-2</c:v>
                </c:pt>
                <c:pt idx="18">
                  <c:v>2.605399151548099E-2</c:v>
                </c:pt>
                <c:pt idx="19">
                  <c:v>2.605399151548099E-2</c:v>
                </c:pt>
                <c:pt idx="20">
                  <c:v>2.605399151548099E-2</c:v>
                </c:pt>
                <c:pt idx="21">
                  <c:v>2.605399151548099E-2</c:v>
                </c:pt>
                <c:pt idx="22">
                  <c:v>2.605399151548099E-2</c:v>
                </c:pt>
                <c:pt idx="23">
                  <c:v>2.605399151548099E-2</c:v>
                </c:pt>
                <c:pt idx="24">
                  <c:v>2.605399151548099E-2</c:v>
                </c:pt>
                <c:pt idx="25">
                  <c:v>2.605399151548099E-2</c:v>
                </c:pt>
                <c:pt idx="26">
                  <c:v>2.605399151548099E-2</c:v>
                </c:pt>
                <c:pt idx="27">
                  <c:v>2.605399151548099E-2</c:v>
                </c:pt>
                <c:pt idx="28">
                  <c:v>2.605399151548099E-2</c:v>
                </c:pt>
                <c:pt idx="29">
                  <c:v>2.605399151548099E-2</c:v>
                </c:pt>
                <c:pt idx="30">
                  <c:v>2.605399151548099E-2</c:v>
                </c:pt>
                <c:pt idx="31">
                  <c:v>2.605399151548099E-2</c:v>
                </c:pt>
                <c:pt idx="32">
                  <c:v>2.605399151548099E-2</c:v>
                </c:pt>
                <c:pt idx="33">
                  <c:v>2.605399151548099E-2</c:v>
                </c:pt>
                <c:pt idx="34">
                  <c:v>2.605399151548099E-2</c:v>
                </c:pt>
                <c:pt idx="35">
                  <c:v>2.605399151548099E-2</c:v>
                </c:pt>
                <c:pt idx="36">
                  <c:v>2.605399151548099E-2</c:v>
                </c:pt>
                <c:pt idx="37">
                  <c:v>2.605399151548099E-2</c:v>
                </c:pt>
                <c:pt idx="38">
                  <c:v>2.605399151548099E-2</c:v>
                </c:pt>
                <c:pt idx="39">
                  <c:v>2.605399151548099E-2</c:v>
                </c:pt>
                <c:pt idx="40">
                  <c:v>2.605399151548099E-2</c:v>
                </c:pt>
                <c:pt idx="41">
                  <c:v>2.605399151548099E-2</c:v>
                </c:pt>
                <c:pt idx="42">
                  <c:v>2.605399151548099E-2</c:v>
                </c:pt>
                <c:pt idx="43">
                  <c:v>2.605399151548099E-2</c:v>
                </c:pt>
                <c:pt idx="44">
                  <c:v>2.605399151548099E-2</c:v>
                </c:pt>
                <c:pt idx="45">
                  <c:v>2.605399151548099E-2</c:v>
                </c:pt>
                <c:pt idx="46">
                  <c:v>2.605399151548099E-2</c:v>
                </c:pt>
                <c:pt idx="47">
                  <c:v>2.605399151548099E-2</c:v>
                </c:pt>
                <c:pt idx="48">
                  <c:v>2.605399151548099E-2</c:v>
                </c:pt>
                <c:pt idx="49">
                  <c:v>2.605399151548099E-2</c:v>
                </c:pt>
                <c:pt idx="50">
                  <c:v>2.605399151548099E-2</c:v>
                </c:pt>
                <c:pt idx="51">
                  <c:v>2.605399151548099E-2</c:v>
                </c:pt>
                <c:pt idx="52">
                  <c:v>2.605399151548099E-2</c:v>
                </c:pt>
                <c:pt idx="53">
                  <c:v>2.605399151548099E-2</c:v>
                </c:pt>
                <c:pt idx="54">
                  <c:v>2.605399151548099E-2</c:v>
                </c:pt>
                <c:pt idx="55">
                  <c:v>2.605399151548099E-2</c:v>
                </c:pt>
                <c:pt idx="56">
                  <c:v>3.4777314329571568E-2</c:v>
                </c:pt>
                <c:pt idx="57">
                  <c:v>3.936193055974567E-2</c:v>
                </c:pt>
                <c:pt idx="58">
                  <c:v>3.4447582374061786E-2</c:v>
                </c:pt>
                <c:pt idx="59">
                  <c:v>4.728320749188876E-2</c:v>
                </c:pt>
                <c:pt idx="60">
                  <c:v>4.728320749188876E-2</c:v>
                </c:pt>
                <c:pt idx="61">
                  <c:v>4.728320749188876E-2</c:v>
                </c:pt>
                <c:pt idx="62">
                  <c:v>4.728320749188876E-2</c:v>
                </c:pt>
                <c:pt idx="63">
                  <c:v>4.728320749188876E-2</c:v>
                </c:pt>
                <c:pt idx="64">
                  <c:v>4.728320749188876E-2</c:v>
                </c:pt>
                <c:pt idx="65">
                  <c:v>4.728320749188876E-2</c:v>
                </c:pt>
                <c:pt idx="66">
                  <c:v>4.728320749188876E-2</c:v>
                </c:pt>
                <c:pt idx="67">
                  <c:v>4.728320749188876E-2</c:v>
                </c:pt>
                <c:pt idx="68">
                  <c:v>4.728320749188876E-2</c:v>
                </c:pt>
                <c:pt idx="69">
                  <c:v>4.728320749188876E-2</c:v>
                </c:pt>
                <c:pt idx="70">
                  <c:v>4.728320749188876E-2</c:v>
                </c:pt>
                <c:pt idx="71">
                  <c:v>4.728320749188876E-2</c:v>
                </c:pt>
                <c:pt idx="72">
                  <c:v>4.728320749188876E-2</c:v>
                </c:pt>
                <c:pt idx="73">
                  <c:v>4.728320749188876E-2</c:v>
                </c:pt>
                <c:pt idx="74">
                  <c:v>4.728320749188876E-2</c:v>
                </c:pt>
                <c:pt idx="75">
                  <c:v>4.728320749188876E-2</c:v>
                </c:pt>
                <c:pt idx="76">
                  <c:v>4.728320749188876E-2</c:v>
                </c:pt>
                <c:pt idx="77">
                  <c:v>4.728320749188876E-2</c:v>
                </c:pt>
                <c:pt idx="78">
                  <c:v>4.728320749188876E-2</c:v>
                </c:pt>
                <c:pt idx="79">
                  <c:v>4.728320749188876E-2</c:v>
                </c:pt>
                <c:pt idx="80">
                  <c:v>4.728320749188876E-2</c:v>
                </c:pt>
                <c:pt idx="81">
                  <c:v>5.2133251501585827E-2</c:v>
                </c:pt>
                <c:pt idx="82">
                  <c:v>5.6535952538909827E-2</c:v>
                </c:pt>
                <c:pt idx="83">
                  <c:v>5.2214715862943829E-2</c:v>
                </c:pt>
                <c:pt idx="84">
                  <c:v>5.8093662601772733E-2</c:v>
                </c:pt>
                <c:pt idx="85">
                  <c:v>6.223135204920073E-2</c:v>
                </c:pt>
                <c:pt idx="86">
                  <c:v>8.1427306704119309E-2</c:v>
                </c:pt>
                <c:pt idx="87">
                  <c:v>8.1427306704119309E-2</c:v>
                </c:pt>
                <c:pt idx="88">
                  <c:v>8.1427306704119309E-2</c:v>
                </c:pt>
                <c:pt idx="89">
                  <c:v>8.1427306704119309E-2</c:v>
                </c:pt>
                <c:pt idx="90">
                  <c:v>8.1427306704119309E-2</c:v>
                </c:pt>
                <c:pt idx="91">
                  <c:v>8.1427306704119309E-2</c:v>
                </c:pt>
                <c:pt idx="92">
                  <c:v>8.1427306704119309E-2</c:v>
                </c:pt>
                <c:pt idx="93">
                  <c:v>8.1427306704119309E-2</c:v>
                </c:pt>
                <c:pt idx="94">
                  <c:v>8.1427306704119309E-2</c:v>
                </c:pt>
                <c:pt idx="95">
                  <c:v>8.1427306704119309E-2</c:v>
                </c:pt>
                <c:pt idx="96">
                  <c:v>8.1427306704119309E-2</c:v>
                </c:pt>
                <c:pt idx="97">
                  <c:v>8.1427306704119309E-2</c:v>
                </c:pt>
                <c:pt idx="98">
                  <c:v>8.1427306704119309E-2</c:v>
                </c:pt>
                <c:pt idx="99">
                  <c:v>7.7758965117908974E-2</c:v>
                </c:pt>
                <c:pt idx="100">
                  <c:v>8.5080667871878332E-2</c:v>
                </c:pt>
                <c:pt idx="101">
                  <c:v>8.5693552554169508E-2</c:v>
                </c:pt>
                <c:pt idx="102">
                  <c:v>9.6318357228562815E-2</c:v>
                </c:pt>
                <c:pt idx="103">
                  <c:v>9.6318357228562815E-2</c:v>
                </c:pt>
                <c:pt idx="104">
                  <c:v>9.6318357228562815E-2</c:v>
                </c:pt>
                <c:pt idx="105">
                  <c:v>9.6318357228562815E-2</c:v>
                </c:pt>
                <c:pt idx="106">
                  <c:v>9.6318357228562815E-2</c:v>
                </c:pt>
                <c:pt idx="107">
                  <c:v>9.6318357228562815E-2</c:v>
                </c:pt>
                <c:pt idx="108">
                  <c:v>9.6318357228562815E-2</c:v>
                </c:pt>
                <c:pt idx="109">
                  <c:v>9.6318357228562815E-2</c:v>
                </c:pt>
                <c:pt idx="110">
                  <c:v>9.6318357228562815E-2</c:v>
                </c:pt>
                <c:pt idx="111">
                  <c:v>0.10438934758460669</c:v>
                </c:pt>
                <c:pt idx="112">
                  <c:v>9.8612488342995075E-2</c:v>
                </c:pt>
                <c:pt idx="113">
                  <c:v>9.4642067869654276E-2</c:v>
                </c:pt>
                <c:pt idx="114">
                  <c:v>9.3442033988801881E-2</c:v>
                </c:pt>
                <c:pt idx="115">
                  <c:v>0.10264768823317896</c:v>
                </c:pt>
                <c:pt idx="116">
                  <c:v>0.10264768823317896</c:v>
                </c:pt>
                <c:pt idx="117">
                  <c:v>0.10264768823317896</c:v>
                </c:pt>
                <c:pt idx="118">
                  <c:v>0.10264768823317896</c:v>
                </c:pt>
                <c:pt idx="119">
                  <c:v>0.10264768823317896</c:v>
                </c:pt>
                <c:pt idx="120">
                  <c:v>0.10264768823317896</c:v>
                </c:pt>
                <c:pt idx="121">
                  <c:v>0.10264768823317896</c:v>
                </c:pt>
                <c:pt idx="122">
                  <c:v>0.10264768823317896</c:v>
                </c:pt>
                <c:pt idx="123">
                  <c:v>0.1128854234174628</c:v>
                </c:pt>
                <c:pt idx="124">
                  <c:v>0.11417486335138002</c:v>
                </c:pt>
                <c:pt idx="125">
                  <c:v>0.12031487364982972</c:v>
                </c:pt>
                <c:pt idx="126">
                  <c:v>0.12031487364982972</c:v>
                </c:pt>
                <c:pt idx="127">
                  <c:v>0.12031487364982972</c:v>
                </c:pt>
                <c:pt idx="128">
                  <c:v>0.12031487364982972</c:v>
                </c:pt>
                <c:pt idx="129">
                  <c:v>0.12031487364982972</c:v>
                </c:pt>
                <c:pt idx="130">
                  <c:v>0.12031487364982972</c:v>
                </c:pt>
                <c:pt idx="131">
                  <c:v>0.12031487364982972</c:v>
                </c:pt>
                <c:pt idx="132">
                  <c:v>0.11575365852615313</c:v>
                </c:pt>
                <c:pt idx="133">
                  <c:v>0.11228993045419544</c:v>
                </c:pt>
                <c:pt idx="134">
                  <c:v>0.11060203309402544</c:v>
                </c:pt>
                <c:pt idx="135">
                  <c:v>0.10888084476917334</c:v>
                </c:pt>
                <c:pt idx="136">
                  <c:v>0.12786721469120174</c:v>
                </c:pt>
                <c:pt idx="137">
                  <c:v>0.12578080876584463</c:v>
                </c:pt>
                <c:pt idx="138">
                  <c:v>0.13459329907708553</c:v>
                </c:pt>
                <c:pt idx="139">
                  <c:v>0.13014074322908248</c:v>
                </c:pt>
                <c:pt idx="140">
                  <c:v>0.13989064377831067</c:v>
                </c:pt>
                <c:pt idx="141">
                  <c:v>0.13989064377831067</c:v>
                </c:pt>
                <c:pt idx="142">
                  <c:v>0.13989064377831067</c:v>
                </c:pt>
                <c:pt idx="143">
                  <c:v>0.13989064377831067</c:v>
                </c:pt>
                <c:pt idx="144">
                  <c:v>0.13989064377831067</c:v>
                </c:pt>
                <c:pt idx="145">
                  <c:v>0.13989064377831067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6D-4842-AF2A-409830759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ITA_XAR_1!$BJ$22:$BJ$167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8.7233228140905818E-3</c:v>
                </c:pt>
                <c:pt idx="57">
                  <c:v>1.3307939044264682E-2</c:v>
                </c:pt>
                <c:pt idx="58">
                  <c:v>8.3935908585808013E-3</c:v>
                </c:pt>
                <c:pt idx="59">
                  <c:v>2.1229215976407773E-2</c:v>
                </c:pt>
                <c:pt idx="60">
                  <c:v>2.1229215976407773E-2</c:v>
                </c:pt>
                <c:pt idx="61">
                  <c:v>2.1229215976407773E-2</c:v>
                </c:pt>
                <c:pt idx="62">
                  <c:v>2.1229215976407773E-2</c:v>
                </c:pt>
                <c:pt idx="63">
                  <c:v>2.1229215976407773E-2</c:v>
                </c:pt>
                <c:pt idx="64">
                  <c:v>2.1229215976407773E-2</c:v>
                </c:pt>
                <c:pt idx="65">
                  <c:v>2.1229215976407773E-2</c:v>
                </c:pt>
                <c:pt idx="66">
                  <c:v>2.1229215976407773E-2</c:v>
                </c:pt>
                <c:pt idx="67">
                  <c:v>2.1229215976407773E-2</c:v>
                </c:pt>
                <c:pt idx="68">
                  <c:v>2.1229215976407773E-2</c:v>
                </c:pt>
                <c:pt idx="69">
                  <c:v>2.1229215976407773E-2</c:v>
                </c:pt>
                <c:pt idx="70">
                  <c:v>2.1229215976407773E-2</c:v>
                </c:pt>
                <c:pt idx="71">
                  <c:v>2.1229215976407773E-2</c:v>
                </c:pt>
                <c:pt idx="72">
                  <c:v>2.1229215976407773E-2</c:v>
                </c:pt>
                <c:pt idx="73">
                  <c:v>2.1229215976407773E-2</c:v>
                </c:pt>
                <c:pt idx="74">
                  <c:v>2.1229215976407773E-2</c:v>
                </c:pt>
                <c:pt idx="75">
                  <c:v>2.1229215976407773E-2</c:v>
                </c:pt>
                <c:pt idx="76">
                  <c:v>2.1229215976407773E-2</c:v>
                </c:pt>
                <c:pt idx="77">
                  <c:v>2.1229215976407773E-2</c:v>
                </c:pt>
                <c:pt idx="78">
                  <c:v>2.1229215976407773E-2</c:v>
                </c:pt>
                <c:pt idx="79">
                  <c:v>2.1229215976407773E-2</c:v>
                </c:pt>
                <c:pt idx="80">
                  <c:v>2.1229215976407773E-2</c:v>
                </c:pt>
                <c:pt idx="81">
                  <c:v>2.6079259986104837E-2</c:v>
                </c:pt>
                <c:pt idx="82">
                  <c:v>3.0481961023428837E-2</c:v>
                </c:pt>
                <c:pt idx="83">
                  <c:v>2.6160724347462836E-2</c:v>
                </c:pt>
                <c:pt idx="84">
                  <c:v>3.2039671086291736E-2</c:v>
                </c:pt>
                <c:pt idx="85">
                  <c:v>3.6177360533719741E-2</c:v>
                </c:pt>
                <c:pt idx="86">
                  <c:v>5.537331518863832E-2</c:v>
                </c:pt>
                <c:pt idx="87">
                  <c:v>5.537331518863832E-2</c:v>
                </c:pt>
                <c:pt idx="88">
                  <c:v>5.537331518863832E-2</c:v>
                </c:pt>
                <c:pt idx="89">
                  <c:v>5.537331518863832E-2</c:v>
                </c:pt>
                <c:pt idx="90">
                  <c:v>5.537331518863832E-2</c:v>
                </c:pt>
                <c:pt idx="91">
                  <c:v>5.537331518863832E-2</c:v>
                </c:pt>
                <c:pt idx="92">
                  <c:v>5.537331518863832E-2</c:v>
                </c:pt>
                <c:pt idx="93">
                  <c:v>5.537331518863832E-2</c:v>
                </c:pt>
                <c:pt idx="94">
                  <c:v>5.537331518863832E-2</c:v>
                </c:pt>
                <c:pt idx="95">
                  <c:v>5.537331518863832E-2</c:v>
                </c:pt>
                <c:pt idx="96">
                  <c:v>5.537331518863832E-2</c:v>
                </c:pt>
                <c:pt idx="97">
                  <c:v>5.537331518863832E-2</c:v>
                </c:pt>
                <c:pt idx="98">
                  <c:v>5.537331518863832E-2</c:v>
                </c:pt>
                <c:pt idx="99">
                  <c:v>5.537331518863832E-2</c:v>
                </c:pt>
                <c:pt idx="100">
                  <c:v>5.537331518863832E-2</c:v>
                </c:pt>
                <c:pt idx="101">
                  <c:v>5.537331518863832E-2</c:v>
                </c:pt>
                <c:pt idx="102">
                  <c:v>5.537331518863832E-2</c:v>
                </c:pt>
                <c:pt idx="103">
                  <c:v>5.537331518863832E-2</c:v>
                </c:pt>
                <c:pt idx="104">
                  <c:v>5.537331518863832E-2</c:v>
                </c:pt>
                <c:pt idx="105">
                  <c:v>5.537331518863832E-2</c:v>
                </c:pt>
                <c:pt idx="106">
                  <c:v>5.537331518863832E-2</c:v>
                </c:pt>
                <c:pt idx="107">
                  <c:v>5.537331518863832E-2</c:v>
                </c:pt>
                <c:pt idx="108">
                  <c:v>5.537331518863832E-2</c:v>
                </c:pt>
                <c:pt idx="109">
                  <c:v>5.537331518863832E-2</c:v>
                </c:pt>
                <c:pt idx="110">
                  <c:v>5.537331518863832E-2</c:v>
                </c:pt>
                <c:pt idx="111">
                  <c:v>5.537331518863832E-2</c:v>
                </c:pt>
                <c:pt idx="112">
                  <c:v>5.537331518863832E-2</c:v>
                </c:pt>
                <c:pt idx="113">
                  <c:v>5.537331518863832E-2</c:v>
                </c:pt>
                <c:pt idx="114">
                  <c:v>5.537331518863832E-2</c:v>
                </c:pt>
                <c:pt idx="115">
                  <c:v>5.537331518863832E-2</c:v>
                </c:pt>
                <c:pt idx="116">
                  <c:v>5.537331518863832E-2</c:v>
                </c:pt>
                <c:pt idx="117">
                  <c:v>5.537331518863832E-2</c:v>
                </c:pt>
                <c:pt idx="118">
                  <c:v>5.537331518863832E-2</c:v>
                </c:pt>
                <c:pt idx="119">
                  <c:v>5.537331518863832E-2</c:v>
                </c:pt>
                <c:pt idx="120">
                  <c:v>5.537331518863832E-2</c:v>
                </c:pt>
                <c:pt idx="121">
                  <c:v>5.537331518863832E-2</c:v>
                </c:pt>
                <c:pt idx="122">
                  <c:v>5.537331518863832E-2</c:v>
                </c:pt>
                <c:pt idx="123">
                  <c:v>5.537331518863832E-2</c:v>
                </c:pt>
                <c:pt idx="124">
                  <c:v>5.537331518863832E-2</c:v>
                </c:pt>
                <c:pt idx="125">
                  <c:v>5.537331518863832E-2</c:v>
                </c:pt>
                <c:pt idx="126">
                  <c:v>5.537331518863832E-2</c:v>
                </c:pt>
                <c:pt idx="127">
                  <c:v>5.537331518863832E-2</c:v>
                </c:pt>
                <c:pt idx="128">
                  <c:v>5.537331518863832E-2</c:v>
                </c:pt>
                <c:pt idx="129">
                  <c:v>5.537331518863832E-2</c:v>
                </c:pt>
                <c:pt idx="130">
                  <c:v>5.537331518863832E-2</c:v>
                </c:pt>
                <c:pt idx="131">
                  <c:v>5.537331518863832E-2</c:v>
                </c:pt>
                <c:pt idx="132">
                  <c:v>5.0812100064961729E-2</c:v>
                </c:pt>
                <c:pt idx="133">
                  <c:v>4.734837199300404E-2</c:v>
                </c:pt>
                <c:pt idx="134">
                  <c:v>4.5660474632834042E-2</c:v>
                </c:pt>
                <c:pt idx="135">
                  <c:v>4.393928630798194E-2</c:v>
                </c:pt>
                <c:pt idx="136">
                  <c:v>6.2925656230010327E-2</c:v>
                </c:pt>
                <c:pt idx="137">
                  <c:v>6.0839250304653231E-2</c:v>
                </c:pt>
                <c:pt idx="138">
                  <c:v>6.9651740615894131E-2</c:v>
                </c:pt>
                <c:pt idx="139">
                  <c:v>6.5199184767891077E-2</c:v>
                </c:pt>
                <c:pt idx="140">
                  <c:v>7.4949085317119274E-2</c:v>
                </c:pt>
                <c:pt idx="141">
                  <c:v>7.4949085317119274E-2</c:v>
                </c:pt>
                <c:pt idx="142">
                  <c:v>7.4949085317119274E-2</c:v>
                </c:pt>
                <c:pt idx="143">
                  <c:v>7.4949085317119274E-2</c:v>
                </c:pt>
                <c:pt idx="144">
                  <c:v>7.4949085317119274E-2</c:v>
                </c:pt>
                <c:pt idx="145">
                  <c:v>7.4949085317119274E-2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98-4122-9828-7F8638A11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ITA_XAR_1!$BV$22:$BV$167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1.4662346452878998E-2</c:v>
                </c:pt>
                <c:pt idx="5">
                  <c:v>2.605399151548099E-2</c:v>
                </c:pt>
                <c:pt idx="6">
                  <c:v>2.605399151548099E-2</c:v>
                </c:pt>
                <c:pt idx="7">
                  <c:v>2.605399151548099E-2</c:v>
                </c:pt>
                <c:pt idx="8">
                  <c:v>2.605399151548099E-2</c:v>
                </c:pt>
                <c:pt idx="9">
                  <c:v>2.605399151548099E-2</c:v>
                </c:pt>
                <c:pt idx="10">
                  <c:v>2.605399151548099E-2</c:v>
                </c:pt>
                <c:pt idx="11">
                  <c:v>2.605399151548099E-2</c:v>
                </c:pt>
                <c:pt idx="12">
                  <c:v>2.605399151548099E-2</c:v>
                </c:pt>
                <c:pt idx="13">
                  <c:v>2.605399151548099E-2</c:v>
                </c:pt>
                <c:pt idx="14">
                  <c:v>2.605399151548099E-2</c:v>
                </c:pt>
                <c:pt idx="15">
                  <c:v>2.605399151548099E-2</c:v>
                </c:pt>
                <c:pt idx="16">
                  <c:v>2.605399151548099E-2</c:v>
                </c:pt>
                <c:pt idx="17">
                  <c:v>2.605399151548099E-2</c:v>
                </c:pt>
                <c:pt idx="18">
                  <c:v>2.605399151548099E-2</c:v>
                </c:pt>
                <c:pt idx="19">
                  <c:v>2.605399151548099E-2</c:v>
                </c:pt>
                <c:pt idx="20">
                  <c:v>2.605399151548099E-2</c:v>
                </c:pt>
                <c:pt idx="21">
                  <c:v>2.605399151548099E-2</c:v>
                </c:pt>
                <c:pt idx="22">
                  <c:v>2.605399151548099E-2</c:v>
                </c:pt>
                <c:pt idx="23">
                  <c:v>2.605399151548099E-2</c:v>
                </c:pt>
                <c:pt idx="24">
                  <c:v>2.605399151548099E-2</c:v>
                </c:pt>
                <c:pt idx="25">
                  <c:v>2.605399151548099E-2</c:v>
                </c:pt>
                <c:pt idx="26">
                  <c:v>2.605399151548099E-2</c:v>
                </c:pt>
                <c:pt idx="27">
                  <c:v>2.605399151548099E-2</c:v>
                </c:pt>
                <c:pt idx="28">
                  <c:v>2.605399151548099E-2</c:v>
                </c:pt>
                <c:pt idx="29">
                  <c:v>2.605399151548099E-2</c:v>
                </c:pt>
                <c:pt idx="30">
                  <c:v>2.605399151548099E-2</c:v>
                </c:pt>
                <c:pt idx="31">
                  <c:v>2.605399151548099E-2</c:v>
                </c:pt>
                <c:pt idx="32">
                  <c:v>2.605399151548099E-2</c:v>
                </c:pt>
                <c:pt idx="33">
                  <c:v>2.605399151548099E-2</c:v>
                </c:pt>
                <c:pt idx="34">
                  <c:v>2.605399151548099E-2</c:v>
                </c:pt>
                <c:pt idx="35">
                  <c:v>2.605399151548099E-2</c:v>
                </c:pt>
                <c:pt idx="36">
                  <c:v>2.605399151548099E-2</c:v>
                </c:pt>
                <c:pt idx="37">
                  <c:v>2.605399151548099E-2</c:v>
                </c:pt>
                <c:pt idx="38">
                  <c:v>2.605399151548099E-2</c:v>
                </c:pt>
                <c:pt idx="39">
                  <c:v>2.605399151548099E-2</c:v>
                </c:pt>
                <c:pt idx="40">
                  <c:v>2.605399151548099E-2</c:v>
                </c:pt>
                <c:pt idx="41">
                  <c:v>2.605399151548099E-2</c:v>
                </c:pt>
                <c:pt idx="42">
                  <c:v>2.605399151548099E-2</c:v>
                </c:pt>
                <c:pt idx="43">
                  <c:v>2.605399151548099E-2</c:v>
                </c:pt>
                <c:pt idx="44">
                  <c:v>2.605399151548099E-2</c:v>
                </c:pt>
                <c:pt idx="45">
                  <c:v>2.605399151548099E-2</c:v>
                </c:pt>
                <c:pt idx="46">
                  <c:v>2.605399151548099E-2</c:v>
                </c:pt>
                <c:pt idx="47">
                  <c:v>2.605399151548099E-2</c:v>
                </c:pt>
                <c:pt idx="48">
                  <c:v>2.605399151548099E-2</c:v>
                </c:pt>
                <c:pt idx="49">
                  <c:v>2.605399151548099E-2</c:v>
                </c:pt>
                <c:pt idx="50">
                  <c:v>2.605399151548099E-2</c:v>
                </c:pt>
                <c:pt idx="51">
                  <c:v>2.605399151548099E-2</c:v>
                </c:pt>
                <c:pt idx="52">
                  <c:v>2.605399151548099E-2</c:v>
                </c:pt>
                <c:pt idx="53">
                  <c:v>2.605399151548099E-2</c:v>
                </c:pt>
                <c:pt idx="54">
                  <c:v>2.605399151548099E-2</c:v>
                </c:pt>
                <c:pt idx="55">
                  <c:v>2.605399151548099E-2</c:v>
                </c:pt>
                <c:pt idx="56">
                  <c:v>2.605399151548099E-2</c:v>
                </c:pt>
                <c:pt idx="57">
                  <c:v>2.605399151548099E-2</c:v>
                </c:pt>
                <c:pt idx="58">
                  <c:v>2.605399151548099E-2</c:v>
                </c:pt>
                <c:pt idx="59">
                  <c:v>2.605399151548099E-2</c:v>
                </c:pt>
                <c:pt idx="60">
                  <c:v>2.605399151548099E-2</c:v>
                </c:pt>
                <c:pt idx="61">
                  <c:v>2.605399151548099E-2</c:v>
                </c:pt>
                <c:pt idx="62">
                  <c:v>2.605399151548099E-2</c:v>
                </c:pt>
                <c:pt idx="63">
                  <c:v>2.605399151548099E-2</c:v>
                </c:pt>
                <c:pt idx="64">
                  <c:v>2.605399151548099E-2</c:v>
                </c:pt>
                <c:pt idx="65">
                  <c:v>2.605399151548099E-2</c:v>
                </c:pt>
                <c:pt idx="66">
                  <c:v>2.605399151548099E-2</c:v>
                </c:pt>
                <c:pt idx="67">
                  <c:v>2.605399151548099E-2</c:v>
                </c:pt>
                <c:pt idx="68">
                  <c:v>2.605399151548099E-2</c:v>
                </c:pt>
                <c:pt idx="69">
                  <c:v>2.605399151548099E-2</c:v>
                </c:pt>
                <c:pt idx="70">
                  <c:v>2.605399151548099E-2</c:v>
                </c:pt>
                <c:pt idx="71">
                  <c:v>2.605399151548099E-2</c:v>
                </c:pt>
                <c:pt idx="72">
                  <c:v>2.605399151548099E-2</c:v>
                </c:pt>
                <c:pt idx="73">
                  <c:v>2.605399151548099E-2</c:v>
                </c:pt>
                <c:pt idx="74">
                  <c:v>2.605399151548099E-2</c:v>
                </c:pt>
                <c:pt idx="75">
                  <c:v>2.605399151548099E-2</c:v>
                </c:pt>
                <c:pt idx="76">
                  <c:v>2.605399151548099E-2</c:v>
                </c:pt>
                <c:pt idx="77">
                  <c:v>2.605399151548099E-2</c:v>
                </c:pt>
                <c:pt idx="78">
                  <c:v>2.605399151548099E-2</c:v>
                </c:pt>
                <c:pt idx="79">
                  <c:v>2.605399151548099E-2</c:v>
                </c:pt>
                <c:pt idx="80">
                  <c:v>2.605399151548099E-2</c:v>
                </c:pt>
                <c:pt idx="81">
                  <c:v>2.605399151548099E-2</c:v>
                </c:pt>
                <c:pt idx="82">
                  <c:v>2.605399151548099E-2</c:v>
                </c:pt>
                <c:pt idx="83">
                  <c:v>2.605399151548099E-2</c:v>
                </c:pt>
                <c:pt idx="84">
                  <c:v>2.605399151548099E-2</c:v>
                </c:pt>
                <c:pt idx="85">
                  <c:v>2.605399151548099E-2</c:v>
                </c:pt>
                <c:pt idx="86">
                  <c:v>2.605399151548099E-2</c:v>
                </c:pt>
                <c:pt idx="87">
                  <c:v>2.605399151548099E-2</c:v>
                </c:pt>
                <c:pt idx="88">
                  <c:v>2.605399151548099E-2</c:v>
                </c:pt>
                <c:pt idx="89">
                  <c:v>2.605399151548099E-2</c:v>
                </c:pt>
                <c:pt idx="90">
                  <c:v>2.605399151548099E-2</c:v>
                </c:pt>
                <c:pt idx="91">
                  <c:v>2.605399151548099E-2</c:v>
                </c:pt>
                <c:pt idx="92">
                  <c:v>2.605399151548099E-2</c:v>
                </c:pt>
                <c:pt idx="93">
                  <c:v>2.605399151548099E-2</c:v>
                </c:pt>
                <c:pt idx="94">
                  <c:v>2.605399151548099E-2</c:v>
                </c:pt>
                <c:pt idx="95">
                  <c:v>2.605399151548099E-2</c:v>
                </c:pt>
                <c:pt idx="96">
                  <c:v>2.605399151548099E-2</c:v>
                </c:pt>
                <c:pt idx="97">
                  <c:v>2.605399151548099E-2</c:v>
                </c:pt>
                <c:pt idx="98">
                  <c:v>2.605399151548099E-2</c:v>
                </c:pt>
                <c:pt idx="99">
                  <c:v>2.2385649929270651E-2</c:v>
                </c:pt>
                <c:pt idx="100">
                  <c:v>2.9707352683240009E-2</c:v>
                </c:pt>
                <c:pt idx="101">
                  <c:v>3.0320237365531189E-2</c:v>
                </c:pt>
                <c:pt idx="102">
                  <c:v>4.0945042039924488E-2</c:v>
                </c:pt>
                <c:pt idx="103">
                  <c:v>4.0945042039924488E-2</c:v>
                </c:pt>
                <c:pt idx="104">
                  <c:v>4.0945042039924488E-2</c:v>
                </c:pt>
                <c:pt idx="105">
                  <c:v>4.0945042039924488E-2</c:v>
                </c:pt>
                <c:pt idx="106">
                  <c:v>4.0945042039924488E-2</c:v>
                </c:pt>
                <c:pt idx="107">
                  <c:v>4.0945042039924488E-2</c:v>
                </c:pt>
                <c:pt idx="108">
                  <c:v>4.0945042039924488E-2</c:v>
                </c:pt>
                <c:pt idx="109">
                  <c:v>4.0945042039924488E-2</c:v>
                </c:pt>
                <c:pt idx="110">
                  <c:v>4.0945042039924488E-2</c:v>
                </c:pt>
                <c:pt idx="111">
                  <c:v>4.9016032395968356E-2</c:v>
                </c:pt>
                <c:pt idx="112">
                  <c:v>4.3239173154356741E-2</c:v>
                </c:pt>
                <c:pt idx="113">
                  <c:v>3.9268752681015942E-2</c:v>
                </c:pt>
                <c:pt idx="114">
                  <c:v>3.8068718800163555E-2</c:v>
                </c:pt>
                <c:pt idx="115">
                  <c:v>4.7274373044540637E-2</c:v>
                </c:pt>
                <c:pt idx="116">
                  <c:v>4.7274373044540637E-2</c:v>
                </c:pt>
                <c:pt idx="117">
                  <c:v>4.7274373044540637E-2</c:v>
                </c:pt>
                <c:pt idx="118">
                  <c:v>4.7274373044540637E-2</c:v>
                </c:pt>
                <c:pt idx="119">
                  <c:v>4.7274373044540637E-2</c:v>
                </c:pt>
                <c:pt idx="120">
                  <c:v>4.7274373044540637E-2</c:v>
                </c:pt>
                <c:pt idx="121">
                  <c:v>4.7274373044540637E-2</c:v>
                </c:pt>
                <c:pt idx="122">
                  <c:v>4.7274373044540637E-2</c:v>
                </c:pt>
                <c:pt idx="123">
                  <c:v>5.7512108228824466E-2</c:v>
                </c:pt>
                <c:pt idx="124">
                  <c:v>5.8801548162741697E-2</c:v>
                </c:pt>
                <c:pt idx="125">
                  <c:v>6.4941558461191401E-2</c:v>
                </c:pt>
                <c:pt idx="126">
                  <c:v>6.4941558461191401E-2</c:v>
                </c:pt>
                <c:pt idx="127">
                  <c:v>6.4941558461191401E-2</c:v>
                </c:pt>
                <c:pt idx="128">
                  <c:v>6.4941558461191401E-2</c:v>
                </c:pt>
                <c:pt idx="129">
                  <c:v>6.4941558461191401E-2</c:v>
                </c:pt>
                <c:pt idx="130">
                  <c:v>6.4941558461191401E-2</c:v>
                </c:pt>
                <c:pt idx="131">
                  <c:v>6.4941558461191401E-2</c:v>
                </c:pt>
                <c:pt idx="132">
                  <c:v>6.4941558461191401E-2</c:v>
                </c:pt>
                <c:pt idx="133">
                  <c:v>6.4941558461191401E-2</c:v>
                </c:pt>
                <c:pt idx="134">
                  <c:v>6.4941558461191401E-2</c:v>
                </c:pt>
                <c:pt idx="135">
                  <c:v>6.4941558461191401E-2</c:v>
                </c:pt>
                <c:pt idx="136">
                  <c:v>6.4941558461191401E-2</c:v>
                </c:pt>
                <c:pt idx="137">
                  <c:v>6.4941558461191401E-2</c:v>
                </c:pt>
                <c:pt idx="138">
                  <c:v>6.4941558461191401E-2</c:v>
                </c:pt>
                <c:pt idx="139">
                  <c:v>6.4941558461191401E-2</c:v>
                </c:pt>
                <c:pt idx="140">
                  <c:v>6.4941558461191401E-2</c:v>
                </c:pt>
                <c:pt idx="141">
                  <c:v>6.4941558461191401E-2</c:v>
                </c:pt>
                <c:pt idx="142">
                  <c:v>6.4941558461191401E-2</c:v>
                </c:pt>
                <c:pt idx="143">
                  <c:v>6.4941558461191401E-2</c:v>
                </c:pt>
                <c:pt idx="144">
                  <c:v>6.4941558461191401E-2</c:v>
                </c:pt>
                <c:pt idx="145">
                  <c:v>6.4941558461191401E-2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1F-4B15-A0C8-765C0409D0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ITA_XAR_1!$O$1</c:f>
              <c:strCache>
                <c:ptCount val="1"/>
                <c:pt idx="0">
                  <c:v> XAR/ITA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ITA_XAR_1!$O$2:$O$167</c:f>
              <c:numCache>
                <c:formatCode>_(* #,##0.0000_);_(* \(#,##0.0000\);_(* "-"??_);_(@_)</c:formatCode>
                <c:ptCount val="166"/>
                <c:pt idx="0">
                  <c:v>1.1658179450689301</c:v>
                </c:pt>
                <c:pt idx="1">
                  <c:v>1.1658179450689301</c:v>
                </c:pt>
                <c:pt idx="2">
                  <c:v>1.1658179450689301</c:v>
                </c:pt>
                <c:pt idx="3">
                  <c:v>1.1658179450689301</c:v>
                </c:pt>
                <c:pt idx="4">
                  <c:v>1.1658179450689301</c:v>
                </c:pt>
                <c:pt idx="5">
                  <c:v>1.1658179450689301</c:v>
                </c:pt>
                <c:pt idx="6">
                  <c:v>1.1658179450689301</c:v>
                </c:pt>
                <c:pt idx="7">
                  <c:v>1.1658179450689301</c:v>
                </c:pt>
                <c:pt idx="8">
                  <c:v>1.1658179450689301</c:v>
                </c:pt>
                <c:pt idx="9">
                  <c:v>1.1658179450689301</c:v>
                </c:pt>
                <c:pt idx="10">
                  <c:v>1.1658179450689301</c:v>
                </c:pt>
                <c:pt idx="11">
                  <c:v>1.1658179450689301</c:v>
                </c:pt>
                <c:pt idx="12">
                  <c:v>1.1658179450689301</c:v>
                </c:pt>
                <c:pt idx="13">
                  <c:v>1.1658179450689301</c:v>
                </c:pt>
                <c:pt idx="14">
                  <c:v>1.1658179450689301</c:v>
                </c:pt>
                <c:pt idx="15">
                  <c:v>1.1658179450689301</c:v>
                </c:pt>
                <c:pt idx="16">
                  <c:v>1.1658179450689301</c:v>
                </c:pt>
                <c:pt idx="17">
                  <c:v>1.1658179450689301</c:v>
                </c:pt>
                <c:pt idx="18">
                  <c:v>1.1658179450689301</c:v>
                </c:pt>
                <c:pt idx="19">
                  <c:v>1.1658179450689301</c:v>
                </c:pt>
                <c:pt idx="20">
                  <c:v>1.1658179450689301</c:v>
                </c:pt>
                <c:pt idx="21">
                  <c:v>1.1658179450689301</c:v>
                </c:pt>
                <c:pt idx="22">
                  <c:v>1.1658179450689301</c:v>
                </c:pt>
                <c:pt idx="23">
                  <c:v>1.1658179450689301</c:v>
                </c:pt>
                <c:pt idx="24">
                  <c:v>1.1658179450689301</c:v>
                </c:pt>
                <c:pt idx="25">
                  <c:v>1.1658179450689301</c:v>
                </c:pt>
                <c:pt idx="26">
                  <c:v>1.1658179450689301</c:v>
                </c:pt>
                <c:pt idx="27">
                  <c:v>1.1658179450689301</c:v>
                </c:pt>
                <c:pt idx="28">
                  <c:v>1.1658179450689301</c:v>
                </c:pt>
                <c:pt idx="29">
                  <c:v>1.1658179450689301</c:v>
                </c:pt>
                <c:pt idx="30">
                  <c:v>1.1658179450689301</c:v>
                </c:pt>
                <c:pt idx="31">
                  <c:v>1.1658179450689301</c:v>
                </c:pt>
                <c:pt idx="32">
                  <c:v>1.1658179450689301</c:v>
                </c:pt>
                <c:pt idx="33">
                  <c:v>1.1658179450689301</c:v>
                </c:pt>
                <c:pt idx="34">
                  <c:v>1.1658179450689301</c:v>
                </c:pt>
                <c:pt idx="35">
                  <c:v>1.1658179450689301</c:v>
                </c:pt>
                <c:pt idx="36">
                  <c:v>1.1658179450689301</c:v>
                </c:pt>
                <c:pt idx="37">
                  <c:v>1.1658179450689301</c:v>
                </c:pt>
                <c:pt idx="38">
                  <c:v>1.1658179450689301</c:v>
                </c:pt>
                <c:pt idx="39">
                  <c:v>1.1658179450689301</c:v>
                </c:pt>
                <c:pt idx="40">
                  <c:v>1.1658179450689301</c:v>
                </c:pt>
                <c:pt idx="41">
                  <c:v>1.1658179450689301</c:v>
                </c:pt>
                <c:pt idx="42">
                  <c:v>1.1658179450689301</c:v>
                </c:pt>
                <c:pt idx="43">
                  <c:v>1.1658179450689301</c:v>
                </c:pt>
                <c:pt idx="44">
                  <c:v>1.1658179450689301</c:v>
                </c:pt>
                <c:pt idx="45">
                  <c:v>1.1658179450689301</c:v>
                </c:pt>
                <c:pt idx="46">
                  <c:v>1.1658179450689301</c:v>
                </c:pt>
                <c:pt idx="47">
                  <c:v>1.1658179450689301</c:v>
                </c:pt>
                <c:pt idx="48">
                  <c:v>1.1658179450689301</c:v>
                </c:pt>
                <c:pt idx="49">
                  <c:v>1.1658179450689301</c:v>
                </c:pt>
                <c:pt idx="50">
                  <c:v>1.1658179450689301</c:v>
                </c:pt>
                <c:pt idx="51">
                  <c:v>1.1658179450689301</c:v>
                </c:pt>
                <c:pt idx="52">
                  <c:v>1.1658179450689301</c:v>
                </c:pt>
                <c:pt idx="53">
                  <c:v>1.1658179450689301</c:v>
                </c:pt>
                <c:pt idx="54">
                  <c:v>1.1658179450689301</c:v>
                </c:pt>
                <c:pt idx="55">
                  <c:v>1.1658179450689301</c:v>
                </c:pt>
                <c:pt idx="56">
                  <c:v>1.1658179450689301</c:v>
                </c:pt>
                <c:pt idx="57">
                  <c:v>1.1658179450689301</c:v>
                </c:pt>
                <c:pt idx="58">
                  <c:v>1.1658179450689301</c:v>
                </c:pt>
                <c:pt idx="59">
                  <c:v>1.1658179450689301</c:v>
                </c:pt>
                <c:pt idx="60">
                  <c:v>1.1658179450689301</c:v>
                </c:pt>
                <c:pt idx="61">
                  <c:v>1.1658179450689301</c:v>
                </c:pt>
                <c:pt idx="62">
                  <c:v>1.1658179450689301</c:v>
                </c:pt>
                <c:pt idx="63">
                  <c:v>1.1658179450689301</c:v>
                </c:pt>
                <c:pt idx="64">
                  <c:v>1.1658179450689301</c:v>
                </c:pt>
                <c:pt idx="65">
                  <c:v>1.1658179450689301</c:v>
                </c:pt>
                <c:pt idx="66">
                  <c:v>1.1658179450689301</c:v>
                </c:pt>
                <c:pt idx="67">
                  <c:v>1.1658179450689301</c:v>
                </c:pt>
                <c:pt idx="68">
                  <c:v>1.1658179450689301</c:v>
                </c:pt>
                <c:pt idx="69">
                  <c:v>1.1658179450689301</c:v>
                </c:pt>
                <c:pt idx="70">
                  <c:v>1.1658179450689301</c:v>
                </c:pt>
                <c:pt idx="71">
                  <c:v>1.1658179450689301</c:v>
                </c:pt>
                <c:pt idx="72">
                  <c:v>1.1658179450689301</c:v>
                </c:pt>
                <c:pt idx="73">
                  <c:v>1.1658179450689301</c:v>
                </c:pt>
                <c:pt idx="74">
                  <c:v>1.1658179450689301</c:v>
                </c:pt>
                <c:pt idx="75">
                  <c:v>1.1658179450689301</c:v>
                </c:pt>
                <c:pt idx="76">
                  <c:v>1.1658179450689301</c:v>
                </c:pt>
                <c:pt idx="77">
                  <c:v>1.1658179450689301</c:v>
                </c:pt>
                <c:pt idx="78">
                  <c:v>1.1658179450689301</c:v>
                </c:pt>
                <c:pt idx="79">
                  <c:v>1.1658179450689301</c:v>
                </c:pt>
                <c:pt idx="80">
                  <c:v>1.1658179450689301</c:v>
                </c:pt>
                <c:pt idx="81">
                  <c:v>1.1658179450689301</c:v>
                </c:pt>
                <c:pt idx="82">
                  <c:v>1.1658179450689301</c:v>
                </c:pt>
                <c:pt idx="83">
                  <c:v>1.1658179450689301</c:v>
                </c:pt>
                <c:pt idx="84">
                  <c:v>1.1658179450689301</c:v>
                </c:pt>
                <c:pt idx="85">
                  <c:v>1.1658179450689301</c:v>
                </c:pt>
                <c:pt idx="86">
                  <c:v>1.1658179450689301</c:v>
                </c:pt>
                <c:pt idx="87">
                  <c:v>1.1658179450689301</c:v>
                </c:pt>
                <c:pt idx="88">
                  <c:v>1.1658179450689301</c:v>
                </c:pt>
                <c:pt idx="89">
                  <c:v>1.1658179450689301</c:v>
                </c:pt>
                <c:pt idx="90">
                  <c:v>1.1658179450689301</c:v>
                </c:pt>
                <c:pt idx="91">
                  <c:v>1.1658179450689301</c:v>
                </c:pt>
                <c:pt idx="92">
                  <c:v>1.1658179450689301</c:v>
                </c:pt>
                <c:pt idx="93">
                  <c:v>1.1658179450689301</c:v>
                </c:pt>
                <c:pt idx="94">
                  <c:v>1.1658179450689301</c:v>
                </c:pt>
                <c:pt idx="95">
                  <c:v>1.1658179450689301</c:v>
                </c:pt>
                <c:pt idx="96">
                  <c:v>1.1658179450689301</c:v>
                </c:pt>
                <c:pt idx="97">
                  <c:v>1.1658179450689301</c:v>
                </c:pt>
                <c:pt idx="98">
                  <c:v>1.1658179450689301</c:v>
                </c:pt>
                <c:pt idx="99">
                  <c:v>1.1658179450689301</c:v>
                </c:pt>
                <c:pt idx="100">
                  <c:v>1.1658179450689301</c:v>
                </c:pt>
                <c:pt idx="101">
                  <c:v>1.1658179450689301</c:v>
                </c:pt>
                <c:pt idx="102">
                  <c:v>1.1658179450689301</c:v>
                </c:pt>
                <c:pt idx="103">
                  <c:v>1.1658179450689301</c:v>
                </c:pt>
                <c:pt idx="104">
                  <c:v>1.1658179450689301</c:v>
                </c:pt>
                <c:pt idx="105">
                  <c:v>1.1658179450689301</c:v>
                </c:pt>
                <c:pt idx="106">
                  <c:v>1.1658179450689301</c:v>
                </c:pt>
                <c:pt idx="107">
                  <c:v>1.1658179450689301</c:v>
                </c:pt>
                <c:pt idx="108">
                  <c:v>1.1658179450689301</c:v>
                </c:pt>
                <c:pt idx="109">
                  <c:v>1.1658179450689301</c:v>
                </c:pt>
                <c:pt idx="110">
                  <c:v>1.1658179450689301</c:v>
                </c:pt>
                <c:pt idx="111">
                  <c:v>1.1658179450689301</c:v>
                </c:pt>
                <c:pt idx="112">
                  <c:v>1.1658179450689301</c:v>
                </c:pt>
                <c:pt idx="113">
                  <c:v>1.1658179450689301</c:v>
                </c:pt>
                <c:pt idx="114">
                  <c:v>1.1658179450689301</c:v>
                </c:pt>
                <c:pt idx="115">
                  <c:v>1.1658179450689301</c:v>
                </c:pt>
                <c:pt idx="116">
                  <c:v>1.1658179450689301</c:v>
                </c:pt>
                <c:pt idx="117">
                  <c:v>1.1658179450689301</c:v>
                </c:pt>
                <c:pt idx="118">
                  <c:v>1.1658179450689301</c:v>
                </c:pt>
                <c:pt idx="119">
                  <c:v>1.1658179450689301</c:v>
                </c:pt>
                <c:pt idx="120">
                  <c:v>1.1658179450689301</c:v>
                </c:pt>
                <c:pt idx="121">
                  <c:v>1.1658179450689301</c:v>
                </c:pt>
                <c:pt idx="122">
                  <c:v>1.1658179450689301</c:v>
                </c:pt>
                <c:pt idx="123">
                  <c:v>1.1658179450689301</c:v>
                </c:pt>
                <c:pt idx="124">
                  <c:v>1.1658179450689301</c:v>
                </c:pt>
                <c:pt idx="125">
                  <c:v>1.1658179450689301</c:v>
                </c:pt>
                <c:pt idx="126">
                  <c:v>1.1658179450689301</c:v>
                </c:pt>
                <c:pt idx="127">
                  <c:v>1.1658179450689301</c:v>
                </c:pt>
                <c:pt idx="128">
                  <c:v>1.1658179450689301</c:v>
                </c:pt>
                <c:pt idx="129">
                  <c:v>1.1658179450689301</c:v>
                </c:pt>
                <c:pt idx="130">
                  <c:v>1.1658179450689301</c:v>
                </c:pt>
                <c:pt idx="131">
                  <c:v>1.1658179450689301</c:v>
                </c:pt>
                <c:pt idx="132">
                  <c:v>1.1658179450689301</c:v>
                </c:pt>
                <c:pt idx="133">
                  <c:v>1.1658179450689301</c:v>
                </c:pt>
                <c:pt idx="134">
                  <c:v>1.1658179450689301</c:v>
                </c:pt>
                <c:pt idx="135">
                  <c:v>1.1658179450689301</c:v>
                </c:pt>
                <c:pt idx="136">
                  <c:v>1.1658179450689301</c:v>
                </c:pt>
                <c:pt idx="137">
                  <c:v>1.1658179450689301</c:v>
                </c:pt>
                <c:pt idx="138">
                  <c:v>1.1658179450689301</c:v>
                </c:pt>
                <c:pt idx="139">
                  <c:v>1.1658179450689301</c:v>
                </c:pt>
                <c:pt idx="140">
                  <c:v>1.1658179450689301</c:v>
                </c:pt>
                <c:pt idx="141">
                  <c:v>1.1658179450689301</c:v>
                </c:pt>
                <c:pt idx="142">
                  <c:v>1.1658179450689301</c:v>
                </c:pt>
                <c:pt idx="143">
                  <c:v>1.1658179450689301</c:v>
                </c:pt>
                <c:pt idx="144">
                  <c:v>1.1658179450689301</c:v>
                </c:pt>
                <c:pt idx="145">
                  <c:v>1.1658179450689301</c:v>
                </c:pt>
                <c:pt idx="146">
                  <c:v>1.1658179450689301</c:v>
                </c:pt>
                <c:pt idx="147">
                  <c:v>1.1658179450689301</c:v>
                </c:pt>
                <c:pt idx="148">
                  <c:v>1.1658179450689301</c:v>
                </c:pt>
                <c:pt idx="149">
                  <c:v>1.1658179450689301</c:v>
                </c:pt>
                <c:pt idx="150">
                  <c:v>1.1658179450689301</c:v>
                </c:pt>
                <c:pt idx="151">
                  <c:v>1.1658179450689301</c:v>
                </c:pt>
                <c:pt idx="152">
                  <c:v>1.1658179450689301</c:v>
                </c:pt>
                <c:pt idx="153">
                  <c:v>1.1658179450689301</c:v>
                </c:pt>
                <c:pt idx="154">
                  <c:v>1.1658179450689301</c:v>
                </c:pt>
                <c:pt idx="155">
                  <c:v>1.1658179450689301</c:v>
                </c:pt>
                <c:pt idx="156">
                  <c:v>1.1658179450689301</c:v>
                </c:pt>
                <c:pt idx="157">
                  <c:v>1.1658179450689301</c:v>
                </c:pt>
                <c:pt idx="158">
                  <c:v>1.1658179450689301</c:v>
                </c:pt>
                <c:pt idx="159">
                  <c:v>1.1658179450689301</c:v>
                </c:pt>
                <c:pt idx="160">
                  <c:v>1.1658179450689301</c:v>
                </c:pt>
                <c:pt idx="161">
                  <c:v>1.1658179450689301</c:v>
                </c:pt>
                <c:pt idx="162">
                  <c:v>1.1658179450689301</c:v>
                </c:pt>
                <c:pt idx="163">
                  <c:v>1.1658179450689301</c:v>
                </c:pt>
                <c:pt idx="164">
                  <c:v>1.1658179450689301</c:v>
                </c:pt>
                <c:pt idx="165">
                  <c:v>1.1658179450689301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CC-46D8-822D-519BAFFA5C21}"/>
            </c:ext>
          </c:extLst>
        </c:ser>
        <c:ser>
          <c:idx val="1"/>
          <c:order val="1"/>
          <c:tx>
            <c:strRef>
              <c:f>ITA_XAR_1!$P$1</c:f>
              <c:strCache>
                <c:ptCount val="1"/>
                <c:pt idx="0">
                  <c:v> XAR/ITA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ITA_XAR_1!$P$2:$P$167</c:f>
              <c:numCache>
                <c:formatCode>_(* #,##0.0000_);_(* \(#,##0.0000\);_(* "-"??_);_(@_)</c:formatCode>
                <c:ptCount val="166"/>
                <c:pt idx="9">
                  <c:v>1.17292210610485</c:v>
                </c:pt>
                <c:pt idx="10">
                  <c:v>1.18022300195384</c:v>
                </c:pt>
                <c:pt idx="11">
                  <c:v>1.1846799803957</c:v>
                </c:pt>
                <c:pt idx="12">
                  <c:v>1.1878307373015</c:v>
                </c:pt>
                <c:pt idx="13">
                  <c:v>1.19288351653196</c:v>
                </c:pt>
                <c:pt idx="14">
                  <c:v>1.19520351782948</c:v>
                </c:pt>
                <c:pt idx="15">
                  <c:v>1.1964389047086501</c:v>
                </c:pt>
                <c:pt idx="16">
                  <c:v>1.1979838718882301</c:v>
                </c:pt>
                <c:pt idx="17">
                  <c:v>1.1999956653718999</c:v>
                </c:pt>
                <c:pt idx="18">
                  <c:v>1.19991911260461</c:v>
                </c:pt>
                <c:pt idx="19">
                  <c:v>1.1973661351840099</c:v>
                </c:pt>
                <c:pt idx="20">
                  <c:v>1.1942008702087601</c:v>
                </c:pt>
                <c:pt idx="21">
                  <c:v>1.19354909233754</c:v>
                </c:pt>
                <c:pt idx="22">
                  <c:v>1.19097940100345</c:v>
                </c:pt>
                <c:pt idx="23">
                  <c:v>1.1846165032806699</c:v>
                </c:pt>
                <c:pt idx="24">
                  <c:v>1.1805226782828999</c:v>
                </c:pt>
                <c:pt idx="25">
                  <c:v>1.1782480605734</c:v>
                </c:pt>
                <c:pt idx="26">
                  <c:v>1.1745231722395499</c:v>
                </c:pt>
                <c:pt idx="27">
                  <c:v>1.1695876406853101</c:v>
                </c:pt>
                <c:pt idx="28">
                  <c:v>1.16531656534494</c:v>
                </c:pt>
                <c:pt idx="29">
                  <c:v>1.1631175517908401</c:v>
                </c:pt>
                <c:pt idx="30">
                  <c:v>1.16103234947567</c:v>
                </c:pt>
                <c:pt idx="31">
                  <c:v>1.15809326712913</c:v>
                </c:pt>
                <c:pt idx="32">
                  <c:v>1.15873520962758</c:v>
                </c:pt>
                <c:pt idx="33">
                  <c:v>1.1598005299722201</c:v>
                </c:pt>
                <c:pt idx="34">
                  <c:v>1.1590253918142099</c:v>
                </c:pt>
                <c:pt idx="35">
                  <c:v>1.1576909098636501</c:v>
                </c:pt>
                <c:pt idx="36">
                  <c:v>1.15742262468931</c:v>
                </c:pt>
                <c:pt idx="37">
                  <c:v>1.1587091089538499</c:v>
                </c:pt>
                <c:pt idx="38">
                  <c:v>1.1596850168713</c:v>
                </c:pt>
                <c:pt idx="39">
                  <c:v>1.16010087721262</c:v>
                </c:pt>
                <c:pt idx="40">
                  <c:v>1.1613293540719101</c:v>
                </c:pt>
                <c:pt idx="41">
                  <c:v>1.1617984334551801</c:v>
                </c:pt>
                <c:pt idx="42">
                  <c:v>1.1611070912952799</c:v>
                </c:pt>
                <c:pt idx="43">
                  <c:v>1.16067698662001</c:v>
                </c:pt>
                <c:pt idx="44">
                  <c:v>1.1616713003722801</c:v>
                </c:pt>
                <c:pt idx="45">
                  <c:v>1.16124788277712</c:v>
                </c:pt>
                <c:pt idx="46">
                  <c:v>1.16119091612888</c:v>
                </c:pt>
                <c:pt idx="47">
                  <c:v>1.1603908515757</c:v>
                </c:pt>
                <c:pt idx="48">
                  <c:v>1.1599391482878501</c:v>
                </c:pt>
                <c:pt idx="49">
                  <c:v>1.1605904386343899</c:v>
                </c:pt>
                <c:pt idx="50">
                  <c:v>1.1620678312561701</c:v>
                </c:pt>
                <c:pt idx="51">
                  <c:v>1.1629018279886101</c:v>
                </c:pt>
                <c:pt idx="52">
                  <c:v>1.16466249486438</c:v>
                </c:pt>
                <c:pt idx="53">
                  <c:v>1.16566789943226</c:v>
                </c:pt>
                <c:pt idx="54">
                  <c:v>1.16675707483005</c:v>
                </c:pt>
                <c:pt idx="55">
                  <c:v>1.16833984500887</c:v>
                </c:pt>
                <c:pt idx="56">
                  <c:v>1.1701296340209599</c:v>
                </c:pt>
                <c:pt idx="57">
                  <c:v>1.17085819075359</c:v>
                </c:pt>
                <c:pt idx="58">
                  <c:v>1.17120080831646</c:v>
                </c:pt>
                <c:pt idx="59">
                  <c:v>1.1697899573174799</c:v>
                </c:pt>
                <c:pt idx="60">
                  <c:v>1.16835108986977</c:v>
                </c:pt>
                <c:pt idx="61">
                  <c:v>1.16747167828434</c:v>
                </c:pt>
                <c:pt idx="62">
                  <c:v>1.1665515509109801</c:v>
                </c:pt>
                <c:pt idx="63">
                  <c:v>1.1673016278455499</c:v>
                </c:pt>
                <c:pt idx="64">
                  <c:v>1.1660830162848901</c:v>
                </c:pt>
                <c:pt idx="65">
                  <c:v>1.1655744834391799</c:v>
                </c:pt>
                <c:pt idx="66">
                  <c:v>1.1636699423610299</c:v>
                </c:pt>
                <c:pt idx="67">
                  <c:v>1.1635234845833999</c:v>
                </c:pt>
                <c:pt idx="68">
                  <c:v>1.1651211932438099</c:v>
                </c:pt>
                <c:pt idx="69">
                  <c:v>1.1676373112279399</c:v>
                </c:pt>
                <c:pt idx="70">
                  <c:v>1.1692543905930199</c:v>
                </c:pt>
                <c:pt idx="71">
                  <c:v>1.17205528313499</c:v>
                </c:pt>
                <c:pt idx="72">
                  <c:v>1.1742400603869401</c:v>
                </c:pt>
                <c:pt idx="73">
                  <c:v>1.1763642326655901</c:v>
                </c:pt>
                <c:pt idx="74">
                  <c:v>1.1797909082372999</c:v>
                </c:pt>
                <c:pt idx="75">
                  <c:v>1.1831978284597</c:v>
                </c:pt>
                <c:pt idx="76">
                  <c:v>1.1864520329078101</c:v>
                </c:pt>
                <c:pt idx="77">
                  <c:v>1.1886672502145299</c:v>
                </c:pt>
                <c:pt idx="78">
                  <c:v>1.19050871948413</c:v>
                </c:pt>
                <c:pt idx="79">
                  <c:v>1.19097180348229</c:v>
                </c:pt>
                <c:pt idx="80">
                  <c:v>1.19042608496655</c:v>
                </c:pt>
                <c:pt idx="81">
                  <c:v>1.18995626145599</c:v>
                </c:pt>
                <c:pt idx="82">
                  <c:v>1.1893701385531099</c:v>
                </c:pt>
                <c:pt idx="83">
                  <c:v>1.1890354637037199</c:v>
                </c:pt>
                <c:pt idx="84">
                  <c:v>1.1876496708786899</c:v>
                </c:pt>
                <c:pt idx="85">
                  <c:v>1.1868429770691999</c:v>
                </c:pt>
                <c:pt idx="86">
                  <c:v>1.1855490933860999</c:v>
                </c:pt>
                <c:pt idx="87">
                  <c:v>1.18546472427168</c:v>
                </c:pt>
                <c:pt idx="88">
                  <c:v>1.1852512096226999</c:v>
                </c:pt>
                <c:pt idx="89">
                  <c:v>1.18644329778516</c:v>
                </c:pt>
                <c:pt idx="90">
                  <c:v>1.18893805365955</c:v>
                </c:pt>
                <c:pt idx="91">
                  <c:v>1.1912612060921499</c:v>
                </c:pt>
                <c:pt idx="92">
                  <c:v>1.1926945654850001</c:v>
                </c:pt>
                <c:pt idx="93">
                  <c:v>1.19335175688396</c:v>
                </c:pt>
                <c:pt idx="94">
                  <c:v>1.19369261447021</c:v>
                </c:pt>
                <c:pt idx="95">
                  <c:v>1.1934272396630601</c:v>
                </c:pt>
                <c:pt idx="96">
                  <c:v>1.1947063030384799</c:v>
                </c:pt>
                <c:pt idx="97">
                  <c:v>1.1962803602255301</c:v>
                </c:pt>
                <c:pt idx="98">
                  <c:v>1.1975822433101</c:v>
                </c:pt>
                <c:pt idx="99">
                  <c:v>1.1994992209846</c:v>
                </c:pt>
                <c:pt idx="100">
                  <c:v>1.20274683901972</c:v>
                </c:pt>
                <c:pt idx="101">
                  <c:v>1.20418086171394</c:v>
                </c:pt>
                <c:pt idx="102">
                  <c:v>1.20596028373847</c:v>
                </c:pt>
                <c:pt idx="103">
                  <c:v>1.2087585175196101</c:v>
                </c:pt>
                <c:pt idx="104">
                  <c:v>1.21151184396571</c:v>
                </c:pt>
                <c:pt idx="105">
                  <c:v>1.2132501158467499</c:v>
                </c:pt>
                <c:pt idx="106">
                  <c:v>1.21267474313134</c:v>
                </c:pt>
                <c:pt idx="107">
                  <c:v>1.2116432495776699</c:v>
                </c:pt>
                <c:pt idx="108">
                  <c:v>1.20976132174201</c:v>
                </c:pt>
                <c:pt idx="109">
                  <c:v>1.20736819119446</c:v>
                </c:pt>
                <c:pt idx="110">
                  <c:v>1.2049331298807799</c:v>
                </c:pt>
                <c:pt idx="111">
                  <c:v>1.20236174043892</c:v>
                </c:pt>
                <c:pt idx="112">
                  <c:v>1.1996945836228201</c:v>
                </c:pt>
                <c:pt idx="113">
                  <c:v>1.1950365348795999</c:v>
                </c:pt>
                <c:pt idx="114">
                  <c:v>1.1910677127161999</c:v>
                </c:pt>
                <c:pt idx="115">
                  <c:v>1.1889273474770701</c:v>
                </c:pt>
                <c:pt idx="116">
                  <c:v>1.18812107955737</c:v>
                </c:pt>
                <c:pt idx="117">
                  <c:v>1.18552162909262</c:v>
                </c:pt>
                <c:pt idx="118">
                  <c:v>1.1822279708571299</c:v>
                </c:pt>
                <c:pt idx="119">
                  <c:v>1.17852556900918</c:v>
                </c:pt>
                <c:pt idx="120">
                  <c:v>1.1737989957172501</c:v>
                </c:pt>
                <c:pt idx="121">
                  <c:v>1.16987443673446</c:v>
                </c:pt>
                <c:pt idx="122">
                  <c:v>1.16782023106177</c:v>
                </c:pt>
                <c:pt idx="123">
                  <c:v>1.1670795287243201</c:v>
                </c:pt>
                <c:pt idx="124">
                  <c:v>1.16531397258993</c:v>
                </c:pt>
                <c:pt idx="125">
                  <c:v>1.1618907461982499</c:v>
                </c:pt>
                <c:pt idx="126">
                  <c:v>1.1578653275089601</c:v>
                </c:pt>
                <c:pt idx="127">
                  <c:v>1.1554417001199799</c:v>
                </c:pt>
                <c:pt idx="128">
                  <c:v>1.1544083997583201</c:v>
                </c:pt>
                <c:pt idx="129">
                  <c:v>1.15304450157077</c:v>
                </c:pt>
                <c:pt idx="130">
                  <c:v>1.1496761119958201</c:v>
                </c:pt>
                <c:pt idx="131">
                  <c:v>1.1471475146094301</c:v>
                </c:pt>
                <c:pt idx="132">
                  <c:v>1.1427290751452099</c:v>
                </c:pt>
                <c:pt idx="133">
                  <c:v>1.13801424686956</c:v>
                </c:pt>
                <c:pt idx="134">
                  <c:v>1.1342174510859</c:v>
                </c:pt>
                <c:pt idx="135">
                  <c:v>1.1317883651156699</c:v>
                </c:pt>
                <c:pt idx="136">
                  <c:v>1.1331358961490501</c:v>
                </c:pt>
                <c:pt idx="137">
                  <c:v>1.13322502021445</c:v>
                </c:pt>
                <c:pt idx="138">
                  <c:v>1.1324857326250199</c:v>
                </c:pt>
                <c:pt idx="139">
                  <c:v>1.13095898651089</c:v>
                </c:pt>
                <c:pt idx="140">
                  <c:v>1.13052536246334</c:v>
                </c:pt>
                <c:pt idx="141">
                  <c:v>1.1282225653196101</c:v>
                </c:pt>
                <c:pt idx="142">
                  <c:v>1.12482386692576</c:v>
                </c:pt>
                <c:pt idx="143">
                  <c:v>1.1229957375313799</c:v>
                </c:pt>
                <c:pt idx="144">
                  <c:v>1.12144458240548</c:v>
                </c:pt>
                <c:pt idx="145">
                  <c:v>1.1195376729493201</c:v>
                </c:pt>
                <c:pt idx="146">
                  <c:v>1.1167724504098799</c:v>
                </c:pt>
                <c:pt idx="147">
                  <c:v>1.1142235957523301</c:v>
                </c:pt>
                <c:pt idx="148">
                  <c:v>1.1138295988817699</c:v>
                </c:pt>
                <c:pt idx="149">
                  <c:v>1.1161962786376201</c:v>
                </c:pt>
                <c:pt idx="150">
                  <c:v>1.11903816628075</c:v>
                </c:pt>
                <c:pt idx="151">
                  <c:v>1.12409137006328</c:v>
                </c:pt>
                <c:pt idx="152">
                  <c:v>1.1314236422607</c:v>
                </c:pt>
                <c:pt idx="153">
                  <c:v>1.13803621811983</c:v>
                </c:pt>
                <c:pt idx="154">
                  <c:v>1.1447040090085601</c:v>
                </c:pt>
                <c:pt idx="155">
                  <c:v>1.1508930169848399</c:v>
                </c:pt>
                <c:pt idx="156">
                  <c:v>1.15352650161896</c:v>
                </c:pt>
                <c:pt idx="157">
                  <c:v>1.1571316579376301</c:v>
                </c:pt>
                <c:pt idx="158">
                  <c:v>1.15836791314638</c:v>
                </c:pt>
                <c:pt idx="159">
                  <c:v>1.1588943910145399</c:v>
                </c:pt>
                <c:pt idx="160">
                  <c:v>1.15789761674273</c:v>
                </c:pt>
                <c:pt idx="161">
                  <c:v>1.1548864359887601</c:v>
                </c:pt>
                <c:pt idx="162">
                  <c:v>1.15111152992091</c:v>
                </c:pt>
                <c:pt idx="163">
                  <c:v>1.1476968603169599</c:v>
                </c:pt>
                <c:pt idx="164">
                  <c:v>1.1429572624071</c:v>
                </c:pt>
                <c:pt idx="165">
                  <c:v>1.1379090340826099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CC-46D8-822D-519BAFFA5C21}"/>
            </c:ext>
          </c:extLst>
        </c:ser>
        <c:ser>
          <c:idx val="2"/>
          <c:order val="2"/>
          <c:tx>
            <c:strRef>
              <c:f>ITA_XAR_1!$Q$1</c:f>
              <c:strCache>
                <c:ptCount val="1"/>
                <c:pt idx="0">
                  <c:v> XAR/ITA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ITA_XAR_1!$Q$2:$Q$167</c:f>
              <c:numCache>
                <c:formatCode>_(* #,##0.0000_);_(* \(#,##0.0000\);_(* "-"??_);_(@_)</c:formatCode>
                <c:ptCount val="166"/>
                <c:pt idx="19">
                  <c:v>1.18514412064443</c:v>
                </c:pt>
                <c:pt idx="20">
                  <c:v>1.1872119360813</c:v>
                </c:pt>
                <c:pt idx="21">
                  <c:v>1.18911453636662</c:v>
                </c:pt>
                <c:pt idx="22">
                  <c:v>1.18940506915247</c:v>
                </c:pt>
                <c:pt idx="23">
                  <c:v>1.18875000990632</c:v>
                </c:pt>
                <c:pt idx="24">
                  <c:v>1.1878630980561899</c:v>
                </c:pt>
                <c:pt idx="25">
                  <c:v>1.1873434826410301</c:v>
                </c:pt>
                <c:pt idx="26">
                  <c:v>1.1862535220638899</c:v>
                </c:pt>
                <c:pt idx="27">
                  <c:v>1.1847916530286</c:v>
                </c:pt>
                <c:pt idx="28">
                  <c:v>1.1826178389747699</c:v>
                </c:pt>
                <c:pt idx="29">
                  <c:v>1.18024184348743</c:v>
                </c:pt>
                <c:pt idx="30">
                  <c:v>1.1776166098422101</c:v>
                </c:pt>
                <c:pt idx="31">
                  <c:v>1.17582117973333</c:v>
                </c:pt>
                <c:pt idx="32">
                  <c:v>1.17485730531551</c:v>
                </c:pt>
                <c:pt idx="33">
                  <c:v>1.17220851662644</c:v>
                </c:pt>
                <c:pt idx="34">
                  <c:v>1.1697740350485499</c:v>
                </c:pt>
                <c:pt idx="35">
                  <c:v>1.1679694852185301</c:v>
                </c:pt>
                <c:pt idx="36">
                  <c:v>1.16597289846443</c:v>
                </c:pt>
                <c:pt idx="37">
                  <c:v>1.16414837481958</c:v>
                </c:pt>
                <c:pt idx="38">
                  <c:v>1.16250079110812</c:v>
                </c:pt>
                <c:pt idx="39">
                  <c:v>1.16160921450173</c:v>
                </c:pt>
                <c:pt idx="40">
                  <c:v>1.16118085177379</c:v>
                </c:pt>
                <c:pt idx="41">
                  <c:v>1.15994585029216</c:v>
                </c:pt>
                <c:pt idx="42">
                  <c:v>1.15992115046143</c:v>
                </c:pt>
                <c:pt idx="43">
                  <c:v>1.16023875829611</c:v>
                </c:pt>
                <c:pt idx="44">
                  <c:v>1.16034834609325</c:v>
                </c:pt>
                <c:pt idx="45">
                  <c:v>1.1594693963203799</c:v>
                </c:pt>
                <c:pt idx="46">
                  <c:v>1.1593067704091</c:v>
                </c:pt>
                <c:pt idx="47">
                  <c:v>1.15954998026477</c:v>
                </c:pt>
                <c:pt idx="48">
                  <c:v>1.1598120825795699</c:v>
                </c:pt>
                <c:pt idx="49">
                  <c:v>1.1603456579235001</c:v>
                </c:pt>
                <c:pt idx="50">
                  <c:v>1.16169859266404</c:v>
                </c:pt>
                <c:pt idx="51">
                  <c:v>1.1623501307219</c:v>
                </c:pt>
                <c:pt idx="52">
                  <c:v>1.1628847930798301</c:v>
                </c:pt>
                <c:pt idx="53">
                  <c:v>1.1631724430261401</c:v>
                </c:pt>
                <c:pt idx="54">
                  <c:v>1.16421418760117</c:v>
                </c:pt>
                <c:pt idx="55">
                  <c:v>1.16479386389299</c:v>
                </c:pt>
                <c:pt idx="56">
                  <c:v>1.1656602750749201</c:v>
                </c:pt>
                <c:pt idx="57">
                  <c:v>1.1656245211646501</c:v>
                </c:pt>
                <c:pt idx="58">
                  <c:v>1.16556997830215</c:v>
                </c:pt>
                <c:pt idx="59">
                  <c:v>1.16519019797593</c:v>
                </c:pt>
                <c:pt idx="60">
                  <c:v>1.1652094605629699</c:v>
                </c:pt>
                <c:pt idx="61">
                  <c:v>1.1651867531364699</c:v>
                </c:pt>
                <c:pt idx="62">
                  <c:v>1.16560702288768</c:v>
                </c:pt>
                <c:pt idx="63">
                  <c:v>1.1664847636389</c:v>
                </c:pt>
                <c:pt idx="64">
                  <c:v>1.16642004555747</c:v>
                </c:pt>
                <c:pt idx="65">
                  <c:v>1.16695716422402</c:v>
                </c:pt>
                <c:pt idx="66">
                  <c:v>1.1668997881909899</c:v>
                </c:pt>
                <c:pt idx="67">
                  <c:v>1.1671908376684901</c:v>
                </c:pt>
                <c:pt idx="68">
                  <c:v>1.16816100078014</c:v>
                </c:pt>
                <c:pt idx="69">
                  <c:v>1.16871363427271</c:v>
                </c:pt>
                <c:pt idx="70">
                  <c:v>1.1688027402314001</c:v>
                </c:pt>
                <c:pt idx="71">
                  <c:v>1.16976348070967</c:v>
                </c:pt>
                <c:pt idx="72">
                  <c:v>1.1703958056489601</c:v>
                </c:pt>
                <c:pt idx="73">
                  <c:v>1.1718329302555699</c:v>
                </c:pt>
                <c:pt idx="74">
                  <c:v>1.1729369622610899</c:v>
                </c:pt>
                <c:pt idx="75">
                  <c:v>1.17438615594944</c:v>
                </c:pt>
                <c:pt idx="76">
                  <c:v>1.17506098763442</c:v>
                </c:pt>
                <c:pt idx="77">
                  <c:v>1.17609536739896</c:v>
                </c:pt>
                <c:pt idx="78">
                  <c:v>1.1778149563639699</c:v>
                </c:pt>
                <c:pt idx="79">
                  <c:v>1.17930455735512</c:v>
                </c:pt>
                <c:pt idx="80">
                  <c:v>1.1798402377797901</c:v>
                </c:pt>
                <c:pt idx="81">
                  <c:v>1.1810057722954901</c:v>
                </c:pt>
                <c:pt idx="82">
                  <c:v>1.18180509947002</c:v>
                </c:pt>
                <c:pt idx="83">
                  <c:v>1.18269984818465</c:v>
                </c:pt>
                <c:pt idx="84">
                  <c:v>1.1837202895579899</c:v>
                </c:pt>
                <c:pt idx="85">
                  <c:v>1.18502040276445</c:v>
                </c:pt>
                <c:pt idx="86">
                  <c:v>1.1860005631469499</c:v>
                </c:pt>
                <c:pt idx="87">
                  <c:v>1.18706598724311</c:v>
                </c:pt>
                <c:pt idx="88">
                  <c:v>1.1878799645534199</c:v>
                </c:pt>
                <c:pt idx="89">
                  <c:v>1.1887075506337199</c:v>
                </c:pt>
                <c:pt idx="90">
                  <c:v>1.1896820693130501</c:v>
                </c:pt>
                <c:pt idx="91">
                  <c:v>1.1906087337740701</c:v>
                </c:pt>
                <c:pt idx="92">
                  <c:v>1.19103235201905</c:v>
                </c:pt>
                <c:pt idx="93">
                  <c:v>1.1911936102938401</c:v>
                </c:pt>
                <c:pt idx="94">
                  <c:v>1.1906711426744501</c:v>
                </c:pt>
                <c:pt idx="95">
                  <c:v>1.19013510836613</c:v>
                </c:pt>
                <c:pt idx="96">
                  <c:v>1.1901276982122899</c:v>
                </c:pt>
                <c:pt idx="97">
                  <c:v>1.1908725422486</c:v>
                </c:pt>
                <c:pt idx="98">
                  <c:v>1.1914167264664</c:v>
                </c:pt>
                <c:pt idx="99">
                  <c:v>1.19297125938488</c:v>
                </c:pt>
                <c:pt idx="100">
                  <c:v>1.19584244633963</c:v>
                </c:pt>
                <c:pt idx="101">
                  <c:v>1.19772103390305</c:v>
                </c:pt>
                <c:pt idx="102">
                  <c:v>1.19932742461174</c:v>
                </c:pt>
                <c:pt idx="103">
                  <c:v>1.2010551372017899</c:v>
                </c:pt>
                <c:pt idx="104">
                  <c:v>1.2026022292179599</c:v>
                </c:pt>
                <c:pt idx="105">
                  <c:v>1.20333867775491</c:v>
                </c:pt>
                <c:pt idx="106">
                  <c:v>1.20369052308491</c:v>
                </c:pt>
                <c:pt idx="107">
                  <c:v>1.2039618049016001</c:v>
                </c:pt>
                <c:pt idx="108">
                  <c:v>1.2036717825260499</c:v>
                </c:pt>
                <c:pt idx="109">
                  <c:v>1.2034337060895299</c:v>
                </c:pt>
                <c:pt idx="110">
                  <c:v>1.2038399844502501</c:v>
                </c:pt>
                <c:pt idx="111">
                  <c:v>1.20327130107643</c:v>
                </c:pt>
                <c:pt idx="112">
                  <c:v>1.2028274336806399</c:v>
                </c:pt>
                <c:pt idx="113">
                  <c:v>1.2018975261996101</c:v>
                </c:pt>
                <c:pt idx="114">
                  <c:v>1.20128977834096</c:v>
                </c:pt>
                <c:pt idx="115">
                  <c:v>1.2010887316619101</c:v>
                </c:pt>
                <c:pt idx="116">
                  <c:v>1.2003979113443599</c:v>
                </c:pt>
                <c:pt idx="117">
                  <c:v>1.1985824393351501</c:v>
                </c:pt>
                <c:pt idx="118">
                  <c:v>1.1959946462995701</c:v>
                </c:pt>
                <c:pt idx="119">
                  <c:v>1.1929468801018199</c:v>
                </c:pt>
                <c:pt idx="120">
                  <c:v>1.1893660627990199</c:v>
                </c:pt>
                <c:pt idx="121">
                  <c:v>1.18611808858669</c:v>
                </c:pt>
                <c:pt idx="122">
                  <c:v>1.1837574073422901</c:v>
                </c:pt>
                <c:pt idx="123">
                  <c:v>1.1810580318019599</c:v>
                </c:pt>
                <c:pt idx="124">
                  <c:v>1.1781908426530701</c:v>
                </c:pt>
                <c:pt idx="125">
                  <c:v>1.1754090468376599</c:v>
                </c:pt>
                <c:pt idx="126">
                  <c:v>1.1729932035331601</c:v>
                </c:pt>
                <c:pt idx="127">
                  <c:v>1.1704816646063001</c:v>
                </c:pt>
                <c:pt idx="128">
                  <c:v>1.16831818530773</c:v>
                </c:pt>
                <c:pt idx="129">
                  <c:v>1.1657850352899799</c:v>
                </c:pt>
                <c:pt idx="130">
                  <c:v>1.16173755385654</c:v>
                </c:pt>
                <c:pt idx="131">
                  <c:v>1.1585109756719401</c:v>
                </c:pt>
                <c:pt idx="132">
                  <c:v>1.1552746531034901</c:v>
                </c:pt>
                <c:pt idx="133">
                  <c:v>1.15254688779694</c:v>
                </c:pt>
                <c:pt idx="134">
                  <c:v>1.1497657118379101</c:v>
                </c:pt>
                <c:pt idx="135">
                  <c:v>1.1468395556569599</c:v>
                </c:pt>
                <c:pt idx="136">
                  <c:v>1.1455006118290101</c:v>
                </c:pt>
                <c:pt idx="137">
                  <c:v>1.1443333601672201</c:v>
                </c:pt>
                <c:pt idx="138">
                  <c:v>1.14344706619167</c:v>
                </c:pt>
                <c:pt idx="139">
                  <c:v>1.1420017440408301</c:v>
                </c:pt>
                <c:pt idx="140">
                  <c:v>1.1401007372295799</c:v>
                </c:pt>
                <c:pt idx="141">
                  <c:v>1.13768503996452</c:v>
                </c:pt>
                <c:pt idx="142">
                  <c:v>1.1337764710354801</c:v>
                </c:pt>
                <c:pt idx="143">
                  <c:v>1.13050499220047</c:v>
                </c:pt>
                <c:pt idx="144">
                  <c:v>1.12783101674569</c:v>
                </c:pt>
                <c:pt idx="145">
                  <c:v>1.1256630190325001</c:v>
                </c:pt>
                <c:pt idx="146">
                  <c:v>1.1249541732794599</c:v>
                </c:pt>
                <c:pt idx="147">
                  <c:v>1.1237243079833901</c:v>
                </c:pt>
                <c:pt idx="148">
                  <c:v>1.1231576657533899</c:v>
                </c:pt>
                <c:pt idx="149">
                  <c:v>1.1235776325742599</c:v>
                </c:pt>
                <c:pt idx="150">
                  <c:v>1.1247817643720499</c:v>
                </c:pt>
                <c:pt idx="151">
                  <c:v>1.12615696769144</c:v>
                </c:pt>
                <c:pt idx="152">
                  <c:v>1.1281237545932301</c:v>
                </c:pt>
                <c:pt idx="153">
                  <c:v>1.1305159778256</c:v>
                </c:pt>
                <c:pt idx="154">
                  <c:v>1.1330742957070199</c:v>
                </c:pt>
                <c:pt idx="155">
                  <c:v>1.1352153449670801</c:v>
                </c:pt>
                <c:pt idx="156">
                  <c:v>1.1351494760144201</c:v>
                </c:pt>
                <c:pt idx="157">
                  <c:v>1.13567762684498</c:v>
                </c:pt>
                <c:pt idx="158">
                  <c:v>1.1360987560140801</c:v>
                </c:pt>
                <c:pt idx="159">
                  <c:v>1.13754533482608</c:v>
                </c:pt>
                <c:pt idx="160">
                  <c:v>1.1384678915117401</c:v>
                </c:pt>
                <c:pt idx="161">
                  <c:v>1.13948890302602</c:v>
                </c:pt>
                <c:pt idx="162">
                  <c:v>1.1412675860907999</c:v>
                </c:pt>
                <c:pt idx="163">
                  <c:v>1.1428665392183901</c:v>
                </c:pt>
                <c:pt idx="164">
                  <c:v>1.1438306357078301</c:v>
                </c:pt>
                <c:pt idx="165">
                  <c:v>1.14440102553372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CC-46D8-822D-519BAFFA5C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ITA_XAR_1!$AE$1</c:f>
              <c:strCache>
                <c:ptCount val="1"/>
                <c:pt idx="0">
                  <c:v>log diff ITA* x avg / XAR*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ITA_XAR_1!$AE$2:$AE$167</c:f>
              <c:numCache>
                <c:formatCode>0.0000%</c:formatCode>
                <c:ptCount val="166"/>
                <c:pt idx="1">
                  <c:v>1.40984862538906E-2</c:v>
                </c:pt>
                <c:pt idx="2">
                  <c:v>8.3989270727383401E-3</c:v>
                </c:pt>
                <c:pt idx="3">
                  <c:v>5.0693755326319803E-3</c:v>
                </c:pt>
                <c:pt idx="4">
                  <c:v>-1.3361114442584801E-2</c:v>
                </c:pt>
                <c:pt idx="5">
                  <c:v>-1.8415429581231699E-2</c:v>
                </c:pt>
                <c:pt idx="6">
                  <c:v>-1.8447229590502299E-2</c:v>
                </c:pt>
                <c:pt idx="7">
                  <c:v>-1.6155816017336701E-2</c:v>
                </c:pt>
                <c:pt idx="8">
                  <c:v>-2.4452623919025699E-2</c:v>
                </c:pt>
                <c:pt idx="9">
                  <c:v>-2.90609282961449E-2</c:v>
                </c:pt>
                <c:pt idx="10">
                  <c:v>-2.9667782819276799E-2</c:v>
                </c:pt>
                <c:pt idx="11">
                  <c:v>-2.39431637015316E-2</c:v>
                </c:pt>
                <c:pt idx="12">
                  <c:v>-1.84912117161646E-2</c:v>
                </c:pt>
                <c:pt idx="13">
                  <c:v>-3.7571144800578903E-2</c:v>
                </c:pt>
                <c:pt idx="14">
                  <c:v>-3.2807493284859497E-2</c:v>
                </c:pt>
                <c:pt idx="15">
                  <c:v>-2.8765387996724401E-2</c:v>
                </c:pt>
                <c:pt idx="16">
                  <c:v>-3.1373716079603403E-2</c:v>
                </c:pt>
                <c:pt idx="17">
                  <c:v>-3.2993731347565398E-2</c:v>
                </c:pt>
                <c:pt idx="18">
                  <c:v>-2.38116163116412E-2</c:v>
                </c:pt>
                <c:pt idx="19">
                  <c:v>-7.5593991060598298E-3</c:v>
                </c:pt>
                <c:pt idx="20">
                  <c:v>-2.9564447918581302E-3</c:v>
                </c:pt>
                <c:pt idx="21">
                  <c:v>-1.8469576984785799E-2</c:v>
                </c:pt>
                <c:pt idx="22">
                  <c:v>3.3851351189551201E-3</c:v>
                </c:pt>
                <c:pt idx="23">
                  <c:v>1.64288769781239E-2</c:v>
                </c:pt>
                <c:pt idx="24">
                  <c:v>1.7665305252448399E-3</c:v>
                </c:pt>
                <c:pt idx="25">
                  <c:v>-9.6251145373570691E-3</c:v>
                </c:pt>
                <c:pt idx="26">
                  <c:v>8.0794054209649803E-5</c:v>
                </c:pt>
                <c:pt idx="27">
                  <c:v>8.83149087477067E-3</c:v>
                </c:pt>
                <c:pt idx="28">
                  <c:v>1.26189141655541E-2</c:v>
                </c:pt>
                <c:pt idx="29">
                  <c:v>1.13389956126123E-2</c:v>
                </c:pt>
                <c:pt idx="30">
                  <c:v>1.5038422582748999E-2</c:v>
                </c:pt>
                <c:pt idx="31">
                  <c:v>6.5917401746217697E-3</c:v>
                </c:pt>
                <c:pt idx="32">
                  <c:v>-2.1248697820095098E-3</c:v>
                </c:pt>
                <c:pt idx="33">
                  <c:v>7.1821404297584598E-3</c:v>
                </c:pt>
                <c:pt idx="34">
                  <c:v>8.4496537343573402E-3</c:v>
                </c:pt>
                <c:pt idx="35">
                  <c:v>1.7770923914762901E-3</c:v>
                </c:pt>
                <c:pt idx="36">
                  <c:v>2.3849653061098499E-3</c:v>
                </c:pt>
                <c:pt idx="37">
                  <c:v>-2.2402591371627699E-3</c:v>
                </c:pt>
                <c:pt idx="38">
                  <c:v>4.1770667920439097E-3</c:v>
                </c:pt>
                <c:pt idx="39">
                  <c:v>7.7375866471557997E-3</c:v>
                </c:pt>
                <c:pt idx="40">
                  <c:v>4.3977717945260803E-3</c:v>
                </c:pt>
                <c:pt idx="41">
                  <c:v>2.5495773378480299E-3</c:v>
                </c:pt>
                <c:pt idx="42">
                  <c:v>3.8104094844259701E-3</c:v>
                </c:pt>
                <c:pt idx="43">
                  <c:v>1.0905065046572401E-2</c:v>
                </c:pt>
                <c:pt idx="44">
                  <c:v>-1.150962149712E-4</c:v>
                </c:pt>
                <c:pt idx="45">
                  <c:v>5.4222366330446501E-3</c:v>
                </c:pt>
                <c:pt idx="46">
                  <c:v>2.87490832450943E-3</c:v>
                </c:pt>
                <c:pt idx="47">
                  <c:v>4.6308370106240802E-3</c:v>
                </c:pt>
                <c:pt idx="48">
                  <c:v>8.0755560612466894E-3</c:v>
                </c:pt>
                <c:pt idx="49">
                  <c:v>2.1232549359931001E-3</c:v>
                </c:pt>
                <c:pt idx="50">
                  <c:v>-7.6011994235371701E-3</c:v>
                </c:pt>
                <c:pt idx="51">
                  <c:v>-3.9434012884902898E-3</c:v>
                </c:pt>
                <c:pt idx="52">
                  <c:v>-1.0570891577564001E-2</c:v>
                </c:pt>
                <c:pt idx="53">
                  <c:v>2.9036947084491102E-3</c:v>
                </c:pt>
                <c:pt idx="54">
                  <c:v>-9.4135317890009906E-3</c:v>
                </c:pt>
                <c:pt idx="55">
                  <c:v>-8.1361482264897794E-3</c:v>
                </c:pt>
                <c:pt idx="56">
                  <c:v>-1.2404656925706799E-2</c:v>
                </c:pt>
                <c:pt idx="57">
                  <c:v>-1.62805496603943E-3</c:v>
                </c:pt>
                <c:pt idx="58">
                  <c:v>5.11715556094178E-3</c:v>
                </c:pt>
                <c:pt idx="59">
                  <c:v>1.43253094052577E-2</c:v>
                </c:pt>
                <c:pt idx="60">
                  <c:v>4.0659039193748697E-3</c:v>
                </c:pt>
                <c:pt idx="61">
                  <c:v>2.94021377125811E-3</c:v>
                </c:pt>
                <c:pt idx="62">
                  <c:v>-3.4011435491885398E-3</c:v>
                </c:pt>
                <c:pt idx="63">
                  <c:v>-4.2037374764454698E-3</c:v>
                </c:pt>
                <c:pt idx="64">
                  <c:v>9.9568766547681199E-4</c:v>
                </c:pt>
                <c:pt idx="65">
                  <c:v>-3.7999460619913099E-3</c:v>
                </c:pt>
                <c:pt idx="66">
                  <c:v>3.86256559023818E-3</c:v>
                </c:pt>
                <c:pt idx="67">
                  <c:v>-3.7300611740595703E-4</c:v>
                </c:pt>
                <c:pt idx="68">
                  <c:v>-8.5641780793923403E-3</c:v>
                </c:pt>
                <c:pt idx="69">
                  <c:v>-7.3329538162936201E-3</c:v>
                </c:pt>
                <c:pt idx="70">
                  <c:v>-9.7657119415046206E-3</c:v>
                </c:pt>
                <c:pt idx="71">
                  <c:v>-2.0870662781258199E-2</c:v>
                </c:pt>
                <c:pt idx="72">
                  <c:v>-2.1906110404242798E-2</c:v>
                </c:pt>
                <c:pt idx="73">
                  <c:v>-2.2185664999263801E-2</c:v>
                </c:pt>
                <c:pt idx="74">
                  <c:v>-2.8002842517553601E-2</c:v>
                </c:pt>
                <c:pt idx="75">
                  <c:v>-3.2497697612969403E-2</c:v>
                </c:pt>
                <c:pt idx="76">
                  <c:v>-2.37743747988786E-2</c:v>
                </c:pt>
                <c:pt idx="77">
                  <c:v>-1.9189758568704599E-2</c:v>
                </c:pt>
                <c:pt idx="78">
                  <c:v>-2.41041067543886E-2</c:v>
                </c:pt>
                <c:pt idx="79">
                  <c:v>-1.12684816365617E-2</c:v>
                </c:pt>
                <c:pt idx="80">
                  <c:v>-5.11928829331448E-3</c:v>
                </c:pt>
                <c:pt idx="81">
                  <c:v>-1.69159773757009E-2</c:v>
                </c:pt>
                <c:pt idx="82">
                  <c:v>-1.6975189591921101E-2</c:v>
                </c:pt>
                <c:pt idx="83">
                  <c:v>-1.9373886311254501E-2</c:v>
                </c:pt>
                <c:pt idx="84">
                  <c:v>-1.63765366067905E-2</c:v>
                </c:pt>
                <c:pt idx="85">
                  <c:v>-2.5776656767673999E-2</c:v>
                </c:pt>
                <c:pt idx="86">
                  <c:v>-1.28771211651574E-2</c:v>
                </c:pt>
                <c:pt idx="87">
                  <c:v>-1.8479549132237202E-2</c:v>
                </c:pt>
                <c:pt idx="88">
                  <c:v>-2.2314611028012001E-2</c:v>
                </c:pt>
                <c:pt idx="89">
                  <c:v>-2.1328780477942601E-2</c:v>
                </c:pt>
                <c:pt idx="90">
                  <c:v>-2.61863915517145E-2</c:v>
                </c:pt>
                <c:pt idx="91">
                  <c:v>-3.6320080478765698E-2</c:v>
                </c:pt>
                <c:pt idx="92">
                  <c:v>-2.8991020044944402E-2</c:v>
                </c:pt>
                <c:pt idx="93">
                  <c:v>-2.4887835417045898E-2</c:v>
                </c:pt>
                <c:pt idx="94">
                  <c:v>-1.9248769300244901E-2</c:v>
                </c:pt>
                <c:pt idx="95">
                  <c:v>-2.3555751935293901E-2</c:v>
                </c:pt>
                <c:pt idx="96">
                  <c:v>-2.36502261945278E-2</c:v>
                </c:pt>
                <c:pt idx="97">
                  <c:v>-3.1647408561050402E-2</c:v>
                </c:pt>
                <c:pt idx="98">
                  <c:v>-3.3176437604310202E-2</c:v>
                </c:pt>
                <c:pt idx="99">
                  <c:v>-3.7297301414631702E-2</c:v>
                </c:pt>
                <c:pt idx="100">
                  <c:v>-5.29625177778872E-2</c:v>
                </c:pt>
                <c:pt idx="101">
                  <c:v>-4.8112473768190098E-2</c:v>
                </c:pt>
                <c:pt idx="102">
                  <c:v>-4.3709772730866098E-2</c:v>
                </c:pt>
                <c:pt idx="103">
                  <c:v>-4.8031009406832102E-2</c:v>
                </c:pt>
                <c:pt idx="104">
                  <c:v>-4.2152062668003198E-2</c:v>
                </c:pt>
                <c:pt idx="105">
                  <c:v>-3.8014373220574903E-2</c:v>
                </c:pt>
                <c:pt idx="106">
                  <c:v>-1.88184185656563E-2</c:v>
                </c:pt>
                <c:pt idx="107">
                  <c:v>-2.3038003649572598E-2</c:v>
                </c:pt>
                <c:pt idx="108">
                  <c:v>-1.7436947115451299E-2</c:v>
                </c:pt>
                <c:pt idx="109">
                  <c:v>-1.7322550909877402E-2</c:v>
                </c:pt>
                <c:pt idx="110">
                  <c:v>-3.2953350935368199E-2</c:v>
                </c:pt>
                <c:pt idx="111">
                  <c:v>-2.68672756057831E-2</c:v>
                </c:pt>
                <c:pt idx="112">
                  <c:v>-2.0877377364557002E-2</c:v>
                </c:pt>
                <c:pt idx="113">
                  <c:v>-8.5215457534054493E-3</c:v>
                </c:pt>
                <c:pt idx="114">
                  <c:v>-8.2949171186463503E-3</c:v>
                </c:pt>
                <c:pt idx="115">
                  <c:v>-1.9497001785378502E-2</c:v>
                </c:pt>
                <c:pt idx="116">
                  <c:v>-1.20081005777673E-2</c:v>
                </c:pt>
                <c:pt idx="117">
                  <c:v>-1.00700422900312E-3</c:v>
                </c:pt>
                <c:pt idx="118">
                  <c:v>1.0720183985958399E-2</c:v>
                </c:pt>
                <c:pt idx="119">
                  <c:v>1.4388525572168499E-2</c:v>
                </c:pt>
                <c:pt idx="120">
                  <c:v>7.06682281819929E-3</c:v>
                </c:pt>
                <c:pt idx="121">
                  <c:v>6.4539381359082397E-3</c:v>
                </c:pt>
                <c:pt idx="122">
                  <c:v>-4.1708665384849299E-3</c:v>
                </c:pt>
                <c:pt idx="123">
                  <c:v>-2.8888781409774798E-3</c:v>
                </c:pt>
                <c:pt idx="124">
                  <c:v>6.1549501970688996E-3</c:v>
                </c:pt>
                <c:pt idx="125">
                  <c:v>9.0185083889757506E-3</c:v>
                </c:pt>
                <c:pt idx="126">
                  <c:v>2.2705113249375901E-2</c:v>
                </c:pt>
                <c:pt idx="127">
                  <c:v>1.99804936464264E-2</c:v>
                </c:pt>
                <c:pt idx="128">
                  <c:v>1.9719671726817298E-2</c:v>
                </c:pt>
                <c:pt idx="129">
                  <c:v>2.63285085409131E-2</c:v>
                </c:pt>
                <c:pt idx="130">
                  <c:v>3.6597324612431897E-2</c:v>
                </c:pt>
                <c:pt idx="131">
                  <c:v>2.8526334256388199E-2</c:v>
                </c:pt>
                <c:pt idx="132">
                  <c:v>3.4303193497999797E-2</c:v>
                </c:pt>
                <c:pt idx="133">
                  <c:v>3.8273613971340402E-2</c:v>
                </c:pt>
                <c:pt idx="134">
                  <c:v>3.9473647852192803E-2</c:v>
                </c:pt>
                <c:pt idx="135">
                  <c:v>3.0267993607815801E-2</c:v>
                </c:pt>
                <c:pt idx="136">
                  <c:v>1.09499914999142E-2</c:v>
                </c:pt>
                <c:pt idx="137">
                  <c:v>1.92008684875744E-2</c:v>
                </c:pt>
                <c:pt idx="138">
                  <c:v>2.62085343567196E-2</c:v>
                </c:pt>
                <c:pt idx="139">
                  <c:v>3.9865435413044402E-2</c:v>
                </c:pt>
                <c:pt idx="140">
                  <c:v>4.0463034660044701E-2</c:v>
                </c:pt>
                <c:pt idx="141">
                  <c:v>4.9060571614217098E-2</c:v>
                </c:pt>
                <c:pt idx="142">
                  <c:v>6.4938945316291893E-2</c:v>
                </c:pt>
                <c:pt idx="143">
                  <c:v>5.4701210132007898E-2</c:v>
                </c:pt>
                <c:pt idx="144">
                  <c:v>5.3411770198090597E-2</c:v>
                </c:pt>
                <c:pt idx="145">
                  <c:v>4.72717598996409E-2</c:v>
                </c:pt>
                <c:pt idx="146">
                  <c:v>3.5223277194955903E-2</c:v>
                </c:pt>
                <c:pt idx="147">
                  <c:v>4.1740765588428798E-2</c:v>
                </c:pt>
                <c:pt idx="148">
                  <c:v>2.9683993642405301E-2</c:v>
                </c:pt>
                <c:pt idx="149">
                  <c:v>1.8958623519118901E-2</c:v>
                </c:pt>
                <c:pt idx="150">
                  <c:v>1.53957178307104E-2</c:v>
                </c:pt>
                <c:pt idx="151">
                  <c:v>4.5407846705907704E-3</c:v>
                </c:pt>
                <c:pt idx="152">
                  <c:v>-2.04304530857573E-5</c:v>
                </c:pt>
                <c:pt idx="153">
                  <c:v>-3.4841585250435501E-3</c:v>
                </c:pt>
                <c:pt idx="154">
                  <c:v>-5.1720558852134304E-3</c:v>
                </c:pt>
                <c:pt idx="155">
                  <c:v>-6.8932442100656703E-3</c:v>
                </c:pt>
                <c:pt idx="156">
                  <c:v>1.20931257119629E-2</c:v>
                </c:pt>
                <c:pt idx="157">
                  <c:v>1.00067197866057E-2</c:v>
                </c:pt>
                <c:pt idx="158">
                  <c:v>1.8819210097846598E-2</c:v>
                </c:pt>
                <c:pt idx="159">
                  <c:v>1.4366654249843401E-2</c:v>
                </c:pt>
                <c:pt idx="160">
                  <c:v>2.41165547990718E-2</c:v>
                </c:pt>
                <c:pt idx="161">
                  <c:v>3.08306199657527E-2</c:v>
                </c:pt>
                <c:pt idx="162">
                  <c:v>3.2895644980021697E-2</c:v>
                </c:pt>
                <c:pt idx="163">
                  <c:v>2.6139251041888498E-2</c:v>
                </c:pt>
                <c:pt idx="164">
                  <c:v>3.6114869613381902E-2</c:v>
                </c:pt>
                <c:pt idx="165">
                  <c:v>3.7064807792884298E-2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0E-48D2-B9A4-1DB3552F5D8C}"/>
            </c:ext>
          </c:extLst>
        </c:ser>
        <c:ser>
          <c:idx val="1"/>
          <c:order val="1"/>
          <c:tx>
            <c:strRef>
              <c:f>ITA_XAR_1!$AF$1</c:f>
              <c:strCache>
                <c:ptCount val="1"/>
                <c:pt idx="0">
                  <c:v>log diff ITA* x 10 dma / XAR*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ITA_XAR_1!$AF$2:$AF$167</c:f>
              <c:numCache>
                <c:formatCode>0.0000%</c:formatCode>
                <c:ptCount val="166"/>
                <c:pt idx="10">
                  <c:v>-2.3561523503145498E-2</c:v>
                </c:pt>
                <c:pt idx="11">
                  <c:v>-1.16316608152074E-2</c:v>
                </c:pt>
                <c:pt idx="12">
                  <c:v>-2.4104347818399499E-3</c:v>
                </c:pt>
                <c:pt idx="13">
                  <c:v>-1.8834313472415699E-2</c:v>
                </c:pt>
                <c:pt idx="14">
                  <c:v>-9.8258964968477094E-3</c:v>
                </c:pt>
                <c:pt idx="15">
                  <c:v>-3.84081174941725E-3</c:v>
                </c:pt>
                <c:pt idx="16">
                  <c:v>-5.4160531322068398E-3</c:v>
                </c:pt>
                <c:pt idx="17">
                  <c:v>-5.7455967181514796E-3</c:v>
                </c:pt>
                <c:pt idx="18">
                  <c:v>5.1144258431680004E-3</c:v>
                </c:pt>
                <c:pt idx="19">
                  <c:v>2.1302846810635601E-2</c:v>
                </c:pt>
                <c:pt idx="20">
                  <c:v>2.3775909917215801E-2</c:v>
                </c:pt>
                <c:pt idx="21">
                  <c:v>5.6157543991651E-3</c:v>
                </c:pt>
                <c:pt idx="22">
                  <c:v>2.6924531712721599E-2</c:v>
                </c:pt>
                <c:pt idx="23">
                  <c:v>3.7812969212119102E-2</c:v>
                </c:pt>
                <c:pt idx="24">
                  <c:v>1.7793724368150601E-2</c:v>
                </c:pt>
                <c:pt idx="25">
                  <c:v>2.9402711226822901E-3</c:v>
                </c:pt>
                <c:pt idx="26">
                  <c:v>1.07175324090253E-2</c:v>
                </c:pt>
                <c:pt idx="27">
                  <c:v>1.6301842804893101E-2</c:v>
                </c:pt>
                <c:pt idx="28">
                  <c:v>1.58782545510417E-2</c:v>
                </c:pt>
                <c:pt idx="29">
                  <c:v>1.0939873185677599E-2</c:v>
                </c:pt>
                <c:pt idx="30">
                  <c:v>1.27504649152517E-2</c:v>
                </c:pt>
                <c:pt idx="31">
                  <c:v>2.5094035184647099E-3</c:v>
                </c:pt>
                <c:pt idx="32">
                  <c:v>-8.7418547547523599E-3</c:v>
                </c:pt>
                <c:pt idx="33">
                  <c:v>1.1193117282432899E-3</c:v>
                </c:pt>
                <c:pt idx="34">
                  <c:v>3.3057847033073902E-3</c:v>
                </c:pt>
                <c:pt idx="35">
                  <c:v>-4.0353375518848702E-3</c:v>
                </c:pt>
                <c:pt idx="36">
                  <c:v>-4.5795108305531299E-3</c:v>
                </c:pt>
                <c:pt idx="37">
                  <c:v>-9.4365037564799106E-3</c:v>
                </c:pt>
                <c:pt idx="38">
                  <c:v>-1.9082873039490899E-3</c:v>
                </c:pt>
                <c:pt idx="39">
                  <c:v>2.49411527008716E-3</c:v>
                </c:pt>
                <c:pt idx="40">
                  <c:v>-4.8716619648040403E-4</c:v>
                </c:pt>
                <c:pt idx="41">
                  <c:v>-1.27698124772583E-3</c:v>
                </c:pt>
                <c:pt idx="42">
                  <c:v>3.87685239919054E-4</c:v>
                </c:pt>
                <c:pt idx="43">
                  <c:v>6.8871016302998397E-3</c:v>
                </c:pt>
                <c:pt idx="44">
                  <c:v>-4.5035546176456004E-3</c:v>
                </c:pt>
                <c:pt idx="45">
                  <c:v>1.8900785696424E-3</c:v>
                </c:pt>
                <c:pt idx="46">
                  <c:v>-1.0218062012303799E-3</c:v>
                </c:pt>
                <c:pt idx="47">
                  <c:v>6.85064875031533E-4</c:v>
                </c:pt>
                <c:pt idx="48">
                  <c:v>3.44054299864535E-3</c:v>
                </c:pt>
                <c:pt idx="49">
                  <c:v>-2.9011021368030901E-3</c:v>
                </c:pt>
                <c:pt idx="50">
                  <c:v>-1.2064227421008201E-2</c:v>
                </c:pt>
                <c:pt idx="51">
                  <c:v>-7.1999538288100599E-3</c:v>
                </c:pt>
                <c:pt idx="52">
                  <c:v>-1.31757854288399E-2</c:v>
                </c:pt>
                <c:pt idx="53">
                  <c:v>1.74453107164465E-3</c:v>
                </c:pt>
                <c:pt idx="54">
                  <c:v>-9.7774563364977692E-3</c:v>
                </c:pt>
                <c:pt idx="55">
                  <c:v>-7.5658816346126099E-3</c:v>
                </c:pt>
                <c:pt idx="56">
                  <c:v>-1.04783941898346E-2</c:v>
                </c:pt>
                <c:pt idx="57">
                  <c:v>1.82934984096592E-3</c:v>
                </c:pt>
                <c:pt idx="58">
                  <c:v>9.1971607520656105E-3</c:v>
                </c:pt>
                <c:pt idx="59">
                  <c:v>1.86979702309138E-2</c:v>
                </c:pt>
                <c:pt idx="60">
                  <c:v>7.2328997517487198E-3</c:v>
                </c:pt>
                <c:pt idx="61">
                  <c:v>4.9414449137292604E-3</c:v>
                </c:pt>
                <c:pt idx="62">
                  <c:v>-2.0874800711948699E-3</c:v>
                </c:pt>
                <c:pt idx="63">
                  <c:v>-3.6113889221164302E-3</c:v>
                </c:pt>
                <c:pt idx="64">
                  <c:v>2.2985694375972599E-3</c:v>
                </c:pt>
                <c:pt idx="65">
                  <c:v>-3.5415656107445998E-3</c:v>
                </c:pt>
                <c:pt idx="66">
                  <c:v>3.68474745414797E-3</c:v>
                </c:pt>
                <c:pt idx="67">
                  <c:v>-2.1861541325765002E-3</c:v>
                </c:pt>
                <c:pt idx="68">
                  <c:v>-1.05031925362018E-2</c:v>
                </c:pt>
                <c:pt idx="69">
                  <c:v>-7.8997461162988794E-3</c:v>
                </c:pt>
                <c:pt idx="70">
                  <c:v>-8.1752994086505392E-3</c:v>
                </c:pt>
                <c:pt idx="71">
                  <c:v>-1.7896292556292E-2</c:v>
                </c:pt>
                <c:pt idx="72">
                  <c:v>-1.65391528940186E-2</c:v>
                </c:pt>
                <c:pt idx="73">
                  <c:v>-1.49563862007816E-2</c:v>
                </c:pt>
                <c:pt idx="74">
                  <c:v>-1.8966221783086299E-2</c:v>
                </c:pt>
                <c:pt idx="75">
                  <c:v>-2.0552373688138E-2</c:v>
                </c:pt>
                <c:pt idx="76">
                  <c:v>-8.9454801399164192E-3</c:v>
                </c:pt>
                <c:pt idx="77">
                  <c:v>-1.6142923196745299E-3</c:v>
                </c:pt>
                <c:pt idx="78">
                  <c:v>-4.66328749778746E-3</c:v>
                </c:pt>
                <c:pt idx="79">
                  <c:v>9.7203270590504494E-3</c:v>
                </c:pt>
                <c:pt idx="80">
                  <c:v>1.6258424699039199E-2</c:v>
                </c:pt>
                <c:pt idx="81">
                  <c:v>4.0034178126954097E-3</c:v>
                </c:pt>
                <c:pt idx="82">
                  <c:v>3.5494593345000202E-3</c:v>
                </c:pt>
                <c:pt idx="83">
                  <c:v>6.5808290990292302E-4</c:v>
                </c:pt>
                <c:pt idx="84">
                  <c:v>3.3740047104945901E-3</c:v>
                </c:pt>
                <c:pt idx="85">
                  <c:v>-7.1922715910661301E-3</c:v>
                </c:pt>
                <c:pt idx="86">
                  <c:v>5.0277977337032896E-3</c:v>
                </c:pt>
                <c:pt idx="87">
                  <c:v>-1.66541436430039E-3</c:v>
                </c:pt>
                <c:pt idx="88">
                  <c:v>-5.5716433817779602E-3</c:v>
                </c:pt>
                <c:pt idx="89">
                  <c:v>-4.7659395575678203E-3</c:v>
                </c:pt>
                <c:pt idx="90">
                  <c:v>-8.61828771984385E-3</c:v>
                </c:pt>
                <c:pt idx="91">
                  <c:v>-1.66514660992764E-2</c:v>
                </c:pt>
                <c:pt idx="92">
                  <c:v>-7.37033954259268E-3</c:v>
                </c:pt>
                <c:pt idx="93">
                  <c:v>-2.0646497485684698E-3</c:v>
                </c:pt>
                <c:pt idx="94">
                  <c:v>4.12527861211749E-3</c:v>
                </c:pt>
                <c:pt idx="95">
                  <c:v>1.03885631503757E-4</c:v>
                </c:pt>
                <c:pt idx="96">
                  <c:v>-2.1292753356998999E-4</c:v>
                </c:pt>
                <c:pt idx="97">
                  <c:v>-7.1389273427917696E-3</c:v>
                </c:pt>
                <c:pt idx="98">
                  <c:v>-7.3512970849952501E-3</c:v>
                </c:pt>
                <c:pt idx="99">
                  <c:v>-1.03844767391794E-2</c:v>
                </c:pt>
                <c:pt idx="100">
                  <c:v>-2.4450266373123E-2</c:v>
                </c:pt>
                <c:pt idx="101">
                  <c:v>-1.6896402744194301E-2</c:v>
                </c:pt>
                <c:pt idx="102">
                  <c:v>-1.13021221978885E-2</c:v>
                </c:pt>
                <c:pt idx="103">
                  <c:v>-1.41467463101397E-2</c:v>
                </c:pt>
                <c:pt idx="104">
                  <c:v>-5.9501507980939897E-3</c:v>
                </c:pt>
                <c:pt idx="105">
                  <c:v>4.6276184560361801E-4</c:v>
                </c:pt>
                <c:pt idx="106">
                  <c:v>2.10924837796393E-2</c:v>
                </c:pt>
                <c:pt idx="107">
                  <c:v>1.63985453998538E-2</c:v>
                </c:pt>
                <c:pt idx="108">
                  <c:v>2.1148646226828299E-2</c:v>
                </c:pt>
                <c:pt idx="109">
                  <c:v>1.9708632040286399E-2</c:v>
                </c:pt>
                <c:pt idx="110">
                  <c:v>2.09768877738228E-3</c:v>
                </c:pt>
                <c:pt idx="111">
                  <c:v>6.1648934795913001E-3</c:v>
                </c:pt>
                <c:pt idx="112">
                  <c:v>1.0018459814377699E-2</c:v>
                </c:pt>
                <c:pt idx="113">
                  <c:v>2.0085190628615902E-2</c:v>
                </c:pt>
                <c:pt idx="114">
                  <c:v>1.6354099962199001E-2</c:v>
                </c:pt>
                <c:pt idx="115">
                  <c:v>1.7584417116971399E-3</c:v>
                </c:pt>
                <c:pt idx="116">
                  <c:v>7.3798958315685701E-3</c:v>
                </c:pt>
                <c:pt idx="117">
                  <c:v>1.7702430449358601E-2</c:v>
                </c:pt>
                <c:pt idx="118">
                  <c:v>2.7238759113826401E-2</c:v>
                </c:pt>
                <c:pt idx="119">
                  <c:v>2.8124239789816201E-2</c:v>
                </c:pt>
                <c:pt idx="120">
                  <c:v>1.76650490529155E-2</c:v>
                </c:pt>
                <c:pt idx="121">
                  <c:v>1.3032415020014501E-2</c:v>
                </c:pt>
                <c:pt idx="122">
                  <c:v>-9.4238224210030201E-4</c:v>
                </c:pt>
                <c:pt idx="123">
                  <c:v>-1.3480900667683501E-3</c:v>
                </c:pt>
                <c:pt idx="124">
                  <c:v>7.1299601675219601E-3</c:v>
                </c:pt>
                <c:pt idx="125">
                  <c:v>8.5473365964488998E-3</c:v>
                </c:pt>
                <c:pt idx="126">
                  <c:v>1.93618426115903E-2</c:v>
                </c:pt>
                <c:pt idx="127">
                  <c:v>1.3166666103674399E-2</c:v>
                </c:pt>
                <c:pt idx="128">
                  <c:v>1.08104644987915E-2</c:v>
                </c:pt>
                <c:pt idx="129">
                  <c:v>1.6524610847356201E-2</c:v>
                </c:pt>
                <c:pt idx="130">
                  <c:v>2.5611259043980799E-2</c:v>
                </c:pt>
                <c:pt idx="131">
                  <c:v>1.4614692777765999E-2</c:v>
                </c:pt>
                <c:pt idx="132">
                  <c:v>1.81897300086146E-2</c:v>
                </c:pt>
                <c:pt idx="133">
                  <c:v>1.8301038626283E-2</c:v>
                </c:pt>
                <c:pt idx="134">
                  <c:v>1.53666002529705E-2</c:v>
                </c:pt>
                <c:pt idx="135">
                  <c:v>2.81903389571632E-3</c:v>
                </c:pt>
                <c:pt idx="136">
                  <c:v>-1.8642905251794101E-2</c:v>
                </c:pt>
                <c:pt idx="137">
                  <c:v>-9.2021154574013497E-3</c:v>
                </c:pt>
                <c:pt idx="138">
                  <c:v>-2.1158000979613701E-3</c:v>
                </c:pt>
                <c:pt idx="139">
                  <c:v>1.0888513142603499E-2</c:v>
                </c:pt>
                <c:pt idx="140">
                  <c:v>1.0137065662050899E-2</c:v>
                </c:pt>
                <c:pt idx="141">
                  <c:v>1.83511163868702E-2</c:v>
                </c:pt>
                <c:pt idx="142">
                  <c:v>3.2190486167133499E-2</c:v>
                </c:pt>
                <c:pt idx="143">
                  <c:v>1.8935768355973201E-2</c:v>
                </c:pt>
                <c:pt idx="144">
                  <c:v>1.6019747895914701E-2</c:v>
                </c:pt>
                <c:pt idx="145">
                  <c:v>8.4975173984433994E-3</c:v>
                </c:pt>
                <c:pt idx="146">
                  <c:v>-5.2528171721848097E-3</c:v>
                </c:pt>
                <c:pt idx="147">
                  <c:v>-1.20835246166706E-3</c:v>
                </c:pt>
                <c:pt idx="148">
                  <c:v>-1.5550073115591799E-2</c:v>
                </c:pt>
                <c:pt idx="149">
                  <c:v>-2.6629112420226201E-2</c:v>
                </c:pt>
                <c:pt idx="150">
                  <c:v>-2.8069459201806202E-2</c:v>
                </c:pt>
                <c:pt idx="151">
                  <c:v>-3.6381581534302702E-2</c:v>
                </c:pt>
                <c:pt idx="152">
                  <c:v>-3.6437294636095699E-2</c:v>
                </c:pt>
                <c:pt idx="153">
                  <c:v>-3.33993607938151E-2</c:v>
                </c:pt>
                <c:pt idx="154">
                  <c:v>-2.9259797014208E-2</c:v>
                </c:pt>
                <c:pt idx="155">
                  <c:v>-2.5139050481300301E-2</c:v>
                </c:pt>
                <c:pt idx="156">
                  <c:v>-7.6059919533413498E-4</c:v>
                </c:pt>
                <c:pt idx="157">
                  <c:v>-5.6140932592760795E-4</c:v>
                </c:pt>
                <c:pt idx="158">
                  <c:v>1.1371541906052799E-2</c:v>
                </c:pt>
                <c:pt idx="159">
                  <c:v>7.9867947863764294E-3</c:v>
                </c:pt>
                <c:pt idx="160">
                  <c:v>1.81910917811604E-2</c:v>
                </c:pt>
                <c:pt idx="161">
                  <c:v>2.4044678898906598E-2</c:v>
                </c:pt>
                <c:pt idx="162">
                  <c:v>2.3505757857888901E-2</c:v>
                </c:pt>
                <c:pt idx="163">
                  <c:v>1.34753719253102E-2</c:v>
                </c:pt>
                <c:pt idx="164">
                  <c:v>2.04801712411617E-2</c:v>
                </c:pt>
                <c:pt idx="165">
                  <c:v>1.7291898744026601E-2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0E-48D2-B9A4-1DB3552F5D8C}"/>
            </c:ext>
          </c:extLst>
        </c:ser>
        <c:ser>
          <c:idx val="2"/>
          <c:order val="2"/>
          <c:tx>
            <c:strRef>
              <c:f>ITA_XAR_1!$AG$1</c:f>
              <c:strCache>
                <c:ptCount val="1"/>
                <c:pt idx="0">
                  <c:v>log diff ITA* x 20 dma / XAR*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ITA_XAR_1!$AG$2:$AG$167</c:f>
              <c:numCache>
                <c:formatCode>0.0000%</c:formatCode>
                <c:ptCount val="166"/>
                <c:pt idx="20">
                  <c:v>1.3516040754480501E-2</c:v>
                </c:pt>
                <c:pt idx="21">
                  <c:v>-2.5383207004588598E-4</c:v>
                </c:pt>
                <c:pt idx="22">
                  <c:v>2.3202175742785099E-2</c:v>
                </c:pt>
                <c:pt idx="23">
                  <c:v>3.6490214757735298E-2</c:v>
                </c:pt>
                <c:pt idx="24">
                  <c:v>2.12769712935615E-2</c:v>
                </c:pt>
                <c:pt idx="25">
                  <c:v>9.13895999379063E-3</c:v>
                </c:pt>
                <c:pt idx="26">
                  <c:v>1.8407335759645201E-2</c:v>
                </c:pt>
                <c:pt idx="27">
                  <c:v>2.6239628443712401E-2</c:v>
                </c:pt>
                <c:pt idx="28">
                  <c:v>2.8793950622899099E-2</c:v>
                </c:pt>
                <c:pt idx="29">
                  <c:v>2.5677581999014799E-2</c:v>
                </c:pt>
                <c:pt idx="30">
                  <c:v>2.7365889725962201E-2</c:v>
                </c:pt>
                <c:pt idx="31">
                  <c:v>1.6692411450339499E-2</c:v>
                </c:pt>
                <c:pt idx="32">
                  <c:v>6.4500076400065597E-3</c:v>
                </c:pt>
                <c:pt idx="33">
                  <c:v>1.49369359239638E-2</c:v>
                </c:pt>
                <c:pt idx="34">
                  <c:v>1.39473418318864E-2</c:v>
                </c:pt>
                <c:pt idx="35">
                  <c:v>5.1957876690023903E-3</c:v>
                </c:pt>
                <c:pt idx="36">
                  <c:v>4.2598212592591502E-3</c:v>
                </c:pt>
                <c:pt idx="37">
                  <c:v>-2.07631709096301E-3</c:v>
                </c:pt>
                <c:pt idx="38">
                  <c:v>2.7749753114449998E-3</c:v>
                </c:pt>
                <c:pt idx="39">
                  <c:v>4.9192232068796804E-3</c:v>
                </c:pt>
                <c:pt idx="40">
                  <c:v>8.1216700338736995E-4</c:v>
                </c:pt>
                <c:pt idx="41">
                  <c:v>-1.40486210521489E-3</c:v>
                </c:pt>
                <c:pt idx="42">
                  <c:v>-1.20816971204118E-3</c:v>
                </c:pt>
                <c:pt idx="43">
                  <c:v>5.8651916718417798E-3</c:v>
                </c:pt>
                <c:pt idx="44">
                  <c:v>-4.8811886011829097E-3</c:v>
                </c:pt>
                <c:pt idx="45">
                  <c:v>7.5059258450270797E-4</c:v>
                </c:pt>
                <c:pt idx="46">
                  <c:v>-2.5545106119909001E-3</c:v>
                </c:pt>
                <c:pt idx="47">
                  <c:v>-9.38850670991364E-4</c:v>
                </c:pt>
                <c:pt idx="48">
                  <c:v>2.71563541806577E-3</c:v>
                </c:pt>
                <c:pt idx="49">
                  <c:v>-3.01065328755469E-3</c:v>
                </c:pt>
                <c:pt idx="50">
                  <c:v>-1.2275160166770899E-2</c:v>
                </c:pt>
                <c:pt idx="51">
                  <c:v>-7.4849162380764096E-3</c:v>
                </c:pt>
                <c:pt idx="52">
                  <c:v>-1.3584617019638799E-2</c:v>
                </c:pt>
                <c:pt idx="53">
                  <c:v>3.1615277358496198E-4</c:v>
                </c:pt>
                <c:pt idx="54">
                  <c:v>-1.1787698656358699E-2</c:v>
                </c:pt>
                <c:pt idx="55">
                  <c:v>-9.6149902277207801E-3</c:v>
                </c:pt>
                <c:pt idx="56">
                  <c:v>-1.33856444436047E-2</c:v>
                </c:pt>
                <c:pt idx="57">
                  <c:v>-1.8653877673725399E-3</c:v>
                </c:pt>
                <c:pt idx="58">
                  <c:v>4.8491455380537197E-3</c:v>
                </c:pt>
                <c:pt idx="59">
                  <c:v>1.40104992342483E-2</c:v>
                </c:pt>
                <c:pt idx="60">
                  <c:v>3.42516497712943E-3</c:v>
                </c:pt>
                <c:pt idx="61">
                  <c:v>2.31600860451028E-3</c:v>
                </c:pt>
                <c:pt idx="62">
                  <c:v>-4.0448393506151E-3</c:v>
                </c:pt>
                <c:pt idx="63">
                  <c:v>-4.4867615433625101E-3</c:v>
                </c:pt>
                <c:pt idx="64">
                  <c:v>1.4655135581617899E-3</c:v>
                </c:pt>
                <c:pt idx="65">
                  <c:v>-3.3856103813088901E-3</c:v>
                </c:pt>
                <c:pt idx="66">
                  <c:v>4.7373412845666402E-3</c:v>
                </c:pt>
                <c:pt idx="67">
                  <c:v>4.5259461537379701E-4</c:v>
                </c:pt>
                <c:pt idx="68">
                  <c:v>-7.4891541443808298E-3</c:v>
                </c:pt>
                <c:pt idx="69">
                  <c:v>-5.4269697819211002E-3</c:v>
                </c:pt>
                <c:pt idx="70">
                  <c:v>-7.3866970570604503E-3</c:v>
                </c:pt>
                <c:pt idx="71">
                  <c:v>-1.83827437225852E-2</c:v>
                </c:pt>
                <c:pt idx="72">
                  <c:v>-1.8563746262475801E-2</c:v>
                </c:pt>
                <c:pt idx="73">
                  <c:v>-1.8269345227580901E-2</c:v>
                </c:pt>
                <c:pt idx="74">
                  <c:v>-2.2825614943099301E-2</c:v>
                </c:pt>
                <c:pt idx="75">
                  <c:v>-2.63787724411234E-2</c:v>
                </c:pt>
                <c:pt idx="76">
                  <c:v>-1.6420686622968798E-2</c:v>
                </c:pt>
                <c:pt idx="77">
                  <c:v>-1.1261610392384399E-2</c:v>
                </c:pt>
                <c:pt idx="78">
                  <c:v>-1.52960682814766E-2</c:v>
                </c:pt>
                <c:pt idx="79">
                  <c:v>-9.9939407138602298E-4</c:v>
                </c:pt>
                <c:pt idx="80">
                  <c:v>6.4137158282995699E-3</c:v>
                </c:pt>
                <c:pt idx="81">
                  <c:v>-4.9288422189917398E-3</c:v>
                </c:pt>
                <c:pt idx="82">
                  <c:v>-4.0006671973962897E-3</c:v>
                </c:pt>
                <c:pt idx="83">
                  <c:v>-5.7227738311037999E-3</c:v>
                </c:pt>
                <c:pt idx="84">
                  <c:v>-1.96860713775858E-3</c:v>
                </c:pt>
                <c:pt idx="85">
                  <c:v>-1.0506292585284901E-2</c:v>
                </c:pt>
                <c:pt idx="86">
                  <c:v>3.4909683539284201E-3</c:v>
                </c:pt>
                <c:pt idx="87">
                  <c:v>-1.2846761705523899E-3</c:v>
                </c:pt>
                <c:pt idx="88">
                  <c:v>-4.2218077764562901E-3</c:v>
                </c:pt>
                <c:pt idx="89">
                  <c:v>-2.5505070231043301E-3</c:v>
                </c:pt>
                <c:pt idx="90">
                  <c:v>-6.7116690004548401E-3</c:v>
                </c:pt>
                <c:pt idx="91">
                  <c:v>-1.6025880138256701E-2</c:v>
                </c:pt>
                <c:pt idx="92">
                  <c:v>-7.9182051699137196E-3</c:v>
                </c:pt>
                <c:pt idx="93">
                  <c:v>-3.4592841113876001E-3</c:v>
                </c:pt>
                <c:pt idx="94">
                  <c:v>2.3151665386867601E-3</c:v>
                </c:pt>
                <c:pt idx="95">
                  <c:v>-2.43052079369386E-3</c:v>
                </c:pt>
                <c:pt idx="96">
                  <c:v>-2.9752915162686998E-3</c:v>
                </c:pt>
                <c:pt idx="97">
                  <c:v>-1.09787002152953E-2</c:v>
                </c:pt>
                <c:pt idx="98">
                  <c:v>-1.1882072823960499E-2</c:v>
                </c:pt>
                <c:pt idx="99">
                  <c:v>-1.5546078406017801E-2</c:v>
                </c:pt>
                <c:pt idx="100">
                  <c:v>-2.99073684385253E-2</c:v>
                </c:pt>
                <c:pt idx="101">
                  <c:v>-2.2653463189684399E-2</c:v>
                </c:pt>
                <c:pt idx="102">
                  <c:v>-1.6681062443413101E-2</c:v>
                </c:pt>
                <c:pt idx="103">
                  <c:v>-1.96619916729758E-2</c:v>
                </c:pt>
                <c:pt idx="104">
                  <c:v>-1.23435136561831E-2</c:v>
                </c:pt>
                <c:pt idx="105">
                  <c:v>-6.9185423761371299E-3</c:v>
                </c:pt>
                <c:pt idx="106">
                  <c:v>1.28896040061933E-2</c:v>
                </c:pt>
                <c:pt idx="107">
                  <c:v>8.9623671267696093E-3</c:v>
                </c:pt>
                <c:pt idx="108">
                  <c:v>1.4788773321788001E-2</c:v>
                </c:pt>
                <c:pt idx="109">
                  <c:v>1.46622504951097E-2</c:v>
                </c:pt>
                <c:pt idx="110">
                  <c:v>-1.1663609170648201E-3</c:v>
                </c:pt>
                <c:pt idx="111">
                  <c:v>5.25725672536617E-3</c:v>
                </c:pt>
                <c:pt idx="112">
                  <c:v>1.0774652188824301E-2</c:v>
                </c:pt>
                <c:pt idx="113">
                  <c:v>2.2727435517939199E-2</c:v>
                </c:pt>
                <c:pt idx="114">
                  <c:v>2.2147230936200898E-2</c:v>
                </c:pt>
                <c:pt idx="115">
                  <c:v>1.04063603706765E-2</c:v>
                </c:pt>
                <c:pt idx="116">
                  <c:v>1.7693996584119399E-2</c:v>
                </c:pt>
                <c:pt idx="117">
                  <c:v>2.81196883323982E-2</c:v>
                </c:pt>
                <c:pt idx="118">
                  <c:v>3.8333136147663302E-2</c:v>
                </c:pt>
                <c:pt idx="119">
                  <c:v>3.9839807480207198E-2</c:v>
                </c:pt>
                <c:pt idx="120">
                  <c:v>2.9966196440733499E-2</c:v>
                </c:pt>
                <c:pt idx="121">
                  <c:v>2.6346733299043201E-2</c:v>
                </c:pt>
                <c:pt idx="122">
                  <c:v>1.29869764493793E-2</c:v>
                </c:pt>
                <c:pt idx="123">
                  <c:v>1.2276451986935499E-2</c:v>
                </c:pt>
                <c:pt idx="124">
                  <c:v>1.90370194133524E-2</c:v>
                </c:pt>
                <c:pt idx="125">
                  <c:v>1.9469648807221001E-2</c:v>
                </c:pt>
                <c:pt idx="126">
                  <c:v>3.0792063557323401E-2</c:v>
                </c:pt>
                <c:pt idx="127">
                  <c:v>2.6009724618367602E-2</c:v>
                </c:pt>
                <c:pt idx="128">
                  <c:v>2.3605175013902299E-2</c:v>
                </c:pt>
                <c:pt idx="129">
                  <c:v>2.8363679369959E-2</c:v>
                </c:pt>
                <c:pt idx="130">
                  <c:v>3.6461639021733598E-2</c:v>
                </c:pt>
                <c:pt idx="131">
                  <c:v>2.4912231659898799E-2</c:v>
                </c:pt>
                <c:pt idx="132">
                  <c:v>2.79074670405829E-2</c:v>
                </c:pt>
                <c:pt idx="133">
                  <c:v>2.9115572320991701E-2</c:v>
                </c:pt>
                <c:pt idx="134">
                  <c:v>2.79862656780374E-2</c:v>
                </c:pt>
                <c:pt idx="135">
                  <c:v>1.6398900226940901E-2</c:v>
                </c:pt>
                <c:pt idx="136">
                  <c:v>-5.4319643086421102E-3</c:v>
                </c:pt>
                <c:pt idx="137">
                  <c:v>1.6507230715496299E-3</c:v>
                </c:pt>
                <c:pt idx="138">
                  <c:v>7.6388811709905196E-3</c:v>
                </c:pt>
                <c:pt idx="139">
                  <c:v>2.0520975336171501E-2</c:v>
                </c:pt>
                <c:pt idx="140">
                  <c:v>1.98537706312783E-2</c:v>
                </c:pt>
                <c:pt idx="141">
                  <c:v>2.67852936649055E-2</c:v>
                </c:pt>
                <c:pt idx="142">
                  <c:v>4.0542573983270901E-2</c:v>
                </c:pt>
                <c:pt idx="143">
                  <c:v>2.6863378076232E-2</c:v>
                </c:pt>
                <c:pt idx="144">
                  <c:v>2.2684296404266498E-2</c:v>
                </c:pt>
                <c:pt idx="145">
                  <c:v>1.4176191461091499E-2</c:v>
                </c:pt>
                <c:pt idx="146">
                  <c:v>2.0358706125643401E-4</c:v>
                </c:pt>
                <c:pt idx="147">
                  <c:v>6.0911631098926802E-3</c:v>
                </c:pt>
                <c:pt idx="148">
                  <c:v>-7.0594650089437902E-3</c:v>
                </c:pt>
                <c:pt idx="149">
                  <c:v>-1.82892160909412E-2</c:v>
                </c:pt>
                <c:pt idx="150">
                  <c:v>-2.1478275491301099E-2</c:v>
                </c:pt>
                <c:pt idx="151">
                  <c:v>-3.1262088158362102E-2</c:v>
                </c:pt>
                <c:pt idx="152">
                  <c:v>-3.4601409970676698E-2</c:v>
                </c:pt>
                <c:pt idx="153">
                  <c:v>-3.6320202390760899E-2</c:v>
                </c:pt>
                <c:pt idx="154">
                  <c:v>-3.5889812276783797E-2</c:v>
                </c:pt>
                <c:pt idx="155">
                  <c:v>-3.53505924344584E-2</c:v>
                </c:pt>
                <c:pt idx="156">
                  <c:v>-1.4476412545372601E-2</c:v>
                </c:pt>
                <c:pt idx="157">
                  <c:v>-1.6620843464840399E-2</c:v>
                </c:pt>
                <c:pt idx="158">
                  <c:v>-7.3431915044152203E-3</c:v>
                </c:pt>
                <c:pt idx="159">
                  <c:v>-1.1424998561212299E-2</c:v>
                </c:pt>
                <c:pt idx="160">
                  <c:v>-4.0262180251637403E-4</c:v>
                </c:pt>
                <c:pt idx="161">
                  <c:v>7.1221211981161801E-3</c:v>
                </c:pt>
                <c:pt idx="162">
                  <c:v>1.00835737347162E-2</c:v>
                </c:pt>
                <c:pt idx="163">
                  <c:v>4.8869109067304298E-3</c:v>
                </c:pt>
                <c:pt idx="164">
                  <c:v>1.6262581577663901E-2</c:v>
                </c:pt>
                <c:pt idx="165">
                  <c:v>1.8055741638171401E-2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0E-48D2-B9A4-1DB3552F5D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ITA_XAR_1!$Y$1</c:f>
              <c:strCache>
                <c:ptCount val="1"/>
                <c:pt idx="0">
                  <c:v> XAR*/ITA*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ITA_XAR_1!$Y$2:$Y$167</c:f>
              <c:numCache>
                <c:formatCode>_(* #,##0.0000_);_(* \(#,##0.0000\);_(* "-"??_);_(@_)</c:formatCode>
                <c:ptCount val="166"/>
                <c:pt idx="0">
                  <c:v>1.16578176214971</c:v>
                </c:pt>
                <c:pt idx="1">
                  <c:v>1.16578176214971</c:v>
                </c:pt>
                <c:pt idx="2">
                  <c:v>1.16578176214971</c:v>
                </c:pt>
                <c:pt idx="3">
                  <c:v>1.16578176214971</c:v>
                </c:pt>
                <c:pt idx="4">
                  <c:v>1.16578176214971</c:v>
                </c:pt>
                <c:pt idx="5">
                  <c:v>1.16578176214971</c:v>
                </c:pt>
                <c:pt idx="6">
                  <c:v>1.16578176214971</c:v>
                </c:pt>
                <c:pt idx="7">
                  <c:v>1.16578176214971</c:v>
                </c:pt>
                <c:pt idx="8">
                  <c:v>1.16578176214971</c:v>
                </c:pt>
                <c:pt idx="9">
                  <c:v>1.16578176214971</c:v>
                </c:pt>
                <c:pt idx="10">
                  <c:v>1.16578176214971</c:v>
                </c:pt>
                <c:pt idx="11">
                  <c:v>1.16578176214971</c:v>
                </c:pt>
                <c:pt idx="12">
                  <c:v>1.16578176214971</c:v>
                </c:pt>
                <c:pt idx="13">
                  <c:v>1.16578176214971</c:v>
                </c:pt>
                <c:pt idx="14">
                  <c:v>1.16578176214971</c:v>
                </c:pt>
                <c:pt idx="15">
                  <c:v>1.16578176214971</c:v>
                </c:pt>
                <c:pt idx="16">
                  <c:v>1.16578176214971</c:v>
                </c:pt>
                <c:pt idx="17">
                  <c:v>1.16578176214971</c:v>
                </c:pt>
                <c:pt idx="18">
                  <c:v>1.16578176214971</c:v>
                </c:pt>
                <c:pt idx="19">
                  <c:v>1.16578176214971</c:v>
                </c:pt>
                <c:pt idx="20">
                  <c:v>1.16578176214971</c:v>
                </c:pt>
                <c:pt idx="21">
                  <c:v>1.16578176214971</c:v>
                </c:pt>
                <c:pt idx="22">
                  <c:v>1.16578176214971</c:v>
                </c:pt>
                <c:pt idx="23">
                  <c:v>1.16578176214971</c:v>
                </c:pt>
                <c:pt idx="24">
                  <c:v>1.16578176214971</c:v>
                </c:pt>
                <c:pt idx="25">
                  <c:v>1.16578176214971</c:v>
                </c:pt>
                <c:pt idx="26">
                  <c:v>1.16578176214971</c:v>
                </c:pt>
                <c:pt idx="27">
                  <c:v>1.16578176214971</c:v>
                </c:pt>
                <c:pt idx="28">
                  <c:v>1.16578176214971</c:v>
                </c:pt>
                <c:pt idx="29">
                  <c:v>1.16578176214971</c:v>
                </c:pt>
                <c:pt idx="30">
                  <c:v>1.16578176214971</c:v>
                </c:pt>
                <c:pt idx="31">
                  <c:v>1.16578176214971</c:v>
                </c:pt>
                <c:pt idx="32">
                  <c:v>1.16578176214971</c:v>
                </c:pt>
                <c:pt idx="33">
                  <c:v>1.16578176214971</c:v>
                </c:pt>
                <c:pt idx="34">
                  <c:v>1.16578176214971</c:v>
                </c:pt>
                <c:pt idx="35">
                  <c:v>1.16578176214971</c:v>
                </c:pt>
                <c:pt idx="36">
                  <c:v>1.16578176214971</c:v>
                </c:pt>
                <c:pt idx="37">
                  <c:v>1.16578176214971</c:v>
                </c:pt>
                <c:pt idx="38">
                  <c:v>1.16578176214971</c:v>
                </c:pt>
                <c:pt idx="39">
                  <c:v>1.16578176214971</c:v>
                </c:pt>
                <c:pt idx="40">
                  <c:v>1.16578176214971</c:v>
                </c:pt>
                <c:pt idx="41">
                  <c:v>1.16578176214971</c:v>
                </c:pt>
                <c:pt idx="42">
                  <c:v>1.16578176214971</c:v>
                </c:pt>
                <c:pt idx="43">
                  <c:v>1.16578176214971</c:v>
                </c:pt>
                <c:pt idx="44">
                  <c:v>1.16578176214971</c:v>
                </c:pt>
                <c:pt idx="45">
                  <c:v>1.16578176214971</c:v>
                </c:pt>
                <c:pt idx="46">
                  <c:v>1.16578176214971</c:v>
                </c:pt>
                <c:pt idx="47">
                  <c:v>1.16578176214971</c:v>
                </c:pt>
                <c:pt idx="48">
                  <c:v>1.16578176214971</c:v>
                </c:pt>
                <c:pt idx="49">
                  <c:v>1.16578176214971</c:v>
                </c:pt>
                <c:pt idx="50">
                  <c:v>1.16578176214971</c:v>
                </c:pt>
                <c:pt idx="51">
                  <c:v>1.16578176214971</c:v>
                </c:pt>
                <c:pt idx="52">
                  <c:v>1.16578176214971</c:v>
                </c:pt>
                <c:pt idx="53">
                  <c:v>1.16578176214971</c:v>
                </c:pt>
                <c:pt idx="54">
                  <c:v>1.16578176214971</c:v>
                </c:pt>
                <c:pt idx="55">
                  <c:v>1.16578176214971</c:v>
                </c:pt>
                <c:pt idx="56">
                  <c:v>1.16578176214971</c:v>
                </c:pt>
                <c:pt idx="57">
                  <c:v>1.16578176214971</c:v>
                </c:pt>
                <c:pt idx="58">
                  <c:v>1.16578176214971</c:v>
                </c:pt>
                <c:pt idx="59">
                  <c:v>1.16578176214971</c:v>
                </c:pt>
                <c:pt idx="60">
                  <c:v>1.16578176214971</c:v>
                </c:pt>
                <c:pt idx="61">
                  <c:v>1.16578176214971</c:v>
                </c:pt>
                <c:pt idx="62">
                  <c:v>1.16578176214971</c:v>
                </c:pt>
                <c:pt idx="63">
                  <c:v>1.16578176214971</c:v>
                </c:pt>
                <c:pt idx="64">
                  <c:v>1.16578176214971</c:v>
                </c:pt>
                <c:pt idx="65">
                  <c:v>1.16578176214971</c:v>
                </c:pt>
                <c:pt idx="66">
                  <c:v>1.16578176214971</c:v>
                </c:pt>
                <c:pt idx="67">
                  <c:v>1.16578176214971</c:v>
                </c:pt>
                <c:pt idx="68">
                  <c:v>1.16578176214971</c:v>
                </c:pt>
                <c:pt idx="69">
                  <c:v>1.16578176214971</c:v>
                </c:pt>
                <c:pt idx="70">
                  <c:v>1.16578176214971</c:v>
                </c:pt>
                <c:pt idx="71">
                  <c:v>1.16578176214971</c:v>
                </c:pt>
                <c:pt idx="72">
                  <c:v>1.16578176214971</c:v>
                </c:pt>
                <c:pt idx="73">
                  <c:v>1.16578176214971</c:v>
                </c:pt>
                <c:pt idx="74">
                  <c:v>1.16578176214971</c:v>
                </c:pt>
                <c:pt idx="75">
                  <c:v>1.16578176214971</c:v>
                </c:pt>
                <c:pt idx="76">
                  <c:v>1.16578176214971</c:v>
                </c:pt>
                <c:pt idx="77">
                  <c:v>1.16578176214971</c:v>
                </c:pt>
                <c:pt idx="78">
                  <c:v>1.16578176214971</c:v>
                </c:pt>
                <c:pt idx="79">
                  <c:v>1.16578176214971</c:v>
                </c:pt>
                <c:pt idx="80">
                  <c:v>1.16578176214971</c:v>
                </c:pt>
                <c:pt idx="81">
                  <c:v>1.16578176214971</c:v>
                </c:pt>
                <c:pt idx="82">
                  <c:v>1.16578176214971</c:v>
                </c:pt>
                <c:pt idx="83">
                  <c:v>1.16578176214971</c:v>
                </c:pt>
                <c:pt idx="84">
                  <c:v>1.16578176214971</c:v>
                </c:pt>
                <c:pt idx="85">
                  <c:v>1.16578176214971</c:v>
                </c:pt>
                <c:pt idx="86">
                  <c:v>1.16578176214971</c:v>
                </c:pt>
                <c:pt idx="87">
                  <c:v>1.16578176214971</c:v>
                </c:pt>
                <c:pt idx="88">
                  <c:v>1.16578176214971</c:v>
                </c:pt>
                <c:pt idx="89">
                  <c:v>1.16578176214971</c:v>
                </c:pt>
                <c:pt idx="90">
                  <c:v>1.16578176214971</c:v>
                </c:pt>
                <c:pt idx="91">
                  <c:v>1.16578176214971</c:v>
                </c:pt>
                <c:pt idx="92">
                  <c:v>1.16578176214971</c:v>
                </c:pt>
                <c:pt idx="93">
                  <c:v>1.16578176214971</c:v>
                </c:pt>
                <c:pt idx="94">
                  <c:v>1.16578176214971</c:v>
                </c:pt>
                <c:pt idx="95">
                  <c:v>1.16578176214971</c:v>
                </c:pt>
                <c:pt idx="96">
                  <c:v>1.16578176214971</c:v>
                </c:pt>
                <c:pt idx="97">
                  <c:v>1.16578176214971</c:v>
                </c:pt>
                <c:pt idx="98">
                  <c:v>1.16578176214971</c:v>
                </c:pt>
                <c:pt idx="99">
                  <c:v>1.16578176214971</c:v>
                </c:pt>
                <c:pt idx="100">
                  <c:v>1.16578176214971</c:v>
                </c:pt>
                <c:pt idx="101">
                  <c:v>1.16578176214971</c:v>
                </c:pt>
                <c:pt idx="102">
                  <c:v>1.16578176214971</c:v>
                </c:pt>
                <c:pt idx="103">
                  <c:v>1.16578176214971</c:v>
                </c:pt>
                <c:pt idx="104">
                  <c:v>1.16578176214971</c:v>
                </c:pt>
                <c:pt idx="105">
                  <c:v>1.16578176214971</c:v>
                </c:pt>
                <c:pt idx="106">
                  <c:v>1.16578176214971</c:v>
                </c:pt>
                <c:pt idx="107">
                  <c:v>1.16578176214971</c:v>
                </c:pt>
                <c:pt idx="108">
                  <c:v>1.16578176214971</c:v>
                </c:pt>
                <c:pt idx="109">
                  <c:v>1.16578176214971</c:v>
                </c:pt>
                <c:pt idx="110">
                  <c:v>1.16578176214971</c:v>
                </c:pt>
                <c:pt idx="111">
                  <c:v>1.16578176214971</c:v>
                </c:pt>
                <c:pt idx="112">
                  <c:v>1.16578176214971</c:v>
                </c:pt>
                <c:pt idx="113">
                  <c:v>1.16578176214971</c:v>
                </c:pt>
                <c:pt idx="114">
                  <c:v>1.16578176214971</c:v>
                </c:pt>
                <c:pt idx="115">
                  <c:v>1.16578176214971</c:v>
                </c:pt>
                <c:pt idx="116">
                  <c:v>1.16578176214971</c:v>
                </c:pt>
                <c:pt idx="117">
                  <c:v>1.16578176214971</c:v>
                </c:pt>
                <c:pt idx="118">
                  <c:v>1.16578176214971</c:v>
                </c:pt>
                <c:pt idx="119">
                  <c:v>1.16578176214971</c:v>
                </c:pt>
                <c:pt idx="120">
                  <c:v>1.16578176214971</c:v>
                </c:pt>
                <c:pt idx="121">
                  <c:v>1.16578176214971</c:v>
                </c:pt>
                <c:pt idx="122">
                  <c:v>1.16578176214971</c:v>
                </c:pt>
                <c:pt idx="123">
                  <c:v>1.16578176214971</c:v>
                </c:pt>
                <c:pt idx="124">
                  <c:v>1.16578176214971</c:v>
                </c:pt>
                <c:pt idx="125">
                  <c:v>1.16578176214971</c:v>
                </c:pt>
                <c:pt idx="126">
                  <c:v>1.16578176214971</c:v>
                </c:pt>
                <c:pt idx="127">
                  <c:v>1.16578176214971</c:v>
                </c:pt>
                <c:pt idx="128">
                  <c:v>1.16578176214971</c:v>
                </c:pt>
                <c:pt idx="129">
                  <c:v>1.16578176214971</c:v>
                </c:pt>
                <c:pt idx="130">
                  <c:v>1.16578176214971</c:v>
                </c:pt>
                <c:pt idx="131">
                  <c:v>1.16578176214971</c:v>
                </c:pt>
                <c:pt idx="132">
                  <c:v>1.16578176214971</c:v>
                </c:pt>
                <c:pt idx="133">
                  <c:v>1.16578176214971</c:v>
                </c:pt>
                <c:pt idx="134">
                  <c:v>1.16578176214971</c:v>
                </c:pt>
                <c:pt idx="135">
                  <c:v>1.16578176214971</c:v>
                </c:pt>
                <c:pt idx="136">
                  <c:v>1.16578176214971</c:v>
                </c:pt>
                <c:pt idx="137">
                  <c:v>1.16578176214971</c:v>
                </c:pt>
                <c:pt idx="138">
                  <c:v>1.16578176214971</c:v>
                </c:pt>
                <c:pt idx="139">
                  <c:v>1.16578176214971</c:v>
                </c:pt>
                <c:pt idx="140">
                  <c:v>1.16578176214971</c:v>
                </c:pt>
                <c:pt idx="141">
                  <c:v>1.16578176214971</c:v>
                </c:pt>
                <c:pt idx="142">
                  <c:v>1.16578176214971</c:v>
                </c:pt>
                <c:pt idx="143">
                  <c:v>1.16578176214971</c:v>
                </c:pt>
                <c:pt idx="144">
                  <c:v>1.16578176214971</c:v>
                </c:pt>
                <c:pt idx="145">
                  <c:v>1.16578176214971</c:v>
                </c:pt>
                <c:pt idx="146">
                  <c:v>1.16578176214971</c:v>
                </c:pt>
                <c:pt idx="147">
                  <c:v>1.16578176214971</c:v>
                </c:pt>
                <c:pt idx="148">
                  <c:v>1.16578176214971</c:v>
                </c:pt>
                <c:pt idx="149">
                  <c:v>1.16578176214971</c:v>
                </c:pt>
                <c:pt idx="150">
                  <c:v>1.16578176214971</c:v>
                </c:pt>
                <c:pt idx="151">
                  <c:v>1.16578176214971</c:v>
                </c:pt>
                <c:pt idx="152">
                  <c:v>1.16578176214971</c:v>
                </c:pt>
                <c:pt idx="153">
                  <c:v>1.16578176214971</c:v>
                </c:pt>
                <c:pt idx="154">
                  <c:v>1.16578176214971</c:v>
                </c:pt>
                <c:pt idx="155">
                  <c:v>1.16578176214971</c:v>
                </c:pt>
                <c:pt idx="156">
                  <c:v>1.16578176214971</c:v>
                </c:pt>
                <c:pt idx="157">
                  <c:v>1.16578176214971</c:v>
                </c:pt>
                <c:pt idx="158">
                  <c:v>1.16578176214971</c:v>
                </c:pt>
                <c:pt idx="159">
                  <c:v>1.16578176214971</c:v>
                </c:pt>
                <c:pt idx="160">
                  <c:v>1.16578176214971</c:v>
                </c:pt>
                <c:pt idx="161">
                  <c:v>1.16578176214971</c:v>
                </c:pt>
                <c:pt idx="162">
                  <c:v>1.16578176214971</c:v>
                </c:pt>
                <c:pt idx="163">
                  <c:v>1.16578176214971</c:v>
                </c:pt>
                <c:pt idx="164">
                  <c:v>1.16578176214971</c:v>
                </c:pt>
                <c:pt idx="165">
                  <c:v>1.16578176214971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9B-4AFF-9EC5-4329B31C7F22}"/>
            </c:ext>
          </c:extLst>
        </c:ser>
        <c:ser>
          <c:idx val="1"/>
          <c:order val="1"/>
          <c:tx>
            <c:strRef>
              <c:f>ITA_XAR_1!$Z$1</c:f>
              <c:strCache>
                <c:ptCount val="1"/>
                <c:pt idx="0">
                  <c:v> XAR*/ITA*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ITA_XAR_1!$Z$2:$Z$167</c:f>
              <c:numCache>
                <c:formatCode>_(* #,##0.0000_);_(* \(#,##0.0000\);_(* "-"??_);_(@_)</c:formatCode>
                <c:ptCount val="166"/>
                <c:pt idx="9">
                  <c:v>1.17292210610485</c:v>
                </c:pt>
                <c:pt idx="10">
                  <c:v>1.18022300195384</c:v>
                </c:pt>
                <c:pt idx="11">
                  <c:v>1.1846799803957</c:v>
                </c:pt>
                <c:pt idx="12">
                  <c:v>1.1878307373015</c:v>
                </c:pt>
                <c:pt idx="13">
                  <c:v>1.19288351653196</c:v>
                </c:pt>
                <c:pt idx="14">
                  <c:v>1.19520351782948</c:v>
                </c:pt>
                <c:pt idx="15">
                  <c:v>1.1964389047086501</c:v>
                </c:pt>
                <c:pt idx="16">
                  <c:v>1.1979838718882301</c:v>
                </c:pt>
                <c:pt idx="17">
                  <c:v>1.1999956653718999</c:v>
                </c:pt>
                <c:pt idx="18">
                  <c:v>1.19991911260461</c:v>
                </c:pt>
                <c:pt idx="19">
                  <c:v>1.1973661351840099</c:v>
                </c:pt>
                <c:pt idx="20">
                  <c:v>1.1942008702087601</c:v>
                </c:pt>
                <c:pt idx="21">
                  <c:v>1.19354909233754</c:v>
                </c:pt>
                <c:pt idx="22">
                  <c:v>1.19097940100345</c:v>
                </c:pt>
                <c:pt idx="23">
                  <c:v>1.1846165032806699</c:v>
                </c:pt>
                <c:pt idx="24">
                  <c:v>1.1805226782828999</c:v>
                </c:pt>
                <c:pt idx="25">
                  <c:v>1.1782480605734</c:v>
                </c:pt>
                <c:pt idx="26">
                  <c:v>1.1745231722395499</c:v>
                </c:pt>
                <c:pt idx="27">
                  <c:v>1.1695876406853101</c:v>
                </c:pt>
                <c:pt idx="28">
                  <c:v>1.16531656534494</c:v>
                </c:pt>
                <c:pt idx="29">
                  <c:v>1.1631175517908401</c:v>
                </c:pt>
                <c:pt idx="30">
                  <c:v>1.16103234947567</c:v>
                </c:pt>
                <c:pt idx="31">
                  <c:v>1.15809326712913</c:v>
                </c:pt>
                <c:pt idx="32">
                  <c:v>1.15873520962758</c:v>
                </c:pt>
                <c:pt idx="33">
                  <c:v>1.1598005299722201</c:v>
                </c:pt>
                <c:pt idx="34">
                  <c:v>1.1590253918142099</c:v>
                </c:pt>
                <c:pt idx="35">
                  <c:v>1.1576909098636501</c:v>
                </c:pt>
                <c:pt idx="36">
                  <c:v>1.15742262468931</c:v>
                </c:pt>
                <c:pt idx="37">
                  <c:v>1.1587091089538499</c:v>
                </c:pt>
                <c:pt idx="38">
                  <c:v>1.1596850168713</c:v>
                </c:pt>
                <c:pt idx="39">
                  <c:v>1.16010087721262</c:v>
                </c:pt>
                <c:pt idx="40">
                  <c:v>1.1613293540719101</c:v>
                </c:pt>
                <c:pt idx="41">
                  <c:v>1.1617984334551801</c:v>
                </c:pt>
                <c:pt idx="42">
                  <c:v>1.1611070912952799</c:v>
                </c:pt>
                <c:pt idx="43">
                  <c:v>1.16067698662001</c:v>
                </c:pt>
                <c:pt idx="44">
                  <c:v>1.1616713003722801</c:v>
                </c:pt>
                <c:pt idx="45">
                  <c:v>1.16124788277712</c:v>
                </c:pt>
                <c:pt idx="46">
                  <c:v>1.16119091612888</c:v>
                </c:pt>
                <c:pt idx="47">
                  <c:v>1.1603908515757</c:v>
                </c:pt>
                <c:pt idx="48">
                  <c:v>1.1599391482878501</c:v>
                </c:pt>
                <c:pt idx="49">
                  <c:v>1.1605904386343899</c:v>
                </c:pt>
                <c:pt idx="50">
                  <c:v>1.1619915075220699</c:v>
                </c:pt>
                <c:pt idx="51">
                  <c:v>1.1627489761632499</c:v>
                </c:pt>
                <c:pt idx="52">
                  <c:v>1.1644312132274</c:v>
                </c:pt>
                <c:pt idx="53">
                  <c:v>1.1653575827387701</c:v>
                </c:pt>
                <c:pt idx="54">
                  <c:v>1.1664467581365601</c:v>
                </c:pt>
                <c:pt idx="55">
                  <c:v>1.1680295283153801</c:v>
                </c:pt>
                <c:pt idx="56">
                  <c:v>1.16981931732747</c:v>
                </c:pt>
                <c:pt idx="57">
                  <c:v>1.1705478740601001</c:v>
                </c:pt>
                <c:pt idx="58">
                  <c:v>1.1708904916229701</c:v>
                </c:pt>
                <c:pt idx="59">
                  <c:v>1.16947964062399</c:v>
                </c:pt>
                <c:pt idx="60">
                  <c:v>1.16811709691037</c:v>
                </c:pt>
                <c:pt idx="61">
                  <c:v>1.16731421341621</c:v>
                </c:pt>
                <c:pt idx="62">
                  <c:v>1.16647251585447</c:v>
                </c:pt>
                <c:pt idx="63">
                  <c:v>1.1673016278455499</c:v>
                </c:pt>
                <c:pt idx="64">
                  <c:v>1.1660830162848901</c:v>
                </c:pt>
                <c:pt idx="65">
                  <c:v>1.1655744834391799</c:v>
                </c:pt>
                <c:pt idx="66">
                  <c:v>1.1636699423610299</c:v>
                </c:pt>
                <c:pt idx="67">
                  <c:v>1.1635234845833999</c:v>
                </c:pt>
                <c:pt idx="68">
                  <c:v>1.1651211932438099</c:v>
                </c:pt>
                <c:pt idx="69">
                  <c:v>1.1676373112279399</c:v>
                </c:pt>
                <c:pt idx="70">
                  <c:v>1.1692543905930199</c:v>
                </c:pt>
                <c:pt idx="71">
                  <c:v>1.17205528313499</c:v>
                </c:pt>
                <c:pt idx="72">
                  <c:v>1.1742400603869401</c:v>
                </c:pt>
                <c:pt idx="73">
                  <c:v>1.1763642326655901</c:v>
                </c:pt>
                <c:pt idx="74">
                  <c:v>1.1797909082372999</c:v>
                </c:pt>
                <c:pt idx="75">
                  <c:v>1.1831978284597</c:v>
                </c:pt>
                <c:pt idx="76">
                  <c:v>1.1864520329078101</c:v>
                </c:pt>
                <c:pt idx="77">
                  <c:v>1.1886672502145299</c:v>
                </c:pt>
                <c:pt idx="78">
                  <c:v>1.19050871948413</c:v>
                </c:pt>
                <c:pt idx="79">
                  <c:v>1.19097180348229</c:v>
                </c:pt>
                <c:pt idx="80">
                  <c:v>1.19042608496655</c:v>
                </c:pt>
                <c:pt idx="81">
                  <c:v>1.18995626145599</c:v>
                </c:pt>
                <c:pt idx="82">
                  <c:v>1.1893701385531099</c:v>
                </c:pt>
                <c:pt idx="83">
                  <c:v>1.1890354637037199</c:v>
                </c:pt>
                <c:pt idx="84">
                  <c:v>1.1876496708786899</c:v>
                </c:pt>
                <c:pt idx="85">
                  <c:v>1.1868429770691999</c:v>
                </c:pt>
                <c:pt idx="86">
                  <c:v>1.1855490933860999</c:v>
                </c:pt>
                <c:pt idx="87">
                  <c:v>1.18546472427168</c:v>
                </c:pt>
                <c:pt idx="88">
                  <c:v>1.1852512096226999</c:v>
                </c:pt>
                <c:pt idx="89">
                  <c:v>1.18644329778516</c:v>
                </c:pt>
                <c:pt idx="90">
                  <c:v>1.18893805365955</c:v>
                </c:pt>
                <c:pt idx="91">
                  <c:v>1.1912612060921499</c:v>
                </c:pt>
                <c:pt idx="92">
                  <c:v>1.1926945654850001</c:v>
                </c:pt>
                <c:pt idx="93">
                  <c:v>1.19335175688396</c:v>
                </c:pt>
                <c:pt idx="94">
                  <c:v>1.19369261447021</c:v>
                </c:pt>
                <c:pt idx="95">
                  <c:v>1.1934272396630601</c:v>
                </c:pt>
                <c:pt idx="96">
                  <c:v>1.1947063030384799</c:v>
                </c:pt>
                <c:pt idx="97">
                  <c:v>1.1962803602255301</c:v>
                </c:pt>
                <c:pt idx="98">
                  <c:v>1.1975822433101</c:v>
                </c:pt>
                <c:pt idx="99">
                  <c:v>1.1994992209846</c:v>
                </c:pt>
                <c:pt idx="100">
                  <c:v>1.20274683901972</c:v>
                </c:pt>
                <c:pt idx="101">
                  <c:v>1.20418086171394</c:v>
                </c:pt>
                <c:pt idx="102">
                  <c:v>1.20596028373847</c:v>
                </c:pt>
                <c:pt idx="103">
                  <c:v>1.2087585175196101</c:v>
                </c:pt>
                <c:pt idx="104">
                  <c:v>1.21151184396571</c:v>
                </c:pt>
                <c:pt idx="105">
                  <c:v>1.2132501158467499</c:v>
                </c:pt>
                <c:pt idx="106">
                  <c:v>1.21267474313134</c:v>
                </c:pt>
                <c:pt idx="107">
                  <c:v>1.2116432495776699</c:v>
                </c:pt>
                <c:pt idx="108">
                  <c:v>1.20976132174201</c:v>
                </c:pt>
                <c:pt idx="109">
                  <c:v>1.20736819119446</c:v>
                </c:pt>
                <c:pt idx="110">
                  <c:v>1.2049331298807799</c:v>
                </c:pt>
                <c:pt idx="111">
                  <c:v>1.20236174043892</c:v>
                </c:pt>
                <c:pt idx="112">
                  <c:v>1.1996125609956001</c:v>
                </c:pt>
                <c:pt idx="113">
                  <c:v>1.1948742139177899</c:v>
                </c:pt>
                <c:pt idx="114">
                  <c:v>1.1908261928630399</c:v>
                </c:pt>
                <c:pt idx="115">
                  <c:v>1.1886044630842401</c:v>
                </c:pt>
                <c:pt idx="116">
                  <c:v>1.18779819516454</c:v>
                </c:pt>
                <c:pt idx="117">
                  <c:v>1.18519874469979</c:v>
                </c:pt>
                <c:pt idx="118">
                  <c:v>1.1819050864642999</c:v>
                </c:pt>
                <c:pt idx="119">
                  <c:v>1.17820268461635</c:v>
                </c:pt>
                <c:pt idx="120">
                  <c:v>1.1734761113244201</c:v>
                </c:pt>
                <c:pt idx="121">
                  <c:v>1.16955155234163</c:v>
                </c:pt>
                <c:pt idx="122">
                  <c:v>1.16757936929616</c:v>
                </c:pt>
                <c:pt idx="123">
                  <c:v>1.1669189652932901</c:v>
                </c:pt>
                <c:pt idx="124">
                  <c:v>1.16523260805027</c:v>
                </c:pt>
                <c:pt idx="125">
                  <c:v>1.1618907461982499</c:v>
                </c:pt>
                <c:pt idx="126">
                  <c:v>1.1578653275089601</c:v>
                </c:pt>
                <c:pt idx="127">
                  <c:v>1.1554417001199799</c:v>
                </c:pt>
                <c:pt idx="128">
                  <c:v>1.1544083997583201</c:v>
                </c:pt>
                <c:pt idx="129">
                  <c:v>1.15304450157077</c:v>
                </c:pt>
                <c:pt idx="130">
                  <c:v>1.1496761119958201</c:v>
                </c:pt>
                <c:pt idx="131">
                  <c:v>1.1471475146094301</c:v>
                </c:pt>
                <c:pt idx="132">
                  <c:v>1.1427290751452099</c:v>
                </c:pt>
                <c:pt idx="133">
                  <c:v>1.13801424686956</c:v>
                </c:pt>
                <c:pt idx="134">
                  <c:v>1.1342174510859</c:v>
                </c:pt>
                <c:pt idx="135">
                  <c:v>1.1317883651156699</c:v>
                </c:pt>
                <c:pt idx="136">
                  <c:v>1.1331358961490501</c:v>
                </c:pt>
                <c:pt idx="137">
                  <c:v>1.13322502021445</c:v>
                </c:pt>
                <c:pt idx="138">
                  <c:v>1.1324857326250199</c:v>
                </c:pt>
                <c:pt idx="139">
                  <c:v>1.13095898651089</c:v>
                </c:pt>
                <c:pt idx="140">
                  <c:v>1.13052536246334</c:v>
                </c:pt>
                <c:pt idx="141">
                  <c:v>1.1282225653196101</c:v>
                </c:pt>
                <c:pt idx="142">
                  <c:v>1.12482386692576</c:v>
                </c:pt>
                <c:pt idx="143">
                  <c:v>1.1229957375313799</c:v>
                </c:pt>
                <c:pt idx="144">
                  <c:v>1.12144458240548</c:v>
                </c:pt>
                <c:pt idx="145">
                  <c:v>1.1195376729493201</c:v>
                </c:pt>
                <c:pt idx="146">
                  <c:v>1.1167724504098799</c:v>
                </c:pt>
                <c:pt idx="147">
                  <c:v>1.1142235957523301</c:v>
                </c:pt>
                <c:pt idx="148">
                  <c:v>1.1138295988817699</c:v>
                </c:pt>
                <c:pt idx="149">
                  <c:v>1.1161962786376201</c:v>
                </c:pt>
                <c:pt idx="150">
                  <c:v>1.11903816628075</c:v>
                </c:pt>
                <c:pt idx="151">
                  <c:v>1.12409137006328</c:v>
                </c:pt>
                <c:pt idx="152">
                  <c:v>1.1314236422607</c:v>
                </c:pt>
                <c:pt idx="153">
                  <c:v>1.13803621811983</c:v>
                </c:pt>
                <c:pt idx="154">
                  <c:v>1.1447040090085601</c:v>
                </c:pt>
                <c:pt idx="155">
                  <c:v>1.1508930169848399</c:v>
                </c:pt>
                <c:pt idx="156">
                  <c:v>1.15352650161896</c:v>
                </c:pt>
                <c:pt idx="157">
                  <c:v>1.1571316579376301</c:v>
                </c:pt>
                <c:pt idx="158">
                  <c:v>1.15836791314638</c:v>
                </c:pt>
                <c:pt idx="159">
                  <c:v>1.1588943910145399</c:v>
                </c:pt>
                <c:pt idx="160">
                  <c:v>1.15789761674273</c:v>
                </c:pt>
                <c:pt idx="161">
                  <c:v>1.1548864359887601</c:v>
                </c:pt>
                <c:pt idx="162">
                  <c:v>1.15111152992091</c:v>
                </c:pt>
                <c:pt idx="163">
                  <c:v>1.1476968603169599</c:v>
                </c:pt>
                <c:pt idx="164">
                  <c:v>1.1429572624071</c:v>
                </c:pt>
                <c:pt idx="165">
                  <c:v>1.1379090340826099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9B-4AFF-9EC5-4329B31C7F22}"/>
            </c:ext>
          </c:extLst>
        </c:ser>
        <c:ser>
          <c:idx val="2"/>
          <c:order val="2"/>
          <c:tx>
            <c:strRef>
              <c:f>ITA_XAR_1!$AA$1</c:f>
              <c:strCache>
                <c:ptCount val="1"/>
                <c:pt idx="0">
                  <c:v> XAR*/ITA*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ITA_XAR_1!$AA$2:$AA$167</c:f>
              <c:numCache>
                <c:formatCode>_(* #,##0.0000_);_(* \(#,##0.0000\);_(* "-"??_);_(@_)</c:formatCode>
                <c:ptCount val="166"/>
                <c:pt idx="19">
                  <c:v>1.18514412064443</c:v>
                </c:pt>
                <c:pt idx="20">
                  <c:v>1.1872119360813</c:v>
                </c:pt>
                <c:pt idx="21">
                  <c:v>1.18911453636662</c:v>
                </c:pt>
                <c:pt idx="22">
                  <c:v>1.18940506915247</c:v>
                </c:pt>
                <c:pt idx="23">
                  <c:v>1.18875000990632</c:v>
                </c:pt>
                <c:pt idx="24">
                  <c:v>1.1878630980561899</c:v>
                </c:pt>
                <c:pt idx="25">
                  <c:v>1.1873434826410301</c:v>
                </c:pt>
                <c:pt idx="26">
                  <c:v>1.1862535220638899</c:v>
                </c:pt>
                <c:pt idx="27">
                  <c:v>1.1847916530286</c:v>
                </c:pt>
                <c:pt idx="28">
                  <c:v>1.1826178389747699</c:v>
                </c:pt>
                <c:pt idx="29">
                  <c:v>1.18024184348743</c:v>
                </c:pt>
                <c:pt idx="30">
                  <c:v>1.1776166098422101</c:v>
                </c:pt>
                <c:pt idx="31">
                  <c:v>1.17582117973333</c:v>
                </c:pt>
                <c:pt idx="32">
                  <c:v>1.17485730531551</c:v>
                </c:pt>
                <c:pt idx="33">
                  <c:v>1.17220851662644</c:v>
                </c:pt>
                <c:pt idx="34">
                  <c:v>1.1697740350485499</c:v>
                </c:pt>
                <c:pt idx="35">
                  <c:v>1.1679694852185301</c:v>
                </c:pt>
                <c:pt idx="36">
                  <c:v>1.16597289846443</c:v>
                </c:pt>
                <c:pt idx="37">
                  <c:v>1.16414837481958</c:v>
                </c:pt>
                <c:pt idx="38">
                  <c:v>1.16250079110812</c:v>
                </c:pt>
                <c:pt idx="39">
                  <c:v>1.16160921450173</c:v>
                </c:pt>
                <c:pt idx="40">
                  <c:v>1.16118085177379</c:v>
                </c:pt>
                <c:pt idx="41">
                  <c:v>1.15994585029216</c:v>
                </c:pt>
                <c:pt idx="42">
                  <c:v>1.15992115046143</c:v>
                </c:pt>
                <c:pt idx="43">
                  <c:v>1.16023875829611</c:v>
                </c:pt>
                <c:pt idx="44">
                  <c:v>1.16034834609325</c:v>
                </c:pt>
                <c:pt idx="45">
                  <c:v>1.1594693963203799</c:v>
                </c:pt>
                <c:pt idx="46">
                  <c:v>1.1593067704091</c:v>
                </c:pt>
                <c:pt idx="47">
                  <c:v>1.15954998026477</c:v>
                </c:pt>
                <c:pt idx="48">
                  <c:v>1.1598120825795699</c:v>
                </c:pt>
                <c:pt idx="49">
                  <c:v>1.1603456579235001</c:v>
                </c:pt>
                <c:pt idx="50">
                  <c:v>1.16166043079699</c:v>
                </c:pt>
                <c:pt idx="51">
                  <c:v>1.16227370480922</c:v>
                </c:pt>
                <c:pt idx="52">
                  <c:v>1.1627691522613399</c:v>
                </c:pt>
                <c:pt idx="53">
                  <c:v>1.16301728467939</c:v>
                </c:pt>
                <c:pt idx="54">
                  <c:v>1.16405902925442</c:v>
                </c:pt>
                <c:pt idx="55">
                  <c:v>1.1646387055462499</c:v>
                </c:pt>
                <c:pt idx="56">
                  <c:v>1.16550511672817</c:v>
                </c:pt>
                <c:pt idx="57">
                  <c:v>1.1654693628179</c:v>
                </c:pt>
                <c:pt idx="58">
                  <c:v>1.16541481995541</c:v>
                </c:pt>
                <c:pt idx="59">
                  <c:v>1.16503503962919</c:v>
                </c:pt>
                <c:pt idx="60">
                  <c:v>1.1650543022162201</c:v>
                </c:pt>
                <c:pt idx="61">
                  <c:v>1.1650315947897301</c:v>
                </c:pt>
                <c:pt idx="62">
                  <c:v>1.16545186454093</c:v>
                </c:pt>
                <c:pt idx="63">
                  <c:v>1.1663296052921599</c:v>
                </c:pt>
                <c:pt idx="64">
                  <c:v>1.16626488721072</c:v>
                </c:pt>
                <c:pt idx="65">
                  <c:v>1.1668020058772799</c:v>
                </c:pt>
                <c:pt idx="66">
                  <c:v>1.1667446298442501</c:v>
                </c:pt>
                <c:pt idx="67">
                  <c:v>1.16703567932175</c:v>
                </c:pt>
                <c:pt idx="68">
                  <c:v>1.1680058424333899</c:v>
                </c:pt>
                <c:pt idx="69">
                  <c:v>1.16855847592597</c:v>
                </c:pt>
                <c:pt idx="70">
                  <c:v>1.1686857437517</c:v>
                </c:pt>
                <c:pt idx="71">
                  <c:v>1.1696847482756001</c:v>
                </c:pt>
                <c:pt idx="72">
                  <c:v>1.1703562881206999</c:v>
                </c:pt>
                <c:pt idx="73">
                  <c:v>1.1718329302555699</c:v>
                </c:pt>
                <c:pt idx="74">
                  <c:v>1.1729369622610899</c:v>
                </c:pt>
                <c:pt idx="75">
                  <c:v>1.17438615594944</c:v>
                </c:pt>
                <c:pt idx="76">
                  <c:v>1.17506098763442</c:v>
                </c:pt>
                <c:pt idx="77">
                  <c:v>1.17609536739896</c:v>
                </c:pt>
                <c:pt idx="78">
                  <c:v>1.1778149563639699</c:v>
                </c:pt>
                <c:pt idx="79">
                  <c:v>1.17930455735512</c:v>
                </c:pt>
                <c:pt idx="80">
                  <c:v>1.1798402377797901</c:v>
                </c:pt>
                <c:pt idx="81">
                  <c:v>1.1810057722954901</c:v>
                </c:pt>
                <c:pt idx="82">
                  <c:v>1.18180509947002</c:v>
                </c:pt>
                <c:pt idx="83">
                  <c:v>1.18269984818465</c:v>
                </c:pt>
                <c:pt idx="84">
                  <c:v>1.1837202895579899</c:v>
                </c:pt>
                <c:pt idx="85">
                  <c:v>1.18502040276445</c:v>
                </c:pt>
                <c:pt idx="86">
                  <c:v>1.1860005631469499</c:v>
                </c:pt>
                <c:pt idx="87">
                  <c:v>1.18706598724311</c:v>
                </c:pt>
                <c:pt idx="88">
                  <c:v>1.1878799645534199</c:v>
                </c:pt>
                <c:pt idx="89">
                  <c:v>1.1887075506337199</c:v>
                </c:pt>
                <c:pt idx="90">
                  <c:v>1.1896820693130501</c:v>
                </c:pt>
                <c:pt idx="91">
                  <c:v>1.1906087337740701</c:v>
                </c:pt>
                <c:pt idx="92">
                  <c:v>1.19103235201905</c:v>
                </c:pt>
                <c:pt idx="93">
                  <c:v>1.1911936102938401</c:v>
                </c:pt>
                <c:pt idx="94">
                  <c:v>1.1906711426744501</c:v>
                </c:pt>
                <c:pt idx="95">
                  <c:v>1.19013510836613</c:v>
                </c:pt>
                <c:pt idx="96">
                  <c:v>1.1901276982122899</c:v>
                </c:pt>
                <c:pt idx="97">
                  <c:v>1.1908725422486</c:v>
                </c:pt>
                <c:pt idx="98">
                  <c:v>1.1914167264664</c:v>
                </c:pt>
                <c:pt idx="99">
                  <c:v>1.19297125938488</c:v>
                </c:pt>
                <c:pt idx="100">
                  <c:v>1.19584244633963</c:v>
                </c:pt>
                <c:pt idx="101">
                  <c:v>1.19772103390305</c:v>
                </c:pt>
                <c:pt idx="102">
                  <c:v>1.19932742461174</c:v>
                </c:pt>
                <c:pt idx="103">
                  <c:v>1.2010551372017899</c:v>
                </c:pt>
                <c:pt idx="104">
                  <c:v>1.2026022292179599</c:v>
                </c:pt>
                <c:pt idx="105">
                  <c:v>1.20333867775491</c:v>
                </c:pt>
                <c:pt idx="106">
                  <c:v>1.20369052308491</c:v>
                </c:pt>
                <c:pt idx="107">
                  <c:v>1.2039618049016001</c:v>
                </c:pt>
                <c:pt idx="108">
                  <c:v>1.2036717825260499</c:v>
                </c:pt>
                <c:pt idx="109">
                  <c:v>1.2034337060895299</c:v>
                </c:pt>
                <c:pt idx="110">
                  <c:v>1.2038399844502501</c:v>
                </c:pt>
                <c:pt idx="111">
                  <c:v>1.20327130107643</c:v>
                </c:pt>
                <c:pt idx="112">
                  <c:v>1.2027864223670299</c:v>
                </c:pt>
                <c:pt idx="113">
                  <c:v>1.2018163657187</c:v>
                </c:pt>
                <c:pt idx="114">
                  <c:v>1.20116901841438</c:v>
                </c:pt>
                <c:pt idx="115">
                  <c:v>1.2009272894654901</c:v>
                </c:pt>
                <c:pt idx="116">
                  <c:v>1.2002364691479399</c:v>
                </c:pt>
                <c:pt idx="117">
                  <c:v>1.1984209971387301</c:v>
                </c:pt>
                <c:pt idx="118">
                  <c:v>1.1958332041031501</c:v>
                </c:pt>
                <c:pt idx="119">
                  <c:v>1.1927854379054099</c:v>
                </c:pt>
                <c:pt idx="120">
                  <c:v>1.1892046206025999</c:v>
                </c:pt>
                <c:pt idx="121">
                  <c:v>1.18595664639027</c:v>
                </c:pt>
                <c:pt idx="122">
                  <c:v>1.1835959651458801</c:v>
                </c:pt>
                <c:pt idx="123">
                  <c:v>1.1808965896055399</c:v>
                </c:pt>
                <c:pt idx="124">
                  <c:v>1.1780294004566501</c:v>
                </c:pt>
                <c:pt idx="125">
                  <c:v>1.1752476046412399</c:v>
                </c:pt>
                <c:pt idx="126">
                  <c:v>1.17283176133675</c:v>
                </c:pt>
                <c:pt idx="127">
                  <c:v>1.1703202224098901</c:v>
                </c:pt>
                <c:pt idx="128">
                  <c:v>1.16815674311131</c:v>
                </c:pt>
                <c:pt idx="129">
                  <c:v>1.1656235930935599</c:v>
                </c:pt>
                <c:pt idx="130">
                  <c:v>1.16157611166012</c:v>
                </c:pt>
                <c:pt idx="131">
                  <c:v>1.15834953347553</c:v>
                </c:pt>
                <c:pt idx="132">
                  <c:v>1.1551542222206901</c:v>
                </c:pt>
                <c:pt idx="133">
                  <c:v>1.1524666060814299</c:v>
                </c:pt>
                <c:pt idx="134">
                  <c:v>1.1497250295680801</c:v>
                </c:pt>
                <c:pt idx="135">
                  <c:v>1.1468395556569599</c:v>
                </c:pt>
                <c:pt idx="136">
                  <c:v>1.1455006118290101</c:v>
                </c:pt>
                <c:pt idx="137">
                  <c:v>1.1443333601672201</c:v>
                </c:pt>
                <c:pt idx="138">
                  <c:v>1.14344706619167</c:v>
                </c:pt>
                <c:pt idx="139">
                  <c:v>1.1420017440408301</c:v>
                </c:pt>
                <c:pt idx="140">
                  <c:v>1.1401007372295799</c:v>
                </c:pt>
                <c:pt idx="141">
                  <c:v>1.13768503996452</c:v>
                </c:pt>
                <c:pt idx="142">
                  <c:v>1.1337764710354801</c:v>
                </c:pt>
                <c:pt idx="143">
                  <c:v>1.13050499220047</c:v>
                </c:pt>
                <c:pt idx="144">
                  <c:v>1.12783101674569</c:v>
                </c:pt>
                <c:pt idx="145">
                  <c:v>1.1256630190325001</c:v>
                </c:pt>
                <c:pt idx="146">
                  <c:v>1.1249541732794599</c:v>
                </c:pt>
                <c:pt idx="147">
                  <c:v>1.1237243079833901</c:v>
                </c:pt>
                <c:pt idx="148">
                  <c:v>1.1231576657533899</c:v>
                </c:pt>
                <c:pt idx="149">
                  <c:v>1.1235776325742599</c:v>
                </c:pt>
                <c:pt idx="150">
                  <c:v>1.1247817643720499</c:v>
                </c:pt>
                <c:pt idx="151">
                  <c:v>1.12615696769144</c:v>
                </c:pt>
                <c:pt idx="152">
                  <c:v>1.1281237545932301</c:v>
                </c:pt>
                <c:pt idx="153">
                  <c:v>1.1305159778256</c:v>
                </c:pt>
                <c:pt idx="154">
                  <c:v>1.1330742957070199</c:v>
                </c:pt>
                <c:pt idx="155">
                  <c:v>1.1352153449670801</c:v>
                </c:pt>
                <c:pt idx="156">
                  <c:v>1.1351494760144201</c:v>
                </c:pt>
                <c:pt idx="157">
                  <c:v>1.13567762684498</c:v>
                </c:pt>
                <c:pt idx="158">
                  <c:v>1.1360987560140801</c:v>
                </c:pt>
                <c:pt idx="159">
                  <c:v>1.13754533482608</c:v>
                </c:pt>
                <c:pt idx="160">
                  <c:v>1.1384678915117401</c:v>
                </c:pt>
                <c:pt idx="161">
                  <c:v>1.13948890302602</c:v>
                </c:pt>
                <c:pt idx="162">
                  <c:v>1.1412675860907999</c:v>
                </c:pt>
                <c:pt idx="163">
                  <c:v>1.1428665392183901</c:v>
                </c:pt>
                <c:pt idx="164">
                  <c:v>1.1438306357078301</c:v>
                </c:pt>
                <c:pt idx="165">
                  <c:v>1.14440102553372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9B-4AFF-9EC5-4329B31C7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ITA_XAR_1!$U$1</c:f>
              <c:strCache>
                <c:ptCount val="1"/>
                <c:pt idx="0">
                  <c:v>log diff ITA x avg / XAR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ITA_XAR_1!$U$2:$U$167</c:f>
              <c:numCache>
                <c:formatCode>0.0000%</c:formatCode>
                <c:ptCount val="166"/>
                <c:pt idx="1">
                  <c:v>1.41295232445964E-2</c:v>
                </c:pt>
                <c:pt idx="2">
                  <c:v>8.4299640634442202E-3</c:v>
                </c:pt>
                <c:pt idx="3">
                  <c:v>5.1004125233375603E-3</c:v>
                </c:pt>
                <c:pt idx="4">
                  <c:v>-1.3330077451879E-2</c:v>
                </c:pt>
                <c:pt idx="5">
                  <c:v>-1.8384392590525898E-2</c:v>
                </c:pt>
                <c:pt idx="6">
                  <c:v>-1.8416192599796499E-2</c:v>
                </c:pt>
                <c:pt idx="7">
                  <c:v>-1.6124779026630901E-2</c:v>
                </c:pt>
                <c:pt idx="8">
                  <c:v>-2.4421586928319999E-2</c:v>
                </c:pt>
                <c:pt idx="9">
                  <c:v>-2.90298913054392E-2</c:v>
                </c:pt>
                <c:pt idx="10">
                  <c:v>-2.9636745828570999E-2</c:v>
                </c:pt>
                <c:pt idx="11">
                  <c:v>-2.39121267108258E-2</c:v>
                </c:pt>
                <c:pt idx="12">
                  <c:v>-1.8460174725458901E-2</c:v>
                </c:pt>
                <c:pt idx="13">
                  <c:v>-3.7540107809872901E-2</c:v>
                </c:pt>
                <c:pt idx="14">
                  <c:v>-3.2776456294153801E-2</c:v>
                </c:pt>
                <c:pt idx="15">
                  <c:v>-2.87343510060185E-2</c:v>
                </c:pt>
                <c:pt idx="16">
                  <c:v>-3.1342679088897603E-2</c:v>
                </c:pt>
                <c:pt idx="17">
                  <c:v>-3.2962694356859598E-2</c:v>
                </c:pt>
                <c:pt idx="18">
                  <c:v>-2.3780579320935601E-2</c:v>
                </c:pt>
                <c:pt idx="19">
                  <c:v>-7.5283621153541102E-3</c:v>
                </c:pt>
                <c:pt idx="20">
                  <c:v>-2.9254078011521599E-3</c:v>
                </c:pt>
                <c:pt idx="21">
                  <c:v>-1.8438539994079899E-2</c:v>
                </c:pt>
                <c:pt idx="22">
                  <c:v>3.4161721096612101E-3</c:v>
                </c:pt>
                <c:pt idx="23">
                  <c:v>1.6459913968829801E-2</c:v>
                </c:pt>
                <c:pt idx="24">
                  <c:v>1.79756751595088E-3</c:v>
                </c:pt>
                <c:pt idx="25">
                  <c:v>-9.5940775466512498E-3</c:v>
                </c:pt>
                <c:pt idx="26">
                  <c:v>1.11831044915418E-4</c:v>
                </c:pt>
                <c:pt idx="27">
                  <c:v>8.8625278654762708E-3</c:v>
                </c:pt>
                <c:pt idx="28">
                  <c:v>1.2649951156260201E-2</c:v>
                </c:pt>
                <c:pt idx="29">
                  <c:v>1.13700326033182E-2</c:v>
                </c:pt>
                <c:pt idx="30">
                  <c:v>1.5069459573454701E-2</c:v>
                </c:pt>
                <c:pt idx="31">
                  <c:v>6.62277716532759E-3</c:v>
                </c:pt>
                <c:pt idx="32">
                  <c:v>-2.0938327913038201E-3</c:v>
                </c:pt>
                <c:pt idx="33">
                  <c:v>7.2131774204641699E-3</c:v>
                </c:pt>
                <c:pt idx="34">
                  <c:v>8.480690725063E-3</c:v>
                </c:pt>
                <c:pt idx="35">
                  <c:v>1.8081293821819999E-3</c:v>
                </c:pt>
                <c:pt idx="36">
                  <c:v>2.4160022968158202E-3</c:v>
                </c:pt>
                <c:pt idx="37">
                  <c:v>-2.20922214645702E-3</c:v>
                </c:pt>
                <c:pt idx="38">
                  <c:v>4.2081037827494698E-3</c:v>
                </c:pt>
                <c:pt idx="39">
                  <c:v>7.7686236378616998E-3</c:v>
                </c:pt>
                <c:pt idx="40">
                  <c:v>4.42880878523161E-3</c:v>
                </c:pt>
                <c:pt idx="41">
                  <c:v>2.5806143285539802E-3</c:v>
                </c:pt>
                <c:pt idx="42">
                  <c:v>3.84144647513174E-3</c:v>
                </c:pt>
                <c:pt idx="43">
                  <c:v>1.09361020372781E-2</c:v>
                </c:pt>
                <c:pt idx="44">
                  <c:v>-8.4059224265519705E-5</c:v>
                </c:pt>
                <c:pt idx="45">
                  <c:v>5.4532736237502396E-3</c:v>
                </c:pt>
                <c:pt idx="46">
                  <c:v>2.9059453152150698E-3</c:v>
                </c:pt>
                <c:pt idx="47">
                  <c:v>4.6618740013297201E-3</c:v>
                </c:pt>
                <c:pt idx="48">
                  <c:v>8.1065930519524706E-3</c:v>
                </c:pt>
                <c:pt idx="49">
                  <c:v>2.1542919266990201E-3</c:v>
                </c:pt>
                <c:pt idx="50">
                  <c:v>-8.2196938203437896E-3</c:v>
                </c:pt>
                <c:pt idx="51">
                  <c:v>-4.5660200388746601E-3</c:v>
                </c:pt>
                <c:pt idx="52">
                  <c:v>-1.12053246486917E-2</c:v>
                </c:pt>
                <c:pt idx="53">
                  <c:v>2.2550337382501499E-3</c:v>
                </c:pt>
                <c:pt idx="54">
                  <c:v>-9.3824947982952198E-3</c:v>
                </c:pt>
                <c:pt idx="55">
                  <c:v>-8.1051112357840398E-3</c:v>
                </c:pt>
                <c:pt idx="56">
                  <c:v>-1.23736199350011E-2</c:v>
                </c:pt>
                <c:pt idx="57">
                  <c:v>-1.5970179753336E-3</c:v>
                </c:pt>
                <c:pt idx="58">
                  <c:v>5.1481925516477503E-3</c:v>
                </c:pt>
                <c:pt idx="59">
                  <c:v>1.43563463959634E-2</c:v>
                </c:pt>
                <c:pt idx="60">
                  <c:v>4.0969409100807602E-3</c:v>
                </c:pt>
                <c:pt idx="61">
                  <c:v>2.9712507619639398E-3</c:v>
                </c:pt>
                <c:pt idx="62">
                  <c:v>-3.37010655848272E-3</c:v>
                </c:pt>
                <c:pt idx="63">
                  <c:v>-4.1727004857396704E-3</c:v>
                </c:pt>
                <c:pt idx="64">
                  <c:v>1.02672465618264E-3</c:v>
                </c:pt>
                <c:pt idx="65">
                  <c:v>-3.7689090712854502E-3</c:v>
                </c:pt>
                <c:pt idx="66">
                  <c:v>3.8936025809437501E-3</c:v>
                </c:pt>
                <c:pt idx="67">
                  <c:v>-3.4196912670014101E-4</c:v>
                </c:pt>
                <c:pt idx="68">
                  <c:v>-8.5331410886863492E-3</c:v>
                </c:pt>
                <c:pt idx="69">
                  <c:v>-7.3019168255878302E-3</c:v>
                </c:pt>
                <c:pt idx="70">
                  <c:v>-9.7346749507988394E-3</c:v>
                </c:pt>
                <c:pt idx="71">
                  <c:v>-2.08396257905526E-2</c:v>
                </c:pt>
                <c:pt idx="72">
                  <c:v>-2.1875073413537199E-2</c:v>
                </c:pt>
                <c:pt idx="73">
                  <c:v>-2.21546280085579E-2</c:v>
                </c:pt>
                <c:pt idx="74">
                  <c:v>-2.79718055268478E-2</c:v>
                </c:pt>
                <c:pt idx="75">
                  <c:v>-3.2466660622263603E-2</c:v>
                </c:pt>
                <c:pt idx="76">
                  <c:v>-2.3743337808173001E-2</c:v>
                </c:pt>
                <c:pt idx="77">
                  <c:v>-1.9158721577998802E-2</c:v>
                </c:pt>
                <c:pt idx="78">
                  <c:v>-2.4073069763682699E-2</c:v>
                </c:pt>
                <c:pt idx="79">
                  <c:v>-1.1237444645855899E-2</c:v>
                </c:pt>
                <c:pt idx="80">
                  <c:v>-5.08825130260856E-3</c:v>
                </c:pt>
                <c:pt idx="81">
                  <c:v>-1.68849403849952E-2</c:v>
                </c:pt>
                <c:pt idx="82">
                  <c:v>-1.69441526012153E-2</c:v>
                </c:pt>
                <c:pt idx="83">
                  <c:v>-1.9342849320548701E-2</c:v>
                </c:pt>
                <c:pt idx="84">
                  <c:v>-1.63454996160847E-2</c:v>
                </c:pt>
                <c:pt idx="85">
                  <c:v>-2.57456197769684E-2</c:v>
                </c:pt>
                <c:pt idx="86">
                  <c:v>-1.28460841744516E-2</c:v>
                </c:pt>
                <c:pt idx="87">
                  <c:v>-1.8448512141531301E-2</c:v>
                </c:pt>
                <c:pt idx="88">
                  <c:v>-2.22835740373062E-2</c:v>
                </c:pt>
                <c:pt idx="89">
                  <c:v>-2.12977434872368E-2</c:v>
                </c:pt>
                <c:pt idx="90">
                  <c:v>-2.61553545610087E-2</c:v>
                </c:pt>
                <c:pt idx="91">
                  <c:v>-3.6289043488059898E-2</c:v>
                </c:pt>
                <c:pt idx="92">
                  <c:v>-2.8959983054238699E-2</c:v>
                </c:pt>
                <c:pt idx="93">
                  <c:v>-2.4856798426340102E-2</c:v>
                </c:pt>
                <c:pt idx="94">
                  <c:v>-1.9217732309539E-2</c:v>
                </c:pt>
                <c:pt idx="95">
                  <c:v>-2.3524714944588399E-2</c:v>
                </c:pt>
                <c:pt idx="96">
                  <c:v>-2.3619189203822E-2</c:v>
                </c:pt>
                <c:pt idx="97">
                  <c:v>-3.1616371570344602E-2</c:v>
                </c:pt>
                <c:pt idx="98">
                  <c:v>-3.3145400613604603E-2</c:v>
                </c:pt>
                <c:pt idx="99">
                  <c:v>-3.7266264423925798E-2</c:v>
                </c:pt>
                <c:pt idx="100">
                  <c:v>-5.2931480787181302E-2</c:v>
                </c:pt>
                <c:pt idx="101">
                  <c:v>-4.8081436777484401E-2</c:v>
                </c:pt>
                <c:pt idx="102">
                  <c:v>-4.3678735740160402E-2</c:v>
                </c:pt>
                <c:pt idx="103">
                  <c:v>-4.7999972416126198E-2</c:v>
                </c:pt>
                <c:pt idx="104">
                  <c:v>-4.2121025677297398E-2</c:v>
                </c:pt>
                <c:pt idx="105">
                  <c:v>-3.7983336229869102E-2</c:v>
                </c:pt>
                <c:pt idx="106">
                  <c:v>-1.8787381574950499E-2</c:v>
                </c:pt>
                <c:pt idx="107">
                  <c:v>-2.3006966658866802E-2</c:v>
                </c:pt>
                <c:pt idx="108">
                  <c:v>-1.7405910124745301E-2</c:v>
                </c:pt>
                <c:pt idx="109">
                  <c:v>-1.7291513919171501E-2</c:v>
                </c:pt>
                <c:pt idx="110">
                  <c:v>-3.2922313944662399E-2</c:v>
                </c:pt>
                <c:pt idx="111">
                  <c:v>-2.6836238615077501E-2</c:v>
                </c:pt>
                <c:pt idx="112">
                  <c:v>-2.1535151109477201E-2</c:v>
                </c:pt>
                <c:pt idx="113">
                  <c:v>-9.1732248907959498E-3</c:v>
                </c:pt>
                <c:pt idx="114">
                  <c:v>-8.9374042378579203E-3</c:v>
                </c:pt>
                <c:pt idx="115">
                  <c:v>-2.0150194441265399E-2</c:v>
                </c:pt>
                <c:pt idx="116">
                  <c:v>-1.1977063587061699E-2</c:v>
                </c:pt>
                <c:pt idx="117">
                  <c:v>-9.7596723829714298E-4</c:v>
                </c:pt>
                <c:pt idx="118">
                  <c:v>1.0751220976664101E-2</c:v>
                </c:pt>
                <c:pt idx="119">
                  <c:v>1.4419562562874201E-2</c:v>
                </c:pt>
                <c:pt idx="120">
                  <c:v>7.0978598089048899E-3</c:v>
                </c:pt>
                <c:pt idx="121">
                  <c:v>6.4849751266140201E-3</c:v>
                </c:pt>
                <c:pt idx="122">
                  <c:v>-4.1398295477792398E-3</c:v>
                </c:pt>
                <c:pt idx="123">
                  <c:v>-2.85784115027147E-3</c:v>
                </c:pt>
                <c:pt idx="124">
                  <c:v>6.1859871877747302E-3</c:v>
                </c:pt>
                <c:pt idx="125">
                  <c:v>9.0495453796816897E-3</c:v>
                </c:pt>
                <c:pt idx="126">
                  <c:v>2.2736150240081601E-2</c:v>
                </c:pt>
                <c:pt idx="127">
                  <c:v>2.0011530637132201E-2</c:v>
                </c:pt>
                <c:pt idx="128">
                  <c:v>1.9750708717522901E-2</c:v>
                </c:pt>
                <c:pt idx="129">
                  <c:v>2.6359545531619E-2</c:v>
                </c:pt>
                <c:pt idx="130">
                  <c:v>3.6628361603137698E-2</c:v>
                </c:pt>
                <c:pt idx="131">
                  <c:v>2.85573712470941E-2</c:v>
                </c:pt>
                <c:pt idx="132">
                  <c:v>3.43342304887055E-2</c:v>
                </c:pt>
                <c:pt idx="133">
                  <c:v>3.8304650962046299E-2</c:v>
                </c:pt>
                <c:pt idx="134">
                  <c:v>3.95046848428987E-2</c:v>
                </c:pt>
                <c:pt idx="135">
                  <c:v>3.0299030598521699E-2</c:v>
                </c:pt>
                <c:pt idx="136">
                  <c:v>1.09810284906198E-2</c:v>
                </c:pt>
                <c:pt idx="137">
                  <c:v>1.92319054782801E-2</c:v>
                </c:pt>
                <c:pt idx="138">
                  <c:v>2.6239571347425598E-2</c:v>
                </c:pt>
                <c:pt idx="139">
                  <c:v>3.9896472403750202E-2</c:v>
                </c:pt>
                <c:pt idx="140">
                  <c:v>4.0494071650750502E-2</c:v>
                </c:pt>
                <c:pt idx="141">
                  <c:v>4.9091608604922898E-2</c:v>
                </c:pt>
                <c:pt idx="142">
                  <c:v>6.4969982306997701E-2</c:v>
                </c:pt>
                <c:pt idx="143">
                  <c:v>5.4732247122713899E-2</c:v>
                </c:pt>
                <c:pt idx="144">
                  <c:v>5.34428071887963E-2</c:v>
                </c:pt>
                <c:pt idx="145">
                  <c:v>4.7302796890346603E-2</c:v>
                </c:pt>
                <c:pt idx="146">
                  <c:v>3.5254314185661502E-2</c:v>
                </c:pt>
                <c:pt idx="147">
                  <c:v>4.1771802579134598E-2</c:v>
                </c:pt>
                <c:pt idx="148">
                  <c:v>2.9715030633111299E-2</c:v>
                </c:pt>
                <c:pt idx="149">
                  <c:v>1.8989660509824799E-2</c:v>
                </c:pt>
                <c:pt idx="150">
                  <c:v>1.54267548214163E-2</c:v>
                </c:pt>
                <c:pt idx="151">
                  <c:v>4.5718216612964501E-3</c:v>
                </c:pt>
                <c:pt idx="152">
                  <c:v>1.0606537619903101E-5</c:v>
                </c:pt>
                <c:pt idx="153">
                  <c:v>-3.4531215343376301E-3</c:v>
                </c:pt>
                <c:pt idx="154">
                  <c:v>-5.1410188945078296E-3</c:v>
                </c:pt>
                <c:pt idx="155">
                  <c:v>-6.8622072193598102E-3</c:v>
                </c:pt>
                <c:pt idx="156">
                  <c:v>1.2124162702668501E-2</c:v>
                </c:pt>
                <c:pt idx="157">
                  <c:v>1.00377567773115E-2</c:v>
                </c:pt>
                <c:pt idx="158">
                  <c:v>1.8850247088552399E-2</c:v>
                </c:pt>
                <c:pt idx="159">
                  <c:v>1.43976912405491E-2</c:v>
                </c:pt>
                <c:pt idx="160">
                  <c:v>2.41475917897775E-2</c:v>
                </c:pt>
                <c:pt idx="161">
                  <c:v>3.0861656956458299E-2</c:v>
                </c:pt>
                <c:pt idx="162">
                  <c:v>3.2926681970727602E-2</c:v>
                </c:pt>
                <c:pt idx="163">
                  <c:v>2.6170288032594299E-2</c:v>
                </c:pt>
                <c:pt idx="164">
                  <c:v>3.6145906604087702E-2</c:v>
                </c:pt>
                <c:pt idx="165">
                  <c:v>3.7095844783590001E-2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56-4224-90F6-69CD5ADF74DF}"/>
            </c:ext>
          </c:extLst>
        </c:ser>
        <c:ser>
          <c:idx val="1"/>
          <c:order val="1"/>
          <c:tx>
            <c:strRef>
              <c:f>ITA_XAR_1!$V$1</c:f>
              <c:strCache>
                <c:ptCount val="1"/>
                <c:pt idx="0">
                  <c:v>log diff ITA x 10 dma / XAR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ITA_XAR_1!$V$2:$V$167</c:f>
              <c:numCache>
                <c:formatCode>0.0000%</c:formatCode>
                <c:ptCount val="166"/>
                <c:pt idx="10">
                  <c:v>-2.3561523503145498E-2</c:v>
                </c:pt>
                <c:pt idx="11">
                  <c:v>-1.16316608152074E-2</c:v>
                </c:pt>
                <c:pt idx="12">
                  <c:v>-2.4104347818399499E-3</c:v>
                </c:pt>
                <c:pt idx="13">
                  <c:v>-1.8834313472415699E-2</c:v>
                </c:pt>
                <c:pt idx="14">
                  <c:v>-9.8258964968477094E-3</c:v>
                </c:pt>
                <c:pt idx="15">
                  <c:v>-3.84081174941725E-3</c:v>
                </c:pt>
                <c:pt idx="16">
                  <c:v>-5.4160531322068398E-3</c:v>
                </c:pt>
                <c:pt idx="17">
                  <c:v>-5.7455967181514796E-3</c:v>
                </c:pt>
                <c:pt idx="18">
                  <c:v>5.1144258431680004E-3</c:v>
                </c:pt>
                <c:pt idx="19">
                  <c:v>2.1302846810635601E-2</c:v>
                </c:pt>
                <c:pt idx="20">
                  <c:v>2.3775909917215801E-2</c:v>
                </c:pt>
                <c:pt idx="21">
                  <c:v>5.6157543991651E-3</c:v>
                </c:pt>
                <c:pt idx="22">
                  <c:v>2.6924531712721599E-2</c:v>
                </c:pt>
                <c:pt idx="23">
                  <c:v>3.7812969212119102E-2</c:v>
                </c:pt>
                <c:pt idx="24">
                  <c:v>1.7793724368150601E-2</c:v>
                </c:pt>
                <c:pt idx="25">
                  <c:v>2.9402711226822901E-3</c:v>
                </c:pt>
                <c:pt idx="26">
                  <c:v>1.07175324090253E-2</c:v>
                </c:pt>
                <c:pt idx="27">
                  <c:v>1.6301842804893101E-2</c:v>
                </c:pt>
                <c:pt idx="28">
                  <c:v>1.58782545510417E-2</c:v>
                </c:pt>
                <c:pt idx="29">
                  <c:v>1.0939873185677599E-2</c:v>
                </c:pt>
                <c:pt idx="30">
                  <c:v>1.27504649152517E-2</c:v>
                </c:pt>
                <c:pt idx="31">
                  <c:v>2.5094035184647099E-3</c:v>
                </c:pt>
                <c:pt idx="32">
                  <c:v>-8.7418547547523599E-3</c:v>
                </c:pt>
                <c:pt idx="33">
                  <c:v>1.1193117282432899E-3</c:v>
                </c:pt>
                <c:pt idx="34">
                  <c:v>3.3057847033073902E-3</c:v>
                </c:pt>
                <c:pt idx="35">
                  <c:v>-4.0353375518848702E-3</c:v>
                </c:pt>
                <c:pt idx="36">
                  <c:v>-4.5795108305531299E-3</c:v>
                </c:pt>
                <c:pt idx="37">
                  <c:v>-9.4365037564799106E-3</c:v>
                </c:pt>
                <c:pt idx="38">
                  <c:v>-1.9082873039490899E-3</c:v>
                </c:pt>
                <c:pt idx="39">
                  <c:v>2.49411527008716E-3</c:v>
                </c:pt>
                <c:pt idx="40">
                  <c:v>-4.8716619648040403E-4</c:v>
                </c:pt>
                <c:pt idx="41">
                  <c:v>-1.27698124772583E-3</c:v>
                </c:pt>
                <c:pt idx="42">
                  <c:v>3.87685239919054E-4</c:v>
                </c:pt>
                <c:pt idx="43">
                  <c:v>6.8871016302998397E-3</c:v>
                </c:pt>
                <c:pt idx="44">
                  <c:v>-4.5035546176456004E-3</c:v>
                </c:pt>
                <c:pt idx="45">
                  <c:v>1.8900785696424E-3</c:v>
                </c:pt>
                <c:pt idx="46">
                  <c:v>-1.0218062012303799E-3</c:v>
                </c:pt>
                <c:pt idx="47">
                  <c:v>6.85064875031533E-4</c:v>
                </c:pt>
                <c:pt idx="48">
                  <c:v>3.44054299864535E-3</c:v>
                </c:pt>
                <c:pt idx="49">
                  <c:v>-2.9011021368030901E-3</c:v>
                </c:pt>
                <c:pt idx="50">
                  <c:v>-1.27137588085207E-2</c:v>
                </c:pt>
                <c:pt idx="51">
                  <c:v>-7.7879281711108602E-3</c:v>
                </c:pt>
                <c:pt idx="52">
                  <c:v>-1.3709806843864299E-2</c:v>
                </c:pt>
                <c:pt idx="53">
                  <c:v>1.26343537129877E-3</c:v>
                </c:pt>
                <c:pt idx="54">
                  <c:v>-9.5112072562573806E-3</c:v>
                </c:pt>
                <c:pt idx="55">
                  <c:v>-7.2998811326977601E-3</c:v>
                </c:pt>
                <c:pt idx="56">
                  <c:v>-1.0212754091263401E-2</c:v>
                </c:pt>
                <c:pt idx="57">
                  <c:v>2.0945835719238699E-3</c:v>
                </c:pt>
                <c:pt idx="58">
                  <c:v>9.4622294216742901E-3</c:v>
                </c:pt>
                <c:pt idx="59">
                  <c:v>1.8962961348308102E-2</c:v>
                </c:pt>
                <c:pt idx="60">
                  <c:v>7.4982105099296202E-3</c:v>
                </c:pt>
                <c:pt idx="61">
                  <c:v>5.1417412083694797E-3</c:v>
                </c:pt>
                <c:pt idx="62">
                  <c:v>-1.9525941538782001E-3</c:v>
                </c:pt>
                <c:pt idx="63">
                  <c:v>-3.5436356077243902E-3</c:v>
                </c:pt>
                <c:pt idx="64">
                  <c:v>2.2985694375972599E-3</c:v>
                </c:pt>
                <c:pt idx="65">
                  <c:v>-3.5415656107445998E-3</c:v>
                </c:pt>
                <c:pt idx="66">
                  <c:v>3.68474745414797E-3</c:v>
                </c:pt>
                <c:pt idx="67">
                  <c:v>-2.1861541325765002E-3</c:v>
                </c:pt>
                <c:pt idx="68">
                  <c:v>-1.05031925362021E-2</c:v>
                </c:pt>
                <c:pt idx="69">
                  <c:v>-7.8997461162988794E-3</c:v>
                </c:pt>
                <c:pt idx="70">
                  <c:v>-8.1752994086505392E-3</c:v>
                </c:pt>
                <c:pt idx="71">
                  <c:v>-1.7896292556292E-2</c:v>
                </c:pt>
                <c:pt idx="72">
                  <c:v>-1.65391528940186E-2</c:v>
                </c:pt>
                <c:pt idx="73">
                  <c:v>-1.49563862007816E-2</c:v>
                </c:pt>
                <c:pt idx="74">
                  <c:v>-1.8966221783086299E-2</c:v>
                </c:pt>
                <c:pt idx="75">
                  <c:v>-2.0552373688138E-2</c:v>
                </c:pt>
                <c:pt idx="76">
                  <c:v>-8.9454801399164192E-3</c:v>
                </c:pt>
                <c:pt idx="77">
                  <c:v>-1.6142923196745299E-3</c:v>
                </c:pt>
                <c:pt idx="78">
                  <c:v>-4.66328749778746E-3</c:v>
                </c:pt>
                <c:pt idx="79">
                  <c:v>9.7203270590504494E-3</c:v>
                </c:pt>
                <c:pt idx="80">
                  <c:v>1.6258424699039199E-2</c:v>
                </c:pt>
                <c:pt idx="81">
                  <c:v>4.0034178126954097E-3</c:v>
                </c:pt>
                <c:pt idx="82">
                  <c:v>3.5494593344997999E-3</c:v>
                </c:pt>
                <c:pt idx="83">
                  <c:v>6.5808290990292302E-4</c:v>
                </c:pt>
                <c:pt idx="84">
                  <c:v>3.3740047104945901E-3</c:v>
                </c:pt>
                <c:pt idx="85">
                  <c:v>-7.1922715910661301E-3</c:v>
                </c:pt>
                <c:pt idx="86">
                  <c:v>5.0277977337032896E-3</c:v>
                </c:pt>
                <c:pt idx="87">
                  <c:v>-1.66541436430039E-3</c:v>
                </c:pt>
                <c:pt idx="88">
                  <c:v>-5.5716433817777399E-3</c:v>
                </c:pt>
                <c:pt idx="89">
                  <c:v>-4.7659395575678203E-3</c:v>
                </c:pt>
                <c:pt idx="90">
                  <c:v>-8.61828771984385E-3</c:v>
                </c:pt>
                <c:pt idx="91">
                  <c:v>-1.6651466099276601E-2</c:v>
                </c:pt>
                <c:pt idx="92">
                  <c:v>-7.37033954259268E-3</c:v>
                </c:pt>
                <c:pt idx="93">
                  <c:v>-2.0646497485684698E-3</c:v>
                </c:pt>
                <c:pt idx="94">
                  <c:v>4.12527861211749E-3</c:v>
                </c:pt>
                <c:pt idx="95">
                  <c:v>1.03885631503757E-4</c:v>
                </c:pt>
                <c:pt idx="96">
                  <c:v>-2.1292753356998999E-4</c:v>
                </c:pt>
                <c:pt idx="97">
                  <c:v>-7.1389273427917696E-3</c:v>
                </c:pt>
                <c:pt idx="98">
                  <c:v>-7.3512970849952501E-3</c:v>
                </c:pt>
                <c:pt idx="99">
                  <c:v>-1.03844767391794E-2</c:v>
                </c:pt>
                <c:pt idx="100">
                  <c:v>-2.4450266373123E-2</c:v>
                </c:pt>
                <c:pt idx="101">
                  <c:v>-1.6896402744194301E-2</c:v>
                </c:pt>
                <c:pt idx="102">
                  <c:v>-1.13021221978885E-2</c:v>
                </c:pt>
                <c:pt idx="103">
                  <c:v>-1.41467463101397E-2</c:v>
                </c:pt>
                <c:pt idx="104">
                  <c:v>-5.9501507980939897E-3</c:v>
                </c:pt>
                <c:pt idx="105">
                  <c:v>4.6276184560361801E-4</c:v>
                </c:pt>
                <c:pt idx="106">
                  <c:v>2.10924837796393E-2</c:v>
                </c:pt>
                <c:pt idx="107">
                  <c:v>1.63985453998538E-2</c:v>
                </c:pt>
                <c:pt idx="108">
                  <c:v>2.1148646226828299E-2</c:v>
                </c:pt>
                <c:pt idx="109">
                  <c:v>1.9708632040286399E-2</c:v>
                </c:pt>
                <c:pt idx="110">
                  <c:v>2.09768877738228E-3</c:v>
                </c:pt>
                <c:pt idx="111">
                  <c:v>6.1648934795913001E-3</c:v>
                </c:pt>
                <c:pt idx="112">
                  <c:v>9.3296490787518303E-3</c:v>
                </c:pt>
                <c:pt idx="113">
                  <c:v>1.94708464281718E-2</c:v>
                </c:pt>
                <c:pt idx="114">
                  <c:v>1.5816414366031602E-2</c:v>
                </c:pt>
                <c:pt idx="115">
                  <c:v>1.2770085485443699E-3</c:v>
                </c:pt>
                <c:pt idx="116">
                  <c:v>7.65150893334031E-3</c:v>
                </c:pt>
                <c:pt idx="117">
                  <c:v>1.79742278948791E-2</c:v>
                </c:pt>
                <c:pt idx="118">
                  <c:v>2.7511152600966E-2</c:v>
                </c:pt>
                <c:pt idx="119">
                  <c:v>2.8397392262208901E-2</c:v>
                </c:pt>
                <c:pt idx="120">
                  <c:v>1.7939059766159199E-2</c:v>
                </c:pt>
                <c:pt idx="121">
                  <c:v>1.3307529252595599E-2</c:v>
                </c:pt>
                <c:pt idx="122">
                  <c:v>-6.6634496083018595E-4</c:v>
                </c:pt>
                <c:pt idx="123">
                  <c:v>-1.1418197852936401E-3</c:v>
                </c:pt>
                <c:pt idx="124">
                  <c:v>7.2675467441091603E-3</c:v>
                </c:pt>
                <c:pt idx="125">
                  <c:v>8.6171610233676497E-3</c:v>
                </c:pt>
                <c:pt idx="126">
                  <c:v>1.93618426115903E-2</c:v>
                </c:pt>
                <c:pt idx="127">
                  <c:v>1.3166666103674399E-2</c:v>
                </c:pt>
                <c:pt idx="128">
                  <c:v>1.08104644987915E-2</c:v>
                </c:pt>
                <c:pt idx="129">
                  <c:v>1.6524610847356201E-2</c:v>
                </c:pt>
                <c:pt idx="130">
                  <c:v>2.5611259043980601E-2</c:v>
                </c:pt>
                <c:pt idx="131">
                  <c:v>1.46146927777658E-2</c:v>
                </c:pt>
                <c:pt idx="132">
                  <c:v>1.81897300086146E-2</c:v>
                </c:pt>
                <c:pt idx="133">
                  <c:v>1.8301038626283E-2</c:v>
                </c:pt>
                <c:pt idx="134">
                  <c:v>1.53666002529705E-2</c:v>
                </c:pt>
                <c:pt idx="135">
                  <c:v>2.81903389571632E-3</c:v>
                </c:pt>
                <c:pt idx="136">
                  <c:v>-1.8642905251794101E-2</c:v>
                </c:pt>
                <c:pt idx="137">
                  <c:v>-9.2021154574013497E-3</c:v>
                </c:pt>
                <c:pt idx="138">
                  <c:v>-2.1158000979613701E-3</c:v>
                </c:pt>
                <c:pt idx="139">
                  <c:v>1.0888513142603499E-2</c:v>
                </c:pt>
                <c:pt idx="140">
                  <c:v>1.0137065662050899E-2</c:v>
                </c:pt>
                <c:pt idx="141">
                  <c:v>1.83511163868702E-2</c:v>
                </c:pt>
                <c:pt idx="142">
                  <c:v>3.2190486167133499E-2</c:v>
                </c:pt>
                <c:pt idx="143">
                  <c:v>1.8935768355973201E-2</c:v>
                </c:pt>
                <c:pt idx="144">
                  <c:v>1.6019747895914701E-2</c:v>
                </c:pt>
                <c:pt idx="145">
                  <c:v>8.4975173984433994E-3</c:v>
                </c:pt>
                <c:pt idx="146">
                  <c:v>-5.2528171721848097E-3</c:v>
                </c:pt>
                <c:pt idx="147">
                  <c:v>-1.2083524616672799E-3</c:v>
                </c:pt>
                <c:pt idx="148">
                  <c:v>-1.5550073115591799E-2</c:v>
                </c:pt>
                <c:pt idx="149">
                  <c:v>-2.6629112420226201E-2</c:v>
                </c:pt>
                <c:pt idx="150">
                  <c:v>-2.8069459201806202E-2</c:v>
                </c:pt>
                <c:pt idx="151">
                  <c:v>-3.6381581534302702E-2</c:v>
                </c:pt>
                <c:pt idx="152">
                  <c:v>-3.6437294636095699E-2</c:v>
                </c:pt>
                <c:pt idx="153">
                  <c:v>-3.33993607938151E-2</c:v>
                </c:pt>
                <c:pt idx="154">
                  <c:v>-2.9259797014208E-2</c:v>
                </c:pt>
                <c:pt idx="155">
                  <c:v>-2.5139050481300301E-2</c:v>
                </c:pt>
                <c:pt idx="156">
                  <c:v>-7.6059919533413498E-4</c:v>
                </c:pt>
                <c:pt idx="157">
                  <c:v>-5.6140932592760795E-4</c:v>
                </c:pt>
                <c:pt idx="158">
                  <c:v>1.1371541906052799E-2</c:v>
                </c:pt>
                <c:pt idx="159">
                  <c:v>7.9867947863764294E-3</c:v>
                </c:pt>
                <c:pt idx="160">
                  <c:v>1.81910917811604E-2</c:v>
                </c:pt>
                <c:pt idx="161">
                  <c:v>2.4044678898906598E-2</c:v>
                </c:pt>
                <c:pt idx="162">
                  <c:v>2.3505757857888901E-2</c:v>
                </c:pt>
                <c:pt idx="163">
                  <c:v>1.34753719253102E-2</c:v>
                </c:pt>
                <c:pt idx="164">
                  <c:v>2.0480171241161998E-2</c:v>
                </c:pt>
                <c:pt idx="165">
                  <c:v>1.7291898744026899E-2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56-4224-90F6-69CD5ADF74DF}"/>
            </c:ext>
          </c:extLst>
        </c:ser>
        <c:ser>
          <c:idx val="2"/>
          <c:order val="2"/>
          <c:tx>
            <c:strRef>
              <c:f>ITA_XAR_1!$W$1</c:f>
              <c:strCache>
                <c:ptCount val="1"/>
                <c:pt idx="0">
                  <c:v>log diff ITA x 20 dma / XAR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ITA_XAR_1!$W$2:$W$167</c:f>
              <c:numCache>
                <c:formatCode>0.0000%</c:formatCode>
                <c:ptCount val="166"/>
                <c:pt idx="20">
                  <c:v>1.3516040754480501E-2</c:v>
                </c:pt>
                <c:pt idx="21">
                  <c:v>-2.5383207004588598E-4</c:v>
                </c:pt>
                <c:pt idx="22">
                  <c:v>2.3202175742785099E-2</c:v>
                </c:pt>
                <c:pt idx="23">
                  <c:v>3.6490214757735298E-2</c:v>
                </c:pt>
                <c:pt idx="24">
                  <c:v>2.12769712935615E-2</c:v>
                </c:pt>
                <c:pt idx="25">
                  <c:v>9.13895999379063E-3</c:v>
                </c:pt>
                <c:pt idx="26">
                  <c:v>1.8407335759645201E-2</c:v>
                </c:pt>
                <c:pt idx="27">
                  <c:v>2.6239628443712401E-2</c:v>
                </c:pt>
                <c:pt idx="28">
                  <c:v>2.8793950622899099E-2</c:v>
                </c:pt>
                <c:pt idx="29">
                  <c:v>2.5677581999014799E-2</c:v>
                </c:pt>
                <c:pt idx="30">
                  <c:v>2.7365889725962201E-2</c:v>
                </c:pt>
                <c:pt idx="31">
                  <c:v>1.6692411450339499E-2</c:v>
                </c:pt>
                <c:pt idx="32">
                  <c:v>6.4500076400065597E-3</c:v>
                </c:pt>
                <c:pt idx="33">
                  <c:v>1.49369359239638E-2</c:v>
                </c:pt>
                <c:pt idx="34">
                  <c:v>1.39473418318864E-2</c:v>
                </c:pt>
                <c:pt idx="35">
                  <c:v>5.1957876690023903E-3</c:v>
                </c:pt>
                <c:pt idx="36">
                  <c:v>4.2598212592591502E-3</c:v>
                </c:pt>
                <c:pt idx="37">
                  <c:v>-2.07631709096301E-3</c:v>
                </c:pt>
                <c:pt idx="38">
                  <c:v>2.7749753114449998E-3</c:v>
                </c:pt>
                <c:pt idx="39">
                  <c:v>4.9192232068796804E-3</c:v>
                </c:pt>
                <c:pt idx="40">
                  <c:v>8.1216700338736995E-4</c:v>
                </c:pt>
                <c:pt idx="41">
                  <c:v>-1.40486210521489E-3</c:v>
                </c:pt>
                <c:pt idx="42">
                  <c:v>-1.20816971204118E-3</c:v>
                </c:pt>
                <c:pt idx="43">
                  <c:v>5.8651916718417798E-3</c:v>
                </c:pt>
                <c:pt idx="44">
                  <c:v>-4.8811886011829097E-3</c:v>
                </c:pt>
                <c:pt idx="45">
                  <c:v>7.5059258450270797E-4</c:v>
                </c:pt>
                <c:pt idx="46">
                  <c:v>-2.5545106119909001E-3</c:v>
                </c:pt>
                <c:pt idx="47">
                  <c:v>-9.38850670991364E-4</c:v>
                </c:pt>
                <c:pt idx="48">
                  <c:v>2.71563541806577E-3</c:v>
                </c:pt>
                <c:pt idx="49">
                  <c:v>-3.01065328755469E-3</c:v>
                </c:pt>
                <c:pt idx="50">
                  <c:v>-1.2924691554283101E-2</c:v>
                </c:pt>
                <c:pt idx="51">
                  <c:v>-8.1057213808175908E-3</c:v>
                </c:pt>
                <c:pt idx="52">
                  <c:v>-1.4184333722551699E-2</c:v>
                </c:pt>
                <c:pt idx="53">
                  <c:v>-2.6409718576557401E-4</c:v>
                </c:pt>
                <c:pt idx="54">
                  <c:v>-1.1654297373456701E-2</c:v>
                </c:pt>
                <c:pt idx="55">
                  <c:v>-9.48170832089704E-3</c:v>
                </c:pt>
                <c:pt idx="56">
                  <c:v>-1.32524288708427E-2</c:v>
                </c:pt>
                <c:pt idx="57">
                  <c:v>-1.7322712175821199E-3</c:v>
                </c:pt>
                <c:pt idx="58">
                  <c:v>4.9822661712810102E-3</c:v>
                </c:pt>
                <c:pt idx="59">
                  <c:v>1.4143626097271799E-2</c:v>
                </c:pt>
                <c:pt idx="60">
                  <c:v>3.5583352342103401E-3</c:v>
                </c:pt>
                <c:pt idx="61">
                  <c:v>2.4491766599490702E-3</c:v>
                </c:pt>
                <c:pt idx="62">
                  <c:v>-3.91166869979409E-3</c:v>
                </c:pt>
                <c:pt idx="63">
                  <c:v>-4.3536389115743004E-3</c:v>
                </c:pt>
                <c:pt idx="64">
                  <c:v>1.59853601296149E-3</c:v>
                </c:pt>
                <c:pt idx="65">
                  <c:v>-3.2525805453511702E-3</c:v>
                </c:pt>
                <c:pt idx="66">
                  <c:v>4.8703098864353398E-3</c:v>
                </c:pt>
                <c:pt idx="67">
                  <c:v>5.8556975569429097E-4</c:v>
                </c:pt>
                <c:pt idx="68">
                  <c:v>-7.3562121648052701E-3</c:v>
                </c:pt>
                <c:pt idx="69">
                  <c:v>-5.2941382186071501E-3</c:v>
                </c:pt>
                <c:pt idx="70">
                  <c:v>-7.2539283081452903E-3</c:v>
                </c:pt>
                <c:pt idx="71">
                  <c:v>-1.82826392894745E-2</c:v>
                </c:pt>
                <c:pt idx="72">
                  <c:v>-1.8496437712434002E-2</c:v>
                </c:pt>
                <c:pt idx="73">
                  <c:v>-1.8235580414669699E-2</c:v>
                </c:pt>
                <c:pt idx="74">
                  <c:v>-2.2825614943099301E-2</c:v>
                </c:pt>
                <c:pt idx="75">
                  <c:v>-2.63787724411234E-2</c:v>
                </c:pt>
                <c:pt idx="76">
                  <c:v>-1.6420686622968798E-2</c:v>
                </c:pt>
                <c:pt idx="77">
                  <c:v>-1.1261610392384399E-2</c:v>
                </c:pt>
                <c:pt idx="78">
                  <c:v>-1.52960682814766E-2</c:v>
                </c:pt>
                <c:pt idx="79">
                  <c:v>-9.9939407138602298E-4</c:v>
                </c:pt>
                <c:pt idx="80">
                  <c:v>6.4137158282995699E-3</c:v>
                </c:pt>
                <c:pt idx="81">
                  <c:v>-4.9288422189917398E-3</c:v>
                </c:pt>
                <c:pt idx="82">
                  <c:v>-4.0006671973962897E-3</c:v>
                </c:pt>
                <c:pt idx="83">
                  <c:v>-5.7227738311037999E-3</c:v>
                </c:pt>
                <c:pt idx="84">
                  <c:v>-1.96860713775858E-3</c:v>
                </c:pt>
                <c:pt idx="85">
                  <c:v>-1.0506292585284901E-2</c:v>
                </c:pt>
                <c:pt idx="86">
                  <c:v>3.4909683539284201E-3</c:v>
                </c:pt>
                <c:pt idx="87">
                  <c:v>-1.2846761705523899E-3</c:v>
                </c:pt>
                <c:pt idx="88">
                  <c:v>-4.2218077764562901E-3</c:v>
                </c:pt>
                <c:pt idx="89">
                  <c:v>-2.5505070231043301E-3</c:v>
                </c:pt>
                <c:pt idx="90">
                  <c:v>-6.7116690004548401E-3</c:v>
                </c:pt>
                <c:pt idx="91">
                  <c:v>-1.6025880138256701E-2</c:v>
                </c:pt>
                <c:pt idx="92">
                  <c:v>-7.9182051699137196E-3</c:v>
                </c:pt>
                <c:pt idx="93">
                  <c:v>-3.4592841113876001E-3</c:v>
                </c:pt>
                <c:pt idx="94">
                  <c:v>2.3151665386865398E-3</c:v>
                </c:pt>
                <c:pt idx="95">
                  <c:v>-2.43052079369386E-3</c:v>
                </c:pt>
                <c:pt idx="96">
                  <c:v>-2.9752915162686998E-3</c:v>
                </c:pt>
                <c:pt idx="97">
                  <c:v>-1.09787002152953E-2</c:v>
                </c:pt>
                <c:pt idx="98">
                  <c:v>-1.1882072823960499E-2</c:v>
                </c:pt>
                <c:pt idx="99">
                  <c:v>-1.5546078406017801E-2</c:v>
                </c:pt>
                <c:pt idx="100">
                  <c:v>-2.99073684385253E-2</c:v>
                </c:pt>
                <c:pt idx="101">
                  <c:v>-2.2653463189684399E-2</c:v>
                </c:pt>
                <c:pt idx="102">
                  <c:v>-1.6681062443413101E-2</c:v>
                </c:pt>
                <c:pt idx="103">
                  <c:v>-1.96619916729758E-2</c:v>
                </c:pt>
                <c:pt idx="104">
                  <c:v>-1.2343513656183301E-2</c:v>
                </c:pt>
                <c:pt idx="105">
                  <c:v>-6.9185423761371299E-3</c:v>
                </c:pt>
                <c:pt idx="106">
                  <c:v>1.28896040061933E-2</c:v>
                </c:pt>
                <c:pt idx="107">
                  <c:v>8.9623671267696093E-3</c:v>
                </c:pt>
                <c:pt idx="108">
                  <c:v>1.4788773321788001E-2</c:v>
                </c:pt>
                <c:pt idx="109">
                  <c:v>1.46622504951097E-2</c:v>
                </c:pt>
                <c:pt idx="110">
                  <c:v>-1.1663609170648201E-3</c:v>
                </c:pt>
                <c:pt idx="111">
                  <c:v>5.25725672536617E-3</c:v>
                </c:pt>
                <c:pt idx="112">
                  <c:v>1.0085841453198199E-2</c:v>
                </c:pt>
                <c:pt idx="113">
                  <c:v>2.2078815729545499E-2</c:v>
                </c:pt>
                <c:pt idx="114">
                  <c:v>2.1541236061944E-2</c:v>
                </c:pt>
                <c:pt idx="115">
                  <c:v>9.8226610031838402E-3</c:v>
                </c:pt>
                <c:pt idx="116">
                  <c:v>1.7828418832128601E-2</c:v>
                </c:pt>
                <c:pt idx="117">
                  <c:v>2.8254187944641702E-2</c:v>
                </c:pt>
                <c:pt idx="118">
                  <c:v>3.8467839497856399E-2</c:v>
                </c:pt>
                <c:pt idx="119">
                  <c:v>3.9974802309899998E-2</c:v>
                </c:pt>
                <c:pt idx="120">
                  <c:v>3.0101536181443001E-2</c:v>
                </c:pt>
                <c:pt idx="121">
                  <c:v>2.6482480533959098E-2</c:v>
                </c:pt>
                <c:pt idx="122">
                  <c:v>1.3123095429344801E-2</c:v>
                </c:pt>
                <c:pt idx="123">
                  <c:v>1.2412842437588801E-2</c:v>
                </c:pt>
                <c:pt idx="124">
                  <c:v>1.9173721613472999E-2</c:v>
                </c:pt>
                <c:pt idx="125">
                  <c:v>1.9606683702103E-2</c:v>
                </c:pt>
                <c:pt idx="126">
                  <c:v>3.0929422789745999E-2</c:v>
                </c:pt>
                <c:pt idx="127">
                  <c:v>2.6147366769070899E-2</c:v>
                </c:pt>
                <c:pt idx="128">
                  <c:v>2.3743112528021401E-2</c:v>
                </c:pt>
                <c:pt idx="129">
                  <c:v>2.8501872332962901E-2</c:v>
                </c:pt>
                <c:pt idx="130">
                  <c:v>3.6600132286883899E-2</c:v>
                </c:pt>
                <c:pt idx="131">
                  <c:v>2.5051207467660201E-2</c:v>
                </c:pt>
                <c:pt idx="132">
                  <c:v>2.8046829937950501E-2</c:v>
                </c:pt>
                <c:pt idx="133">
                  <c:v>2.9219822128634301E-2</c:v>
                </c:pt>
                <c:pt idx="134">
                  <c:v>2.8055924025597499E-2</c:v>
                </c:pt>
                <c:pt idx="135">
                  <c:v>1.6434283948306101E-2</c:v>
                </c:pt>
                <c:pt idx="136">
                  <c:v>-5.4319643086418899E-3</c:v>
                </c:pt>
                <c:pt idx="137">
                  <c:v>1.65072307154985E-3</c:v>
                </c:pt>
                <c:pt idx="138">
                  <c:v>7.6388811709905196E-3</c:v>
                </c:pt>
                <c:pt idx="139">
                  <c:v>2.0520975336171501E-2</c:v>
                </c:pt>
                <c:pt idx="140">
                  <c:v>1.9853770631278501E-2</c:v>
                </c:pt>
                <c:pt idx="141">
                  <c:v>2.67852936649055E-2</c:v>
                </c:pt>
                <c:pt idx="142">
                  <c:v>4.0542573983270901E-2</c:v>
                </c:pt>
                <c:pt idx="143">
                  <c:v>2.6863378076232201E-2</c:v>
                </c:pt>
                <c:pt idx="144">
                  <c:v>2.2684296404266498E-2</c:v>
                </c:pt>
                <c:pt idx="145">
                  <c:v>1.4176191461091499E-2</c:v>
                </c:pt>
                <c:pt idx="146">
                  <c:v>2.0358706125621199E-4</c:v>
                </c:pt>
                <c:pt idx="147">
                  <c:v>6.0911631098926802E-3</c:v>
                </c:pt>
                <c:pt idx="148">
                  <c:v>-7.0594650089437902E-3</c:v>
                </c:pt>
                <c:pt idx="149">
                  <c:v>-1.82892160909412E-2</c:v>
                </c:pt>
                <c:pt idx="150">
                  <c:v>-2.1478275491301099E-2</c:v>
                </c:pt>
                <c:pt idx="151">
                  <c:v>-3.1262088158362303E-2</c:v>
                </c:pt>
                <c:pt idx="152">
                  <c:v>-3.4601409970676698E-2</c:v>
                </c:pt>
                <c:pt idx="153">
                  <c:v>-3.6320202390760899E-2</c:v>
                </c:pt>
                <c:pt idx="154">
                  <c:v>-3.5889812276783797E-2</c:v>
                </c:pt>
                <c:pt idx="155">
                  <c:v>-3.53505924344584E-2</c:v>
                </c:pt>
                <c:pt idx="156">
                  <c:v>-1.4476412545372601E-2</c:v>
                </c:pt>
                <c:pt idx="157">
                  <c:v>-1.6620843464840399E-2</c:v>
                </c:pt>
                <c:pt idx="158">
                  <c:v>-7.3431915044152203E-3</c:v>
                </c:pt>
                <c:pt idx="159">
                  <c:v>-1.14249985612124E-2</c:v>
                </c:pt>
                <c:pt idx="160">
                  <c:v>-4.0262180251637403E-4</c:v>
                </c:pt>
                <c:pt idx="161">
                  <c:v>7.1221211981161801E-3</c:v>
                </c:pt>
                <c:pt idx="162">
                  <c:v>1.0083573734716E-2</c:v>
                </c:pt>
                <c:pt idx="163">
                  <c:v>4.8869109067304298E-3</c:v>
                </c:pt>
                <c:pt idx="164">
                  <c:v>1.62625815776637E-2</c:v>
                </c:pt>
                <c:pt idx="165">
                  <c:v>1.8055741638171599E-2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56-4224-90F6-69CD5ADF74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20F96F8-A761-456C-9490-F2A79F9ED7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78</xdr:col>
      <xdr:colOff>0</xdr:colOff>
      <xdr:row>1</xdr:row>
      <xdr:rowOff>0</xdr:rowOff>
    </xdr:from>
    <xdr:to>
      <xdr:col>87</xdr:col>
      <xdr:colOff>478155</xdr:colOff>
      <xdr:row>15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B816F9A-F7C2-49F5-97E0-C33111C74B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4E8ED99-56EA-4C0D-90A0-E10950C7AE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63</xdr:col>
      <xdr:colOff>0</xdr:colOff>
      <xdr:row>1</xdr:row>
      <xdr:rowOff>0</xdr:rowOff>
    </xdr:from>
    <xdr:to>
      <xdr:col>71</xdr:col>
      <xdr:colOff>386715</xdr:colOff>
      <xdr:row>15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C57FE59-CF54-4D5B-A997-B99B9826B9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34</xdr:col>
      <xdr:colOff>9525</xdr:colOff>
      <xdr:row>1</xdr:row>
      <xdr:rowOff>0</xdr:rowOff>
    </xdr:from>
    <xdr:to>
      <xdr:col>41</xdr:col>
      <xdr:colOff>314325</xdr:colOff>
      <xdr:row>16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31EEF56-6371-45CB-9ED3-D81D84B4D2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42</xdr:col>
      <xdr:colOff>0</xdr:colOff>
      <xdr:row>18</xdr:row>
      <xdr:rowOff>0</xdr:rowOff>
    </xdr:from>
    <xdr:to>
      <xdr:col>49</xdr:col>
      <xdr:colOff>304800</xdr:colOff>
      <xdr:row>33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4146D31-CDFF-4B4C-95A6-D7C07E5481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42</xdr:col>
      <xdr:colOff>0</xdr:colOff>
      <xdr:row>1</xdr:row>
      <xdr:rowOff>0</xdr:rowOff>
    </xdr:from>
    <xdr:to>
      <xdr:col>49</xdr:col>
      <xdr:colOff>304800</xdr:colOff>
      <xdr:row>16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064C004-82B9-4D88-8DDF-4A185A14B8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34</xdr:col>
      <xdr:colOff>9525</xdr:colOff>
      <xdr:row>18</xdr:row>
      <xdr:rowOff>0</xdr:rowOff>
    </xdr:from>
    <xdr:to>
      <xdr:col>41</xdr:col>
      <xdr:colOff>314325</xdr:colOff>
      <xdr:row>33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D8A0AFF-5193-4C36-BE92-0A8AB941BE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cha\git-projects\backtesting\backtests\FIDU_VIS_2.xlsx" TargetMode="External"/><Relationship Id="rId1" Type="http://schemas.openxmlformats.org/officeDocument/2006/relationships/externalLinkPath" Target="FIDU_VIS_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cha\git-projects\backtesting\backtests\XBI_IBB.xlsx" TargetMode="External"/><Relationship Id="rId1" Type="http://schemas.openxmlformats.org/officeDocument/2006/relationships/externalLinkPath" Target="XBI_IB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XLU_IDU_1"/>
    </sheetNames>
    <sheetDataSet>
      <sheetData sheetId="0">
        <row r="1">
          <cell r="O1" t="str">
            <v>VIS/FIDU avg</v>
          </cell>
        </row>
        <row r="22">
          <cell r="BJ22">
            <v>0</v>
          </cell>
          <cell r="BV22">
            <v>0</v>
          </cell>
          <cell r="BY22">
            <v>0</v>
          </cell>
        </row>
        <row r="23">
          <cell r="BJ23">
            <v>0</v>
          </cell>
          <cell r="BV23">
            <v>0</v>
          </cell>
          <cell r="BY23">
            <v>0</v>
          </cell>
        </row>
        <row r="24">
          <cell r="BJ24">
            <v>0</v>
          </cell>
          <cell r="BV24">
            <v>0</v>
          </cell>
          <cell r="BY24">
            <v>0</v>
          </cell>
        </row>
        <row r="25">
          <cell r="BJ25">
            <v>0</v>
          </cell>
          <cell r="BV25">
            <v>0</v>
          </cell>
          <cell r="BY25">
            <v>0</v>
          </cell>
        </row>
        <row r="26">
          <cell r="BJ26">
            <v>4.3873067740859972E-4</v>
          </cell>
          <cell r="BV26">
            <v>0</v>
          </cell>
          <cell r="BY26">
            <v>4.3873067740859972E-4</v>
          </cell>
        </row>
        <row r="27">
          <cell r="BJ27">
            <v>9.8040218485179968E-4</v>
          </cell>
          <cell r="BV27">
            <v>0</v>
          </cell>
          <cell r="BY27">
            <v>9.8040218485179968E-4</v>
          </cell>
        </row>
        <row r="28">
          <cell r="BJ28">
            <v>1.1006325860889741E-5</v>
          </cell>
          <cell r="BV28">
            <v>0</v>
          </cell>
          <cell r="BY28">
            <v>1.1006325860889741E-5</v>
          </cell>
        </row>
        <row r="29">
          <cell r="BJ29">
            <v>-7.0249425013114964E-4</v>
          </cell>
          <cell r="BV29">
            <v>0</v>
          </cell>
          <cell r="BY29">
            <v>-7.0249425013114964E-4</v>
          </cell>
        </row>
        <row r="30">
          <cell r="BJ30">
            <v>9.8036371140495051E-4</v>
          </cell>
          <cell r="BV30">
            <v>0</v>
          </cell>
          <cell r="BY30">
            <v>9.8036371140495051E-4</v>
          </cell>
        </row>
        <row r="31">
          <cell r="BJ31">
            <v>1.8901474685311811E-3</v>
          </cell>
          <cell r="BV31">
            <v>0</v>
          </cell>
          <cell r="BY31">
            <v>1.8901474685311811E-3</v>
          </cell>
        </row>
        <row r="32">
          <cell r="BJ32">
            <v>1.8901474685311811E-3</v>
          </cell>
          <cell r="BV32">
            <v>0</v>
          </cell>
          <cell r="BY32">
            <v>1.8901474685311811E-3</v>
          </cell>
        </row>
        <row r="33">
          <cell r="BJ33">
            <v>1.8901474685311811E-3</v>
          </cell>
          <cell r="BV33">
            <v>1.8472604780531009E-3</v>
          </cell>
          <cell r="BY33">
            <v>3.7374079465842822E-3</v>
          </cell>
        </row>
        <row r="34">
          <cell r="BJ34">
            <v>1.8901474685311811E-3</v>
          </cell>
          <cell r="BV34">
            <v>1.8472604780531009E-3</v>
          </cell>
          <cell r="BY34">
            <v>3.7374079465842822E-3</v>
          </cell>
        </row>
        <row r="35">
          <cell r="BJ35">
            <v>1.8901474685311811E-3</v>
          </cell>
          <cell r="BV35">
            <v>3.1785738670012508E-3</v>
          </cell>
          <cell r="BY35">
            <v>5.0687213355324317E-3</v>
          </cell>
        </row>
        <row r="36">
          <cell r="BJ36">
            <v>1.8901474685311811E-3</v>
          </cell>
          <cell r="BV36">
            <v>2.103241634197851E-3</v>
          </cell>
          <cell r="BY36">
            <v>3.9933891027290318E-3</v>
          </cell>
        </row>
        <row r="37">
          <cell r="BJ37">
            <v>1.8901474685311811E-3</v>
          </cell>
          <cell r="BV37">
            <v>3.7581591066605507E-3</v>
          </cell>
          <cell r="BY37">
            <v>5.6483065751917316E-3</v>
          </cell>
        </row>
        <row r="38">
          <cell r="BJ38">
            <v>1.8901474685311811E-3</v>
          </cell>
          <cell r="BV38">
            <v>3.7581591066605507E-3</v>
          </cell>
          <cell r="BY38">
            <v>5.6483065751917316E-3</v>
          </cell>
        </row>
        <row r="39">
          <cell r="BJ39">
            <v>1.8901474685311811E-3</v>
          </cell>
          <cell r="BV39">
            <v>3.7581591066605507E-3</v>
          </cell>
          <cell r="BY39">
            <v>5.6483065751917316E-3</v>
          </cell>
        </row>
        <row r="40">
          <cell r="BJ40">
            <v>1.8901474685311811E-3</v>
          </cell>
          <cell r="BV40">
            <v>3.7581591066605507E-3</v>
          </cell>
          <cell r="BY40">
            <v>5.6483065751917316E-3</v>
          </cell>
        </row>
        <row r="41">
          <cell r="BJ41">
            <v>1.8901474685311811E-3</v>
          </cell>
          <cell r="BV41">
            <v>3.7581591066605507E-3</v>
          </cell>
          <cell r="BY41">
            <v>5.6483065751917316E-3</v>
          </cell>
        </row>
        <row r="42">
          <cell r="BJ42">
            <v>1.8901474685311811E-3</v>
          </cell>
          <cell r="BV42">
            <v>3.7581591066605507E-3</v>
          </cell>
          <cell r="BY42">
            <v>5.6483065751917316E-3</v>
          </cell>
        </row>
        <row r="43">
          <cell r="BJ43">
            <v>1.8901474685311811E-3</v>
          </cell>
          <cell r="BV43">
            <v>4.5921914317162606E-3</v>
          </cell>
          <cell r="BY43">
            <v>6.4823389002474415E-3</v>
          </cell>
        </row>
        <row r="44">
          <cell r="BJ44">
            <v>1.8901474685311811E-3</v>
          </cell>
          <cell r="BV44">
            <v>3.5293897717670625E-3</v>
          </cell>
          <cell r="BY44">
            <v>5.4195372402982434E-3</v>
          </cell>
        </row>
        <row r="45">
          <cell r="BJ45">
            <v>1.8901474685311811E-3</v>
          </cell>
          <cell r="BV45">
            <v>4.738805502449461E-3</v>
          </cell>
          <cell r="BY45">
            <v>6.6289529709806418E-3</v>
          </cell>
        </row>
        <row r="46">
          <cell r="BJ46">
            <v>1.8901474685311811E-3</v>
          </cell>
          <cell r="BV46">
            <v>4.0890262039454811E-3</v>
          </cell>
          <cell r="BY46">
            <v>5.979173672476662E-3</v>
          </cell>
        </row>
        <row r="47">
          <cell r="BJ47">
            <v>1.8901474685311811E-3</v>
          </cell>
          <cell r="BV47">
            <v>4.0536152114268413E-3</v>
          </cell>
          <cell r="BY47">
            <v>5.9437626799580222E-3</v>
          </cell>
        </row>
        <row r="48">
          <cell r="BJ48">
            <v>1.8901474685311811E-3</v>
          </cell>
          <cell r="BV48">
            <v>3.1733120012653699E-3</v>
          </cell>
          <cell r="BY48">
            <v>5.0634594697965508E-3</v>
          </cell>
        </row>
        <row r="49">
          <cell r="BJ49">
            <v>1.8901474685311811E-3</v>
          </cell>
          <cell r="BV49">
            <v>3.8003880542845708E-3</v>
          </cell>
          <cell r="BY49">
            <v>5.6905355228157517E-3</v>
          </cell>
        </row>
        <row r="50">
          <cell r="BJ50">
            <v>1.8901474685311811E-3</v>
          </cell>
          <cell r="BV50">
            <v>4.3874685456346306E-3</v>
          </cell>
          <cell r="BY50">
            <v>6.2776160141658115E-3</v>
          </cell>
        </row>
        <row r="51">
          <cell r="BJ51">
            <v>1.8901474685311811E-3</v>
          </cell>
          <cell r="BV51">
            <v>4.0402122299320895E-3</v>
          </cell>
          <cell r="BY51">
            <v>5.9303596984632704E-3</v>
          </cell>
        </row>
        <row r="52">
          <cell r="BJ52">
            <v>1.8901474685311811E-3</v>
          </cell>
          <cell r="BV52">
            <v>4.6573545767922197E-3</v>
          </cell>
          <cell r="BY52">
            <v>6.5475020453234006E-3</v>
          </cell>
        </row>
        <row r="53">
          <cell r="BJ53">
            <v>1.8901474685311811E-3</v>
          </cell>
          <cell r="BV53">
            <v>4.02107711811999E-3</v>
          </cell>
          <cell r="BY53">
            <v>5.9112245866511709E-3</v>
          </cell>
        </row>
        <row r="54">
          <cell r="BJ54">
            <v>1.8901474685311811E-3</v>
          </cell>
          <cell r="BV54">
            <v>6.0007565210397603E-3</v>
          </cell>
          <cell r="BY54">
            <v>7.8909039895709403E-3</v>
          </cell>
        </row>
        <row r="55">
          <cell r="BJ55">
            <v>1.8901474685311811E-3</v>
          </cell>
          <cell r="BV55">
            <v>6.0007565210397603E-3</v>
          </cell>
          <cell r="BY55">
            <v>7.8909039895709403E-3</v>
          </cell>
        </row>
        <row r="56">
          <cell r="BJ56">
            <v>1.8901474685311811E-3</v>
          </cell>
          <cell r="BV56">
            <v>6.0007565210397603E-3</v>
          </cell>
          <cell r="BY56">
            <v>7.8909039895709403E-3</v>
          </cell>
        </row>
        <row r="57">
          <cell r="BJ57">
            <v>1.8901474685311811E-3</v>
          </cell>
          <cell r="BV57">
            <v>6.0007565210397603E-3</v>
          </cell>
          <cell r="BY57">
            <v>7.8909039895709403E-3</v>
          </cell>
        </row>
        <row r="58">
          <cell r="BJ58">
            <v>1.8901474685311811E-3</v>
          </cell>
          <cell r="BV58">
            <v>7.195603886414971E-3</v>
          </cell>
          <cell r="BY58">
            <v>9.0857513549461519E-3</v>
          </cell>
        </row>
        <row r="59">
          <cell r="BJ59">
            <v>1.8901474685311811E-3</v>
          </cell>
          <cell r="BV59">
            <v>7.195603886414971E-3</v>
          </cell>
          <cell r="BY59">
            <v>9.0857513549461519E-3</v>
          </cell>
        </row>
        <row r="60">
          <cell r="BJ60">
            <v>1.8901474685311811E-3</v>
          </cell>
          <cell r="BV60">
            <v>7.195603886414971E-3</v>
          </cell>
          <cell r="BY60">
            <v>9.0857513549461519E-3</v>
          </cell>
        </row>
        <row r="61">
          <cell r="BJ61">
            <v>1.8901474685311811E-3</v>
          </cell>
          <cell r="BV61">
            <v>7.195603886414971E-3</v>
          </cell>
          <cell r="BY61">
            <v>9.0857513549461519E-3</v>
          </cell>
        </row>
        <row r="62">
          <cell r="BJ62">
            <v>1.8901474685311811E-3</v>
          </cell>
          <cell r="BV62">
            <v>7.195603886414971E-3</v>
          </cell>
          <cell r="BY62">
            <v>9.0857513549461519E-3</v>
          </cell>
        </row>
        <row r="63">
          <cell r="BJ63">
            <v>1.8901474685311811E-3</v>
          </cell>
          <cell r="BV63">
            <v>7.195603886414971E-3</v>
          </cell>
          <cell r="BY63">
            <v>9.0857513549461519E-3</v>
          </cell>
        </row>
        <row r="64">
          <cell r="BJ64">
            <v>1.8901474685311811E-3</v>
          </cell>
          <cell r="BV64">
            <v>7.195603886414971E-3</v>
          </cell>
          <cell r="BY64">
            <v>9.0857513549461519E-3</v>
          </cell>
        </row>
        <row r="65">
          <cell r="BJ65">
            <v>1.8901474685311811E-3</v>
          </cell>
          <cell r="BV65">
            <v>7.195603886414971E-3</v>
          </cell>
          <cell r="BY65">
            <v>9.0857513549461519E-3</v>
          </cell>
        </row>
        <row r="66">
          <cell r="BJ66">
            <v>1.8901474685311811E-3</v>
          </cell>
          <cell r="BV66">
            <v>7.195603886414971E-3</v>
          </cell>
          <cell r="BY66">
            <v>9.0857513549461519E-3</v>
          </cell>
        </row>
        <row r="67">
          <cell r="BJ67">
            <v>1.8901474685311811E-3</v>
          </cell>
          <cell r="BV67">
            <v>7.195603886414971E-3</v>
          </cell>
          <cell r="BY67">
            <v>9.0857513549461519E-3</v>
          </cell>
        </row>
        <row r="68">
          <cell r="BJ68">
            <v>1.8901474685311811E-3</v>
          </cell>
          <cell r="BV68">
            <v>7.195603886414971E-3</v>
          </cell>
          <cell r="BY68">
            <v>9.0857513549461519E-3</v>
          </cell>
        </row>
        <row r="69">
          <cell r="BJ69">
            <v>1.8901474685311811E-3</v>
          </cell>
          <cell r="BV69">
            <v>7.195603886414971E-3</v>
          </cell>
          <cell r="BY69">
            <v>9.0857513549461519E-3</v>
          </cell>
        </row>
        <row r="70">
          <cell r="BJ70">
            <v>1.8901474685311811E-3</v>
          </cell>
          <cell r="BV70">
            <v>8.2862133299210113E-3</v>
          </cell>
          <cell r="BY70">
            <v>1.0176360798452192E-2</v>
          </cell>
        </row>
        <row r="71">
          <cell r="BJ71">
            <v>1.8901474685311811E-3</v>
          </cell>
          <cell r="BV71">
            <v>8.0308177384763521E-3</v>
          </cell>
          <cell r="BY71">
            <v>9.920965207007533E-3</v>
          </cell>
        </row>
        <row r="72">
          <cell r="BJ72">
            <v>1.8901474685311811E-3</v>
          </cell>
          <cell r="BV72">
            <v>8.3130769769796525E-3</v>
          </cell>
          <cell r="BY72">
            <v>1.0203224445510833E-2</v>
          </cell>
        </row>
        <row r="73">
          <cell r="BJ73">
            <v>1.8901474685311811E-3</v>
          </cell>
          <cell r="BV73">
            <v>8.7451243137715538E-3</v>
          </cell>
          <cell r="BY73">
            <v>1.0635271782302735E-2</v>
          </cell>
        </row>
        <row r="74">
          <cell r="BJ74">
            <v>1.8901474685311811E-3</v>
          </cell>
          <cell r="BV74">
            <v>8.7451243137715538E-3</v>
          </cell>
          <cell r="BY74">
            <v>1.0635271782302735E-2</v>
          </cell>
        </row>
        <row r="75">
          <cell r="BJ75">
            <v>1.8901474685311811E-3</v>
          </cell>
          <cell r="BV75">
            <v>8.7451243137715538E-3</v>
          </cell>
          <cell r="BY75">
            <v>1.0635271782302735E-2</v>
          </cell>
        </row>
        <row r="76">
          <cell r="BJ76">
            <v>1.8901474685311811E-3</v>
          </cell>
          <cell r="BV76">
            <v>8.7451243137715538E-3</v>
          </cell>
          <cell r="BY76">
            <v>1.0635271782302735E-2</v>
          </cell>
        </row>
        <row r="77">
          <cell r="BJ77">
            <v>1.8901474685311811E-3</v>
          </cell>
          <cell r="BV77">
            <v>8.7451243137715538E-3</v>
          </cell>
          <cell r="BY77">
            <v>1.0635271782302735E-2</v>
          </cell>
        </row>
        <row r="78">
          <cell r="BJ78">
            <v>1.8901474685311811E-3</v>
          </cell>
          <cell r="BV78">
            <v>8.7451243137715538E-3</v>
          </cell>
          <cell r="BY78">
            <v>1.0635271782302735E-2</v>
          </cell>
        </row>
        <row r="79">
          <cell r="BJ79">
            <v>1.8901474685311811E-3</v>
          </cell>
          <cell r="BV79">
            <v>8.7451243137715538E-3</v>
          </cell>
          <cell r="BY79">
            <v>1.0635271782302735E-2</v>
          </cell>
        </row>
        <row r="80">
          <cell r="BJ80">
            <v>1.8901474685311811E-3</v>
          </cell>
          <cell r="BV80">
            <v>8.7451243137715538E-3</v>
          </cell>
          <cell r="BY80">
            <v>1.0635271782302735E-2</v>
          </cell>
        </row>
        <row r="81">
          <cell r="BJ81">
            <v>1.8901474685311811E-3</v>
          </cell>
          <cell r="BV81">
            <v>8.7451243137715538E-3</v>
          </cell>
          <cell r="BY81">
            <v>1.0635271782302735E-2</v>
          </cell>
        </row>
        <row r="82">
          <cell r="BJ82">
            <v>1.8901474685311811E-3</v>
          </cell>
          <cell r="BV82">
            <v>8.7451243137715538E-3</v>
          </cell>
          <cell r="BY82">
            <v>1.0635271782302735E-2</v>
          </cell>
        </row>
        <row r="83">
          <cell r="BJ83">
            <v>1.8901474685311811E-3</v>
          </cell>
          <cell r="BV83">
            <v>8.7451243137715538E-3</v>
          </cell>
          <cell r="BY83">
            <v>1.0635271782302735E-2</v>
          </cell>
        </row>
        <row r="84">
          <cell r="BJ84">
            <v>1.8901474685311811E-3</v>
          </cell>
          <cell r="BV84">
            <v>1.0095413412574554E-2</v>
          </cell>
          <cell r="BY84">
            <v>1.1985560881105735E-2</v>
          </cell>
        </row>
        <row r="85">
          <cell r="BJ85">
            <v>1.8901474685311811E-3</v>
          </cell>
          <cell r="BV85">
            <v>1.0095413412574554E-2</v>
          </cell>
          <cell r="BY85">
            <v>1.1985560881105735E-2</v>
          </cell>
        </row>
        <row r="86">
          <cell r="BJ86">
            <v>1.8901474685311811E-3</v>
          </cell>
          <cell r="BV86">
            <v>1.0095413412574554E-2</v>
          </cell>
          <cell r="BY86">
            <v>1.1985560881105735E-2</v>
          </cell>
        </row>
        <row r="87">
          <cell r="BJ87">
            <v>1.8901474685311811E-3</v>
          </cell>
          <cell r="BV87">
            <v>1.0095413412574554E-2</v>
          </cell>
          <cell r="BY87">
            <v>1.1985560881105735E-2</v>
          </cell>
        </row>
        <row r="88">
          <cell r="BJ88">
            <v>1.8901474685311811E-3</v>
          </cell>
          <cell r="BV88">
            <v>1.0095413412574554E-2</v>
          </cell>
          <cell r="BY88">
            <v>1.1985560881105735E-2</v>
          </cell>
        </row>
        <row r="89">
          <cell r="BJ89">
            <v>3.2649652908092013E-3</v>
          </cell>
          <cell r="BV89">
            <v>1.0095413412574554E-2</v>
          </cell>
          <cell r="BY89">
            <v>1.3360378703383755E-2</v>
          </cell>
        </row>
        <row r="90">
          <cell r="BJ90">
            <v>3.8645609441622011E-3</v>
          </cell>
          <cell r="BV90">
            <v>1.0095413412574554E-2</v>
          </cell>
          <cell r="BY90">
            <v>1.3959974356736755E-2</v>
          </cell>
        </row>
        <row r="91">
          <cell r="BJ91">
            <v>3.8645609441622011E-3</v>
          </cell>
          <cell r="BV91">
            <v>1.0095413412574554E-2</v>
          </cell>
          <cell r="BY91">
            <v>1.3959974356736755E-2</v>
          </cell>
        </row>
        <row r="92">
          <cell r="BJ92">
            <v>3.8645609441622011E-3</v>
          </cell>
          <cell r="BV92">
            <v>1.0095413412574554E-2</v>
          </cell>
          <cell r="BY92">
            <v>1.3959974356736755E-2</v>
          </cell>
        </row>
        <row r="93">
          <cell r="BJ93">
            <v>3.8645609441622011E-3</v>
          </cell>
          <cell r="BV93">
            <v>1.0095413412574554E-2</v>
          </cell>
          <cell r="BY93">
            <v>1.3959974356736755E-2</v>
          </cell>
        </row>
        <row r="94">
          <cell r="BJ94">
            <v>3.8645609441622011E-3</v>
          </cell>
          <cell r="BV94">
            <v>1.0095413412574554E-2</v>
          </cell>
          <cell r="BY94">
            <v>1.3959974356736755E-2</v>
          </cell>
        </row>
        <row r="95">
          <cell r="BJ95">
            <v>3.8645609441622011E-3</v>
          </cell>
          <cell r="BV95">
            <v>1.0095413412574554E-2</v>
          </cell>
          <cell r="BY95">
            <v>1.3959974356736755E-2</v>
          </cell>
        </row>
        <row r="96">
          <cell r="BJ96">
            <v>3.8645609441622011E-3</v>
          </cell>
          <cell r="BV96">
            <v>1.0095413412574554E-2</v>
          </cell>
          <cell r="BY96">
            <v>1.3959974356736755E-2</v>
          </cell>
        </row>
        <row r="97">
          <cell r="BJ97">
            <v>3.8645609441622011E-3</v>
          </cell>
          <cell r="BV97">
            <v>1.0095413412574554E-2</v>
          </cell>
          <cell r="BY97">
            <v>1.3959974356736755E-2</v>
          </cell>
        </row>
        <row r="98">
          <cell r="BJ98">
            <v>3.8645609441622011E-3</v>
          </cell>
          <cell r="BV98">
            <v>1.0095413412574554E-2</v>
          </cell>
          <cell r="BY98">
            <v>1.3959974356736755E-2</v>
          </cell>
        </row>
        <row r="99">
          <cell r="BJ99">
            <v>3.8645609441622011E-3</v>
          </cell>
          <cell r="BV99">
            <v>1.0095413412574554E-2</v>
          </cell>
          <cell r="BY99">
            <v>1.3959974356736755E-2</v>
          </cell>
        </row>
        <row r="100">
          <cell r="BJ100">
            <v>3.8645609441622011E-3</v>
          </cell>
          <cell r="BV100">
            <v>1.0095413412574554E-2</v>
          </cell>
          <cell r="BY100">
            <v>1.3959974356736755E-2</v>
          </cell>
        </row>
        <row r="101">
          <cell r="BJ101">
            <v>3.8645609441622011E-3</v>
          </cell>
          <cell r="BV101">
            <v>1.0095413412574554E-2</v>
          </cell>
          <cell r="BY101">
            <v>1.3959974356736755E-2</v>
          </cell>
        </row>
        <row r="102">
          <cell r="BJ102">
            <v>3.8645609441622011E-3</v>
          </cell>
          <cell r="BV102">
            <v>1.0095413412574554E-2</v>
          </cell>
          <cell r="BY102">
            <v>1.3959974356736755E-2</v>
          </cell>
        </row>
        <row r="103">
          <cell r="BJ103">
            <v>4.3909587168073708E-3</v>
          </cell>
          <cell r="BV103">
            <v>1.0095413412574554E-2</v>
          </cell>
          <cell r="BY103">
            <v>1.4486372129381924E-2</v>
          </cell>
        </row>
        <row r="104">
          <cell r="BJ104">
            <v>3.2085716980101309E-3</v>
          </cell>
          <cell r="BV104">
            <v>1.0095413412574554E-2</v>
          </cell>
          <cell r="BY104">
            <v>1.3303985110584685E-2</v>
          </cell>
        </row>
        <row r="105">
          <cell r="BJ105">
            <v>4.0150156208967301E-3</v>
          </cell>
          <cell r="BV105">
            <v>1.0095413412574554E-2</v>
          </cell>
          <cell r="BY105">
            <v>1.4110429033471284E-2</v>
          </cell>
        </row>
        <row r="106">
          <cell r="BJ106">
            <v>5.2435335486375302E-3</v>
          </cell>
          <cell r="BV106">
            <v>1.0095413412574554E-2</v>
          </cell>
          <cell r="BY106">
            <v>1.5338946961212085E-2</v>
          </cell>
        </row>
        <row r="107">
          <cell r="BJ107">
            <v>5.2435335486375302E-3</v>
          </cell>
          <cell r="BV107">
            <v>1.0095413412574554E-2</v>
          </cell>
          <cell r="BY107">
            <v>1.5338946961212085E-2</v>
          </cell>
        </row>
        <row r="108">
          <cell r="BJ108">
            <v>5.2435335486375302E-3</v>
          </cell>
          <cell r="BV108">
            <v>1.0095413412574554E-2</v>
          </cell>
          <cell r="BY108">
            <v>1.5338946961212085E-2</v>
          </cell>
        </row>
        <row r="109">
          <cell r="BJ109">
            <v>5.2435335486375302E-3</v>
          </cell>
          <cell r="BV109">
            <v>1.0095413412574554E-2</v>
          </cell>
          <cell r="BY109">
            <v>1.5338946961212085E-2</v>
          </cell>
        </row>
        <row r="110">
          <cell r="BJ110">
            <v>5.2435335486375302E-3</v>
          </cell>
          <cell r="BV110">
            <v>1.0095413412574554E-2</v>
          </cell>
          <cell r="BY110">
            <v>1.5338946961212085E-2</v>
          </cell>
        </row>
        <row r="111">
          <cell r="BJ111">
            <v>5.6896949790949296E-3</v>
          </cell>
          <cell r="BV111">
            <v>1.0095413412574554E-2</v>
          </cell>
          <cell r="BY111">
            <v>1.5785108391669484E-2</v>
          </cell>
        </row>
        <row r="112">
          <cell r="BJ112">
            <v>5.5445865218620273E-3</v>
          </cell>
          <cell r="BV112">
            <v>1.0095413412574554E-2</v>
          </cell>
          <cell r="BY112">
            <v>1.5639999934436582E-2</v>
          </cell>
        </row>
        <row r="113">
          <cell r="BJ113">
            <v>4.2971333404653572E-3</v>
          </cell>
          <cell r="BV113">
            <v>1.0095413412574554E-2</v>
          </cell>
          <cell r="BY113">
            <v>1.4392546753039913E-2</v>
          </cell>
        </row>
        <row r="114">
          <cell r="BJ114">
            <v>4.1501342841052582E-3</v>
          </cell>
          <cell r="BV114">
            <v>1.0095413412574554E-2</v>
          </cell>
          <cell r="BY114">
            <v>1.4245547696679814E-2</v>
          </cell>
        </row>
        <row r="115">
          <cell r="BJ115">
            <v>4.3000034114388285E-3</v>
          </cell>
          <cell r="BV115">
            <v>1.0095413412574554E-2</v>
          </cell>
          <cell r="BY115">
            <v>1.4395416824013383E-2</v>
          </cell>
        </row>
        <row r="116">
          <cell r="BJ116">
            <v>5.8746853102942783E-3</v>
          </cell>
          <cell r="BV116">
            <v>1.0095413412574554E-2</v>
          </cell>
          <cell r="BY116">
            <v>1.5970098722868833E-2</v>
          </cell>
        </row>
        <row r="117">
          <cell r="BJ117">
            <v>5.8746853102942783E-3</v>
          </cell>
          <cell r="BV117">
            <v>1.0095413412574554E-2</v>
          </cell>
          <cell r="BY117">
            <v>1.5970098722868833E-2</v>
          </cell>
        </row>
        <row r="118">
          <cell r="BJ118">
            <v>5.8746853102942783E-3</v>
          </cell>
          <cell r="BV118">
            <v>1.0095413412574554E-2</v>
          </cell>
          <cell r="BY118">
            <v>1.5970098722868833E-2</v>
          </cell>
        </row>
        <row r="119">
          <cell r="BJ119">
            <v>5.8746853102942783E-3</v>
          </cell>
          <cell r="BV119">
            <v>1.0095413412574554E-2</v>
          </cell>
          <cell r="BY119">
            <v>1.5970098722868833E-2</v>
          </cell>
        </row>
        <row r="120">
          <cell r="BJ120">
            <v>5.8746853102942783E-3</v>
          </cell>
          <cell r="BV120">
            <v>1.0095413412574554E-2</v>
          </cell>
          <cell r="BY120">
            <v>1.5970098722868833E-2</v>
          </cell>
        </row>
        <row r="121">
          <cell r="BJ121">
            <v>6.3007463089081806E-3</v>
          </cell>
          <cell r="BV121">
            <v>1.0095413412574554E-2</v>
          </cell>
          <cell r="BY121">
            <v>1.6396159721482735E-2</v>
          </cell>
        </row>
        <row r="122">
          <cell r="BJ122">
            <v>4.0305322392189787E-3</v>
          </cell>
          <cell r="BV122">
            <v>1.0095413412574554E-2</v>
          </cell>
          <cell r="BY122">
            <v>1.4125945651793533E-2</v>
          </cell>
        </row>
        <row r="123">
          <cell r="BJ123">
            <v>5.9217090000054486E-3</v>
          </cell>
          <cell r="BV123">
            <v>1.0095413412574554E-2</v>
          </cell>
          <cell r="BY123">
            <v>1.6017122412580003E-2</v>
          </cell>
        </row>
        <row r="124">
          <cell r="BJ124">
            <v>6.4317498298368482E-3</v>
          </cell>
          <cell r="BV124">
            <v>1.0095413412574554E-2</v>
          </cell>
          <cell r="BY124">
            <v>1.6527163242411401E-2</v>
          </cell>
        </row>
        <row r="125">
          <cell r="BJ125">
            <v>5.0706962133259476E-3</v>
          </cell>
          <cell r="BV125">
            <v>1.0095413412574554E-2</v>
          </cell>
          <cell r="BY125">
            <v>1.51661096259005E-2</v>
          </cell>
        </row>
        <row r="126">
          <cell r="BJ126">
            <v>7.3595500961107334E-3</v>
          </cell>
          <cell r="BV126">
            <v>1.0095413412574554E-2</v>
          </cell>
          <cell r="BY126">
            <v>1.7454963508685285E-2</v>
          </cell>
        </row>
        <row r="127">
          <cell r="BJ127">
            <v>7.3595500961107334E-3</v>
          </cell>
          <cell r="BV127">
            <v>1.0095413412574554E-2</v>
          </cell>
          <cell r="BY127">
            <v>1.7454963508685285E-2</v>
          </cell>
        </row>
        <row r="128">
          <cell r="BJ128">
            <v>7.9632798151014345E-3</v>
          </cell>
          <cell r="BV128">
            <v>1.0095413412574554E-2</v>
          </cell>
          <cell r="BY128">
            <v>1.8058693227675986E-2</v>
          </cell>
        </row>
        <row r="129">
          <cell r="BJ129">
            <v>8.7319338113062347E-3</v>
          </cell>
          <cell r="BV129">
            <v>1.0095413412574554E-2</v>
          </cell>
          <cell r="BY129">
            <v>1.8827347223880787E-2</v>
          </cell>
        </row>
        <row r="130">
          <cell r="BJ130">
            <v>8.7319338113062347E-3</v>
          </cell>
          <cell r="BV130">
            <v>1.0095413412574554E-2</v>
          </cell>
          <cell r="BY130">
            <v>1.8827347223880787E-2</v>
          </cell>
        </row>
        <row r="131">
          <cell r="BJ131">
            <v>8.7319338113062347E-3</v>
          </cell>
          <cell r="BV131">
            <v>1.0095413412574554E-2</v>
          </cell>
          <cell r="BY131">
            <v>1.8827347223880787E-2</v>
          </cell>
        </row>
        <row r="132">
          <cell r="BJ132">
            <v>8.7319338113062347E-3</v>
          </cell>
          <cell r="BV132">
            <v>1.0095413412574554E-2</v>
          </cell>
          <cell r="BY132">
            <v>1.8827347223880787E-2</v>
          </cell>
        </row>
        <row r="133">
          <cell r="BJ133">
            <v>8.7319338113062347E-3</v>
          </cell>
          <cell r="BV133">
            <v>1.0095413412574554E-2</v>
          </cell>
          <cell r="BY133">
            <v>1.8827347223880787E-2</v>
          </cell>
        </row>
        <row r="134">
          <cell r="BJ134">
            <v>8.7319338113062347E-3</v>
          </cell>
          <cell r="BV134">
            <v>1.0095413412574554E-2</v>
          </cell>
          <cell r="BY134">
            <v>1.8827347223880787E-2</v>
          </cell>
        </row>
        <row r="135">
          <cell r="BJ135">
            <v>8.7319338113062347E-3</v>
          </cell>
          <cell r="BV135">
            <v>1.0095413412574554E-2</v>
          </cell>
          <cell r="BY135">
            <v>1.8827347223880787E-2</v>
          </cell>
        </row>
        <row r="136">
          <cell r="BJ136">
            <v>8.7319338113062347E-3</v>
          </cell>
          <cell r="BV136">
            <v>1.0095413412574554E-2</v>
          </cell>
          <cell r="BY136">
            <v>1.8827347223880787E-2</v>
          </cell>
        </row>
        <row r="137">
          <cell r="BJ137">
            <v>8.7319338113062347E-3</v>
          </cell>
          <cell r="BV137">
            <v>1.0095413412574554E-2</v>
          </cell>
          <cell r="BY137">
            <v>1.8827347223880787E-2</v>
          </cell>
        </row>
        <row r="138">
          <cell r="BJ138">
            <v>8.7319338113062347E-3</v>
          </cell>
          <cell r="BV138">
            <v>1.0095413412574554E-2</v>
          </cell>
          <cell r="BY138">
            <v>1.8827347223880787E-2</v>
          </cell>
        </row>
        <row r="139">
          <cell r="BJ139">
            <v>8.7319338113062347E-3</v>
          </cell>
          <cell r="BV139">
            <v>1.0095413412574554E-2</v>
          </cell>
          <cell r="BY139">
            <v>1.8827347223880787E-2</v>
          </cell>
        </row>
        <row r="140">
          <cell r="BJ140">
            <v>8.7319338113062347E-3</v>
          </cell>
          <cell r="BV140">
            <v>1.0095413412574554E-2</v>
          </cell>
          <cell r="BY140">
            <v>1.8827347223880787E-2</v>
          </cell>
        </row>
        <row r="141">
          <cell r="BJ141">
            <v>8.7319338113062347E-3</v>
          </cell>
          <cell r="BV141">
            <v>1.0572447538149749E-2</v>
          </cell>
          <cell r="BY141">
            <v>1.9304381349455984E-2</v>
          </cell>
        </row>
        <row r="142">
          <cell r="BJ142">
            <v>8.7319338113062347E-3</v>
          </cell>
          <cell r="BV142">
            <v>1.1660537231180429E-2</v>
          </cell>
          <cell r="BY142">
            <v>2.0392471042486662E-2</v>
          </cell>
        </row>
        <row r="143">
          <cell r="BJ143">
            <v>8.7319338113062347E-3</v>
          </cell>
          <cell r="BV143">
            <v>1.1660537231180429E-2</v>
          </cell>
          <cell r="BY143">
            <v>2.0392471042486662E-2</v>
          </cell>
        </row>
        <row r="144">
          <cell r="BJ144">
            <v>8.7319338113062347E-3</v>
          </cell>
          <cell r="BV144">
            <v>1.1660537231180429E-2</v>
          </cell>
          <cell r="BY144">
            <v>2.0392471042486662E-2</v>
          </cell>
        </row>
        <row r="145">
          <cell r="BJ145">
            <v>8.7319338113062347E-3</v>
          </cell>
          <cell r="BV145">
            <v>1.1660537231180429E-2</v>
          </cell>
          <cell r="BY145">
            <v>2.0392471042486662E-2</v>
          </cell>
        </row>
        <row r="146">
          <cell r="BJ146">
            <v>8.7319338113062347E-3</v>
          </cell>
          <cell r="BV146">
            <v>1.1660537231180429E-2</v>
          </cell>
          <cell r="BY146">
            <v>2.0392471042486662E-2</v>
          </cell>
        </row>
        <row r="147">
          <cell r="BJ147">
            <v>8.7319338113062347E-3</v>
          </cell>
          <cell r="BV147">
            <v>1.1660537231180429E-2</v>
          </cell>
          <cell r="BY147">
            <v>2.0392471042486662E-2</v>
          </cell>
        </row>
        <row r="148">
          <cell r="BJ148">
            <v>8.7319338113062347E-3</v>
          </cell>
          <cell r="BV148">
            <v>1.1660537231180429E-2</v>
          </cell>
          <cell r="BY148">
            <v>2.0392471042486662E-2</v>
          </cell>
        </row>
        <row r="149">
          <cell r="BJ149">
            <v>8.7319338113062347E-3</v>
          </cell>
          <cell r="BV149">
            <v>1.1660537231180429E-2</v>
          </cell>
          <cell r="BY149">
            <v>2.0392471042486662E-2</v>
          </cell>
        </row>
        <row r="150">
          <cell r="BJ150">
            <v>8.7319338113062347E-3</v>
          </cell>
          <cell r="BV150">
            <v>1.1660537231180429E-2</v>
          </cell>
          <cell r="BY150">
            <v>2.0392471042486662E-2</v>
          </cell>
        </row>
        <row r="151">
          <cell r="BJ151">
            <v>8.7319338113062347E-3</v>
          </cell>
          <cell r="BV151">
            <v>1.1660537231180429E-2</v>
          </cell>
          <cell r="BY151">
            <v>2.0392471042486662E-2</v>
          </cell>
        </row>
        <row r="152">
          <cell r="BJ152">
            <v>8.7319338113062347E-3</v>
          </cell>
          <cell r="BV152">
            <v>1.1660537231180429E-2</v>
          </cell>
          <cell r="BY152">
            <v>2.0392471042486662E-2</v>
          </cell>
        </row>
        <row r="153">
          <cell r="BJ153">
            <v>8.7319338113062347E-3</v>
          </cell>
          <cell r="BV153">
            <v>1.1660537231180429E-2</v>
          </cell>
          <cell r="BY153">
            <v>2.0392471042486662E-2</v>
          </cell>
        </row>
        <row r="154">
          <cell r="BJ154">
            <v>8.7319338113062347E-3</v>
          </cell>
          <cell r="BV154">
            <v>1.1660537231180429E-2</v>
          </cell>
          <cell r="BY154">
            <v>2.0392471042486662E-2</v>
          </cell>
        </row>
        <row r="155">
          <cell r="BJ155">
            <v>8.7319338113062347E-3</v>
          </cell>
          <cell r="BV155">
            <v>1.1660537231180429E-2</v>
          </cell>
          <cell r="BY155">
            <v>2.0392471042486662E-2</v>
          </cell>
        </row>
        <row r="156">
          <cell r="BJ156">
            <v>8.7319338113062347E-3</v>
          </cell>
          <cell r="BV156">
            <v>1.1660537231180429E-2</v>
          </cell>
          <cell r="BY156">
            <v>2.0392471042486662E-2</v>
          </cell>
        </row>
        <row r="157">
          <cell r="BJ157">
            <v>8.7319338113062347E-3</v>
          </cell>
          <cell r="BV157">
            <v>1.1660537231180429E-2</v>
          </cell>
          <cell r="BY157">
            <v>2.0392471042486662E-2</v>
          </cell>
        </row>
        <row r="158">
          <cell r="BJ158">
            <v>8.7319338113062347E-3</v>
          </cell>
          <cell r="BV158">
            <v>1.1660537231180429E-2</v>
          </cell>
          <cell r="BY158">
            <v>2.0392471042486662E-2</v>
          </cell>
        </row>
        <row r="159">
          <cell r="BJ159">
            <v>8.7319338113062347E-3</v>
          </cell>
          <cell r="BV159">
            <v>1.1660537231180429E-2</v>
          </cell>
          <cell r="BY159">
            <v>2.0392471042486662E-2</v>
          </cell>
        </row>
        <row r="160">
          <cell r="BJ160">
            <v>8.7319338113062347E-3</v>
          </cell>
          <cell r="BV160">
            <v>1.1741773904276128E-2</v>
          </cell>
          <cell r="BY160">
            <v>2.0473707715582361E-2</v>
          </cell>
        </row>
        <row r="161">
          <cell r="BJ161">
            <v>8.7319338113062347E-3</v>
          </cell>
          <cell r="BV161">
            <v>1.1991473127822968E-2</v>
          </cell>
          <cell r="BY161">
            <v>2.0723406939129201E-2</v>
          </cell>
        </row>
        <row r="162">
          <cell r="BJ162">
            <v>8.7319338113062347E-3</v>
          </cell>
          <cell r="BV162">
            <v>1.1659912303032947E-2</v>
          </cell>
          <cell r="BY162">
            <v>2.0391846114339182E-2</v>
          </cell>
        </row>
        <row r="163">
          <cell r="BJ163">
            <v>8.7319338113062347E-3</v>
          </cell>
          <cell r="BV163">
            <v>1.2545806368988997E-2</v>
          </cell>
          <cell r="BY163">
            <v>2.1277740180295233E-2</v>
          </cell>
        </row>
        <row r="164">
          <cell r="BJ164">
            <v>8.7319338113062347E-3</v>
          </cell>
          <cell r="BV164">
            <v>1.2419095435332195E-2</v>
          </cell>
          <cell r="BY164">
            <v>2.1151029246638434E-2</v>
          </cell>
        </row>
        <row r="165">
          <cell r="BJ165">
            <v>8.7319338113062347E-3</v>
          </cell>
          <cell r="BV165">
            <v>1.1942611743577334E-2</v>
          </cell>
          <cell r="BY165">
            <v>2.0674545554883572E-2</v>
          </cell>
        </row>
        <row r="166">
          <cell r="BJ166">
            <v>8.7319338113062347E-3</v>
          </cell>
          <cell r="BV166">
            <v>1.2518843784236634E-2</v>
          </cell>
          <cell r="BY166">
            <v>2.125077759554287E-2</v>
          </cell>
        </row>
        <row r="167">
          <cell r="BJ167">
            <v>8.7319338113062347E-3</v>
          </cell>
          <cell r="BV167">
            <v>1.2518843784236634E-2</v>
          </cell>
          <cell r="BY167">
            <v>2.125077759554287E-2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XBI_IBB_1"/>
    </sheetNames>
    <sheetDataSet>
      <sheetData sheetId="0">
        <row r="1">
          <cell r="O1" t="str">
            <v>IBB/XBI avg</v>
          </cell>
          <cell r="P1" t="str">
            <v>IBB/XBI 10 dma</v>
          </cell>
          <cell r="Q1" t="str">
            <v>IBB/XBI 20 dma</v>
          </cell>
          <cell r="U1" t="str">
            <v>log diff XBI x avg / IBB</v>
          </cell>
          <cell r="V1" t="str">
            <v>log diff XBI x 10 dma / IBB</v>
          </cell>
          <cell r="W1" t="str">
            <v>log diff XBI x 20 dma / IBB</v>
          </cell>
          <cell r="Y1" t="str">
            <v>IBB*/XBI* avg</v>
          </cell>
          <cell r="Z1" t="str">
            <v>IBB*/XBI* 10 dma</v>
          </cell>
          <cell r="AA1" t="str">
            <v>IBB*/XBI* 20 dma</v>
          </cell>
          <cell r="AE1" t="str">
            <v>log diff XBI* x avg / IBB*</v>
          </cell>
          <cell r="AF1" t="str">
            <v>log diff XBI* x 10 dma / IBB*</v>
          </cell>
          <cell r="AG1" t="str">
            <v>log diff XBI* x 20 dma / IBB*</v>
          </cell>
        </row>
        <row r="2">
          <cell r="O2">
            <v>1.3022492118915701</v>
          </cell>
          <cell r="Y2">
            <v>1.3022759807794699</v>
          </cell>
        </row>
        <row r="3">
          <cell r="O3">
            <v>1.3022492118915701</v>
          </cell>
          <cell r="U3">
            <v>-6.7193776231800603E-2</v>
          </cell>
          <cell r="Y3">
            <v>1.3022759807794699</v>
          </cell>
          <cell r="AE3">
            <v>-6.7173220555874602E-2</v>
          </cell>
        </row>
        <row r="4">
          <cell r="O4">
            <v>1.3022492118915701</v>
          </cell>
          <cell r="U4">
            <v>-7.4214671142807206E-2</v>
          </cell>
          <cell r="Y4">
            <v>1.3022759807794699</v>
          </cell>
          <cell r="AE4">
            <v>-7.4194115466881094E-2</v>
          </cell>
        </row>
        <row r="5">
          <cell r="O5">
            <v>1.3022492118915701</v>
          </cell>
          <cell r="U5">
            <v>-7.0897998312877797E-2</v>
          </cell>
          <cell r="Y5">
            <v>1.3022759807794699</v>
          </cell>
          <cell r="AE5">
            <v>-7.0877442636952004E-2</v>
          </cell>
        </row>
        <row r="6">
          <cell r="O6">
            <v>1.3022492118915701</v>
          </cell>
          <cell r="U6">
            <v>-6.69719140331132E-2</v>
          </cell>
          <cell r="Y6">
            <v>1.3022759807794699</v>
          </cell>
          <cell r="AE6">
            <v>-6.6951358357187199E-2</v>
          </cell>
        </row>
        <row r="7">
          <cell r="O7">
            <v>1.3022492118915701</v>
          </cell>
          <cell r="U7">
            <v>-6.1360703548950797E-2</v>
          </cell>
          <cell r="Y7">
            <v>1.3022759807794699</v>
          </cell>
          <cell r="AE7">
            <v>-6.1340147873024803E-2</v>
          </cell>
        </row>
        <row r="8">
          <cell r="O8">
            <v>1.3022492118915701</v>
          </cell>
          <cell r="U8">
            <v>-6.0190183633722402E-2</v>
          </cell>
          <cell r="Y8">
            <v>1.3022759807794699</v>
          </cell>
          <cell r="AE8">
            <v>-6.0169627957796401E-2</v>
          </cell>
        </row>
        <row r="9">
          <cell r="O9">
            <v>1.3022492118915701</v>
          </cell>
          <cell r="U9">
            <v>-6.0369064358627503E-2</v>
          </cell>
          <cell r="Y9">
            <v>1.3022759807794699</v>
          </cell>
          <cell r="AE9">
            <v>-6.0348508682701599E-2</v>
          </cell>
        </row>
        <row r="10">
          <cell r="O10">
            <v>1.3022492118915701</v>
          </cell>
          <cell r="U10">
            <v>-4.5446761687341901E-2</v>
          </cell>
          <cell r="Y10">
            <v>1.3022759807794699</v>
          </cell>
          <cell r="AE10">
            <v>-4.54262060114159E-2</v>
          </cell>
        </row>
        <row r="11">
          <cell r="O11">
            <v>1.3022492118915701</v>
          </cell>
          <cell r="P11">
            <v>1.38618200241551</v>
          </cell>
          <cell r="U11">
            <v>-5.1894038274891897E-2</v>
          </cell>
          <cell r="Y11">
            <v>1.3022759807794699</v>
          </cell>
          <cell r="Z11">
            <v>1.38618200241551</v>
          </cell>
          <cell r="AE11">
            <v>-5.1873482598965903E-2</v>
          </cell>
        </row>
        <row r="12">
          <cell r="O12">
            <v>1.3022492118915701</v>
          </cell>
          <cell r="P12">
            <v>1.38397608458996</v>
          </cell>
          <cell r="U12">
            <v>-4.9738056856689999E-2</v>
          </cell>
          <cell r="V12">
            <v>1.2722217710910699E-2</v>
          </cell>
          <cell r="Y12">
            <v>1.3022759807794699</v>
          </cell>
          <cell r="Z12">
            <v>1.38397608458996</v>
          </cell>
          <cell r="AE12">
            <v>-4.9717501180763901E-2</v>
          </cell>
          <cell r="AF12">
            <v>1.2722217710910699E-2</v>
          </cell>
        </row>
        <row r="13">
          <cell r="O13">
            <v>1.3022492118915701</v>
          </cell>
          <cell r="P13">
            <v>1.3809600565565201</v>
          </cell>
          <cell r="U13">
            <v>-4.5300804842807699E-2</v>
          </cell>
          <cell r="V13">
            <v>1.5566839829653E-2</v>
          </cell>
          <cell r="Y13">
            <v>1.3022759807794699</v>
          </cell>
          <cell r="Z13">
            <v>1.3809600565565201</v>
          </cell>
          <cell r="AE13">
            <v>-4.5280249166881802E-2</v>
          </cell>
          <cell r="AF13">
            <v>1.5566839829653E-2</v>
          </cell>
        </row>
        <row r="14">
          <cell r="O14">
            <v>1.3022492118915701</v>
          </cell>
          <cell r="P14">
            <v>1.3773544529460999</v>
          </cell>
          <cell r="U14">
            <v>-4.81713834039426E-2</v>
          </cell>
          <cell r="V14">
            <v>1.05146345865944E-2</v>
          </cell>
          <cell r="Y14">
            <v>1.3022759807794699</v>
          </cell>
          <cell r="Z14">
            <v>1.3773544529460999</v>
          </cell>
          <cell r="AE14">
            <v>-4.8150827728016599E-2</v>
          </cell>
          <cell r="AF14">
            <v>1.05146345865944E-2</v>
          </cell>
        </row>
        <row r="15">
          <cell r="O15">
            <v>1.3022492118915701</v>
          </cell>
          <cell r="P15">
            <v>1.37257726330246</v>
          </cell>
          <cell r="U15">
            <v>-3.61270685929806E-2</v>
          </cell>
          <cell r="V15">
            <v>1.9944595123128701E-2</v>
          </cell>
          <cell r="Y15">
            <v>1.3022759807794699</v>
          </cell>
          <cell r="Z15">
            <v>1.37257726330246</v>
          </cell>
          <cell r="AE15">
            <v>-3.6106512917054502E-2</v>
          </cell>
          <cell r="AF15">
            <v>1.9944595123128701E-2</v>
          </cell>
        </row>
        <row r="16">
          <cell r="O16">
            <v>1.3022492118915701</v>
          </cell>
          <cell r="P16">
            <v>1.37026602551152</v>
          </cell>
          <cell r="U16">
            <v>-5.0234264927200602E-2</v>
          </cell>
          <cell r="V16">
            <v>2.3629892818810899E-3</v>
          </cell>
          <cell r="Y16">
            <v>1.3022759807794699</v>
          </cell>
          <cell r="Z16">
            <v>1.37026602551152</v>
          </cell>
          <cell r="AE16">
            <v>-5.0213709251274698E-2</v>
          </cell>
          <cell r="AF16">
            <v>2.3629892818810899E-3</v>
          </cell>
        </row>
        <row r="17">
          <cell r="O17">
            <v>1.3022492118915701</v>
          </cell>
          <cell r="P17">
            <v>1.36933340153839</v>
          </cell>
          <cell r="U17">
            <v>-5.46025111282364E-2</v>
          </cell>
          <cell r="V17">
            <v>-3.6905433862237302E-3</v>
          </cell>
          <cell r="Y17">
            <v>1.3022759807794699</v>
          </cell>
          <cell r="Z17">
            <v>1.36933340153839</v>
          </cell>
          <cell r="AE17">
            <v>-5.4581955452310503E-2</v>
          </cell>
          <cell r="AF17">
            <v>-3.6905433862237302E-3</v>
          </cell>
        </row>
        <row r="18">
          <cell r="O18">
            <v>1.3022492118915701</v>
          </cell>
          <cell r="P18">
            <v>1.3686627576916099</v>
          </cell>
          <cell r="U18">
            <v>-5.5329328590525001E-2</v>
          </cell>
          <cell r="V18">
            <v>-5.0982078365435501E-3</v>
          </cell>
          <cell r="Y18">
            <v>1.3022759807794699</v>
          </cell>
          <cell r="Z18">
            <v>1.3686627576916099</v>
          </cell>
          <cell r="AE18">
            <v>-5.5308772914599E-2</v>
          </cell>
          <cell r="AF18">
            <v>-5.0982078365435501E-3</v>
          </cell>
        </row>
        <row r="19">
          <cell r="O19">
            <v>1.3022492118915701</v>
          </cell>
          <cell r="P19">
            <v>1.3685189842854699</v>
          </cell>
          <cell r="U19">
            <v>-5.9329162632311999E-2</v>
          </cell>
          <cell r="V19">
            <v>-9.5879212070025793E-3</v>
          </cell>
          <cell r="Y19">
            <v>1.3022759807794699</v>
          </cell>
          <cell r="Z19">
            <v>1.3685189842854699</v>
          </cell>
          <cell r="AE19">
            <v>-5.9308606956385998E-2</v>
          </cell>
          <cell r="AF19">
            <v>-9.5879212070025793E-3</v>
          </cell>
        </row>
        <row r="20">
          <cell r="O20">
            <v>1.3022492118915701</v>
          </cell>
          <cell r="P20">
            <v>1.36972540989165</v>
          </cell>
          <cell r="U20">
            <v>-5.4260373292088299E-2</v>
          </cell>
          <cell r="V20">
            <v>-4.6241840115225996E-3</v>
          </cell>
          <cell r="Y20">
            <v>1.3022759807794699</v>
          </cell>
          <cell r="Z20">
            <v>1.36972540989165</v>
          </cell>
          <cell r="AE20">
            <v>-5.4239817616162297E-2</v>
          </cell>
          <cell r="AF20">
            <v>-4.6241840115225996E-3</v>
          </cell>
        </row>
        <row r="21">
          <cell r="O21">
            <v>1.3022492118915701</v>
          </cell>
          <cell r="P21">
            <v>1.3707846123335301</v>
          </cell>
          <cell r="Q21">
            <v>1.37848330737452</v>
          </cell>
          <cell r="U21">
            <v>-5.9586689927238E-2</v>
          </cell>
          <cell r="V21">
            <v>-9.0693333653211593E-3</v>
          </cell>
          <cell r="Y21">
            <v>1.3022759807794699</v>
          </cell>
          <cell r="Z21">
            <v>1.3707846123335301</v>
          </cell>
          <cell r="AA21">
            <v>1.37848330737452</v>
          </cell>
          <cell r="AE21">
            <v>-5.9566134251312103E-2</v>
          </cell>
          <cell r="AF21">
            <v>-9.0693333653211593E-3</v>
          </cell>
        </row>
        <row r="22">
          <cell r="O22">
            <v>1.3022492118915701</v>
          </cell>
          <cell r="P22">
            <v>1.3706600366561501</v>
          </cell>
          <cell r="Q22">
            <v>1.3773180606230599</v>
          </cell>
          <cell r="U22">
            <v>-4.8827439521829399E-2</v>
          </cell>
          <cell r="V22">
            <v>2.4629136619045799E-3</v>
          </cell>
          <cell r="W22">
            <v>8.0634701657267202E-3</v>
          </cell>
          <cell r="Y22">
            <v>1.3022759807794699</v>
          </cell>
          <cell r="Z22">
            <v>1.3706600366561501</v>
          </cell>
          <cell r="AA22">
            <v>1.3773180606230599</v>
          </cell>
          <cell r="AE22">
            <v>-4.8806883845903398E-2</v>
          </cell>
          <cell r="AF22">
            <v>2.4629136619045799E-3</v>
          </cell>
          <cell r="AG22">
            <v>8.0634701657267202E-3</v>
          </cell>
        </row>
        <row r="23">
          <cell r="O23">
            <v>1.3022492118915701</v>
          </cell>
          <cell r="P23">
            <v>1.3705537044201801</v>
          </cell>
          <cell r="Q23">
            <v>1.37575688048835</v>
          </cell>
          <cell r="U23">
            <v>-4.4520136690624698E-2</v>
          </cell>
          <cell r="V23">
            <v>6.6793332593297998E-3</v>
          </cell>
          <cell r="W23">
            <v>1.15251047753844E-2</v>
          </cell>
          <cell r="Y23">
            <v>1.3022759807794699</v>
          </cell>
          <cell r="Z23">
            <v>1.3705537044201801</v>
          </cell>
          <cell r="AA23">
            <v>1.37575688048835</v>
          </cell>
          <cell r="AE23">
            <v>-4.4499581014698801E-2</v>
          </cell>
          <cell r="AF23">
            <v>6.6793332593297998E-3</v>
          </cell>
          <cell r="AG23">
            <v>1.15251047753844E-2</v>
          </cell>
        </row>
        <row r="24">
          <cell r="O24">
            <v>1.3022492118915701</v>
          </cell>
          <cell r="P24">
            <v>1.3728198316204601</v>
          </cell>
          <cell r="Q24">
            <v>1.37508714228328</v>
          </cell>
          <cell r="U24">
            <v>-6.4618631546812494E-2</v>
          </cell>
          <cell r="V24">
            <v>-1.3496742001789901E-2</v>
          </cell>
          <cell r="W24">
            <v>-9.7075257911902399E-3</v>
          </cell>
          <cell r="Y24">
            <v>1.3022759807794699</v>
          </cell>
          <cell r="Z24">
            <v>1.3728198316204601</v>
          </cell>
          <cell r="AA24">
            <v>1.37508714228328</v>
          </cell>
          <cell r="AE24">
            <v>-6.4598075870886507E-2</v>
          </cell>
          <cell r="AF24">
            <v>-1.3496742001789901E-2</v>
          </cell>
          <cell r="AG24">
            <v>-9.7075257911902399E-3</v>
          </cell>
        </row>
        <row r="25">
          <cell r="O25">
            <v>1.3022492118915701</v>
          </cell>
          <cell r="P25">
            <v>1.3786591213363</v>
          </cell>
          <cell r="Q25">
            <v>1.37561819231938</v>
          </cell>
          <cell r="U25">
            <v>-7.8466956577821698E-2</v>
          </cell>
          <cell r="V25">
            <v>-2.5692993273298499E-2</v>
          </cell>
          <cell r="W25">
            <v>-2.4042783714620802E-2</v>
          </cell>
          <cell r="Y25">
            <v>1.3022759807794699</v>
          </cell>
          <cell r="Z25">
            <v>1.3786591213363</v>
          </cell>
          <cell r="AA25">
            <v>1.37561819231938</v>
          </cell>
          <cell r="AE25">
            <v>-7.8446400901895794E-2</v>
          </cell>
          <cell r="AF25">
            <v>-2.5692993273298499E-2</v>
          </cell>
          <cell r="AG25">
            <v>-2.4042783714620802E-2</v>
          </cell>
        </row>
        <row r="26">
          <cell r="O26">
            <v>1.3022492118915701</v>
          </cell>
          <cell r="P26">
            <v>1.38114053668059</v>
          </cell>
          <cell r="Q26">
            <v>1.3757032810960601</v>
          </cell>
          <cell r="U26">
            <v>-6.8193312552589397E-2</v>
          </cell>
          <cell r="V26">
            <v>-1.1174869401263301E-2</v>
          </cell>
          <cell r="W26">
            <v>-1.33830205104177E-2</v>
          </cell>
          <cell r="Y26">
            <v>1.3022759807794699</v>
          </cell>
          <cell r="Z26">
            <v>1.38114053668059</v>
          </cell>
          <cell r="AA26">
            <v>1.3757032810960601</v>
          </cell>
          <cell r="AE26">
            <v>-6.8172756876663507E-2</v>
          </cell>
          <cell r="AF26">
            <v>-1.1174869401263301E-2</v>
          </cell>
          <cell r="AG26">
            <v>-1.33830205104177E-2</v>
          </cell>
        </row>
        <row r="27">
          <cell r="O27">
            <v>1.3022492118915701</v>
          </cell>
          <cell r="P27">
            <v>1.38187547577417</v>
          </cell>
          <cell r="Q27">
            <v>1.37560443865628</v>
          </cell>
          <cell r="U27">
            <v>-5.9932003908445101E-2</v>
          </cell>
          <cell r="V27">
            <v>-1.1153026801074199E-3</v>
          </cell>
          <cell r="W27">
            <v>-5.0598588421687596E-3</v>
          </cell>
          <cell r="Y27">
            <v>1.3022759807794699</v>
          </cell>
          <cell r="Z27">
            <v>1.38187547577417</v>
          </cell>
          <cell r="AA27">
            <v>1.37560443865628</v>
          </cell>
          <cell r="AE27">
            <v>-5.9911448232519197E-2</v>
          </cell>
          <cell r="AF27">
            <v>-1.1153026801074199E-3</v>
          </cell>
          <cell r="AG27">
            <v>-5.0598588421687596E-3</v>
          </cell>
        </row>
        <row r="28">
          <cell r="O28">
            <v>1.3022492118915701</v>
          </cell>
          <cell r="P28">
            <v>1.3815168514501801</v>
          </cell>
          <cell r="Q28">
            <v>1.3750898045708899</v>
          </cell>
          <cell r="U28">
            <v>-5.2720275943498401E-2</v>
          </cell>
          <cell r="V28">
            <v>6.6284085289451296E-3</v>
          </cell>
          <cell r="W28">
            <v>2.0800178797415799E-3</v>
          </cell>
          <cell r="Y28">
            <v>1.3022759807794699</v>
          </cell>
          <cell r="Z28">
            <v>1.3815168514501801</v>
          </cell>
          <cell r="AA28">
            <v>1.3750898045708899</v>
          </cell>
          <cell r="AE28">
            <v>-5.2699720267572601E-2</v>
          </cell>
          <cell r="AF28">
            <v>6.6284085289451296E-3</v>
          </cell>
          <cell r="AG28">
            <v>2.0800178797415799E-3</v>
          </cell>
        </row>
        <row r="29">
          <cell r="O29">
            <v>1.3022492118915701</v>
          </cell>
          <cell r="P29">
            <v>1.38187993573745</v>
          </cell>
          <cell r="Q29">
            <v>1.3751994600114601</v>
          </cell>
          <cell r="U29">
            <v>-6.1953242729891798E-2</v>
          </cell>
          <cell r="V29">
            <v>-2.86411193896528E-3</v>
          </cell>
          <cell r="W29">
            <v>-7.5271337820944596E-3</v>
          </cell>
          <cell r="Y29">
            <v>1.3022759807794699</v>
          </cell>
          <cell r="Z29">
            <v>1.38187993573745</v>
          </cell>
          <cell r="AA29">
            <v>1.3751994600114601</v>
          </cell>
          <cell r="AE29">
            <v>-6.19326870539657E-2</v>
          </cell>
          <cell r="AF29">
            <v>-2.86411193896528E-3</v>
          </cell>
          <cell r="AG29">
            <v>-7.5271337820944596E-3</v>
          </cell>
        </row>
        <row r="30">
          <cell r="O30">
            <v>1.3022492118915701</v>
          </cell>
          <cell r="P30">
            <v>1.3829227255105301</v>
          </cell>
          <cell r="Q30">
            <v>1.3763240677010899</v>
          </cell>
          <cell r="U30">
            <v>-6.1816441451023697E-2</v>
          </cell>
          <cell r="V30">
            <v>-2.46452951260558E-3</v>
          </cell>
          <cell r="W30">
            <v>-7.3105914795945203E-3</v>
          </cell>
          <cell r="Y30">
            <v>1.3022759807794699</v>
          </cell>
          <cell r="Z30">
            <v>1.3829227255105301</v>
          </cell>
          <cell r="AA30">
            <v>1.3763240677010899</v>
          </cell>
          <cell r="AE30">
            <v>-6.1795885775097599E-2</v>
          </cell>
          <cell r="AF30">
            <v>-2.46452951260558E-3</v>
          </cell>
          <cell r="AG30">
            <v>-7.3105914795945203E-3</v>
          </cell>
        </row>
        <row r="31">
          <cell r="O31">
            <v>1.3022492118915701</v>
          </cell>
          <cell r="P31">
            <v>1.38510599617036</v>
          </cell>
          <cell r="Q31">
            <v>1.3779453042519401</v>
          </cell>
          <cell r="U31">
            <v>-7.52588082824589E-2</v>
          </cell>
          <cell r="V31">
            <v>-1.51525641545189E-2</v>
          </cell>
          <cell r="W31">
            <v>-1.9935514635967998E-2</v>
          </cell>
          <cell r="Y31">
            <v>1.3022759807794699</v>
          </cell>
          <cell r="Z31">
            <v>1.38510599617036</v>
          </cell>
          <cell r="AA31">
            <v>1.3779453042519401</v>
          </cell>
          <cell r="AE31">
            <v>-7.5238252606532899E-2</v>
          </cell>
          <cell r="AF31">
            <v>-1.51525641545189E-2</v>
          </cell>
          <cell r="AG31">
            <v>-1.9935514635967998E-2</v>
          </cell>
        </row>
        <row r="32">
          <cell r="O32">
            <v>1.3022492118915701</v>
          </cell>
          <cell r="P32">
            <v>1.38799403467403</v>
          </cell>
          <cell r="Q32">
            <v>1.37932703566509</v>
          </cell>
          <cell r="U32">
            <v>-6.9727954846418805E-2</v>
          </cell>
          <cell r="V32">
            <v>-8.0442190577313197E-3</v>
          </cell>
          <cell r="W32">
            <v>-1.3227407620736001E-2</v>
          </cell>
          <cell r="Y32">
            <v>1.3022759807794699</v>
          </cell>
          <cell r="Z32">
            <v>1.38799403467403</v>
          </cell>
          <cell r="AA32">
            <v>1.37932703566509</v>
          </cell>
          <cell r="AE32">
            <v>-6.9707399170492901E-2</v>
          </cell>
          <cell r="AF32">
            <v>-8.0442190577313197E-3</v>
          </cell>
          <cell r="AG32">
            <v>-1.3227407620736001E-2</v>
          </cell>
        </row>
        <row r="33">
          <cell r="O33">
            <v>1.3022492118915701</v>
          </cell>
          <cell r="P33">
            <v>1.3909806172133601</v>
          </cell>
          <cell r="Q33">
            <v>1.38076716081677</v>
          </cell>
          <cell r="U33">
            <v>-6.6218417595962795E-2</v>
          </cell>
          <cell r="V33">
            <v>-2.4517857590393502E-3</v>
          </cell>
          <cell r="W33">
            <v>-8.7156251376970806E-3</v>
          </cell>
          <cell r="Y33">
            <v>1.3022759807794699</v>
          </cell>
          <cell r="Z33">
            <v>1.3909806172133601</v>
          </cell>
          <cell r="AA33">
            <v>1.38076716081677</v>
          </cell>
          <cell r="AE33">
            <v>-6.6197861920036599E-2</v>
          </cell>
          <cell r="AF33">
            <v>-2.4517857590393502E-3</v>
          </cell>
          <cell r="AG33">
            <v>-8.7156251376970806E-3</v>
          </cell>
        </row>
        <row r="34">
          <cell r="O34">
            <v>1.3022492118915701</v>
          </cell>
          <cell r="P34">
            <v>1.39016453167746</v>
          </cell>
          <cell r="Q34">
            <v>1.38149218164896</v>
          </cell>
          <cell r="U34">
            <v>-5.8726711454199297E-2</v>
          </cell>
          <cell r="V34">
            <v>7.18933451080115E-3</v>
          </cell>
          <cell r="W34">
            <v>-1.8038556565552199E-4</v>
          </cell>
          <cell r="Y34">
            <v>1.3022759807794699</v>
          </cell>
          <cell r="Z34">
            <v>1.39016453167746</v>
          </cell>
          <cell r="AA34">
            <v>1.38149218164896</v>
          </cell>
          <cell r="AE34">
            <v>-5.8706155778273102E-2</v>
          </cell>
          <cell r="AF34">
            <v>7.18933451080115E-3</v>
          </cell>
          <cell r="AG34">
            <v>-1.8038556565552199E-4</v>
          </cell>
        </row>
        <row r="35">
          <cell r="O35">
            <v>1.3022492118915701</v>
          </cell>
          <cell r="P35">
            <v>1.3890676349364099</v>
          </cell>
          <cell r="Q35">
            <v>1.3838633781363601</v>
          </cell>
          <cell r="U35">
            <v>-7.0649051245554401E-2</v>
          </cell>
          <cell r="V35">
            <v>-5.31987544779594E-3</v>
          </cell>
          <cell r="W35">
            <v>-1.1577777653736399E-2</v>
          </cell>
          <cell r="Y35">
            <v>1.3022759807794699</v>
          </cell>
          <cell r="Z35">
            <v>1.3890676349364099</v>
          </cell>
          <cell r="AA35">
            <v>1.3838633781363601</v>
          </cell>
          <cell r="AE35">
            <v>-7.0628495569628302E-2</v>
          </cell>
          <cell r="AF35">
            <v>-5.31987544779594E-3</v>
          </cell>
          <cell r="AG35">
            <v>-1.1577777653736399E-2</v>
          </cell>
        </row>
        <row r="36">
          <cell r="O36">
            <v>1.3022492118915701</v>
          </cell>
          <cell r="P36">
            <v>1.3875590410038301</v>
          </cell>
          <cell r="Q36">
            <v>1.38434978884221</v>
          </cell>
          <cell r="U36">
            <v>-5.7313468756932003E-2</v>
          </cell>
          <cell r="V36">
            <v>7.2263546353827602E-3</v>
          </cell>
          <cell r="W36">
            <v>3.4727358933112399E-3</v>
          </cell>
          <cell r="Y36">
            <v>1.3022759807794699</v>
          </cell>
          <cell r="Z36">
            <v>1.3875590410038301</v>
          </cell>
          <cell r="AA36">
            <v>1.38434978884221</v>
          </cell>
          <cell r="AE36">
            <v>-5.7292913081006099E-2</v>
          </cell>
          <cell r="AF36">
            <v>7.2263546353827602E-3</v>
          </cell>
          <cell r="AG36">
            <v>3.4727358933112399E-3</v>
          </cell>
        </row>
        <row r="37">
          <cell r="O37">
            <v>1.3022492118915701</v>
          </cell>
          <cell r="P37">
            <v>1.3858346840461699</v>
          </cell>
          <cell r="Q37">
            <v>1.3838550799101701</v>
          </cell>
          <cell r="U37">
            <v>-4.7382482146488401E-2</v>
          </cell>
          <cell r="V37">
            <v>1.6070703208313799E-2</v>
          </cell>
          <cell r="W37">
            <v>1.37551482658065E-2</v>
          </cell>
          <cell r="Y37">
            <v>1.3022759807794699</v>
          </cell>
          <cell r="Z37">
            <v>1.3858346840461699</v>
          </cell>
          <cell r="AA37">
            <v>1.3838550799101701</v>
          </cell>
          <cell r="AE37">
            <v>-4.7361926470562497E-2</v>
          </cell>
          <cell r="AF37">
            <v>1.6070703208313799E-2</v>
          </cell>
          <cell r="AG37">
            <v>1.37551482658065E-2</v>
          </cell>
        </row>
        <row r="38">
          <cell r="O38">
            <v>1.3022492118915701</v>
          </cell>
          <cell r="P38">
            <v>1.3852142649444099</v>
          </cell>
          <cell r="Q38">
            <v>1.3833655581972899</v>
          </cell>
          <cell r="U38">
            <v>-4.8190484649060603E-2</v>
          </cell>
          <cell r="V38">
            <v>1.40192009716197E-2</v>
          </cell>
          <cell r="W38">
            <v>1.25897235630986E-2</v>
          </cell>
          <cell r="Y38">
            <v>1.3022759807794699</v>
          </cell>
          <cell r="Z38">
            <v>1.3852142649444099</v>
          </cell>
          <cell r="AA38">
            <v>1.3833655581972899</v>
          </cell>
          <cell r="AE38">
            <v>-4.8169928973134699E-2</v>
          </cell>
          <cell r="AF38">
            <v>1.40192009716197E-2</v>
          </cell>
          <cell r="AG38">
            <v>1.25897235630986E-2</v>
          </cell>
        </row>
        <row r="39">
          <cell r="O39">
            <v>1.3022492118915701</v>
          </cell>
          <cell r="P39">
            <v>1.38286120814695</v>
          </cell>
          <cell r="Q39">
            <v>1.3823705719421999</v>
          </cell>
          <cell r="U39">
            <v>-4.4823663835157797E-2</v>
          </cell>
          <cell r="V39">
            <v>1.69382353165341E-2</v>
          </cell>
          <cell r="W39">
            <v>1.56027440972243E-2</v>
          </cell>
          <cell r="Y39">
            <v>1.3022759807794699</v>
          </cell>
          <cell r="Z39">
            <v>1.38286120814695</v>
          </cell>
          <cell r="AA39">
            <v>1.3823705719421999</v>
          </cell>
          <cell r="AE39">
            <v>-4.4803108159231698E-2</v>
          </cell>
          <cell r="AF39">
            <v>1.69382353165341E-2</v>
          </cell>
          <cell r="AG39">
            <v>1.56027440972243E-2</v>
          </cell>
        </row>
        <row r="40">
          <cell r="O40">
            <v>1.3022492118915701</v>
          </cell>
          <cell r="P40">
            <v>1.38201770940716</v>
          </cell>
          <cell r="Q40">
            <v>1.3824702174588499</v>
          </cell>
          <cell r="U40">
            <v>-5.5708858626358999E-2</v>
          </cell>
          <cell r="V40">
            <v>4.3529009250062797E-3</v>
          </cell>
          <cell r="W40">
            <v>3.9980401039855602E-3</v>
          </cell>
          <cell r="Y40">
            <v>1.3022759807794699</v>
          </cell>
          <cell r="Z40">
            <v>1.38201770940716</v>
          </cell>
          <cell r="AA40">
            <v>1.3824702174588499</v>
          </cell>
          <cell r="AE40">
            <v>-5.5688302950432998E-2</v>
          </cell>
          <cell r="AF40">
            <v>4.3529009250062797E-3</v>
          </cell>
          <cell r="AG40">
            <v>3.9980401039855602E-3</v>
          </cell>
        </row>
        <row r="41">
          <cell r="O41">
            <v>1.3022492118915701</v>
          </cell>
          <cell r="P41">
            <v>1.3790458429860799</v>
          </cell>
          <cell r="Q41">
            <v>1.38207591957822</v>
          </cell>
          <cell r="U41">
            <v>-5.3865003928591997E-2</v>
          </cell>
          <cell r="V41">
            <v>5.5866032138586798E-3</v>
          </cell>
          <cell r="W41">
            <v>5.9139752753004302E-3</v>
          </cell>
          <cell r="Y41">
            <v>1.3022759807794699</v>
          </cell>
          <cell r="Z41">
            <v>1.3790458429860799</v>
          </cell>
          <cell r="AA41">
            <v>1.38207591957822</v>
          </cell>
          <cell r="AE41">
            <v>-5.3844448252666099E-2</v>
          </cell>
          <cell r="AF41">
            <v>5.5866032138586798E-3</v>
          </cell>
          <cell r="AG41">
            <v>5.9139752753004302E-3</v>
          </cell>
        </row>
        <row r="42">
          <cell r="O42">
            <v>1.3022492118915701</v>
          </cell>
          <cell r="P42">
            <v>1.37714933377225</v>
          </cell>
          <cell r="Q42">
            <v>1.3825716842231399</v>
          </cell>
          <cell r="U42">
            <v>-5.6052410880609999E-2</v>
          </cell>
          <cell r="V42">
            <v>1.2464985695529499E-3</v>
          </cell>
          <cell r="W42">
            <v>3.4413150746421799E-3</v>
          </cell>
          <cell r="Y42">
            <v>1.3022759807794699</v>
          </cell>
          <cell r="Z42">
            <v>1.37714933377225</v>
          </cell>
          <cell r="AA42">
            <v>1.3825716842231399</v>
          </cell>
          <cell r="AE42">
            <v>-5.6031855204683997E-2</v>
          </cell>
          <cell r="AF42">
            <v>1.2464985695529499E-3</v>
          </cell>
          <cell r="AG42">
            <v>3.4413150746421799E-3</v>
          </cell>
        </row>
        <row r="43">
          <cell r="O43">
            <v>1.3022492118915701</v>
          </cell>
          <cell r="P43">
            <v>1.3748309118100699</v>
          </cell>
          <cell r="Q43">
            <v>1.38290576451172</v>
          </cell>
          <cell r="U43">
            <v>-4.9415539558505098E-2</v>
          </cell>
          <cell r="V43">
            <v>6.5071904910581502E-3</v>
          </cell>
          <cell r="W43">
            <v>1.0436832214428E-2</v>
          </cell>
          <cell r="Y43">
            <v>1.3022759807794699</v>
          </cell>
          <cell r="Z43">
            <v>1.3748309118100699</v>
          </cell>
          <cell r="AA43">
            <v>1.38290576451172</v>
          </cell>
          <cell r="AE43">
            <v>-4.9394983882579298E-2</v>
          </cell>
          <cell r="AF43">
            <v>6.5071904910581502E-3</v>
          </cell>
          <cell r="AG43">
            <v>1.0436832214428E-2</v>
          </cell>
        </row>
        <row r="44">
          <cell r="O44">
            <v>1.3022492118915701</v>
          </cell>
          <cell r="P44">
            <v>1.3728632654506201</v>
          </cell>
          <cell r="Q44">
            <v>1.3815138985640401</v>
          </cell>
          <cell r="U44">
            <v>-4.4376422181652102E-2</v>
          </cell>
          <cell r="V44">
            <v>9.8613956928426602E-3</v>
          </cell>
          <cell r="W44">
            <v>1.5717557267639199E-2</v>
          </cell>
          <cell r="Y44">
            <v>1.3022759807794699</v>
          </cell>
          <cell r="Z44">
            <v>1.3728632654506201</v>
          </cell>
          <cell r="AA44">
            <v>1.3815138985640401</v>
          </cell>
          <cell r="AE44">
            <v>-4.4355866505726198E-2</v>
          </cell>
          <cell r="AF44">
            <v>9.8613956928426602E-3</v>
          </cell>
          <cell r="AG44">
            <v>1.5717557267639199E-2</v>
          </cell>
        </row>
        <row r="45">
          <cell r="O45">
            <v>1.3022492118915701</v>
          </cell>
          <cell r="P45">
            <v>1.3682343236743799</v>
          </cell>
          <cell r="Q45">
            <v>1.3786509793054</v>
          </cell>
          <cell r="U45">
            <v>-3.6966998020623199E-2</v>
          </cell>
          <cell r="V45">
            <v>1.5838603188657999E-2</v>
          </cell>
          <cell r="W45">
            <v>2.2119995344838599E-2</v>
          </cell>
          <cell r="Y45">
            <v>1.3022759807794699</v>
          </cell>
          <cell r="Z45">
            <v>1.3682343236743799</v>
          </cell>
          <cell r="AA45">
            <v>1.3786509793054</v>
          </cell>
          <cell r="AE45">
            <v>-3.6946442344697197E-2</v>
          </cell>
          <cell r="AF45">
            <v>1.5838603188657999E-2</v>
          </cell>
          <cell r="AG45">
            <v>2.2119995344838599E-2</v>
          </cell>
        </row>
        <row r="46">
          <cell r="O46">
            <v>1.3022492118915701</v>
          </cell>
          <cell r="P46">
            <v>1.3650744276012501</v>
          </cell>
          <cell r="Q46">
            <v>1.37631673430254</v>
          </cell>
          <cell r="U46">
            <v>-3.4133571828258803E-2</v>
          </cell>
          <cell r="V46">
            <v>1.52945894862639E-2</v>
          </cell>
          <cell r="W46">
            <v>2.28789655448969E-2</v>
          </cell>
          <cell r="Y46">
            <v>1.3022759807794699</v>
          </cell>
          <cell r="Z46">
            <v>1.3650744276012501</v>
          </cell>
          <cell r="AA46">
            <v>1.37631673430254</v>
          </cell>
          <cell r="AE46">
            <v>-3.4113016152332899E-2</v>
          </cell>
          <cell r="AF46">
            <v>1.52945894862639E-2</v>
          </cell>
          <cell r="AG46">
            <v>2.28789655448969E-2</v>
          </cell>
        </row>
        <row r="47">
          <cell r="O47">
            <v>1.3022492118915701</v>
          </cell>
          <cell r="P47">
            <v>1.3637185523081301</v>
          </cell>
          <cell r="Q47">
            <v>1.3747766181771499</v>
          </cell>
          <cell r="U47">
            <v>-3.7402886780915801E-2</v>
          </cell>
          <cell r="V47">
            <v>9.7131336315680796E-3</v>
          </cell>
          <cell r="W47">
            <v>1.7915078601500899E-2</v>
          </cell>
          <cell r="Y47">
            <v>1.3022759807794699</v>
          </cell>
          <cell r="Z47">
            <v>1.3637185523081301</v>
          </cell>
          <cell r="AA47">
            <v>1.3747766181771499</v>
          </cell>
          <cell r="AE47">
            <v>-3.7382331104989897E-2</v>
          </cell>
          <cell r="AF47">
            <v>9.7131336315680796E-3</v>
          </cell>
          <cell r="AG47">
            <v>1.7915078601500899E-2</v>
          </cell>
        </row>
        <row r="48">
          <cell r="O48">
            <v>1.3022492118915701</v>
          </cell>
          <cell r="P48">
            <v>1.3622677133186201</v>
          </cell>
          <cell r="Q48">
            <v>1.37374098913151</v>
          </cell>
          <cell r="U48">
            <v>-3.7516859661698702E-2</v>
          </cell>
          <cell r="V48">
            <v>8.60540606533069E-3</v>
          </cell>
          <cell r="W48">
            <v>1.66814662981618E-2</v>
          </cell>
          <cell r="Y48">
            <v>1.3022759807794699</v>
          </cell>
          <cell r="Z48">
            <v>1.3622677133186201</v>
          </cell>
          <cell r="AA48">
            <v>1.37374098913151</v>
          </cell>
          <cell r="AE48">
            <v>-3.7496303985772701E-2</v>
          </cell>
          <cell r="AF48">
            <v>8.60540606533069E-3</v>
          </cell>
          <cell r="AG48">
            <v>1.66814662981618E-2</v>
          </cell>
        </row>
        <row r="49">
          <cell r="O49">
            <v>1.3022492118915701</v>
          </cell>
          <cell r="P49">
            <v>1.36163799655922</v>
          </cell>
          <cell r="Q49">
            <v>1.3722496023530899</v>
          </cell>
          <cell r="U49">
            <v>-4.0189296759651903E-2</v>
          </cell>
          <cell r="V49">
            <v>4.8685181704022397E-3</v>
          </cell>
          <cell r="W49">
            <v>1.32554381794405E-2</v>
          </cell>
          <cell r="Y49">
            <v>1.3022759807794699</v>
          </cell>
          <cell r="Z49">
            <v>1.36163799655922</v>
          </cell>
          <cell r="AA49">
            <v>1.3722496023530899</v>
          </cell>
          <cell r="AE49">
            <v>-4.0168741083725902E-2</v>
          </cell>
          <cell r="AF49">
            <v>4.8685181704022397E-3</v>
          </cell>
          <cell r="AG49">
            <v>1.32554381794405E-2</v>
          </cell>
        </row>
        <row r="50">
          <cell r="O50">
            <v>1.3022492118915701</v>
          </cell>
          <cell r="P50">
            <v>1.3598057514401001</v>
          </cell>
          <cell r="Q50">
            <v>1.37091173042363</v>
          </cell>
          <cell r="U50">
            <v>-4.2312053132958799E-2</v>
          </cell>
          <cell r="V50">
            <v>2.2833986775993402E-3</v>
          </cell>
          <cell r="W50">
            <v>1.0046453084379001E-2</v>
          </cell>
          <cell r="Y50">
            <v>1.3022759807794699</v>
          </cell>
          <cell r="Z50">
            <v>1.3598057514401001</v>
          </cell>
          <cell r="AA50">
            <v>1.37091173042363</v>
          </cell>
          <cell r="AE50">
            <v>-4.2291497457032902E-2</v>
          </cell>
          <cell r="AF50">
            <v>2.2833986775993402E-3</v>
          </cell>
          <cell r="AG50">
            <v>1.0046453084379001E-2</v>
          </cell>
        </row>
        <row r="51">
          <cell r="O51">
            <v>1.3022492118915701</v>
          </cell>
          <cell r="P51">
            <v>1.35726213164443</v>
          </cell>
          <cell r="Q51">
            <v>1.36815398731525</v>
          </cell>
          <cell r="U51">
            <v>-3.5183356491714397E-2</v>
          </cell>
          <cell r="V51">
            <v>8.0655707784709103E-3</v>
          </cell>
          <cell r="W51">
            <v>1.6199726210030099E-2</v>
          </cell>
          <cell r="Y51">
            <v>1.3022759807794699</v>
          </cell>
          <cell r="Z51">
            <v>1.35726213164443</v>
          </cell>
          <cell r="AA51">
            <v>1.36815398731525</v>
          </cell>
          <cell r="AE51">
            <v>-3.5162800815788403E-2</v>
          </cell>
          <cell r="AF51">
            <v>8.0655707784709103E-3</v>
          </cell>
          <cell r="AG51">
            <v>1.6199726210030099E-2</v>
          </cell>
        </row>
        <row r="52">
          <cell r="O52">
            <v>1.3022492118915701</v>
          </cell>
          <cell r="P52">
            <v>1.3541375996569101</v>
          </cell>
          <cell r="Q52">
            <v>1.36564346671458</v>
          </cell>
          <cell r="U52">
            <v>-3.3105675301423998E-2</v>
          </cell>
          <cell r="V52">
            <v>8.2709244096397395E-3</v>
          </cell>
          <cell r="W52">
            <v>1.6263768937871698E-2</v>
          </cell>
          <cell r="Y52">
            <v>1.3022759807794699</v>
          </cell>
          <cell r="Z52">
            <v>1.3542356896802601</v>
          </cell>
          <cell r="AA52">
            <v>1.3656925117262499</v>
          </cell>
          <cell r="AE52">
            <v>-3.3813561551186901E-2</v>
          </cell>
          <cell r="AF52">
            <v>7.5424824839509397E-3</v>
          </cell>
          <cell r="AG52">
            <v>1.55353270121829E-2</v>
          </cell>
        </row>
        <row r="53">
          <cell r="O53">
            <v>1.3022492118915701</v>
          </cell>
          <cell r="P53">
            <v>1.35254832755563</v>
          </cell>
          <cell r="Q53">
            <v>1.3636896196828501</v>
          </cell>
          <cell r="U53">
            <v>-3.7731907855908998E-2</v>
          </cell>
          <cell r="V53">
            <v>1.3399535795475201E-3</v>
          </cell>
          <cell r="W53">
            <v>9.8008814382994896E-3</v>
          </cell>
          <cell r="Y53">
            <v>1.3022759807794699</v>
          </cell>
          <cell r="Z53">
            <v>1.3527470021715</v>
          </cell>
          <cell r="AA53">
            <v>1.36378895699078</v>
          </cell>
          <cell r="AE53">
            <v>-3.8454866155554601E-2</v>
          </cell>
          <cell r="AF53">
            <v>6.6887424493216696E-4</v>
          </cell>
          <cell r="AG53">
            <v>9.0932802995726796E-3</v>
          </cell>
        </row>
        <row r="54">
          <cell r="O54">
            <v>1.3022492118915701</v>
          </cell>
          <cell r="P54">
            <v>1.3508539790479399</v>
          </cell>
          <cell r="Q54">
            <v>1.3618586222492799</v>
          </cell>
          <cell r="U54">
            <v>-3.1852136030750301E-2</v>
          </cell>
          <cell r="V54">
            <v>6.04539463515316E-3</v>
          </cell>
          <cell r="W54">
            <v>1.42489134914019E-2</v>
          </cell>
          <cell r="Y54">
            <v>1.3022759807794699</v>
          </cell>
          <cell r="Z54">
            <v>1.3511522351237899</v>
          </cell>
          <cell r="AA54">
            <v>1.3620077502872101</v>
          </cell>
          <cell r="AE54">
            <v>-3.2572021228303702E-2</v>
          </cell>
          <cell r="AF54">
            <v>5.4518320814230404E-3</v>
          </cell>
          <cell r="AG54">
            <v>1.3581314479141E-2</v>
          </cell>
        </row>
        <row r="55">
          <cell r="O55">
            <v>1.3022492118915701</v>
          </cell>
          <cell r="P55">
            <v>1.3500861802700499</v>
          </cell>
          <cell r="Q55">
            <v>1.3591602519722199</v>
          </cell>
          <cell r="U55">
            <v>-3.1268826672834898E-2</v>
          </cell>
          <cell r="V55">
            <v>5.37521040433707E-3</v>
          </cell>
          <cell r="W55">
            <v>1.3488641634467001E-2</v>
          </cell>
          <cell r="Y55">
            <v>1.3022759807794699</v>
          </cell>
          <cell r="Z55">
            <v>1.3504856897745501</v>
          </cell>
          <cell r="AA55">
            <v>1.35936000672446</v>
          </cell>
          <cell r="AE55">
            <v>-3.2001578281581199E-2</v>
          </cell>
          <cell r="AF55">
            <v>4.8426695083597197E-3</v>
          </cell>
          <cell r="AG55">
            <v>1.28448316728504E-2</v>
          </cell>
        </row>
        <row r="56">
          <cell r="O56">
            <v>1.3022492118915701</v>
          </cell>
          <cell r="P56">
            <v>1.34902066747227</v>
          </cell>
          <cell r="Q56">
            <v>1.35704754753676</v>
          </cell>
          <cell r="U56">
            <v>-2.6194617074423401E-2</v>
          </cell>
          <cell r="V56">
            <v>9.8808781223064697E-3</v>
          </cell>
          <cell r="W56">
            <v>1.65794977271955E-2</v>
          </cell>
          <cell r="Y56">
            <v>1.3022759807794699</v>
          </cell>
          <cell r="Z56">
            <v>1.34942017697677</v>
          </cell>
          <cell r="AA56">
            <v>1.3572473022890099</v>
          </cell>
          <cell r="AE56">
            <v>-2.61740613984974E-2</v>
          </cell>
          <cell r="AF56">
            <v>1.01767484243298E-2</v>
          </cell>
          <cell r="AG56">
            <v>1.6726456170466E-2</v>
          </cell>
        </row>
        <row r="57">
          <cell r="O57">
            <v>1.3022492118915701</v>
          </cell>
          <cell r="P57">
            <v>1.34905105810714</v>
          </cell>
          <cell r="Q57">
            <v>1.3563848052076299</v>
          </cell>
          <cell r="U57">
            <v>-3.76276643609905E-2</v>
          </cell>
          <cell r="V57">
            <v>-2.3416991185967501E-3</v>
          </cell>
          <cell r="W57">
            <v>3.5908221401046098E-3</v>
          </cell>
          <cell r="Y57">
            <v>1.3022759807794699</v>
          </cell>
          <cell r="Z57">
            <v>1.34945056761164</v>
          </cell>
          <cell r="AA57">
            <v>1.35658455995988</v>
          </cell>
          <cell r="AE57">
            <v>-3.7607108685064602E-2</v>
          </cell>
          <cell r="AF57">
            <v>-2.0455951604615602E-3</v>
          </cell>
          <cell r="AG57">
            <v>3.7380093571622E-3</v>
          </cell>
        </row>
        <row r="58">
          <cell r="O58">
            <v>1.3022492118915701</v>
          </cell>
          <cell r="P58">
            <v>1.3476033519516</v>
          </cell>
          <cell r="Q58">
            <v>1.35493553263511</v>
          </cell>
          <cell r="U58">
            <v>-2.6751500504184501E-2</v>
          </cell>
          <cell r="V58">
            <v>8.5569924083093406E-3</v>
          </cell>
          <cell r="W58">
            <v>1.39784959546669E-2</v>
          </cell>
          <cell r="Y58">
            <v>1.3022759807794699</v>
          </cell>
          <cell r="Z58">
            <v>1.3480028614560899</v>
          </cell>
          <cell r="AA58">
            <v>1.3551352873873601</v>
          </cell>
          <cell r="AE58">
            <v>-2.67309448282586E-2</v>
          </cell>
          <cell r="AF58">
            <v>8.8530896969747294E-3</v>
          </cell>
          <cell r="AG58">
            <v>1.41257550834836E-2</v>
          </cell>
        </row>
        <row r="59">
          <cell r="O59">
            <v>1.3022492118915701</v>
          </cell>
          <cell r="P59">
            <v>1.3454199507761</v>
          </cell>
          <cell r="Q59">
            <v>1.3535289736676599</v>
          </cell>
          <cell r="U59">
            <v>-2.3952270184767199E-2</v>
          </cell>
          <cell r="V59">
            <v>1.02825172582911E-2</v>
          </cell>
          <cell r="W59">
            <v>1.5708673170822599E-2</v>
          </cell>
          <cell r="Y59">
            <v>1.3022759807794699</v>
          </cell>
          <cell r="Z59">
            <v>1.3458194602806</v>
          </cell>
          <cell r="AA59">
            <v>1.35372872841991</v>
          </cell>
          <cell r="AE59">
            <v>-2.3931714508841399E-2</v>
          </cell>
          <cell r="AF59">
            <v>1.0578932591833999E-2</v>
          </cell>
          <cell r="AG59">
            <v>1.5856089800037599E-2</v>
          </cell>
        </row>
        <row r="60">
          <cell r="O60">
            <v>1.3022492118915701</v>
          </cell>
          <cell r="P60">
            <v>1.34370000139393</v>
          </cell>
          <cell r="Q60">
            <v>1.3517528764170199</v>
          </cell>
          <cell r="U60">
            <v>-2.9570879194859599E-2</v>
          </cell>
          <cell r="V60">
            <v>3.0423837320987701E-3</v>
          </cell>
          <cell r="W60">
            <v>9.0514246728446105E-3</v>
          </cell>
          <cell r="Y60">
            <v>1.3022759807794699</v>
          </cell>
          <cell r="Z60">
            <v>1.3440995108984299</v>
          </cell>
          <cell r="AA60">
            <v>1.35195263116927</v>
          </cell>
          <cell r="AE60">
            <v>-2.9550323518933601E-2</v>
          </cell>
          <cell r="AF60">
            <v>3.3392800288693401E-3</v>
          </cell>
          <cell r="AG60">
            <v>9.1989944830314103E-3</v>
          </cell>
        </row>
        <row r="61">
          <cell r="O61">
            <v>1.3022492118915701</v>
          </cell>
          <cell r="P61">
            <v>1.3450805081788799</v>
          </cell>
          <cell r="Q61">
            <v>1.35117131991165</v>
          </cell>
          <cell r="U61">
            <v>-4.5365789026667602E-2</v>
          </cell>
          <cell r="V61">
            <v>-1.40317175432291E-2</v>
          </cell>
          <cell r="W61">
            <v>-8.0565442812695499E-3</v>
          </cell>
          <cell r="Y61">
            <v>1.3022759807794699</v>
          </cell>
          <cell r="Z61">
            <v>1.3454800176833801</v>
          </cell>
          <cell r="AA61">
            <v>1.3513710746639001</v>
          </cell>
          <cell r="AE61">
            <v>-4.5345233350741497E-2</v>
          </cell>
          <cell r="AF61">
            <v>-1.3734441272723601E-2</v>
          </cell>
          <cell r="AG61">
            <v>-7.9087805902521308E-3</v>
          </cell>
        </row>
        <row r="62">
          <cell r="O62">
            <v>1.3022492118915701</v>
          </cell>
          <cell r="P62">
            <v>1.3426651535571501</v>
          </cell>
          <cell r="Q62">
            <v>1.34840137660703</v>
          </cell>
          <cell r="U62">
            <v>-1.4999153323717001E-2</v>
          </cell>
          <cell r="V62">
            <v>1.73617828676004E-2</v>
          </cell>
          <cell r="W62">
            <v>2.1879774866651099E-2</v>
          </cell>
          <cell r="Y62">
            <v>1.3022759807794699</v>
          </cell>
          <cell r="Z62">
            <v>1.3429665730383</v>
          </cell>
          <cell r="AA62">
            <v>1.3486011313592801</v>
          </cell>
          <cell r="AE62">
            <v>-1.4978597647790999E-2</v>
          </cell>
          <cell r="AF62">
            <v>1.76587540775727E-2</v>
          </cell>
          <cell r="AG62">
            <v>2.2027602151813298E-2</v>
          </cell>
        </row>
        <row r="63">
          <cell r="O63">
            <v>1.3022492118915701</v>
          </cell>
          <cell r="P63">
            <v>1.33977811113056</v>
          </cell>
          <cell r="Q63">
            <v>1.3461632193430899</v>
          </cell>
          <cell r="U63">
            <v>-1.6151984528973599E-2</v>
          </cell>
          <cell r="V63">
            <v>1.4411642261897799E-2</v>
          </cell>
          <cell r="W63">
            <v>1.86748083139931E-2</v>
          </cell>
          <cell r="Y63">
            <v>1.3022759807794699</v>
          </cell>
          <cell r="Z63">
            <v>1.33997894601919</v>
          </cell>
          <cell r="AA63">
            <v>1.34636297409534</v>
          </cell>
          <cell r="AE63">
            <v>-1.6131428853047601E-2</v>
          </cell>
          <cell r="AF63">
            <v>1.4636110478762799E-2</v>
          </cell>
          <cell r="AG63">
            <v>1.88229392497446E-2</v>
          </cell>
        </row>
        <row r="64">
          <cell r="O64">
            <v>1.3022492118915701</v>
          </cell>
          <cell r="P64">
            <v>1.3367203044442599</v>
          </cell>
          <cell r="Q64">
            <v>1.3437871417461</v>
          </cell>
          <cell r="U64">
            <v>-8.8446509585227307E-3</v>
          </cell>
          <cell r="V64">
            <v>1.95664281312669E-2</v>
          </cell>
          <cell r="W64">
            <v>2.43209029725816E-2</v>
          </cell>
          <cell r="Y64">
            <v>1.3022759807794699</v>
          </cell>
          <cell r="Z64">
            <v>1.3368215578728999</v>
          </cell>
          <cell r="AA64">
            <v>1.3439868964983499</v>
          </cell>
          <cell r="AE64">
            <v>-8.8240952825966792E-3</v>
          </cell>
          <cell r="AF64">
            <v>1.9716318501715301E-2</v>
          </cell>
          <cell r="AG64">
            <v>2.4469280175449699E-2</v>
          </cell>
        </row>
        <row r="65">
          <cell r="O65">
            <v>1.3022492118915701</v>
          </cell>
          <cell r="P65">
            <v>1.3334382635106701</v>
          </cell>
          <cell r="Q65">
            <v>1.34176222189036</v>
          </cell>
          <cell r="U65">
            <v>-6.53854536567484E-3</v>
          </cell>
          <cell r="V65">
            <v>1.9587602039576199E-2</v>
          </cell>
          <cell r="W65">
            <v>2.4860375062190802E-2</v>
          </cell>
          <cell r="Y65">
            <v>1.3022759807794699</v>
          </cell>
          <cell r="Z65">
            <v>1.3334382635106701</v>
          </cell>
          <cell r="AA65">
            <v>1.3419619766426101</v>
          </cell>
          <cell r="AE65">
            <v>-6.5179896897489603E-3</v>
          </cell>
          <cell r="AF65">
            <v>1.96633468260097E-2</v>
          </cell>
          <cell r="AG65">
            <v>2.5009014605377598E-2</v>
          </cell>
        </row>
        <row r="66">
          <cell r="O66">
            <v>1.3022492118915701</v>
          </cell>
          <cell r="P66">
            <v>1.33052929602795</v>
          </cell>
          <cell r="Q66">
            <v>1.3397749817501099</v>
          </cell>
          <cell r="U66">
            <v>-4.1938802408682703E-3</v>
          </cell>
          <cell r="V66">
            <v>1.9473954294245199E-2</v>
          </cell>
          <cell r="W66">
            <v>2.5697028257000602E-2</v>
          </cell>
          <cell r="Y66">
            <v>1.3022759807794699</v>
          </cell>
          <cell r="Z66">
            <v>1.33052929602795</v>
          </cell>
          <cell r="AA66">
            <v>1.33997473650236</v>
          </cell>
          <cell r="AE66">
            <v>-4.1733245649423203E-3</v>
          </cell>
          <cell r="AF66">
            <v>1.9473954294245199E-2</v>
          </cell>
          <cell r="AG66">
            <v>2.5845892102791399E-2</v>
          </cell>
        </row>
        <row r="67">
          <cell r="O67">
            <v>1.3022492118915701</v>
          </cell>
          <cell r="P67">
            <v>1.32685324762682</v>
          </cell>
          <cell r="Q67">
            <v>1.33795215286698</v>
          </cell>
          <cell r="U67">
            <v>-1.0065267465281301E-2</v>
          </cell>
          <cell r="V67">
            <v>1.14186300856803E-2</v>
          </cell>
          <cell r="W67">
            <v>1.8343475876462699E-2</v>
          </cell>
          <cell r="Y67">
            <v>1.3022759807794699</v>
          </cell>
          <cell r="Z67">
            <v>1.32685324762682</v>
          </cell>
          <cell r="AA67">
            <v>1.3381519076192301</v>
          </cell>
          <cell r="AE67">
            <v>-1.0044711789355501E-2</v>
          </cell>
          <cell r="AF67">
            <v>1.14186300856803E-2</v>
          </cell>
          <cell r="AG67">
            <v>1.8492560510194701E-2</v>
          </cell>
        </row>
        <row r="68">
          <cell r="O68">
            <v>1.3022492118915701</v>
          </cell>
          <cell r="P68">
            <v>1.32369993534064</v>
          </cell>
          <cell r="Q68">
            <v>1.3356516436461201</v>
          </cell>
          <cell r="U68">
            <v>-2.8939888956716099E-3</v>
          </cell>
          <cell r="V68">
            <v>1.5823238305360799E-2</v>
          </cell>
          <cell r="W68">
            <v>2.4153279528682899E-2</v>
          </cell>
          <cell r="Y68">
            <v>1.3022759807794699</v>
          </cell>
          <cell r="Z68">
            <v>1.32369993534064</v>
          </cell>
          <cell r="AA68">
            <v>1.33585139839837</v>
          </cell>
          <cell r="AE68">
            <v>-2.8734332197457501E-3</v>
          </cell>
          <cell r="AF68">
            <v>1.5823238305360799E-2</v>
          </cell>
          <cell r="AG68">
            <v>2.4302567260479E-2</v>
          </cell>
        </row>
        <row r="69">
          <cell r="O69">
            <v>1.3022492118915701</v>
          </cell>
          <cell r="P69">
            <v>1.32116644532566</v>
          </cell>
          <cell r="Q69">
            <v>1.33329319805088</v>
          </cell>
          <cell r="U69">
            <v>-4.7752851396743604E-3</v>
          </cell>
          <cell r="V69">
            <v>1.15625792972988E-2</v>
          </cell>
          <cell r="W69">
            <v>2.0551077747655001E-2</v>
          </cell>
          <cell r="Y69">
            <v>1.3022759807794699</v>
          </cell>
          <cell r="Z69">
            <v>1.32116644532566</v>
          </cell>
          <cell r="AA69">
            <v>1.3334929528031301</v>
          </cell>
          <cell r="AE69">
            <v>-4.7547294637482404E-3</v>
          </cell>
          <cell r="AF69">
            <v>1.15625792972988E-2</v>
          </cell>
          <cell r="AG69">
            <v>2.0700622591496E-2</v>
          </cell>
        </row>
        <row r="70">
          <cell r="O70">
            <v>1.3022492118915701</v>
          </cell>
          <cell r="P70">
            <v>1.31743073326465</v>
          </cell>
          <cell r="Q70">
            <v>1.3305653673292901</v>
          </cell>
          <cell r="U70">
            <v>-1.32494710177912E-3</v>
          </cell>
          <cell r="V70">
            <v>1.3097137537496001E-2</v>
          </cell>
          <cell r="W70">
            <v>2.2234090981936301E-2</v>
          </cell>
          <cell r="Y70">
            <v>1.3022759807794699</v>
          </cell>
          <cell r="Z70">
            <v>1.31743073326465</v>
          </cell>
          <cell r="AA70">
            <v>1.33076512208154</v>
          </cell>
          <cell r="AE70">
            <v>-1.30439142585302E-3</v>
          </cell>
          <cell r="AF70">
            <v>1.3097137537496001E-2</v>
          </cell>
          <cell r="AG70">
            <v>2.238390033396E-2</v>
          </cell>
        </row>
        <row r="71">
          <cell r="O71">
            <v>1.3022492118915701</v>
          </cell>
          <cell r="P71">
            <v>1.3107302298610299</v>
          </cell>
          <cell r="Q71">
            <v>1.32790536901995</v>
          </cell>
          <cell r="U71">
            <v>5.0555134492120497E-3</v>
          </cell>
          <cell r="V71">
            <v>1.6646006675158798E-2</v>
          </cell>
          <cell r="W71">
            <v>2.6566521122815E-2</v>
          </cell>
          <cell r="Y71">
            <v>1.3022759807794699</v>
          </cell>
          <cell r="Z71">
            <v>1.3107302298610299</v>
          </cell>
          <cell r="AA71">
            <v>1.3281051237721999</v>
          </cell>
          <cell r="AE71">
            <v>5.0760691251381298E-3</v>
          </cell>
          <cell r="AF71">
            <v>1.6646006675158798E-2</v>
          </cell>
          <cell r="AG71">
            <v>2.67166375802932E-2</v>
          </cell>
        </row>
        <row r="72">
          <cell r="O72">
            <v>1.3022492118915701</v>
          </cell>
          <cell r="P72">
            <v>1.3075149704379301</v>
          </cell>
          <cell r="Q72">
            <v>1.3250900619975401</v>
          </cell>
          <cell r="U72">
            <v>9.6240043654018705E-3</v>
          </cell>
          <cell r="V72">
            <v>1.6115481195193401E-2</v>
          </cell>
          <cell r="W72">
            <v>2.9133862159375402E-2</v>
          </cell>
          <cell r="Y72">
            <v>1.3022759807794699</v>
          </cell>
          <cell r="Z72">
            <v>1.3075149704379301</v>
          </cell>
          <cell r="AA72">
            <v>1.32524077173812</v>
          </cell>
          <cell r="AE72">
            <v>9.6445600413279202E-3</v>
          </cell>
          <cell r="AF72">
            <v>1.6115481195193401E-2</v>
          </cell>
          <cell r="AG72">
            <v>2.9284279300548499E-2</v>
          </cell>
        </row>
        <row r="73">
          <cell r="O73">
            <v>1.3022492118915701</v>
          </cell>
          <cell r="P73">
            <v>1.3037093698834601</v>
          </cell>
          <cell r="Q73">
            <v>1.32174374050701</v>
          </cell>
          <cell r="U73">
            <v>1.30246095558348E-2</v>
          </cell>
          <cell r="V73">
            <v>1.7060043659779402E-2</v>
          </cell>
          <cell r="W73">
            <v>3.04121055498047E-2</v>
          </cell>
          <cell r="Y73">
            <v>1.3022759807794699</v>
          </cell>
          <cell r="Z73">
            <v>1.3037093698834601</v>
          </cell>
          <cell r="AA73">
            <v>1.32184415795132</v>
          </cell>
          <cell r="AE73">
            <v>1.30451652317609E-2</v>
          </cell>
          <cell r="AF73">
            <v>1.7060043659779402E-2</v>
          </cell>
          <cell r="AG73">
            <v>3.0525834552099399E-2</v>
          </cell>
        </row>
        <row r="74">
          <cell r="O74">
            <v>1.3022492118915701</v>
          </cell>
          <cell r="P74">
            <v>1.29972352212039</v>
          </cell>
          <cell r="Q74">
            <v>1.3182219132823201</v>
          </cell>
          <cell r="U74">
            <v>2.19629609019606E-2</v>
          </cell>
          <cell r="V74">
            <v>2.30835912564945E-2</v>
          </cell>
          <cell r="W74">
            <v>3.6821908809327501E-2</v>
          </cell>
          <cell r="Y74">
            <v>1.3022759807794699</v>
          </cell>
          <cell r="Z74">
            <v>1.29972352212039</v>
          </cell>
          <cell r="AA74">
            <v>1.31827253999664</v>
          </cell>
          <cell r="AE74">
            <v>2.1983516577886698E-2</v>
          </cell>
          <cell r="AF74">
            <v>2.3083591256494299E-2</v>
          </cell>
          <cell r="AG74">
            <v>3.6897879382820298E-2</v>
          </cell>
        </row>
        <row r="75">
          <cell r="O75">
            <v>1.3022492118915701</v>
          </cell>
          <cell r="P75">
            <v>1.2962007560198401</v>
          </cell>
          <cell r="Q75">
            <v>1.31481950976526</v>
          </cell>
          <cell r="U75">
            <v>2.0704291382630899E-2</v>
          </cell>
          <cell r="V75">
            <v>1.8762925486345401E-2</v>
          </cell>
          <cell r="W75">
            <v>3.2895152067828802E-2</v>
          </cell>
          <cell r="Y75">
            <v>1.3022759807794699</v>
          </cell>
          <cell r="Z75">
            <v>1.2962007560198401</v>
          </cell>
          <cell r="AA75">
            <v>1.31481950976526</v>
          </cell>
          <cell r="AE75">
            <v>2.07248470585569E-2</v>
          </cell>
          <cell r="AF75">
            <v>1.8762925486345401E-2</v>
          </cell>
          <cell r="AG75">
            <v>3.29335566351244E-2</v>
          </cell>
        </row>
        <row r="76">
          <cell r="O76">
            <v>1.3022492118915701</v>
          </cell>
          <cell r="P76">
            <v>1.29299654378441</v>
          </cell>
          <cell r="Q76">
            <v>1.31176291990618</v>
          </cell>
          <cell r="U76">
            <v>2.0613535093332799E-2</v>
          </cell>
          <cell r="V76">
            <v>1.5958092910107802E-2</v>
          </cell>
          <cell r="W76">
            <v>3.0220003918205601E-2</v>
          </cell>
          <cell r="Y76">
            <v>1.3022759807794699</v>
          </cell>
          <cell r="Z76">
            <v>1.29299654378441</v>
          </cell>
          <cell r="AA76">
            <v>1.31176291990618</v>
          </cell>
          <cell r="AE76">
            <v>2.06340907692588E-2</v>
          </cell>
          <cell r="AF76">
            <v>1.59580929101075E-2</v>
          </cell>
          <cell r="AG76">
            <v>3.0220003918205601E-2</v>
          </cell>
        </row>
        <row r="77">
          <cell r="O77">
            <v>1.3022492118915701</v>
          </cell>
          <cell r="P77">
            <v>1.2884369950130801</v>
          </cell>
          <cell r="Q77">
            <v>1.30764512131995</v>
          </cell>
          <cell r="U77">
            <v>2.52119484166425E-2</v>
          </cell>
          <cell r="V77">
            <v>1.8081442729056301E-2</v>
          </cell>
          <cell r="W77">
            <v>3.2490988865903098E-2</v>
          </cell>
          <cell r="Y77">
            <v>1.3022759807794699</v>
          </cell>
          <cell r="Z77">
            <v>1.2884369950130801</v>
          </cell>
          <cell r="AA77">
            <v>1.30764512131995</v>
          </cell>
          <cell r="AE77">
            <v>2.5232504092568601E-2</v>
          </cell>
          <cell r="AF77">
            <v>1.8081442729056301E-2</v>
          </cell>
          <cell r="AG77">
            <v>3.2490988865903098E-2</v>
          </cell>
        </row>
        <row r="78">
          <cell r="O78">
            <v>1.3022492118915701</v>
          </cell>
          <cell r="P78">
            <v>1.28537573961486</v>
          </cell>
          <cell r="Q78">
            <v>1.3045378374777501</v>
          </cell>
          <cell r="U78">
            <v>2.0824600866898298E-2</v>
          </cell>
          <cell r="V78">
            <v>1.0161520395276499E-2</v>
          </cell>
          <cell r="W78">
            <v>2.49595706608687E-2</v>
          </cell>
          <cell r="Y78">
            <v>1.3022759807794699</v>
          </cell>
          <cell r="Z78">
            <v>1.28537573961486</v>
          </cell>
          <cell r="AA78">
            <v>1.3045378374777501</v>
          </cell>
          <cell r="AE78">
            <v>2.0845156542824199E-2</v>
          </cell>
          <cell r="AF78">
            <v>1.0161520395276701E-2</v>
          </cell>
          <cell r="AG78">
            <v>2.49595706608687E-2</v>
          </cell>
        </row>
        <row r="79">
          <cell r="O79">
            <v>1.3022492118915701</v>
          </cell>
          <cell r="P79">
            <v>1.2819134245281301</v>
          </cell>
          <cell r="Q79">
            <v>1.3015399349268999</v>
          </cell>
          <cell r="U79">
            <v>2.20416295618849E-2</v>
          </cell>
          <cell r="V79">
            <v>8.9997770836124508E-3</v>
          </cell>
          <cell r="W79">
            <v>2.37975276316971E-2</v>
          </cell>
          <cell r="Y79">
            <v>1.3022759807794699</v>
          </cell>
          <cell r="Z79">
            <v>1.2819134245281301</v>
          </cell>
          <cell r="AA79">
            <v>1.3015399349268999</v>
          </cell>
          <cell r="AE79">
            <v>2.2062185237810901E-2</v>
          </cell>
          <cell r="AF79">
            <v>8.9997770836124508E-3</v>
          </cell>
          <cell r="AG79">
            <v>2.3797527631697499E-2</v>
          </cell>
        </row>
        <row r="80">
          <cell r="O80">
            <v>1.3022492118915701</v>
          </cell>
          <cell r="P80">
            <v>1.2785603457479999</v>
          </cell>
          <cell r="Q80">
            <v>1.2979955395063301</v>
          </cell>
          <cell r="U80">
            <v>2.4725716221509899E-2</v>
          </cell>
          <cell r="V80">
            <v>8.9866084171397395E-3</v>
          </cell>
          <cell r="W80">
            <v>2.4180912520272501E-2</v>
          </cell>
          <cell r="Y80">
            <v>1.3022759807794699</v>
          </cell>
          <cell r="Z80">
            <v>1.2785603457479999</v>
          </cell>
          <cell r="AA80">
            <v>1.2979955395063301</v>
          </cell>
          <cell r="AE80">
            <v>2.4746271897436001E-2</v>
          </cell>
          <cell r="AF80">
            <v>8.9866084171397395E-3</v>
          </cell>
          <cell r="AG80">
            <v>2.4180912520272501E-2</v>
          </cell>
        </row>
        <row r="81">
          <cell r="O81">
            <v>1.3022492118915701</v>
          </cell>
          <cell r="P81">
            <v>1.2769350874596499</v>
          </cell>
          <cell r="Q81">
            <v>1.2938326586603399</v>
          </cell>
          <cell r="U81">
            <v>1.7678497416551E-2</v>
          </cell>
          <cell r="V81">
            <v>-6.7971997279194602E-4</v>
          </cell>
          <cell r="W81">
            <v>1.44067468035694E-2</v>
          </cell>
          <cell r="Y81">
            <v>1.3022759807794699</v>
          </cell>
          <cell r="Z81">
            <v>1.2769350874596499</v>
          </cell>
          <cell r="AA81">
            <v>1.2938326586603399</v>
          </cell>
          <cell r="AE81">
            <v>1.7699053092477102E-2</v>
          </cell>
          <cell r="AF81">
            <v>-6.7971997279216905E-4</v>
          </cell>
          <cell r="AG81">
            <v>1.44067468035694E-2</v>
          </cell>
        </row>
        <row r="82">
          <cell r="O82">
            <v>1.3022492118915701</v>
          </cell>
          <cell r="P82">
            <v>1.27625844850348</v>
          </cell>
          <cell r="Q82">
            <v>1.2918867094707001</v>
          </cell>
          <cell r="U82">
            <v>1.4883986104295E-2</v>
          </cell>
          <cell r="V82">
            <v>-4.7462026502530699E-3</v>
          </cell>
          <cell r="W82">
            <v>8.3999203936927398E-3</v>
          </cell>
          <cell r="Y82">
            <v>1.3022759807794699</v>
          </cell>
          <cell r="Z82">
            <v>1.27625844850348</v>
          </cell>
          <cell r="AA82">
            <v>1.2918867094707001</v>
          </cell>
          <cell r="AE82">
            <v>1.49045417802212E-2</v>
          </cell>
          <cell r="AF82">
            <v>-4.7462026502530699E-3</v>
          </cell>
          <cell r="AG82">
            <v>8.3999203936927398E-3</v>
          </cell>
        </row>
        <row r="83">
          <cell r="O83">
            <v>1.3022492118915701</v>
          </cell>
          <cell r="P83">
            <v>1.2761660806828801</v>
          </cell>
          <cell r="Q83">
            <v>1.2899377252831701</v>
          </cell>
          <cell r="U83">
            <v>1.37434610780227E-2</v>
          </cell>
          <cell r="V83">
            <v>-6.41676111307169E-3</v>
          </cell>
          <cell r="W83">
            <v>5.7542439724187896E-3</v>
          </cell>
          <cell r="Y83">
            <v>1.3022759807794699</v>
          </cell>
          <cell r="Z83">
            <v>1.2761660806828801</v>
          </cell>
          <cell r="AA83">
            <v>1.2899377252831701</v>
          </cell>
          <cell r="AE83">
            <v>1.3764016753948701E-2</v>
          </cell>
          <cell r="AF83">
            <v>-6.41676111307169E-3</v>
          </cell>
          <cell r="AG83">
            <v>5.7542439724187896E-3</v>
          </cell>
        </row>
        <row r="84">
          <cell r="O84">
            <v>1.3022492118915701</v>
          </cell>
          <cell r="P84">
            <v>1.2770249735097501</v>
          </cell>
          <cell r="Q84">
            <v>1.2883742478150699</v>
          </cell>
          <cell r="U84">
            <v>1.52436710943127E-2</v>
          </cell>
          <cell r="V84">
            <v>-4.9889276310008199E-3</v>
          </cell>
          <cell r="W84">
            <v>5.7446808751608703E-3</v>
          </cell>
          <cell r="Y84">
            <v>1.3022759807794699</v>
          </cell>
          <cell r="Z84">
            <v>1.2770249735097501</v>
          </cell>
          <cell r="AA84">
            <v>1.2883742478150699</v>
          </cell>
          <cell r="AE84">
            <v>1.52642267702387E-2</v>
          </cell>
          <cell r="AF84">
            <v>-4.9889276310005996E-3</v>
          </cell>
          <cell r="AG84">
            <v>5.7446808751608703E-3</v>
          </cell>
        </row>
        <row r="85">
          <cell r="O85">
            <v>1.3022492118915701</v>
          </cell>
          <cell r="P85">
            <v>1.2769292212210099</v>
          </cell>
          <cell r="Q85">
            <v>1.28656498862043</v>
          </cell>
          <cell r="U85">
            <v>2.1455239401496601E-2</v>
          </cell>
          <cell r="V85">
            <v>1.89544019728491E-3</v>
          </cell>
          <cell r="W85">
            <v>1.07434574984433E-2</v>
          </cell>
          <cell r="Y85">
            <v>1.3022759807794699</v>
          </cell>
          <cell r="Z85">
            <v>1.2769292212210099</v>
          </cell>
          <cell r="AA85">
            <v>1.28656498862043</v>
          </cell>
          <cell r="AE85">
            <v>2.1475795077422501E-2</v>
          </cell>
          <cell r="AF85">
            <v>1.89544019728491E-3</v>
          </cell>
          <cell r="AG85">
            <v>1.07434574984433E-2</v>
          </cell>
        </row>
        <row r="86">
          <cell r="O86">
            <v>1.3022492118915701</v>
          </cell>
          <cell r="P86">
            <v>1.2766801503573499</v>
          </cell>
          <cell r="Q86">
            <v>1.28483834707088</v>
          </cell>
          <cell r="U86">
            <v>2.2567899225767098E-2</v>
          </cell>
          <cell r="V86">
            <v>2.9331164615682601E-3</v>
          </cell>
          <cell r="W86">
            <v>1.0450834070367E-2</v>
          </cell>
          <cell r="Y86">
            <v>1.3022759807794699</v>
          </cell>
          <cell r="Z86">
            <v>1.2766801503573499</v>
          </cell>
          <cell r="AA86">
            <v>1.28483834707088</v>
          </cell>
          <cell r="AE86">
            <v>2.25884549016932E-2</v>
          </cell>
          <cell r="AF86">
            <v>2.93311646156848E-3</v>
          </cell>
          <cell r="AG86">
            <v>1.0450834070367E-2</v>
          </cell>
        </row>
        <row r="87">
          <cell r="O87">
            <v>1.3022492118915701</v>
          </cell>
          <cell r="P87">
            <v>1.27598300034485</v>
          </cell>
          <cell r="Q87">
            <v>1.28220999767897</v>
          </cell>
          <cell r="U87">
            <v>3.07171908167597E-2</v>
          </cell>
          <cell r="V87">
            <v>1.08873344698687E-2</v>
          </cell>
          <cell r="W87">
            <v>1.7257168852454E-2</v>
          </cell>
          <cell r="Y87">
            <v>1.3022759807794699</v>
          </cell>
          <cell r="Z87">
            <v>1.27598300034485</v>
          </cell>
          <cell r="AA87">
            <v>1.28220999767897</v>
          </cell>
          <cell r="AE87">
            <v>3.07377464926856E-2</v>
          </cell>
          <cell r="AF87">
            <v>1.08873344698687E-2</v>
          </cell>
          <cell r="AG87">
            <v>1.7257168852454E-2</v>
          </cell>
        </row>
        <row r="88">
          <cell r="O88">
            <v>1.3022492118915701</v>
          </cell>
          <cell r="P88">
            <v>1.2757051243709601</v>
          </cell>
          <cell r="Q88">
            <v>1.2805404319929099</v>
          </cell>
          <cell r="U88">
            <v>2.3005695134281901E-2</v>
          </cell>
          <cell r="V88">
            <v>2.6296249012074898E-3</v>
          </cell>
          <cell r="W88">
            <v>7.49791250684097E-3</v>
          </cell>
          <cell r="Y88">
            <v>1.3022759807794699</v>
          </cell>
          <cell r="Z88">
            <v>1.2757051243709601</v>
          </cell>
          <cell r="AA88">
            <v>1.2805404319929099</v>
          </cell>
          <cell r="AE88">
            <v>2.3026250810207999E-2</v>
          </cell>
          <cell r="AF88">
            <v>2.6296249012074898E-3</v>
          </cell>
          <cell r="AG88">
            <v>7.49791250684097E-3</v>
          </cell>
        </row>
        <row r="89">
          <cell r="O89">
            <v>1.3022492118915701</v>
          </cell>
          <cell r="P89">
            <v>1.2744716456777301</v>
          </cell>
          <cell r="Q89">
            <v>1.27819253510293</v>
          </cell>
          <cell r="U89">
            <v>3.1771818588255403E-2</v>
          </cell>
          <cell r="V89">
            <v>1.11779505982442E-2</v>
          </cell>
          <cell r="W89">
            <v>1.4961087454458301E-2</v>
          </cell>
          <cell r="Y89">
            <v>1.3022759807794699</v>
          </cell>
          <cell r="Z89">
            <v>1.2744716456777301</v>
          </cell>
          <cell r="AA89">
            <v>1.27819253510293</v>
          </cell>
          <cell r="AE89">
            <v>3.1792374264181501E-2</v>
          </cell>
          <cell r="AF89">
            <v>1.1177950598244E-2</v>
          </cell>
          <cell r="AG89">
            <v>1.49610874544585E-2</v>
          </cell>
        </row>
        <row r="90">
          <cell r="O90">
            <v>1.3022492118915701</v>
          </cell>
          <cell r="P90">
            <v>1.2735867025133401</v>
          </cell>
          <cell r="Q90">
            <v>1.27607352413067</v>
          </cell>
          <cell r="U90">
            <v>3.1715705192018898E-2</v>
          </cell>
          <cell r="V90">
            <v>1.0154469916794801E-2</v>
          </cell>
          <cell r="W90">
            <v>1.3069770792273099E-2</v>
          </cell>
          <cell r="Y90">
            <v>1.3022759807794699</v>
          </cell>
          <cell r="Z90">
            <v>1.2735867025133401</v>
          </cell>
          <cell r="AA90">
            <v>1.27607352413067</v>
          </cell>
          <cell r="AE90">
            <v>3.1736260867944698E-2</v>
          </cell>
          <cell r="AF90">
            <v>1.0154469916795099E-2</v>
          </cell>
          <cell r="AG90">
            <v>1.3069770792273099E-2</v>
          </cell>
        </row>
        <row r="91">
          <cell r="O91">
            <v>1.3022492118915701</v>
          </cell>
          <cell r="P91">
            <v>1.2733436802090901</v>
          </cell>
          <cell r="Q91">
            <v>1.2751393838343701</v>
          </cell>
          <cell r="U91">
            <v>1.9579761717989901E-2</v>
          </cell>
          <cell r="V91">
            <v>-2.6760755474865001E-3</v>
          </cell>
          <cell r="W91">
            <v>-7.2536668053435898E-4</v>
          </cell>
          <cell r="Y91">
            <v>1.3022759807794699</v>
          </cell>
          <cell r="Z91">
            <v>1.2733436802090901</v>
          </cell>
          <cell r="AA91">
            <v>1.2751393838343701</v>
          </cell>
          <cell r="AE91">
            <v>1.9600317393915798E-2</v>
          </cell>
          <cell r="AF91">
            <v>-2.6760755474865001E-3</v>
          </cell>
          <cell r="AG91">
            <v>-7.2536668053458102E-4</v>
          </cell>
        </row>
        <row r="92">
          <cell r="O92">
            <v>1.3022492118915701</v>
          </cell>
          <cell r="P92">
            <v>1.2721313724482499</v>
          </cell>
          <cell r="Q92">
            <v>1.2741949104758601</v>
          </cell>
          <cell r="U92">
            <v>2.4377844489529499E-2</v>
          </cell>
          <cell r="V92">
            <v>1.9311717723740701E-3</v>
          </cell>
          <cell r="W92">
            <v>3.3404053260888398E-3</v>
          </cell>
          <cell r="Y92">
            <v>1.3022759807794699</v>
          </cell>
          <cell r="Z92">
            <v>1.2721313724482499</v>
          </cell>
          <cell r="AA92">
            <v>1.2741949104758601</v>
          </cell>
          <cell r="AE92">
            <v>2.4398400165455299E-2</v>
          </cell>
          <cell r="AF92">
            <v>1.9311717723740701E-3</v>
          </cell>
          <cell r="AG92">
            <v>3.3404053260888398E-3</v>
          </cell>
        </row>
        <row r="93">
          <cell r="O93">
            <v>1.3022492118915701</v>
          </cell>
          <cell r="P93">
            <v>1.2707362302362899</v>
          </cell>
          <cell r="Q93">
            <v>1.27345115545959</v>
          </cell>
          <cell r="U93">
            <v>2.4664460694031502E-2</v>
          </cell>
          <cell r="V93">
            <v>1.26526805236939E-3</v>
          </cell>
          <cell r="W93">
            <v>2.88606464327738E-3</v>
          </cell>
          <cell r="Y93">
            <v>1.3022759807794699</v>
          </cell>
          <cell r="Z93">
            <v>1.2707362302362899</v>
          </cell>
          <cell r="AA93">
            <v>1.27345115545959</v>
          </cell>
          <cell r="AE93">
            <v>2.46850163699576E-2</v>
          </cell>
          <cell r="AF93">
            <v>1.26526805236939E-3</v>
          </cell>
          <cell r="AG93">
            <v>2.88606464327738E-3</v>
          </cell>
        </row>
        <row r="94">
          <cell r="O94">
            <v>1.3022492118915701</v>
          </cell>
          <cell r="P94">
            <v>1.27013458654053</v>
          </cell>
          <cell r="Q94">
            <v>1.2735797800251401</v>
          </cell>
          <cell r="U94">
            <v>1.9945709194536299E-2</v>
          </cell>
          <cell r="V94">
            <v>-4.5507819069207896E-3</v>
          </cell>
          <cell r="W94">
            <v>-2.4165631232960999E-3</v>
          </cell>
          <cell r="Y94">
            <v>1.3022759807794699</v>
          </cell>
          <cell r="Z94">
            <v>1.27013458654053</v>
          </cell>
          <cell r="AA94">
            <v>1.2735797800251401</v>
          </cell>
          <cell r="AE94">
            <v>1.99662648704623E-2</v>
          </cell>
          <cell r="AF94">
            <v>-4.5507819069207896E-3</v>
          </cell>
          <cell r="AG94">
            <v>-2.4165631232960999E-3</v>
          </cell>
        </row>
        <row r="95">
          <cell r="O95">
            <v>1.3022492118915701</v>
          </cell>
          <cell r="P95">
            <v>1.27115358654317</v>
          </cell>
          <cell r="Q95">
            <v>1.27404140388209</v>
          </cell>
          <cell r="U95">
            <v>1.3492404361039E-2</v>
          </cell>
          <cell r="V95">
            <v>-1.1477659582478299E-2</v>
          </cell>
          <cell r="W95">
            <v>-8.7688683467194092E-3</v>
          </cell>
          <cell r="Y95">
            <v>1.3022759807794699</v>
          </cell>
          <cell r="Z95">
            <v>1.27115358654317</v>
          </cell>
          <cell r="AA95">
            <v>1.27404140388209</v>
          </cell>
          <cell r="AE95">
            <v>1.3512960036965E-2</v>
          </cell>
          <cell r="AF95">
            <v>-1.1477659582478501E-2</v>
          </cell>
          <cell r="AG95">
            <v>-8.7688683467194092E-3</v>
          </cell>
        </row>
        <row r="96">
          <cell r="O96">
            <v>1.3022492118915701</v>
          </cell>
          <cell r="P96">
            <v>1.27333224833503</v>
          </cell>
          <cell r="Q96">
            <v>1.2750061993461901</v>
          </cell>
          <cell r="U96">
            <v>5.6008131690943701E-3</v>
          </cell>
          <cell r="V96">
            <v>-1.8567295240182399E-2</v>
          </cell>
          <cell r="W96">
            <v>-1.62980635396676E-2</v>
          </cell>
          <cell r="Y96">
            <v>1.3022759807794699</v>
          </cell>
          <cell r="Z96">
            <v>1.27333224833503</v>
          </cell>
          <cell r="AA96">
            <v>1.2750061993461901</v>
          </cell>
          <cell r="AE96">
            <v>5.6213688450202099E-3</v>
          </cell>
          <cell r="AF96">
            <v>-1.8567295240182399E-2</v>
          </cell>
          <cell r="AG96">
            <v>-1.62980635396676E-2</v>
          </cell>
        </row>
        <row r="97">
          <cell r="O97">
            <v>1.3022492118915701</v>
          </cell>
          <cell r="P97">
            <v>1.2745312838748299</v>
          </cell>
          <cell r="Q97">
            <v>1.27525714210984</v>
          </cell>
          <cell r="U97">
            <v>2.12673468927514E-2</v>
          </cell>
          <cell r="V97">
            <v>-1.18830370331498E-3</v>
          </cell>
          <cell r="W97">
            <v>1.2545527045494499E-4</v>
          </cell>
          <cell r="Y97">
            <v>1.3022759807794699</v>
          </cell>
          <cell r="Z97">
            <v>1.2745312838748299</v>
          </cell>
          <cell r="AA97">
            <v>1.27525714210984</v>
          </cell>
          <cell r="AE97">
            <v>2.1287902568677401E-2</v>
          </cell>
          <cell r="AF97">
            <v>-1.18830370331498E-3</v>
          </cell>
          <cell r="AG97">
            <v>1.2545527045494499E-4</v>
          </cell>
        </row>
        <row r="98">
          <cell r="O98">
            <v>1.3022492118915701</v>
          </cell>
          <cell r="P98">
            <v>1.27459147080456</v>
          </cell>
          <cell r="Q98">
            <v>1.2751482975877599</v>
          </cell>
          <cell r="U98">
            <v>2.2532874243405599E-2</v>
          </cell>
          <cell r="V98">
            <v>1.01843232131922E-3</v>
          </cell>
          <cell r="W98">
            <v>1.5877801520794699E-3</v>
          </cell>
          <cell r="Y98">
            <v>1.3022759807794699</v>
          </cell>
          <cell r="Z98">
            <v>1.27459147080456</v>
          </cell>
          <cell r="AA98">
            <v>1.2751482975877599</v>
          </cell>
          <cell r="AE98">
            <v>2.2553429919331701E-2</v>
          </cell>
          <cell r="AF98">
            <v>1.01843232131922E-3</v>
          </cell>
          <cell r="AG98">
            <v>1.5877801520792401E-3</v>
          </cell>
        </row>
        <row r="99">
          <cell r="O99">
            <v>1.3022492118915701</v>
          </cell>
          <cell r="P99">
            <v>1.2766404230364501</v>
          </cell>
          <cell r="Q99">
            <v>1.27555603435709</v>
          </cell>
          <cell r="U99">
            <v>1.56604357920683E-2</v>
          </cell>
          <cell r="V99">
            <v>-5.8067844498287799E-3</v>
          </cell>
          <cell r="W99">
            <v>-5.3700129808695396E-3</v>
          </cell>
          <cell r="Y99">
            <v>1.3022759807794699</v>
          </cell>
          <cell r="Z99">
            <v>1.2766404230364501</v>
          </cell>
          <cell r="AA99">
            <v>1.27555603435709</v>
          </cell>
          <cell r="AE99">
            <v>1.5680991467994398E-2</v>
          </cell>
          <cell r="AF99">
            <v>-5.8067844498287799E-3</v>
          </cell>
          <cell r="AG99">
            <v>-5.3700129808695396E-3</v>
          </cell>
        </row>
        <row r="100">
          <cell r="O100">
            <v>1.3022492118915701</v>
          </cell>
          <cell r="P100">
            <v>1.2775299871656101</v>
          </cell>
          <cell r="Q100">
            <v>1.2755583448394701</v>
          </cell>
          <cell r="U100">
            <v>2.4689344077792299E-2</v>
          </cell>
          <cell r="V100">
            <v>4.82836956946459E-3</v>
          </cell>
          <cell r="W100">
            <v>3.9786005468077099E-3</v>
          </cell>
          <cell r="Y100">
            <v>1.3022759807794699</v>
          </cell>
          <cell r="Z100">
            <v>1.2775299871656101</v>
          </cell>
          <cell r="AA100">
            <v>1.2755583448394701</v>
          </cell>
          <cell r="AE100">
            <v>2.4709899753718598E-2</v>
          </cell>
          <cell r="AF100">
            <v>4.82836956946459E-3</v>
          </cell>
          <cell r="AG100">
            <v>3.9786005468077099E-3</v>
          </cell>
        </row>
        <row r="101">
          <cell r="O101">
            <v>1.3022492118915701</v>
          </cell>
          <cell r="P101">
            <v>1.2761818426965299</v>
          </cell>
          <cell r="Q101">
            <v>1.2747627614528101</v>
          </cell>
          <cell r="U101">
            <v>3.0193009722977199E-2</v>
          </cell>
          <cell r="V101">
            <v>1.1028593409493199E-2</v>
          </cell>
          <cell r="W101">
            <v>9.4840775434590196E-3</v>
          </cell>
          <cell r="Y101">
            <v>1.3022759807794699</v>
          </cell>
          <cell r="Z101">
            <v>1.2761818426965299</v>
          </cell>
          <cell r="AA101">
            <v>1.2747627614528101</v>
          </cell>
          <cell r="AE101">
            <v>3.02135653989032E-2</v>
          </cell>
          <cell r="AF101">
            <v>1.1028593409493199E-2</v>
          </cell>
          <cell r="AG101">
            <v>9.4840775434590196E-3</v>
          </cell>
        </row>
        <row r="102">
          <cell r="O102">
            <v>1.3022492118915701</v>
          </cell>
          <cell r="P102">
            <v>1.27574951371566</v>
          </cell>
          <cell r="Q102">
            <v>1.2739404430819601</v>
          </cell>
          <cell r="U102">
            <v>2.77854330179341E-2</v>
          </cell>
          <cell r="V102">
            <v>7.56518528404025E-3</v>
          </cell>
          <cell r="W102">
            <v>6.4525924133073198E-3</v>
          </cell>
          <cell r="Y102">
            <v>1.3022759807794699</v>
          </cell>
          <cell r="Z102">
            <v>1.27574951371566</v>
          </cell>
          <cell r="AA102">
            <v>1.2739404430819601</v>
          </cell>
          <cell r="AE102">
            <v>2.7805988693860001E-2</v>
          </cell>
          <cell r="AF102">
            <v>7.5651852840400297E-3</v>
          </cell>
          <cell r="AG102">
            <v>6.4525924133073198E-3</v>
          </cell>
        </row>
        <row r="103">
          <cell r="O103">
            <v>1.3022492118915701</v>
          </cell>
          <cell r="P103">
            <v>1.27466109323301</v>
          </cell>
          <cell r="Q103">
            <v>1.2726986617346501</v>
          </cell>
          <cell r="U103">
            <v>3.3268079387927002E-2</v>
          </cell>
          <cell r="V103">
            <v>1.2709006721366E-2</v>
          </cell>
          <cell r="W103">
            <v>1.1289955018660499E-2</v>
          </cell>
          <cell r="Y103">
            <v>1.3022759807794699</v>
          </cell>
          <cell r="Z103">
            <v>1.27466109323301</v>
          </cell>
          <cell r="AA103">
            <v>1.2726986617346501</v>
          </cell>
          <cell r="AE103">
            <v>3.32886350638531E-2</v>
          </cell>
          <cell r="AF103">
            <v>1.2709006721366E-2</v>
          </cell>
          <cell r="AG103">
            <v>1.1289955018660499E-2</v>
          </cell>
        </row>
        <row r="104">
          <cell r="O104">
            <v>1.3022492118915701</v>
          </cell>
          <cell r="P104">
            <v>1.2737628448435101</v>
          </cell>
          <cell r="Q104">
            <v>1.2719487156920199</v>
          </cell>
          <cell r="U104">
            <v>2.7007212047475498E-2</v>
          </cell>
          <cell r="V104">
            <v>5.5946136421498698E-3</v>
          </cell>
          <cell r="W104">
            <v>4.0538560928833501E-3</v>
          </cell>
          <cell r="Y104">
            <v>1.3022759807794699</v>
          </cell>
          <cell r="Z104">
            <v>1.2737628448435101</v>
          </cell>
          <cell r="AA104">
            <v>1.2719487156920199</v>
          </cell>
          <cell r="AE104">
            <v>2.70277677234015E-2</v>
          </cell>
          <cell r="AF104">
            <v>5.5946136421500901E-3</v>
          </cell>
          <cell r="AG104">
            <v>4.0538560928833501E-3</v>
          </cell>
        </row>
        <row r="105">
          <cell r="O105">
            <v>1.3022492118915701</v>
          </cell>
          <cell r="P105">
            <v>1.27386019009497</v>
          </cell>
          <cell r="Q105">
            <v>1.27250688831907</v>
          </cell>
          <cell r="U105">
            <v>1.2735020806822501E-2</v>
          </cell>
          <cell r="V105">
            <v>-9.3825218687843496E-3</v>
          </cell>
          <cell r="W105">
            <v>-1.0807765393386499E-2</v>
          </cell>
          <cell r="Y105">
            <v>1.3022759807794699</v>
          </cell>
          <cell r="Z105">
            <v>1.27386019009497</v>
          </cell>
          <cell r="AA105">
            <v>1.27250688831907</v>
          </cell>
          <cell r="AE105">
            <v>1.2755576482748599E-2</v>
          </cell>
          <cell r="AF105">
            <v>-9.3825218687843496E-3</v>
          </cell>
          <cell r="AG105">
            <v>-1.08077653933867E-2</v>
          </cell>
        </row>
        <row r="106">
          <cell r="O106">
            <v>1.3022492118915701</v>
          </cell>
          <cell r="P106">
            <v>1.2733774612409201</v>
          </cell>
          <cell r="Q106">
            <v>1.2733548547879801</v>
          </cell>
          <cell r="U106">
            <v>9.3354835602149893E-3</v>
          </cell>
          <cell r="V106">
            <v>-1.27056386637277E-2</v>
          </cell>
          <cell r="W106">
            <v>-1.3768566247722099E-2</v>
          </cell>
          <cell r="Y106">
            <v>1.3022759807794699</v>
          </cell>
          <cell r="Z106">
            <v>1.2733774612409201</v>
          </cell>
          <cell r="AA106">
            <v>1.2733548547879801</v>
          </cell>
          <cell r="AE106">
            <v>9.3560392361410998E-3</v>
          </cell>
          <cell r="AF106">
            <v>-1.27056386637275E-2</v>
          </cell>
          <cell r="AG106">
            <v>-1.3768566247722099E-2</v>
          </cell>
        </row>
        <row r="107">
          <cell r="O107">
            <v>1.3022492118915701</v>
          </cell>
          <cell r="P107">
            <v>1.27438181808933</v>
          </cell>
          <cell r="Q107">
            <v>1.27445655098208</v>
          </cell>
          <cell r="U107">
            <v>1.34199597151534E-2</v>
          </cell>
          <cell r="V107">
            <v>-9.0001839633194903E-3</v>
          </cell>
          <cell r="W107">
            <v>-9.0179372645237694E-3</v>
          </cell>
          <cell r="Y107">
            <v>1.3022759807794699</v>
          </cell>
          <cell r="Z107">
            <v>1.27438181808933</v>
          </cell>
          <cell r="AA107">
            <v>1.27445655098208</v>
          </cell>
          <cell r="AE107">
            <v>1.34405153910795E-2</v>
          </cell>
          <cell r="AF107">
            <v>-9.0001839633194903E-3</v>
          </cell>
          <cell r="AG107">
            <v>-9.0179372645237694E-3</v>
          </cell>
        </row>
        <row r="108">
          <cell r="O108">
            <v>1.3022492118915701</v>
          </cell>
          <cell r="P108">
            <v>1.2779669516980701</v>
          </cell>
          <cell r="Q108">
            <v>1.2762792112513199</v>
          </cell>
          <cell r="U108">
            <v>-5.2356836436542103E-3</v>
          </cell>
          <cell r="V108">
            <v>-2.6867403620891499E-2</v>
          </cell>
          <cell r="W108">
            <v>-2.6808762874048299E-2</v>
          </cell>
          <cell r="Y108">
            <v>1.3022759807794699</v>
          </cell>
          <cell r="Z108">
            <v>1.2779669516980701</v>
          </cell>
          <cell r="AA108">
            <v>1.2762792112513199</v>
          </cell>
          <cell r="AE108">
            <v>-5.2151279677282404E-3</v>
          </cell>
          <cell r="AF108">
            <v>-2.6867403620891701E-2</v>
          </cell>
          <cell r="AG108">
            <v>-2.6808762874048299E-2</v>
          </cell>
        </row>
        <row r="109">
          <cell r="O109">
            <v>1.3022492118915701</v>
          </cell>
          <cell r="P109">
            <v>1.2797351570409301</v>
          </cell>
          <cell r="Q109">
            <v>1.27818779003869</v>
          </cell>
          <cell r="U109">
            <v>1.9622855547866201E-3</v>
          </cell>
          <cell r="V109">
            <v>-1.6860150668579699E-2</v>
          </cell>
          <cell r="W109">
            <v>-1.8181668317786798E-2</v>
          </cell>
          <cell r="Y109">
            <v>1.3022759807794699</v>
          </cell>
          <cell r="Z109">
            <v>1.2797351570409301</v>
          </cell>
          <cell r="AA109">
            <v>1.27818779003869</v>
          </cell>
          <cell r="AE109">
            <v>1.98284123071294E-3</v>
          </cell>
          <cell r="AF109">
            <v>-1.6860150668579699E-2</v>
          </cell>
          <cell r="AG109">
            <v>-1.8181668317786798E-2</v>
          </cell>
        </row>
        <row r="110">
          <cell r="O110">
            <v>1.3022492118915701</v>
          </cell>
          <cell r="P110">
            <v>1.2815945478474</v>
          </cell>
          <cell r="Q110">
            <v>1.2795622675064999</v>
          </cell>
          <cell r="U110">
            <v>1.01601930908912E-2</v>
          </cell>
          <cell r="V110">
            <v>-7.2795914010582198E-3</v>
          </cell>
          <cell r="W110">
            <v>-8.4894536392896205E-3</v>
          </cell>
          <cell r="Y110">
            <v>1.3022759807794699</v>
          </cell>
          <cell r="Z110">
            <v>1.2815945478474</v>
          </cell>
          <cell r="AA110">
            <v>1.2795622675064999</v>
          </cell>
          <cell r="AE110">
            <v>1.0180748766817E-2</v>
          </cell>
          <cell r="AF110">
            <v>-7.2795914010582198E-3</v>
          </cell>
          <cell r="AG110">
            <v>-8.4894536392896205E-3</v>
          </cell>
        </row>
        <row r="111">
          <cell r="O111">
            <v>1.3022492118915701</v>
          </cell>
          <cell r="P111">
            <v>1.2840203926313301</v>
          </cell>
          <cell r="Q111">
            <v>1.2801011176639301</v>
          </cell>
          <cell r="U111">
            <v>1.11758568768516E-2</v>
          </cell>
          <cell r="V111">
            <v>-4.8120324299071099E-3</v>
          </cell>
          <cell r="W111">
            <v>-6.3990346433218902E-3</v>
          </cell>
          <cell r="Y111">
            <v>1.3022759807794699</v>
          </cell>
          <cell r="Z111">
            <v>1.2840203926313301</v>
          </cell>
          <cell r="AA111">
            <v>1.2801011176639301</v>
          </cell>
          <cell r="AE111">
            <v>1.1196412552777601E-2</v>
          </cell>
          <cell r="AF111">
            <v>-4.8120324299071099E-3</v>
          </cell>
          <cell r="AG111">
            <v>-6.3990346433218902E-3</v>
          </cell>
        </row>
        <row r="112">
          <cell r="O112">
            <v>1.3022492118915701</v>
          </cell>
          <cell r="P112">
            <v>1.28580307462865</v>
          </cell>
          <cell r="Q112">
            <v>1.2807762941721501</v>
          </cell>
          <cell r="U112">
            <v>1.3808616193813201E-2</v>
          </cell>
          <cell r="V112">
            <v>-2.8822900608035999E-4</v>
          </cell>
          <cell r="W112">
            <v>-3.3452432730788901E-3</v>
          </cell>
          <cell r="Y112">
            <v>1.3022759807794699</v>
          </cell>
          <cell r="Z112">
            <v>1.28580307462865</v>
          </cell>
          <cell r="AA112">
            <v>1.2807762941721501</v>
          </cell>
          <cell r="AE112">
            <v>1.3829171869739001E-2</v>
          </cell>
          <cell r="AF112">
            <v>-2.8822900608035999E-4</v>
          </cell>
          <cell r="AG112">
            <v>-3.3452432730788901E-3</v>
          </cell>
        </row>
        <row r="113">
          <cell r="O113">
            <v>1.3022492118915701</v>
          </cell>
          <cell r="P113">
            <v>1.2873973282612301</v>
          </cell>
          <cell r="Q113">
            <v>1.28102921074712</v>
          </cell>
          <cell r="U113">
            <v>2.0691065830263099E-2</v>
          </cell>
          <cell r="V113">
            <v>7.9816173181057794E-3</v>
          </cell>
          <cell r="W113">
            <v>4.0645072960506599E-3</v>
          </cell>
          <cell r="Y113">
            <v>1.3022759807794699</v>
          </cell>
          <cell r="Z113">
            <v>1.2873973282612301</v>
          </cell>
          <cell r="AA113">
            <v>1.28102921074712</v>
          </cell>
          <cell r="AE113">
            <v>2.0711621506189201E-2</v>
          </cell>
          <cell r="AF113">
            <v>7.9816173181057794E-3</v>
          </cell>
          <cell r="AG113">
            <v>4.0645072960506599E-3</v>
          </cell>
        </row>
        <row r="114">
          <cell r="O114">
            <v>1.3022492118915701</v>
          </cell>
          <cell r="P114">
            <v>1.2868666916373099</v>
          </cell>
          <cell r="Q114">
            <v>1.2803147682404099</v>
          </cell>
          <cell r="U114">
            <v>3.1202317074155099E-2</v>
          </cell>
          <cell r="V114">
            <v>1.97319899571149E-2</v>
          </cell>
          <cell r="W114">
            <v>1.4773210356877901E-2</v>
          </cell>
          <cell r="Y114">
            <v>1.3022759807794699</v>
          </cell>
          <cell r="Z114">
            <v>1.28688412125607</v>
          </cell>
          <cell r="AA114">
            <v>1.28032348304979</v>
          </cell>
          <cell r="AE114">
            <v>3.1084797831446999E-2</v>
          </cell>
          <cell r="AF114">
            <v>1.9593915038480899E-2</v>
          </cell>
          <cell r="AG114">
            <v>1.4635135438244001E-2</v>
          </cell>
        </row>
        <row r="115">
          <cell r="O115">
            <v>1.3022492118915701</v>
          </cell>
          <cell r="P115">
            <v>1.2849632351045901</v>
          </cell>
          <cell r="Q115">
            <v>1.2794117125997799</v>
          </cell>
          <cell r="U115">
            <v>2.7649712091931799E-2</v>
          </cell>
          <cell r="V115">
            <v>1.5767122186505601E-2</v>
          </cell>
          <cell r="W115">
            <v>1.06627400265384E-2</v>
          </cell>
          <cell r="Y115">
            <v>1.3022759807794699</v>
          </cell>
          <cell r="Z115">
            <v>1.2849982308531001</v>
          </cell>
          <cell r="AA115">
            <v>1.2794292104740299</v>
          </cell>
          <cell r="AE115">
            <v>2.7531604960150901E-2</v>
          </cell>
          <cell r="AF115">
            <v>1.56420035173232E-2</v>
          </cell>
          <cell r="AG115">
            <v>1.05308839666255E-2</v>
          </cell>
        </row>
        <row r="116">
          <cell r="O116">
            <v>1.3022492118915701</v>
          </cell>
          <cell r="P116">
            <v>1.2803762337768501</v>
          </cell>
          <cell r="Q116">
            <v>1.2768768475088801</v>
          </cell>
          <cell r="U116">
            <v>4.5536973943687602E-2</v>
          </cell>
          <cell r="V116">
            <v>3.2174148614850899E-2</v>
          </cell>
          <cell r="W116">
            <v>2.78444142423812E-2</v>
          </cell>
          <cell r="Y116">
            <v>1.3022759807794699</v>
          </cell>
          <cell r="Z116">
            <v>1.28042828526824</v>
          </cell>
          <cell r="AA116">
            <v>1.27690287325458</v>
          </cell>
          <cell r="AE116">
            <v>4.5420465673821998E-2</v>
          </cell>
          <cell r="AF116">
            <v>3.2064319122946099E-2</v>
          </cell>
          <cell r="AG116">
            <v>2.7721026703044001E-2</v>
          </cell>
        </row>
        <row r="117">
          <cell r="O117">
            <v>1.3022492118915701</v>
          </cell>
          <cell r="P117">
            <v>1.27528122546403</v>
          </cell>
          <cell r="Q117">
            <v>1.2748315217766799</v>
          </cell>
          <cell r="U117">
            <v>5.3880842451084099E-2</v>
          </cell>
          <cell r="V117">
            <v>3.6941877377865598E-2</v>
          </cell>
          <cell r="W117">
            <v>3.4205043485400002E-2</v>
          </cell>
          <cell r="Y117">
            <v>1.3022759807794699</v>
          </cell>
          <cell r="Z117">
            <v>1.27535017149778</v>
          </cell>
          <cell r="AA117">
            <v>1.2748659947935499</v>
          </cell>
          <cell r="AE117">
            <v>5.3764492041807797E-2</v>
          </cell>
          <cell r="AF117">
            <v>3.6845623744668703E-2</v>
          </cell>
          <cell r="AG117">
            <v>3.4088519538474901E-2</v>
          </cell>
        </row>
        <row r="118">
          <cell r="O118">
            <v>1.3022492118915701</v>
          </cell>
          <cell r="P118">
            <v>1.26572193877446</v>
          </cell>
          <cell r="Q118">
            <v>1.27184444523627</v>
          </cell>
          <cell r="U118">
            <v>7.0590457435432005E-2</v>
          </cell>
          <cell r="V118">
            <v>4.96642482622826E-2</v>
          </cell>
          <cell r="W118">
            <v>4.9311555078424198E-2</v>
          </cell>
          <cell r="Y118">
            <v>1.3022759807794699</v>
          </cell>
          <cell r="Z118">
            <v>1.26579088480821</v>
          </cell>
          <cell r="AA118">
            <v>1.27187891825314</v>
          </cell>
          <cell r="AE118">
            <v>7.0611013111357895E-2</v>
          </cell>
          <cell r="AF118">
            <v>4.9718310196788601E-2</v>
          </cell>
          <cell r="AG118">
            <v>4.9338595946333101E-2</v>
          </cell>
        </row>
        <row r="119">
          <cell r="O119">
            <v>1.3022492118915701</v>
          </cell>
          <cell r="P119">
            <v>1.2568772459995401</v>
          </cell>
          <cell r="Q119">
            <v>1.26830620152024</v>
          </cell>
          <cell r="U119">
            <v>7.24405395548256E-2</v>
          </cell>
          <cell r="V119">
            <v>4.3990269080858499E-2</v>
          </cell>
          <cell r="W119">
            <v>4.8815773060451602E-2</v>
          </cell>
          <cell r="Y119">
            <v>1.3022759807794699</v>
          </cell>
          <cell r="Z119">
            <v>1.2569461920332901</v>
          </cell>
          <cell r="AA119">
            <v>1.26834067453711</v>
          </cell>
          <cell r="AE119">
            <v>7.2461095230751504E-2</v>
          </cell>
          <cell r="AF119">
            <v>4.4044739303662497E-2</v>
          </cell>
          <cell r="AG119">
            <v>4.8842877436164098E-2</v>
          </cell>
        </row>
        <row r="120">
          <cell r="O120">
            <v>1.3022492118915701</v>
          </cell>
          <cell r="P120">
            <v>1.24922316155502</v>
          </cell>
          <cell r="Q120">
            <v>1.2654088547012099</v>
          </cell>
          <cell r="U120">
            <v>7.1372092612579596E-2</v>
          </cell>
          <cell r="V120">
            <v>3.5909428673884497E-2</v>
          </cell>
          <cell r="W120">
            <v>4.4961470870677998E-2</v>
          </cell>
          <cell r="Y120">
            <v>1.3022759807794699</v>
          </cell>
          <cell r="Z120">
            <v>1.24929210758877</v>
          </cell>
          <cell r="AA120">
            <v>1.2654433277180901</v>
          </cell>
          <cell r="AE120">
            <v>7.13926482885055E-2</v>
          </cell>
          <cell r="AF120">
            <v>3.5964282195196297E-2</v>
          </cell>
          <cell r="AG120">
            <v>4.4988650859506402E-2</v>
          </cell>
        </row>
        <row r="121">
          <cell r="O121">
            <v>1.3022492118915701</v>
          </cell>
          <cell r="P121">
            <v>1.2416078589277899</v>
          </cell>
          <cell r="Q121">
            <v>1.26281412577956</v>
          </cell>
          <cell r="U121">
            <v>7.2131771284657503E-2</v>
          </cell>
          <cell r="V121">
            <v>3.05607261967186E-2</v>
          </cell>
          <cell r="W121">
            <v>4.3434114088790901E-2</v>
          </cell>
          <cell r="Y121">
            <v>1.3022759807794699</v>
          </cell>
          <cell r="Z121">
            <v>1.2416768049615401</v>
          </cell>
          <cell r="AA121">
            <v>1.26284859879643</v>
          </cell>
          <cell r="AE121">
            <v>7.2152326960583393E-2</v>
          </cell>
          <cell r="AF121">
            <v>3.0615915800414801E-2</v>
          </cell>
          <cell r="AG121">
            <v>4.3461356309507197E-2</v>
          </cell>
        </row>
        <row r="122">
          <cell r="O122">
            <v>1.3022492118915701</v>
          </cell>
          <cell r="P122">
            <v>1.2337506045978199</v>
          </cell>
          <cell r="Q122">
            <v>1.2597768396132301</v>
          </cell>
          <cell r="U122">
            <v>7.69347621260415E-2</v>
          </cell>
          <cell r="V122">
            <v>2.9249029777323798E-2</v>
          </cell>
          <cell r="W122">
            <v>4.6184493390214701E-2</v>
          </cell>
          <cell r="Y122">
            <v>1.3022759807794699</v>
          </cell>
          <cell r="Z122">
            <v>1.2338195506315699</v>
          </cell>
          <cell r="AA122">
            <v>1.25981131263011</v>
          </cell>
          <cell r="AE122">
            <v>7.6955317801967404E-2</v>
          </cell>
          <cell r="AF122">
            <v>2.9304557872648102E-2</v>
          </cell>
          <cell r="AG122">
            <v>4.62117915852912E-2</v>
          </cell>
        </row>
        <row r="123">
          <cell r="O123">
            <v>1.3022492118915701</v>
          </cell>
          <cell r="P123">
            <v>1.2260775268258901</v>
          </cell>
          <cell r="Q123">
            <v>1.2567374275435601</v>
          </cell>
          <cell r="U123">
            <v>8.2729870790031995E-2</v>
          </cell>
          <cell r="V123">
            <v>2.8695740151187199E-2</v>
          </cell>
          <cell r="W123">
            <v>4.9571532196100603E-2</v>
          </cell>
          <cell r="Y123">
            <v>1.3022759807794699</v>
          </cell>
          <cell r="Z123">
            <v>1.2261464728596401</v>
          </cell>
          <cell r="AA123">
            <v>1.2567719005604401</v>
          </cell>
          <cell r="AE123">
            <v>8.2750426465958093E-2</v>
          </cell>
          <cell r="AF123">
            <v>2.8751621872418798E-2</v>
          </cell>
          <cell r="AG123">
            <v>4.9598896205449397E-2</v>
          </cell>
        </row>
        <row r="124">
          <cell r="O124">
            <v>1.3022492118915701</v>
          </cell>
          <cell r="P124">
            <v>1.2200364409943301</v>
          </cell>
          <cell r="Q124">
            <v>1.2534515663158201</v>
          </cell>
          <cell r="U124">
            <v>8.0245420983889995E-2</v>
          </cell>
          <cell r="V124">
            <v>1.9972559629381399E-2</v>
          </cell>
          <cell r="W124">
            <v>4.4671508127375401E-2</v>
          </cell>
          <cell r="Y124">
            <v>1.3022759807794699</v>
          </cell>
          <cell r="Z124">
            <v>1.22008795740931</v>
          </cell>
          <cell r="AA124">
            <v>1.2534860393326901</v>
          </cell>
          <cell r="AE124">
            <v>8.0265976659815996E-2</v>
          </cell>
          <cell r="AF124">
            <v>2.0028791061564102E-2</v>
          </cell>
          <cell r="AG124">
            <v>4.4698938315512103E-2</v>
          </cell>
        </row>
        <row r="125">
          <cell r="O125">
            <v>1.3022492118915701</v>
          </cell>
          <cell r="P125">
            <v>1.21480650634945</v>
          </cell>
          <cell r="Q125">
            <v>1.24988487072702</v>
          </cell>
          <cell r="U125">
            <v>6.9812928479780198E-2</v>
          </cell>
          <cell r="V125">
            <v>4.6007239931721696E-3</v>
          </cell>
          <cell r="W125">
            <v>3.1620995137505097E-2</v>
          </cell>
          <cell r="Y125">
            <v>1.3022759807794699</v>
          </cell>
          <cell r="Z125">
            <v>1.21484045663468</v>
          </cell>
          <cell r="AA125">
            <v>1.24991934374389</v>
          </cell>
          <cell r="AE125">
            <v>6.9833484155706102E-2</v>
          </cell>
          <cell r="AF125">
            <v>4.6429484101089998E-3</v>
          </cell>
          <cell r="AG125">
            <v>3.1648497231533498E-2</v>
          </cell>
        </row>
        <row r="126">
          <cell r="O126">
            <v>1.3022492118915701</v>
          </cell>
          <cell r="P126">
            <v>1.21234050173722</v>
          </cell>
          <cell r="Q126">
            <v>1.24635836775703</v>
          </cell>
          <cell r="U126">
            <v>6.5554748376653593E-2</v>
          </cell>
          <cell r="V126">
            <v>-3.9533739996502901E-3</v>
          </cell>
          <cell r="W126">
            <v>2.4513259577526401E-2</v>
          </cell>
          <cell r="Y126">
            <v>1.3022759807794699</v>
          </cell>
          <cell r="Z126">
            <v>1.21235739627957</v>
          </cell>
          <cell r="AA126">
            <v>1.24639284077391</v>
          </cell>
          <cell r="AE126">
            <v>6.5575304052579497E-2</v>
          </cell>
          <cell r="AF126">
            <v>-3.9254273178872404E-3</v>
          </cell>
          <cell r="AG126">
            <v>2.4540840150978498E-2</v>
          </cell>
        </row>
        <row r="127">
          <cell r="O127">
            <v>1.3022492118915701</v>
          </cell>
          <cell r="P127">
            <v>1.2104004175719201</v>
          </cell>
          <cell r="Q127">
            <v>1.24284082151797</v>
          </cell>
          <cell r="U127">
            <v>6.9728436470307395E-2</v>
          </cell>
          <cell r="V127">
            <v>-1.8117057651558699E-3</v>
          </cell>
          <cell r="W127">
            <v>2.58614976015124E-2</v>
          </cell>
          <cell r="Y127">
            <v>1.3022759807794699</v>
          </cell>
          <cell r="Z127">
            <v>1.2104004175719201</v>
          </cell>
          <cell r="AA127">
            <v>1.24287529453485</v>
          </cell>
          <cell r="AE127">
            <v>6.9748992146233493E-2</v>
          </cell>
          <cell r="AF127">
            <v>-1.7977703859338499E-3</v>
          </cell>
          <cell r="AG127">
            <v>2.5889156211612401E-2</v>
          </cell>
        </row>
        <row r="128">
          <cell r="O128">
            <v>1.3022492118915701</v>
          </cell>
          <cell r="P128">
            <v>1.21001901893688</v>
          </cell>
          <cell r="Q128">
            <v>1.23787047885567</v>
          </cell>
          <cell r="U128">
            <v>7.3738390309187302E-2</v>
          </cell>
          <cell r="V128">
            <v>5.9668633467816195E-4</v>
          </cell>
          <cell r="W128">
            <v>2.70452022630383E-2</v>
          </cell>
          <cell r="Y128">
            <v>1.3022759807794699</v>
          </cell>
          <cell r="Z128">
            <v>1.21001901893688</v>
          </cell>
          <cell r="AA128">
            <v>1.23790495187255</v>
          </cell>
          <cell r="AE128">
            <v>7.3758945985113206E-2</v>
          </cell>
          <cell r="AF128">
            <v>5.9668633467794001E-4</v>
          </cell>
          <cell r="AG128">
            <v>2.7072939152745199E-2</v>
          </cell>
        </row>
        <row r="129">
          <cell r="O129">
            <v>1.3022492118915701</v>
          </cell>
          <cell r="P129">
            <v>1.20937023970522</v>
          </cell>
          <cell r="Q129">
            <v>1.23312374285238</v>
          </cell>
          <cell r="U129">
            <v>7.7811216976696101E-2</v>
          </cell>
          <cell r="V129">
            <v>4.3543621382999796E-3</v>
          </cell>
          <cell r="W129">
            <v>2.71108320329943E-2</v>
          </cell>
          <cell r="Y129">
            <v>1.3022759807794699</v>
          </cell>
          <cell r="Z129">
            <v>1.20937023970522</v>
          </cell>
          <cell r="AA129">
            <v>1.23315821586925</v>
          </cell>
          <cell r="AE129">
            <v>7.7831772652622103E-2</v>
          </cell>
          <cell r="AF129">
            <v>4.3543621382995399E-3</v>
          </cell>
          <cell r="AG129">
            <v>2.7138680291320601E-2</v>
          </cell>
        </row>
        <row r="130">
          <cell r="O130">
            <v>1.3022492118915701</v>
          </cell>
          <cell r="P130">
            <v>1.2082399927154099</v>
          </cell>
          <cell r="Q130">
            <v>1.2287315771352201</v>
          </cell>
          <cell r="U130">
            <v>8.0737092112511205E-2</v>
          </cell>
          <cell r="V130">
            <v>6.7439207265428203E-3</v>
          </cell>
          <cell r="W130">
            <v>2.6194737972473198E-2</v>
          </cell>
          <cell r="Y130">
            <v>1.3022759807794699</v>
          </cell>
          <cell r="Z130">
            <v>1.2082399927154099</v>
          </cell>
          <cell r="AA130">
            <v>1.2287660501520901</v>
          </cell>
          <cell r="AE130">
            <v>8.0757647788437401E-2</v>
          </cell>
          <cell r="AF130">
            <v>6.7439207265430397E-3</v>
          </cell>
          <cell r="AG130">
            <v>2.6222693427246001E-2</v>
          </cell>
        </row>
        <row r="131">
          <cell r="O131">
            <v>1.3022492118915701</v>
          </cell>
          <cell r="P131">
            <v>1.2078473130149701</v>
          </cell>
          <cell r="Q131">
            <v>1.22472758597138</v>
          </cell>
          <cell r="U131">
            <v>7.5377972911171695E-2</v>
          </cell>
          <cell r="V131">
            <v>4.4978970485658399E-4</v>
          </cell>
          <cell r="W131">
            <v>1.72674396490256E-2</v>
          </cell>
          <cell r="Y131">
            <v>1.3022759807794699</v>
          </cell>
          <cell r="Z131">
            <v>1.2078473130149701</v>
          </cell>
          <cell r="AA131">
            <v>1.22476205898825</v>
          </cell>
          <cell r="AE131">
            <v>7.5398528587097696E-2</v>
          </cell>
          <cell r="AF131">
            <v>4.49789704856362E-4</v>
          </cell>
          <cell r="AG131">
            <v>1.72954950306413E-2</v>
          </cell>
        </row>
        <row r="132">
          <cell r="O132">
            <v>1.3022492118915701</v>
          </cell>
          <cell r="P132">
            <v>1.20928817352725</v>
          </cell>
          <cell r="Q132">
            <v>1.22151938906254</v>
          </cell>
          <cell r="U132">
            <v>6.5056353482331297E-2</v>
          </cell>
          <cell r="V132">
            <v>-1.0196883957714901E-2</v>
          </cell>
          <cell r="W132">
            <v>3.6818614971470599E-3</v>
          </cell>
          <cell r="Y132">
            <v>1.3022759807794699</v>
          </cell>
          <cell r="Z132">
            <v>1.20928817352725</v>
          </cell>
          <cell r="AA132">
            <v>1.22155386207941</v>
          </cell>
          <cell r="AE132">
            <v>6.5076909158257507E-2</v>
          </cell>
          <cell r="AF132">
            <v>-1.01968839577151E-2</v>
          </cell>
          <cell r="AG132">
            <v>3.7100085986853798E-3</v>
          </cell>
        </row>
        <row r="133">
          <cell r="O133">
            <v>1.3022492118915701</v>
          </cell>
          <cell r="P133">
            <v>1.21077335334116</v>
          </cell>
          <cell r="Q133">
            <v>1.2184254400835299</v>
          </cell>
          <cell r="U133">
            <v>7.04176117344152E-2</v>
          </cell>
          <cell r="V133">
            <v>-3.6434205595222801E-3</v>
          </cell>
          <cell r="W133">
            <v>6.4201640289583998E-3</v>
          </cell>
          <cell r="Y133">
            <v>1.3022759807794699</v>
          </cell>
          <cell r="Z133">
            <v>1.21077335334116</v>
          </cell>
          <cell r="AA133">
            <v>1.2184599131003999</v>
          </cell>
          <cell r="AE133">
            <v>7.0438167410341104E-2</v>
          </cell>
          <cell r="AF133">
            <v>-3.6434205595220598E-3</v>
          </cell>
          <cell r="AG133">
            <v>6.4483850549637099E-3</v>
          </cell>
        </row>
        <row r="134">
          <cell r="O134">
            <v>1.3022492118915701</v>
          </cell>
          <cell r="P134">
            <v>1.2121494383899301</v>
          </cell>
          <cell r="Q134">
            <v>1.2160929396921301</v>
          </cell>
          <cell r="U134">
            <v>6.8860584817084902E-2</v>
          </cell>
          <cell r="V134">
            <v>-3.9730571945237698E-3</v>
          </cell>
          <cell r="W134">
            <v>2.3270546557191802E-3</v>
          </cell>
          <cell r="Y134">
            <v>1.3022759807794699</v>
          </cell>
          <cell r="Z134">
            <v>1.2121494383899301</v>
          </cell>
          <cell r="AA134">
            <v>1.2161186978996199</v>
          </cell>
          <cell r="AE134">
            <v>6.8881140493011098E-2</v>
          </cell>
          <cell r="AF134">
            <v>-3.97305719452388E-3</v>
          </cell>
          <cell r="AG134">
            <v>2.35534734239149E-3</v>
          </cell>
        </row>
        <row r="135">
          <cell r="O135">
            <v>1.3022492118915701</v>
          </cell>
          <cell r="P135">
            <v>1.2153834417350899</v>
          </cell>
          <cell r="Q135">
            <v>1.2150949740422701</v>
          </cell>
          <cell r="U135">
            <v>4.3531659720731801E-2</v>
          </cell>
          <cell r="V135">
            <v>-2.8166093684418199E-2</v>
          </cell>
          <cell r="W135">
            <v>-2.4918061441265099E-2</v>
          </cell>
          <cell r="Y135">
            <v>1.3022759807794699</v>
          </cell>
          <cell r="Z135">
            <v>1.2153834417350899</v>
          </cell>
          <cell r="AA135">
            <v>1.2151119491848901</v>
          </cell>
          <cell r="AE135">
            <v>4.3552215396657802E-2</v>
          </cell>
          <cell r="AF135">
            <v>-2.8166093684418098E-2</v>
          </cell>
          <cell r="AG135">
            <v>-2.48968805480459E-2</v>
          </cell>
        </row>
        <row r="136">
          <cell r="O136">
            <v>1.3022492118915701</v>
          </cell>
          <cell r="P136">
            <v>1.2164346768566501</v>
          </cell>
          <cell r="Q136">
            <v>1.21438758929693</v>
          </cell>
          <cell r="U136">
            <v>5.6972307149666397E-2</v>
          </cell>
          <cell r="V136">
            <v>-1.2061008393588001E-2</v>
          </cell>
          <cell r="W136">
            <v>-1.2298383629922E-2</v>
          </cell>
          <cell r="Y136">
            <v>1.3022759807794699</v>
          </cell>
          <cell r="Z136">
            <v>1.2164346768566501</v>
          </cell>
          <cell r="AA136">
            <v>1.2143960365681099</v>
          </cell>
          <cell r="AE136">
            <v>5.69928628255926E-2</v>
          </cell>
          <cell r="AF136">
            <v>-1.20610083935882E-2</v>
          </cell>
          <cell r="AG136">
            <v>-1.22844135087322E-2</v>
          </cell>
        </row>
        <row r="137">
          <cell r="O137">
            <v>1.3022492118915701</v>
          </cell>
          <cell r="P137">
            <v>1.21855969269854</v>
          </cell>
          <cell r="Q137">
            <v>1.2144800551352299</v>
          </cell>
          <cell r="U137">
            <v>5.2383255253425097E-2</v>
          </cell>
          <cell r="V137">
            <v>-1.5785493010719999E-2</v>
          </cell>
          <cell r="W137">
            <v>-1.7469769209888301E-2</v>
          </cell>
          <cell r="Y137">
            <v>1.3022759807794699</v>
          </cell>
          <cell r="Z137">
            <v>1.21855969269854</v>
          </cell>
          <cell r="AA137">
            <v>1.2144800551352299</v>
          </cell>
          <cell r="AE137">
            <v>5.2403810929351098E-2</v>
          </cell>
          <cell r="AF137">
            <v>-1.5785493010719999E-2</v>
          </cell>
          <cell r="AG137">
            <v>-1.7462813241405199E-2</v>
          </cell>
        </row>
        <row r="138">
          <cell r="O138">
            <v>1.3022492118915701</v>
          </cell>
          <cell r="P138">
            <v>1.22012259667385</v>
          </cell>
          <cell r="Q138">
            <v>1.21507080780537</v>
          </cell>
          <cell r="U138">
            <v>6.0901145769155597E-2</v>
          </cell>
          <cell r="V138">
            <v>-5.5222051273909802E-3</v>
          </cell>
          <cell r="W138">
            <v>-8.8757396434730098E-3</v>
          </cell>
          <cell r="Y138">
            <v>1.3022759807794699</v>
          </cell>
          <cell r="Z138">
            <v>1.22012259667385</v>
          </cell>
          <cell r="AA138">
            <v>1.21507080780537</v>
          </cell>
          <cell r="AE138">
            <v>6.0921701445081598E-2</v>
          </cell>
          <cell r="AF138">
            <v>-5.5222051273909802E-3</v>
          </cell>
          <cell r="AG138">
            <v>-8.8757396434730098E-3</v>
          </cell>
        </row>
        <row r="139">
          <cell r="O139">
            <v>1.3022492118915701</v>
          </cell>
          <cell r="P139">
            <v>1.2225837833890401</v>
          </cell>
          <cell r="Q139">
            <v>1.21597701154713</v>
          </cell>
          <cell r="U139">
            <v>5.7588258922239101E-2</v>
          </cell>
          <cell r="V139">
            <v>-7.5533307575265801E-3</v>
          </cell>
          <cell r="W139">
            <v>-1.1702320407409801E-2</v>
          </cell>
          <cell r="Y139">
            <v>1.3022759807794699</v>
          </cell>
          <cell r="Z139">
            <v>1.2225837833890401</v>
          </cell>
          <cell r="AA139">
            <v>1.21597701154713</v>
          </cell>
          <cell r="AE139">
            <v>5.7608814598164998E-2</v>
          </cell>
          <cell r="AF139">
            <v>-7.5533307575265801E-3</v>
          </cell>
          <cell r="AG139">
            <v>-1.17023204074097E-2</v>
          </cell>
        </row>
        <row r="140">
          <cell r="O140">
            <v>1.3022492118915701</v>
          </cell>
          <cell r="P140">
            <v>1.2266007074362</v>
          </cell>
          <cell r="Q140">
            <v>1.2174203500758001</v>
          </cell>
          <cell r="U140">
            <v>4.7844278169856799E-2</v>
          </cell>
          <cell r="V140">
            <v>-1.5282179795238699E-2</v>
          </cell>
          <cell r="W140">
            <v>-2.0700775895728898E-2</v>
          </cell>
          <cell r="Y140">
            <v>1.3022759807794699</v>
          </cell>
          <cell r="Z140">
            <v>1.2266007074362</v>
          </cell>
          <cell r="AA140">
            <v>1.2174203500758001</v>
          </cell>
          <cell r="AE140">
            <v>4.78648338457828E-2</v>
          </cell>
          <cell r="AF140">
            <v>-1.5282179795238699E-2</v>
          </cell>
          <cell r="AG140">
            <v>-2.0700775895728898E-2</v>
          </cell>
        </row>
        <row r="141">
          <cell r="O141">
            <v>1.3022492118915701</v>
          </cell>
          <cell r="P141">
            <v>1.23085762294099</v>
          </cell>
          <cell r="Q141">
            <v>1.2193524679779799</v>
          </cell>
          <cell r="U141">
            <v>4.0736750902143501E-2</v>
          </cell>
          <cell r="V141">
            <v>-1.9109490595807199E-2</v>
          </cell>
          <cell r="W141">
            <v>-2.6622028598754299E-2</v>
          </cell>
          <cell r="Y141">
            <v>1.3022759807794699</v>
          </cell>
          <cell r="Z141">
            <v>1.23085762294099</v>
          </cell>
          <cell r="AA141">
            <v>1.2193524679779799</v>
          </cell>
          <cell r="AE141">
            <v>4.0757306578069703E-2</v>
          </cell>
          <cell r="AF141">
            <v>-1.9109490595807299E-2</v>
          </cell>
          <cell r="AG141">
            <v>-2.6622028598754299E-2</v>
          </cell>
        </row>
        <row r="142">
          <cell r="O142">
            <v>1.3022492118915701</v>
          </cell>
          <cell r="P142">
            <v>1.2338963880307401</v>
          </cell>
          <cell r="Q142">
            <v>1.2215922807790001</v>
          </cell>
          <cell r="U142">
            <v>4.0458101345246099E-2</v>
          </cell>
          <cell r="V142">
            <v>-1.5923650268956601E-2</v>
          </cell>
          <cell r="W142">
            <v>-2.5314877220279801E-2</v>
          </cell>
          <cell r="Y142">
            <v>1.3022759807794699</v>
          </cell>
          <cell r="Z142">
            <v>1.2338963880307401</v>
          </cell>
          <cell r="AA142">
            <v>1.2215922807790001</v>
          </cell>
          <cell r="AE142">
            <v>4.0478657021172197E-2</v>
          </cell>
          <cell r="AF142">
            <v>-1.5923650268956601E-2</v>
          </cell>
          <cell r="AG142">
            <v>-2.5314877220279801E-2</v>
          </cell>
        </row>
        <row r="143">
          <cell r="O143">
            <v>1.3022492118915701</v>
          </cell>
          <cell r="P143">
            <v>1.2397260657040301</v>
          </cell>
          <cell r="Q143">
            <v>1.22524970952259</v>
          </cell>
          <cell r="U143">
            <v>2.35033073417352E-2</v>
          </cell>
          <cell r="V143">
            <v>-3.0412667472123098E-2</v>
          </cell>
          <cell r="W143">
            <v>-4.0434469152303601E-2</v>
          </cell>
          <cell r="Y143">
            <v>1.3022759807794699</v>
          </cell>
          <cell r="Z143">
            <v>1.2397260657040301</v>
          </cell>
          <cell r="AA143">
            <v>1.22524970952259</v>
          </cell>
          <cell r="AE143">
            <v>2.35238630176615E-2</v>
          </cell>
          <cell r="AF143">
            <v>-3.0412667472123098E-2</v>
          </cell>
          <cell r="AG143">
            <v>-4.0434469152303698E-2</v>
          </cell>
        </row>
        <row r="144">
          <cell r="O144">
            <v>1.3022492118915701</v>
          </cell>
          <cell r="P144">
            <v>1.2456293725146399</v>
          </cell>
          <cell r="Q144">
            <v>1.2288894054522801</v>
          </cell>
          <cell r="U144">
            <v>2.14397677179608E-2</v>
          </cell>
          <cell r="V144">
            <v>-2.7762724278340201E-2</v>
          </cell>
          <cell r="W144">
            <v>-3.95084970037482E-2</v>
          </cell>
          <cell r="Y144">
            <v>1.3022759807794699</v>
          </cell>
          <cell r="Z144">
            <v>1.2456293725146399</v>
          </cell>
          <cell r="AA144">
            <v>1.2288894054522801</v>
          </cell>
          <cell r="AE144">
            <v>2.1460323393886802E-2</v>
          </cell>
          <cell r="AF144">
            <v>-2.7762724278339999E-2</v>
          </cell>
          <cell r="AG144">
            <v>-3.9508497003747797E-2</v>
          </cell>
        </row>
        <row r="145">
          <cell r="O145">
            <v>1.3022492118915701</v>
          </cell>
          <cell r="P145">
            <v>1.24637099354364</v>
          </cell>
          <cell r="Q145">
            <v>1.2308772176393601</v>
          </cell>
          <cell r="U145">
            <v>3.76009724579296E-2</v>
          </cell>
          <cell r="V145">
            <v>-6.8510377187292002E-3</v>
          </cell>
          <cell r="W145">
            <v>-2.0381120887399701E-2</v>
          </cell>
          <cell r="Y145">
            <v>1.3022759807794699</v>
          </cell>
          <cell r="Z145">
            <v>1.24637099354364</v>
          </cell>
          <cell r="AA145">
            <v>1.2308772176393601</v>
          </cell>
          <cell r="AE145">
            <v>3.76215281338554E-2</v>
          </cell>
          <cell r="AF145">
            <v>-6.8510377187292002E-3</v>
          </cell>
          <cell r="AG145">
            <v>-2.0381120887399701E-2</v>
          </cell>
        </row>
        <row r="146">
          <cell r="O146">
            <v>1.3022492118915701</v>
          </cell>
          <cell r="P146">
            <v>1.2501587966666801</v>
          </cell>
          <cell r="Q146">
            <v>1.2332967367616701</v>
          </cell>
          <cell r="U146">
            <v>2.66449952478948E-2</v>
          </cell>
          <cell r="V146">
            <v>-1.72118135307248E-2</v>
          </cell>
          <cell r="W146">
            <v>-2.9720836943918499E-2</v>
          </cell>
          <cell r="Y146">
            <v>1.3022759807794699</v>
          </cell>
          <cell r="Z146">
            <v>1.2501587966666801</v>
          </cell>
          <cell r="AA146">
            <v>1.2332967367616701</v>
          </cell>
          <cell r="AE146">
            <v>2.66655509238206E-2</v>
          </cell>
          <cell r="AF146">
            <v>-1.72118135307248E-2</v>
          </cell>
          <cell r="AG146">
            <v>-2.9720836943918499E-2</v>
          </cell>
        </row>
        <row r="147">
          <cell r="O147">
            <v>1.3022492118915701</v>
          </cell>
          <cell r="P147">
            <v>1.25278313599909</v>
          </cell>
          <cell r="Q147">
            <v>1.2356714143488201</v>
          </cell>
          <cell r="U147">
            <v>3.1369456637895102E-2</v>
          </cell>
          <cell r="V147">
            <v>-9.4528952362766504E-3</v>
          </cell>
          <cell r="W147">
            <v>-2.3032618169401199E-2</v>
          </cell>
          <cell r="Y147">
            <v>1.3022759807794699</v>
          </cell>
          <cell r="Z147">
            <v>1.25278313599909</v>
          </cell>
          <cell r="AA147">
            <v>1.2356714143488201</v>
          </cell>
          <cell r="AE147">
            <v>3.13900123138212E-2</v>
          </cell>
          <cell r="AF147">
            <v>-9.4528952362763104E-3</v>
          </cell>
          <cell r="AG147">
            <v>-2.3032618169401199E-2</v>
          </cell>
        </row>
        <row r="148">
          <cell r="O148">
            <v>1.3022492118915701</v>
          </cell>
          <cell r="P148">
            <v>1.2554499160238599</v>
          </cell>
          <cell r="Q148">
            <v>1.23778625634886</v>
          </cell>
          <cell r="U148">
            <v>3.9370433442507E-2</v>
          </cell>
          <cell r="V148">
            <v>6.4508610515932505E-4</v>
          </cell>
          <cell r="W148">
            <v>-1.3108021314576401E-2</v>
          </cell>
          <cell r="Y148">
            <v>1.3022759807794699</v>
          </cell>
          <cell r="Z148">
            <v>1.2554499160238599</v>
          </cell>
          <cell r="AA148">
            <v>1.23778625634886</v>
          </cell>
          <cell r="AE148">
            <v>3.93909891184328E-2</v>
          </cell>
          <cell r="AF148">
            <v>6.4508610515932505E-4</v>
          </cell>
          <cell r="AG148">
            <v>-1.3108021314576401E-2</v>
          </cell>
        </row>
        <row r="149">
          <cell r="O149">
            <v>1.3022492118915701</v>
          </cell>
          <cell r="P149">
            <v>1.25786385228179</v>
          </cell>
          <cell r="Q149">
            <v>1.2402238178354099</v>
          </cell>
          <cell r="U149">
            <v>3.8143048737558201E-2</v>
          </cell>
          <cell r="V149">
            <v>1.5441234465796399E-3</v>
          </cell>
          <cell r="W149">
            <v>-1.2625376743145299E-2</v>
          </cell>
          <cell r="Y149">
            <v>1.3022759807794699</v>
          </cell>
          <cell r="Z149">
            <v>1.25786385228179</v>
          </cell>
          <cell r="AA149">
            <v>1.2402238178354099</v>
          </cell>
          <cell r="AE149">
            <v>3.8163604413484299E-2</v>
          </cell>
          <cell r="AF149">
            <v>1.5441234465796399E-3</v>
          </cell>
          <cell r="AG149">
            <v>-1.2625376743145299E-2</v>
          </cell>
        </row>
        <row r="150">
          <cell r="O150">
            <v>1.3022492118915701</v>
          </cell>
          <cell r="P150">
            <v>1.2586224263777499</v>
          </cell>
          <cell r="Q150">
            <v>1.2426115669069699</v>
          </cell>
          <cell r="U150">
            <v>4.1752292382709597E-2</v>
          </cell>
          <cell r="V150">
            <v>7.0742868198124002E-3</v>
          </cell>
          <cell r="W150">
            <v>-7.0487784869981201E-3</v>
          </cell>
          <cell r="Y150">
            <v>1.3022759807794699</v>
          </cell>
          <cell r="Z150">
            <v>1.2586224263777499</v>
          </cell>
          <cell r="AA150">
            <v>1.2426115669069699</v>
          </cell>
          <cell r="AE150">
            <v>4.1772848058635799E-2</v>
          </cell>
          <cell r="AF150">
            <v>7.0742868198126196E-3</v>
          </cell>
          <cell r="AG150">
            <v>-7.0487784869981201E-3</v>
          </cell>
        </row>
        <row r="151">
          <cell r="O151">
            <v>1.3022492118915701</v>
          </cell>
          <cell r="P151">
            <v>1.2592297012887099</v>
          </cell>
          <cell r="Q151">
            <v>1.24504366211485</v>
          </cell>
          <cell r="U151">
            <v>3.5891342479157901E-2</v>
          </cell>
          <cell r="V151">
            <v>1.8162204887785E-3</v>
          </cell>
          <cell r="W151">
            <v>-1.09863227371963E-2</v>
          </cell>
          <cell r="Y151">
            <v>1.3022759807794699</v>
          </cell>
          <cell r="Z151">
            <v>1.2592297012887099</v>
          </cell>
          <cell r="AA151">
            <v>1.24504366211485</v>
          </cell>
          <cell r="AE151">
            <v>3.5911898155084103E-2</v>
          </cell>
          <cell r="AF151">
            <v>1.8162204887787201E-3</v>
          </cell>
          <cell r="AG151">
            <v>-1.09863227371962E-2</v>
          </cell>
        </row>
        <row r="152">
          <cell r="O152">
            <v>1.3022492118915701</v>
          </cell>
          <cell r="P152">
            <v>1.26073918048597</v>
          </cell>
          <cell r="Q152">
            <v>1.24731778425836</v>
          </cell>
          <cell r="U152">
            <v>2.8460459325816499E-2</v>
          </cell>
          <cell r="V152">
            <v>-5.1322872970315297E-3</v>
          </cell>
          <cell r="W152">
            <v>-1.6461873853852099E-2</v>
          </cell>
          <cell r="Y152">
            <v>1.3022759807794699</v>
          </cell>
          <cell r="Z152">
            <v>1.26073918048597</v>
          </cell>
          <cell r="AA152">
            <v>1.24731778425836</v>
          </cell>
          <cell r="AE152">
            <v>2.84810150017424E-2</v>
          </cell>
          <cell r="AF152">
            <v>-5.1322872970315297E-3</v>
          </cell>
          <cell r="AG152">
            <v>-1.6461873853852099E-2</v>
          </cell>
        </row>
        <row r="153">
          <cell r="O153">
            <v>1.3022492118915701</v>
          </cell>
          <cell r="P153">
            <v>1.2599010257796099</v>
          </cell>
          <cell r="Q153">
            <v>1.24981354574182</v>
          </cell>
          <cell r="U153">
            <v>3.01143845274894E-2</v>
          </cell>
          <cell r="V153">
            <v>-2.2803477954869401E-3</v>
          </cell>
          <cell r="W153">
            <v>-1.2983074673395399E-2</v>
          </cell>
          <cell r="Y153">
            <v>1.3022759807794699</v>
          </cell>
          <cell r="Z153">
            <v>1.2599010257796099</v>
          </cell>
          <cell r="AA153">
            <v>1.24981354574182</v>
          </cell>
          <cell r="AE153">
            <v>3.0134940203415499E-2</v>
          </cell>
          <cell r="AF153">
            <v>-2.2803477954870602E-3</v>
          </cell>
          <cell r="AG153">
            <v>-1.2983074673395399E-2</v>
          </cell>
        </row>
        <row r="154">
          <cell r="O154">
            <v>1.3022492118915701</v>
          </cell>
          <cell r="P154">
            <v>1.25836848811464</v>
          </cell>
          <cell r="Q154">
            <v>1.2519989303146399</v>
          </cell>
          <cell r="U154">
            <v>3.3536059525968803E-2</v>
          </cell>
          <cell r="V154">
            <v>4.7629398232970199E-4</v>
          </cell>
          <cell r="W154">
            <v>-7.5624961455061403E-3</v>
          </cell>
          <cell r="Y154">
            <v>1.3022759807794699</v>
          </cell>
          <cell r="Z154">
            <v>1.25836848811464</v>
          </cell>
          <cell r="AA154">
            <v>1.2519989303146399</v>
          </cell>
          <cell r="AE154">
            <v>3.35566152018947E-2</v>
          </cell>
          <cell r="AF154">
            <v>4.7629398232970199E-4</v>
          </cell>
          <cell r="AG154">
            <v>-7.5624961455062504E-3</v>
          </cell>
        </row>
        <row r="155">
          <cell r="O155">
            <v>1.3022492118915701</v>
          </cell>
          <cell r="P155">
            <v>1.2597757049699001</v>
          </cell>
          <cell r="Q155">
            <v>1.2530733492567701</v>
          </cell>
          <cell r="U155">
            <v>2.6443348513426699E-2</v>
          </cell>
          <cell r="V155">
            <v>-7.8335527225653397E-3</v>
          </cell>
          <cell r="W155">
            <v>-1.29081656434823E-2</v>
          </cell>
          <cell r="Y155">
            <v>1.3022759807794699</v>
          </cell>
          <cell r="Z155">
            <v>1.2597757049699001</v>
          </cell>
          <cell r="AA155">
            <v>1.2530733492567701</v>
          </cell>
          <cell r="AE155">
            <v>2.6463904189352599E-2</v>
          </cell>
          <cell r="AF155">
            <v>-7.8335527225651194E-3</v>
          </cell>
          <cell r="AG155">
            <v>-1.29081656434824E-2</v>
          </cell>
        </row>
        <row r="156">
          <cell r="O156">
            <v>1.3022492118915701</v>
          </cell>
          <cell r="P156">
            <v>1.2589261443438899</v>
          </cell>
          <cell r="Q156">
            <v>1.2545424705052901</v>
          </cell>
          <cell r="U156">
            <v>3.3367498215152801E-2</v>
          </cell>
          <cell r="V156">
            <v>2.0825895071772401E-4</v>
          </cell>
          <cell r="W156">
            <v>-5.1262211253936298E-3</v>
          </cell>
          <cell r="Y156">
            <v>1.3022759807794699</v>
          </cell>
          <cell r="Z156">
            <v>1.2589261443438899</v>
          </cell>
          <cell r="AA156">
            <v>1.2545424705052901</v>
          </cell>
          <cell r="AE156">
            <v>3.3388053891078601E-2</v>
          </cell>
          <cell r="AF156">
            <v>2.0825895071772401E-4</v>
          </cell>
          <cell r="AG156">
            <v>-5.1262211253936298E-3</v>
          </cell>
        </row>
        <row r="157">
          <cell r="O157">
            <v>1.3022492118915701</v>
          </cell>
          <cell r="P157">
            <v>1.25930097257581</v>
          </cell>
          <cell r="Q157">
            <v>1.25604205428745</v>
          </cell>
          <cell r="U157">
            <v>2.8403822075348702E-2</v>
          </cell>
          <cell r="V157">
            <v>-5.4300191936548304E-3</v>
          </cell>
          <cell r="W157">
            <v>-8.9181695986021593E-3</v>
          </cell>
          <cell r="Y157">
            <v>1.3022759807794699</v>
          </cell>
          <cell r="Z157">
            <v>1.25930097257581</v>
          </cell>
          <cell r="AA157">
            <v>1.25604205428745</v>
          </cell>
          <cell r="AE157">
            <v>2.84243777512748E-2</v>
          </cell>
          <cell r="AF157">
            <v>-5.4300191936548304E-3</v>
          </cell>
          <cell r="AG157">
            <v>-8.9181695986024906E-3</v>
          </cell>
        </row>
        <row r="158">
          <cell r="O158">
            <v>1.3022492118915701</v>
          </cell>
          <cell r="P158">
            <v>1.26124104111935</v>
          </cell>
          <cell r="Q158">
            <v>1.2583454785716099</v>
          </cell>
          <cell r="U158">
            <v>2.3993209746505401E-2</v>
          </cell>
          <cell r="V158">
            <v>-9.5429393626705397E-3</v>
          </cell>
          <cell r="W158">
            <v>-1.2134172508251301E-2</v>
          </cell>
          <cell r="Y158">
            <v>1.3022759807794699</v>
          </cell>
          <cell r="Z158">
            <v>1.26124104111935</v>
          </cell>
          <cell r="AA158">
            <v>1.2583454785716099</v>
          </cell>
          <cell r="AE158">
            <v>2.4013765422431398E-2</v>
          </cell>
          <cell r="AF158">
            <v>-9.54293936267042E-3</v>
          </cell>
          <cell r="AG158">
            <v>-1.21341725082515E-2</v>
          </cell>
        </row>
        <row r="159">
          <cell r="O159">
            <v>1.3022492118915701</v>
          </cell>
          <cell r="P159">
            <v>1.2638520099122701</v>
          </cell>
          <cell r="Q159">
            <v>1.26085793109703</v>
          </cell>
          <cell r="U159">
            <v>1.7527796272791E-2</v>
          </cell>
          <cell r="V159">
            <v>-1.4468946695859901E-2</v>
          </cell>
          <cell r="W159">
            <v>-1.6767390349094299E-2</v>
          </cell>
          <cell r="Y159">
            <v>1.3022759807794699</v>
          </cell>
          <cell r="Z159">
            <v>1.2638520099122701</v>
          </cell>
          <cell r="AA159">
            <v>1.26085793109703</v>
          </cell>
          <cell r="AE159">
            <v>1.7548351948717001E-2</v>
          </cell>
          <cell r="AF159">
            <v>-1.4468946695859901E-2</v>
          </cell>
          <cell r="AG159">
            <v>-1.6767390349094299E-2</v>
          </cell>
        </row>
        <row r="160">
          <cell r="O160">
            <v>1.3022492118915701</v>
          </cell>
          <cell r="P160">
            <v>1.2679950560243201</v>
          </cell>
          <cell r="Q160">
            <v>1.26330874120103</v>
          </cell>
          <cell r="U160">
            <v>9.1195868349953097E-3</v>
          </cell>
          <cell r="V160">
            <v>-2.08091375136061E-2</v>
          </cell>
          <cell r="W160">
            <v>-2.3180958664397299E-2</v>
          </cell>
          <cell r="Y160">
            <v>1.3022759807794699</v>
          </cell>
          <cell r="Z160">
            <v>1.2679950560243201</v>
          </cell>
          <cell r="AA160">
            <v>1.26330874120103</v>
          </cell>
          <cell r="AE160">
            <v>9.1401425109212502E-3</v>
          </cell>
          <cell r="AF160">
            <v>-2.0809137513606201E-2</v>
          </cell>
          <cell r="AG160">
            <v>-2.3180958664397299E-2</v>
          </cell>
        </row>
        <row r="161">
          <cell r="O161">
            <v>1.3022492118915701</v>
          </cell>
          <cell r="P161">
            <v>1.2712213937997501</v>
          </cell>
          <cell r="Q161">
            <v>1.26522554754423</v>
          </cell>
          <cell r="U161">
            <v>1.0535066956641101E-2</v>
          </cell>
          <cell r="V161">
            <v>-1.6120908523545301E-2</v>
          </cell>
          <cell r="W161">
            <v>-1.9823601327554501E-2</v>
          </cell>
          <cell r="Y161">
            <v>1.3022759807794699</v>
          </cell>
          <cell r="Z161">
            <v>1.2712213937997501</v>
          </cell>
          <cell r="AA161">
            <v>1.26522554754423</v>
          </cell>
          <cell r="AE161">
            <v>1.0555622632566999E-2</v>
          </cell>
          <cell r="AF161">
            <v>-1.6120908523545401E-2</v>
          </cell>
          <cell r="AG161">
            <v>-1.9823601327554501E-2</v>
          </cell>
        </row>
        <row r="162">
          <cell r="O162">
            <v>1.3022492118915701</v>
          </cell>
          <cell r="P162">
            <v>1.2741077594442101</v>
          </cell>
          <cell r="Q162">
            <v>1.2674234699650899</v>
          </cell>
          <cell r="U162">
            <v>5.9122538890011098E-3</v>
          </cell>
          <cell r="V162">
            <v>-1.8202512855796198E-2</v>
          </cell>
          <cell r="W162">
            <v>-2.29302738240303E-2</v>
          </cell>
          <cell r="Y162">
            <v>1.3022759807794699</v>
          </cell>
          <cell r="Z162">
            <v>1.2741077594442101</v>
          </cell>
          <cell r="AA162">
            <v>1.2674234699650899</v>
          </cell>
          <cell r="AE162">
            <v>5.9328095649272203E-3</v>
          </cell>
          <cell r="AF162">
            <v>-1.82025128557959E-2</v>
          </cell>
          <cell r="AG162">
            <v>-2.29302738240303E-2</v>
          </cell>
        </row>
        <row r="163">
          <cell r="O163">
            <v>1.3022492118915701</v>
          </cell>
          <cell r="P163">
            <v>1.27571763540325</v>
          </cell>
          <cell r="Q163">
            <v>1.26780933059143</v>
          </cell>
          <cell r="U163">
            <v>1.7454641385382001E-2</v>
          </cell>
          <cell r="V163">
            <v>-4.3921539436156502E-3</v>
          </cell>
          <cell r="W163">
            <v>-9.65221513322264E-3</v>
          </cell>
          <cell r="Y163">
            <v>1.3022759807794699</v>
          </cell>
          <cell r="Z163">
            <v>1.27571763540325</v>
          </cell>
          <cell r="AA163">
            <v>1.26780933059143</v>
          </cell>
          <cell r="AE163">
            <v>1.7475197061308099E-2</v>
          </cell>
          <cell r="AF163">
            <v>-4.3921539436156502E-3</v>
          </cell>
          <cell r="AG163">
            <v>-9.6522151332225307E-3</v>
          </cell>
        </row>
        <row r="164">
          <cell r="O164">
            <v>1.3022492118915701</v>
          </cell>
          <cell r="P164">
            <v>1.2776039055092601</v>
          </cell>
          <cell r="Q164">
            <v>1.2679861968119499</v>
          </cell>
          <cell r="U164">
            <v>1.8668426299303799E-2</v>
          </cell>
          <cell r="V164">
            <v>-1.91563458819121E-3</v>
          </cell>
          <cell r="W164">
            <v>-8.1340316415992198E-3</v>
          </cell>
          <cell r="Y164">
            <v>1.3022759807794699</v>
          </cell>
          <cell r="Z164">
            <v>1.2776039055092601</v>
          </cell>
          <cell r="AA164">
            <v>1.2679861968119499</v>
          </cell>
          <cell r="AE164">
            <v>1.86889819752298E-2</v>
          </cell>
          <cell r="AF164">
            <v>-1.9156345881913199E-3</v>
          </cell>
          <cell r="AG164">
            <v>-8.1340316415992198E-3</v>
          </cell>
        </row>
        <row r="165">
          <cell r="O165">
            <v>1.3022492118915701</v>
          </cell>
          <cell r="P165">
            <v>1.27845977570009</v>
          </cell>
          <cell r="Q165">
            <v>1.26911774033499</v>
          </cell>
          <cell r="U165">
            <v>1.9717660549533299E-2</v>
          </cell>
          <cell r="V165">
            <v>6.11102921169922E-4</v>
          </cell>
          <cell r="W165">
            <v>-6.9453017428480496E-3</v>
          </cell>
          <cell r="Y165">
            <v>1.3022759807794699</v>
          </cell>
          <cell r="Z165">
            <v>1.27845977570009</v>
          </cell>
          <cell r="AA165">
            <v>1.26911774033499</v>
          </cell>
          <cell r="AE165">
            <v>1.97382162254593E-2</v>
          </cell>
          <cell r="AF165">
            <v>6.11102921169922E-4</v>
          </cell>
          <cell r="AG165">
            <v>-6.9453017428481598E-3</v>
          </cell>
        </row>
        <row r="166">
          <cell r="O166">
            <v>1.3022492118915701</v>
          </cell>
          <cell r="P166">
            <v>1.2811880787777901</v>
          </cell>
          <cell r="Q166">
            <v>1.2700571115608399</v>
          </cell>
          <cell r="U166">
            <v>1.19372109935501E-2</v>
          </cell>
          <cell r="V166">
            <v>-6.4996683094199299E-3</v>
          </cell>
          <cell r="W166">
            <v>-1.383375504948E-2</v>
          </cell>
          <cell r="Y166">
            <v>1.3022759807794699</v>
          </cell>
          <cell r="Z166">
            <v>1.2811880787777901</v>
          </cell>
          <cell r="AA166">
            <v>1.2700571115608399</v>
          </cell>
          <cell r="AE166">
            <v>1.1957766669476001E-2</v>
          </cell>
          <cell r="AF166">
            <v>-6.4996683094199299E-3</v>
          </cell>
          <cell r="AG166">
            <v>-1.3833755049480201E-2</v>
          </cell>
        </row>
        <row r="167">
          <cell r="O167">
            <v>1.3022492118915701</v>
          </cell>
          <cell r="P167">
            <v>1.28325615953424</v>
          </cell>
          <cell r="Q167">
            <v>1.2712785660550301</v>
          </cell>
          <cell r="U167">
            <v>1.2197476420391999E-2</v>
          </cell>
          <cell r="V167">
            <v>-4.1076220548670996E-3</v>
          </cell>
          <cell r="W167">
            <v>-1.28335868404398E-2</v>
          </cell>
          <cell r="Y167">
            <v>1.3022759807794699</v>
          </cell>
          <cell r="Z167">
            <v>1.28325615953424</v>
          </cell>
          <cell r="AA167">
            <v>1.2712785660550301</v>
          </cell>
          <cell r="AE167">
            <v>1.22180320963182E-2</v>
          </cell>
          <cell r="AF167">
            <v>-4.1076220548670996E-3</v>
          </cell>
          <cell r="AG167">
            <v>-1.28335868404398E-2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834C6-A7B0-42EE-9C08-2D1519B50F16}">
  <dimension ref="A1:CZ176"/>
  <sheetViews>
    <sheetView tabSelected="1" topLeftCell="BB1" workbookViewId="0">
      <selection activeCell="AY33" sqref="AY33"/>
    </sheetView>
  </sheetViews>
  <sheetFormatPr defaultRowHeight="15" x14ac:dyDescent="0.25"/>
  <cols>
    <col min="1" max="1" width="9.42578125" bestFit="1" customWidth="1"/>
    <col min="2" max="3" width="11" style="7" bestFit="1" customWidth="1"/>
    <col min="4" max="4" width="9.85546875" style="12" bestFit="1" customWidth="1"/>
    <col min="5" max="5" width="10.7109375" style="12" bestFit="1" customWidth="1"/>
    <col min="6" max="6" width="9" style="7" bestFit="1" customWidth="1"/>
    <col min="7" max="7" width="16.5703125" style="7" bestFit="1" customWidth="1"/>
    <col min="8" max="8" width="9.140625" style="7" bestFit="1" customWidth="1"/>
    <col min="9" max="9" width="17.5703125" style="7" bestFit="1" customWidth="1"/>
    <col min="10" max="10" width="19.28515625" style="7" bestFit="1" customWidth="1"/>
    <col min="11" max="11" width="20.140625" style="7" bestFit="1" customWidth="1"/>
    <col min="12" max="13" width="11" style="7" bestFit="1" customWidth="1"/>
    <col min="14" max="14" width="9.42578125" style="10" bestFit="1" customWidth="1"/>
    <col min="15" max="15" width="12.85546875" style="10" bestFit="1" customWidth="1"/>
    <col min="16" max="17" width="16.28515625" style="10" bestFit="1" customWidth="1"/>
    <col min="18" max="18" width="11" style="7" bestFit="1" customWidth="1"/>
    <col min="19" max="20" width="13.42578125" style="7" bestFit="1" customWidth="1"/>
    <col min="21" max="21" width="20.7109375" style="12" bestFit="1" customWidth="1"/>
    <col min="22" max="23" width="24.140625" style="12" bestFit="1" customWidth="1"/>
    <col min="24" max="24" width="11.42578125" style="10" bestFit="1" customWidth="1"/>
    <col min="25" max="25" width="15" style="10" bestFit="1" customWidth="1"/>
    <col min="26" max="27" width="18.42578125" style="10" bestFit="1" customWidth="1"/>
    <col min="28" max="28" width="11" style="7" bestFit="1" customWidth="1"/>
    <col min="29" max="30" width="14.42578125" style="7" bestFit="1" customWidth="1"/>
    <col min="31" max="31" width="22.85546875" style="12" bestFit="1" customWidth="1"/>
    <col min="32" max="33" width="26.28515625" style="12" bestFit="1" customWidth="1"/>
    <col min="52" max="53" width="9.140625" style="4"/>
    <col min="58" max="58" width="13.5703125" bestFit="1" customWidth="1"/>
    <col min="59" max="59" width="9.7109375" bestFit="1" customWidth="1"/>
    <col min="60" max="60" width="10.5703125" bestFit="1" customWidth="1"/>
    <col min="61" max="61" width="9.7109375" customWidth="1"/>
    <col min="64" max="65" width="9.140625" style="4"/>
    <col min="70" max="70" width="13.5703125" bestFit="1" customWidth="1"/>
    <col min="71" max="71" width="12.28515625" bestFit="1" customWidth="1"/>
    <col min="72" max="72" width="10.140625" bestFit="1" customWidth="1"/>
    <col min="73" max="73" width="9.7109375" customWidth="1"/>
  </cols>
  <sheetData>
    <row r="1" spans="1:104" s="2" customFormat="1" x14ac:dyDescent="0.25">
      <c r="A1" s="2" t="s">
        <v>0</v>
      </c>
      <c r="B1" s="6" t="s">
        <v>1</v>
      </c>
      <c r="C1" s="6" t="s">
        <v>2</v>
      </c>
      <c r="D1" s="11" t="s">
        <v>3</v>
      </c>
      <c r="E1" s="11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6" t="s">
        <v>17</v>
      </c>
      <c r="S1" s="6" t="s">
        <v>18</v>
      </c>
      <c r="T1" s="6" t="s">
        <v>19</v>
      </c>
      <c r="U1" s="11" t="s">
        <v>20</v>
      </c>
      <c r="V1" s="11" t="s">
        <v>21</v>
      </c>
      <c r="W1" s="11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6" t="s">
        <v>27</v>
      </c>
      <c r="AC1" s="6" t="s">
        <v>28</v>
      </c>
      <c r="AD1" s="6" t="s">
        <v>29</v>
      </c>
      <c r="AE1" s="11" t="s">
        <v>30</v>
      </c>
      <c r="AF1" s="11" t="s">
        <v>31</v>
      </c>
      <c r="AG1" s="11" t="s">
        <v>32</v>
      </c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Z1" s="13"/>
      <c r="BA1" s="13"/>
      <c r="BB1" s="13"/>
      <c r="BC1" s="13"/>
      <c r="BD1" s="13"/>
      <c r="BE1" s="13"/>
      <c r="BF1" s="13"/>
      <c r="BJ1" s="14">
        <f>BJ167</f>
        <v>7.4949085317119274E-2</v>
      </c>
      <c r="BK1" s="13"/>
      <c r="BL1" s="13"/>
      <c r="BM1" s="13"/>
      <c r="BN1" s="13"/>
      <c r="BO1" s="13"/>
      <c r="BP1" s="13"/>
      <c r="BQ1" s="13"/>
      <c r="BR1" s="13"/>
      <c r="BV1" s="14">
        <f>BV167</f>
        <v>6.4941558461191401E-2</v>
      </c>
      <c r="BW1" s="13"/>
      <c r="BX1" s="13"/>
      <c r="BY1" s="14">
        <f>BY167</f>
        <v>0.13989064377831067</v>
      </c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</row>
    <row r="2" spans="1:104" x14ac:dyDescent="0.25">
      <c r="A2" s="1">
        <v>46024</v>
      </c>
      <c r="B2" s="7">
        <v>222.01</v>
      </c>
      <c r="C2" s="7">
        <v>250.4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222.01</v>
      </c>
      <c r="M2" s="7">
        <v>250.4</v>
      </c>
      <c r="N2" s="10">
        <v>1.12787712265213</v>
      </c>
      <c r="O2" s="10">
        <v>1.1658179450689301</v>
      </c>
      <c r="X2" s="10">
        <v>1.12787712265213</v>
      </c>
      <c r="Y2" s="10">
        <v>1.16578176214971</v>
      </c>
    </row>
    <row r="3" spans="1:104" x14ac:dyDescent="0.25">
      <c r="A3" s="1">
        <v>46027</v>
      </c>
      <c r="B3" s="7">
        <v>226.48</v>
      </c>
      <c r="C3" s="7">
        <v>260.33</v>
      </c>
      <c r="D3" s="12">
        <v>1.9934214900817301E-2</v>
      </c>
      <c r="E3" s="12">
        <v>3.8890417766348301E-2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226.48</v>
      </c>
      <c r="M3" s="7">
        <v>260.33</v>
      </c>
      <c r="N3" s="10">
        <v>1.1494613210879501</v>
      </c>
      <c r="O3" s="10">
        <v>1.1658179450689301</v>
      </c>
      <c r="R3" s="7">
        <v>264.03444819921202</v>
      </c>
      <c r="U3" s="12">
        <v>1.41295232445964E-2</v>
      </c>
      <c r="X3" s="10">
        <v>1.1494613210879501</v>
      </c>
      <c r="Y3" s="10">
        <v>1.16578176214971</v>
      </c>
      <c r="AB3" s="7">
        <v>264.026253491668</v>
      </c>
      <c r="AE3" s="12">
        <v>1.40984862538906E-2</v>
      </c>
      <c r="CL3" s="15">
        <f>BJ11</f>
        <v>2.6955227002391577</v>
      </c>
      <c r="CM3" s="16">
        <v>0</v>
      </c>
      <c r="CN3" s="16">
        <f>CM3-0.005</f>
        <v>-5.0000000000000001E-3</v>
      </c>
      <c r="CO3" s="16">
        <f t="shared" ref="CO3:CT3" si="0">CN3-0.005</f>
        <v>-0.01</v>
      </c>
      <c r="CP3" s="16">
        <f t="shared" si="0"/>
        <v>-1.4999999999999999E-2</v>
      </c>
      <c r="CQ3" s="16">
        <f t="shared" si="0"/>
        <v>-0.02</v>
      </c>
      <c r="CR3" s="16">
        <f t="shared" si="0"/>
        <v>-2.5000000000000001E-2</v>
      </c>
      <c r="CS3" s="16">
        <f t="shared" si="0"/>
        <v>-3.0000000000000002E-2</v>
      </c>
      <c r="CT3" s="16">
        <f t="shared" si="0"/>
        <v>-3.5000000000000003E-2</v>
      </c>
      <c r="CU3" t="s">
        <v>33</v>
      </c>
    </row>
    <row r="4" spans="1:104" ht="15.75" thickBot="1" x14ac:dyDescent="0.3">
      <c r="A4" s="1">
        <v>46028</v>
      </c>
      <c r="B4" s="7">
        <v>230.21</v>
      </c>
      <c r="C4" s="7">
        <v>266.13</v>
      </c>
      <c r="D4" s="12">
        <v>1.6335295027160902E-2</v>
      </c>
      <c r="E4" s="12">
        <v>2.20348542083133E-2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230.21</v>
      </c>
      <c r="M4" s="7">
        <v>266.13</v>
      </c>
      <c r="N4" s="10">
        <v>1.15603144954606</v>
      </c>
      <c r="O4" s="10">
        <v>1.1658179450689301</v>
      </c>
      <c r="R4" s="7">
        <v>268.38294913431901</v>
      </c>
      <c r="U4" s="12">
        <v>8.4299640634442202E-3</v>
      </c>
      <c r="X4" s="10">
        <v>1.15603144954606</v>
      </c>
      <c r="Y4" s="10">
        <v>1.16578176214971</v>
      </c>
      <c r="AB4" s="7">
        <v>268.37461946448599</v>
      </c>
      <c r="AE4" s="12">
        <v>8.3989270727383401E-3</v>
      </c>
      <c r="CL4" s="16">
        <v>0</v>
      </c>
      <c r="CM4" s="8">
        <f t="dataTable" ref="CM4:CT11" dt2D="1" dtr="1" r1="BA20" r2="BA21"/>
        <v>2.3457583036960559</v>
      </c>
      <c r="CN4" s="8">
        <v>1.5145271420854671</v>
      </c>
      <c r="CO4" s="8">
        <v>2.4871582763654709</v>
      </c>
      <c r="CP4" s="8">
        <v>1.8717149360588805</v>
      </c>
      <c r="CQ4" s="8">
        <v>2.4107850595758156</v>
      </c>
      <c r="CR4" s="8">
        <v>3.0795055965842737</v>
      </c>
      <c r="CS4" s="8">
        <v>1.3645041435702525</v>
      </c>
      <c r="CT4" s="8">
        <v>1.8338439591473465</v>
      </c>
      <c r="CV4" t="s">
        <v>34</v>
      </c>
      <c r="CW4" t="s">
        <v>35</v>
      </c>
    </row>
    <row r="5" spans="1:104" ht="15.75" thickBot="1" x14ac:dyDescent="0.3">
      <c r="A5" s="1">
        <v>46029</v>
      </c>
      <c r="B5" s="7">
        <v>226.41</v>
      </c>
      <c r="C5" s="7">
        <v>262.61</v>
      </c>
      <c r="D5" s="12">
        <v>-1.66444208659184E-2</v>
      </c>
      <c r="E5" s="12">
        <v>-1.33148693258119E-2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226.41</v>
      </c>
      <c r="M5" s="7">
        <v>262.61</v>
      </c>
      <c r="N5" s="10">
        <v>1.1598869307892701</v>
      </c>
      <c r="O5" s="10">
        <v>1.1658179450689301</v>
      </c>
      <c r="R5" s="7">
        <v>263.95284094305703</v>
      </c>
      <c r="U5" s="12">
        <v>5.1004125233375603E-3</v>
      </c>
      <c r="X5" s="10">
        <v>1.1598869307892701</v>
      </c>
      <c r="Y5" s="10">
        <v>1.16578176214971</v>
      </c>
      <c r="AB5" s="7">
        <v>263.94464876831699</v>
      </c>
      <c r="AE5" s="12">
        <v>5.0693755326319803E-3</v>
      </c>
      <c r="CL5" s="16">
        <f>CL4-0.005</f>
        <v>-5.0000000000000001E-3</v>
      </c>
      <c r="CM5" s="8">
        <v>2.3457583036960559</v>
      </c>
      <c r="CN5" s="8">
        <v>1.1867271544216591</v>
      </c>
      <c r="CO5" s="8">
        <v>1.8787550199019878</v>
      </c>
      <c r="CP5" s="8">
        <v>1.359148808704816</v>
      </c>
      <c r="CQ5" s="8">
        <v>2.0300838538734389</v>
      </c>
      <c r="CR5" s="18">
        <v>2.6955227002391577</v>
      </c>
      <c r="CS5" s="8">
        <v>1.0521738062056627</v>
      </c>
      <c r="CT5" s="8">
        <v>1.5298344044576599</v>
      </c>
      <c r="CV5" t="s">
        <v>36</v>
      </c>
      <c r="CW5" t="s">
        <v>37</v>
      </c>
    </row>
    <row r="6" spans="1:104" ht="15.75" thickBot="1" x14ac:dyDescent="0.3">
      <c r="A6" s="1">
        <v>46030</v>
      </c>
      <c r="B6" s="7">
        <v>227.43</v>
      </c>
      <c r="C6" s="7">
        <v>268.7</v>
      </c>
      <c r="D6" s="12">
        <v>4.4949837714355701E-3</v>
      </c>
      <c r="E6" s="12">
        <v>2.29254737466521E-2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227.43</v>
      </c>
      <c r="M6" s="7">
        <v>268.7</v>
      </c>
      <c r="N6" s="10">
        <v>1.18146242799982</v>
      </c>
      <c r="O6" s="10">
        <v>1.1658179450689301</v>
      </c>
      <c r="R6" s="7">
        <v>265.14197524702797</v>
      </c>
      <c r="U6" s="12">
        <v>-1.3330077451879E-2</v>
      </c>
      <c r="X6" s="10">
        <v>1.18146242799982</v>
      </c>
      <c r="Y6" s="10">
        <v>1.16578176214971</v>
      </c>
      <c r="AB6" s="7">
        <v>265.13374616571002</v>
      </c>
      <c r="AE6" s="12">
        <v>-1.3361114442584801E-2</v>
      </c>
      <c r="CL6" s="16">
        <f t="shared" ref="CL6:CL11" si="1">CL5-0.005</f>
        <v>-0.01</v>
      </c>
      <c r="CM6" s="8">
        <v>2.3457583036960559</v>
      </c>
      <c r="CN6" s="17">
        <v>1.1867271544216591</v>
      </c>
      <c r="CO6" s="17">
        <v>1.8541305672800568</v>
      </c>
      <c r="CP6" s="17">
        <v>0.56997509166058524</v>
      </c>
      <c r="CQ6" s="17">
        <v>1.4462915518695367</v>
      </c>
      <c r="CR6" s="17">
        <v>2.2487890009583129</v>
      </c>
      <c r="CS6" s="17">
        <v>0.85353476065980582</v>
      </c>
      <c r="CT6" s="17">
        <v>1.3844294574335583</v>
      </c>
    </row>
    <row r="7" spans="1:104" ht="15.75" thickBot="1" x14ac:dyDescent="0.3">
      <c r="A7" s="1">
        <v>46031</v>
      </c>
      <c r="B7" s="7">
        <v>232.97</v>
      </c>
      <c r="C7" s="7">
        <v>276.64</v>
      </c>
      <c r="D7" s="12">
        <v>2.40671911748878E-2</v>
      </c>
      <c r="E7" s="12">
        <v>2.91215063135347E-2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232.97</v>
      </c>
      <c r="M7" s="7">
        <v>276.64</v>
      </c>
      <c r="N7" s="10">
        <v>1.1874490277718099</v>
      </c>
      <c r="O7" s="10">
        <v>1.1658179450689301</v>
      </c>
      <c r="R7" s="7">
        <v>271.60060666270999</v>
      </c>
      <c r="U7" s="12">
        <v>-1.8384392590525898E-2</v>
      </c>
      <c r="X7" s="10">
        <v>1.1874490277718099</v>
      </c>
      <c r="Y7" s="10">
        <v>1.16578176214971</v>
      </c>
      <c r="AB7" s="7">
        <v>271.59217712801899</v>
      </c>
      <c r="AE7" s="12">
        <v>-1.8415429581231699E-2</v>
      </c>
      <c r="CL7" s="16">
        <f t="shared" si="1"/>
        <v>-1.4999999999999999E-2</v>
      </c>
      <c r="CM7" s="8">
        <v>2.3457583036960559</v>
      </c>
      <c r="CN7" s="17">
        <v>1.1867271544216591</v>
      </c>
      <c r="CO7" s="17">
        <v>1.8541305672800568</v>
      </c>
      <c r="CP7" s="17">
        <v>0.68319593606633366</v>
      </c>
      <c r="CQ7" s="18">
        <v>0.79166902753500756</v>
      </c>
      <c r="CR7" s="17">
        <v>1.7136912052537376</v>
      </c>
      <c r="CS7" s="17">
        <v>0.49520735179680503</v>
      </c>
      <c r="CT7" s="17">
        <v>1.068060688713844</v>
      </c>
    </row>
    <row r="8" spans="1:104" x14ac:dyDescent="0.25">
      <c r="A8" s="1">
        <v>46034</v>
      </c>
      <c r="B8" s="7">
        <v>236.55</v>
      </c>
      <c r="C8" s="7">
        <v>280.89999999999998</v>
      </c>
      <c r="D8" s="12">
        <v>1.5249912165947E-2</v>
      </c>
      <c r="E8" s="12">
        <v>1.52817121752175E-2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236.55</v>
      </c>
      <c r="M8" s="7">
        <v>280.89999999999998</v>
      </c>
      <c r="N8" s="10">
        <v>1.18748678926231</v>
      </c>
      <c r="O8" s="10">
        <v>1.1658179450689301</v>
      </c>
      <c r="R8" s="7">
        <v>275.77423490605599</v>
      </c>
      <c r="U8" s="12">
        <v>-1.8416192599796499E-2</v>
      </c>
      <c r="X8" s="10">
        <v>1.18748678926231</v>
      </c>
      <c r="Y8" s="10">
        <v>1.16578176214971</v>
      </c>
      <c r="AB8" s="7">
        <v>275.76567583651502</v>
      </c>
      <c r="AE8" s="12">
        <v>-1.8447229590502299E-2</v>
      </c>
      <c r="CL8" s="16">
        <f t="shared" si="1"/>
        <v>-0.02</v>
      </c>
      <c r="CM8" s="8">
        <v>2.3457583036960559</v>
      </c>
      <c r="CN8" s="17">
        <v>1.1867271544216591</v>
      </c>
      <c r="CO8" s="17">
        <v>1.8541305672800568</v>
      </c>
      <c r="CP8" s="17">
        <v>0.68319593606633366</v>
      </c>
      <c r="CQ8" s="17">
        <v>0.52054664187093058</v>
      </c>
      <c r="CR8" s="17">
        <v>1.4747818252149405</v>
      </c>
      <c r="CS8" s="17">
        <v>0.49520735179680503</v>
      </c>
      <c r="CT8" s="17">
        <v>1.068060688713844</v>
      </c>
    </row>
    <row r="9" spans="1:104" x14ac:dyDescent="0.25">
      <c r="A9" s="1">
        <v>46035</v>
      </c>
      <c r="B9" s="7">
        <v>237.54</v>
      </c>
      <c r="C9" s="7">
        <v>281.43</v>
      </c>
      <c r="D9" s="12">
        <v>4.1764282689371497E-3</v>
      </c>
      <c r="E9" s="12">
        <v>1.88501469577142E-3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237.54</v>
      </c>
      <c r="M9" s="7">
        <v>281.43</v>
      </c>
      <c r="N9" s="10">
        <v>1.1847688810305601</v>
      </c>
      <c r="O9" s="10">
        <v>1.1658179450689301</v>
      </c>
      <c r="R9" s="7">
        <v>276.92839467167499</v>
      </c>
      <c r="U9" s="12">
        <v>-1.6124779026630901E-2</v>
      </c>
      <c r="X9" s="10">
        <v>1.1847688810305601</v>
      </c>
      <c r="Y9" s="10">
        <v>1.16578176214971</v>
      </c>
      <c r="AB9" s="7">
        <v>276.91979978104303</v>
      </c>
      <c r="AE9" s="12">
        <v>-1.6155816017336701E-2</v>
      </c>
      <c r="BJ9" s="19">
        <f>AVERAGE(BI22:BI200)</f>
        <v>5.1334989943232383E-4</v>
      </c>
      <c r="BV9" s="19">
        <f>AVERAGE(BU22:BU200)</f>
        <v>4.448051949396671E-4</v>
      </c>
      <c r="BY9" s="19">
        <f>AVERAGE(BX22:BX200)</f>
        <v>9.5815509437199094E-4</v>
      </c>
      <c r="CL9" s="16">
        <f t="shared" si="1"/>
        <v>-2.5000000000000001E-2</v>
      </c>
      <c r="CM9" s="8">
        <v>2.3457583036960559</v>
      </c>
      <c r="CN9" s="17">
        <v>1.1867271544216591</v>
      </c>
      <c r="CO9" s="17">
        <v>1.8541305672800568</v>
      </c>
      <c r="CP9" s="17">
        <v>0.68319593606633366</v>
      </c>
      <c r="CQ9" s="17">
        <v>0.52054664187093058</v>
      </c>
      <c r="CR9" s="17">
        <v>1.2423715472692736</v>
      </c>
      <c r="CS9" s="17">
        <v>0.49520735179680503</v>
      </c>
      <c r="CT9" s="17">
        <v>1.068060688713844</v>
      </c>
    </row>
    <row r="10" spans="1:104" x14ac:dyDescent="0.25">
      <c r="A10" s="1">
        <v>46036</v>
      </c>
      <c r="B10" s="7">
        <v>239.16</v>
      </c>
      <c r="C10" s="7">
        <v>285.70999999999998</v>
      </c>
      <c r="D10" s="12">
        <v>6.7967536666093198E-3</v>
      </c>
      <c r="E10" s="12">
        <v>1.50935615682984E-2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239.16</v>
      </c>
      <c r="M10" s="7">
        <v>285.70999999999998</v>
      </c>
      <c r="N10" s="10">
        <v>1.19463957183475</v>
      </c>
      <c r="O10" s="10">
        <v>1.1658179450689301</v>
      </c>
      <c r="R10" s="7">
        <v>278.817019742686</v>
      </c>
      <c r="U10" s="12">
        <v>-2.4421586928319999E-2</v>
      </c>
      <c r="X10" s="10">
        <v>1.19463957183475</v>
      </c>
      <c r="Y10" s="10">
        <v>1.16578176214971</v>
      </c>
      <c r="AB10" s="7">
        <v>278.808366235726</v>
      </c>
      <c r="AE10" s="12">
        <v>-2.4452623919025699E-2</v>
      </c>
      <c r="AZ10" s="20"/>
      <c r="BJ10" s="19">
        <f>STDEV(BI22:BI200)</f>
        <v>3.0232270038106717E-3</v>
      </c>
      <c r="BL10" s="20"/>
      <c r="BV10" s="19">
        <f>STDEV(BU22:BU200)</f>
        <v>2.4080737516383546E-3</v>
      </c>
      <c r="BY10" s="19">
        <f>STDEV(BX22:BX200)</f>
        <v>3.8051136354642283E-3</v>
      </c>
      <c r="CL10" s="16">
        <f t="shared" si="1"/>
        <v>-3.0000000000000002E-2</v>
      </c>
      <c r="CM10" s="8">
        <v>2.3457583036960559</v>
      </c>
      <c r="CN10" s="17">
        <v>1.1867271544216591</v>
      </c>
      <c r="CO10" s="17">
        <v>1.8541305672800568</v>
      </c>
      <c r="CP10" s="17">
        <v>0.68319593606633366</v>
      </c>
      <c r="CQ10" s="17">
        <v>0.52054664187093058</v>
      </c>
      <c r="CR10" s="17">
        <v>1.2423715472692736</v>
      </c>
      <c r="CS10" s="17">
        <v>0.49520735179680503</v>
      </c>
      <c r="CT10" s="17">
        <v>1.068060688713844</v>
      </c>
    </row>
    <row r="11" spans="1:104" x14ac:dyDescent="0.25">
      <c r="A11" s="1">
        <v>46037</v>
      </c>
      <c r="B11" s="7">
        <v>241.21</v>
      </c>
      <c r="C11" s="7">
        <v>289.49</v>
      </c>
      <c r="D11" s="12">
        <v>8.5351393507285007E-3</v>
      </c>
      <c r="E11" s="12">
        <v>1.31434437278474E-2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241.21</v>
      </c>
      <c r="M11" s="7">
        <v>289.49</v>
      </c>
      <c r="N11" s="10">
        <v>1.2001575390738299</v>
      </c>
      <c r="O11" s="10">
        <v>1.1658179450689301</v>
      </c>
      <c r="P11" s="10">
        <v>1.17292210610485</v>
      </c>
      <c r="R11" s="7">
        <v>281.20694653007803</v>
      </c>
      <c r="U11" s="12">
        <v>-2.90298913054392E-2</v>
      </c>
      <c r="X11" s="10">
        <v>1.2001575390738299</v>
      </c>
      <c r="Y11" s="10">
        <v>1.16578176214971</v>
      </c>
      <c r="Z11" s="10">
        <v>1.17292210610485</v>
      </c>
      <c r="AB11" s="7">
        <v>281.19821884813302</v>
      </c>
      <c r="AE11" s="12">
        <v>-2.90609282961449E-2</v>
      </c>
      <c r="BJ11">
        <f>SQRT(252)*BJ9/BJ10</f>
        <v>2.6955227002391577</v>
      </c>
      <c r="BV11">
        <f>SQRT(252)*BV9/BV10</f>
        <v>2.9322455598694739</v>
      </c>
      <c r="BY11">
        <f>SQRT(252)*BY9/BY10</f>
        <v>3.9973157282520431</v>
      </c>
      <c r="CL11" s="16">
        <f t="shared" si="1"/>
        <v>-3.5000000000000003E-2</v>
      </c>
      <c r="CM11" s="8">
        <v>2.3457583036960559</v>
      </c>
      <c r="CN11" s="17">
        <v>1.1867271544216591</v>
      </c>
      <c r="CO11" s="17">
        <v>1.8541305672800568</v>
      </c>
      <c r="CP11" s="17">
        <v>0.68319593606633366</v>
      </c>
      <c r="CQ11" s="17">
        <v>0.52054664187093058</v>
      </c>
      <c r="CR11" s="17">
        <v>1.2423715472692736</v>
      </c>
      <c r="CS11" s="17">
        <v>0.49520735179680503</v>
      </c>
      <c r="CT11" s="17">
        <v>1.068060688713844</v>
      </c>
    </row>
    <row r="12" spans="1:104" x14ac:dyDescent="0.25">
      <c r="A12" s="1">
        <v>46038</v>
      </c>
      <c r="B12" s="7">
        <v>243.77</v>
      </c>
      <c r="C12" s="7">
        <v>292.74</v>
      </c>
      <c r="D12" s="12">
        <v>1.0557234430553401E-2</v>
      </c>
      <c r="E12" s="12">
        <v>1.11640889536853E-2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243.77</v>
      </c>
      <c r="M12" s="7">
        <v>292.74</v>
      </c>
      <c r="N12" s="10">
        <v>1.2008860811420601</v>
      </c>
      <c r="O12" s="10">
        <v>1.1658179450689301</v>
      </c>
      <c r="P12" s="10">
        <v>1.18022300195384</v>
      </c>
      <c r="R12" s="7">
        <v>284.19144046945399</v>
      </c>
      <c r="S12" s="7">
        <v>285.92322180517999</v>
      </c>
      <c r="U12" s="12">
        <v>-2.9636745828570999E-2</v>
      </c>
      <c r="V12" s="12">
        <v>-2.3561523503145498E-2</v>
      </c>
      <c r="X12" s="10">
        <v>1.2008860811420601</v>
      </c>
      <c r="Y12" s="10">
        <v>1.16578176214971</v>
      </c>
      <c r="Z12" s="10">
        <v>1.18022300195384</v>
      </c>
      <c r="AB12" s="7">
        <v>284.18262015923602</v>
      </c>
      <c r="AC12" s="7">
        <v>285.92322180517999</v>
      </c>
      <c r="AE12" s="12">
        <v>-2.9667782819276799E-2</v>
      </c>
      <c r="AF12" s="12">
        <v>-2.3561523503145498E-2</v>
      </c>
      <c r="CL12" t="s">
        <v>38</v>
      </c>
    </row>
    <row r="13" spans="1:104" x14ac:dyDescent="0.25">
      <c r="A13" s="1">
        <v>46042</v>
      </c>
      <c r="B13" s="7">
        <v>237.9</v>
      </c>
      <c r="C13" s="7">
        <v>284.06</v>
      </c>
      <c r="D13" s="12">
        <v>-2.4374740485073501E-2</v>
      </c>
      <c r="E13" s="12">
        <v>-3.0099359602818801E-2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237.9</v>
      </c>
      <c r="M13" s="7">
        <v>284.06</v>
      </c>
      <c r="N13" s="10">
        <v>1.19403110550651</v>
      </c>
      <c r="O13" s="10">
        <v>1.1658179450689301</v>
      </c>
      <c r="P13" s="10">
        <v>1.1846799803957</v>
      </c>
      <c r="R13" s="7">
        <v>277.34808913189897</v>
      </c>
      <c r="S13" s="7">
        <v>280.77505216482001</v>
      </c>
      <c r="U13" s="12">
        <v>-2.39121267108258E-2</v>
      </c>
      <c r="V13" s="12">
        <v>-1.16316608152074E-2</v>
      </c>
      <c r="X13" s="10">
        <v>1.19403110550651</v>
      </c>
      <c r="Y13" s="10">
        <v>1.16578176214971</v>
      </c>
      <c r="Z13" s="10">
        <v>1.1846799803957</v>
      </c>
      <c r="AB13" s="7">
        <v>277.33948121541698</v>
      </c>
      <c r="AC13" s="7">
        <v>280.77505216482001</v>
      </c>
      <c r="AE13" s="12">
        <v>-2.39431637015316E-2</v>
      </c>
      <c r="AF13" s="12">
        <v>-1.16316608152074E-2</v>
      </c>
    </row>
    <row r="14" spans="1:104" x14ac:dyDescent="0.25">
      <c r="A14" s="1">
        <v>46043</v>
      </c>
      <c r="B14" s="7">
        <v>240.27</v>
      </c>
      <c r="C14" s="7">
        <v>285.33</v>
      </c>
      <c r="D14" s="12">
        <v>9.9128736947886702E-3</v>
      </c>
      <c r="E14" s="12">
        <v>4.4609217094218499E-3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240.27</v>
      </c>
      <c r="M14" s="7">
        <v>285.33</v>
      </c>
      <c r="N14" s="10">
        <v>1.18753901860407</v>
      </c>
      <c r="O14" s="10">
        <v>1.1658179450689301</v>
      </c>
      <c r="P14" s="10">
        <v>1.1878307373015</v>
      </c>
      <c r="R14" s="7">
        <v>280.11107766171301</v>
      </c>
      <c r="S14" s="7">
        <v>284.64305888967499</v>
      </c>
      <c r="U14" s="12">
        <v>-1.8460174725458901E-2</v>
      </c>
      <c r="V14" s="12">
        <v>-2.4104347818399499E-3</v>
      </c>
      <c r="X14" s="10">
        <v>1.18753901860407</v>
      </c>
      <c r="Y14" s="10">
        <v>1.16578176214971</v>
      </c>
      <c r="Z14" s="10">
        <v>1.1878307373015</v>
      </c>
      <c r="AB14" s="7">
        <v>280.10238399171197</v>
      </c>
      <c r="AC14" s="7">
        <v>284.64305888967499</v>
      </c>
      <c r="AE14" s="12">
        <v>-1.84912117161646E-2</v>
      </c>
      <c r="AF14" s="12">
        <v>-2.4104347818399499E-3</v>
      </c>
      <c r="CL14" s="15">
        <f>BV11</f>
        <v>2.9322455598694739</v>
      </c>
      <c r="CM14" s="16">
        <v>0</v>
      </c>
      <c r="CN14" s="21">
        <f>CM14+0.005</f>
        <v>5.0000000000000001E-3</v>
      </c>
      <c r="CO14" s="21">
        <f t="shared" ref="CO14:CT14" si="2">CN14+0.005</f>
        <v>0.01</v>
      </c>
      <c r="CP14" s="21">
        <f t="shared" si="2"/>
        <v>1.4999999999999999E-2</v>
      </c>
      <c r="CQ14" s="21">
        <f t="shared" si="2"/>
        <v>0.02</v>
      </c>
      <c r="CR14" s="21">
        <f t="shared" si="2"/>
        <v>2.5000000000000001E-2</v>
      </c>
      <c r="CS14" s="21">
        <f t="shared" si="2"/>
        <v>3.0000000000000002E-2</v>
      </c>
      <c r="CT14" s="21">
        <f t="shared" si="2"/>
        <v>3.5000000000000003E-2</v>
      </c>
      <c r="CU14" t="s">
        <v>33</v>
      </c>
    </row>
    <row r="15" spans="1:104" x14ac:dyDescent="0.25">
      <c r="A15" s="1">
        <v>46044</v>
      </c>
      <c r="B15" s="7">
        <v>235.82</v>
      </c>
      <c r="C15" s="7">
        <v>285.44</v>
      </c>
      <c r="D15" s="12">
        <v>-1.8694488855173299E-2</v>
      </c>
      <c r="E15" s="12">
        <v>3.8544422924072902E-4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235.82</v>
      </c>
      <c r="M15" s="7">
        <v>285.44</v>
      </c>
      <c r="N15" s="10">
        <v>1.21041472309388</v>
      </c>
      <c r="O15" s="10">
        <v>1.1658179450689301</v>
      </c>
      <c r="P15" s="10">
        <v>1.19288351653196</v>
      </c>
      <c r="R15" s="7">
        <v>274.92318780615602</v>
      </c>
      <c r="S15" s="7">
        <v>280.11424447043998</v>
      </c>
      <c r="U15" s="12">
        <v>-3.7540107809872901E-2</v>
      </c>
      <c r="V15" s="12">
        <v>-1.8834313472415699E-2</v>
      </c>
      <c r="X15" s="10">
        <v>1.21041472309388</v>
      </c>
      <c r="Y15" s="10">
        <v>1.16578176214971</v>
      </c>
      <c r="Z15" s="10">
        <v>1.19288351653196</v>
      </c>
      <c r="AB15" s="7">
        <v>274.91465515014602</v>
      </c>
      <c r="AC15" s="7">
        <v>280.11424447043998</v>
      </c>
      <c r="AE15" s="12">
        <v>-3.7571144800578903E-2</v>
      </c>
      <c r="AF15" s="12">
        <v>-1.8834313472415699E-2</v>
      </c>
      <c r="CL15" s="16">
        <v>0</v>
      </c>
      <c r="CM15" s="8">
        <f t="dataTable" ref="CM15:CT22" dt2D="1" dtr="1" r1="BM20" r2="BM21"/>
        <v>1.1447829133280991</v>
      </c>
      <c r="CN15" s="17">
        <v>0.78811112901305314</v>
      </c>
      <c r="CO15" s="17">
        <v>0.68694668303868667</v>
      </c>
      <c r="CP15" s="17">
        <v>6.4615307160385702E-2</v>
      </c>
      <c r="CQ15" s="17">
        <v>0.33936353541445075</v>
      </c>
      <c r="CR15" s="17">
        <v>0.63442193773649402</v>
      </c>
      <c r="CS15" s="17">
        <v>1.407697139381858</v>
      </c>
      <c r="CT15" s="17">
        <v>1.407697139381858</v>
      </c>
      <c r="CV15" t="s">
        <v>34</v>
      </c>
      <c r="CW15" t="s">
        <v>39</v>
      </c>
    </row>
    <row r="16" spans="1:104" x14ac:dyDescent="0.25">
      <c r="A16" s="1">
        <v>46045</v>
      </c>
      <c r="B16" s="7">
        <v>235.07</v>
      </c>
      <c r="C16" s="7">
        <v>283.18</v>
      </c>
      <c r="D16" s="12">
        <v>-3.1854600191005E-3</v>
      </c>
      <c r="E16" s="12">
        <v>-7.9491115348197701E-3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235.07</v>
      </c>
      <c r="M16" s="7">
        <v>283.18</v>
      </c>
      <c r="N16" s="10">
        <v>1.20466244097502</v>
      </c>
      <c r="O16" s="10">
        <v>1.1658179450689301</v>
      </c>
      <c r="P16" s="10">
        <v>1.19520351782948</v>
      </c>
      <c r="R16" s="7">
        <v>274.04882434735401</v>
      </c>
      <c r="S16" s="7">
        <v>280.41112823116799</v>
      </c>
      <c r="U16" s="12">
        <v>-3.2776456294153801E-2</v>
      </c>
      <c r="V16" s="12">
        <v>-9.8258964968477094E-3</v>
      </c>
      <c r="X16" s="10">
        <v>1.20466244097502</v>
      </c>
      <c r="Y16" s="10">
        <v>1.16578176214971</v>
      </c>
      <c r="Z16" s="10">
        <v>1.19520351782948</v>
      </c>
      <c r="AB16" s="7">
        <v>274.040318828534</v>
      </c>
      <c r="AC16" s="7">
        <v>280.41112823116799</v>
      </c>
      <c r="AE16" s="12">
        <v>-3.2807493284859497E-2</v>
      </c>
      <c r="AF16" s="12">
        <v>-9.8258964968477094E-3</v>
      </c>
      <c r="CL16" s="16">
        <f>CL15+0.005</f>
        <v>5.0000000000000001E-3</v>
      </c>
      <c r="CM16" s="8">
        <v>1.1447829133280991</v>
      </c>
      <c r="CN16" s="17">
        <v>0.89056378904525624</v>
      </c>
      <c r="CO16" s="17">
        <v>0.55787614648231454</v>
      </c>
      <c r="CP16" s="17">
        <v>-0.16906919249455216</v>
      </c>
      <c r="CQ16" s="17">
        <v>0.11027347509522763</v>
      </c>
      <c r="CR16" s="17">
        <v>0.40180539801722276</v>
      </c>
      <c r="CS16" s="17">
        <v>1.1905636657492225</v>
      </c>
      <c r="CT16" s="17">
        <v>1.1905636657492225</v>
      </c>
      <c r="CV16" t="s">
        <v>36</v>
      </c>
      <c r="CW16" t="s">
        <v>40</v>
      </c>
    </row>
    <row r="17" spans="1:98" x14ac:dyDescent="0.25">
      <c r="A17" s="1">
        <v>46048</v>
      </c>
      <c r="B17" s="7">
        <v>233.38</v>
      </c>
      <c r="C17" s="7">
        <v>280.01</v>
      </c>
      <c r="D17" s="12">
        <v>-7.2153157514655104E-3</v>
      </c>
      <c r="E17" s="12">
        <v>-1.12574210396008E-2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233.38</v>
      </c>
      <c r="M17" s="7">
        <v>280.01</v>
      </c>
      <c r="N17" s="10">
        <v>1.1998028965635399</v>
      </c>
      <c r="O17" s="10">
        <v>1.1658179450689301</v>
      </c>
      <c r="P17" s="10">
        <v>1.1964389047086501</v>
      </c>
      <c r="R17" s="7">
        <v>272.07859202018801</v>
      </c>
      <c r="S17" s="7">
        <v>278.93659699104501</v>
      </c>
      <c r="U17" s="12">
        <v>-2.87343510060185E-2</v>
      </c>
      <c r="V17" s="12">
        <v>-3.84081174941725E-3</v>
      </c>
      <c r="X17" s="10">
        <v>1.1998028965635399</v>
      </c>
      <c r="Y17" s="10">
        <v>1.16578176214971</v>
      </c>
      <c r="Z17" s="10">
        <v>1.1964389047086501</v>
      </c>
      <c r="AB17" s="7">
        <v>272.07014765050099</v>
      </c>
      <c r="AC17" s="7">
        <v>278.93659699104501</v>
      </c>
      <c r="AE17" s="12">
        <v>-2.8765387996724401E-2</v>
      </c>
      <c r="AF17" s="12">
        <v>-3.84081174941725E-3</v>
      </c>
      <c r="CL17" s="16">
        <f t="shared" ref="CL17:CL22" si="3">CL16+0.005</f>
        <v>0.01</v>
      </c>
      <c r="CM17" s="8">
        <v>1.1447829133280991</v>
      </c>
      <c r="CN17" s="17">
        <v>0.89056378904525624</v>
      </c>
      <c r="CO17" s="17">
        <v>1.1104662424466794</v>
      </c>
      <c r="CP17" s="17">
        <v>0.16673633531702131</v>
      </c>
      <c r="CQ17" s="17">
        <v>0.68914695002305604</v>
      </c>
      <c r="CR17" s="17">
        <v>1.0437463847429285</v>
      </c>
      <c r="CS17" s="17">
        <v>1.7127618065504167</v>
      </c>
      <c r="CT17" s="17">
        <v>1.7127618065504167</v>
      </c>
    </row>
    <row r="18" spans="1:98" ht="15.75" thickBot="1" x14ac:dyDescent="0.3">
      <c r="A18" s="1">
        <v>46049</v>
      </c>
      <c r="B18" s="7">
        <v>237.02</v>
      </c>
      <c r="C18" s="7">
        <v>285.12</v>
      </c>
      <c r="D18" s="12">
        <v>1.5476499382341399E-2</v>
      </c>
      <c r="E18" s="12">
        <v>1.8084827465220499E-2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237.02</v>
      </c>
      <c r="M18" s="7">
        <v>285.12</v>
      </c>
      <c r="N18" s="10">
        <v>1.2029364610581299</v>
      </c>
      <c r="O18" s="10">
        <v>1.1658179450689301</v>
      </c>
      <c r="P18" s="10">
        <v>1.1979838718882301</v>
      </c>
      <c r="R18" s="7">
        <v>276.32216934023899</v>
      </c>
      <c r="S18" s="7">
        <v>283.57994919404501</v>
      </c>
      <c r="U18" s="12">
        <v>-3.1342679088897603E-2</v>
      </c>
      <c r="V18" s="12">
        <v>-5.4160531322068398E-3</v>
      </c>
      <c r="X18" s="10">
        <v>1.2029364610581299</v>
      </c>
      <c r="Y18" s="10">
        <v>1.16578176214971</v>
      </c>
      <c r="Z18" s="10">
        <v>1.1979838718882301</v>
      </c>
      <c r="AB18" s="7">
        <v>276.31359326472602</v>
      </c>
      <c r="AC18" s="7">
        <v>283.57994919404501</v>
      </c>
      <c r="AE18" s="12">
        <v>-3.1373716079603403E-2</v>
      </c>
      <c r="AF18" s="12">
        <v>-5.4160531322068398E-3</v>
      </c>
      <c r="CL18" s="16">
        <f t="shared" si="3"/>
        <v>1.4999999999999999E-2</v>
      </c>
      <c r="CM18" s="8">
        <v>1.1447829133280991</v>
      </c>
      <c r="CN18" s="17">
        <v>0.89056378904525624</v>
      </c>
      <c r="CO18" s="17">
        <v>1.1104662424466794</v>
      </c>
      <c r="CP18" s="17">
        <v>0.13040689871898936</v>
      </c>
      <c r="CQ18" s="17">
        <v>1.1530650838895375</v>
      </c>
      <c r="CR18" s="17">
        <v>1.5941779103212608</v>
      </c>
      <c r="CS18" s="17">
        <v>2.4931044362465697</v>
      </c>
      <c r="CT18" s="17">
        <v>3.1922647495100112</v>
      </c>
    </row>
    <row r="19" spans="1:98" ht="15.75" thickBot="1" x14ac:dyDescent="0.3">
      <c r="A19" s="1">
        <v>46050</v>
      </c>
      <c r="B19" s="7">
        <v>233.69</v>
      </c>
      <c r="C19" s="7">
        <v>281.57</v>
      </c>
      <c r="D19" s="12">
        <v>-1.4149075032587499E-2</v>
      </c>
      <c r="E19" s="12">
        <v>-1.2529059764625599E-2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233.69</v>
      </c>
      <c r="M19" s="7">
        <v>281.57</v>
      </c>
      <c r="N19" s="10">
        <v>1.2048868158671699</v>
      </c>
      <c r="O19" s="10">
        <v>1.1658179450689301</v>
      </c>
      <c r="P19" s="10">
        <v>1.1999956653718999</v>
      </c>
      <c r="R19" s="7">
        <v>272.43999558315898</v>
      </c>
      <c r="S19" s="7">
        <v>279.95685102156199</v>
      </c>
      <c r="U19" s="12">
        <v>-3.2962694356859598E-2</v>
      </c>
      <c r="V19" s="12">
        <v>-5.7455967181514796E-3</v>
      </c>
      <c r="X19" s="10">
        <v>1.2048868158671699</v>
      </c>
      <c r="Y19" s="10">
        <v>1.16578176214971</v>
      </c>
      <c r="Z19" s="10">
        <v>1.1999956653718999</v>
      </c>
      <c r="AB19" s="7">
        <v>272.43153999676701</v>
      </c>
      <c r="AC19" s="7">
        <v>279.95685102156199</v>
      </c>
      <c r="AE19" s="12">
        <v>-3.2993731347565398E-2</v>
      </c>
      <c r="AF19" s="12">
        <v>-5.7455967181514796E-3</v>
      </c>
      <c r="BX19" s="2" t="s">
        <v>41</v>
      </c>
      <c r="BY19" s="2" t="s">
        <v>41</v>
      </c>
      <c r="CL19" s="16">
        <f t="shared" si="3"/>
        <v>0.02</v>
      </c>
      <c r="CM19" s="8">
        <v>1.1447829133280991</v>
      </c>
      <c r="CN19" s="17">
        <v>0.89056378904525624</v>
      </c>
      <c r="CO19" s="17">
        <v>1.1104662424466794</v>
      </c>
      <c r="CP19" s="17">
        <v>0.13040689871898936</v>
      </c>
      <c r="CQ19" s="17">
        <v>0.70847439835099946</v>
      </c>
      <c r="CR19" s="17">
        <v>0.86465252541246973</v>
      </c>
      <c r="CS19" s="17">
        <v>2.1046865936607784</v>
      </c>
      <c r="CT19" s="18">
        <v>2.9322455598694739</v>
      </c>
    </row>
    <row r="20" spans="1:98" x14ac:dyDescent="0.25">
      <c r="A20" s="1">
        <v>46051</v>
      </c>
      <c r="B20" s="7">
        <v>232.78</v>
      </c>
      <c r="C20" s="7">
        <v>277.91000000000003</v>
      </c>
      <c r="D20" s="12">
        <v>-3.9016492138847802E-3</v>
      </c>
      <c r="E20" s="12">
        <v>-1.30837642498088E-2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232.78</v>
      </c>
      <c r="M20" s="7">
        <v>277.91000000000003</v>
      </c>
      <c r="N20" s="10">
        <v>1.19387404416186</v>
      </c>
      <c r="O20" s="10">
        <v>1.1658179450689301</v>
      </c>
      <c r="P20" s="10">
        <v>1.19991911260461</v>
      </c>
      <c r="R20" s="7">
        <v>271.37910125314602</v>
      </c>
      <c r="S20" s="7">
        <v>279.33499098527102</v>
      </c>
      <c r="U20" s="12">
        <v>-2.3780579320935601E-2</v>
      </c>
      <c r="V20" s="12">
        <v>5.1144258431680004E-3</v>
      </c>
      <c r="X20" s="10">
        <v>1.19387404416186</v>
      </c>
      <c r="Y20" s="10">
        <v>1.16578176214971</v>
      </c>
      <c r="Z20" s="10">
        <v>1.19991911260461</v>
      </c>
      <c r="AB20" s="7">
        <v>271.37067859321098</v>
      </c>
      <c r="AC20" s="7">
        <v>279.33499098527102</v>
      </c>
      <c r="AE20" s="12">
        <v>-2.38116163116412E-2</v>
      </c>
      <c r="AF20" s="12">
        <v>5.1144258431680004E-3</v>
      </c>
      <c r="AZ20" s="3" t="s">
        <v>42</v>
      </c>
      <c r="BA20" s="22">
        <v>-2.5000000000000001E-2</v>
      </c>
      <c r="BB20" s="2" t="s">
        <v>43</v>
      </c>
      <c r="BC20" s="2" t="s">
        <v>44</v>
      </c>
      <c r="BD20" s="2" t="s">
        <v>45</v>
      </c>
      <c r="BE20" s="2" t="s">
        <v>46</v>
      </c>
      <c r="BF20" s="2" t="s">
        <v>47</v>
      </c>
      <c r="BG20" s="2" t="str">
        <f>D1</f>
        <v>ITA log rtn</v>
      </c>
      <c r="BH20" s="2" t="str">
        <f>E1</f>
        <v>XAR log rtn</v>
      </c>
      <c r="BI20" s="2" t="s">
        <v>48</v>
      </c>
      <c r="BJ20" s="2" t="s">
        <v>49</v>
      </c>
      <c r="BL20" s="3" t="s">
        <v>42</v>
      </c>
      <c r="BM20" s="22">
        <v>3.5000000000000003E-2</v>
      </c>
      <c r="BN20" s="2" t="s">
        <v>44</v>
      </c>
      <c r="BO20" s="2" t="s">
        <v>43</v>
      </c>
      <c r="BP20" s="2" t="s">
        <v>45</v>
      </c>
      <c r="BQ20" s="2" t="s">
        <v>46</v>
      </c>
      <c r="BR20" s="2" t="s">
        <v>47</v>
      </c>
      <c r="BS20" s="14" t="str">
        <f>D1</f>
        <v>ITA log rtn</v>
      </c>
      <c r="BT20" s="14" t="str">
        <f>E1</f>
        <v>XAR log rtn</v>
      </c>
      <c r="BU20" s="2" t="s">
        <v>48</v>
      </c>
      <c r="BV20" s="2" t="s">
        <v>49</v>
      </c>
      <c r="BX20" s="2" t="s">
        <v>48</v>
      </c>
      <c r="BY20" s="2" t="s">
        <v>49</v>
      </c>
      <c r="CL20" s="16">
        <f t="shared" si="3"/>
        <v>2.5000000000000001E-2</v>
      </c>
      <c r="CM20" s="8">
        <v>1.1447829133280991</v>
      </c>
      <c r="CN20" s="17">
        <v>0.89056378904525624</v>
      </c>
      <c r="CO20" s="17">
        <v>1.1104662424466794</v>
      </c>
      <c r="CP20" s="17">
        <v>0.13040689871898936</v>
      </c>
      <c r="CQ20" s="17">
        <v>0.70847439835099946</v>
      </c>
      <c r="CR20" s="17">
        <v>0.75465584480401038</v>
      </c>
      <c r="CS20" s="17">
        <v>2.8954678467180019</v>
      </c>
      <c r="CT20" s="17">
        <v>2.7430777599692431</v>
      </c>
    </row>
    <row r="21" spans="1:98" x14ac:dyDescent="0.25">
      <c r="A21" s="1">
        <v>46052</v>
      </c>
      <c r="B21" s="7">
        <v>232.38</v>
      </c>
      <c r="C21" s="7">
        <v>272.95999999999998</v>
      </c>
      <c r="D21" s="12">
        <v>-1.7198387591145299E-3</v>
      </c>
      <c r="E21" s="12">
        <v>-1.7972055964695699E-2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232.38</v>
      </c>
      <c r="M21" s="7">
        <v>272.95999999999998</v>
      </c>
      <c r="N21" s="10">
        <v>1.17462776486788</v>
      </c>
      <c r="O21" s="10">
        <v>1.1658179450689301</v>
      </c>
      <c r="P21" s="10">
        <v>1.1973661351840099</v>
      </c>
      <c r="Q21" s="10">
        <v>1.18514412064443</v>
      </c>
      <c r="R21" s="7">
        <v>270.91277407511899</v>
      </c>
      <c r="S21" s="7">
        <v>278.83720338705899</v>
      </c>
      <c r="U21" s="12">
        <v>-7.5283621153541102E-3</v>
      </c>
      <c r="V21" s="12">
        <v>2.1302846810635601E-2</v>
      </c>
      <c r="X21" s="10">
        <v>1.17462776486788</v>
      </c>
      <c r="Y21" s="10">
        <v>1.16578176214971</v>
      </c>
      <c r="Z21" s="10">
        <v>1.1973661351840099</v>
      </c>
      <c r="AA21" s="10">
        <v>1.18514412064443</v>
      </c>
      <c r="AB21" s="7">
        <v>270.90436588835098</v>
      </c>
      <c r="AC21" s="7">
        <v>278.83720338705899</v>
      </c>
      <c r="AE21" s="12">
        <v>-7.5593991060598298E-3</v>
      </c>
      <c r="AF21" s="12">
        <v>2.1302846810635601E-2</v>
      </c>
      <c r="BA21" s="22">
        <v>-5.0000000000000001E-3</v>
      </c>
      <c r="BE21">
        <f>IF(F22+H22&gt;0,0,1)</f>
        <v>1</v>
      </c>
      <c r="BF21" s="23">
        <v>0</v>
      </c>
      <c r="BM21" s="22">
        <v>0.02</v>
      </c>
      <c r="BQ21">
        <f>IF(F22+H22&gt;0,0,1)</f>
        <v>1</v>
      </c>
      <c r="BR21" s="23">
        <v>0</v>
      </c>
      <c r="CL21" s="16">
        <f t="shared" si="3"/>
        <v>3.0000000000000002E-2</v>
      </c>
      <c r="CM21" s="8">
        <v>1.1447829133280991</v>
      </c>
      <c r="CN21" s="17">
        <v>0.89056378904525624</v>
      </c>
      <c r="CO21" s="17">
        <v>1.1104662424466794</v>
      </c>
      <c r="CP21" s="17">
        <v>0.13040689871898936</v>
      </c>
      <c r="CQ21" s="17">
        <v>0.70847439835099946</v>
      </c>
      <c r="CR21" s="17">
        <v>0.75465584480401038</v>
      </c>
      <c r="CS21" s="17">
        <v>2.4318124674313708</v>
      </c>
      <c r="CT21" s="17">
        <v>2.2787255624303939</v>
      </c>
    </row>
    <row r="22" spans="1:98" x14ac:dyDescent="0.25">
      <c r="A22" s="1">
        <v>46055</v>
      </c>
      <c r="B22" s="7">
        <v>231.16</v>
      </c>
      <c r="C22" s="7">
        <v>270.27999999999997</v>
      </c>
      <c r="D22" s="12">
        <v>-5.2638513051385402E-3</v>
      </c>
      <c r="E22" s="12">
        <v>-9.8668056193404394E-3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231.16</v>
      </c>
      <c r="M22" s="7">
        <v>270.27999999999997</v>
      </c>
      <c r="N22" s="10">
        <v>1.1692334313895101</v>
      </c>
      <c r="O22" s="10">
        <v>1.1658179450689301</v>
      </c>
      <c r="P22" s="10">
        <v>1.1942008702087601</v>
      </c>
      <c r="Q22" s="10">
        <v>1.1872119360813</v>
      </c>
      <c r="R22" s="7">
        <v>269.49047618213501</v>
      </c>
      <c r="S22" s="7">
        <v>276.78315580913699</v>
      </c>
      <c r="T22" s="7">
        <v>273.95791492816699</v>
      </c>
      <c r="U22" s="12">
        <v>-2.9254078011521599E-3</v>
      </c>
      <c r="V22" s="12">
        <v>2.3775909917215801E-2</v>
      </c>
      <c r="W22" s="12">
        <v>1.3516040754480501E-2</v>
      </c>
      <c r="X22" s="10">
        <v>1.1692334313895101</v>
      </c>
      <c r="Y22" s="10">
        <v>1.16578176214971</v>
      </c>
      <c r="Z22" s="10">
        <v>1.1942008702087601</v>
      </c>
      <c r="AA22" s="10">
        <v>1.1872119360813</v>
      </c>
      <c r="AB22" s="7">
        <v>269.48211213852801</v>
      </c>
      <c r="AC22" s="7">
        <v>276.78315580913699</v>
      </c>
      <c r="AD22" s="7">
        <v>273.95791492816699</v>
      </c>
      <c r="AE22" s="12">
        <v>-2.9564447918581302E-3</v>
      </c>
      <c r="AF22" s="12">
        <v>2.3775909917215801E-2</v>
      </c>
      <c r="AG22" s="12">
        <v>1.3516040754480501E-2</v>
      </c>
      <c r="AZ22" s="5"/>
      <c r="BB22">
        <f>IF($AG22&lt;BA$20,1,0)</f>
        <v>0</v>
      </c>
      <c r="BC22">
        <f>IF($AG22&gt;BA$21,1,0)</f>
        <v>1</v>
      </c>
      <c r="BD22">
        <f>BF21</f>
        <v>0</v>
      </c>
      <c r="BE22">
        <f t="shared" ref="BE22:BE85" si="4">IF(F23+H23&gt;0,0,1)</f>
        <v>1</v>
      </c>
      <c r="BF22">
        <f>IF(BB21,1,IF(BC21,0,BD21))*BE21</f>
        <v>0</v>
      </c>
      <c r="BG22" s="5">
        <f>BF22*D22</f>
        <v>0</v>
      </c>
      <c r="BH22" s="5">
        <f>-BF22*$E22</f>
        <v>0</v>
      </c>
      <c r="BI22" s="5">
        <f>BG22+BH22</f>
        <v>0</v>
      </c>
      <c r="BJ22" s="19">
        <f>BJ21+BI22</f>
        <v>0</v>
      </c>
      <c r="BL22" s="5"/>
      <c r="BN22">
        <f>IF($AG22&gt;BM$20,1,0)</f>
        <v>0</v>
      </c>
      <c r="BO22">
        <f>IF($AG22&lt;BM$21,1,0)</f>
        <v>1</v>
      </c>
      <c r="BP22">
        <f>BR21</f>
        <v>0</v>
      </c>
      <c r="BQ22">
        <f t="shared" ref="BQ22:BQ85" si="5">IF(F23+H23&gt;0,0,1)</f>
        <v>1</v>
      </c>
      <c r="BR22">
        <f>IF(BN21,1,IF(BO21,0,BP21))*BQ21</f>
        <v>0</v>
      </c>
      <c r="BS22" s="5">
        <f>-BR22*D22</f>
        <v>0</v>
      </c>
      <c r="BT22" s="5">
        <f>BR22*$E22</f>
        <v>0</v>
      </c>
      <c r="BU22" s="5">
        <f>BS22+BT22</f>
        <v>0</v>
      </c>
      <c r="BV22" s="19">
        <f>BV21+BU22</f>
        <v>0</v>
      </c>
      <c r="BX22" s="19">
        <f>BI22+BU22</f>
        <v>0</v>
      </c>
      <c r="BY22" s="19">
        <f>BY21+BX22</f>
        <v>0</v>
      </c>
      <c r="CL22" s="16">
        <f t="shared" si="3"/>
        <v>3.5000000000000003E-2</v>
      </c>
      <c r="CM22" s="8">
        <v>1.1447829133280991</v>
      </c>
      <c r="CN22" s="8">
        <v>0.89056378904525624</v>
      </c>
      <c r="CO22" s="8">
        <v>1.1104662424466794</v>
      </c>
      <c r="CP22" s="8">
        <v>0.13040689871898936</v>
      </c>
      <c r="CQ22" s="8">
        <v>0.70847439835099946</v>
      </c>
      <c r="CR22" s="8">
        <v>0.75465584480401038</v>
      </c>
      <c r="CS22" s="8">
        <v>2.4318124674313708</v>
      </c>
      <c r="CT22" s="8">
        <v>2.2787255624303939</v>
      </c>
    </row>
    <row r="23" spans="1:98" x14ac:dyDescent="0.25">
      <c r="A23" s="1">
        <v>46056</v>
      </c>
      <c r="B23" s="7">
        <v>234.49</v>
      </c>
      <c r="C23" s="7">
        <v>278.45999999999998</v>
      </c>
      <c r="D23" s="12">
        <v>1.4302831604238E-2</v>
      </c>
      <c r="E23" s="12">
        <v>2.9815963797165598E-2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234.49</v>
      </c>
      <c r="M23" s="7">
        <v>278.45999999999998</v>
      </c>
      <c r="N23" s="10">
        <v>1.1875133267943101</v>
      </c>
      <c r="O23" s="10">
        <v>1.1658179450689301</v>
      </c>
      <c r="P23" s="10">
        <v>1.19354909233754</v>
      </c>
      <c r="Q23" s="10">
        <v>1.18911453636662</v>
      </c>
      <c r="R23" s="7">
        <v>273.372649939214</v>
      </c>
      <c r="S23" s="7">
        <v>280.02816205525198</v>
      </c>
      <c r="T23" s="7">
        <v>278.38932689170502</v>
      </c>
      <c r="U23" s="12">
        <v>-1.8438539994079899E-2</v>
      </c>
      <c r="V23" s="12">
        <v>5.6157543991651E-3</v>
      </c>
      <c r="W23" s="12">
        <v>-2.5383207004588598E-4</v>
      </c>
      <c r="X23" s="10">
        <v>1.1875133267943101</v>
      </c>
      <c r="Y23" s="10">
        <v>1.16578176214971</v>
      </c>
      <c r="Z23" s="10">
        <v>1.19354909233754</v>
      </c>
      <c r="AA23" s="10">
        <v>1.18911453636662</v>
      </c>
      <c r="AB23" s="7">
        <v>273.36416540648702</v>
      </c>
      <c r="AC23" s="7">
        <v>280.02816205525198</v>
      </c>
      <c r="AD23" s="7">
        <v>278.38932689170502</v>
      </c>
      <c r="AE23" s="12">
        <v>-1.8469576984785799E-2</v>
      </c>
      <c r="AF23" s="12">
        <v>5.6157543991651E-3</v>
      </c>
      <c r="AG23" s="12">
        <v>-2.5383207004588598E-4</v>
      </c>
      <c r="AZ23" s="5"/>
      <c r="BB23">
        <f t="shared" ref="BB23:BB86" si="6">IF($AG23&lt;BA$20,1,0)</f>
        <v>0</v>
      </c>
      <c r="BC23">
        <f t="shared" ref="BC23:BC86" si="7">IF($AG23&gt;BA$21,1,0)</f>
        <v>1</v>
      </c>
      <c r="BD23">
        <f t="shared" ref="BD23:BD86" si="8">BF23</f>
        <v>0</v>
      </c>
      <c r="BE23">
        <f t="shared" si="4"/>
        <v>1</v>
      </c>
      <c r="BF23">
        <f t="shared" ref="BF23:BF86" si="9">IF(BB22,1,IF(BC22,0,BD22))*BE22</f>
        <v>0</v>
      </c>
      <c r="BG23" s="5">
        <f t="shared" ref="BG23:BG86" si="10">BF23*D23</f>
        <v>0</v>
      </c>
      <c r="BH23" s="5">
        <f t="shared" ref="BH23:BH86" si="11">-BF23*$E23</f>
        <v>0</v>
      </c>
      <c r="BI23" s="5">
        <f t="shared" ref="BI23:BI86" si="12">BG23+BH23</f>
        <v>0</v>
      </c>
      <c r="BJ23" s="19">
        <f t="shared" ref="BJ23:BJ86" si="13">BJ22+BI23</f>
        <v>0</v>
      </c>
      <c r="BL23" s="5"/>
      <c r="BN23">
        <f t="shared" ref="BN23:BN86" si="14">IF($AG23&gt;BM$20,1,0)</f>
        <v>0</v>
      </c>
      <c r="BO23">
        <f t="shared" ref="BO23:BO86" si="15">IF($AG23&lt;BM$21,1,0)</f>
        <v>1</v>
      </c>
      <c r="BP23">
        <f t="shared" ref="BP23:BP86" si="16">BR23</f>
        <v>0</v>
      </c>
      <c r="BQ23">
        <f t="shared" si="5"/>
        <v>1</v>
      </c>
      <c r="BR23">
        <f t="shared" ref="BR23:BR86" si="17">IF(BN22,1,IF(BO22,0,BP22))*BQ22</f>
        <v>0</v>
      </c>
      <c r="BS23" s="5">
        <f t="shared" ref="BS23:BS86" si="18">-BR23*D23</f>
        <v>0</v>
      </c>
      <c r="BT23" s="5">
        <f t="shared" ref="BT23:BT86" si="19">BR23*$E23</f>
        <v>0</v>
      </c>
      <c r="BU23" s="5">
        <f t="shared" ref="BU23:BU86" si="20">BS23+BT23</f>
        <v>0</v>
      </c>
      <c r="BV23" s="19">
        <f t="shared" ref="BV23:BV86" si="21">BV22+BU23</f>
        <v>0</v>
      </c>
      <c r="BX23" s="19">
        <f t="shared" ref="BX23:BX86" si="22">BI23+BU23</f>
        <v>0</v>
      </c>
      <c r="BY23" s="19">
        <f t="shared" ref="BY23:BY86" si="23">BY22+BX23</f>
        <v>0</v>
      </c>
      <c r="CL23" t="s">
        <v>38</v>
      </c>
    </row>
    <row r="24" spans="1:98" x14ac:dyDescent="0.25">
      <c r="A24" s="1">
        <v>46057</v>
      </c>
      <c r="B24" s="7">
        <v>228</v>
      </c>
      <c r="C24" s="7">
        <v>264.89999999999998</v>
      </c>
      <c r="D24" s="12">
        <v>-2.80673140993743E-2</v>
      </c>
      <c r="E24" s="12">
        <v>-4.9922026203115401E-2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228</v>
      </c>
      <c r="M24" s="7">
        <v>264.89999999999998</v>
      </c>
      <c r="N24" s="10">
        <v>1.16184210526315</v>
      </c>
      <c r="O24" s="10">
        <v>1.1658179450689301</v>
      </c>
      <c r="P24" s="10">
        <v>1.19097940100345</v>
      </c>
      <c r="Q24" s="10">
        <v>1.18940506915247</v>
      </c>
      <c r="R24" s="7">
        <v>265.806491475717</v>
      </c>
      <c r="S24" s="7">
        <v>272.12919305295901</v>
      </c>
      <c r="T24" s="7">
        <v>271.11811429159002</v>
      </c>
      <c r="U24" s="12">
        <v>3.4161721096612101E-3</v>
      </c>
      <c r="V24" s="12">
        <v>2.6924531712721599E-2</v>
      </c>
      <c r="W24" s="12">
        <v>2.3202175742785099E-2</v>
      </c>
      <c r="X24" s="10">
        <v>1.16184210526315</v>
      </c>
      <c r="Y24" s="10">
        <v>1.16578176214971</v>
      </c>
      <c r="Z24" s="10">
        <v>1.19097940100345</v>
      </c>
      <c r="AA24" s="10">
        <v>1.18940506915247</v>
      </c>
      <c r="AB24" s="7">
        <v>265.79824177013501</v>
      </c>
      <c r="AC24" s="7">
        <v>272.12919305295901</v>
      </c>
      <c r="AD24" s="7">
        <v>271.11811429159002</v>
      </c>
      <c r="AE24" s="12">
        <v>3.3851351189551201E-3</v>
      </c>
      <c r="AF24" s="12">
        <v>2.6924531712721599E-2</v>
      </c>
      <c r="AG24" s="12">
        <v>2.3202175742785099E-2</v>
      </c>
      <c r="AZ24" s="5"/>
      <c r="BB24">
        <f t="shared" si="6"/>
        <v>0</v>
      </c>
      <c r="BC24">
        <f t="shared" si="7"/>
        <v>1</v>
      </c>
      <c r="BD24">
        <f t="shared" si="8"/>
        <v>0</v>
      </c>
      <c r="BE24">
        <f t="shared" si="4"/>
        <v>1</v>
      </c>
      <c r="BF24">
        <f t="shared" si="9"/>
        <v>0</v>
      </c>
      <c r="BG24" s="5">
        <f t="shared" si="10"/>
        <v>0</v>
      </c>
      <c r="BH24" s="5">
        <f t="shared" si="11"/>
        <v>0</v>
      </c>
      <c r="BI24" s="5">
        <f t="shared" si="12"/>
        <v>0</v>
      </c>
      <c r="BJ24" s="19">
        <f t="shared" si="13"/>
        <v>0</v>
      </c>
      <c r="BL24" s="5"/>
      <c r="BN24">
        <f t="shared" si="14"/>
        <v>0</v>
      </c>
      <c r="BO24">
        <f t="shared" si="15"/>
        <v>0</v>
      </c>
      <c r="BP24">
        <f t="shared" si="16"/>
        <v>0</v>
      </c>
      <c r="BQ24">
        <f t="shared" si="5"/>
        <v>1</v>
      </c>
      <c r="BR24">
        <f t="shared" si="17"/>
        <v>0</v>
      </c>
      <c r="BS24" s="5">
        <f t="shared" si="18"/>
        <v>0</v>
      </c>
      <c r="BT24" s="5">
        <f t="shared" si="19"/>
        <v>0</v>
      </c>
      <c r="BU24" s="5">
        <f t="shared" si="20"/>
        <v>0</v>
      </c>
      <c r="BV24" s="19">
        <f t="shared" si="21"/>
        <v>0</v>
      </c>
      <c r="BX24" s="19">
        <f t="shared" si="22"/>
        <v>0</v>
      </c>
      <c r="BY24" s="19">
        <f t="shared" si="23"/>
        <v>0</v>
      </c>
    </row>
    <row r="25" spans="1:98" x14ac:dyDescent="0.25">
      <c r="A25" s="1">
        <v>46058</v>
      </c>
      <c r="B25" s="7">
        <v>226.18</v>
      </c>
      <c r="C25" s="7">
        <v>259.38</v>
      </c>
      <c r="D25" s="12">
        <v>-8.0144865112598395E-3</v>
      </c>
      <c r="E25" s="12">
        <v>-2.1058228370428402E-2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226.18</v>
      </c>
      <c r="M25" s="7">
        <v>259.38</v>
      </c>
      <c r="N25" s="10">
        <v>1.1467857458661199</v>
      </c>
      <c r="O25" s="10">
        <v>1.1658179450689301</v>
      </c>
      <c r="P25" s="10">
        <v>1.1846165032806699</v>
      </c>
      <c r="Q25" s="10">
        <v>1.18875000990632</v>
      </c>
      <c r="R25" s="7">
        <v>263.68470281569103</v>
      </c>
      <c r="S25" s="7">
        <v>269.37572091895998</v>
      </c>
      <c r="T25" s="7">
        <v>269.01963854090701</v>
      </c>
      <c r="U25" s="12">
        <v>1.6459913968829801E-2</v>
      </c>
      <c r="V25" s="12">
        <v>3.7812969212119102E-2</v>
      </c>
      <c r="W25" s="12">
        <v>3.6490214757735298E-2</v>
      </c>
      <c r="X25" s="10">
        <v>1.1467857458661199</v>
      </c>
      <c r="Y25" s="10">
        <v>1.16578176214971</v>
      </c>
      <c r="Z25" s="10">
        <v>1.1846165032806699</v>
      </c>
      <c r="AA25" s="10">
        <v>1.18875000990632</v>
      </c>
      <c r="AB25" s="7">
        <v>263.676518963023</v>
      </c>
      <c r="AC25" s="7">
        <v>269.37572091895998</v>
      </c>
      <c r="AD25" s="7">
        <v>269.01963854090701</v>
      </c>
      <c r="AE25" s="12">
        <v>1.64288769781239E-2</v>
      </c>
      <c r="AF25" s="12">
        <v>3.7812969212119102E-2</v>
      </c>
      <c r="AG25" s="12">
        <v>3.6490214757735298E-2</v>
      </c>
      <c r="AZ25" s="5"/>
      <c r="BB25">
        <f t="shared" si="6"/>
        <v>0</v>
      </c>
      <c r="BC25">
        <f t="shared" si="7"/>
        <v>1</v>
      </c>
      <c r="BD25">
        <f t="shared" si="8"/>
        <v>0</v>
      </c>
      <c r="BE25">
        <f t="shared" si="4"/>
        <v>1</v>
      </c>
      <c r="BF25">
        <f t="shared" si="9"/>
        <v>0</v>
      </c>
      <c r="BG25" s="5">
        <f t="shared" si="10"/>
        <v>0</v>
      </c>
      <c r="BH25" s="5">
        <f t="shared" si="11"/>
        <v>0</v>
      </c>
      <c r="BI25" s="5">
        <f t="shared" si="12"/>
        <v>0</v>
      </c>
      <c r="BJ25" s="19">
        <f t="shared" si="13"/>
        <v>0</v>
      </c>
      <c r="BL25" s="5"/>
      <c r="BN25">
        <f t="shared" si="14"/>
        <v>1</v>
      </c>
      <c r="BO25">
        <f t="shared" si="15"/>
        <v>0</v>
      </c>
      <c r="BP25">
        <f t="shared" si="16"/>
        <v>0</v>
      </c>
      <c r="BQ25">
        <f t="shared" si="5"/>
        <v>1</v>
      </c>
      <c r="BR25">
        <f t="shared" si="17"/>
        <v>0</v>
      </c>
      <c r="BS25" s="5">
        <f t="shared" si="18"/>
        <v>0</v>
      </c>
      <c r="BT25" s="5">
        <f t="shared" si="19"/>
        <v>0</v>
      </c>
      <c r="BU25" s="5">
        <f t="shared" si="20"/>
        <v>0</v>
      </c>
      <c r="BV25" s="19">
        <f t="shared" si="21"/>
        <v>0</v>
      </c>
      <c r="BX25" s="19">
        <f t="shared" si="22"/>
        <v>0</v>
      </c>
      <c r="BY25" s="19">
        <f t="shared" si="23"/>
        <v>0</v>
      </c>
      <c r="CL25" s="16"/>
      <c r="CM25" s="16"/>
      <c r="CN25" s="16"/>
      <c r="CO25" s="16"/>
      <c r="CP25" s="16"/>
      <c r="CQ25" s="16"/>
      <c r="CR25" s="16"/>
      <c r="CS25" s="16"/>
      <c r="CT25" s="16"/>
    </row>
    <row r="26" spans="1:98" x14ac:dyDescent="0.25">
      <c r="A26" s="1">
        <v>46059</v>
      </c>
      <c r="B26" s="7">
        <v>233.93</v>
      </c>
      <c r="C26" s="7">
        <v>272.23</v>
      </c>
      <c r="D26" s="12">
        <v>3.36907828624948E-2</v>
      </c>
      <c r="E26" s="12">
        <v>4.8353129315373798E-2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233.93</v>
      </c>
      <c r="M26" s="7">
        <v>272.23</v>
      </c>
      <c r="N26" s="10">
        <v>1.1637241909973</v>
      </c>
      <c r="O26" s="10">
        <v>1.1658179450689301</v>
      </c>
      <c r="P26" s="10">
        <v>1.1805226782828999</v>
      </c>
      <c r="Q26" s="10">
        <v>1.1878630980561899</v>
      </c>
      <c r="R26" s="7">
        <v>272.71979188997602</v>
      </c>
      <c r="S26" s="7">
        <v>277.11733861244801</v>
      </c>
      <c r="T26" s="7">
        <v>278.08428981738501</v>
      </c>
      <c r="U26" s="12">
        <v>1.79756751595088E-3</v>
      </c>
      <c r="V26" s="12">
        <v>1.7793724368150601E-2</v>
      </c>
      <c r="W26" s="12">
        <v>2.12769712935615E-2</v>
      </c>
      <c r="X26" s="10">
        <v>1.1637241909973</v>
      </c>
      <c r="Y26" s="10">
        <v>1.16578176214971</v>
      </c>
      <c r="Z26" s="10">
        <v>1.1805226782828999</v>
      </c>
      <c r="AA26" s="10">
        <v>1.1878630980561899</v>
      </c>
      <c r="AB26" s="7">
        <v>272.711327619683</v>
      </c>
      <c r="AC26" s="7">
        <v>277.11733861244801</v>
      </c>
      <c r="AD26" s="7">
        <v>278.08428981738501</v>
      </c>
      <c r="AE26" s="12">
        <v>1.7665305252448399E-3</v>
      </c>
      <c r="AF26" s="12">
        <v>1.7793724368150601E-2</v>
      </c>
      <c r="AG26" s="12">
        <v>2.12769712935615E-2</v>
      </c>
      <c r="AZ26" s="5"/>
      <c r="BB26">
        <f t="shared" si="6"/>
        <v>0</v>
      </c>
      <c r="BC26">
        <f t="shared" si="7"/>
        <v>1</v>
      </c>
      <c r="BD26">
        <f t="shared" si="8"/>
        <v>0</v>
      </c>
      <c r="BE26">
        <f t="shared" si="4"/>
        <v>1</v>
      </c>
      <c r="BF26">
        <f t="shared" si="9"/>
        <v>0</v>
      </c>
      <c r="BG26" s="5">
        <f t="shared" si="10"/>
        <v>0</v>
      </c>
      <c r="BH26" s="5">
        <f t="shared" si="11"/>
        <v>0</v>
      </c>
      <c r="BI26" s="5">
        <f t="shared" si="12"/>
        <v>0</v>
      </c>
      <c r="BJ26" s="19">
        <f t="shared" si="13"/>
        <v>0</v>
      </c>
      <c r="BL26" s="5"/>
      <c r="BN26">
        <f t="shared" si="14"/>
        <v>0</v>
      </c>
      <c r="BO26">
        <f t="shared" si="15"/>
        <v>0</v>
      </c>
      <c r="BP26">
        <f t="shared" si="16"/>
        <v>1</v>
      </c>
      <c r="BQ26">
        <f t="shared" si="5"/>
        <v>1</v>
      </c>
      <c r="BR26">
        <f t="shared" si="17"/>
        <v>1</v>
      </c>
      <c r="BS26" s="5">
        <f t="shared" si="18"/>
        <v>-3.36907828624948E-2</v>
      </c>
      <c r="BT26" s="5">
        <f t="shared" si="19"/>
        <v>4.8353129315373798E-2</v>
      </c>
      <c r="BU26" s="5">
        <f t="shared" si="20"/>
        <v>1.4662346452878998E-2</v>
      </c>
      <c r="BV26" s="19">
        <f t="shared" si="21"/>
        <v>1.4662346452878998E-2</v>
      </c>
      <c r="BX26" s="19">
        <f t="shared" si="22"/>
        <v>1.4662346452878998E-2</v>
      </c>
      <c r="BY26" s="19">
        <f t="shared" si="23"/>
        <v>1.4662346452878998E-2</v>
      </c>
      <c r="CL26" s="16"/>
      <c r="CM26" s="8"/>
      <c r="CN26" s="8"/>
      <c r="CO26" s="8"/>
      <c r="CP26" s="8"/>
      <c r="CQ26" s="8"/>
      <c r="CR26" s="8"/>
      <c r="CS26" s="8"/>
      <c r="CT26" s="8"/>
    </row>
    <row r="27" spans="1:98" x14ac:dyDescent="0.25">
      <c r="A27" s="1">
        <v>46062</v>
      </c>
      <c r="B27" s="7">
        <v>234.84</v>
      </c>
      <c r="C27" s="7">
        <v>276.42</v>
      </c>
      <c r="D27" s="12">
        <v>3.8825058903093099E-3</v>
      </c>
      <c r="E27" s="12">
        <v>1.52741509529113E-2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234.84</v>
      </c>
      <c r="M27" s="7">
        <v>276.42</v>
      </c>
      <c r="N27" s="10">
        <v>1.1770567194685699</v>
      </c>
      <c r="O27" s="10">
        <v>1.1658179450689301</v>
      </c>
      <c r="P27" s="10">
        <v>1.1782480605734</v>
      </c>
      <c r="Q27" s="10">
        <v>1.1873434826410301</v>
      </c>
      <c r="R27" s="7">
        <v>273.78068621998801</v>
      </c>
      <c r="S27" s="7">
        <v>277.23394576795698</v>
      </c>
      <c r="T27" s="7">
        <v>278.957769947516</v>
      </c>
      <c r="U27" s="12">
        <v>-9.5940775466512498E-3</v>
      </c>
      <c r="V27" s="12">
        <v>2.9402711226822901E-3</v>
      </c>
      <c r="W27" s="12">
        <v>9.13895999379063E-3</v>
      </c>
      <c r="X27" s="10">
        <v>1.1770567194685699</v>
      </c>
      <c r="Y27" s="10">
        <v>1.16578176214971</v>
      </c>
      <c r="Z27" s="10">
        <v>1.1782480605734</v>
      </c>
      <c r="AA27" s="10">
        <v>1.1873434826410301</v>
      </c>
      <c r="AB27" s="7">
        <v>273.77218902323898</v>
      </c>
      <c r="AC27" s="7">
        <v>277.23394576795698</v>
      </c>
      <c r="AD27" s="7">
        <v>278.957769947516</v>
      </c>
      <c r="AE27" s="12">
        <v>-9.6251145373570691E-3</v>
      </c>
      <c r="AF27" s="12">
        <v>2.9402711226822901E-3</v>
      </c>
      <c r="AG27" s="12">
        <v>9.13895999379063E-3</v>
      </c>
      <c r="AZ27" s="5"/>
      <c r="BB27">
        <f t="shared" si="6"/>
        <v>0</v>
      </c>
      <c r="BC27">
        <f t="shared" si="7"/>
        <v>1</v>
      </c>
      <c r="BD27">
        <f t="shared" si="8"/>
        <v>0</v>
      </c>
      <c r="BE27">
        <f t="shared" si="4"/>
        <v>1</v>
      </c>
      <c r="BF27">
        <f t="shared" si="9"/>
        <v>0</v>
      </c>
      <c r="BG27" s="5">
        <f t="shared" si="10"/>
        <v>0</v>
      </c>
      <c r="BH27" s="5">
        <f t="shared" si="11"/>
        <v>0</v>
      </c>
      <c r="BI27" s="5">
        <f t="shared" si="12"/>
        <v>0</v>
      </c>
      <c r="BJ27" s="19">
        <f t="shared" si="13"/>
        <v>0</v>
      </c>
      <c r="BL27" s="5"/>
      <c r="BN27">
        <f t="shared" si="14"/>
        <v>0</v>
      </c>
      <c r="BO27">
        <f t="shared" si="15"/>
        <v>1</v>
      </c>
      <c r="BP27">
        <f t="shared" si="16"/>
        <v>1</v>
      </c>
      <c r="BQ27">
        <f t="shared" si="5"/>
        <v>1</v>
      </c>
      <c r="BR27">
        <f t="shared" si="17"/>
        <v>1</v>
      </c>
      <c r="BS27" s="5">
        <f t="shared" si="18"/>
        <v>-3.8825058903093099E-3</v>
      </c>
      <c r="BT27" s="5">
        <f t="shared" si="19"/>
        <v>1.52741509529113E-2</v>
      </c>
      <c r="BU27" s="5">
        <f t="shared" si="20"/>
        <v>1.139164506260199E-2</v>
      </c>
      <c r="BV27" s="19">
        <f t="shared" si="21"/>
        <v>2.605399151548099E-2</v>
      </c>
      <c r="BX27" s="19">
        <f t="shared" si="22"/>
        <v>1.139164506260199E-2</v>
      </c>
      <c r="BY27" s="19">
        <f t="shared" si="23"/>
        <v>2.605399151548099E-2</v>
      </c>
      <c r="CL27" s="16"/>
      <c r="CM27" s="8"/>
      <c r="CN27" s="8"/>
      <c r="CO27" s="8"/>
      <c r="CP27" s="8"/>
      <c r="CQ27" s="8"/>
      <c r="CR27" s="8"/>
      <c r="CS27" s="8"/>
      <c r="CT27" s="8"/>
    </row>
    <row r="28" spans="1:98" ht="15.75" thickBot="1" x14ac:dyDescent="0.3">
      <c r="A28" s="1">
        <v>46063</v>
      </c>
      <c r="B28" s="7">
        <v>233.21</v>
      </c>
      <c r="C28" s="7">
        <v>271.85000000000002</v>
      </c>
      <c r="D28" s="12">
        <v>-6.9650959923841698E-3</v>
      </c>
      <c r="E28" s="12">
        <v>-1.6671004583950901E-2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233.21</v>
      </c>
      <c r="M28" s="7">
        <v>271.85000000000002</v>
      </c>
      <c r="N28" s="10">
        <v>1.16568757771965</v>
      </c>
      <c r="O28" s="10">
        <v>1.1658179450689301</v>
      </c>
      <c r="P28" s="10">
        <v>1.1745231722395499</v>
      </c>
      <c r="Q28" s="10">
        <v>1.1862535220638899</v>
      </c>
      <c r="R28" s="7">
        <v>271.88040296952602</v>
      </c>
      <c r="S28" s="7">
        <v>274.77923020632397</v>
      </c>
      <c r="T28" s="7">
        <v>276.90037358671498</v>
      </c>
      <c r="U28" s="12">
        <v>1.11831044915418E-4</v>
      </c>
      <c r="V28" s="12">
        <v>1.07175324090253E-2</v>
      </c>
      <c r="W28" s="12">
        <v>1.8407335759645201E-2</v>
      </c>
      <c r="X28" s="10">
        <v>1.16568757771965</v>
      </c>
      <c r="Y28" s="10">
        <v>1.16578176214971</v>
      </c>
      <c r="Z28" s="10">
        <v>1.1745231722395499</v>
      </c>
      <c r="AA28" s="10">
        <v>1.1862535220638899</v>
      </c>
      <c r="AB28" s="7">
        <v>271.87196475093498</v>
      </c>
      <c r="AC28" s="7">
        <v>274.77923020632397</v>
      </c>
      <c r="AD28" s="7">
        <v>276.90037358671498</v>
      </c>
      <c r="AE28" s="12">
        <v>8.0794054209649803E-5</v>
      </c>
      <c r="AF28" s="12">
        <v>1.07175324090253E-2</v>
      </c>
      <c r="AG28" s="12">
        <v>1.8407335759645201E-2</v>
      </c>
      <c r="AZ28" s="5"/>
      <c r="BB28">
        <f t="shared" si="6"/>
        <v>0</v>
      </c>
      <c r="BC28">
        <f t="shared" si="7"/>
        <v>1</v>
      </c>
      <c r="BD28">
        <f t="shared" si="8"/>
        <v>0</v>
      </c>
      <c r="BE28">
        <f t="shared" si="4"/>
        <v>1</v>
      </c>
      <c r="BF28">
        <f t="shared" si="9"/>
        <v>0</v>
      </c>
      <c r="BG28" s="5">
        <f t="shared" si="10"/>
        <v>0</v>
      </c>
      <c r="BH28" s="5">
        <f t="shared" si="11"/>
        <v>0</v>
      </c>
      <c r="BI28" s="5">
        <f t="shared" si="12"/>
        <v>0</v>
      </c>
      <c r="BJ28" s="19">
        <f t="shared" si="13"/>
        <v>0</v>
      </c>
      <c r="BL28" s="5"/>
      <c r="BN28">
        <f t="shared" si="14"/>
        <v>0</v>
      </c>
      <c r="BO28">
        <f t="shared" si="15"/>
        <v>1</v>
      </c>
      <c r="BP28">
        <f t="shared" si="16"/>
        <v>0</v>
      </c>
      <c r="BQ28">
        <f t="shared" si="5"/>
        <v>1</v>
      </c>
      <c r="BR28">
        <f t="shared" si="17"/>
        <v>0</v>
      </c>
      <c r="BS28" s="5">
        <f t="shared" si="18"/>
        <v>0</v>
      </c>
      <c r="BT28" s="5">
        <f t="shared" si="19"/>
        <v>0</v>
      </c>
      <c r="BU28" s="5">
        <f t="shared" si="20"/>
        <v>0</v>
      </c>
      <c r="BV28" s="19">
        <f t="shared" si="21"/>
        <v>2.605399151548099E-2</v>
      </c>
      <c r="BX28" s="19">
        <f t="shared" si="22"/>
        <v>0</v>
      </c>
      <c r="BY28" s="19">
        <f t="shared" si="23"/>
        <v>2.605399151548099E-2</v>
      </c>
      <c r="CL28" s="16"/>
      <c r="CM28" s="8"/>
      <c r="CN28" s="8"/>
      <c r="CO28" s="8"/>
      <c r="CP28" s="17"/>
      <c r="CQ28" s="8"/>
      <c r="CR28" s="8"/>
      <c r="CS28" s="8"/>
      <c r="CT28" s="8"/>
    </row>
    <row r="29" spans="1:98" ht="15.75" thickBot="1" x14ac:dyDescent="0.3">
      <c r="A29" s="1">
        <v>46064</v>
      </c>
      <c r="B29" s="7">
        <v>230.95</v>
      </c>
      <c r="C29" s="7">
        <v>266.87</v>
      </c>
      <c r="D29" s="12">
        <v>-9.7380983269867299E-3</v>
      </c>
      <c r="E29" s="12">
        <v>-1.84887951475474E-2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230.95</v>
      </c>
      <c r="M29" s="7">
        <v>266.87</v>
      </c>
      <c r="N29" s="10">
        <v>1.1555315003247399</v>
      </c>
      <c r="O29" s="10">
        <v>1.1658179450689301</v>
      </c>
      <c r="P29" s="10">
        <v>1.1695876406853101</v>
      </c>
      <c r="Q29" s="10">
        <v>1.1847916530286</v>
      </c>
      <c r="R29" s="7">
        <v>269.24565441367002</v>
      </c>
      <c r="S29" s="7">
        <v>271.25612662872499</v>
      </c>
      <c r="T29" s="7">
        <v>273.96525092065701</v>
      </c>
      <c r="U29" s="12">
        <v>8.8625278654762708E-3</v>
      </c>
      <c r="V29" s="12">
        <v>1.6301842804893101E-2</v>
      </c>
      <c r="W29" s="12">
        <v>2.6239628443712401E-2</v>
      </c>
      <c r="X29" s="10">
        <v>1.1555315003247399</v>
      </c>
      <c r="Y29" s="10">
        <v>1.16578176214971</v>
      </c>
      <c r="Z29" s="10">
        <v>1.1695876406853101</v>
      </c>
      <c r="AA29" s="10">
        <v>1.1847916530286</v>
      </c>
      <c r="AB29" s="7">
        <v>269.23729796847698</v>
      </c>
      <c r="AC29" s="7">
        <v>271.25612662872499</v>
      </c>
      <c r="AD29" s="7">
        <v>273.96525092065701</v>
      </c>
      <c r="AE29" s="12">
        <v>8.83149087477067E-3</v>
      </c>
      <c r="AF29" s="12">
        <v>1.6301842804893101E-2</v>
      </c>
      <c r="AG29" s="12">
        <v>2.6239628443712401E-2</v>
      </c>
      <c r="AZ29" s="5"/>
      <c r="BB29">
        <f t="shared" si="6"/>
        <v>0</v>
      </c>
      <c r="BC29">
        <f t="shared" si="7"/>
        <v>1</v>
      </c>
      <c r="BD29">
        <f t="shared" si="8"/>
        <v>0</v>
      </c>
      <c r="BE29">
        <f t="shared" si="4"/>
        <v>1</v>
      </c>
      <c r="BF29">
        <f t="shared" si="9"/>
        <v>0</v>
      </c>
      <c r="BG29" s="5">
        <f t="shared" si="10"/>
        <v>0</v>
      </c>
      <c r="BH29" s="5">
        <f t="shared" si="11"/>
        <v>0</v>
      </c>
      <c r="BI29" s="5">
        <f t="shared" si="12"/>
        <v>0</v>
      </c>
      <c r="BJ29" s="19">
        <f t="shared" si="13"/>
        <v>0</v>
      </c>
      <c r="BL29" s="5"/>
      <c r="BN29">
        <f t="shared" si="14"/>
        <v>0</v>
      </c>
      <c r="BO29">
        <f t="shared" si="15"/>
        <v>0</v>
      </c>
      <c r="BP29">
        <f t="shared" si="16"/>
        <v>0</v>
      </c>
      <c r="BQ29">
        <f t="shared" si="5"/>
        <v>1</v>
      </c>
      <c r="BR29">
        <f t="shared" si="17"/>
        <v>0</v>
      </c>
      <c r="BS29" s="5">
        <f t="shared" si="18"/>
        <v>0</v>
      </c>
      <c r="BT29" s="5">
        <f t="shared" si="19"/>
        <v>0</v>
      </c>
      <c r="BU29" s="5">
        <f t="shared" si="20"/>
        <v>0</v>
      </c>
      <c r="BV29" s="19">
        <f t="shared" si="21"/>
        <v>2.605399151548099E-2</v>
      </c>
      <c r="BX29" s="19">
        <f t="shared" si="22"/>
        <v>0</v>
      </c>
      <c r="BY29" s="19">
        <f t="shared" si="23"/>
        <v>2.605399151548099E-2</v>
      </c>
      <c r="CL29" s="16"/>
      <c r="CM29" s="8"/>
      <c r="CN29" s="8"/>
      <c r="CO29" s="8"/>
      <c r="CP29" s="8"/>
      <c r="CQ29" s="18"/>
      <c r="CR29" s="8"/>
      <c r="CS29" s="8"/>
      <c r="CT29" s="8"/>
    </row>
    <row r="30" spans="1:98" x14ac:dyDescent="0.25">
      <c r="A30" s="1">
        <v>46065</v>
      </c>
      <c r="B30" s="7">
        <v>232.53</v>
      </c>
      <c r="C30" s="7">
        <v>267.68</v>
      </c>
      <c r="D30" s="12">
        <v>6.8180120849153196E-3</v>
      </c>
      <c r="E30" s="12">
        <v>3.0305887941315499E-3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232.53</v>
      </c>
      <c r="M30" s="7">
        <v>267.68</v>
      </c>
      <c r="N30" s="10">
        <v>1.1511632907581799</v>
      </c>
      <c r="O30" s="10">
        <v>1.1658179450689301</v>
      </c>
      <c r="P30" s="10">
        <v>1.16531656534494</v>
      </c>
      <c r="Q30" s="10">
        <v>1.1826178389747699</v>
      </c>
      <c r="R30" s="7">
        <v>271.087646766879</v>
      </c>
      <c r="S30" s="7">
        <v>271.96421408855599</v>
      </c>
      <c r="T30" s="7">
        <v>275.49960307874198</v>
      </c>
      <c r="U30" s="12">
        <v>1.2649951156260201E-2</v>
      </c>
      <c r="V30" s="12">
        <v>1.58782545510417E-2</v>
      </c>
      <c r="W30" s="12">
        <v>2.8793950622899099E-2</v>
      </c>
      <c r="X30" s="10">
        <v>1.1511632907581799</v>
      </c>
      <c r="Y30" s="10">
        <v>1.16578176214971</v>
      </c>
      <c r="Z30" s="10">
        <v>1.16531656534494</v>
      </c>
      <c r="AA30" s="10">
        <v>1.1826178389747699</v>
      </c>
      <c r="AB30" s="7">
        <v>271.079233152673</v>
      </c>
      <c r="AC30" s="7">
        <v>271.96421408855599</v>
      </c>
      <c r="AD30" s="7">
        <v>275.49960307874198</v>
      </c>
      <c r="AE30" s="12">
        <v>1.26189141655541E-2</v>
      </c>
      <c r="AF30" s="12">
        <v>1.58782545510417E-2</v>
      </c>
      <c r="AG30" s="12">
        <v>2.8793950622899099E-2</v>
      </c>
      <c r="AZ30" s="5"/>
      <c r="BB30">
        <f t="shared" si="6"/>
        <v>0</v>
      </c>
      <c r="BC30">
        <f t="shared" si="7"/>
        <v>1</v>
      </c>
      <c r="BD30">
        <f t="shared" si="8"/>
        <v>0</v>
      </c>
      <c r="BE30">
        <f t="shared" si="4"/>
        <v>1</v>
      </c>
      <c r="BF30">
        <f t="shared" si="9"/>
        <v>0</v>
      </c>
      <c r="BG30" s="5">
        <f t="shared" si="10"/>
        <v>0</v>
      </c>
      <c r="BH30" s="5">
        <f t="shared" si="11"/>
        <v>0</v>
      </c>
      <c r="BI30" s="5">
        <f t="shared" si="12"/>
        <v>0</v>
      </c>
      <c r="BJ30" s="19">
        <f t="shared" si="13"/>
        <v>0</v>
      </c>
      <c r="BL30" s="5"/>
      <c r="BN30">
        <f t="shared" si="14"/>
        <v>0</v>
      </c>
      <c r="BO30">
        <f t="shared" si="15"/>
        <v>0</v>
      </c>
      <c r="BP30">
        <f t="shared" si="16"/>
        <v>0</v>
      </c>
      <c r="BQ30">
        <f t="shared" si="5"/>
        <v>1</v>
      </c>
      <c r="BR30">
        <f t="shared" si="17"/>
        <v>0</v>
      </c>
      <c r="BS30" s="5">
        <f t="shared" si="18"/>
        <v>0</v>
      </c>
      <c r="BT30" s="5">
        <f t="shared" si="19"/>
        <v>0</v>
      </c>
      <c r="BU30" s="5">
        <f t="shared" si="20"/>
        <v>0</v>
      </c>
      <c r="BV30" s="19">
        <f t="shared" si="21"/>
        <v>2.605399151548099E-2</v>
      </c>
      <c r="BX30" s="19">
        <f t="shared" si="22"/>
        <v>0</v>
      </c>
      <c r="BY30" s="19">
        <f t="shared" si="23"/>
        <v>2.605399151548099E-2</v>
      </c>
      <c r="CL30" s="16"/>
      <c r="CM30" s="8"/>
      <c r="CN30" s="8"/>
      <c r="CO30" s="8"/>
      <c r="CP30" s="8"/>
      <c r="CQ30" s="8"/>
      <c r="CR30" s="8"/>
      <c r="CS30" s="8"/>
      <c r="CT30" s="8"/>
    </row>
    <row r="31" spans="1:98" x14ac:dyDescent="0.25">
      <c r="A31" s="1">
        <v>46066</v>
      </c>
      <c r="B31" s="7">
        <v>234.87</v>
      </c>
      <c r="C31" s="7">
        <v>270.72000000000003</v>
      </c>
      <c r="D31" s="12">
        <v>1.0012920626402799E-2</v>
      </c>
      <c r="E31" s="12">
        <v>1.1292839179344601E-2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234.87</v>
      </c>
      <c r="M31" s="7">
        <v>270.72000000000003</v>
      </c>
      <c r="N31" s="10">
        <v>1.1526376293268601</v>
      </c>
      <c r="O31" s="10">
        <v>1.1658179450689301</v>
      </c>
      <c r="P31" s="10">
        <v>1.1631175517908401</v>
      </c>
      <c r="Q31" s="10">
        <v>1.18024184348743</v>
      </c>
      <c r="R31" s="7">
        <v>273.81566075834098</v>
      </c>
      <c r="S31" s="7">
        <v>273.69790170256698</v>
      </c>
      <c r="T31" s="7">
        <v>277.76145184000598</v>
      </c>
      <c r="U31" s="12">
        <v>1.13700326033182E-2</v>
      </c>
      <c r="V31" s="12">
        <v>1.0939873185677599E-2</v>
      </c>
      <c r="W31" s="12">
        <v>2.5677581999014799E-2</v>
      </c>
      <c r="X31" s="10">
        <v>1.1526376293268601</v>
      </c>
      <c r="Y31" s="10">
        <v>1.16578176214971</v>
      </c>
      <c r="Z31" s="10">
        <v>1.1631175517908401</v>
      </c>
      <c r="AA31" s="10">
        <v>1.18024184348743</v>
      </c>
      <c r="AB31" s="7">
        <v>273.807162476104</v>
      </c>
      <c r="AC31" s="7">
        <v>273.69790170256698</v>
      </c>
      <c r="AD31" s="7">
        <v>277.76145184000598</v>
      </c>
      <c r="AE31" s="12">
        <v>1.13389956126123E-2</v>
      </c>
      <c r="AF31" s="12">
        <v>1.0939873185677599E-2</v>
      </c>
      <c r="AG31" s="12">
        <v>2.5677581999014799E-2</v>
      </c>
      <c r="AZ31" s="5"/>
      <c r="BB31">
        <f t="shared" si="6"/>
        <v>0</v>
      </c>
      <c r="BC31">
        <f t="shared" si="7"/>
        <v>1</v>
      </c>
      <c r="BD31">
        <f t="shared" si="8"/>
        <v>0</v>
      </c>
      <c r="BE31">
        <f t="shared" si="4"/>
        <v>1</v>
      </c>
      <c r="BF31">
        <f t="shared" si="9"/>
        <v>0</v>
      </c>
      <c r="BG31" s="5">
        <f t="shared" si="10"/>
        <v>0</v>
      </c>
      <c r="BH31" s="5">
        <f t="shared" si="11"/>
        <v>0</v>
      </c>
      <c r="BI31" s="5">
        <f t="shared" si="12"/>
        <v>0</v>
      </c>
      <c r="BJ31" s="19">
        <f t="shared" si="13"/>
        <v>0</v>
      </c>
      <c r="BL31" s="5"/>
      <c r="BN31">
        <f t="shared" si="14"/>
        <v>0</v>
      </c>
      <c r="BO31">
        <f t="shared" si="15"/>
        <v>0</v>
      </c>
      <c r="BP31">
        <f t="shared" si="16"/>
        <v>0</v>
      </c>
      <c r="BQ31">
        <f t="shared" si="5"/>
        <v>1</v>
      </c>
      <c r="BR31">
        <f t="shared" si="17"/>
        <v>0</v>
      </c>
      <c r="BS31" s="5">
        <f t="shared" si="18"/>
        <v>0</v>
      </c>
      <c r="BT31" s="5">
        <f t="shared" si="19"/>
        <v>0</v>
      </c>
      <c r="BU31" s="5">
        <f t="shared" si="20"/>
        <v>0</v>
      </c>
      <c r="BV31" s="19">
        <f t="shared" si="21"/>
        <v>2.605399151548099E-2</v>
      </c>
      <c r="BX31" s="19">
        <f t="shared" si="22"/>
        <v>0</v>
      </c>
      <c r="BY31" s="19">
        <f t="shared" si="23"/>
        <v>2.605399151548099E-2</v>
      </c>
      <c r="CL31" s="16"/>
      <c r="CM31" s="8"/>
      <c r="CN31" s="8"/>
      <c r="CO31" s="8"/>
      <c r="CP31" s="8"/>
      <c r="CQ31" s="8"/>
      <c r="CR31" s="8"/>
      <c r="CS31" s="8"/>
      <c r="CT31" s="8"/>
    </row>
    <row r="32" spans="1:98" x14ac:dyDescent="0.25">
      <c r="A32" s="1">
        <v>46070</v>
      </c>
      <c r="B32" s="7">
        <v>238.17</v>
      </c>
      <c r="C32" s="7">
        <v>273.51</v>
      </c>
      <c r="D32" s="12">
        <v>1.39525348171992E-2</v>
      </c>
      <c r="E32" s="12">
        <v>1.02531078470624E-2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238.17</v>
      </c>
      <c r="M32" s="7">
        <v>273.51</v>
      </c>
      <c r="N32" s="10">
        <v>1.1483814082378101</v>
      </c>
      <c r="O32" s="10">
        <v>1.1658179450689301</v>
      </c>
      <c r="P32" s="10">
        <v>1.16103234947567</v>
      </c>
      <c r="Q32" s="10">
        <v>1.1776166098422101</v>
      </c>
      <c r="R32" s="7">
        <v>277.66285997706802</v>
      </c>
      <c r="S32" s="7">
        <v>277.01970731002501</v>
      </c>
      <c r="T32" s="7">
        <v>281.09819986340102</v>
      </c>
      <c r="U32" s="12">
        <v>1.5069459573454701E-2</v>
      </c>
      <c r="V32" s="12">
        <v>1.27504649152517E-2</v>
      </c>
      <c r="W32" s="12">
        <v>2.7365889725962201E-2</v>
      </c>
      <c r="X32" s="10">
        <v>1.1483814082378101</v>
      </c>
      <c r="Y32" s="10">
        <v>1.16578176214971</v>
      </c>
      <c r="Z32" s="10">
        <v>1.16103234947567</v>
      </c>
      <c r="AA32" s="10">
        <v>1.1776166098422101</v>
      </c>
      <c r="AB32" s="7">
        <v>277.65424229119799</v>
      </c>
      <c r="AC32" s="7">
        <v>277.01970731002501</v>
      </c>
      <c r="AD32" s="7">
        <v>281.09819986340102</v>
      </c>
      <c r="AE32" s="12">
        <v>1.5038422582748999E-2</v>
      </c>
      <c r="AF32" s="12">
        <v>1.27504649152517E-2</v>
      </c>
      <c r="AG32" s="12">
        <v>2.7365889725962201E-2</v>
      </c>
      <c r="AZ32" s="5"/>
      <c r="BB32">
        <f t="shared" si="6"/>
        <v>0</v>
      </c>
      <c r="BC32">
        <f t="shared" si="7"/>
        <v>1</v>
      </c>
      <c r="BD32">
        <f t="shared" si="8"/>
        <v>0</v>
      </c>
      <c r="BE32">
        <f t="shared" si="4"/>
        <v>1</v>
      </c>
      <c r="BF32">
        <f t="shared" si="9"/>
        <v>0</v>
      </c>
      <c r="BG32" s="5">
        <f t="shared" si="10"/>
        <v>0</v>
      </c>
      <c r="BH32" s="5">
        <f t="shared" si="11"/>
        <v>0</v>
      </c>
      <c r="BI32" s="5">
        <f t="shared" si="12"/>
        <v>0</v>
      </c>
      <c r="BJ32" s="19">
        <f t="shared" si="13"/>
        <v>0</v>
      </c>
      <c r="BL32" s="5"/>
      <c r="BN32">
        <f t="shared" si="14"/>
        <v>0</v>
      </c>
      <c r="BO32">
        <f t="shared" si="15"/>
        <v>0</v>
      </c>
      <c r="BP32">
        <f t="shared" si="16"/>
        <v>0</v>
      </c>
      <c r="BQ32">
        <f t="shared" si="5"/>
        <v>1</v>
      </c>
      <c r="BR32">
        <f t="shared" si="17"/>
        <v>0</v>
      </c>
      <c r="BS32" s="5">
        <f t="shared" si="18"/>
        <v>0</v>
      </c>
      <c r="BT32" s="5">
        <f t="shared" si="19"/>
        <v>0</v>
      </c>
      <c r="BU32" s="5">
        <f t="shared" si="20"/>
        <v>0</v>
      </c>
      <c r="BV32" s="19">
        <f t="shared" si="21"/>
        <v>2.605399151548099E-2</v>
      </c>
      <c r="BX32" s="19">
        <f t="shared" si="22"/>
        <v>0</v>
      </c>
      <c r="BY32" s="19">
        <f t="shared" si="23"/>
        <v>2.605399151548099E-2</v>
      </c>
      <c r="CL32" s="16"/>
      <c r="CM32" s="8"/>
      <c r="CN32" s="8"/>
      <c r="CO32" s="8"/>
      <c r="CP32" s="8"/>
      <c r="CQ32" s="8"/>
      <c r="CR32" s="8"/>
      <c r="CS32" s="8"/>
      <c r="CT32" s="8"/>
    </row>
    <row r="33" spans="1:98" x14ac:dyDescent="0.25">
      <c r="A33" s="1">
        <v>46071</v>
      </c>
      <c r="B33" s="7">
        <v>240.32</v>
      </c>
      <c r="C33" s="7">
        <v>278.32</v>
      </c>
      <c r="D33" s="12">
        <v>8.9866641706382502E-3</v>
      </c>
      <c r="E33" s="12">
        <v>1.74333465787655E-2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240.32</v>
      </c>
      <c r="M33" s="7">
        <v>278.32</v>
      </c>
      <c r="N33" s="10">
        <v>1.15812250332889</v>
      </c>
      <c r="O33" s="10">
        <v>1.1658179450689301</v>
      </c>
      <c r="P33" s="10">
        <v>1.15809326712913</v>
      </c>
      <c r="Q33" s="10">
        <v>1.17582117973333</v>
      </c>
      <c r="R33" s="7">
        <v>280.16936855896603</v>
      </c>
      <c r="S33" s="7">
        <v>279.01929422599301</v>
      </c>
      <c r="T33" s="7">
        <v>283.00482367728102</v>
      </c>
      <c r="U33" s="12">
        <v>6.62277716532759E-3</v>
      </c>
      <c r="V33" s="12">
        <v>2.5094035184647099E-3</v>
      </c>
      <c r="W33" s="12">
        <v>1.6692411450339499E-2</v>
      </c>
      <c r="X33" s="10">
        <v>1.15812250332889</v>
      </c>
      <c r="Y33" s="10">
        <v>1.16578176214971</v>
      </c>
      <c r="Z33" s="10">
        <v>1.15809326712913</v>
      </c>
      <c r="AA33" s="10">
        <v>1.17582117973333</v>
      </c>
      <c r="AB33" s="7">
        <v>280.16067307982001</v>
      </c>
      <c r="AC33" s="7">
        <v>279.01929422599301</v>
      </c>
      <c r="AD33" s="7">
        <v>283.00482367728102</v>
      </c>
      <c r="AE33" s="12">
        <v>6.5917401746217697E-3</v>
      </c>
      <c r="AF33" s="12">
        <v>2.5094035184647099E-3</v>
      </c>
      <c r="AG33" s="12">
        <v>1.6692411450339499E-2</v>
      </c>
      <c r="AZ33" s="5"/>
      <c r="BB33">
        <f t="shared" si="6"/>
        <v>0</v>
      </c>
      <c r="BC33">
        <f t="shared" si="7"/>
        <v>1</v>
      </c>
      <c r="BD33">
        <f t="shared" si="8"/>
        <v>0</v>
      </c>
      <c r="BE33">
        <f t="shared" si="4"/>
        <v>1</v>
      </c>
      <c r="BF33">
        <f t="shared" si="9"/>
        <v>0</v>
      </c>
      <c r="BG33" s="5">
        <f t="shared" si="10"/>
        <v>0</v>
      </c>
      <c r="BH33" s="5">
        <f t="shared" si="11"/>
        <v>0</v>
      </c>
      <c r="BI33" s="5">
        <f t="shared" si="12"/>
        <v>0</v>
      </c>
      <c r="BJ33" s="19">
        <f t="shared" si="13"/>
        <v>0</v>
      </c>
      <c r="BL33" s="5"/>
      <c r="BN33">
        <f t="shared" si="14"/>
        <v>0</v>
      </c>
      <c r="BO33">
        <f t="shared" si="15"/>
        <v>1</v>
      </c>
      <c r="BP33">
        <f t="shared" si="16"/>
        <v>0</v>
      </c>
      <c r="BQ33">
        <f t="shared" si="5"/>
        <v>1</v>
      </c>
      <c r="BR33">
        <f t="shared" si="17"/>
        <v>0</v>
      </c>
      <c r="BS33" s="5">
        <f t="shared" si="18"/>
        <v>0</v>
      </c>
      <c r="BT33" s="5">
        <f t="shared" si="19"/>
        <v>0</v>
      </c>
      <c r="BU33" s="5">
        <f t="shared" si="20"/>
        <v>0</v>
      </c>
      <c r="BV33" s="19">
        <f t="shared" si="21"/>
        <v>2.605399151548099E-2</v>
      </c>
      <c r="BX33" s="19">
        <f t="shared" si="22"/>
        <v>0</v>
      </c>
      <c r="BY33" s="19">
        <f t="shared" si="23"/>
        <v>2.605399151548099E-2</v>
      </c>
      <c r="CL33" s="16"/>
      <c r="CM33" s="8"/>
      <c r="CN33" s="8"/>
      <c r="CO33" s="8"/>
      <c r="CP33" s="8"/>
      <c r="CQ33" s="8"/>
      <c r="CR33" s="8"/>
      <c r="CS33" s="8"/>
      <c r="CT33" s="8"/>
    </row>
    <row r="34" spans="1:98" x14ac:dyDescent="0.25">
      <c r="A34" s="1">
        <v>46072</v>
      </c>
      <c r="B34" s="7">
        <v>243.49</v>
      </c>
      <c r="C34" s="7">
        <v>284.45999999999998</v>
      </c>
      <c r="D34" s="12">
        <v>1.3104505341763901E-2</v>
      </c>
      <c r="E34" s="12">
        <v>2.18211152983953E-2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243.49</v>
      </c>
      <c r="M34" s="7">
        <v>284.45999999999998</v>
      </c>
      <c r="N34" s="10">
        <v>1.16826153024764</v>
      </c>
      <c r="O34" s="10">
        <v>1.1658179450689301</v>
      </c>
      <c r="P34" s="10">
        <v>1.15873520962758</v>
      </c>
      <c r="Q34" s="10">
        <v>1.17485730531551</v>
      </c>
      <c r="R34" s="7">
        <v>283.86501144483498</v>
      </c>
      <c r="S34" s="7">
        <v>281.98412961327199</v>
      </c>
      <c r="T34" s="7">
        <v>286.30069905327002</v>
      </c>
      <c r="U34" s="12">
        <v>-2.0938327913038201E-3</v>
      </c>
      <c r="V34" s="12">
        <v>-8.7418547547523599E-3</v>
      </c>
      <c r="W34" s="12">
        <v>6.4500076400065597E-3</v>
      </c>
      <c r="X34" s="10">
        <v>1.16826153024764</v>
      </c>
      <c r="Y34" s="10">
        <v>1.16578176214971</v>
      </c>
      <c r="Z34" s="10">
        <v>1.15873520962758</v>
      </c>
      <c r="AA34" s="10">
        <v>1.17485730531551</v>
      </c>
      <c r="AB34" s="7">
        <v>283.85620126583399</v>
      </c>
      <c r="AC34" s="7">
        <v>281.98412961327199</v>
      </c>
      <c r="AD34" s="7">
        <v>286.30069905327002</v>
      </c>
      <c r="AE34" s="12">
        <v>-2.1248697820095098E-3</v>
      </c>
      <c r="AF34" s="12">
        <v>-8.7418547547523599E-3</v>
      </c>
      <c r="AG34" s="12">
        <v>6.4500076400065597E-3</v>
      </c>
      <c r="AZ34" s="5"/>
      <c r="BB34">
        <f t="shared" si="6"/>
        <v>0</v>
      </c>
      <c r="BC34">
        <f t="shared" si="7"/>
        <v>1</v>
      </c>
      <c r="BD34">
        <f t="shared" si="8"/>
        <v>0</v>
      </c>
      <c r="BE34">
        <f t="shared" si="4"/>
        <v>1</v>
      </c>
      <c r="BF34">
        <f t="shared" si="9"/>
        <v>0</v>
      </c>
      <c r="BG34" s="5">
        <f t="shared" si="10"/>
        <v>0</v>
      </c>
      <c r="BH34" s="5">
        <f t="shared" si="11"/>
        <v>0</v>
      </c>
      <c r="BI34" s="5">
        <f t="shared" si="12"/>
        <v>0</v>
      </c>
      <c r="BJ34" s="19">
        <f t="shared" si="13"/>
        <v>0</v>
      </c>
      <c r="BL34" s="5"/>
      <c r="BN34">
        <f t="shared" si="14"/>
        <v>0</v>
      </c>
      <c r="BO34">
        <f t="shared" si="15"/>
        <v>1</v>
      </c>
      <c r="BP34">
        <f t="shared" si="16"/>
        <v>0</v>
      </c>
      <c r="BQ34">
        <f t="shared" si="5"/>
        <v>1</v>
      </c>
      <c r="BR34">
        <f t="shared" si="17"/>
        <v>0</v>
      </c>
      <c r="BS34" s="5">
        <f t="shared" si="18"/>
        <v>0</v>
      </c>
      <c r="BT34" s="5">
        <f t="shared" si="19"/>
        <v>0</v>
      </c>
      <c r="BU34" s="5">
        <f t="shared" si="20"/>
        <v>0</v>
      </c>
      <c r="BV34" s="19">
        <f t="shared" si="21"/>
        <v>2.605399151548099E-2</v>
      </c>
      <c r="BX34" s="19">
        <f t="shared" si="22"/>
        <v>0</v>
      </c>
      <c r="BY34" s="19">
        <f t="shared" si="23"/>
        <v>2.605399151548099E-2</v>
      </c>
    </row>
    <row r="35" spans="1:98" x14ac:dyDescent="0.25">
      <c r="A35" s="1">
        <v>46073</v>
      </c>
      <c r="B35" s="7">
        <v>243.65</v>
      </c>
      <c r="C35" s="7">
        <v>282.01</v>
      </c>
      <c r="D35" s="12">
        <v>6.5689537198128096E-4</v>
      </c>
      <c r="E35" s="12">
        <v>-8.6501148397867093E-3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243.65</v>
      </c>
      <c r="M35" s="7">
        <v>282.01</v>
      </c>
      <c r="N35" s="10">
        <v>1.1574389493125301</v>
      </c>
      <c r="O35" s="10">
        <v>1.1658179450689301</v>
      </c>
      <c r="P35" s="10">
        <v>1.1598005299722201</v>
      </c>
      <c r="Q35" s="10">
        <v>1.17220851662644</v>
      </c>
      <c r="R35" s="7">
        <v>284.05154231604598</v>
      </c>
      <c r="S35" s="7">
        <v>282.32583382575899</v>
      </c>
      <c r="T35" s="7">
        <v>286.25398244012501</v>
      </c>
      <c r="U35" s="12">
        <v>7.2131774204641699E-3</v>
      </c>
      <c r="V35" s="12">
        <v>1.1193117282432899E-3</v>
      </c>
      <c r="W35" s="12">
        <v>1.49369359239638E-2</v>
      </c>
      <c r="X35" s="10">
        <v>1.1574389493125301</v>
      </c>
      <c r="Y35" s="10">
        <v>1.16578176214971</v>
      </c>
      <c r="Z35" s="10">
        <v>1.1598005299722201</v>
      </c>
      <c r="AA35" s="10">
        <v>1.17220851662644</v>
      </c>
      <c r="AB35" s="7">
        <v>284.042726347778</v>
      </c>
      <c r="AC35" s="7">
        <v>282.32583382575899</v>
      </c>
      <c r="AD35" s="7">
        <v>286.25398244012501</v>
      </c>
      <c r="AE35" s="12">
        <v>7.1821404297584598E-3</v>
      </c>
      <c r="AF35" s="12">
        <v>1.1193117282432899E-3</v>
      </c>
      <c r="AG35" s="12">
        <v>1.49369359239638E-2</v>
      </c>
      <c r="AZ35" s="5"/>
      <c r="BB35">
        <f t="shared" si="6"/>
        <v>0</v>
      </c>
      <c r="BC35">
        <f t="shared" si="7"/>
        <v>1</v>
      </c>
      <c r="BD35">
        <f t="shared" si="8"/>
        <v>0</v>
      </c>
      <c r="BE35">
        <f t="shared" si="4"/>
        <v>1</v>
      </c>
      <c r="BF35">
        <f t="shared" si="9"/>
        <v>0</v>
      </c>
      <c r="BG35" s="5">
        <f t="shared" si="10"/>
        <v>0</v>
      </c>
      <c r="BH35" s="5">
        <f t="shared" si="11"/>
        <v>0</v>
      </c>
      <c r="BI35" s="5">
        <f t="shared" si="12"/>
        <v>0</v>
      </c>
      <c r="BJ35" s="19">
        <f t="shared" si="13"/>
        <v>0</v>
      </c>
      <c r="BL35" s="5"/>
      <c r="BN35">
        <f t="shared" si="14"/>
        <v>0</v>
      </c>
      <c r="BO35">
        <f t="shared" si="15"/>
        <v>1</v>
      </c>
      <c r="BP35">
        <f t="shared" si="16"/>
        <v>0</v>
      </c>
      <c r="BQ35">
        <f t="shared" si="5"/>
        <v>1</v>
      </c>
      <c r="BR35">
        <f t="shared" si="17"/>
        <v>0</v>
      </c>
      <c r="BS35" s="5">
        <f t="shared" si="18"/>
        <v>0</v>
      </c>
      <c r="BT35" s="5">
        <f t="shared" si="19"/>
        <v>0</v>
      </c>
      <c r="BU35" s="5">
        <f t="shared" si="20"/>
        <v>0</v>
      </c>
      <c r="BV35" s="19">
        <f t="shared" si="21"/>
        <v>2.605399151548099E-2</v>
      </c>
      <c r="BX35" s="19">
        <f t="shared" si="22"/>
        <v>0</v>
      </c>
      <c r="BY35" s="19">
        <f t="shared" si="23"/>
        <v>2.605399151548099E-2</v>
      </c>
    </row>
    <row r="36" spans="1:98" x14ac:dyDescent="0.25">
      <c r="A36" s="1">
        <v>46076</v>
      </c>
      <c r="B36" s="7">
        <v>241.26</v>
      </c>
      <c r="C36" s="7">
        <v>278.89</v>
      </c>
      <c r="D36" s="12">
        <v>-9.8575791522776193E-3</v>
      </c>
      <c r="E36" s="12">
        <v>-1.1125092456876399E-2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241.26</v>
      </c>
      <c r="M36" s="7">
        <v>278.89</v>
      </c>
      <c r="N36" s="10">
        <v>1.1559728094172199</v>
      </c>
      <c r="O36" s="10">
        <v>1.1658179450689301</v>
      </c>
      <c r="P36" s="10">
        <v>1.1590253918142099</v>
      </c>
      <c r="Q36" s="10">
        <v>1.1697740350485499</v>
      </c>
      <c r="R36" s="7">
        <v>281.26523742733099</v>
      </c>
      <c r="S36" s="7">
        <v>279.81347586109803</v>
      </c>
      <c r="T36" s="7">
        <v>282.80702672129701</v>
      </c>
      <c r="U36" s="12">
        <v>8.480690725063E-3</v>
      </c>
      <c r="V36" s="12">
        <v>3.3057847033073902E-3</v>
      </c>
      <c r="W36" s="12">
        <v>1.39473418318864E-2</v>
      </c>
      <c r="X36" s="10">
        <v>1.1559728094172199</v>
      </c>
      <c r="Y36" s="10">
        <v>1.16578176214971</v>
      </c>
      <c r="Z36" s="10">
        <v>1.1590253918142099</v>
      </c>
      <c r="AA36" s="10">
        <v>1.1697740350485499</v>
      </c>
      <c r="AB36" s="7">
        <v>281.25650793623998</v>
      </c>
      <c r="AC36" s="7">
        <v>279.81347586109803</v>
      </c>
      <c r="AD36" s="7">
        <v>282.80702672129701</v>
      </c>
      <c r="AE36" s="12">
        <v>8.4496537343573402E-3</v>
      </c>
      <c r="AF36" s="12">
        <v>3.3057847033073902E-3</v>
      </c>
      <c r="AG36" s="12">
        <v>1.39473418318864E-2</v>
      </c>
      <c r="AZ36" s="5"/>
      <c r="BB36">
        <f t="shared" si="6"/>
        <v>0</v>
      </c>
      <c r="BC36">
        <f t="shared" si="7"/>
        <v>1</v>
      </c>
      <c r="BD36">
        <f t="shared" si="8"/>
        <v>0</v>
      </c>
      <c r="BE36">
        <f t="shared" si="4"/>
        <v>1</v>
      </c>
      <c r="BF36">
        <f t="shared" si="9"/>
        <v>0</v>
      </c>
      <c r="BG36" s="5">
        <f t="shared" si="10"/>
        <v>0</v>
      </c>
      <c r="BH36" s="5">
        <f t="shared" si="11"/>
        <v>0</v>
      </c>
      <c r="BI36" s="5">
        <f t="shared" si="12"/>
        <v>0</v>
      </c>
      <c r="BJ36" s="19">
        <f t="shared" si="13"/>
        <v>0</v>
      </c>
      <c r="BL36" s="5"/>
      <c r="BN36">
        <f t="shared" si="14"/>
        <v>0</v>
      </c>
      <c r="BO36">
        <f t="shared" si="15"/>
        <v>1</v>
      </c>
      <c r="BP36">
        <f t="shared" si="16"/>
        <v>0</v>
      </c>
      <c r="BQ36">
        <f t="shared" si="5"/>
        <v>1</v>
      </c>
      <c r="BR36">
        <f t="shared" si="17"/>
        <v>0</v>
      </c>
      <c r="BS36" s="5">
        <f t="shared" si="18"/>
        <v>0</v>
      </c>
      <c r="BT36" s="5">
        <f t="shared" si="19"/>
        <v>0</v>
      </c>
      <c r="BU36" s="5">
        <f t="shared" si="20"/>
        <v>0</v>
      </c>
      <c r="BV36" s="19">
        <f t="shared" si="21"/>
        <v>2.605399151548099E-2</v>
      </c>
      <c r="BX36" s="19">
        <f t="shared" si="22"/>
        <v>0</v>
      </c>
      <c r="BY36" s="19">
        <f t="shared" si="23"/>
        <v>2.605399151548099E-2</v>
      </c>
    </row>
    <row r="37" spans="1:98" x14ac:dyDescent="0.25">
      <c r="A37" s="1">
        <v>46077</v>
      </c>
      <c r="B37" s="7">
        <v>243.11</v>
      </c>
      <c r="C37" s="7">
        <v>282.91000000000003</v>
      </c>
      <c r="D37" s="12">
        <v>7.6388256740583501E-3</v>
      </c>
      <c r="E37" s="12">
        <v>1.43113870169394E-2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243.11</v>
      </c>
      <c r="M37" s="7">
        <v>282.91000000000003</v>
      </c>
      <c r="N37" s="10">
        <v>1.1637118999629701</v>
      </c>
      <c r="O37" s="10">
        <v>1.1658179450689301</v>
      </c>
      <c r="P37" s="10">
        <v>1.1576909098636501</v>
      </c>
      <c r="Q37" s="10">
        <v>1.1679694852185301</v>
      </c>
      <c r="R37" s="7">
        <v>283.42200062570902</v>
      </c>
      <c r="S37" s="7">
        <v>281.77066300395302</v>
      </c>
      <c r="T37" s="7">
        <v>284.383765660655</v>
      </c>
      <c r="U37" s="12">
        <v>1.8081293821819999E-3</v>
      </c>
      <c r="V37" s="12">
        <v>-4.0353375518848702E-3</v>
      </c>
      <c r="W37" s="12">
        <v>5.1957876690023903E-3</v>
      </c>
      <c r="X37" s="10">
        <v>1.1637118999629701</v>
      </c>
      <c r="Y37" s="10">
        <v>1.16578176214971</v>
      </c>
      <c r="Z37" s="10">
        <v>1.1576909098636501</v>
      </c>
      <c r="AA37" s="10">
        <v>1.1679694852185301</v>
      </c>
      <c r="AB37" s="7">
        <v>283.41320419621701</v>
      </c>
      <c r="AC37" s="7">
        <v>281.77066300395302</v>
      </c>
      <c r="AD37" s="7">
        <v>284.383765660655</v>
      </c>
      <c r="AE37" s="12">
        <v>1.7770923914762901E-3</v>
      </c>
      <c r="AF37" s="12">
        <v>-4.0353375518848702E-3</v>
      </c>
      <c r="AG37" s="12">
        <v>5.1957876690023903E-3</v>
      </c>
      <c r="AZ37" s="5"/>
      <c r="BB37">
        <f t="shared" si="6"/>
        <v>0</v>
      </c>
      <c r="BC37">
        <f t="shared" si="7"/>
        <v>1</v>
      </c>
      <c r="BD37">
        <f t="shared" si="8"/>
        <v>0</v>
      </c>
      <c r="BE37">
        <f t="shared" si="4"/>
        <v>1</v>
      </c>
      <c r="BF37">
        <f t="shared" si="9"/>
        <v>0</v>
      </c>
      <c r="BG37" s="5">
        <f t="shared" si="10"/>
        <v>0</v>
      </c>
      <c r="BH37" s="5">
        <f t="shared" si="11"/>
        <v>0</v>
      </c>
      <c r="BI37" s="5">
        <f t="shared" si="12"/>
        <v>0</v>
      </c>
      <c r="BJ37" s="19">
        <f t="shared" si="13"/>
        <v>0</v>
      </c>
      <c r="BL37" s="5"/>
      <c r="BN37">
        <f t="shared" si="14"/>
        <v>0</v>
      </c>
      <c r="BO37">
        <f t="shared" si="15"/>
        <v>1</v>
      </c>
      <c r="BP37">
        <f t="shared" si="16"/>
        <v>0</v>
      </c>
      <c r="BQ37">
        <f t="shared" si="5"/>
        <v>1</v>
      </c>
      <c r="BR37">
        <f t="shared" si="17"/>
        <v>0</v>
      </c>
      <c r="BS37" s="5">
        <f t="shared" si="18"/>
        <v>0</v>
      </c>
      <c r="BT37" s="5">
        <f t="shared" si="19"/>
        <v>0</v>
      </c>
      <c r="BU37" s="5">
        <f t="shared" si="20"/>
        <v>0</v>
      </c>
      <c r="BV37" s="19">
        <f t="shared" si="21"/>
        <v>2.605399151548099E-2</v>
      </c>
      <c r="BX37" s="19">
        <f t="shared" si="22"/>
        <v>0</v>
      </c>
      <c r="BY37" s="19">
        <f t="shared" si="23"/>
        <v>2.605399151548099E-2</v>
      </c>
    </row>
    <row r="38" spans="1:98" x14ac:dyDescent="0.25">
      <c r="A38" s="1">
        <v>46078</v>
      </c>
      <c r="B38" s="7">
        <v>241.22</v>
      </c>
      <c r="C38" s="7">
        <v>280.54000000000002</v>
      </c>
      <c r="D38" s="12">
        <v>-7.80463565619916E-3</v>
      </c>
      <c r="E38" s="12">
        <v>-8.4125085708327395E-3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241.22</v>
      </c>
      <c r="M38" s="7">
        <v>280.54000000000002</v>
      </c>
      <c r="N38" s="10">
        <v>1.1630047259762799</v>
      </c>
      <c r="O38" s="10">
        <v>1.1658179450689301</v>
      </c>
      <c r="P38" s="10">
        <v>1.15742262468931</v>
      </c>
      <c r="Q38" s="10">
        <v>1.16597289846443</v>
      </c>
      <c r="R38" s="7">
        <v>281.21860470952799</v>
      </c>
      <c r="S38" s="7">
        <v>279.25820127730998</v>
      </c>
      <c r="T38" s="7">
        <v>281.73759922441297</v>
      </c>
      <c r="U38" s="12">
        <v>2.4160022968158202E-3</v>
      </c>
      <c r="V38" s="12">
        <v>-4.5795108305531299E-3</v>
      </c>
      <c r="W38" s="12">
        <v>4.2598212592591502E-3</v>
      </c>
      <c r="X38" s="10">
        <v>1.1630047259762799</v>
      </c>
      <c r="Y38" s="10">
        <v>1.16578176214971</v>
      </c>
      <c r="Z38" s="10">
        <v>1.15742262468931</v>
      </c>
      <c r="AA38" s="10">
        <v>1.16597289846443</v>
      </c>
      <c r="AB38" s="7">
        <v>281.209876665754</v>
      </c>
      <c r="AC38" s="7">
        <v>279.25820127730998</v>
      </c>
      <c r="AD38" s="7">
        <v>281.73759922441297</v>
      </c>
      <c r="AE38" s="12">
        <v>2.3849653061098499E-3</v>
      </c>
      <c r="AF38" s="12">
        <v>-4.5795108305531299E-3</v>
      </c>
      <c r="AG38" s="12">
        <v>4.2598212592591502E-3</v>
      </c>
      <c r="AZ38" s="5"/>
      <c r="BB38">
        <f t="shared" si="6"/>
        <v>0</v>
      </c>
      <c r="BC38">
        <f t="shared" si="7"/>
        <v>1</v>
      </c>
      <c r="BD38">
        <f t="shared" si="8"/>
        <v>0</v>
      </c>
      <c r="BE38">
        <f t="shared" si="4"/>
        <v>1</v>
      </c>
      <c r="BF38">
        <f t="shared" si="9"/>
        <v>0</v>
      </c>
      <c r="BG38" s="5">
        <f t="shared" si="10"/>
        <v>0</v>
      </c>
      <c r="BH38" s="5">
        <f t="shared" si="11"/>
        <v>0</v>
      </c>
      <c r="BI38" s="5">
        <f t="shared" si="12"/>
        <v>0</v>
      </c>
      <c r="BJ38" s="19">
        <f t="shared" si="13"/>
        <v>0</v>
      </c>
      <c r="BL38" s="5"/>
      <c r="BN38">
        <f t="shared" si="14"/>
        <v>0</v>
      </c>
      <c r="BO38">
        <f t="shared" si="15"/>
        <v>1</v>
      </c>
      <c r="BP38">
        <f t="shared" si="16"/>
        <v>0</v>
      </c>
      <c r="BQ38">
        <f t="shared" si="5"/>
        <v>1</v>
      </c>
      <c r="BR38">
        <f t="shared" si="17"/>
        <v>0</v>
      </c>
      <c r="BS38" s="5">
        <f t="shared" si="18"/>
        <v>0</v>
      </c>
      <c r="BT38" s="5">
        <f t="shared" si="19"/>
        <v>0</v>
      </c>
      <c r="BU38" s="5">
        <f t="shared" si="20"/>
        <v>0</v>
      </c>
      <c r="BV38" s="19">
        <f t="shared" si="21"/>
        <v>2.605399151548099E-2</v>
      </c>
      <c r="BX38" s="19">
        <f t="shared" si="22"/>
        <v>0</v>
      </c>
      <c r="BY38" s="19">
        <f t="shared" si="23"/>
        <v>2.605399151548099E-2</v>
      </c>
    </row>
    <row r="39" spans="1:98" x14ac:dyDescent="0.25">
      <c r="A39" s="1">
        <v>46079</v>
      </c>
      <c r="B39" s="7">
        <v>242.82</v>
      </c>
      <c r="C39" s="7">
        <v>283.70999999999998</v>
      </c>
      <c r="D39" s="12">
        <v>6.61104796073238E-3</v>
      </c>
      <c r="E39" s="12">
        <v>1.1236272404004899E-2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242.82</v>
      </c>
      <c r="M39" s="7">
        <v>283.70999999999998</v>
      </c>
      <c r="N39" s="10">
        <v>1.1683963429701001</v>
      </c>
      <c r="O39" s="10">
        <v>1.1658179450689301</v>
      </c>
      <c r="P39" s="10">
        <v>1.1587091089538499</v>
      </c>
      <c r="Q39" s="10">
        <v>1.16414837481958</v>
      </c>
      <c r="R39" s="7">
        <v>283.08391342163901</v>
      </c>
      <c r="S39" s="7">
        <v>281.04536172706003</v>
      </c>
      <c r="T39" s="7">
        <v>283.12153920513401</v>
      </c>
      <c r="U39" s="12">
        <v>-2.20922214645702E-3</v>
      </c>
      <c r="V39" s="12">
        <v>-9.4365037564799106E-3</v>
      </c>
      <c r="W39" s="12">
        <v>-2.07631709096301E-3</v>
      </c>
      <c r="X39" s="10">
        <v>1.1683963429701001</v>
      </c>
      <c r="Y39" s="10">
        <v>1.16578176214971</v>
      </c>
      <c r="Z39" s="10">
        <v>1.1587091089538499</v>
      </c>
      <c r="AA39" s="10">
        <v>1.16414837481958</v>
      </c>
      <c r="AB39" s="7">
        <v>283.075127485194</v>
      </c>
      <c r="AC39" s="7">
        <v>281.04536172706003</v>
      </c>
      <c r="AD39" s="7">
        <v>283.12153920513401</v>
      </c>
      <c r="AE39" s="12">
        <v>-2.2402591371627699E-3</v>
      </c>
      <c r="AF39" s="12">
        <v>-9.4365037564799106E-3</v>
      </c>
      <c r="AG39" s="12">
        <v>-2.07631709096301E-3</v>
      </c>
      <c r="AZ39" s="5"/>
      <c r="BB39">
        <f t="shared" si="6"/>
        <v>0</v>
      </c>
      <c r="BC39">
        <f t="shared" si="7"/>
        <v>1</v>
      </c>
      <c r="BD39">
        <f t="shared" si="8"/>
        <v>0</v>
      </c>
      <c r="BE39">
        <f t="shared" si="4"/>
        <v>1</v>
      </c>
      <c r="BF39">
        <f t="shared" si="9"/>
        <v>0</v>
      </c>
      <c r="BG39" s="5">
        <f t="shared" si="10"/>
        <v>0</v>
      </c>
      <c r="BH39" s="5">
        <f t="shared" si="11"/>
        <v>0</v>
      </c>
      <c r="BI39" s="5">
        <f t="shared" si="12"/>
        <v>0</v>
      </c>
      <c r="BJ39" s="19">
        <f t="shared" si="13"/>
        <v>0</v>
      </c>
      <c r="BL39" s="5"/>
      <c r="BN39">
        <f t="shared" si="14"/>
        <v>0</v>
      </c>
      <c r="BO39">
        <f t="shared" si="15"/>
        <v>1</v>
      </c>
      <c r="BP39">
        <f t="shared" si="16"/>
        <v>0</v>
      </c>
      <c r="BQ39">
        <f t="shared" si="5"/>
        <v>1</v>
      </c>
      <c r="BR39">
        <f t="shared" si="17"/>
        <v>0</v>
      </c>
      <c r="BS39" s="5">
        <f t="shared" si="18"/>
        <v>0</v>
      </c>
      <c r="BT39" s="5">
        <f t="shared" si="19"/>
        <v>0</v>
      </c>
      <c r="BU39" s="5">
        <f t="shared" si="20"/>
        <v>0</v>
      </c>
      <c r="BV39" s="19">
        <f t="shared" si="21"/>
        <v>2.605399151548099E-2</v>
      </c>
      <c r="BX39" s="19">
        <f t="shared" si="22"/>
        <v>0</v>
      </c>
      <c r="BY39" s="19">
        <f t="shared" si="23"/>
        <v>2.605399151548099E-2</v>
      </c>
    </row>
    <row r="40" spans="1:98" x14ac:dyDescent="0.25">
      <c r="A40" s="1">
        <v>46080</v>
      </c>
      <c r="B40" s="7">
        <v>243.72</v>
      </c>
      <c r="C40" s="7">
        <v>282.94</v>
      </c>
      <c r="D40" s="12">
        <v>3.6995972644643998E-3</v>
      </c>
      <c r="E40" s="12">
        <v>-2.7177286647421901E-3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243.72</v>
      </c>
      <c r="M40" s="7">
        <v>282.94</v>
      </c>
      <c r="N40" s="10">
        <v>1.1609223699327</v>
      </c>
      <c r="O40" s="10">
        <v>1.1658179450689301</v>
      </c>
      <c r="P40" s="10">
        <v>1.1596850168713</v>
      </c>
      <c r="Q40" s="10">
        <v>1.16250079110812</v>
      </c>
      <c r="R40" s="7">
        <v>284.13314957220098</v>
      </c>
      <c r="S40" s="7">
        <v>282.40058403423302</v>
      </c>
      <c r="T40" s="7">
        <v>283.72624191102898</v>
      </c>
      <c r="U40" s="12">
        <v>4.2081037827494698E-3</v>
      </c>
      <c r="V40" s="12">
        <v>-1.9082873039490899E-3</v>
      </c>
      <c r="W40" s="12">
        <v>2.7749753114449998E-3</v>
      </c>
      <c r="X40" s="10">
        <v>1.1609223699327</v>
      </c>
      <c r="Y40" s="10">
        <v>1.16578176214971</v>
      </c>
      <c r="Z40" s="10">
        <v>1.1596850168713</v>
      </c>
      <c r="AA40" s="10">
        <v>1.16250079110812</v>
      </c>
      <c r="AB40" s="7">
        <v>284.12433107112901</v>
      </c>
      <c r="AC40" s="7">
        <v>282.40058403423302</v>
      </c>
      <c r="AD40" s="7">
        <v>283.72624191102898</v>
      </c>
      <c r="AE40" s="12">
        <v>4.1770667920439097E-3</v>
      </c>
      <c r="AF40" s="12">
        <v>-1.9082873039490899E-3</v>
      </c>
      <c r="AG40" s="12">
        <v>2.7749753114449998E-3</v>
      </c>
      <c r="AZ40" s="5"/>
      <c r="BB40">
        <f t="shared" si="6"/>
        <v>0</v>
      </c>
      <c r="BC40">
        <f t="shared" si="7"/>
        <v>1</v>
      </c>
      <c r="BD40">
        <f t="shared" si="8"/>
        <v>0</v>
      </c>
      <c r="BE40">
        <f t="shared" si="4"/>
        <v>1</v>
      </c>
      <c r="BF40">
        <f t="shared" si="9"/>
        <v>0</v>
      </c>
      <c r="BG40" s="5">
        <f t="shared" si="10"/>
        <v>0</v>
      </c>
      <c r="BH40" s="5">
        <f t="shared" si="11"/>
        <v>0</v>
      </c>
      <c r="BI40" s="5">
        <f t="shared" si="12"/>
        <v>0</v>
      </c>
      <c r="BJ40" s="19">
        <f t="shared" si="13"/>
        <v>0</v>
      </c>
      <c r="BL40" s="5"/>
      <c r="BN40">
        <f t="shared" si="14"/>
        <v>0</v>
      </c>
      <c r="BO40">
        <f t="shared" si="15"/>
        <v>1</v>
      </c>
      <c r="BP40">
        <f t="shared" si="16"/>
        <v>0</v>
      </c>
      <c r="BQ40">
        <f t="shared" si="5"/>
        <v>1</v>
      </c>
      <c r="BR40">
        <f t="shared" si="17"/>
        <v>0</v>
      </c>
      <c r="BS40" s="5">
        <f t="shared" si="18"/>
        <v>0</v>
      </c>
      <c r="BT40" s="5">
        <f t="shared" si="19"/>
        <v>0</v>
      </c>
      <c r="BU40" s="5">
        <f t="shared" si="20"/>
        <v>0</v>
      </c>
      <c r="BV40" s="19">
        <f t="shared" si="21"/>
        <v>2.605399151548099E-2</v>
      </c>
      <c r="BX40" s="19">
        <f t="shared" si="22"/>
        <v>0</v>
      </c>
      <c r="BY40" s="19">
        <f t="shared" si="23"/>
        <v>2.605399151548099E-2</v>
      </c>
    </row>
    <row r="41" spans="1:98" x14ac:dyDescent="0.25">
      <c r="A41" s="1">
        <v>46083</v>
      </c>
      <c r="B41" s="7">
        <v>250.58</v>
      </c>
      <c r="C41" s="7">
        <v>289.87</v>
      </c>
      <c r="D41" s="12">
        <v>2.7758205437112899E-2</v>
      </c>
      <c r="E41" s="12">
        <v>2.4197685582000899E-2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250.58</v>
      </c>
      <c r="M41" s="7">
        <v>289.87</v>
      </c>
      <c r="N41" s="10">
        <v>1.1567962327400401</v>
      </c>
      <c r="O41" s="10">
        <v>1.1658179450689301</v>
      </c>
      <c r="P41" s="10">
        <v>1.16010087721262</v>
      </c>
      <c r="Q41" s="10">
        <v>1.16160921450173</v>
      </c>
      <c r="R41" s="7">
        <v>292.13066067537397</v>
      </c>
      <c r="S41" s="7">
        <v>290.59387152761099</v>
      </c>
      <c r="T41" s="7">
        <v>291.29944823587402</v>
      </c>
      <c r="U41" s="12">
        <v>7.7686236378616998E-3</v>
      </c>
      <c r="V41" s="12">
        <v>2.49411527008716E-3</v>
      </c>
      <c r="W41" s="12">
        <v>4.9192232068796804E-3</v>
      </c>
      <c r="X41" s="10">
        <v>1.1567962327400401</v>
      </c>
      <c r="Y41" s="10">
        <v>1.16578176214971</v>
      </c>
      <c r="Z41" s="10">
        <v>1.16010087721262</v>
      </c>
      <c r="AA41" s="10">
        <v>1.16160921450173</v>
      </c>
      <c r="AB41" s="7">
        <v>292.121593959476</v>
      </c>
      <c r="AC41" s="7">
        <v>290.59387152761099</v>
      </c>
      <c r="AD41" s="7">
        <v>291.29944823587402</v>
      </c>
      <c r="AE41" s="12">
        <v>7.7375866471557997E-3</v>
      </c>
      <c r="AF41" s="12">
        <v>2.49411527008716E-3</v>
      </c>
      <c r="AG41" s="12">
        <v>4.9192232068796804E-3</v>
      </c>
      <c r="AZ41" s="5"/>
      <c r="BB41">
        <f t="shared" si="6"/>
        <v>0</v>
      </c>
      <c r="BC41">
        <f t="shared" si="7"/>
        <v>1</v>
      </c>
      <c r="BD41">
        <f t="shared" si="8"/>
        <v>0</v>
      </c>
      <c r="BE41">
        <f t="shared" si="4"/>
        <v>1</v>
      </c>
      <c r="BF41">
        <f t="shared" si="9"/>
        <v>0</v>
      </c>
      <c r="BG41" s="5">
        <f t="shared" si="10"/>
        <v>0</v>
      </c>
      <c r="BH41" s="5">
        <f t="shared" si="11"/>
        <v>0</v>
      </c>
      <c r="BI41" s="5">
        <f t="shared" si="12"/>
        <v>0</v>
      </c>
      <c r="BJ41" s="19">
        <f t="shared" si="13"/>
        <v>0</v>
      </c>
      <c r="BL41" s="5"/>
      <c r="BN41">
        <f t="shared" si="14"/>
        <v>0</v>
      </c>
      <c r="BO41">
        <f t="shared" si="15"/>
        <v>1</v>
      </c>
      <c r="BP41">
        <f t="shared" si="16"/>
        <v>0</v>
      </c>
      <c r="BQ41">
        <f t="shared" si="5"/>
        <v>1</v>
      </c>
      <c r="BR41">
        <f t="shared" si="17"/>
        <v>0</v>
      </c>
      <c r="BS41" s="5">
        <f t="shared" si="18"/>
        <v>0</v>
      </c>
      <c r="BT41" s="5">
        <f t="shared" si="19"/>
        <v>0</v>
      </c>
      <c r="BU41" s="5">
        <f t="shared" si="20"/>
        <v>0</v>
      </c>
      <c r="BV41" s="19">
        <f t="shared" si="21"/>
        <v>2.605399151548099E-2</v>
      </c>
      <c r="BX41" s="19">
        <f t="shared" si="22"/>
        <v>0</v>
      </c>
      <c r="BY41" s="19">
        <f t="shared" si="23"/>
        <v>2.605399151548099E-2</v>
      </c>
    </row>
    <row r="42" spans="1:98" x14ac:dyDescent="0.25">
      <c r="A42" s="1">
        <v>46084</v>
      </c>
      <c r="B42" s="7">
        <v>244.98</v>
      </c>
      <c r="C42" s="7">
        <v>284.33999999999997</v>
      </c>
      <c r="D42" s="12">
        <v>-2.2601656257867302E-2</v>
      </c>
      <c r="E42" s="12">
        <v>-1.92618414052373E-2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244.98</v>
      </c>
      <c r="M42" s="7">
        <v>284.33999999999997</v>
      </c>
      <c r="N42" s="10">
        <v>1.16066617683076</v>
      </c>
      <c r="O42" s="10">
        <v>1.1658179450689301</v>
      </c>
      <c r="P42" s="10">
        <v>1.1613293540719101</v>
      </c>
      <c r="Q42" s="10">
        <v>1.16118085177379</v>
      </c>
      <c r="R42" s="7">
        <v>285.60208018298698</v>
      </c>
      <c r="S42" s="7">
        <v>284.20151289954799</v>
      </c>
      <c r="T42" s="7">
        <v>284.57102536863403</v>
      </c>
      <c r="U42" s="12">
        <v>4.42880878523161E-3</v>
      </c>
      <c r="V42" s="12">
        <v>-4.8716619648040403E-4</v>
      </c>
      <c r="W42" s="12">
        <v>8.1216700338736995E-4</v>
      </c>
      <c r="X42" s="10">
        <v>1.16066617683076</v>
      </c>
      <c r="Y42" s="10">
        <v>1.16578176214971</v>
      </c>
      <c r="Z42" s="10">
        <v>1.1613293540719101</v>
      </c>
      <c r="AA42" s="10">
        <v>1.16118085177379</v>
      </c>
      <c r="AB42" s="7">
        <v>285.593216091437</v>
      </c>
      <c r="AC42" s="7">
        <v>284.20151289954799</v>
      </c>
      <c r="AD42" s="7">
        <v>284.57102536863403</v>
      </c>
      <c r="AE42" s="12">
        <v>4.3977717945260803E-3</v>
      </c>
      <c r="AF42" s="12">
        <v>-4.8716619648040403E-4</v>
      </c>
      <c r="AG42" s="12">
        <v>8.1216700338736995E-4</v>
      </c>
      <c r="AZ42" s="5"/>
      <c r="BB42">
        <f t="shared" si="6"/>
        <v>0</v>
      </c>
      <c r="BC42">
        <f t="shared" si="7"/>
        <v>1</v>
      </c>
      <c r="BD42">
        <f t="shared" si="8"/>
        <v>0</v>
      </c>
      <c r="BE42">
        <f t="shared" si="4"/>
        <v>1</v>
      </c>
      <c r="BF42">
        <f t="shared" si="9"/>
        <v>0</v>
      </c>
      <c r="BG42" s="5">
        <f t="shared" si="10"/>
        <v>0</v>
      </c>
      <c r="BH42" s="5">
        <f t="shared" si="11"/>
        <v>0</v>
      </c>
      <c r="BI42" s="5">
        <f t="shared" si="12"/>
        <v>0</v>
      </c>
      <c r="BJ42" s="19">
        <f t="shared" si="13"/>
        <v>0</v>
      </c>
      <c r="BL42" s="5"/>
      <c r="BN42">
        <f t="shared" si="14"/>
        <v>0</v>
      </c>
      <c r="BO42">
        <f t="shared" si="15"/>
        <v>1</v>
      </c>
      <c r="BP42">
        <f t="shared" si="16"/>
        <v>0</v>
      </c>
      <c r="BQ42">
        <f t="shared" si="5"/>
        <v>1</v>
      </c>
      <c r="BR42">
        <f t="shared" si="17"/>
        <v>0</v>
      </c>
      <c r="BS42" s="5">
        <f t="shared" si="18"/>
        <v>0</v>
      </c>
      <c r="BT42" s="5">
        <f t="shared" si="19"/>
        <v>0</v>
      </c>
      <c r="BU42" s="5">
        <f t="shared" si="20"/>
        <v>0</v>
      </c>
      <c r="BV42" s="19">
        <f t="shared" si="21"/>
        <v>2.605399151548099E-2</v>
      </c>
      <c r="BX42" s="19">
        <f t="shared" si="22"/>
        <v>0</v>
      </c>
      <c r="BY42" s="19">
        <f t="shared" si="23"/>
        <v>2.605399151548099E-2</v>
      </c>
    </row>
    <row r="43" spans="1:98" x14ac:dyDescent="0.25">
      <c r="A43" s="1">
        <v>46085</v>
      </c>
      <c r="B43" s="7">
        <v>246.97</v>
      </c>
      <c r="C43" s="7">
        <v>287.18</v>
      </c>
      <c r="D43" s="12">
        <v>8.0902972020010892E-3</v>
      </c>
      <c r="E43" s="12">
        <v>9.9384916586790807E-3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246.97</v>
      </c>
      <c r="M43" s="7">
        <v>287.18</v>
      </c>
      <c r="N43" s="10">
        <v>1.1628132971615901</v>
      </c>
      <c r="O43" s="10">
        <v>1.1658179450689301</v>
      </c>
      <c r="P43" s="10">
        <v>1.1617984334551801</v>
      </c>
      <c r="Q43" s="10">
        <v>1.15994585029216</v>
      </c>
      <c r="R43" s="7">
        <v>287.922057893675</v>
      </c>
      <c r="S43" s="7">
        <v>286.81351057514098</v>
      </c>
      <c r="T43" s="7">
        <v>286.77683496257401</v>
      </c>
      <c r="U43" s="12">
        <v>2.5806143285539802E-3</v>
      </c>
      <c r="V43" s="12">
        <v>-1.27698124772583E-3</v>
      </c>
      <c r="W43" s="12">
        <v>-1.40486210521489E-3</v>
      </c>
      <c r="X43" s="10">
        <v>1.1628132971615901</v>
      </c>
      <c r="Y43" s="10">
        <v>1.16578176214971</v>
      </c>
      <c r="Z43" s="10">
        <v>1.1617984334551801</v>
      </c>
      <c r="AA43" s="10">
        <v>1.15994585029216</v>
      </c>
      <c r="AB43" s="7">
        <v>287.91312179811501</v>
      </c>
      <c r="AC43" s="7">
        <v>286.81351057514098</v>
      </c>
      <c r="AD43" s="7">
        <v>286.77683496257401</v>
      </c>
      <c r="AE43" s="12">
        <v>2.5495773378480299E-3</v>
      </c>
      <c r="AF43" s="12">
        <v>-1.27698124772583E-3</v>
      </c>
      <c r="AG43" s="12">
        <v>-1.40486210521489E-3</v>
      </c>
      <c r="AZ43" s="5"/>
      <c r="BB43">
        <f t="shared" si="6"/>
        <v>0</v>
      </c>
      <c r="BC43">
        <f t="shared" si="7"/>
        <v>1</v>
      </c>
      <c r="BD43">
        <f t="shared" si="8"/>
        <v>0</v>
      </c>
      <c r="BE43">
        <f t="shared" si="4"/>
        <v>1</v>
      </c>
      <c r="BF43">
        <f t="shared" si="9"/>
        <v>0</v>
      </c>
      <c r="BG43" s="5">
        <f t="shared" si="10"/>
        <v>0</v>
      </c>
      <c r="BH43" s="5">
        <f t="shared" si="11"/>
        <v>0</v>
      </c>
      <c r="BI43" s="5">
        <f t="shared" si="12"/>
        <v>0</v>
      </c>
      <c r="BJ43" s="19">
        <f t="shared" si="13"/>
        <v>0</v>
      </c>
      <c r="BL43" s="5"/>
      <c r="BN43">
        <f t="shared" si="14"/>
        <v>0</v>
      </c>
      <c r="BO43">
        <f t="shared" si="15"/>
        <v>1</v>
      </c>
      <c r="BP43">
        <f t="shared" si="16"/>
        <v>0</v>
      </c>
      <c r="BQ43">
        <f t="shared" si="5"/>
        <v>1</v>
      </c>
      <c r="BR43">
        <f t="shared" si="17"/>
        <v>0</v>
      </c>
      <c r="BS43" s="5">
        <f t="shared" si="18"/>
        <v>0</v>
      </c>
      <c r="BT43" s="5">
        <f t="shared" si="19"/>
        <v>0</v>
      </c>
      <c r="BU43" s="5">
        <f t="shared" si="20"/>
        <v>0</v>
      </c>
      <c r="BV43" s="19">
        <f t="shared" si="21"/>
        <v>2.605399151548099E-2</v>
      </c>
      <c r="BX43" s="19">
        <f t="shared" si="22"/>
        <v>0</v>
      </c>
      <c r="BY43" s="19">
        <f t="shared" si="23"/>
        <v>2.605399151548099E-2</v>
      </c>
    </row>
    <row r="44" spans="1:98" x14ac:dyDescent="0.25">
      <c r="A44" s="1">
        <v>46086</v>
      </c>
      <c r="B44" s="7">
        <v>240.04</v>
      </c>
      <c r="C44" s="7">
        <v>278.77</v>
      </c>
      <c r="D44" s="12">
        <v>-2.8461295640228399E-2</v>
      </c>
      <c r="E44" s="12">
        <v>-2.9722127786806302E-2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240.04</v>
      </c>
      <c r="M44" s="7">
        <v>278.77</v>
      </c>
      <c r="N44" s="10">
        <v>1.16134810864855</v>
      </c>
      <c r="O44" s="10">
        <v>1.1658179450689301</v>
      </c>
      <c r="P44" s="10">
        <v>1.1611070912952799</v>
      </c>
      <c r="Q44" s="10">
        <v>1.15992115046143</v>
      </c>
      <c r="R44" s="7">
        <v>279.84293953434701</v>
      </c>
      <c r="S44" s="7">
        <v>278.87809596658298</v>
      </c>
      <c r="T44" s="7">
        <v>278.43340190412999</v>
      </c>
      <c r="U44" s="12">
        <v>3.84144647513174E-3</v>
      </c>
      <c r="V44" s="12">
        <v>3.87685239919054E-4</v>
      </c>
      <c r="W44" s="12">
        <v>-1.20816971204118E-3</v>
      </c>
      <c r="X44" s="10">
        <v>1.16134810864855</v>
      </c>
      <c r="Y44" s="10">
        <v>1.16578176214971</v>
      </c>
      <c r="Z44" s="10">
        <v>1.1611070912952799</v>
      </c>
      <c r="AA44" s="10">
        <v>1.15992115046143</v>
      </c>
      <c r="AB44" s="7">
        <v>279.83425418641798</v>
      </c>
      <c r="AC44" s="7">
        <v>278.87809596658298</v>
      </c>
      <c r="AD44" s="7">
        <v>278.43340190412999</v>
      </c>
      <c r="AE44" s="12">
        <v>3.8104094844259701E-3</v>
      </c>
      <c r="AF44" s="12">
        <v>3.87685239919054E-4</v>
      </c>
      <c r="AG44" s="12">
        <v>-1.20816971204118E-3</v>
      </c>
      <c r="AZ44" s="5"/>
      <c r="BB44">
        <f t="shared" si="6"/>
        <v>0</v>
      </c>
      <c r="BC44">
        <f t="shared" si="7"/>
        <v>1</v>
      </c>
      <c r="BD44">
        <f t="shared" si="8"/>
        <v>0</v>
      </c>
      <c r="BE44">
        <f t="shared" si="4"/>
        <v>1</v>
      </c>
      <c r="BF44">
        <f t="shared" si="9"/>
        <v>0</v>
      </c>
      <c r="BG44" s="5">
        <f t="shared" si="10"/>
        <v>0</v>
      </c>
      <c r="BH44" s="5">
        <f t="shared" si="11"/>
        <v>0</v>
      </c>
      <c r="BI44" s="5">
        <f t="shared" si="12"/>
        <v>0</v>
      </c>
      <c r="BJ44" s="19">
        <f t="shared" si="13"/>
        <v>0</v>
      </c>
      <c r="BL44" s="5"/>
      <c r="BN44">
        <f t="shared" si="14"/>
        <v>0</v>
      </c>
      <c r="BO44">
        <f t="shared" si="15"/>
        <v>1</v>
      </c>
      <c r="BP44">
        <f t="shared" si="16"/>
        <v>0</v>
      </c>
      <c r="BQ44">
        <f t="shared" si="5"/>
        <v>1</v>
      </c>
      <c r="BR44">
        <f t="shared" si="17"/>
        <v>0</v>
      </c>
      <c r="BS44" s="5">
        <f t="shared" si="18"/>
        <v>0</v>
      </c>
      <c r="BT44" s="5">
        <f t="shared" si="19"/>
        <v>0</v>
      </c>
      <c r="BU44" s="5">
        <f t="shared" si="20"/>
        <v>0</v>
      </c>
      <c r="BV44" s="19">
        <f t="shared" si="21"/>
        <v>2.605399151548099E-2</v>
      </c>
      <c r="BX44" s="19">
        <f t="shared" si="22"/>
        <v>0</v>
      </c>
      <c r="BY44" s="19">
        <f t="shared" si="23"/>
        <v>2.605399151548099E-2</v>
      </c>
    </row>
    <row r="45" spans="1:98" x14ac:dyDescent="0.25">
      <c r="A45" s="1">
        <v>46087</v>
      </c>
      <c r="B45" s="7">
        <v>242.2</v>
      </c>
      <c r="C45" s="7">
        <v>279.29000000000002</v>
      </c>
      <c r="D45" s="12">
        <v>8.9582549976798403E-3</v>
      </c>
      <c r="E45" s="12">
        <v>1.8635994355331201E-3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242.2</v>
      </c>
      <c r="M45" s="7">
        <v>279.29000000000002</v>
      </c>
      <c r="N45" s="10">
        <v>1.15313790255986</v>
      </c>
      <c r="O45" s="10">
        <v>1.1658179450689301</v>
      </c>
      <c r="P45" s="10">
        <v>1.16067698662001</v>
      </c>
      <c r="Q45" s="10">
        <v>1.16023875829611</v>
      </c>
      <c r="R45" s="7">
        <v>282.361106295696</v>
      </c>
      <c r="S45" s="7">
        <v>281.22013751171602</v>
      </c>
      <c r="T45" s="7">
        <v>280.93290264175801</v>
      </c>
      <c r="U45" s="12">
        <v>1.09361020372781E-2</v>
      </c>
      <c r="V45" s="12">
        <v>6.8871016302998397E-3</v>
      </c>
      <c r="W45" s="12">
        <v>5.8651916718417798E-3</v>
      </c>
      <c r="X45" s="10">
        <v>1.15313790255986</v>
      </c>
      <c r="Y45" s="10">
        <v>1.16578176214971</v>
      </c>
      <c r="Z45" s="10">
        <v>1.16067698662001</v>
      </c>
      <c r="AA45" s="10">
        <v>1.16023875829611</v>
      </c>
      <c r="AB45" s="7">
        <v>282.35234279266098</v>
      </c>
      <c r="AC45" s="7">
        <v>281.22013751171602</v>
      </c>
      <c r="AD45" s="7">
        <v>280.93290264175801</v>
      </c>
      <c r="AE45" s="12">
        <v>1.0905065046572401E-2</v>
      </c>
      <c r="AF45" s="12">
        <v>6.8871016302998397E-3</v>
      </c>
      <c r="AG45" s="12">
        <v>5.8651916718417798E-3</v>
      </c>
      <c r="AZ45" s="5"/>
      <c r="BB45">
        <f t="shared" si="6"/>
        <v>0</v>
      </c>
      <c r="BC45">
        <f t="shared" si="7"/>
        <v>1</v>
      </c>
      <c r="BD45">
        <f t="shared" si="8"/>
        <v>0</v>
      </c>
      <c r="BE45">
        <f t="shared" si="4"/>
        <v>1</v>
      </c>
      <c r="BF45">
        <f t="shared" si="9"/>
        <v>0</v>
      </c>
      <c r="BG45" s="5">
        <f t="shared" si="10"/>
        <v>0</v>
      </c>
      <c r="BH45" s="5">
        <f t="shared" si="11"/>
        <v>0</v>
      </c>
      <c r="BI45" s="5">
        <f t="shared" si="12"/>
        <v>0</v>
      </c>
      <c r="BJ45" s="19">
        <f t="shared" si="13"/>
        <v>0</v>
      </c>
      <c r="BL45" s="5"/>
      <c r="BN45">
        <f t="shared" si="14"/>
        <v>0</v>
      </c>
      <c r="BO45">
        <f t="shared" si="15"/>
        <v>1</v>
      </c>
      <c r="BP45">
        <f t="shared" si="16"/>
        <v>0</v>
      </c>
      <c r="BQ45">
        <f t="shared" si="5"/>
        <v>1</v>
      </c>
      <c r="BR45">
        <f t="shared" si="17"/>
        <v>0</v>
      </c>
      <c r="BS45" s="5">
        <f t="shared" si="18"/>
        <v>0</v>
      </c>
      <c r="BT45" s="5">
        <f t="shared" si="19"/>
        <v>0</v>
      </c>
      <c r="BU45" s="5">
        <f t="shared" si="20"/>
        <v>0</v>
      </c>
      <c r="BV45" s="19">
        <f t="shared" si="21"/>
        <v>2.605399151548099E-2</v>
      </c>
      <c r="BX45" s="19">
        <f t="shared" si="22"/>
        <v>0</v>
      </c>
      <c r="BY45" s="19">
        <f t="shared" si="23"/>
        <v>2.605399151548099E-2</v>
      </c>
    </row>
    <row r="46" spans="1:98" x14ac:dyDescent="0.25">
      <c r="A46" s="1">
        <v>46090</v>
      </c>
      <c r="B46" s="7">
        <v>241.99</v>
      </c>
      <c r="C46" s="7">
        <v>282.14</v>
      </c>
      <c r="D46" s="12">
        <v>-8.6742813014533597E-4</v>
      </c>
      <c r="E46" s="12">
        <v>1.01527331313984E-2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241.99</v>
      </c>
      <c r="M46" s="7">
        <v>282.14</v>
      </c>
      <c r="N46" s="10">
        <v>1.16591594693995</v>
      </c>
      <c r="O46" s="10">
        <v>1.1658179450689301</v>
      </c>
      <c r="P46" s="10">
        <v>1.1616713003722801</v>
      </c>
      <c r="Q46" s="10">
        <v>1.16034834609325</v>
      </c>
      <c r="R46" s="7">
        <v>282.11628452723102</v>
      </c>
      <c r="S46" s="7">
        <v>280.872223992177</v>
      </c>
      <c r="T46" s="7">
        <v>280.76617712007697</v>
      </c>
      <c r="U46" s="12">
        <v>-8.4059224265519705E-5</v>
      </c>
      <c r="V46" s="12">
        <v>-4.5035546176456004E-3</v>
      </c>
      <c r="W46" s="12">
        <v>-4.8811886011829097E-3</v>
      </c>
      <c r="X46" s="10">
        <v>1.16591594693995</v>
      </c>
      <c r="Y46" s="10">
        <v>1.16578176214971</v>
      </c>
      <c r="Z46" s="10">
        <v>1.1616713003722801</v>
      </c>
      <c r="AA46" s="10">
        <v>1.16034834609325</v>
      </c>
      <c r="AB46" s="7">
        <v>282.10752862261</v>
      </c>
      <c r="AC46" s="7">
        <v>280.872223992177</v>
      </c>
      <c r="AD46" s="7">
        <v>280.76617712007697</v>
      </c>
      <c r="AE46" s="12">
        <v>-1.150962149712E-4</v>
      </c>
      <c r="AF46" s="12">
        <v>-4.5035546176456004E-3</v>
      </c>
      <c r="AG46" s="12">
        <v>-4.8811886011829097E-3</v>
      </c>
      <c r="AZ46" s="5"/>
      <c r="BB46">
        <f t="shared" si="6"/>
        <v>0</v>
      </c>
      <c r="BC46">
        <f t="shared" si="7"/>
        <v>1</v>
      </c>
      <c r="BD46">
        <f t="shared" si="8"/>
        <v>0</v>
      </c>
      <c r="BE46">
        <f t="shared" si="4"/>
        <v>1</v>
      </c>
      <c r="BF46">
        <f t="shared" si="9"/>
        <v>0</v>
      </c>
      <c r="BG46" s="5">
        <f t="shared" si="10"/>
        <v>0</v>
      </c>
      <c r="BH46" s="5">
        <f t="shared" si="11"/>
        <v>0</v>
      </c>
      <c r="BI46" s="5">
        <f t="shared" si="12"/>
        <v>0</v>
      </c>
      <c r="BJ46" s="19">
        <f t="shared" si="13"/>
        <v>0</v>
      </c>
      <c r="BL46" s="5"/>
      <c r="BN46">
        <f t="shared" si="14"/>
        <v>0</v>
      </c>
      <c r="BO46">
        <f t="shared" si="15"/>
        <v>1</v>
      </c>
      <c r="BP46">
        <f t="shared" si="16"/>
        <v>0</v>
      </c>
      <c r="BQ46">
        <f t="shared" si="5"/>
        <v>1</v>
      </c>
      <c r="BR46">
        <f t="shared" si="17"/>
        <v>0</v>
      </c>
      <c r="BS46" s="5">
        <f t="shared" si="18"/>
        <v>0</v>
      </c>
      <c r="BT46" s="5">
        <f t="shared" si="19"/>
        <v>0</v>
      </c>
      <c r="BU46" s="5">
        <f t="shared" si="20"/>
        <v>0</v>
      </c>
      <c r="BV46" s="19">
        <f t="shared" si="21"/>
        <v>2.605399151548099E-2</v>
      </c>
      <c r="BX46" s="19">
        <f t="shared" si="22"/>
        <v>0</v>
      </c>
      <c r="BY46" s="19">
        <f t="shared" si="23"/>
        <v>2.605399151548099E-2</v>
      </c>
    </row>
    <row r="47" spans="1:98" x14ac:dyDescent="0.25">
      <c r="A47" s="1">
        <v>46091</v>
      </c>
      <c r="B47" s="7">
        <v>239.72</v>
      </c>
      <c r="C47" s="7">
        <v>277.95</v>
      </c>
      <c r="D47" s="12">
        <v>-9.4248273988619697E-3</v>
      </c>
      <c r="E47" s="12">
        <v>-1.49621602468778E-2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239.72</v>
      </c>
      <c r="M47" s="7">
        <v>277.95</v>
      </c>
      <c r="N47" s="10">
        <v>1.1594777240113401</v>
      </c>
      <c r="O47" s="10">
        <v>1.1658179450689301</v>
      </c>
      <c r="P47" s="10">
        <v>1.16124788277712</v>
      </c>
      <c r="Q47" s="10">
        <v>1.1594693963203799</v>
      </c>
      <c r="R47" s="7">
        <v>279.469877791925</v>
      </c>
      <c r="S47" s="7">
        <v>278.47584412524401</v>
      </c>
      <c r="T47" s="7">
        <v>278.15870552547301</v>
      </c>
      <c r="U47" s="12">
        <v>5.4532736237502396E-3</v>
      </c>
      <c r="V47" s="12">
        <v>1.8900785696424E-3</v>
      </c>
      <c r="W47" s="12">
        <v>7.5059258450270797E-4</v>
      </c>
      <c r="X47" s="10">
        <v>1.1594777240113401</v>
      </c>
      <c r="Y47" s="10">
        <v>1.16578176214971</v>
      </c>
      <c r="Z47" s="10">
        <v>1.16124788277712</v>
      </c>
      <c r="AA47" s="10">
        <v>1.1594693963203799</v>
      </c>
      <c r="AB47" s="7">
        <v>279.46120402253001</v>
      </c>
      <c r="AC47" s="7">
        <v>278.47584412524401</v>
      </c>
      <c r="AD47" s="7">
        <v>278.15870552547301</v>
      </c>
      <c r="AE47" s="12">
        <v>5.4222366330446501E-3</v>
      </c>
      <c r="AF47" s="12">
        <v>1.8900785696424E-3</v>
      </c>
      <c r="AG47" s="12">
        <v>7.5059258450270797E-4</v>
      </c>
      <c r="AZ47" s="5"/>
      <c r="BB47">
        <f t="shared" si="6"/>
        <v>0</v>
      </c>
      <c r="BC47">
        <f t="shared" si="7"/>
        <v>1</v>
      </c>
      <c r="BD47">
        <f t="shared" si="8"/>
        <v>0</v>
      </c>
      <c r="BE47">
        <f t="shared" si="4"/>
        <v>1</v>
      </c>
      <c r="BF47">
        <f t="shared" si="9"/>
        <v>0</v>
      </c>
      <c r="BG47" s="5">
        <f t="shared" si="10"/>
        <v>0</v>
      </c>
      <c r="BH47" s="5">
        <f t="shared" si="11"/>
        <v>0</v>
      </c>
      <c r="BI47" s="5">
        <f t="shared" si="12"/>
        <v>0</v>
      </c>
      <c r="BJ47" s="19">
        <f t="shared" si="13"/>
        <v>0</v>
      </c>
      <c r="BL47" s="5"/>
      <c r="BN47">
        <f t="shared" si="14"/>
        <v>0</v>
      </c>
      <c r="BO47">
        <f t="shared" si="15"/>
        <v>1</v>
      </c>
      <c r="BP47">
        <f t="shared" si="16"/>
        <v>0</v>
      </c>
      <c r="BQ47">
        <f t="shared" si="5"/>
        <v>1</v>
      </c>
      <c r="BR47">
        <f t="shared" si="17"/>
        <v>0</v>
      </c>
      <c r="BS47" s="5">
        <f t="shared" si="18"/>
        <v>0</v>
      </c>
      <c r="BT47" s="5">
        <f t="shared" si="19"/>
        <v>0</v>
      </c>
      <c r="BU47" s="5">
        <f t="shared" si="20"/>
        <v>0</v>
      </c>
      <c r="BV47" s="19">
        <f t="shared" si="21"/>
        <v>2.605399151548099E-2</v>
      </c>
      <c r="BX47" s="19">
        <f t="shared" si="22"/>
        <v>0</v>
      </c>
      <c r="BY47" s="19">
        <f t="shared" si="23"/>
        <v>2.605399151548099E-2</v>
      </c>
    </row>
    <row r="48" spans="1:98" x14ac:dyDescent="0.25">
      <c r="A48" s="1">
        <v>46092</v>
      </c>
      <c r="B48" s="7">
        <v>238.68</v>
      </c>
      <c r="C48" s="7">
        <v>277.45</v>
      </c>
      <c r="D48" s="12">
        <v>-4.3478329361032802E-3</v>
      </c>
      <c r="E48" s="12">
        <v>-1.8005046275682E-3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238.68</v>
      </c>
      <c r="M48" s="7">
        <v>277.45</v>
      </c>
      <c r="N48" s="10">
        <v>1.1624350594938799</v>
      </c>
      <c r="O48" s="10">
        <v>1.1658179450689301</v>
      </c>
      <c r="P48" s="10">
        <v>1.16119091612888</v>
      </c>
      <c r="Q48" s="10">
        <v>1.1593067704091</v>
      </c>
      <c r="R48" s="7">
        <v>278.25742712905299</v>
      </c>
      <c r="S48" s="7">
        <v>277.16664466124303</v>
      </c>
      <c r="T48" s="7">
        <v>276.74215551374999</v>
      </c>
      <c r="U48" s="12">
        <v>2.9059453152150698E-3</v>
      </c>
      <c r="V48" s="12">
        <v>-1.0218062012303799E-3</v>
      </c>
      <c r="W48" s="12">
        <v>-2.5545106119909001E-3</v>
      </c>
      <c r="X48" s="10">
        <v>1.1624350594938799</v>
      </c>
      <c r="Y48" s="10">
        <v>1.16578176214971</v>
      </c>
      <c r="Z48" s="10">
        <v>1.16119091612888</v>
      </c>
      <c r="AA48" s="10">
        <v>1.1593067704091</v>
      </c>
      <c r="AB48" s="7">
        <v>278.24879098989402</v>
      </c>
      <c r="AC48" s="7">
        <v>277.16664466124303</v>
      </c>
      <c r="AD48" s="7">
        <v>276.74215551374999</v>
      </c>
      <c r="AE48" s="12">
        <v>2.87490832450943E-3</v>
      </c>
      <c r="AF48" s="12">
        <v>-1.0218062012303799E-3</v>
      </c>
      <c r="AG48" s="12">
        <v>-2.5545106119909001E-3</v>
      </c>
      <c r="AZ48" s="5"/>
      <c r="BB48">
        <f t="shared" si="6"/>
        <v>0</v>
      </c>
      <c r="BC48">
        <f t="shared" si="7"/>
        <v>1</v>
      </c>
      <c r="BD48">
        <f t="shared" si="8"/>
        <v>0</v>
      </c>
      <c r="BE48">
        <f t="shared" si="4"/>
        <v>1</v>
      </c>
      <c r="BF48">
        <f t="shared" si="9"/>
        <v>0</v>
      </c>
      <c r="BG48" s="5">
        <f t="shared" si="10"/>
        <v>0</v>
      </c>
      <c r="BH48" s="5">
        <f t="shared" si="11"/>
        <v>0</v>
      </c>
      <c r="BI48" s="5">
        <f t="shared" si="12"/>
        <v>0</v>
      </c>
      <c r="BJ48" s="19">
        <f t="shared" si="13"/>
        <v>0</v>
      </c>
      <c r="BL48" s="5"/>
      <c r="BN48">
        <f t="shared" si="14"/>
        <v>0</v>
      </c>
      <c r="BO48">
        <f t="shared" si="15"/>
        <v>1</v>
      </c>
      <c r="BP48">
        <f t="shared" si="16"/>
        <v>0</v>
      </c>
      <c r="BQ48">
        <f t="shared" si="5"/>
        <v>1</v>
      </c>
      <c r="BR48">
        <f t="shared" si="17"/>
        <v>0</v>
      </c>
      <c r="BS48" s="5">
        <f t="shared" si="18"/>
        <v>0</v>
      </c>
      <c r="BT48" s="5">
        <f t="shared" si="19"/>
        <v>0</v>
      </c>
      <c r="BU48" s="5">
        <f t="shared" si="20"/>
        <v>0</v>
      </c>
      <c r="BV48" s="19">
        <f t="shared" si="21"/>
        <v>2.605399151548099E-2</v>
      </c>
      <c r="BX48" s="19">
        <f t="shared" si="22"/>
        <v>0</v>
      </c>
      <c r="BY48" s="19">
        <f t="shared" si="23"/>
        <v>2.605399151548099E-2</v>
      </c>
    </row>
    <row r="49" spans="1:77" x14ac:dyDescent="0.25">
      <c r="A49" s="1">
        <v>46093</v>
      </c>
      <c r="B49" s="7">
        <v>231.49</v>
      </c>
      <c r="C49" s="7">
        <v>268.62</v>
      </c>
      <c r="D49" s="12">
        <v>-3.0587066604866299E-2</v>
      </c>
      <c r="E49" s="12">
        <v>-3.2342995290981003E-2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231.49</v>
      </c>
      <c r="M49" s="7">
        <v>268.62</v>
      </c>
      <c r="N49" s="10">
        <v>1.16039569743833</v>
      </c>
      <c r="O49" s="10">
        <v>1.1658179450689301</v>
      </c>
      <c r="P49" s="10">
        <v>1.1603908515757</v>
      </c>
      <c r="Q49" s="10">
        <v>1.15954998026477</v>
      </c>
      <c r="R49" s="7">
        <v>269.87519610400699</v>
      </c>
      <c r="S49" s="7">
        <v>268.80408517467498</v>
      </c>
      <c r="T49" s="7">
        <v>268.36792428200198</v>
      </c>
      <c r="U49" s="12">
        <v>4.6618740013297201E-3</v>
      </c>
      <c r="V49" s="12">
        <v>6.85064875031533E-4</v>
      </c>
      <c r="W49" s="12">
        <v>-9.38850670991364E-4</v>
      </c>
      <c r="X49" s="10">
        <v>1.16039569743833</v>
      </c>
      <c r="Y49" s="10">
        <v>1.16578176214971</v>
      </c>
      <c r="Z49" s="10">
        <v>1.1603908515757</v>
      </c>
      <c r="AA49" s="10">
        <v>1.15954998026477</v>
      </c>
      <c r="AB49" s="7">
        <v>269.86682012003803</v>
      </c>
      <c r="AC49" s="7">
        <v>268.80408517467498</v>
      </c>
      <c r="AD49" s="7">
        <v>268.36792428200198</v>
      </c>
      <c r="AE49" s="12">
        <v>4.6308370106240802E-3</v>
      </c>
      <c r="AF49" s="12">
        <v>6.85064875031533E-4</v>
      </c>
      <c r="AG49" s="12">
        <v>-9.38850670991364E-4</v>
      </c>
      <c r="AZ49" s="5"/>
      <c r="BB49">
        <f t="shared" si="6"/>
        <v>0</v>
      </c>
      <c r="BC49">
        <f t="shared" si="7"/>
        <v>1</v>
      </c>
      <c r="BD49">
        <f t="shared" si="8"/>
        <v>0</v>
      </c>
      <c r="BE49">
        <f t="shared" si="4"/>
        <v>1</v>
      </c>
      <c r="BF49">
        <f t="shared" si="9"/>
        <v>0</v>
      </c>
      <c r="BG49" s="5">
        <f t="shared" si="10"/>
        <v>0</v>
      </c>
      <c r="BH49" s="5">
        <f t="shared" si="11"/>
        <v>0</v>
      </c>
      <c r="BI49" s="5">
        <f t="shared" si="12"/>
        <v>0</v>
      </c>
      <c r="BJ49" s="19">
        <f t="shared" si="13"/>
        <v>0</v>
      </c>
      <c r="BL49" s="5"/>
      <c r="BN49">
        <f t="shared" si="14"/>
        <v>0</v>
      </c>
      <c r="BO49">
        <f t="shared" si="15"/>
        <v>1</v>
      </c>
      <c r="BP49">
        <f t="shared" si="16"/>
        <v>0</v>
      </c>
      <c r="BQ49">
        <f t="shared" si="5"/>
        <v>1</v>
      </c>
      <c r="BR49">
        <f t="shared" si="17"/>
        <v>0</v>
      </c>
      <c r="BS49" s="5">
        <f t="shared" si="18"/>
        <v>0</v>
      </c>
      <c r="BT49" s="5">
        <f t="shared" si="19"/>
        <v>0</v>
      </c>
      <c r="BU49" s="5">
        <f t="shared" si="20"/>
        <v>0</v>
      </c>
      <c r="BV49" s="19">
        <f t="shared" si="21"/>
        <v>2.605399151548099E-2</v>
      </c>
      <c r="BX49" s="19">
        <f t="shared" si="22"/>
        <v>0</v>
      </c>
      <c r="BY49" s="19">
        <f t="shared" si="23"/>
        <v>2.605399151548099E-2</v>
      </c>
    </row>
    <row r="50" spans="1:77" x14ac:dyDescent="0.25">
      <c r="A50" s="1">
        <v>46094</v>
      </c>
      <c r="B50" s="7">
        <v>229.34</v>
      </c>
      <c r="C50" s="7">
        <v>265.20999999999998</v>
      </c>
      <c r="D50" s="12">
        <v>-9.3310574388564306E-3</v>
      </c>
      <c r="E50" s="12">
        <v>-1.2775776489479E-2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229.34</v>
      </c>
      <c r="M50" s="7">
        <v>265.20999999999998</v>
      </c>
      <c r="N50" s="10">
        <v>1.1564053370541501</v>
      </c>
      <c r="O50" s="10">
        <v>1.1658179450689301</v>
      </c>
      <c r="P50" s="10">
        <v>1.1599391482878501</v>
      </c>
      <c r="Q50" s="10">
        <v>1.1598120825795699</v>
      </c>
      <c r="R50" s="7">
        <v>267.36868752210898</v>
      </c>
      <c r="S50" s="7">
        <v>266.124037900372</v>
      </c>
      <c r="T50" s="7">
        <v>265.931192473924</v>
      </c>
      <c r="U50" s="12">
        <v>8.1065930519524706E-3</v>
      </c>
      <c r="V50" s="12">
        <v>3.44054299864535E-3</v>
      </c>
      <c r="W50" s="12">
        <v>2.71563541806577E-3</v>
      </c>
      <c r="X50" s="10">
        <v>1.1564053370541501</v>
      </c>
      <c r="Y50" s="10">
        <v>1.16578176214971</v>
      </c>
      <c r="Z50" s="10">
        <v>1.1599391482878501</v>
      </c>
      <c r="AA50" s="10">
        <v>1.1598120825795699</v>
      </c>
      <c r="AB50" s="7">
        <v>267.360389331416</v>
      </c>
      <c r="AC50" s="7">
        <v>266.124037900372</v>
      </c>
      <c r="AD50" s="7">
        <v>265.931192473924</v>
      </c>
      <c r="AE50" s="12">
        <v>8.0755560612466894E-3</v>
      </c>
      <c r="AF50" s="12">
        <v>3.44054299864535E-3</v>
      </c>
      <c r="AG50" s="12">
        <v>2.71563541806577E-3</v>
      </c>
      <c r="AZ50" s="5"/>
      <c r="BB50">
        <f t="shared" si="6"/>
        <v>0</v>
      </c>
      <c r="BC50">
        <f t="shared" si="7"/>
        <v>1</v>
      </c>
      <c r="BD50">
        <f t="shared" si="8"/>
        <v>0</v>
      </c>
      <c r="BE50">
        <f t="shared" si="4"/>
        <v>1</v>
      </c>
      <c r="BF50">
        <f t="shared" si="9"/>
        <v>0</v>
      </c>
      <c r="BG50" s="5">
        <f t="shared" si="10"/>
        <v>0</v>
      </c>
      <c r="BH50" s="5">
        <f t="shared" si="11"/>
        <v>0</v>
      </c>
      <c r="BI50" s="5">
        <f t="shared" si="12"/>
        <v>0</v>
      </c>
      <c r="BJ50" s="19">
        <f t="shared" si="13"/>
        <v>0</v>
      </c>
      <c r="BL50" s="5"/>
      <c r="BN50">
        <f t="shared" si="14"/>
        <v>0</v>
      </c>
      <c r="BO50">
        <f t="shared" si="15"/>
        <v>1</v>
      </c>
      <c r="BP50">
        <f t="shared" si="16"/>
        <v>0</v>
      </c>
      <c r="BQ50">
        <f t="shared" si="5"/>
        <v>1</v>
      </c>
      <c r="BR50">
        <f t="shared" si="17"/>
        <v>0</v>
      </c>
      <c r="BS50" s="5">
        <f t="shared" si="18"/>
        <v>0</v>
      </c>
      <c r="BT50" s="5">
        <f t="shared" si="19"/>
        <v>0</v>
      </c>
      <c r="BU50" s="5">
        <f t="shared" si="20"/>
        <v>0</v>
      </c>
      <c r="BV50" s="19">
        <f t="shared" si="21"/>
        <v>2.605399151548099E-2</v>
      </c>
      <c r="BX50" s="19">
        <f t="shared" si="22"/>
        <v>0</v>
      </c>
      <c r="BY50" s="19">
        <f t="shared" si="23"/>
        <v>2.605399151548099E-2</v>
      </c>
    </row>
    <row r="51" spans="1:77" x14ac:dyDescent="0.25">
      <c r="A51" s="1">
        <v>46097</v>
      </c>
      <c r="B51" s="7">
        <v>232.81</v>
      </c>
      <c r="C51" s="7">
        <v>270.83</v>
      </c>
      <c r="D51" s="12">
        <v>1.5017051651031199E-2</v>
      </c>
      <c r="E51" s="12">
        <v>2.0969352776284499E-2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232.81</v>
      </c>
      <c r="M51" s="7">
        <v>270.83</v>
      </c>
      <c r="N51" s="10">
        <v>1.1633091362054799</v>
      </c>
      <c r="O51" s="10">
        <v>1.1658179450689301</v>
      </c>
      <c r="P51" s="10">
        <v>1.1605904386343899</v>
      </c>
      <c r="Q51" s="10">
        <v>1.1603456579235001</v>
      </c>
      <c r="R51" s="7">
        <v>271.41407579149899</v>
      </c>
      <c r="S51" s="7">
        <v>270.04543311289399</v>
      </c>
      <c r="T51" s="7">
        <v>270.01585094535102</v>
      </c>
      <c r="U51" s="12">
        <v>2.1542919266990201E-3</v>
      </c>
      <c r="V51" s="12">
        <v>-2.9011021368030901E-3</v>
      </c>
      <c r="W51" s="12">
        <v>-3.01065328755469E-3</v>
      </c>
      <c r="X51" s="10">
        <v>1.1633091362054799</v>
      </c>
      <c r="Y51" s="10">
        <v>1.16578176214971</v>
      </c>
      <c r="Z51" s="10">
        <v>1.1605904386343899</v>
      </c>
      <c r="AA51" s="10">
        <v>1.1603456579235001</v>
      </c>
      <c r="AB51" s="7">
        <v>271.40565204607498</v>
      </c>
      <c r="AC51" s="7">
        <v>270.04543311289399</v>
      </c>
      <c r="AD51" s="7">
        <v>270.01585094535102</v>
      </c>
      <c r="AE51" s="12">
        <v>2.1232549359931001E-3</v>
      </c>
      <c r="AF51" s="12">
        <v>-2.9011021368030901E-3</v>
      </c>
      <c r="AG51" s="12">
        <v>-3.01065328755469E-3</v>
      </c>
      <c r="AZ51" s="5"/>
      <c r="BB51">
        <f t="shared" si="6"/>
        <v>0</v>
      </c>
      <c r="BC51">
        <f t="shared" si="7"/>
        <v>1</v>
      </c>
      <c r="BD51">
        <f t="shared" si="8"/>
        <v>0</v>
      </c>
      <c r="BE51">
        <f t="shared" si="4"/>
        <v>0</v>
      </c>
      <c r="BF51">
        <f t="shared" si="9"/>
        <v>0</v>
      </c>
      <c r="BG51" s="5">
        <f t="shared" si="10"/>
        <v>0</v>
      </c>
      <c r="BH51" s="5">
        <f t="shared" si="11"/>
        <v>0</v>
      </c>
      <c r="BI51" s="5">
        <f t="shared" si="12"/>
        <v>0</v>
      </c>
      <c r="BJ51" s="19">
        <f t="shared" si="13"/>
        <v>0</v>
      </c>
      <c r="BL51" s="5"/>
      <c r="BN51">
        <f t="shared" si="14"/>
        <v>0</v>
      </c>
      <c r="BO51">
        <f t="shared" si="15"/>
        <v>1</v>
      </c>
      <c r="BP51">
        <f t="shared" si="16"/>
        <v>0</v>
      </c>
      <c r="BQ51">
        <f t="shared" si="5"/>
        <v>0</v>
      </c>
      <c r="BR51">
        <f t="shared" si="17"/>
        <v>0</v>
      </c>
      <c r="BS51" s="5">
        <f t="shared" si="18"/>
        <v>0</v>
      </c>
      <c r="BT51" s="5">
        <f t="shared" si="19"/>
        <v>0</v>
      </c>
      <c r="BU51" s="5">
        <f t="shared" si="20"/>
        <v>0</v>
      </c>
      <c r="BV51" s="19">
        <f t="shared" si="21"/>
        <v>2.605399151548099E-2</v>
      </c>
      <c r="BX51" s="19">
        <f t="shared" si="22"/>
        <v>0</v>
      </c>
      <c r="BY51" s="19">
        <f t="shared" si="23"/>
        <v>2.605399151548099E-2</v>
      </c>
    </row>
    <row r="52" spans="1:77" x14ac:dyDescent="0.25">
      <c r="A52" s="1">
        <v>46098</v>
      </c>
      <c r="B52" s="7">
        <v>232.9</v>
      </c>
      <c r="C52" s="7">
        <v>273.76</v>
      </c>
      <c r="D52" s="12">
        <v>3.86506629105787E-4</v>
      </c>
      <c r="E52" s="12">
        <v>1.0760492376148499E-2</v>
      </c>
      <c r="F52" s="7">
        <v>0.15132499999999999</v>
      </c>
      <c r="G52" s="7">
        <v>0.15132499999999999</v>
      </c>
      <c r="H52" s="7">
        <v>0</v>
      </c>
      <c r="I52" s="7">
        <v>0</v>
      </c>
      <c r="J52" s="7">
        <v>0.15132499999999999</v>
      </c>
      <c r="K52" s="7">
        <v>0</v>
      </c>
      <c r="L52" s="7">
        <v>233.05132499999999</v>
      </c>
      <c r="M52" s="7">
        <v>273.76</v>
      </c>
      <c r="N52" s="10">
        <v>1.17544010304851</v>
      </c>
      <c r="O52" s="10">
        <v>1.1658179450689301</v>
      </c>
      <c r="P52" s="10">
        <v>1.1620678312561701</v>
      </c>
      <c r="Q52" s="10">
        <v>1.16169859266404</v>
      </c>
      <c r="R52" s="7">
        <v>271.518999406555</v>
      </c>
      <c r="S52" s="7">
        <v>270.30151315795001</v>
      </c>
      <c r="T52" s="7">
        <v>270.24450373038502</v>
      </c>
      <c r="U52" s="12">
        <v>-8.2196938203437896E-3</v>
      </c>
      <c r="V52" s="12">
        <v>-1.27137588085207E-2</v>
      </c>
      <c r="W52" s="12">
        <v>-1.2924691554283101E-2</v>
      </c>
      <c r="X52" s="10">
        <v>1.1746768657075799</v>
      </c>
      <c r="Y52" s="10">
        <v>1.16578176214971</v>
      </c>
      <c r="Z52" s="10">
        <v>1.1619915075220699</v>
      </c>
      <c r="AA52" s="10">
        <v>1.16166043079699</v>
      </c>
      <c r="AB52" s="7">
        <v>271.68698432982598</v>
      </c>
      <c r="AC52" s="7">
        <v>270.47713950607698</v>
      </c>
      <c r="AD52" s="7">
        <v>270.42009303706999</v>
      </c>
      <c r="AE52" s="12">
        <v>-7.6011994235371701E-3</v>
      </c>
      <c r="AF52" s="12">
        <v>-1.2064227421008201E-2</v>
      </c>
      <c r="AG52" s="12">
        <v>-1.2275160166770899E-2</v>
      </c>
      <c r="AZ52" s="5"/>
      <c r="BB52">
        <f t="shared" si="6"/>
        <v>0</v>
      </c>
      <c r="BC52">
        <f t="shared" si="7"/>
        <v>0</v>
      </c>
      <c r="BD52">
        <f t="shared" si="8"/>
        <v>0</v>
      </c>
      <c r="BE52">
        <f t="shared" si="4"/>
        <v>1</v>
      </c>
      <c r="BF52">
        <f t="shared" si="9"/>
        <v>0</v>
      </c>
      <c r="BG52" s="5">
        <f t="shared" si="10"/>
        <v>0</v>
      </c>
      <c r="BH52" s="5">
        <f t="shared" si="11"/>
        <v>0</v>
      </c>
      <c r="BI52" s="5">
        <f t="shared" si="12"/>
        <v>0</v>
      </c>
      <c r="BJ52" s="19">
        <f t="shared" si="13"/>
        <v>0</v>
      </c>
      <c r="BL52" s="5"/>
      <c r="BN52">
        <f t="shared" si="14"/>
        <v>0</v>
      </c>
      <c r="BO52">
        <f t="shared" si="15"/>
        <v>1</v>
      </c>
      <c r="BP52">
        <f t="shared" si="16"/>
        <v>0</v>
      </c>
      <c r="BQ52">
        <f t="shared" si="5"/>
        <v>1</v>
      </c>
      <c r="BR52">
        <f t="shared" si="17"/>
        <v>0</v>
      </c>
      <c r="BS52" s="5">
        <f t="shared" si="18"/>
        <v>0</v>
      </c>
      <c r="BT52" s="5">
        <f t="shared" si="19"/>
        <v>0</v>
      </c>
      <c r="BU52" s="5">
        <f t="shared" si="20"/>
        <v>0</v>
      </c>
      <c r="BV52" s="19">
        <f t="shared" si="21"/>
        <v>2.605399151548099E-2</v>
      </c>
      <c r="BX52" s="19">
        <f t="shared" si="22"/>
        <v>0</v>
      </c>
      <c r="BY52" s="19">
        <f t="shared" si="23"/>
        <v>2.605399151548099E-2</v>
      </c>
    </row>
    <row r="53" spans="1:77" x14ac:dyDescent="0.25">
      <c r="A53" s="1">
        <v>46099</v>
      </c>
      <c r="B53" s="7">
        <v>231.43</v>
      </c>
      <c r="C53" s="7">
        <v>271.04000000000002</v>
      </c>
      <c r="D53" s="12">
        <v>-6.3317248987245301E-3</v>
      </c>
      <c r="E53" s="12">
        <v>-9.9853986801936995E-3</v>
      </c>
      <c r="F53" s="7">
        <v>0</v>
      </c>
      <c r="G53" s="7">
        <v>0.15132499999999999</v>
      </c>
      <c r="H53" s="7">
        <v>0</v>
      </c>
      <c r="I53" s="7">
        <v>0</v>
      </c>
      <c r="J53" s="7">
        <v>0.15132499999999999</v>
      </c>
      <c r="K53" s="7">
        <v>0</v>
      </c>
      <c r="L53" s="7">
        <v>231.58132499999999</v>
      </c>
      <c r="M53" s="7">
        <v>271.04000000000002</v>
      </c>
      <c r="N53" s="10">
        <v>1.1711532644860201</v>
      </c>
      <c r="O53" s="10">
        <v>1.1658179450689301</v>
      </c>
      <c r="P53" s="10">
        <v>1.1629018279886101</v>
      </c>
      <c r="Q53" s="10">
        <v>1.1623501307219</v>
      </c>
      <c r="R53" s="7">
        <v>269.80524702730298</v>
      </c>
      <c r="S53" s="7">
        <v>268.93735818761502</v>
      </c>
      <c r="T53" s="7">
        <v>268.85190530023903</v>
      </c>
      <c r="U53" s="12">
        <v>-4.5660200388746601E-3</v>
      </c>
      <c r="V53" s="12">
        <v>-7.7879281711108602E-3</v>
      </c>
      <c r="W53" s="12">
        <v>-8.1057213808175908E-3</v>
      </c>
      <c r="X53" s="10">
        <v>1.1703879835733699</v>
      </c>
      <c r="Y53" s="10">
        <v>1.16578176214971</v>
      </c>
      <c r="Z53" s="10">
        <v>1.1627489761632499</v>
      </c>
      <c r="AA53" s="10">
        <v>1.16227370480922</v>
      </c>
      <c r="AB53" s="7">
        <v>269.97328513946599</v>
      </c>
      <c r="AC53" s="7">
        <v>269.09553295070998</v>
      </c>
      <c r="AD53" s="7">
        <v>269.018861764039</v>
      </c>
      <c r="AE53" s="12">
        <v>-3.9434012884902898E-3</v>
      </c>
      <c r="AF53" s="12">
        <v>-7.1999538288100599E-3</v>
      </c>
      <c r="AG53" s="12">
        <v>-7.4849162380764096E-3</v>
      </c>
      <c r="AZ53" s="5"/>
      <c r="BB53">
        <f t="shared" si="6"/>
        <v>0</v>
      </c>
      <c r="BC53">
        <f t="shared" si="7"/>
        <v>0</v>
      </c>
      <c r="BD53">
        <f t="shared" si="8"/>
        <v>0</v>
      </c>
      <c r="BE53">
        <f t="shared" si="4"/>
        <v>1</v>
      </c>
      <c r="BF53">
        <f t="shared" si="9"/>
        <v>0</v>
      </c>
      <c r="BG53" s="5">
        <f t="shared" si="10"/>
        <v>0</v>
      </c>
      <c r="BH53" s="5">
        <f t="shared" si="11"/>
        <v>0</v>
      </c>
      <c r="BI53" s="5">
        <f t="shared" si="12"/>
        <v>0</v>
      </c>
      <c r="BJ53" s="19">
        <f t="shared" si="13"/>
        <v>0</v>
      </c>
      <c r="BL53" s="5"/>
      <c r="BN53">
        <f t="shared" si="14"/>
        <v>0</v>
      </c>
      <c r="BO53">
        <f t="shared" si="15"/>
        <v>1</v>
      </c>
      <c r="BP53">
        <f t="shared" si="16"/>
        <v>0</v>
      </c>
      <c r="BQ53">
        <f t="shared" si="5"/>
        <v>1</v>
      </c>
      <c r="BR53">
        <f t="shared" si="17"/>
        <v>0</v>
      </c>
      <c r="BS53" s="5">
        <f t="shared" si="18"/>
        <v>0</v>
      </c>
      <c r="BT53" s="5">
        <f t="shared" si="19"/>
        <v>0</v>
      </c>
      <c r="BU53" s="5">
        <f t="shared" si="20"/>
        <v>0</v>
      </c>
      <c r="BV53" s="19">
        <f t="shared" si="21"/>
        <v>2.605399151548099E-2</v>
      </c>
      <c r="BX53" s="19">
        <f t="shared" si="22"/>
        <v>0</v>
      </c>
      <c r="BY53" s="19">
        <f t="shared" si="23"/>
        <v>2.605399151548099E-2</v>
      </c>
    </row>
    <row r="54" spans="1:77" x14ac:dyDescent="0.25">
      <c r="A54" s="1">
        <v>46100</v>
      </c>
      <c r="B54" s="7">
        <v>227.32</v>
      </c>
      <c r="C54" s="7">
        <v>268</v>
      </c>
      <c r="D54" s="12">
        <v>-1.7918735562650001E-2</v>
      </c>
      <c r="E54" s="12">
        <v>-1.1279430952832899E-2</v>
      </c>
      <c r="F54" s="7">
        <v>0</v>
      </c>
      <c r="G54" s="7">
        <v>0.15132499999999999</v>
      </c>
      <c r="H54" s="7">
        <v>0</v>
      </c>
      <c r="I54" s="7">
        <v>0</v>
      </c>
      <c r="J54" s="7">
        <v>0.15132499999999999</v>
      </c>
      <c r="K54" s="7">
        <v>0</v>
      </c>
      <c r="L54" s="7">
        <v>227.47132500000001</v>
      </c>
      <c r="M54" s="7">
        <v>268</v>
      </c>
      <c r="N54" s="10">
        <v>1.1789547774062901</v>
      </c>
      <c r="O54" s="10">
        <v>1.1658179450689301</v>
      </c>
      <c r="P54" s="10">
        <v>1.16466249486438</v>
      </c>
      <c r="Q54" s="10">
        <v>1.1628847930798301</v>
      </c>
      <c r="R54" s="7">
        <v>265.01373527306998</v>
      </c>
      <c r="S54" s="7">
        <v>264.35084353837101</v>
      </c>
      <c r="T54" s="7">
        <v>264.22543171570197</v>
      </c>
      <c r="U54" s="12">
        <v>-1.12053246486917E-2</v>
      </c>
      <c r="V54" s="12">
        <v>-1.3709806843864299E-2</v>
      </c>
      <c r="W54" s="12">
        <v>-1.4184333722551699E-2</v>
      </c>
      <c r="X54" s="10">
        <v>1.17817047929008</v>
      </c>
      <c r="Y54" s="10">
        <v>1.16578176214971</v>
      </c>
      <c r="Z54" s="10">
        <v>1.1644312132274</v>
      </c>
      <c r="AA54" s="10">
        <v>1.1627691522613399</v>
      </c>
      <c r="AB54" s="7">
        <v>265.18192209703102</v>
      </c>
      <c r="AC54" s="7">
        <v>264.49205025024901</v>
      </c>
      <c r="AD54" s="7">
        <v>264.38393964561197</v>
      </c>
      <c r="AE54" s="12">
        <v>-1.0570891577564001E-2</v>
      </c>
      <c r="AF54" s="12">
        <v>-1.31757854288399E-2</v>
      </c>
      <c r="AG54" s="12">
        <v>-1.3584617019638799E-2</v>
      </c>
      <c r="AZ54" s="5"/>
      <c r="BB54">
        <f t="shared" si="6"/>
        <v>0</v>
      </c>
      <c r="BC54">
        <f t="shared" si="7"/>
        <v>0</v>
      </c>
      <c r="BD54">
        <f t="shared" si="8"/>
        <v>0</v>
      </c>
      <c r="BE54">
        <f t="shared" si="4"/>
        <v>1</v>
      </c>
      <c r="BF54">
        <f t="shared" si="9"/>
        <v>0</v>
      </c>
      <c r="BG54" s="5">
        <f t="shared" si="10"/>
        <v>0</v>
      </c>
      <c r="BH54" s="5">
        <f t="shared" si="11"/>
        <v>0</v>
      </c>
      <c r="BI54" s="5">
        <f t="shared" si="12"/>
        <v>0</v>
      </c>
      <c r="BJ54" s="19">
        <f t="shared" si="13"/>
        <v>0</v>
      </c>
      <c r="BL54" s="5"/>
      <c r="BN54">
        <f t="shared" si="14"/>
        <v>0</v>
      </c>
      <c r="BO54">
        <f t="shared" si="15"/>
        <v>1</v>
      </c>
      <c r="BP54">
        <f t="shared" si="16"/>
        <v>0</v>
      </c>
      <c r="BQ54">
        <f t="shared" si="5"/>
        <v>1</v>
      </c>
      <c r="BR54">
        <f t="shared" si="17"/>
        <v>0</v>
      </c>
      <c r="BS54" s="5">
        <f t="shared" si="18"/>
        <v>0</v>
      </c>
      <c r="BT54" s="5">
        <f t="shared" si="19"/>
        <v>0</v>
      </c>
      <c r="BU54" s="5">
        <f t="shared" si="20"/>
        <v>0</v>
      </c>
      <c r="BV54" s="19">
        <f t="shared" si="21"/>
        <v>2.605399151548099E-2</v>
      </c>
      <c r="BX54" s="19">
        <f t="shared" si="22"/>
        <v>0</v>
      </c>
      <c r="BY54" s="19">
        <f t="shared" si="23"/>
        <v>2.605399151548099E-2</v>
      </c>
    </row>
    <row r="55" spans="1:77" x14ac:dyDescent="0.25">
      <c r="A55" s="1">
        <v>46101</v>
      </c>
      <c r="B55" s="7">
        <v>222.56</v>
      </c>
      <c r="C55" s="7">
        <v>258.88</v>
      </c>
      <c r="D55" s="12">
        <v>-2.1161988253787799E-2</v>
      </c>
      <c r="E55" s="12">
        <v>-3.4622346640729697E-2</v>
      </c>
      <c r="F55" s="7">
        <v>0</v>
      </c>
      <c r="G55" s="7">
        <v>0.15132499999999999</v>
      </c>
      <c r="H55" s="7">
        <v>0</v>
      </c>
      <c r="I55" s="7">
        <v>0</v>
      </c>
      <c r="J55" s="7">
        <v>0.15132499999999999</v>
      </c>
      <c r="K55" s="7">
        <v>0</v>
      </c>
      <c r="L55" s="7">
        <v>222.71132499999999</v>
      </c>
      <c r="M55" s="7">
        <v>258.88</v>
      </c>
      <c r="N55" s="10">
        <v>1.1631919482386699</v>
      </c>
      <c r="O55" s="10">
        <v>1.1658179450689301</v>
      </c>
      <c r="P55" s="10">
        <v>1.16566789943226</v>
      </c>
      <c r="Q55" s="10">
        <v>1.1631724430261401</v>
      </c>
      <c r="R55" s="7">
        <v>259.46444185454197</v>
      </c>
      <c r="S55" s="7">
        <v>259.20728485701801</v>
      </c>
      <c r="T55" s="7">
        <v>258.81163954784699</v>
      </c>
      <c r="U55" s="12">
        <v>2.2550337382501499E-3</v>
      </c>
      <c r="V55" s="12">
        <v>1.26343537129877E-3</v>
      </c>
      <c r="W55" s="12">
        <v>-2.6409718576557401E-4</v>
      </c>
      <c r="X55" s="10">
        <v>1.16240159767358</v>
      </c>
      <c r="Y55" s="10">
        <v>1.16578176214971</v>
      </c>
      <c r="Z55" s="10">
        <v>1.1653575827387701</v>
      </c>
      <c r="AA55" s="10">
        <v>1.16301728467939</v>
      </c>
      <c r="AB55" s="7">
        <v>259.63280090919801</v>
      </c>
      <c r="AC55" s="7">
        <v>259.33201836923303</v>
      </c>
      <c r="AD55" s="7">
        <v>258.96185856925001</v>
      </c>
      <c r="AE55" s="12">
        <v>2.9036947084491102E-3</v>
      </c>
      <c r="AF55" s="12">
        <v>1.74453107164465E-3</v>
      </c>
      <c r="AG55" s="12">
        <v>3.1615277358496198E-4</v>
      </c>
      <c r="AZ55" s="5"/>
      <c r="BB55">
        <f t="shared" si="6"/>
        <v>0</v>
      </c>
      <c r="BC55">
        <f t="shared" si="7"/>
        <v>1</v>
      </c>
      <c r="BD55">
        <f t="shared" si="8"/>
        <v>0</v>
      </c>
      <c r="BE55">
        <f t="shared" si="4"/>
        <v>0</v>
      </c>
      <c r="BF55">
        <f t="shared" si="9"/>
        <v>0</v>
      </c>
      <c r="BG55" s="5">
        <f t="shared" si="10"/>
        <v>0</v>
      </c>
      <c r="BH55" s="5">
        <f t="shared" si="11"/>
        <v>0</v>
      </c>
      <c r="BI55" s="5">
        <f t="shared" si="12"/>
        <v>0</v>
      </c>
      <c r="BJ55" s="19">
        <f t="shared" si="13"/>
        <v>0</v>
      </c>
      <c r="BL55" s="5"/>
      <c r="BN55">
        <f t="shared" si="14"/>
        <v>0</v>
      </c>
      <c r="BO55">
        <f t="shared" si="15"/>
        <v>1</v>
      </c>
      <c r="BP55">
        <f t="shared" si="16"/>
        <v>0</v>
      </c>
      <c r="BQ55">
        <f t="shared" si="5"/>
        <v>0</v>
      </c>
      <c r="BR55">
        <f t="shared" si="17"/>
        <v>0</v>
      </c>
      <c r="BS55" s="5">
        <f t="shared" si="18"/>
        <v>0</v>
      </c>
      <c r="BT55" s="5">
        <f t="shared" si="19"/>
        <v>0</v>
      </c>
      <c r="BU55" s="5">
        <f t="shared" si="20"/>
        <v>0</v>
      </c>
      <c r="BV55" s="19">
        <f t="shared" si="21"/>
        <v>2.605399151548099E-2</v>
      </c>
      <c r="BX55" s="19">
        <f t="shared" si="22"/>
        <v>0</v>
      </c>
      <c r="BY55" s="19">
        <f t="shared" si="23"/>
        <v>2.605399151548099E-2</v>
      </c>
    </row>
    <row r="56" spans="1:77" x14ac:dyDescent="0.25">
      <c r="A56" s="1">
        <v>46104</v>
      </c>
      <c r="B56" s="7">
        <v>223.35</v>
      </c>
      <c r="C56" s="7">
        <v>262.83999999999997</v>
      </c>
      <c r="D56" s="12">
        <v>3.5433196229948199E-3</v>
      </c>
      <c r="E56" s="12">
        <v>1.5180848159540201E-2</v>
      </c>
      <c r="F56" s="7">
        <v>0</v>
      </c>
      <c r="G56" s="7">
        <v>0.15132499999999999</v>
      </c>
      <c r="H56" s="7">
        <v>0.11178100000000001</v>
      </c>
      <c r="I56" s="7">
        <v>0.11178100000000001</v>
      </c>
      <c r="J56" s="7">
        <v>0</v>
      </c>
      <c r="K56" s="7">
        <v>0</v>
      </c>
      <c r="L56" s="7">
        <v>223.35</v>
      </c>
      <c r="M56" s="7">
        <v>262.83999999999997</v>
      </c>
      <c r="N56" s="10">
        <v>1.1768077009178399</v>
      </c>
      <c r="O56" s="10">
        <v>1.1658179450689301</v>
      </c>
      <c r="P56" s="10">
        <v>1.16675707483005</v>
      </c>
      <c r="Q56" s="10">
        <v>1.16421418760117</v>
      </c>
      <c r="R56" s="7">
        <v>260.38543803114601</v>
      </c>
      <c r="S56" s="7">
        <v>260.35192533819702</v>
      </c>
      <c r="T56" s="7">
        <v>259.794565149888</v>
      </c>
      <c r="U56" s="12">
        <v>-9.3824947982952198E-3</v>
      </c>
      <c r="V56" s="12">
        <v>-9.5112072562573806E-3</v>
      </c>
      <c r="W56" s="12">
        <v>-1.1654297373456701E-2</v>
      </c>
      <c r="X56" s="10">
        <v>1.1768077009178399</v>
      </c>
      <c r="Y56" s="10">
        <v>1.16578176214971</v>
      </c>
      <c r="Z56" s="10">
        <v>1.1664467581365601</v>
      </c>
      <c r="AA56" s="10">
        <v>1.16405902925442</v>
      </c>
      <c r="AB56" s="7">
        <v>260.37735657613899</v>
      </c>
      <c r="AC56" s="7">
        <v>260.28261610470599</v>
      </c>
      <c r="AD56" s="7">
        <v>259.759910533143</v>
      </c>
      <c r="AE56" s="12">
        <v>-9.4135317890009906E-3</v>
      </c>
      <c r="AF56" s="12">
        <v>-9.7774563364977692E-3</v>
      </c>
      <c r="AG56" s="12">
        <v>-1.1787698656358699E-2</v>
      </c>
      <c r="AZ56" s="5"/>
      <c r="BB56">
        <f t="shared" si="6"/>
        <v>0</v>
      </c>
      <c r="BC56">
        <f t="shared" si="7"/>
        <v>0</v>
      </c>
      <c r="BD56">
        <f t="shared" si="8"/>
        <v>0</v>
      </c>
      <c r="BE56">
        <f t="shared" si="4"/>
        <v>1</v>
      </c>
      <c r="BF56">
        <f t="shared" si="9"/>
        <v>0</v>
      </c>
      <c r="BG56" s="5">
        <f t="shared" si="10"/>
        <v>0</v>
      </c>
      <c r="BH56" s="5">
        <f t="shared" si="11"/>
        <v>0</v>
      </c>
      <c r="BI56" s="5">
        <f t="shared" si="12"/>
        <v>0</v>
      </c>
      <c r="BJ56" s="19">
        <f t="shared" si="13"/>
        <v>0</v>
      </c>
      <c r="BL56" s="5"/>
      <c r="BN56">
        <f t="shared" si="14"/>
        <v>0</v>
      </c>
      <c r="BO56">
        <f t="shared" si="15"/>
        <v>1</v>
      </c>
      <c r="BP56">
        <f t="shared" si="16"/>
        <v>0</v>
      </c>
      <c r="BQ56">
        <f t="shared" si="5"/>
        <v>1</v>
      </c>
      <c r="BR56">
        <f t="shared" si="17"/>
        <v>0</v>
      </c>
      <c r="BS56" s="5">
        <f t="shared" si="18"/>
        <v>0</v>
      </c>
      <c r="BT56" s="5">
        <f t="shared" si="19"/>
        <v>0</v>
      </c>
      <c r="BU56" s="5">
        <f t="shared" si="20"/>
        <v>0</v>
      </c>
      <c r="BV56" s="19">
        <f t="shared" si="21"/>
        <v>2.605399151548099E-2</v>
      </c>
      <c r="BX56" s="19">
        <f t="shared" si="22"/>
        <v>0</v>
      </c>
      <c r="BY56" s="19">
        <f t="shared" si="23"/>
        <v>2.605399151548099E-2</v>
      </c>
    </row>
    <row r="57" spans="1:77" x14ac:dyDescent="0.25">
      <c r="A57" s="1">
        <v>46105</v>
      </c>
      <c r="B57" s="7">
        <v>222.64</v>
      </c>
      <c r="C57" s="7">
        <v>261.67</v>
      </c>
      <c r="D57" s="12">
        <v>-3.18393058049241E-3</v>
      </c>
      <c r="E57" s="12">
        <v>-4.4613141430035596E-3</v>
      </c>
      <c r="F57" s="7">
        <v>0</v>
      </c>
      <c r="G57" s="7">
        <v>0.15132499999999999</v>
      </c>
      <c r="H57" s="7">
        <v>0</v>
      </c>
      <c r="I57" s="7">
        <v>0.11178100000000001</v>
      </c>
      <c r="J57" s="7">
        <v>0</v>
      </c>
      <c r="K57" s="7">
        <v>0</v>
      </c>
      <c r="L57" s="7">
        <v>222.64</v>
      </c>
      <c r="M57" s="7">
        <v>261.67</v>
      </c>
      <c r="N57" s="10">
        <v>1.1753054257994899</v>
      </c>
      <c r="O57" s="10">
        <v>1.1658179450689301</v>
      </c>
      <c r="P57" s="10">
        <v>1.16833984500887</v>
      </c>
      <c r="Q57" s="10">
        <v>1.16479386389299</v>
      </c>
      <c r="R57" s="7">
        <v>259.55770729014699</v>
      </c>
      <c r="S57" s="7">
        <v>259.76679514016303</v>
      </c>
      <c r="T57" s="7">
        <v>259.20064672752397</v>
      </c>
      <c r="U57" s="12">
        <v>-8.1051112357840398E-3</v>
      </c>
      <c r="V57" s="12">
        <v>-7.2998811326977601E-3</v>
      </c>
      <c r="W57" s="12">
        <v>-9.48170832089704E-3</v>
      </c>
      <c r="X57" s="10">
        <v>1.1753054257994899</v>
      </c>
      <c r="Y57" s="10">
        <v>1.16578176214971</v>
      </c>
      <c r="Z57" s="10">
        <v>1.1680295283153801</v>
      </c>
      <c r="AA57" s="10">
        <v>1.1646387055462499</v>
      </c>
      <c r="AB57" s="7">
        <v>259.54965152501302</v>
      </c>
      <c r="AC57" s="7">
        <v>259.69770623152499</v>
      </c>
      <c r="AD57" s="7">
        <v>259.16610227320501</v>
      </c>
      <c r="AE57" s="12">
        <v>-8.1361482264897794E-3</v>
      </c>
      <c r="AF57" s="12">
        <v>-7.5658816346126099E-3</v>
      </c>
      <c r="AG57" s="12">
        <v>-9.6149902277207801E-3</v>
      </c>
      <c r="AZ57" s="5"/>
      <c r="BB57">
        <f t="shared" si="6"/>
        <v>0</v>
      </c>
      <c r="BC57">
        <f t="shared" si="7"/>
        <v>0</v>
      </c>
      <c r="BD57">
        <f t="shared" si="8"/>
        <v>0</v>
      </c>
      <c r="BE57">
        <f t="shared" si="4"/>
        <v>1</v>
      </c>
      <c r="BF57">
        <f t="shared" si="9"/>
        <v>0</v>
      </c>
      <c r="BG57" s="5">
        <f t="shared" si="10"/>
        <v>0</v>
      </c>
      <c r="BH57" s="5">
        <f t="shared" si="11"/>
        <v>0</v>
      </c>
      <c r="BI57" s="5">
        <f t="shared" si="12"/>
        <v>0</v>
      </c>
      <c r="BJ57" s="19">
        <f t="shared" si="13"/>
        <v>0</v>
      </c>
      <c r="BL57" s="5"/>
      <c r="BN57">
        <f t="shared" si="14"/>
        <v>0</v>
      </c>
      <c r="BO57">
        <f t="shared" si="15"/>
        <v>1</v>
      </c>
      <c r="BP57">
        <f t="shared" si="16"/>
        <v>0</v>
      </c>
      <c r="BQ57">
        <f t="shared" si="5"/>
        <v>1</v>
      </c>
      <c r="BR57">
        <f t="shared" si="17"/>
        <v>0</v>
      </c>
      <c r="BS57" s="5">
        <f t="shared" si="18"/>
        <v>0</v>
      </c>
      <c r="BT57" s="5">
        <f t="shared" si="19"/>
        <v>0</v>
      </c>
      <c r="BU57" s="5">
        <f t="shared" si="20"/>
        <v>0</v>
      </c>
      <c r="BV57" s="19">
        <f t="shared" si="21"/>
        <v>2.605399151548099E-2</v>
      </c>
      <c r="BX57" s="19">
        <f t="shared" si="22"/>
        <v>0</v>
      </c>
      <c r="BY57" s="19">
        <f t="shared" si="23"/>
        <v>2.605399151548099E-2</v>
      </c>
    </row>
    <row r="58" spans="1:77" x14ac:dyDescent="0.25">
      <c r="A58" s="1">
        <v>46106</v>
      </c>
      <c r="B58" s="7">
        <v>225.86</v>
      </c>
      <c r="C58" s="7">
        <v>266.58999999999997</v>
      </c>
      <c r="D58" s="12">
        <v>1.4359221077888999E-2</v>
      </c>
      <c r="E58" s="12">
        <v>1.8627729777106101E-2</v>
      </c>
      <c r="F58" s="7">
        <v>0</v>
      </c>
      <c r="G58" s="7">
        <v>0.15132499999999999</v>
      </c>
      <c r="H58" s="7">
        <v>0</v>
      </c>
      <c r="I58" s="7">
        <v>0.11178100000000001</v>
      </c>
      <c r="J58" s="7">
        <v>0</v>
      </c>
      <c r="K58" s="7">
        <v>0</v>
      </c>
      <c r="L58" s="7">
        <v>225.86</v>
      </c>
      <c r="M58" s="7">
        <v>266.58999999999997</v>
      </c>
      <c r="N58" s="10">
        <v>1.1803329496148001</v>
      </c>
      <c r="O58" s="10">
        <v>1.1658179450689301</v>
      </c>
      <c r="P58" s="10">
        <v>1.1701296340209599</v>
      </c>
      <c r="Q58" s="10">
        <v>1.1656602750749201</v>
      </c>
      <c r="R58" s="7">
        <v>263.31164107326902</v>
      </c>
      <c r="S58" s="7">
        <v>263.88123739370297</v>
      </c>
      <c r="T58" s="7">
        <v>263.08034209887199</v>
      </c>
      <c r="U58" s="12">
        <v>-1.23736199350011E-2</v>
      </c>
      <c r="V58" s="12">
        <v>-1.0212754091263401E-2</v>
      </c>
      <c r="W58" s="12">
        <v>-1.32524288708427E-2</v>
      </c>
      <c r="X58" s="10">
        <v>1.1803329496148001</v>
      </c>
      <c r="Y58" s="10">
        <v>1.16578176214971</v>
      </c>
      <c r="Z58" s="10">
        <v>1.16981931732747</v>
      </c>
      <c r="AA58" s="10">
        <v>1.16550511672817</v>
      </c>
      <c r="AB58" s="7">
        <v>263.30346879913498</v>
      </c>
      <c r="AC58" s="7">
        <v>263.811149265312</v>
      </c>
      <c r="AD58" s="7">
        <v>263.04529803467602</v>
      </c>
      <c r="AE58" s="12">
        <v>-1.2404656925706799E-2</v>
      </c>
      <c r="AF58" s="12">
        <v>-1.04783941898346E-2</v>
      </c>
      <c r="AG58" s="12">
        <v>-1.33856444436047E-2</v>
      </c>
      <c r="AZ58" s="5"/>
      <c r="BB58">
        <f t="shared" si="6"/>
        <v>0</v>
      </c>
      <c r="BC58">
        <f t="shared" si="7"/>
        <v>0</v>
      </c>
      <c r="BD58">
        <f t="shared" si="8"/>
        <v>0</v>
      </c>
      <c r="BE58">
        <f t="shared" si="4"/>
        <v>1</v>
      </c>
      <c r="BF58">
        <f t="shared" si="9"/>
        <v>0</v>
      </c>
      <c r="BG58" s="5">
        <f t="shared" si="10"/>
        <v>0</v>
      </c>
      <c r="BH58" s="5">
        <f t="shared" si="11"/>
        <v>0</v>
      </c>
      <c r="BI58" s="5">
        <f t="shared" si="12"/>
        <v>0</v>
      </c>
      <c r="BJ58" s="19">
        <f t="shared" si="13"/>
        <v>0</v>
      </c>
      <c r="BL58" s="5"/>
      <c r="BN58">
        <f t="shared" si="14"/>
        <v>0</v>
      </c>
      <c r="BO58">
        <f t="shared" si="15"/>
        <v>1</v>
      </c>
      <c r="BP58">
        <f t="shared" si="16"/>
        <v>0</v>
      </c>
      <c r="BQ58">
        <f t="shared" si="5"/>
        <v>1</v>
      </c>
      <c r="BR58">
        <f t="shared" si="17"/>
        <v>0</v>
      </c>
      <c r="BS58" s="5">
        <f t="shared" si="18"/>
        <v>0</v>
      </c>
      <c r="BT58" s="5">
        <f t="shared" si="19"/>
        <v>0</v>
      </c>
      <c r="BU58" s="5">
        <f t="shared" si="20"/>
        <v>0</v>
      </c>
      <c r="BV58" s="19">
        <f t="shared" si="21"/>
        <v>2.605399151548099E-2</v>
      </c>
      <c r="BX58" s="19">
        <f t="shared" si="22"/>
        <v>0</v>
      </c>
      <c r="BY58" s="19">
        <f t="shared" si="23"/>
        <v>2.605399151548099E-2</v>
      </c>
    </row>
    <row r="59" spans="1:77" x14ac:dyDescent="0.25">
      <c r="A59" s="1">
        <v>46107</v>
      </c>
      <c r="B59" s="7">
        <v>220.12</v>
      </c>
      <c r="C59" s="7">
        <v>257.02999999999997</v>
      </c>
      <c r="D59" s="12">
        <v>-2.5742486103966102E-2</v>
      </c>
      <c r="E59" s="12">
        <v>-3.6519088063633499E-2</v>
      </c>
      <c r="F59" s="7">
        <v>0</v>
      </c>
      <c r="G59" s="7">
        <v>0.15132499999999999</v>
      </c>
      <c r="H59" s="7">
        <v>0</v>
      </c>
      <c r="I59" s="7">
        <v>0.11178100000000001</v>
      </c>
      <c r="J59" s="7">
        <v>0</v>
      </c>
      <c r="K59" s="7">
        <v>0</v>
      </c>
      <c r="L59" s="7">
        <v>220.12</v>
      </c>
      <c r="M59" s="7">
        <v>257.02999999999997</v>
      </c>
      <c r="N59" s="10">
        <v>1.1676812647646699</v>
      </c>
      <c r="O59" s="10">
        <v>1.1658179450689301</v>
      </c>
      <c r="P59" s="10">
        <v>1.17085819075359</v>
      </c>
      <c r="Q59" s="10">
        <v>1.1656245211646501</v>
      </c>
      <c r="R59" s="7">
        <v>256.61984606857402</v>
      </c>
      <c r="S59" s="7">
        <v>257.56893504069399</v>
      </c>
      <c r="T59" s="7">
        <v>256.58513974949199</v>
      </c>
      <c r="U59" s="12">
        <v>-1.5970179753336E-3</v>
      </c>
      <c r="V59" s="12">
        <v>2.0945835719238699E-3</v>
      </c>
      <c r="W59" s="12">
        <v>-1.7322712175821199E-3</v>
      </c>
      <c r="X59" s="10">
        <v>1.1676812647646699</v>
      </c>
      <c r="Y59" s="10">
        <v>1.16578176214971</v>
      </c>
      <c r="Z59" s="10">
        <v>1.1705478740601001</v>
      </c>
      <c r="AA59" s="10">
        <v>1.1654693628179</v>
      </c>
      <c r="AB59" s="7">
        <v>256.61188148439498</v>
      </c>
      <c r="AC59" s="7">
        <v>257.500628130123</v>
      </c>
      <c r="AD59" s="7">
        <v>256.55098629420598</v>
      </c>
      <c r="AE59" s="12">
        <v>-1.62805496603943E-3</v>
      </c>
      <c r="AF59" s="12">
        <v>1.82934984096592E-3</v>
      </c>
      <c r="AG59" s="12">
        <v>-1.8653877673725399E-3</v>
      </c>
      <c r="AZ59" s="5"/>
      <c r="BB59">
        <f t="shared" si="6"/>
        <v>0</v>
      </c>
      <c r="BC59">
        <f t="shared" si="7"/>
        <v>1</v>
      </c>
      <c r="BD59">
        <f t="shared" si="8"/>
        <v>0</v>
      </c>
      <c r="BE59">
        <f t="shared" si="4"/>
        <v>1</v>
      </c>
      <c r="BF59">
        <f t="shared" si="9"/>
        <v>0</v>
      </c>
      <c r="BG59" s="5">
        <f t="shared" si="10"/>
        <v>0</v>
      </c>
      <c r="BH59" s="5">
        <f t="shared" si="11"/>
        <v>0</v>
      </c>
      <c r="BI59" s="5">
        <f t="shared" si="12"/>
        <v>0</v>
      </c>
      <c r="BJ59" s="19">
        <f t="shared" si="13"/>
        <v>0</v>
      </c>
      <c r="BL59" s="5"/>
      <c r="BN59">
        <f t="shared" si="14"/>
        <v>0</v>
      </c>
      <c r="BO59">
        <f t="shared" si="15"/>
        <v>1</v>
      </c>
      <c r="BP59">
        <f t="shared" si="16"/>
        <v>0</v>
      </c>
      <c r="BQ59">
        <f t="shared" si="5"/>
        <v>1</v>
      </c>
      <c r="BR59">
        <f t="shared" si="17"/>
        <v>0</v>
      </c>
      <c r="BS59" s="5">
        <f t="shared" si="18"/>
        <v>0</v>
      </c>
      <c r="BT59" s="5">
        <f t="shared" si="19"/>
        <v>0</v>
      </c>
      <c r="BU59" s="5">
        <f t="shared" si="20"/>
        <v>0</v>
      </c>
      <c r="BV59" s="19">
        <f t="shared" si="21"/>
        <v>2.605399151548099E-2</v>
      </c>
      <c r="BX59" s="19">
        <f t="shared" si="22"/>
        <v>0</v>
      </c>
      <c r="BY59" s="19">
        <f t="shared" si="23"/>
        <v>2.605399151548099E-2</v>
      </c>
    </row>
    <row r="60" spans="1:77" x14ac:dyDescent="0.25">
      <c r="A60" s="1">
        <v>46108</v>
      </c>
      <c r="B60" s="7">
        <v>216.04</v>
      </c>
      <c r="C60" s="7">
        <v>250.57</v>
      </c>
      <c r="D60" s="12">
        <v>-1.8709276466867701E-2</v>
      </c>
      <c r="E60" s="12">
        <v>-2.5454486993849099E-2</v>
      </c>
      <c r="F60" s="7">
        <v>0</v>
      </c>
      <c r="G60" s="7">
        <v>0.15132499999999999</v>
      </c>
      <c r="H60" s="7">
        <v>0</v>
      </c>
      <c r="I60" s="7">
        <v>0.11178100000000001</v>
      </c>
      <c r="J60" s="7">
        <v>0</v>
      </c>
      <c r="K60" s="7">
        <v>0</v>
      </c>
      <c r="L60" s="7">
        <v>216.04</v>
      </c>
      <c r="M60" s="7">
        <v>250.57</v>
      </c>
      <c r="N60" s="10">
        <v>1.15983151268283</v>
      </c>
      <c r="O60" s="10">
        <v>1.1658179450689301</v>
      </c>
      <c r="P60" s="10">
        <v>1.17120080831646</v>
      </c>
      <c r="Q60" s="10">
        <v>1.16556997830215</v>
      </c>
      <c r="R60" s="7">
        <v>251.863308852692</v>
      </c>
      <c r="S60" s="7">
        <v>252.95220353040699</v>
      </c>
      <c r="T60" s="7">
        <v>251.82152155241101</v>
      </c>
      <c r="U60" s="12">
        <v>5.1481925516477503E-3</v>
      </c>
      <c r="V60" s="12">
        <v>9.4622294216742901E-3</v>
      </c>
      <c r="W60" s="12">
        <v>4.9822661712810102E-3</v>
      </c>
      <c r="X60" s="10">
        <v>1.15983151268283</v>
      </c>
      <c r="Y60" s="10">
        <v>1.16578176214971</v>
      </c>
      <c r="Z60" s="10">
        <v>1.1708904916229701</v>
      </c>
      <c r="AA60" s="10">
        <v>1.16541481995541</v>
      </c>
      <c r="AB60" s="7">
        <v>251.85549189482401</v>
      </c>
      <c r="AC60" s="7">
        <v>252.88516271194499</v>
      </c>
      <c r="AD60" s="7">
        <v>251.78800114318</v>
      </c>
      <c r="AE60" s="12">
        <v>5.11715556094178E-3</v>
      </c>
      <c r="AF60" s="12">
        <v>9.1971607520656105E-3</v>
      </c>
      <c r="AG60" s="12">
        <v>4.8491455380537197E-3</v>
      </c>
      <c r="AZ60" s="5"/>
      <c r="BB60">
        <f t="shared" si="6"/>
        <v>0</v>
      </c>
      <c r="BC60">
        <f t="shared" si="7"/>
        <v>1</v>
      </c>
      <c r="BD60">
        <f t="shared" si="8"/>
        <v>0</v>
      </c>
      <c r="BE60">
        <f t="shared" si="4"/>
        <v>1</v>
      </c>
      <c r="BF60">
        <f t="shared" si="9"/>
        <v>0</v>
      </c>
      <c r="BG60" s="5">
        <f t="shared" si="10"/>
        <v>0</v>
      </c>
      <c r="BH60" s="5">
        <f t="shared" si="11"/>
        <v>0</v>
      </c>
      <c r="BI60" s="5">
        <f t="shared" si="12"/>
        <v>0</v>
      </c>
      <c r="BJ60" s="19">
        <f t="shared" si="13"/>
        <v>0</v>
      </c>
      <c r="BL60" s="5"/>
      <c r="BN60">
        <f t="shared" si="14"/>
        <v>0</v>
      </c>
      <c r="BO60">
        <f t="shared" si="15"/>
        <v>1</v>
      </c>
      <c r="BP60">
        <f t="shared" si="16"/>
        <v>0</v>
      </c>
      <c r="BQ60">
        <f t="shared" si="5"/>
        <v>1</v>
      </c>
      <c r="BR60">
        <f t="shared" si="17"/>
        <v>0</v>
      </c>
      <c r="BS60" s="5">
        <f t="shared" si="18"/>
        <v>0</v>
      </c>
      <c r="BT60" s="5">
        <f t="shared" si="19"/>
        <v>0</v>
      </c>
      <c r="BU60" s="5">
        <f t="shared" si="20"/>
        <v>0</v>
      </c>
      <c r="BV60" s="19">
        <f t="shared" si="21"/>
        <v>2.605399151548099E-2</v>
      </c>
      <c r="BX60" s="19">
        <f t="shared" si="22"/>
        <v>0</v>
      </c>
      <c r="BY60" s="19">
        <f t="shared" si="23"/>
        <v>2.605399151548099E-2</v>
      </c>
    </row>
    <row r="61" spans="1:77" x14ac:dyDescent="0.25">
      <c r="A61" s="1">
        <v>46111</v>
      </c>
      <c r="B61" s="7">
        <v>210.79</v>
      </c>
      <c r="C61" s="7">
        <v>242.24</v>
      </c>
      <c r="D61" s="12">
        <v>-2.4601198512887001E-2</v>
      </c>
      <c r="E61" s="12">
        <v>-3.38093523572029E-2</v>
      </c>
      <c r="F61" s="7">
        <v>0</v>
      </c>
      <c r="G61" s="7">
        <v>0.15132499999999999</v>
      </c>
      <c r="H61" s="7">
        <v>0</v>
      </c>
      <c r="I61" s="7">
        <v>0.11178100000000001</v>
      </c>
      <c r="J61" s="7">
        <v>0</v>
      </c>
      <c r="K61" s="7">
        <v>0</v>
      </c>
      <c r="L61" s="7">
        <v>210.79</v>
      </c>
      <c r="M61" s="7">
        <v>242.24</v>
      </c>
      <c r="N61" s="10">
        <v>1.14920062621566</v>
      </c>
      <c r="O61" s="10">
        <v>1.1658179450689301</v>
      </c>
      <c r="P61" s="10">
        <v>1.1697899573174799</v>
      </c>
      <c r="Q61" s="10">
        <v>1.16519019797593</v>
      </c>
      <c r="R61" s="7">
        <v>245.74276464107999</v>
      </c>
      <c r="S61" s="7">
        <v>246.877418385027</v>
      </c>
      <c r="T61" s="7">
        <v>245.69049572631101</v>
      </c>
      <c r="U61" s="12">
        <v>1.43563463959634E-2</v>
      </c>
      <c r="V61" s="12">
        <v>1.8962961348308102E-2</v>
      </c>
      <c r="W61" s="12">
        <v>1.4143626097271799E-2</v>
      </c>
      <c r="X61" s="10">
        <v>1.14920062621566</v>
      </c>
      <c r="Y61" s="10">
        <v>1.16578176214971</v>
      </c>
      <c r="Z61" s="10">
        <v>1.16947964062399</v>
      </c>
      <c r="AA61" s="10">
        <v>1.16503503962919</v>
      </c>
      <c r="AB61" s="7">
        <v>245.735137643538</v>
      </c>
      <c r="AC61" s="7">
        <v>246.81200672920701</v>
      </c>
      <c r="AD61" s="7">
        <v>245.65778989840101</v>
      </c>
      <c r="AE61" s="12">
        <v>1.43253094052577E-2</v>
      </c>
      <c r="AF61" s="12">
        <v>1.86979702309138E-2</v>
      </c>
      <c r="AG61" s="12">
        <v>1.40104992342483E-2</v>
      </c>
      <c r="AZ61" s="5"/>
      <c r="BB61">
        <f t="shared" si="6"/>
        <v>0</v>
      </c>
      <c r="BC61">
        <f t="shared" si="7"/>
        <v>1</v>
      </c>
      <c r="BD61">
        <f t="shared" si="8"/>
        <v>0</v>
      </c>
      <c r="BE61">
        <f t="shared" si="4"/>
        <v>1</v>
      </c>
      <c r="BF61">
        <f t="shared" si="9"/>
        <v>0</v>
      </c>
      <c r="BG61" s="5">
        <f t="shared" si="10"/>
        <v>0</v>
      </c>
      <c r="BH61" s="5">
        <f t="shared" si="11"/>
        <v>0</v>
      </c>
      <c r="BI61" s="5">
        <f t="shared" si="12"/>
        <v>0</v>
      </c>
      <c r="BJ61" s="19">
        <f t="shared" si="13"/>
        <v>0</v>
      </c>
      <c r="BL61" s="5"/>
      <c r="BN61">
        <f t="shared" si="14"/>
        <v>0</v>
      </c>
      <c r="BO61">
        <f t="shared" si="15"/>
        <v>1</v>
      </c>
      <c r="BP61">
        <f t="shared" si="16"/>
        <v>0</v>
      </c>
      <c r="BQ61">
        <f t="shared" si="5"/>
        <v>1</v>
      </c>
      <c r="BR61">
        <f t="shared" si="17"/>
        <v>0</v>
      </c>
      <c r="BS61" s="5">
        <f t="shared" si="18"/>
        <v>0</v>
      </c>
      <c r="BT61" s="5">
        <f t="shared" si="19"/>
        <v>0</v>
      </c>
      <c r="BU61" s="5">
        <f t="shared" si="20"/>
        <v>0</v>
      </c>
      <c r="BV61" s="19">
        <f t="shared" si="21"/>
        <v>2.605399151548099E-2</v>
      </c>
      <c r="BX61" s="19">
        <f t="shared" si="22"/>
        <v>0</v>
      </c>
      <c r="BY61" s="19">
        <f t="shared" si="23"/>
        <v>2.605399151548099E-2</v>
      </c>
    </row>
    <row r="62" spans="1:77" x14ac:dyDescent="0.25">
      <c r="A62" s="1">
        <v>46112</v>
      </c>
      <c r="B62" s="7">
        <v>218.75</v>
      </c>
      <c r="C62" s="7">
        <v>253.98</v>
      </c>
      <c r="D62" s="12">
        <v>3.7067148025920503E-2</v>
      </c>
      <c r="E62" s="12">
        <v>4.7326553511803197E-2</v>
      </c>
      <c r="F62" s="7">
        <v>0</v>
      </c>
      <c r="G62" s="7">
        <v>0.15132499999999999</v>
      </c>
      <c r="H62" s="7">
        <v>0</v>
      </c>
      <c r="I62" s="7">
        <v>0.11178100000000001</v>
      </c>
      <c r="J62" s="7">
        <v>0</v>
      </c>
      <c r="K62" s="7">
        <v>0</v>
      </c>
      <c r="L62" s="7">
        <v>218.75</v>
      </c>
      <c r="M62" s="7">
        <v>253.98</v>
      </c>
      <c r="N62" s="10">
        <v>1.16105142857142</v>
      </c>
      <c r="O62" s="10">
        <v>1.1658179450689301</v>
      </c>
      <c r="P62" s="10">
        <v>1.16835108986977</v>
      </c>
      <c r="Q62" s="10">
        <v>1.1652094605629699</v>
      </c>
      <c r="R62" s="7">
        <v>255.022675483829</v>
      </c>
      <c r="S62" s="7">
        <v>255.89155316319901</v>
      </c>
      <c r="T62" s="7">
        <v>254.88535580723601</v>
      </c>
      <c r="U62" s="12">
        <v>4.0969409100807602E-3</v>
      </c>
      <c r="V62" s="12">
        <v>7.4982105099296202E-3</v>
      </c>
      <c r="W62" s="12">
        <v>3.5583352342103401E-3</v>
      </c>
      <c r="X62" s="10">
        <v>1.16105142857142</v>
      </c>
      <c r="Y62" s="10">
        <v>1.16578176214971</v>
      </c>
      <c r="Z62" s="10">
        <v>1.16811709691037</v>
      </c>
      <c r="AA62" s="10">
        <v>1.1650543022162201</v>
      </c>
      <c r="AB62" s="7">
        <v>255.01476047025</v>
      </c>
      <c r="AC62" s="7">
        <v>255.82367138649801</v>
      </c>
      <c r="AD62" s="7">
        <v>254.85141491888601</v>
      </c>
      <c r="AE62" s="12">
        <v>4.0659039193748697E-3</v>
      </c>
      <c r="AF62" s="12">
        <v>7.2328997517487198E-3</v>
      </c>
      <c r="AG62" s="12">
        <v>3.42516497712943E-3</v>
      </c>
      <c r="AZ62" s="5"/>
      <c r="BB62">
        <f t="shared" si="6"/>
        <v>0</v>
      </c>
      <c r="BC62">
        <f t="shared" si="7"/>
        <v>1</v>
      </c>
      <c r="BD62">
        <f t="shared" si="8"/>
        <v>0</v>
      </c>
      <c r="BE62">
        <f t="shared" si="4"/>
        <v>1</v>
      </c>
      <c r="BF62">
        <f t="shared" si="9"/>
        <v>0</v>
      </c>
      <c r="BG62" s="5">
        <f t="shared" si="10"/>
        <v>0</v>
      </c>
      <c r="BH62" s="5">
        <f t="shared" si="11"/>
        <v>0</v>
      </c>
      <c r="BI62" s="5">
        <f t="shared" si="12"/>
        <v>0</v>
      </c>
      <c r="BJ62" s="19">
        <f t="shared" si="13"/>
        <v>0</v>
      </c>
      <c r="BL62" s="5"/>
      <c r="BN62">
        <f t="shared" si="14"/>
        <v>0</v>
      </c>
      <c r="BO62">
        <f t="shared" si="15"/>
        <v>1</v>
      </c>
      <c r="BP62">
        <f t="shared" si="16"/>
        <v>0</v>
      </c>
      <c r="BQ62">
        <f t="shared" si="5"/>
        <v>1</v>
      </c>
      <c r="BR62">
        <f t="shared" si="17"/>
        <v>0</v>
      </c>
      <c r="BS62" s="5">
        <f t="shared" si="18"/>
        <v>0</v>
      </c>
      <c r="BT62" s="5">
        <f t="shared" si="19"/>
        <v>0</v>
      </c>
      <c r="BU62" s="5">
        <f t="shared" si="20"/>
        <v>0</v>
      </c>
      <c r="BV62" s="19">
        <f t="shared" si="21"/>
        <v>2.605399151548099E-2</v>
      </c>
      <c r="BX62" s="19">
        <f t="shared" si="22"/>
        <v>0</v>
      </c>
      <c r="BY62" s="19">
        <f t="shared" si="23"/>
        <v>2.605399151548099E-2</v>
      </c>
    </row>
    <row r="63" spans="1:77" x14ac:dyDescent="0.25">
      <c r="A63" s="1">
        <v>46113</v>
      </c>
      <c r="B63" s="7">
        <v>223.64</v>
      </c>
      <c r="C63" s="7">
        <v>259.95</v>
      </c>
      <c r="D63" s="12">
        <v>2.21080909207205E-2</v>
      </c>
      <c r="E63" s="12">
        <v>2.3233781068837299E-2</v>
      </c>
      <c r="F63" s="7">
        <v>0</v>
      </c>
      <c r="G63" s="7">
        <v>0.15132499999999999</v>
      </c>
      <c r="H63" s="7">
        <v>0</v>
      </c>
      <c r="I63" s="7">
        <v>0.11178100000000001</v>
      </c>
      <c r="J63" s="7">
        <v>0</v>
      </c>
      <c r="K63" s="7">
        <v>0</v>
      </c>
      <c r="L63" s="7">
        <v>223.64</v>
      </c>
      <c r="M63" s="7">
        <v>259.95</v>
      </c>
      <c r="N63" s="10">
        <v>1.16235914863172</v>
      </c>
      <c r="O63" s="10">
        <v>1.1658179450689301</v>
      </c>
      <c r="P63" s="10">
        <v>1.16747167828434</v>
      </c>
      <c r="Q63" s="10">
        <v>1.1651867531364699</v>
      </c>
      <c r="R63" s="7">
        <v>260.72352523521602</v>
      </c>
      <c r="S63" s="7">
        <v>261.29003773847597</v>
      </c>
      <c r="T63" s="7">
        <v>260.58744376030302</v>
      </c>
      <c r="U63" s="12">
        <v>2.9712507619639398E-3</v>
      </c>
      <c r="V63" s="12">
        <v>5.1417412083694797E-3</v>
      </c>
      <c r="W63" s="12">
        <v>2.4491766599490702E-3</v>
      </c>
      <c r="X63" s="10">
        <v>1.16235914863172</v>
      </c>
      <c r="Y63" s="10">
        <v>1.16578176214971</v>
      </c>
      <c r="Z63" s="10">
        <v>1.16731421341621</v>
      </c>
      <c r="AA63" s="10">
        <v>1.1650315947897301</v>
      </c>
      <c r="AB63" s="7">
        <v>260.715433287162</v>
      </c>
      <c r="AC63" s="7">
        <v>261.23770755303701</v>
      </c>
      <c r="AD63" s="7">
        <v>260.55274414763699</v>
      </c>
      <c r="AE63" s="12">
        <v>2.94021377125811E-3</v>
      </c>
      <c r="AF63" s="12">
        <v>4.9414449137292604E-3</v>
      </c>
      <c r="AG63" s="12">
        <v>2.31600860451028E-3</v>
      </c>
      <c r="AZ63" s="5"/>
      <c r="BB63">
        <f t="shared" si="6"/>
        <v>0</v>
      </c>
      <c r="BC63">
        <f t="shared" si="7"/>
        <v>1</v>
      </c>
      <c r="BD63">
        <f t="shared" si="8"/>
        <v>0</v>
      </c>
      <c r="BE63">
        <f t="shared" si="4"/>
        <v>1</v>
      </c>
      <c r="BF63">
        <f t="shared" si="9"/>
        <v>0</v>
      </c>
      <c r="BG63" s="5">
        <f t="shared" si="10"/>
        <v>0</v>
      </c>
      <c r="BH63" s="5">
        <f t="shared" si="11"/>
        <v>0</v>
      </c>
      <c r="BI63" s="5">
        <f t="shared" si="12"/>
        <v>0</v>
      </c>
      <c r="BJ63" s="19">
        <f t="shared" si="13"/>
        <v>0</v>
      </c>
      <c r="BL63" s="5"/>
      <c r="BN63">
        <f t="shared" si="14"/>
        <v>0</v>
      </c>
      <c r="BO63">
        <f t="shared" si="15"/>
        <v>1</v>
      </c>
      <c r="BP63">
        <f t="shared" si="16"/>
        <v>0</v>
      </c>
      <c r="BQ63">
        <f t="shared" si="5"/>
        <v>1</v>
      </c>
      <c r="BR63">
        <f t="shared" si="17"/>
        <v>0</v>
      </c>
      <c r="BS63" s="5">
        <f t="shared" si="18"/>
        <v>0</v>
      </c>
      <c r="BT63" s="5">
        <f t="shared" si="19"/>
        <v>0</v>
      </c>
      <c r="BU63" s="5">
        <f t="shared" si="20"/>
        <v>0</v>
      </c>
      <c r="BV63" s="19">
        <f t="shared" si="21"/>
        <v>2.605399151548099E-2</v>
      </c>
      <c r="BX63" s="19">
        <f t="shared" si="22"/>
        <v>0</v>
      </c>
      <c r="BY63" s="19">
        <f t="shared" si="23"/>
        <v>2.605399151548099E-2</v>
      </c>
    </row>
    <row r="64" spans="1:77" x14ac:dyDescent="0.25">
      <c r="A64" s="1">
        <v>46114</v>
      </c>
      <c r="B64" s="7">
        <v>221.91</v>
      </c>
      <c r="C64" s="7">
        <v>259.58</v>
      </c>
      <c r="D64" s="12">
        <v>-7.7657218905585104E-3</v>
      </c>
      <c r="E64" s="12">
        <v>-1.42436457011191E-3</v>
      </c>
      <c r="F64" s="7">
        <v>0</v>
      </c>
      <c r="G64" s="7">
        <v>0.15132499999999999</v>
      </c>
      <c r="H64" s="7">
        <v>0</v>
      </c>
      <c r="I64" s="7">
        <v>0.11178100000000001</v>
      </c>
      <c r="J64" s="7">
        <v>0</v>
      </c>
      <c r="K64" s="7">
        <v>0</v>
      </c>
      <c r="L64" s="7">
        <v>221.91</v>
      </c>
      <c r="M64" s="7">
        <v>259.58</v>
      </c>
      <c r="N64" s="10">
        <v>1.1697535036726601</v>
      </c>
      <c r="O64" s="10">
        <v>1.1658179450689301</v>
      </c>
      <c r="P64" s="10">
        <v>1.1665515509109801</v>
      </c>
      <c r="Q64" s="10">
        <v>1.16560702288768</v>
      </c>
      <c r="R64" s="7">
        <v>258.70666019024702</v>
      </c>
      <c r="S64" s="7">
        <v>259.07364012807898</v>
      </c>
      <c r="T64" s="7">
        <v>258.56659238851603</v>
      </c>
      <c r="U64" s="12">
        <v>-3.37010655848272E-3</v>
      </c>
      <c r="V64" s="12">
        <v>-1.9525941538782001E-3</v>
      </c>
      <c r="W64" s="12">
        <v>-3.91166869979409E-3</v>
      </c>
      <c r="X64" s="10">
        <v>1.1697535036726601</v>
      </c>
      <c r="Y64" s="10">
        <v>1.16578176214971</v>
      </c>
      <c r="Z64" s="10">
        <v>1.16647251585447</v>
      </c>
      <c r="AA64" s="10">
        <v>1.16545186454093</v>
      </c>
      <c r="AB64" s="7">
        <v>258.698630838643</v>
      </c>
      <c r="AC64" s="7">
        <v>259.03869709919201</v>
      </c>
      <c r="AD64" s="7">
        <v>258.53216119978902</v>
      </c>
      <c r="AE64" s="12">
        <v>-3.4011435491885398E-3</v>
      </c>
      <c r="AF64" s="12">
        <v>-2.0874800711948699E-3</v>
      </c>
      <c r="AG64" s="12">
        <v>-4.0448393506151E-3</v>
      </c>
      <c r="AZ64" s="5"/>
      <c r="BB64">
        <f t="shared" si="6"/>
        <v>0</v>
      </c>
      <c r="BC64">
        <f t="shared" si="7"/>
        <v>1</v>
      </c>
      <c r="BD64">
        <f t="shared" si="8"/>
        <v>0</v>
      </c>
      <c r="BE64">
        <f t="shared" si="4"/>
        <v>1</v>
      </c>
      <c r="BF64">
        <f t="shared" si="9"/>
        <v>0</v>
      </c>
      <c r="BG64" s="5">
        <f t="shared" si="10"/>
        <v>0</v>
      </c>
      <c r="BH64" s="5">
        <f t="shared" si="11"/>
        <v>0</v>
      </c>
      <c r="BI64" s="5">
        <f t="shared" si="12"/>
        <v>0</v>
      </c>
      <c r="BJ64" s="19">
        <f t="shared" si="13"/>
        <v>0</v>
      </c>
      <c r="BL64" s="5"/>
      <c r="BN64">
        <f t="shared" si="14"/>
        <v>0</v>
      </c>
      <c r="BO64">
        <f t="shared" si="15"/>
        <v>1</v>
      </c>
      <c r="BP64">
        <f t="shared" si="16"/>
        <v>0</v>
      </c>
      <c r="BQ64">
        <f t="shared" si="5"/>
        <v>1</v>
      </c>
      <c r="BR64">
        <f t="shared" si="17"/>
        <v>0</v>
      </c>
      <c r="BS64" s="5">
        <f t="shared" si="18"/>
        <v>0</v>
      </c>
      <c r="BT64" s="5">
        <f t="shared" si="19"/>
        <v>0</v>
      </c>
      <c r="BU64" s="5">
        <f t="shared" si="20"/>
        <v>0</v>
      </c>
      <c r="BV64" s="19">
        <f t="shared" si="21"/>
        <v>2.605399151548099E-2</v>
      </c>
      <c r="BX64" s="19">
        <f t="shared" si="22"/>
        <v>0</v>
      </c>
      <c r="BY64" s="19">
        <f t="shared" si="23"/>
        <v>2.605399151548099E-2</v>
      </c>
    </row>
    <row r="65" spans="1:77" x14ac:dyDescent="0.25">
      <c r="A65" s="1">
        <v>46118</v>
      </c>
      <c r="B65" s="7">
        <v>225.2</v>
      </c>
      <c r="C65" s="7">
        <v>263.64</v>
      </c>
      <c r="D65" s="12">
        <v>1.47170019976492E-2</v>
      </c>
      <c r="E65" s="12">
        <v>1.55195959249063E-2</v>
      </c>
      <c r="F65" s="7">
        <v>0</v>
      </c>
      <c r="G65" s="7">
        <v>0.15132499999999999</v>
      </c>
      <c r="H65" s="7">
        <v>0</v>
      </c>
      <c r="I65" s="7">
        <v>0.11178100000000001</v>
      </c>
      <c r="J65" s="7">
        <v>0</v>
      </c>
      <c r="K65" s="7">
        <v>0</v>
      </c>
      <c r="L65" s="7">
        <v>225.2</v>
      </c>
      <c r="M65" s="7">
        <v>263.64</v>
      </c>
      <c r="N65" s="10">
        <v>1.17069271758436</v>
      </c>
      <c r="O65" s="10">
        <v>1.1658179450689301</v>
      </c>
      <c r="P65" s="10">
        <v>1.1673016278455499</v>
      </c>
      <c r="Q65" s="10">
        <v>1.1664847636389</v>
      </c>
      <c r="R65" s="7">
        <v>262.54220122952398</v>
      </c>
      <c r="S65" s="7">
        <v>262.70740926515299</v>
      </c>
      <c r="T65" s="7">
        <v>262.494701554306</v>
      </c>
      <c r="U65" s="12">
        <v>-4.1727004857396704E-3</v>
      </c>
      <c r="V65" s="12">
        <v>-3.5436356077243902E-3</v>
      </c>
      <c r="W65" s="12">
        <v>-4.3536389115743004E-3</v>
      </c>
      <c r="X65" s="10">
        <v>1.17069271758436</v>
      </c>
      <c r="Y65" s="10">
        <v>1.16578176214971</v>
      </c>
      <c r="Z65" s="10">
        <v>1.1673016278455499</v>
      </c>
      <c r="AA65" s="10">
        <v>1.1663296052921599</v>
      </c>
      <c r="AB65" s="7">
        <v>262.53405283611602</v>
      </c>
      <c r="AC65" s="7">
        <v>262.68961057042702</v>
      </c>
      <c r="AD65" s="7">
        <v>262.45975989461903</v>
      </c>
      <c r="AE65" s="12">
        <v>-4.2037374764454698E-3</v>
      </c>
      <c r="AF65" s="12">
        <v>-3.6113889221164302E-3</v>
      </c>
      <c r="AG65" s="12">
        <v>-4.4867615433625101E-3</v>
      </c>
      <c r="AZ65" s="5"/>
      <c r="BB65">
        <f t="shared" si="6"/>
        <v>0</v>
      </c>
      <c r="BC65">
        <f t="shared" si="7"/>
        <v>1</v>
      </c>
      <c r="BD65">
        <f t="shared" si="8"/>
        <v>0</v>
      </c>
      <c r="BE65">
        <f t="shared" si="4"/>
        <v>1</v>
      </c>
      <c r="BF65">
        <f t="shared" si="9"/>
        <v>0</v>
      </c>
      <c r="BG65" s="5">
        <f t="shared" si="10"/>
        <v>0</v>
      </c>
      <c r="BH65" s="5">
        <f t="shared" si="11"/>
        <v>0</v>
      </c>
      <c r="BI65" s="5">
        <f t="shared" si="12"/>
        <v>0</v>
      </c>
      <c r="BJ65" s="19">
        <f t="shared" si="13"/>
        <v>0</v>
      </c>
      <c r="BL65" s="5"/>
      <c r="BN65">
        <f t="shared" si="14"/>
        <v>0</v>
      </c>
      <c r="BO65">
        <f t="shared" si="15"/>
        <v>1</v>
      </c>
      <c r="BP65">
        <f t="shared" si="16"/>
        <v>0</v>
      </c>
      <c r="BQ65">
        <f t="shared" si="5"/>
        <v>1</v>
      </c>
      <c r="BR65">
        <f t="shared" si="17"/>
        <v>0</v>
      </c>
      <c r="BS65" s="5">
        <f t="shared" si="18"/>
        <v>0</v>
      </c>
      <c r="BT65" s="5">
        <f t="shared" si="19"/>
        <v>0</v>
      </c>
      <c r="BU65" s="5">
        <f t="shared" si="20"/>
        <v>0</v>
      </c>
      <c r="BV65" s="19">
        <f t="shared" si="21"/>
        <v>2.605399151548099E-2</v>
      </c>
      <c r="BX65" s="19">
        <f t="shared" si="22"/>
        <v>0</v>
      </c>
      <c r="BY65" s="19">
        <f t="shared" si="23"/>
        <v>2.605399151548099E-2</v>
      </c>
    </row>
    <row r="66" spans="1:77" x14ac:dyDescent="0.25">
      <c r="A66" s="1">
        <v>46119</v>
      </c>
      <c r="B66" s="7">
        <v>223.3</v>
      </c>
      <c r="C66" s="7">
        <v>260.06</v>
      </c>
      <c r="D66" s="12">
        <v>-8.4727374194230598E-3</v>
      </c>
      <c r="E66" s="12">
        <v>-1.3672162561345199E-2</v>
      </c>
      <c r="F66" s="7">
        <v>0</v>
      </c>
      <c r="G66" s="7">
        <v>0.15132499999999999</v>
      </c>
      <c r="H66" s="7">
        <v>0</v>
      </c>
      <c r="I66" s="7">
        <v>0.11178100000000001</v>
      </c>
      <c r="J66" s="7">
        <v>0</v>
      </c>
      <c r="K66" s="7">
        <v>0</v>
      </c>
      <c r="L66" s="7">
        <v>223.3</v>
      </c>
      <c r="M66" s="7">
        <v>260.06</v>
      </c>
      <c r="N66" s="10">
        <v>1.16462158531124</v>
      </c>
      <c r="O66" s="10">
        <v>1.1658179450689301</v>
      </c>
      <c r="P66" s="10">
        <v>1.1660830162848901</v>
      </c>
      <c r="Q66" s="10">
        <v>1.16642004555747</v>
      </c>
      <c r="R66" s="7">
        <v>260.32714713389299</v>
      </c>
      <c r="S66" s="7">
        <v>260.65845349791101</v>
      </c>
      <c r="T66" s="7">
        <v>260.47604772056798</v>
      </c>
      <c r="U66" s="12">
        <v>1.02672465618264E-3</v>
      </c>
      <c r="V66" s="12">
        <v>2.2985694375972599E-3</v>
      </c>
      <c r="W66" s="12">
        <v>1.59853601296149E-3</v>
      </c>
      <c r="X66" s="10">
        <v>1.16462158531124</v>
      </c>
      <c r="Y66" s="10">
        <v>1.16578176214971</v>
      </c>
      <c r="Z66" s="10">
        <v>1.1660830162848901</v>
      </c>
      <c r="AA66" s="10">
        <v>1.16626488721072</v>
      </c>
      <c r="AB66" s="7">
        <v>260.31906748803101</v>
      </c>
      <c r="AC66" s="7">
        <v>260.65845349791101</v>
      </c>
      <c r="AD66" s="7">
        <v>260.44140086174002</v>
      </c>
      <c r="AE66" s="12">
        <v>9.9568766547681199E-4</v>
      </c>
      <c r="AF66" s="12">
        <v>2.2985694375972599E-3</v>
      </c>
      <c r="AG66" s="12">
        <v>1.4655135581617899E-3</v>
      </c>
      <c r="AZ66" s="5"/>
      <c r="BB66">
        <f t="shared" si="6"/>
        <v>0</v>
      </c>
      <c r="BC66">
        <f t="shared" si="7"/>
        <v>1</v>
      </c>
      <c r="BD66">
        <f t="shared" si="8"/>
        <v>0</v>
      </c>
      <c r="BE66">
        <f t="shared" si="4"/>
        <v>1</v>
      </c>
      <c r="BF66">
        <f t="shared" si="9"/>
        <v>0</v>
      </c>
      <c r="BG66" s="5">
        <f t="shared" si="10"/>
        <v>0</v>
      </c>
      <c r="BH66" s="5">
        <f t="shared" si="11"/>
        <v>0</v>
      </c>
      <c r="BI66" s="5">
        <f t="shared" si="12"/>
        <v>0</v>
      </c>
      <c r="BJ66" s="19">
        <f t="shared" si="13"/>
        <v>0</v>
      </c>
      <c r="BL66" s="5"/>
      <c r="BN66">
        <f t="shared" si="14"/>
        <v>0</v>
      </c>
      <c r="BO66">
        <f t="shared" si="15"/>
        <v>1</v>
      </c>
      <c r="BP66">
        <f t="shared" si="16"/>
        <v>0</v>
      </c>
      <c r="BQ66">
        <f t="shared" si="5"/>
        <v>1</v>
      </c>
      <c r="BR66">
        <f t="shared" si="17"/>
        <v>0</v>
      </c>
      <c r="BS66" s="5">
        <f t="shared" si="18"/>
        <v>0</v>
      </c>
      <c r="BT66" s="5">
        <f t="shared" si="19"/>
        <v>0</v>
      </c>
      <c r="BU66" s="5">
        <f t="shared" si="20"/>
        <v>0</v>
      </c>
      <c r="BV66" s="19">
        <f t="shared" si="21"/>
        <v>2.605399151548099E-2</v>
      </c>
      <c r="BX66" s="19">
        <f t="shared" si="22"/>
        <v>0</v>
      </c>
      <c r="BY66" s="19">
        <f t="shared" si="23"/>
        <v>2.605399151548099E-2</v>
      </c>
    </row>
    <row r="67" spans="1:77" x14ac:dyDescent="0.25">
      <c r="A67" s="1">
        <v>46120</v>
      </c>
      <c r="B67" s="7">
        <v>232.17</v>
      </c>
      <c r="C67" s="7">
        <v>271.69</v>
      </c>
      <c r="D67" s="12">
        <v>3.8953703104365099E-2</v>
      </c>
      <c r="E67" s="12">
        <v>4.3749336831833303E-2</v>
      </c>
      <c r="F67" s="7">
        <v>0</v>
      </c>
      <c r="G67" s="7">
        <v>0.15132499999999999</v>
      </c>
      <c r="H67" s="7">
        <v>0</v>
      </c>
      <c r="I67" s="7">
        <v>0.11178100000000001</v>
      </c>
      <c r="J67" s="7">
        <v>0</v>
      </c>
      <c r="K67" s="7">
        <v>0</v>
      </c>
      <c r="L67" s="7">
        <v>232.17</v>
      </c>
      <c r="M67" s="7">
        <v>271.69</v>
      </c>
      <c r="N67" s="10">
        <v>1.1702200973424599</v>
      </c>
      <c r="O67" s="10">
        <v>1.1658179450689301</v>
      </c>
      <c r="P67" s="10">
        <v>1.1655744834391799</v>
      </c>
      <c r="Q67" s="10">
        <v>1.16695716422402</v>
      </c>
      <c r="R67" s="7">
        <v>270.667952306654</v>
      </c>
      <c r="S67" s="7">
        <v>270.72949389086301</v>
      </c>
      <c r="T67" s="7">
        <v>270.80774197707802</v>
      </c>
      <c r="U67" s="12">
        <v>-3.7689090712854502E-3</v>
      </c>
      <c r="V67" s="12">
        <v>-3.5415656107445998E-3</v>
      </c>
      <c r="W67" s="12">
        <v>-3.2525805453511702E-3</v>
      </c>
      <c r="X67" s="10">
        <v>1.1702200973424599</v>
      </c>
      <c r="Y67" s="10">
        <v>1.16578176214971</v>
      </c>
      <c r="Z67" s="10">
        <v>1.1655744834391799</v>
      </c>
      <c r="AA67" s="10">
        <v>1.1668020058772799</v>
      </c>
      <c r="AB67" s="7">
        <v>270.65955171829899</v>
      </c>
      <c r="AC67" s="7">
        <v>270.72949389086301</v>
      </c>
      <c r="AD67" s="7">
        <v>270.771718863714</v>
      </c>
      <c r="AE67" s="12">
        <v>-3.7999460619913099E-3</v>
      </c>
      <c r="AF67" s="12">
        <v>-3.5415656107445998E-3</v>
      </c>
      <c r="AG67" s="12">
        <v>-3.3856103813088901E-3</v>
      </c>
      <c r="AZ67" s="5"/>
      <c r="BB67">
        <f t="shared" si="6"/>
        <v>0</v>
      </c>
      <c r="BC67">
        <f t="shared" si="7"/>
        <v>1</v>
      </c>
      <c r="BD67">
        <f t="shared" si="8"/>
        <v>0</v>
      </c>
      <c r="BE67">
        <f t="shared" si="4"/>
        <v>1</v>
      </c>
      <c r="BF67">
        <f t="shared" si="9"/>
        <v>0</v>
      </c>
      <c r="BG67" s="5">
        <f t="shared" si="10"/>
        <v>0</v>
      </c>
      <c r="BH67" s="5">
        <f t="shared" si="11"/>
        <v>0</v>
      </c>
      <c r="BI67" s="5">
        <f t="shared" si="12"/>
        <v>0</v>
      </c>
      <c r="BJ67" s="19">
        <f t="shared" si="13"/>
        <v>0</v>
      </c>
      <c r="BL67" s="5"/>
      <c r="BN67">
        <f t="shared" si="14"/>
        <v>0</v>
      </c>
      <c r="BO67">
        <f t="shared" si="15"/>
        <v>1</v>
      </c>
      <c r="BP67">
        <f t="shared" si="16"/>
        <v>0</v>
      </c>
      <c r="BQ67">
        <f t="shared" si="5"/>
        <v>1</v>
      </c>
      <c r="BR67">
        <f t="shared" si="17"/>
        <v>0</v>
      </c>
      <c r="BS67" s="5">
        <f t="shared" si="18"/>
        <v>0</v>
      </c>
      <c r="BT67" s="5">
        <f t="shared" si="19"/>
        <v>0</v>
      </c>
      <c r="BU67" s="5">
        <f t="shared" si="20"/>
        <v>0</v>
      </c>
      <c r="BV67" s="19">
        <f t="shared" si="21"/>
        <v>2.605399151548099E-2</v>
      </c>
      <c r="BX67" s="19">
        <f t="shared" si="22"/>
        <v>0</v>
      </c>
      <c r="BY67" s="19">
        <f t="shared" si="23"/>
        <v>2.605399151548099E-2</v>
      </c>
    </row>
    <row r="68" spans="1:77" x14ac:dyDescent="0.25">
      <c r="A68" s="1">
        <v>46121</v>
      </c>
      <c r="B68" s="7">
        <v>231.76</v>
      </c>
      <c r="C68" s="7">
        <v>269.14</v>
      </c>
      <c r="D68" s="12">
        <v>-1.76750848938247E-3</v>
      </c>
      <c r="E68" s="12">
        <v>-9.4300201416118792E-3</v>
      </c>
      <c r="F68" s="7">
        <v>0</v>
      </c>
      <c r="G68" s="7">
        <v>0.15132499999999999</v>
      </c>
      <c r="H68" s="7">
        <v>0</v>
      </c>
      <c r="I68" s="7">
        <v>0.11178100000000001</v>
      </c>
      <c r="J68" s="7">
        <v>0</v>
      </c>
      <c r="K68" s="7">
        <v>0</v>
      </c>
      <c r="L68" s="7">
        <v>231.76</v>
      </c>
      <c r="M68" s="7">
        <v>269.14</v>
      </c>
      <c r="N68" s="10">
        <v>1.16128753883327</v>
      </c>
      <c r="O68" s="10">
        <v>1.1658179450689301</v>
      </c>
      <c r="P68" s="10">
        <v>1.1636699423610299</v>
      </c>
      <c r="Q68" s="10">
        <v>1.1668997881909899</v>
      </c>
      <c r="R68" s="7">
        <v>270.18996694917598</v>
      </c>
      <c r="S68" s="7">
        <v>270.13354228186603</v>
      </c>
      <c r="T68" s="7">
        <v>270.45399238056098</v>
      </c>
      <c r="U68" s="12">
        <v>3.8936025809437501E-3</v>
      </c>
      <c r="V68" s="12">
        <v>3.68474745414797E-3</v>
      </c>
      <c r="W68" s="12">
        <v>4.8703098864353398E-3</v>
      </c>
      <c r="X68" s="10">
        <v>1.16128753883327</v>
      </c>
      <c r="Y68" s="10">
        <v>1.16578176214971</v>
      </c>
      <c r="Z68" s="10">
        <v>1.1636699423610299</v>
      </c>
      <c r="AA68" s="10">
        <v>1.1667446298442501</v>
      </c>
      <c r="AB68" s="7">
        <v>270.18158119581801</v>
      </c>
      <c r="AC68" s="7">
        <v>270.13354228186603</v>
      </c>
      <c r="AD68" s="7">
        <v>270.41803288211901</v>
      </c>
      <c r="AE68" s="12">
        <v>3.86256559023818E-3</v>
      </c>
      <c r="AF68" s="12">
        <v>3.68474745414797E-3</v>
      </c>
      <c r="AG68" s="12">
        <v>4.7373412845666402E-3</v>
      </c>
      <c r="AZ68" s="5"/>
      <c r="BB68">
        <f t="shared" si="6"/>
        <v>0</v>
      </c>
      <c r="BC68">
        <f t="shared" si="7"/>
        <v>1</v>
      </c>
      <c r="BD68">
        <f t="shared" si="8"/>
        <v>0</v>
      </c>
      <c r="BE68">
        <f t="shared" si="4"/>
        <v>1</v>
      </c>
      <c r="BF68">
        <f t="shared" si="9"/>
        <v>0</v>
      </c>
      <c r="BG68" s="5">
        <f t="shared" si="10"/>
        <v>0</v>
      </c>
      <c r="BH68" s="5">
        <f t="shared" si="11"/>
        <v>0</v>
      </c>
      <c r="BI68" s="5">
        <f t="shared" si="12"/>
        <v>0</v>
      </c>
      <c r="BJ68" s="19">
        <f t="shared" si="13"/>
        <v>0</v>
      </c>
      <c r="BL68" s="5"/>
      <c r="BN68">
        <f t="shared" si="14"/>
        <v>0</v>
      </c>
      <c r="BO68">
        <f t="shared" si="15"/>
        <v>1</v>
      </c>
      <c r="BP68">
        <f t="shared" si="16"/>
        <v>0</v>
      </c>
      <c r="BQ68">
        <f t="shared" si="5"/>
        <v>1</v>
      </c>
      <c r="BR68">
        <f t="shared" si="17"/>
        <v>0</v>
      </c>
      <c r="BS68" s="5">
        <f t="shared" si="18"/>
        <v>0</v>
      </c>
      <c r="BT68" s="5">
        <f t="shared" si="19"/>
        <v>0</v>
      </c>
      <c r="BU68" s="5">
        <f t="shared" si="20"/>
        <v>0</v>
      </c>
      <c r="BV68" s="19">
        <f t="shared" si="21"/>
        <v>2.605399151548099E-2</v>
      </c>
      <c r="BX68" s="19">
        <f t="shared" si="22"/>
        <v>0</v>
      </c>
      <c r="BY68" s="19">
        <f t="shared" si="23"/>
        <v>2.605399151548099E-2</v>
      </c>
    </row>
    <row r="69" spans="1:77" x14ac:dyDescent="0.25">
      <c r="A69" s="1">
        <v>46122</v>
      </c>
      <c r="B69" s="7">
        <v>229.64</v>
      </c>
      <c r="C69" s="7">
        <v>267.81</v>
      </c>
      <c r="D69" s="12">
        <v>-9.1894881616589302E-3</v>
      </c>
      <c r="E69" s="12">
        <v>-4.9539164540148804E-3</v>
      </c>
      <c r="F69" s="7">
        <v>0</v>
      </c>
      <c r="G69" s="7">
        <v>0.15132499999999999</v>
      </c>
      <c r="H69" s="7">
        <v>0</v>
      </c>
      <c r="I69" s="7">
        <v>0.11178100000000001</v>
      </c>
      <c r="J69" s="7">
        <v>0</v>
      </c>
      <c r="K69" s="7">
        <v>0</v>
      </c>
      <c r="L69" s="7">
        <v>229.64</v>
      </c>
      <c r="M69" s="7">
        <v>267.81</v>
      </c>
      <c r="N69" s="10">
        <v>1.1662166869883199</v>
      </c>
      <c r="O69" s="10">
        <v>1.1658179450689301</v>
      </c>
      <c r="P69" s="10">
        <v>1.1635234845833999</v>
      </c>
      <c r="Q69" s="10">
        <v>1.1671908376684901</v>
      </c>
      <c r="R69" s="7">
        <v>267.71843290562998</v>
      </c>
      <c r="S69" s="7">
        <v>267.22516556378702</v>
      </c>
      <c r="T69" s="7">
        <v>267.96686736018103</v>
      </c>
      <c r="U69" s="12">
        <v>-3.4196912670014101E-4</v>
      </c>
      <c r="V69" s="12">
        <v>-2.1861541325765002E-3</v>
      </c>
      <c r="W69" s="12">
        <v>5.8556975569429097E-4</v>
      </c>
      <c r="X69" s="10">
        <v>1.1662166869883199</v>
      </c>
      <c r="Y69" s="10">
        <v>1.16578176214971</v>
      </c>
      <c r="Z69" s="10">
        <v>1.1635234845833999</v>
      </c>
      <c r="AA69" s="10">
        <v>1.16703567932175</v>
      </c>
      <c r="AB69" s="7">
        <v>267.710123860061</v>
      </c>
      <c r="AC69" s="7">
        <v>267.22516556378702</v>
      </c>
      <c r="AD69" s="7">
        <v>267.931236797434</v>
      </c>
      <c r="AE69" s="12">
        <v>-3.7300611740595703E-4</v>
      </c>
      <c r="AF69" s="12">
        <v>-2.1861541325765002E-3</v>
      </c>
      <c r="AG69" s="12">
        <v>4.5259461537379701E-4</v>
      </c>
      <c r="AZ69" s="5"/>
      <c r="BB69">
        <f t="shared" si="6"/>
        <v>0</v>
      </c>
      <c r="BC69">
        <f t="shared" si="7"/>
        <v>1</v>
      </c>
      <c r="BD69">
        <f t="shared" si="8"/>
        <v>0</v>
      </c>
      <c r="BE69">
        <f t="shared" si="4"/>
        <v>1</v>
      </c>
      <c r="BF69">
        <f t="shared" si="9"/>
        <v>0</v>
      </c>
      <c r="BG69" s="5">
        <f t="shared" si="10"/>
        <v>0</v>
      </c>
      <c r="BH69" s="5">
        <f t="shared" si="11"/>
        <v>0</v>
      </c>
      <c r="BI69" s="5">
        <f t="shared" si="12"/>
        <v>0</v>
      </c>
      <c r="BJ69" s="19">
        <f t="shared" si="13"/>
        <v>0</v>
      </c>
      <c r="BL69" s="5"/>
      <c r="BN69">
        <f t="shared" si="14"/>
        <v>0</v>
      </c>
      <c r="BO69">
        <f t="shared" si="15"/>
        <v>1</v>
      </c>
      <c r="BP69">
        <f t="shared" si="16"/>
        <v>0</v>
      </c>
      <c r="BQ69">
        <f t="shared" si="5"/>
        <v>1</v>
      </c>
      <c r="BR69">
        <f t="shared" si="17"/>
        <v>0</v>
      </c>
      <c r="BS69" s="5">
        <f t="shared" si="18"/>
        <v>0</v>
      </c>
      <c r="BT69" s="5">
        <f t="shared" si="19"/>
        <v>0</v>
      </c>
      <c r="BU69" s="5">
        <f t="shared" si="20"/>
        <v>0</v>
      </c>
      <c r="BV69" s="19">
        <f t="shared" si="21"/>
        <v>2.605399151548099E-2</v>
      </c>
      <c r="BX69" s="19">
        <f t="shared" si="22"/>
        <v>0</v>
      </c>
      <c r="BY69" s="19">
        <f t="shared" si="23"/>
        <v>2.605399151548099E-2</v>
      </c>
    </row>
    <row r="70" spans="1:77" x14ac:dyDescent="0.25">
      <c r="A70" s="1">
        <v>46125</v>
      </c>
      <c r="B70" s="7">
        <v>232.81</v>
      </c>
      <c r="C70" s="7">
        <v>273.74</v>
      </c>
      <c r="D70" s="12">
        <v>1.3709804961753599E-2</v>
      </c>
      <c r="E70" s="12">
        <v>2.1900976923739799E-2</v>
      </c>
      <c r="F70" s="7">
        <v>0</v>
      </c>
      <c r="G70" s="7">
        <v>0.15132499999999999</v>
      </c>
      <c r="H70" s="7">
        <v>0</v>
      </c>
      <c r="I70" s="7">
        <v>0.11178100000000001</v>
      </c>
      <c r="J70" s="7">
        <v>0</v>
      </c>
      <c r="K70" s="7">
        <v>0</v>
      </c>
      <c r="L70" s="7">
        <v>232.81</v>
      </c>
      <c r="M70" s="7">
        <v>273.74</v>
      </c>
      <c r="N70" s="10">
        <v>1.17580859928697</v>
      </c>
      <c r="O70" s="10">
        <v>1.1658179450689301</v>
      </c>
      <c r="P70" s="10">
        <v>1.1651211932438099</v>
      </c>
      <c r="Q70" s="10">
        <v>1.16816100078014</v>
      </c>
      <c r="R70" s="7">
        <v>271.41407579149899</v>
      </c>
      <c r="S70" s="7">
        <v>270.87990244586098</v>
      </c>
      <c r="T70" s="7">
        <v>271.73369891760302</v>
      </c>
      <c r="U70" s="12">
        <v>-8.5331410886863492E-3</v>
      </c>
      <c r="V70" s="12">
        <v>-1.05031925362021E-2</v>
      </c>
      <c r="W70" s="12">
        <v>-7.3562121648052701E-3</v>
      </c>
      <c r="X70" s="10">
        <v>1.17580859928697</v>
      </c>
      <c r="Y70" s="10">
        <v>1.16578176214971</v>
      </c>
      <c r="Z70" s="10">
        <v>1.1651211932438099</v>
      </c>
      <c r="AA70" s="10">
        <v>1.1680058424333899</v>
      </c>
      <c r="AB70" s="7">
        <v>271.40565204607498</v>
      </c>
      <c r="AC70" s="7">
        <v>270.87990244586098</v>
      </c>
      <c r="AD70" s="7">
        <v>271.69757650289699</v>
      </c>
      <c r="AE70" s="12">
        <v>-8.5641780793923403E-3</v>
      </c>
      <c r="AF70" s="12">
        <v>-1.05031925362018E-2</v>
      </c>
      <c r="AG70" s="12">
        <v>-7.4891541443808298E-3</v>
      </c>
      <c r="AZ70" s="5"/>
      <c r="BB70">
        <f t="shared" si="6"/>
        <v>0</v>
      </c>
      <c r="BC70">
        <f t="shared" si="7"/>
        <v>0</v>
      </c>
      <c r="BD70">
        <f t="shared" si="8"/>
        <v>0</v>
      </c>
      <c r="BE70">
        <f t="shared" si="4"/>
        <v>1</v>
      </c>
      <c r="BF70">
        <f t="shared" si="9"/>
        <v>0</v>
      </c>
      <c r="BG70" s="5">
        <f t="shared" si="10"/>
        <v>0</v>
      </c>
      <c r="BH70" s="5">
        <f t="shared" si="11"/>
        <v>0</v>
      </c>
      <c r="BI70" s="5">
        <f t="shared" si="12"/>
        <v>0</v>
      </c>
      <c r="BJ70" s="19">
        <f t="shared" si="13"/>
        <v>0</v>
      </c>
      <c r="BL70" s="5"/>
      <c r="BN70">
        <f t="shared" si="14"/>
        <v>0</v>
      </c>
      <c r="BO70">
        <f t="shared" si="15"/>
        <v>1</v>
      </c>
      <c r="BP70">
        <f t="shared" si="16"/>
        <v>0</v>
      </c>
      <c r="BQ70">
        <f t="shared" si="5"/>
        <v>1</v>
      </c>
      <c r="BR70">
        <f t="shared" si="17"/>
        <v>0</v>
      </c>
      <c r="BS70" s="5">
        <f t="shared" si="18"/>
        <v>0</v>
      </c>
      <c r="BT70" s="5">
        <f t="shared" si="19"/>
        <v>0</v>
      </c>
      <c r="BU70" s="5">
        <f t="shared" si="20"/>
        <v>0</v>
      </c>
      <c r="BV70" s="19">
        <f t="shared" si="21"/>
        <v>2.605399151548099E-2</v>
      </c>
      <c r="BX70" s="19">
        <f t="shared" si="22"/>
        <v>0</v>
      </c>
      <c r="BY70" s="19">
        <f t="shared" si="23"/>
        <v>2.605399151548099E-2</v>
      </c>
    </row>
    <row r="71" spans="1:77" x14ac:dyDescent="0.25">
      <c r="A71" s="1">
        <v>46126</v>
      </c>
      <c r="B71" s="7">
        <v>235.43</v>
      </c>
      <c r="C71" s="7">
        <v>276.48</v>
      </c>
      <c r="D71" s="12">
        <v>1.11909590956691E-2</v>
      </c>
      <c r="E71" s="12">
        <v>9.9597348325706405E-3</v>
      </c>
      <c r="F71" s="7">
        <v>0</v>
      </c>
      <c r="G71" s="7">
        <v>0.15132499999999999</v>
      </c>
      <c r="H71" s="7">
        <v>0</v>
      </c>
      <c r="I71" s="7">
        <v>0.11178100000000001</v>
      </c>
      <c r="J71" s="7">
        <v>0</v>
      </c>
      <c r="K71" s="7">
        <v>0</v>
      </c>
      <c r="L71" s="7">
        <v>235.43</v>
      </c>
      <c r="M71" s="7">
        <v>276.48</v>
      </c>
      <c r="N71" s="10">
        <v>1.174361806057</v>
      </c>
      <c r="O71" s="10">
        <v>1.1658179450689301</v>
      </c>
      <c r="P71" s="10">
        <v>1.1676373112279399</v>
      </c>
      <c r="Q71" s="10">
        <v>1.16871363427271</v>
      </c>
      <c r="R71" s="7">
        <v>274.46851880757902</v>
      </c>
      <c r="S71" s="7">
        <v>274.30448252539099</v>
      </c>
      <c r="T71" s="7">
        <v>275.02014441366799</v>
      </c>
      <c r="U71" s="12">
        <v>-7.3019168255878302E-3</v>
      </c>
      <c r="V71" s="12">
        <v>-7.8997461162988794E-3</v>
      </c>
      <c r="W71" s="12">
        <v>-5.2941382186071501E-3</v>
      </c>
      <c r="X71" s="10">
        <v>1.174361806057</v>
      </c>
      <c r="Y71" s="10">
        <v>1.16578176214971</v>
      </c>
      <c r="Z71" s="10">
        <v>1.1676373112279399</v>
      </c>
      <c r="AA71" s="10">
        <v>1.16855847592597</v>
      </c>
      <c r="AB71" s="7">
        <v>274.46000026290801</v>
      </c>
      <c r="AC71" s="7">
        <v>274.30448252539099</v>
      </c>
      <c r="AD71" s="7">
        <v>274.983615484094</v>
      </c>
      <c r="AE71" s="12">
        <v>-7.3329538162936201E-3</v>
      </c>
      <c r="AF71" s="12">
        <v>-7.8997461162988794E-3</v>
      </c>
      <c r="AG71" s="12">
        <v>-5.4269697819211002E-3</v>
      </c>
      <c r="AZ71" s="5"/>
      <c r="BB71">
        <f t="shared" si="6"/>
        <v>0</v>
      </c>
      <c r="BC71">
        <f t="shared" si="7"/>
        <v>0</v>
      </c>
      <c r="BD71">
        <f t="shared" si="8"/>
        <v>0</v>
      </c>
      <c r="BE71">
        <f t="shared" si="4"/>
        <v>1</v>
      </c>
      <c r="BF71">
        <f t="shared" si="9"/>
        <v>0</v>
      </c>
      <c r="BG71" s="5">
        <f t="shared" si="10"/>
        <v>0</v>
      </c>
      <c r="BH71" s="5">
        <f t="shared" si="11"/>
        <v>0</v>
      </c>
      <c r="BI71" s="5">
        <f t="shared" si="12"/>
        <v>0</v>
      </c>
      <c r="BJ71" s="19">
        <f t="shared" si="13"/>
        <v>0</v>
      </c>
      <c r="BL71" s="5"/>
      <c r="BN71">
        <f t="shared" si="14"/>
        <v>0</v>
      </c>
      <c r="BO71">
        <f t="shared" si="15"/>
        <v>1</v>
      </c>
      <c r="BP71">
        <f t="shared" si="16"/>
        <v>0</v>
      </c>
      <c r="BQ71">
        <f t="shared" si="5"/>
        <v>1</v>
      </c>
      <c r="BR71">
        <f t="shared" si="17"/>
        <v>0</v>
      </c>
      <c r="BS71" s="5">
        <f t="shared" si="18"/>
        <v>0</v>
      </c>
      <c r="BT71" s="5">
        <f t="shared" si="19"/>
        <v>0</v>
      </c>
      <c r="BU71" s="5">
        <f t="shared" si="20"/>
        <v>0</v>
      </c>
      <c r="BV71" s="19">
        <f t="shared" si="21"/>
        <v>2.605399151548099E-2</v>
      </c>
      <c r="BX71" s="19">
        <f t="shared" si="22"/>
        <v>0</v>
      </c>
      <c r="BY71" s="19">
        <f t="shared" si="23"/>
        <v>2.605399151548099E-2</v>
      </c>
    </row>
    <row r="72" spans="1:77" x14ac:dyDescent="0.25">
      <c r="A72" s="1">
        <v>46127</v>
      </c>
      <c r="B72" s="7">
        <v>234</v>
      </c>
      <c r="C72" s="7">
        <v>275.47000000000003</v>
      </c>
      <c r="D72" s="12">
        <v>-6.0925139991573002E-3</v>
      </c>
      <c r="E72" s="12">
        <v>-3.6597558739463799E-3</v>
      </c>
      <c r="F72" s="7">
        <v>0</v>
      </c>
      <c r="G72" s="7">
        <v>0.15132499999999999</v>
      </c>
      <c r="H72" s="7">
        <v>0</v>
      </c>
      <c r="I72" s="7">
        <v>0.11178100000000001</v>
      </c>
      <c r="J72" s="7">
        <v>0</v>
      </c>
      <c r="K72" s="7">
        <v>0</v>
      </c>
      <c r="L72" s="7">
        <v>234</v>
      </c>
      <c r="M72" s="7">
        <v>275.47000000000003</v>
      </c>
      <c r="N72" s="10">
        <v>1.1772222222222199</v>
      </c>
      <c r="O72" s="10">
        <v>1.1658179450689301</v>
      </c>
      <c r="P72" s="10">
        <v>1.1692543905930199</v>
      </c>
      <c r="Q72" s="10">
        <v>1.1688027402314001</v>
      </c>
      <c r="R72" s="7">
        <v>272.80139914613102</v>
      </c>
      <c r="S72" s="7">
        <v>273.22713082733901</v>
      </c>
      <c r="T72" s="7">
        <v>273.47899041981498</v>
      </c>
      <c r="U72" s="12">
        <v>-9.7346749507988394E-3</v>
      </c>
      <c r="V72" s="12">
        <v>-8.1752994086505392E-3</v>
      </c>
      <c r="W72" s="12">
        <v>-7.2539283081452903E-3</v>
      </c>
      <c r="X72" s="10">
        <v>1.1772222222222199</v>
      </c>
      <c r="Y72" s="10">
        <v>1.16578176214971</v>
      </c>
      <c r="Z72" s="10">
        <v>1.1692543905930199</v>
      </c>
      <c r="AA72" s="10">
        <v>1.1686857437517</v>
      </c>
      <c r="AB72" s="7">
        <v>272.79293234303299</v>
      </c>
      <c r="AC72" s="7">
        <v>273.22713082733901</v>
      </c>
      <c r="AD72" s="7">
        <v>273.44268336667699</v>
      </c>
      <c r="AE72" s="12">
        <v>-9.7657119415046206E-3</v>
      </c>
      <c r="AF72" s="12">
        <v>-8.1752994086505392E-3</v>
      </c>
      <c r="AG72" s="12">
        <v>-7.3866970570604503E-3</v>
      </c>
      <c r="AZ72" s="5"/>
      <c r="BB72">
        <f t="shared" si="6"/>
        <v>0</v>
      </c>
      <c r="BC72">
        <f t="shared" si="7"/>
        <v>0</v>
      </c>
      <c r="BD72">
        <f t="shared" si="8"/>
        <v>0</v>
      </c>
      <c r="BE72">
        <f t="shared" si="4"/>
        <v>1</v>
      </c>
      <c r="BF72">
        <f t="shared" si="9"/>
        <v>0</v>
      </c>
      <c r="BG72" s="5">
        <f t="shared" si="10"/>
        <v>0</v>
      </c>
      <c r="BH72" s="5">
        <f t="shared" si="11"/>
        <v>0</v>
      </c>
      <c r="BI72" s="5">
        <f t="shared" si="12"/>
        <v>0</v>
      </c>
      <c r="BJ72" s="19">
        <f t="shared" si="13"/>
        <v>0</v>
      </c>
      <c r="BL72" s="5"/>
      <c r="BN72">
        <f t="shared" si="14"/>
        <v>0</v>
      </c>
      <c r="BO72">
        <f t="shared" si="15"/>
        <v>1</v>
      </c>
      <c r="BP72">
        <f t="shared" si="16"/>
        <v>0</v>
      </c>
      <c r="BQ72">
        <f t="shared" si="5"/>
        <v>1</v>
      </c>
      <c r="BR72">
        <f t="shared" si="17"/>
        <v>0</v>
      </c>
      <c r="BS72" s="5">
        <f t="shared" si="18"/>
        <v>0</v>
      </c>
      <c r="BT72" s="5">
        <f t="shared" si="19"/>
        <v>0</v>
      </c>
      <c r="BU72" s="5">
        <f t="shared" si="20"/>
        <v>0</v>
      </c>
      <c r="BV72" s="19">
        <f t="shared" si="21"/>
        <v>2.605399151548099E-2</v>
      </c>
      <c r="BX72" s="19">
        <f t="shared" si="22"/>
        <v>0</v>
      </c>
      <c r="BY72" s="19">
        <f t="shared" si="23"/>
        <v>2.605399151548099E-2</v>
      </c>
    </row>
    <row r="73" spans="1:77" x14ac:dyDescent="0.25">
      <c r="A73" s="1">
        <v>46128</v>
      </c>
      <c r="B73" s="7">
        <v>229.03</v>
      </c>
      <c r="C73" s="7">
        <v>272.63</v>
      </c>
      <c r="D73" s="12">
        <v>-2.14681160169721E-2</v>
      </c>
      <c r="E73" s="12">
        <v>-1.0363165177218501E-2</v>
      </c>
      <c r="F73" s="7">
        <v>0</v>
      </c>
      <c r="G73" s="7">
        <v>0.15132499999999999</v>
      </c>
      <c r="H73" s="7">
        <v>0</v>
      </c>
      <c r="I73" s="7">
        <v>0.11178100000000001</v>
      </c>
      <c r="J73" s="7">
        <v>0</v>
      </c>
      <c r="K73" s="7">
        <v>0</v>
      </c>
      <c r="L73" s="7">
        <v>229.03</v>
      </c>
      <c r="M73" s="7">
        <v>272.63</v>
      </c>
      <c r="N73" s="10">
        <v>1.19036807405143</v>
      </c>
      <c r="O73" s="10">
        <v>1.1658179450689301</v>
      </c>
      <c r="P73" s="10">
        <v>1.17205528313499</v>
      </c>
      <c r="Q73" s="10">
        <v>1.16976348070967</v>
      </c>
      <c r="R73" s="7">
        <v>267.00728395913802</v>
      </c>
      <c r="S73" s="7">
        <v>267.79433307751998</v>
      </c>
      <c r="T73" s="7">
        <v>267.690891595197</v>
      </c>
      <c r="U73" s="12">
        <v>-2.08396257905526E-2</v>
      </c>
      <c r="V73" s="12">
        <v>-1.7896292556292E-2</v>
      </c>
      <c r="W73" s="12">
        <v>-1.82826392894745E-2</v>
      </c>
      <c r="X73" s="10">
        <v>1.19036807405143</v>
      </c>
      <c r="Y73" s="10">
        <v>1.16578176214971</v>
      </c>
      <c r="Z73" s="10">
        <v>1.17205528313499</v>
      </c>
      <c r="AA73" s="10">
        <v>1.1696847482756001</v>
      </c>
      <c r="AB73" s="7">
        <v>266.99899698514901</v>
      </c>
      <c r="AC73" s="7">
        <v>267.79433307751998</v>
      </c>
      <c r="AD73" s="7">
        <v>267.66409589145201</v>
      </c>
      <c r="AE73" s="12">
        <v>-2.0870662781258199E-2</v>
      </c>
      <c r="AF73" s="12">
        <v>-1.7896292556292E-2</v>
      </c>
      <c r="AG73" s="12">
        <v>-1.83827437225852E-2</v>
      </c>
      <c r="AZ73" s="5"/>
      <c r="BB73">
        <f t="shared" si="6"/>
        <v>0</v>
      </c>
      <c r="BC73">
        <f t="shared" si="7"/>
        <v>0</v>
      </c>
      <c r="BD73">
        <f t="shared" si="8"/>
        <v>0</v>
      </c>
      <c r="BE73">
        <f t="shared" si="4"/>
        <v>1</v>
      </c>
      <c r="BF73">
        <f t="shared" si="9"/>
        <v>0</v>
      </c>
      <c r="BG73" s="5">
        <f t="shared" si="10"/>
        <v>0</v>
      </c>
      <c r="BH73" s="5">
        <f t="shared" si="11"/>
        <v>0</v>
      </c>
      <c r="BI73" s="5">
        <f t="shared" si="12"/>
        <v>0</v>
      </c>
      <c r="BJ73" s="19">
        <f t="shared" si="13"/>
        <v>0</v>
      </c>
      <c r="BL73" s="5"/>
      <c r="BN73">
        <f t="shared" si="14"/>
        <v>0</v>
      </c>
      <c r="BO73">
        <f t="shared" si="15"/>
        <v>1</v>
      </c>
      <c r="BP73">
        <f t="shared" si="16"/>
        <v>0</v>
      </c>
      <c r="BQ73">
        <f t="shared" si="5"/>
        <v>1</v>
      </c>
      <c r="BR73">
        <f t="shared" si="17"/>
        <v>0</v>
      </c>
      <c r="BS73" s="5">
        <f t="shared" si="18"/>
        <v>0</v>
      </c>
      <c r="BT73" s="5">
        <f t="shared" si="19"/>
        <v>0</v>
      </c>
      <c r="BU73" s="5">
        <f t="shared" si="20"/>
        <v>0</v>
      </c>
      <c r="BV73" s="19">
        <f t="shared" si="21"/>
        <v>2.605399151548099E-2</v>
      </c>
      <c r="BX73" s="19">
        <f t="shared" si="22"/>
        <v>0</v>
      </c>
      <c r="BY73" s="19">
        <f t="shared" si="23"/>
        <v>2.605399151548099E-2</v>
      </c>
    </row>
    <row r="74" spans="1:77" x14ac:dyDescent="0.25">
      <c r="A74" s="1">
        <v>46129</v>
      </c>
      <c r="B74" s="7">
        <v>231.94</v>
      </c>
      <c r="C74" s="7">
        <v>276.38</v>
      </c>
      <c r="D74" s="12">
        <v>1.2625718187828001E-2</v>
      </c>
      <c r="E74" s="12">
        <v>1.36611658108125E-2</v>
      </c>
      <c r="F74" s="7">
        <v>0</v>
      </c>
      <c r="G74" s="7">
        <v>0.15132499999999999</v>
      </c>
      <c r="H74" s="7">
        <v>0</v>
      </c>
      <c r="I74" s="7">
        <v>0.11178100000000001</v>
      </c>
      <c r="J74" s="7">
        <v>0</v>
      </c>
      <c r="K74" s="7">
        <v>0</v>
      </c>
      <c r="L74" s="7">
        <v>231.94</v>
      </c>
      <c r="M74" s="7">
        <v>276.38</v>
      </c>
      <c r="N74" s="10">
        <v>1.19160127619211</v>
      </c>
      <c r="O74" s="10">
        <v>1.1658179450689301</v>
      </c>
      <c r="P74" s="10">
        <v>1.1742400603869401</v>
      </c>
      <c r="Q74" s="10">
        <v>1.1703958056489601</v>
      </c>
      <c r="R74" s="7">
        <v>270.399814179288</v>
      </c>
      <c r="S74" s="7">
        <v>271.846502370331</v>
      </c>
      <c r="T74" s="7">
        <v>271.31494171580101</v>
      </c>
      <c r="U74" s="12">
        <v>-2.1875073413537199E-2</v>
      </c>
      <c r="V74" s="12">
        <v>-1.65391528940186E-2</v>
      </c>
      <c r="W74" s="12">
        <v>-1.8496437712434002E-2</v>
      </c>
      <c r="X74" s="10">
        <v>1.19160127619211</v>
      </c>
      <c r="Y74" s="10">
        <v>1.16578176214971</v>
      </c>
      <c r="Z74" s="10">
        <v>1.1742400603869401</v>
      </c>
      <c r="AA74" s="10">
        <v>1.1703562881206999</v>
      </c>
      <c r="AB74" s="7">
        <v>270.39142191300499</v>
      </c>
      <c r="AC74" s="7">
        <v>271.846502370331</v>
      </c>
      <c r="AD74" s="7">
        <v>271.29668051504399</v>
      </c>
      <c r="AE74" s="12">
        <v>-2.1906110404242798E-2</v>
      </c>
      <c r="AF74" s="12">
        <v>-1.65391528940186E-2</v>
      </c>
      <c r="AG74" s="12">
        <v>-1.8563746262475801E-2</v>
      </c>
      <c r="AZ74" s="5"/>
      <c r="BB74">
        <f t="shared" si="6"/>
        <v>0</v>
      </c>
      <c r="BC74">
        <f t="shared" si="7"/>
        <v>0</v>
      </c>
      <c r="BD74">
        <f t="shared" si="8"/>
        <v>0</v>
      </c>
      <c r="BE74">
        <f t="shared" si="4"/>
        <v>1</v>
      </c>
      <c r="BF74">
        <f t="shared" si="9"/>
        <v>0</v>
      </c>
      <c r="BG74" s="5">
        <f t="shared" si="10"/>
        <v>0</v>
      </c>
      <c r="BH74" s="5">
        <f t="shared" si="11"/>
        <v>0</v>
      </c>
      <c r="BI74" s="5">
        <f t="shared" si="12"/>
        <v>0</v>
      </c>
      <c r="BJ74" s="19">
        <f t="shared" si="13"/>
        <v>0</v>
      </c>
      <c r="BL74" s="5"/>
      <c r="BN74">
        <f t="shared" si="14"/>
        <v>0</v>
      </c>
      <c r="BO74">
        <f t="shared" si="15"/>
        <v>1</v>
      </c>
      <c r="BP74">
        <f t="shared" si="16"/>
        <v>0</v>
      </c>
      <c r="BQ74">
        <f t="shared" si="5"/>
        <v>1</v>
      </c>
      <c r="BR74">
        <f t="shared" si="17"/>
        <v>0</v>
      </c>
      <c r="BS74" s="5">
        <f t="shared" si="18"/>
        <v>0</v>
      </c>
      <c r="BT74" s="5">
        <f t="shared" si="19"/>
        <v>0</v>
      </c>
      <c r="BU74" s="5">
        <f t="shared" si="20"/>
        <v>0</v>
      </c>
      <c r="BV74" s="19">
        <f t="shared" si="21"/>
        <v>2.605399151548099E-2</v>
      </c>
      <c r="BX74" s="19">
        <f t="shared" si="22"/>
        <v>0</v>
      </c>
      <c r="BY74" s="19">
        <f t="shared" si="23"/>
        <v>2.605399151548099E-2</v>
      </c>
    </row>
    <row r="75" spans="1:77" x14ac:dyDescent="0.25">
      <c r="A75" s="1">
        <v>46132</v>
      </c>
      <c r="B75" s="7">
        <v>231.85</v>
      </c>
      <c r="C75" s="7">
        <v>276.35000000000002</v>
      </c>
      <c r="D75" s="12">
        <v>-3.8810669108738902E-4</v>
      </c>
      <c r="E75" s="12">
        <v>-1.08552096066556E-4</v>
      </c>
      <c r="F75" s="7">
        <v>0</v>
      </c>
      <c r="G75" s="7">
        <v>0.15132499999999999</v>
      </c>
      <c r="H75" s="7">
        <v>0</v>
      </c>
      <c r="I75" s="7">
        <v>0.11178100000000001</v>
      </c>
      <c r="J75" s="7">
        <v>0</v>
      </c>
      <c r="K75" s="7">
        <v>0</v>
      </c>
      <c r="L75" s="7">
        <v>231.85</v>
      </c>
      <c r="M75" s="7">
        <v>276.35000000000002</v>
      </c>
      <c r="N75" s="10">
        <v>1.19193444037092</v>
      </c>
      <c r="O75" s="10">
        <v>1.1658179450689301</v>
      </c>
      <c r="P75" s="10">
        <v>1.1763642326655901</v>
      </c>
      <c r="Q75" s="10">
        <v>1.1718329302555699</v>
      </c>
      <c r="R75" s="7">
        <v>270.29489056423199</v>
      </c>
      <c r="S75" s="7">
        <v>272.24755800071199</v>
      </c>
      <c r="T75" s="7">
        <v>271.35626753971098</v>
      </c>
      <c r="U75" s="12">
        <v>-2.21546280085579E-2</v>
      </c>
      <c r="V75" s="12">
        <v>-1.49563862007816E-2</v>
      </c>
      <c r="W75" s="12">
        <v>-1.8235580414669699E-2</v>
      </c>
      <c r="X75" s="10">
        <v>1.19193444037092</v>
      </c>
      <c r="Y75" s="10">
        <v>1.16578176214971</v>
      </c>
      <c r="Z75" s="10">
        <v>1.1763642326655901</v>
      </c>
      <c r="AA75" s="10">
        <v>1.1718329302555699</v>
      </c>
      <c r="AB75" s="7">
        <v>270.28650155441198</v>
      </c>
      <c r="AC75" s="7">
        <v>272.24755800071199</v>
      </c>
      <c r="AD75" s="7">
        <v>271.34710540078498</v>
      </c>
      <c r="AE75" s="12">
        <v>-2.2185664999263801E-2</v>
      </c>
      <c r="AF75" s="12">
        <v>-1.49563862007816E-2</v>
      </c>
      <c r="AG75" s="12">
        <v>-1.8269345227580901E-2</v>
      </c>
      <c r="AZ75" s="5"/>
      <c r="BB75">
        <f t="shared" si="6"/>
        <v>0</v>
      </c>
      <c r="BC75">
        <f t="shared" si="7"/>
        <v>0</v>
      </c>
      <c r="BD75">
        <f t="shared" si="8"/>
        <v>0</v>
      </c>
      <c r="BE75">
        <f t="shared" si="4"/>
        <v>1</v>
      </c>
      <c r="BF75">
        <f t="shared" si="9"/>
        <v>0</v>
      </c>
      <c r="BG75" s="5">
        <f t="shared" si="10"/>
        <v>0</v>
      </c>
      <c r="BH75" s="5">
        <f t="shared" si="11"/>
        <v>0</v>
      </c>
      <c r="BI75" s="5">
        <f t="shared" si="12"/>
        <v>0</v>
      </c>
      <c r="BJ75" s="19">
        <f t="shared" si="13"/>
        <v>0</v>
      </c>
      <c r="BL75" s="5"/>
      <c r="BN75">
        <f t="shared" si="14"/>
        <v>0</v>
      </c>
      <c r="BO75">
        <f t="shared" si="15"/>
        <v>1</v>
      </c>
      <c r="BP75">
        <f t="shared" si="16"/>
        <v>0</v>
      </c>
      <c r="BQ75">
        <f t="shared" si="5"/>
        <v>1</v>
      </c>
      <c r="BR75">
        <f t="shared" si="17"/>
        <v>0</v>
      </c>
      <c r="BS75" s="5">
        <f t="shared" si="18"/>
        <v>0</v>
      </c>
      <c r="BT75" s="5">
        <f t="shared" si="19"/>
        <v>0</v>
      </c>
      <c r="BU75" s="5">
        <f t="shared" si="20"/>
        <v>0</v>
      </c>
      <c r="BV75" s="19">
        <f t="shared" si="21"/>
        <v>2.605399151548099E-2</v>
      </c>
      <c r="BX75" s="19">
        <f t="shared" si="22"/>
        <v>0</v>
      </c>
      <c r="BY75" s="19">
        <f t="shared" si="23"/>
        <v>2.605399151548099E-2</v>
      </c>
    </row>
    <row r="76" spans="1:77" x14ac:dyDescent="0.25">
      <c r="A76" s="1">
        <v>46133</v>
      </c>
      <c r="B76" s="7">
        <v>223.09</v>
      </c>
      <c r="C76" s="7">
        <v>267.45999999999998</v>
      </c>
      <c r="D76" s="12">
        <v>-3.85153333529114E-2</v>
      </c>
      <c r="E76" s="12">
        <v>-3.2698155834621601E-2</v>
      </c>
      <c r="F76" s="7">
        <v>0</v>
      </c>
      <c r="G76" s="7">
        <v>0.15132499999999999</v>
      </c>
      <c r="H76" s="7">
        <v>0</v>
      </c>
      <c r="I76" s="7">
        <v>0.11178100000000001</v>
      </c>
      <c r="J76" s="7">
        <v>0</v>
      </c>
      <c r="K76" s="7">
        <v>0</v>
      </c>
      <c r="L76" s="7">
        <v>223.09</v>
      </c>
      <c r="M76" s="7">
        <v>267.45999999999998</v>
      </c>
      <c r="N76" s="10">
        <v>1.19888834102828</v>
      </c>
      <c r="O76" s="10">
        <v>1.1658179450689301</v>
      </c>
      <c r="P76" s="10">
        <v>1.1797909082372999</v>
      </c>
      <c r="Q76" s="10">
        <v>1.1729369622610899</v>
      </c>
      <c r="R76" s="7">
        <v>260.08232536542801</v>
      </c>
      <c r="S76" s="7">
        <v>262.43509666536801</v>
      </c>
      <c r="T76" s="7">
        <v>261.42420841071601</v>
      </c>
      <c r="U76" s="12">
        <v>-2.79718055268478E-2</v>
      </c>
      <c r="V76" s="12">
        <v>-1.8966221783086299E-2</v>
      </c>
      <c r="W76" s="12">
        <v>-2.2825614943099301E-2</v>
      </c>
      <c r="X76" s="10">
        <v>1.19888834102828</v>
      </c>
      <c r="Y76" s="10">
        <v>1.16578176214971</v>
      </c>
      <c r="Z76" s="10">
        <v>1.1797909082372999</v>
      </c>
      <c r="AA76" s="10">
        <v>1.1729369622610899</v>
      </c>
      <c r="AB76" s="7">
        <v>260.07425331797998</v>
      </c>
      <c r="AC76" s="7">
        <v>262.43509666536801</v>
      </c>
      <c r="AD76" s="7">
        <v>261.42420841071601</v>
      </c>
      <c r="AE76" s="12">
        <v>-2.8002842517553601E-2</v>
      </c>
      <c r="AF76" s="12">
        <v>-1.8966221783086299E-2</v>
      </c>
      <c r="AG76" s="12">
        <v>-2.2825614943099301E-2</v>
      </c>
      <c r="AZ76" s="5"/>
      <c r="BB76">
        <f t="shared" si="6"/>
        <v>0</v>
      </c>
      <c r="BC76">
        <f t="shared" si="7"/>
        <v>0</v>
      </c>
      <c r="BD76">
        <f t="shared" si="8"/>
        <v>0</v>
      </c>
      <c r="BE76">
        <f t="shared" si="4"/>
        <v>1</v>
      </c>
      <c r="BF76">
        <f t="shared" si="9"/>
        <v>0</v>
      </c>
      <c r="BG76" s="5">
        <f t="shared" si="10"/>
        <v>0</v>
      </c>
      <c r="BH76" s="5">
        <f t="shared" si="11"/>
        <v>0</v>
      </c>
      <c r="BI76" s="5">
        <f t="shared" si="12"/>
        <v>0</v>
      </c>
      <c r="BJ76" s="19">
        <f t="shared" si="13"/>
        <v>0</v>
      </c>
      <c r="BL76" s="5"/>
      <c r="BN76">
        <f t="shared" si="14"/>
        <v>0</v>
      </c>
      <c r="BO76">
        <f t="shared" si="15"/>
        <v>1</v>
      </c>
      <c r="BP76">
        <f t="shared" si="16"/>
        <v>0</v>
      </c>
      <c r="BQ76">
        <f t="shared" si="5"/>
        <v>1</v>
      </c>
      <c r="BR76">
        <f t="shared" si="17"/>
        <v>0</v>
      </c>
      <c r="BS76" s="5">
        <f t="shared" si="18"/>
        <v>0</v>
      </c>
      <c r="BT76" s="5">
        <f t="shared" si="19"/>
        <v>0</v>
      </c>
      <c r="BU76" s="5">
        <f t="shared" si="20"/>
        <v>0</v>
      </c>
      <c r="BV76" s="19">
        <f t="shared" si="21"/>
        <v>2.605399151548099E-2</v>
      </c>
      <c r="BX76" s="19">
        <f t="shared" si="22"/>
        <v>0</v>
      </c>
      <c r="BY76" s="19">
        <f t="shared" si="23"/>
        <v>2.605399151548099E-2</v>
      </c>
    </row>
    <row r="77" spans="1:77" x14ac:dyDescent="0.25">
      <c r="A77" s="1">
        <v>46134</v>
      </c>
      <c r="B77" s="7">
        <v>219.15</v>
      </c>
      <c r="C77" s="7">
        <v>263.92</v>
      </c>
      <c r="D77" s="12">
        <v>-1.78188506197401E-2</v>
      </c>
      <c r="E77" s="12">
        <v>-1.33239955243244E-2</v>
      </c>
      <c r="F77" s="7">
        <v>0</v>
      </c>
      <c r="G77" s="7">
        <v>0.15132499999999999</v>
      </c>
      <c r="H77" s="7">
        <v>0</v>
      </c>
      <c r="I77" s="7">
        <v>0.11178100000000001</v>
      </c>
      <c r="J77" s="7">
        <v>0</v>
      </c>
      <c r="K77" s="7">
        <v>0</v>
      </c>
      <c r="L77" s="7">
        <v>219.15</v>
      </c>
      <c r="M77" s="7">
        <v>263.92</v>
      </c>
      <c r="N77" s="10">
        <v>1.2042892995665</v>
      </c>
      <c r="O77" s="10">
        <v>1.1658179450689301</v>
      </c>
      <c r="P77" s="10">
        <v>1.1831978284597</v>
      </c>
      <c r="Q77" s="10">
        <v>1.17438615594944</v>
      </c>
      <c r="R77" s="7">
        <v>255.489002661857</v>
      </c>
      <c r="S77" s="7">
        <v>258.551177540205</v>
      </c>
      <c r="T77" s="7">
        <v>257.04913527951902</v>
      </c>
      <c r="U77" s="12">
        <v>-3.2466660622263603E-2</v>
      </c>
      <c r="V77" s="12">
        <v>-2.0552373688138E-2</v>
      </c>
      <c r="W77" s="12">
        <v>-2.63787724411234E-2</v>
      </c>
      <c r="X77" s="10">
        <v>1.2042892995665</v>
      </c>
      <c r="Y77" s="10">
        <v>1.16578176214971</v>
      </c>
      <c r="Z77" s="10">
        <v>1.1831978284597</v>
      </c>
      <c r="AA77" s="10">
        <v>1.17438615594944</v>
      </c>
      <c r="AB77" s="7">
        <v>255.48107317511</v>
      </c>
      <c r="AC77" s="7">
        <v>258.551177540205</v>
      </c>
      <c r="AD77" s="7">
        <v>257.04913527951902</v>
      </c>
      <c r="AE77" s="12">
        <v>-3.2497697612969403E-2</v>
      </c>
      <c r="AF77" s="12">
        <v>-2.0552373688138E-2</v>
      </c>
      <c r="AG77" s="12">
        <v>-2.63787724411234E-2</v>
      </c>
      <c r="AZ77" s="5"/>
      <c r="BB77">
        <f t="shared" si="6"/>
        <v>1</v>
      </c>
      <c r="BC77">
        <f t="shared" si="7"/>
        <v>0</v>
      </c>
      <c r="BD77">
        <f t="shared" si="8"/>
        <v>0</v>
      </c>
      <c r="BE77">
        <f t="shared" si="4"/>
        <v>1</v>
      </c>
      <c r="BF77">
        <f t="shared" si="9"/>
        <v>0</v>
      </c>
      <c r="BG77" s="5">
        <f t="shared" si="10"/>
        <v>0</v>
      </c>
      <c r="BH77" s="5">
        <f t="shared" si="11"/>
        <v>0</v>
      </c>
      <c r="BI77" s="5">
        <f t="shared" si="12"/>
        <v>0</v>
      </c>
      <c r="BJ77" s="19">
        <f t="shared" si="13"/>
        <v>0</v>
      </c>
      <c r="BL77" s="5"/>
      <c r="BN77">
        <f t="shared" si="14"/>
        <v>0</v>
      </c>
      <c r="BO77">
        <f t="shared" si="15"/>
        <v>1</v>
      </c>
      <c r="BP77">
        <f t="shared" si="16"/>
        <v>0</v>
      </c>
      <c r="BQ77">
        <f t="shared" si="5"/>
        <v>1</v>
      </c>
      <c r="BR77">
        <f t="shared" si="17"/>
        <v>0</v>
      </c>
      <c r="BS77" s="5">
        <f t="shared" si="18"/>
        <v>0</v>
      </c>
      <c r="BT77" s="5">
        <f t="shared" si="19"/>
        <v>0</v>
      </c>
      <c r="BU77" s="5">
        <f t="shared" si="20"/>
        <v>0</v>
      </c>
      <c r="BV77" s="19">
        <f t="shared" si="21"/>
        <v>2.605399151548099E-2</v>
      </c>
      <c r="BX77" s="19">
        <f t="shared" si="22"/>
        <v>0</v>
      </c>
      <c r="BY77" s="19">
        <f t="shared" si="23"/>
        <v>2.605399151548099E-2</v>
      </c>
    </row>
    <row r="78" spans="1:77" x14ac:dyDescent="0.25">
      <c r="A78" s="1">
        <v>46135</v>
      </c>
      <c r="B78" s="7">
        <v>219.11</v>
      </c>
      <c r="C78" s="7">
        <v>261.58</v>
      </c>
      <c r="D78" s="12">
        <v>-1.8254004522918899E-4</v>
      </c>
      <c r="E78" s="12">
        <v>-8.9058628593197704E-3</v>
      </c>
      <c r="F78" s="7">
        <v>0</v>
      </c>
      <c r="G78" s="7">
        <v>0.15132499999999999</v>
      </c>
      <c r="H78" s="7">
        <v>0</v>
      </c>
      <c r="I78" s="7">
        <v>0.11178100000000001</v>
      </c>
      <c r="J78" s="7">
        <v>0</v>
      </c>
      <c r="K78" s="7">
        <v>0</v>
      </c>
      <c r="L78" s="7">
        <v>219.11</v>
      </c>
      <c r="M78" s="7">
        <v>261.58</v>
      </c>
      <c r="N78" s="10">
        <v>1.19382958331431</v>
      </c>
      <c r="O78" s="10">
        <v>1.1658179450689301</v>
      </c>
      <c r="P78" s="10">
        <v>1.1864520329078101</v>
      </c>
      <c r="Q78" s="10">
        <v>1.17506098763442</v>
      </c>
      <c r="R78" s="7">
        <v>255.44236994405401</v>
      </c>
      <c r="S78" s="7">
        <v>259.25047619380598</v>
      </c>
      <c r="T78" s="7">
        <v>257.31975063008298</v>
      </c>
      <c r="U78" s="12">
        <v>-2.3743337808173001E-2</v>
      </c>
      <c r="V78" s="12">
        <v>-8.9454801399164192E-3</v>
      </c>
      <c r="W78" s="12">
        <v>-1.6420686622968798E-2</v>
      </c>
      <c r="X78" s="10">
        <v>1.19382958331431</v>
      </c>
      <c r="Y78" s="10">
        <v>1.16578176214971</v>
      </c>
      <c r="Z78" s="10">
        <v>1.1864520329078101</v>
      </c>
      <c r="AA78" s="10">
        <v>1.17506098763442</v>
      </c>
      <c r="AB78" s="7">
        <v>255.43444190462401</v>
      </c>
      <c r="AC78" s="7">
        <v>259.25047619380598</v>
      </c>
      <c r="AD78" s="7">
        <v>257.31975063008298</v>
      </c>
      <c r="AE78" s="12">
        <v>-2.37743747988786E-2</v>
      </c>
      <c r="AF78" s="12">
        <v>-8.9454801399164192E-3</v>
      </c>
      <c r="AG78" s="12">
        <v>-1.6420686622968798E-2</v>
      </c>
      <c r="AZ78" s="5"/>
      <c r="BB78">
        <f t="shared" si="6"/>
        <v>0</v>
      </c>
      <c r="BC78">
        <f t="shared" si="7"/>
        <v>0</v>
      </c>
      <c r="BD78">
        <f t="shared" si="8"/>
        <v>1</v>
      </c>
      <c r="BE78">
        <f t="shared" si="4"/>
        <v>1</v>
      </c>
      <c r="BF78">
        <f t="shared" si="9"/>
        <v>1</v>
      </c>
      <c r="BG78" s="5">
        <f t="shared" si="10"/>
        <v>-1.8254004522918899E-4</v>
      </c>
      <c r="BH78" s="5">
        <f t="shared" si="11"/>
        <v>8.9058628593197704E-3</v>
      </c>
      <c r="BI78" s="5">
        <f t="shared" si="12"/>
        <v>8.7233228140905818E-3</v>
      </c>
      <c r="BJ78" s="19">
        <f t="shared" si="13"/>
        <v>8.7233228140905818E-3</v>
      </c>
      <c r="BL78" s="5"/>
      <c r="BN78">
        <f t="shared" si="14"/>
        <v>0</v>
      </c>
      <c r="BO78">
        <f t="shared" si="15"/>
        <v>1</v>
      </c>
      <c r="BP78">
        <f t="shared" si="16"/>
        <v>0</v>
      </c>
      <c r="BQ78">
        <f t="shared" si="5"/>
        <v>1</v>
      </c>
      <c r="BR78">
        <f t="shared" si="17"/>
        <v>0</v>
      </c>
      <c r="BS78" s="5">
        <f t="shared" si="18"/>
        <v>0</v>
      </c>
      <c r="BT78" s="5">
        <f t="shared" si="19"/>
        <v>0</v>
      </c>
      <c r="BU78" s="5">
        <f t="shared" si="20"/>
        <v>0</v>
      </c>
      <c r="BV78" s="19">
        <f t="shared" si="21"/>
        <v>2.605399151548099E-2</v>
      </c>
      <c r="BX78" s="19">
        <f t="shared" si="22"/>
        <v>8.7233228140905818E-3</v>
      </c>
      <c r="BY78" s="19">
        <f t="shared" si="23"/>
        <v>3.4777314329571568E-2</v>
      </c>
    </row>
    <row r="79" spans="1:77" x14ac:dyDescent="0.25">
      <c r="A79" s="1">
        <v>46136</v>
      </c>
      <c r="B79" s="7">
        <v>215.8</v>
      </c>
      <c r="C79" s="7">
        <v>256.45</v>
      </c>
      <c r="D79" s="12">
        <v>-1.52218339955547E-2</v>
      </c>
      <c r="E79" s="12">
        <v>-1.98064502257288E-2</v>
      </c>
      <c r="F79" s="7">
        <v>0</v>
      </c>
      <c r="G79" s="7">
        <v>0.15132499999999999</v>
      </c>
      <c r="H79" s="7">
        <v>0</v>
      </c>
      <c r="I79" s="7">
        <v>0.11178100000000001</v>
      </c>
      <c r="J79" s="7">
        <v>0</v>
      </c>
      <c r="K79" s="7">
        <v>0</v>
      </c>
      <c r="L79" s="7">
        <v>215.8</v>
      </c>
      <c r="M79" s="7">
        <v>256.45</v>
      </c>
      <c r="N79" s="10">
        <v>1.1883688600555999</v>
      </c>
      <c r="O79" s="10">
        <v>1.1658179450689301</v>
      </c>
      <c r="P79" s="10">
        <v>1.1886672502145299</v>
      </c>
      <c r="Q79" s="10">
        <v>1.17609536739896</v>
      </c>
      <c r="R79" s="7">
        <v>251.583512545876</v>
      </c>
      <c r="S79" s="7">
        <v>256.03634870150501</v>
      </c>
      <c r="T79" s="7">
        <v>253.57816113150801</v>
      </c>
      <c r="U79" s="12">
        <v>-1.9158721577998802E-2</v>
      </c>
      <c r="V79" s="12">
        <v>-1.6142923196745299E-3</v>
      </c>
      <c r="W79" s="12">
        <v>-1.1261610392384399E-2</v>
      </c>
      <c r="X79" s="10">
        <v>1.1883688600555999</v>
      </c>
      <c r="Y79" s="10">
        <v>1.16578176214971</v>
      </c>
      <c r="Z79" s="10">
        <v>1.1886672502145299</v>
      </c>
      <c r="AA79" s="10">
        <v>1.17609536739896</v>
      </c>
      <c r="AB79" s="7">
        <v>251.57570427190899</v>
      </c>
      <c r="AC79" s="7">
        <v>256.03634870150501</v>
      </c>
      <c r="AD79" s="7">
        <v>253.57816113150801</v>
      </c>
      <c r="AE79" s="12">
        <v>-1.9189758568704599E-2</v>
      </c>
      <c r="AF79" s="12">
        <v>-1.6142923196745299E-3</v>
      </c>
      <c r="AG79" s="12">
        <v>-1.1261610392384399E-2</v>
      </c>
      <c r="AZ79" s="5"/>
      <c r="BB79">
        <f t="shared" si="6"/>
        <v>0</v>
      </c>
      <c r="BC79">
        <f t="shared" si="7"/>
        <v>0</v>
      </c>
      <c r="BD79">
        <f t="shared" si="8"/>
        <v>1</v>
      </c>
      <c r="BE79">
        <f t="shared" si="4"/>
        <v>1</v>
      </c>
      <c r="BF79">
        <f t="shared" si="9"/>
        <v>1</v>
      </c>
      <c r="BG79" s="5">
        <f t="shared" si="10"/>
        <v>-1.52218339955547E-2</v>
      </c>
      <c r="BH79" s="5">
        <f t="shared" si="11"/>
        <v>1.98064502257288E-2</v>
      </c>
      <c r="BI79" s="5">
        <f t="shared" si="12"/>
        <v>4.5846162301741E-3</v>
      </c>
      <c r="BJ79" s="19">
        <f t="shared" si="13"/>
        <v>1.3307939044264682E-2</v>
      </c>
      <c r="BL79" s="5"/>
      <c r="BN79">
        <f t="shared" si="14"/>
        <v>0</v>
      </c>
      <c r="BO79">
        <f t="shared" si="15"/>
        <v>1</v>
      </c>
      <c r="BP79">
        <f t="shared" si="16"/>
        <v>0</v>
      </c>
      <c r="BQ79">
        <f t="shared" si="5"/>
        <v>1</v>
      </c>
      <c r="BR79">
        <f t="shared" si="17"/>
        <v>0</v>
      </c>
      <c r="BS79" s="5">
        <f t="shared" si="18"/>
        <v>0</v>
      </c>
      <c r="BT79" s="5">
        <f t="shared" si="19"/>
        <v>0</v>
      </c>
      <c r="BU79" s="5">
        <f t="shared" si="20"/>
        <v>0</v>
      </c>
      <c r="BV79" s="19">
        <f t="shared" si="21"/>
        <v>2.605399151548099E-2</v>
      </c>
      <c r="BX79" s="19">
        <f t="shared" si="22"/>
        <v>4.5846162301741E-3</v>
      </c>
      <c r="BY79" s="19">
        <f t="shared" si="23"/>
        <v>3.936193055974567E-2</v>
      </c>
    </row>
    <row r="80" spans="1:77" x14ac:dyDescent="0.25">
      <c r="A80" s="1">
        <v>46139</v>
      </c>
      <c r="B80" s="7">
        <v>216.04</v>
      </c>
      <c r="C80" s="7">
        <v>258</v>
      </c>
      <c r="D80" s="12">
        <v>1.11152290065602E-3</v>
      </c>
      <c r="E80" s="12">
        <v>6.0258710863399E-3</v>
      </c>
      <c r="F80" s="7">
        <v>0</v>
      </c>
      <c r="G80" s="7">
        <v>0.15132499999999999</v>
      </c>
      <c r="H80" s="7">
        <v>0</v>
      </c>
      <c r="I80" s="7">
        <v>0.11178100000000001</v>
      </c>
      <c r="J80" s="7">
        <v>0</v>
      </c>
      <c r="K80" s="7">
        <v>0</v>
      </c>
      <c r="L80" s="7">
        <v>216.04</v>
      </c>
      <c r="M80" s="7">
        <v>258</v>
      </c>
      <c r="N80" s="10">
        <v>1.1942232919829601</v>
      </c>
      <c r="O80" s="10">
        <v>1.1658179450689301</v>
      </c>
      <c r="P80" s="10">
        <v>1.19050871948413</v>
      </c>
      <c r="Q80" s="10">
        <v>1.1778149563639699</v>
      </c>
      <c r="R80" s="7">
        <v>251.863308852692</v>
      </c>
      <c r="S80" s="7">
        <v>256.79967273634901</v>
      </c>
      <c r="T80" s="7">
        <v>254.083643172873</v>
      </c>
      <c r="U80" s="12">
        <v>-2.4073069763682699E-2</v>
      </c>
      <c r="V80" s="12">
        <v>-4.66328749778746E-3</v>
      </c>
      <c r="W80" s="12">
        <v>-1.52960682814766E-2</v>
      </c>
      <c r="X80" s="10">
        <v>1.1942232919829601</v>
      </c>
      <c r="Y80" s="10">
        <v>1.16578176214971</v>
      </c>
      <c r="Z80" s="10">
        <v>1.19050871948413</v>
      </c>
      <c r="AA80" s="10">
        <v>1.1778149563639699</v>
      </c>
      <c r="AB80" s="7">
        <v>251.85549189482401</v>
      </c>
      <c r="AC80" s="7">
        <v>256.79967273634901</v>
      </c>
      <c r="AD80" s="7">
        <v>254.083643172873</v>
      </c>
      <c r="AE80" s="12">
        <v>-2.41041067543886E-2</v>
      </c>
      <c r="AF80" s="12">
        <v>-4.66328749778746E-3</v>
      </c>
      <c r="AG80" s="12">
        <v>-1.52960682814766E-2</v>
      </c>
      <c r="AZ80" s="5"/>
      <c r="BB80">
        <f t="shared" si="6"/>
        <v>0</v>
      </c>
      <c r="BC80">
        <f t="shared" si="7"/>
        <v>0</v>
      </c>
      <c r="BD80">
        <f t="shared" si="8"/>
        <v>1</v>
      </c>
      <c r="BE80">
        <f t="shared" si="4"/>
        <v>1</v>
      </c>
      <c r="BF80">
        <f t="shared" si="9"/>
        <v>1</v>
      </c>
      <c r="BG80" s="5">
        <f t="shared" si="10"/>
        <v>1.11152290065602E-3</v>
      </c>
      <c r="BH80" s="5">
        <f t="shared" si="11"/>
        <v>-6.0258710863399E-3</v>
      </c>
      <c r="BI80" s="5">
        <f t="shared" si="12"/>
        <v>-4.9143481856838804E-3</v>
      </c>
      <c r="BJ80" s="19">
        <f t="shared" si="13"/>
        <v>8.3935908585808013E-3</v>
      </c>
      <c r="BL80" s="5"/>
      <c r="BN80">
        <f t="shared" si="14"/>
        <v>0</v>
      </c>
      <c r="BO80">
        <f t="shared" si="15"/>
        <v>1</v>
      </c>
      <c r="BP80">
        <f t="shared" si="16"/>
        <v>0</v>
      </c>
      <c r="BQ80">
        <f t="shared" si="5"/>
        <v>1</v>
      </c>
      <c r="BR80">
        <f t="shared" si="17"/>
        <v>0</v>
      </c>
      <c r="BS80" s="5">
        <f t="shared" si="18"/>
        <v>0</v>
      </c>
      <c r="BT80" s="5">
        <f t="shared" si="19"/>
        <v>0</v>
      </c>
      <c r="BU80" s="5">
        <f t="shared" si="20"/>
        <v>0</v>
      </c>
      <c r="BV80" s="19">
        <f t="shared" si="21"/>
        <v>2.605399151548099E-2</v>
      </c>
      <c r="BX80" s="19">
        <f t="shared" si="22"/>
        <v>-4.9143481856838804E-3</v>
      </c>
      <c r="BY80" s="19">
        <f t="shared" si="23"/>
        <v>3.4447582374061786E-2</v>
      </c>
    </row>
    <row r="81" spans="1:77" x14ac:dyDescent="0.25">
      <c r="A81" s="1">
        <v>46140</v>
      </c>
      <c r="B81" s="7">
        <v>216.21</v>
      </c>
      <c r="C81" s="7">
        <v>254.91</v>
      </c>
      <c r="D81" s="12">
        <v>7.8658187976917197E-4</v>
      </c>
      <c r="E81" s="12">
        <v>-1.20490432380578E-2</v>
      </c>
      <c r="F81" s="7">
        <v>0</v>
      </c>
      <c r="G81" s="7">
        <v>0.15132499999999999</v>
      </c>
      <c r="H81" s="7">
        <v>0</v>
      </c>
      <c r="I81" s="7">
        <v>0.11178100000000001</v>
      </c>
      <c r="J81" s="7">
        <v>0</v>
      </c>
      <c r="K81" s="7">
        <v>0</v>
      </c>
      <c r="L81" s="7">
        <v>216.21</v>
      </c>
      <c r="M81" s="7">
        <v>254.91</v>
      </c>
      <c r="N81" s="10">
        <v>1.17899264603857</v>
      </c>
      <c r="O81" s="10">
        <v>1.1658179450689301</v>
      </c>
      <c r="P81" s="10">
        <v>1.19097180348229</v>
      </c>
      <c r="Q81" s="10">
        <v>1.17930455735512</v>
      </c>
      <c r="R81" s="7">
        <v>252.061497903354</v>
      </c>
      <c r="S81" s="7">
        <v>257.39989023966501</v>
      </c>
      <c r="T81" s="7">
        <v>254.655371715455</v>
      </c>
      <c r="U81" s="12">
        <v>-1.1237444645855899E-2</v>
      </c>
      <c r="V81" s="12">
        <v>9.7203270590504494E-3</v>
      </c>
      <c r="W81" s="12">
        <v>-9.9939407138602298E-4</v>
      </c>
      <c r="X81" s="10">
        <v>1.17899264603857</v>
      </c>
      <c r="Y81" s="10">
        <v>1.16578176214971</v>
      </c>
      <c r="Z81" s="10">
        <v>1.19097180348229</v>
      </c>
      <c r="AA81" s="10">
        <v>1.17930455735512</v>
      </c>
      <c r="AB81" s="7">
        <v>252.05367479438999</v>
      </c>
      <c r="AC81" s="7">
        <v>257.39989023966501</v>
      </c>
      <c r="AD81" s="7">
        <v>254.655371715455</v>
      </c>
      <c r="AE81" s="12">
        <v>-1.12684816365617E-2</v>
      </c>
      <c r="AF81" s="12">
        <v>9.7203270590504494E-3</v>
      </c>
      <c r="AG81" s="12">
        <v>-9.9939407138602298E-4</v>
      </c>
      <c r="AZ81" s="5"/>
      <c r="BB81">
        <f t="shared" si="6"/>
        <v>0</v>
      </c>
      <c r="BC81">
        <f t="shared" si="7"/>
        <v>1</v>
      </c>
      <c r="BD81">
        <f t="shared" si="8"/>
        <v>1</v>
      </c>
      <c r="BE81">
        <f t="shared" si="4"/>
        <v>1</v>
      </c>
      <c r="BF81">
        <f t="shared" si="9"/>
        <v>1</v>
      </c>
      <c r="BG81" s="5">
        <f t="shared" si="10"/>
        <v>7.8658187976917197E-4</v>
      </c>
      <c r="BH81" s="5">
        <f t="shared" si="11"/>
        <v>1.20490432380578E-2</v>
      </c>
      <c r="BI81" s="5">
        <f t="shared" si="12"/>
        <v>1.2835625117826972E-2</v>
      </c>
      <c r="BJ81" s="19">
        <f t="shared" si="13"/>
        <v>2.1229215976407773E-2</v>
      </c>
      <c r="BL81" s="5"/>
      <c r="BN81">
        <f t="shared" si="14"/>
        <v>0</v>
      </c>
      <c r="BO81">
        <f t="shared" si="15"/>
        <v>1</v>
      </c>
      <c r="BP81">
        <f t="shared" si="16"/>
        <v>0</v>
      </c>
      <c r="BQ81">
        <f t="shared" si="5"/>
        <v>1</v>
      </c>
      <c r="BR81">
        <f t="shared" si="17"/>
        <v>0</v>
      </c>
      <c r="BS81" s="5">
        <f t="shared" si="18"/>
        <v>0</v>
      </c>
      <c r="BT81" s="5">
        <f t="shared" si="19"/>
        <v>0</v>
      </c>
      <c r="BU81" s="5">
        <f t="shared" si="20"/>
        <v>0</v>
      </c>
      <c r="BV81" s="19">
        <f t="shared" si="21"/>
        <v>2.605399151548099E-2</v>
      </c>
      <c r="BX81" s="19">
        <f t="shared" si="22"/>
        <v>1.2835625117826972E-2</v>
      </c>
      <c r="BY81" s="19">
        <f t="shared" si="23"/>
        <v>4.728320749188876E-2</v>
      </c>
    </row>
    <row r="82" spans="1:77" x14ac:dyDescent="0.25">
      <c r="A82" s="1">
        <v>46141</v>
      </c>
      <c r="B82" s="7">
        <v>213.14</v>
      </c>
      <c r="C82" s="7">
        <v>249.75</v>
      </c>
      <c r="D82" s="12">
        <v>-1.43009308116493E-2</v>
      </c>
      <c r="E82" s="12">
        <v>-2.04501241548967E-2</v>
      </c>
      <c r="F82" s="7">
        <v>0</v>
      </c>
      <c r="G82" s="7">
        <v>0.15132499999999999</v>
      </c>
      <c r="H82" s="7">
        <v>0</v>
      </c>
      <c r="I82" s="7">
        <v>0.11178100000000001</v>
      </c>
      <c r="J82" s="7">
        <v>0</v>
      </c>
      <c r="K82" s="7">
        <v>0</v>
      </c>
      <c r="L82" s="7">
        <v>213.14</v>
      </c>
      <c r="M82" s="7">
        <v>249.75</v>
      </c>
      <c r="N82" s="10">
        <v>1.17176503706484</v>
      </c>
      <c r="O82" s="10">
        <v>1.1658179450689301</v>
      </c>
      <c r="P82" s="10">
        <v>1.19042608496655</v>
      </c>
      <c r="Q82" s="10">
        <v>1.1798402377797901</v>
      </c>
      <c r="R82" s="7">
        <v>248.48243681199199</v>
      </c>
      <c r="S82" s="7">
        <v>253.84373019421599</v>
      </c>
      <c r="T82" s="7">
        <v>251.35697335467</v>
      </c>
      <c r="U82" s="12">
        <v>-5.08825130260856E-3</v>
      </c>
      <c r="V82" s="12">
        <v>1.6258424699039199E-2</v>
      </c>
      <c r="W82" s="12">
        <v>6.4137158282995699E-3</v>
      </c>
      <c r="X82" s="10">
        <v>1.17176503706484</v>
      </c>
      <c r="Y82" s="10">
        <v>1.16578176214971</v>
      </c>
      <c r="Z82" s="10">
        <v>1.19042608496655</v>
      </c>
      <c r="AA82" s="10">
        <v>1.1798402377797901</v>
      </c>
      <c r="AB82" s="7">
        <v>248.47472478458999</v>
      </c>
      <c r="AC82" s="7">
        <v>253.84373019421599</v>
      </c>
      <c r="AD82" s="7">
        <v>251.35697335467</v>
      </c>
      <c r="AE82" s="12">
        <v>-5.11928829331448E-3</v>
      </c>
      <c r="AF82" s="12">
        <v>1.6258424699039199E-2</v>
      </c>
      <c r="AG82" s="12">
        <v>6.4137158282995699E-3</v>
      </c>
      <c r="AZ82" s="5"/>
      <c r="BB82">
        <f t="shared" si="6"/>
        <v>0</v>
      </c>
      <c r="BC82">
        <f t="shared" si="7"/>
        <v>1</v>
      </c>
      <c r="BD82">
        <f t="shared" si="8"/>
        <v>0</v>
      </c>
      <c r="BE82">
        <f t="shared" si="4"/>
        <v>1</v>
      </c>
      <c r="BF82">
        <f t="shared" si="9"/>
        <v>0</v>
      </c>
      <c r="BG82" s="5">
        <f t="shared" si="10"/>
        <v>0</v>
      </c>
      <c r="BH82" s="5">
        <f t="shared" si="11"/>
        <v>0</v>
      </c>
      <c r="BI82" s="5">
        <f t="shared" si="12"/>
        <v>0</v>
      </c>
      <c r="BJ82" s="19">
        <f t="shared" si="13"/>
        <v>2.1229215976407773E-2</v>
      </c>
      <c r="BL82" s="5"/>
      <c r="BN82">
        <f t="shared" si="14"/>
        <v>0</v>
      </c>
      <c r="BO82">
        <f t="shared" si="15"/>
        <v>1</v>
      </c>
      <c r="BP82">
        <f t="shared" si="16"/>
        <v>0</v>
      </c>
      <c r="BQ82">
        <f t="shared" si="5"/>
        <v>1</v>
      </c>
      <c r="BR82">
        <f t="shared" si="17"/>
        <v>0</v>
      </c>
      <c r="BS82" s="5">
        <f t="shared" si="18"/>
        <v>0</v>
      </c>
      <c r="BT82" s="5">
        <f t="shared" si="19"/>
        <v>0</v>
      </c>
      <c r="BU82" s="5">
        <f t="shared" si="20"/>
        <v>0</v>
      </c>
      <c r="BV82" s="19">
        <f t="shared" si="21"/>
        <v>2.605399151548099E-2</v>
      </c>
      <c r="BX82" s="19">
        <f t="shared" si="22"/>
        <v>0</v>
      </c>
      <c r="BY82" s="19">
        <f t="shared" si="23"/>
        <v>4.728320749188876E-2</v>
      </c>
    </row>
    <row r="83" spans="1:77" x14ac:dyDescent="0.25">
      <c r="A83" s="1">
        <v>46142</v>
      </c>
      <c r="B83" s="7">
        <v>218.56</v>
      </c>
      <c r="C83" s="7">
        <v>259.14</v>
      </c>
      <c r="D83" s="12">
        <v>2.5111349589615101E-2</v>
      </c>
      <c r="E83" s="12">
        <v>3.6908038672001701E-2</v>
      </c>
      <c r="F83" s="7">
        <v>0</v>
      </c>
      <c r="G83" s="7">
        <v>0.15132499999999999</v>
      </c>
      <c r="H83" s="7">
        <v>0</v>
      </c>
      <c r="I83" s="7">
        <v>0.11178100000000001</v>
      </c>
      <c r="J83" s="7">
        <v>0</v>
      </c>
      <c r="K83" s="7">
        <v>0</v>
      </c>
      <c r="L83" s="7">
        <v>218.56</v>
      </c>
      <c r="M83" s="7">
        <v>259.14</v>
      </c>
      <c r="N83" s="10">
        <v>1.18566983894582</v>
      </c>
      <c r="O83" s="10">
        <v>1.1658179450689301</v>
      </c>
      <c r="P83" s="10">
        <v>1.18995626145599</v>
      </c>
      <c r="Q83" s="10">
        <v>1.1810057722954901</v>
      </c>
      <c r="R83" s="7">
        <v>254.801170074266</v>
      </c>
      <c r="S83" s="7">
        <v>260.17952513029002</v>
      </c>
      <c r="T83" s="7">
        <v>257.865882369151</v>
      </c>
      <c r="U83" s="12">
        <v>-1.68849403849952E-2</v>
      </c>
      <c r="V83" s="12">
        <v>4.0034178126954097E-3</v>
      </c>
      <c r="W83" s="12">
        <v>-4.9288422189917398E-3</v>
      </c>
      <c r="X83" s="10">
        <v>1.18566983894582</v>
      </c>
      <c r="Y83" s="10">
        <v>1.16578176214971</v>
      </c>
      <c r="Z83" s="10">
        <v>1.18995626145599</v>
      </c>
      <c r="AA83" s="10">
        <v>1.1810057722954901</v>
      </c>
      <c r="AB83" s="7">
        <v>254.79326193544199</v>
      </c>
      <c r="AC83" s="7">
        <v>260.17952513029002</v>
      </c>
      <c r="AD83" s="7">
        <v>257.865882369151</v>
      </c>
      <c r="AE83" s="12">
        <v>-1.69159773757009E-2</v>
      </c>
      <c r="AF83" s="12">
        <v>4.0034178126954097E-3</v>
      </c>
      <c r="AG83" s="12">
        <v>-4.9288422189917398E-3</v>
      </c>
      <c r="AZ83" s="5"/>
      <c r="BB83">
        <f t="shared" si="6"/>
        <v>0</v>
      </c>
      <c r="BC83">
        <f t="shared" si="7"/>
        <v>1</v>
      </c>
      <c r="BD83">
        <f t="shared" si="8"/>
        <v>0</v>
      </c>
      <c r="BE83">
        <f t="shared" si="4"/>
        <v>1</v>
      </c>
      <c r="BF83">
        <f t="shared" si="9"/>
        <v>0</v>
      </c>
      <c r="BG83" s="5">
        <f t="shared" si="10"/>
        <v>0</v>
      </c>
      <c r="BH83" s="5">
        <f t="shared" si="11"/>
        <v>0</v>
      </c>
      <c r="BI83" s="5">
        <f t="shared" si="12"/>
        <v>0</v>
      </c>
      <c r="BJ83" s="19">
        <f t="shared" si="13"/>
        <v>2.1229215976407773E-2</v>
      </c>
      <c r="BL83" s="5"/>
      <c r="BN83">
        <f t="shared" si="14"/>
        <v>0</v>
      </c>
      <c r="BO83">
        <f t="shared" si="15"/>
        <v>1</v>
      </c>
      <c r="BP83">
        <f t="shared" si="16"/>
        <v>0</v>
      </c>
      <c r="BQ83">
        <f t="shared" si="5"/>
        <v>1</v>
      </c>
      <c r="BR83">
        <f t="shared" si="17"/>
        <v>0</v>
      </c>
      <c r="BS83" s="5">
        <f t="shared" si="18"/>
        <v>0</v>
      </c>
      <c r="BT83" s="5">
        <f t="shared" si="19"/>
        <v>0</v>
      </c>
      <c r="BU83" s="5">
        <f t="shared" si="20"/>
        <v>0</v>
      </c>
      <c r="BV83" s="19">
        <f t="shared" si="21"/>
        <v>2.605399151548099E-2</v>
      </c>
      <c r="BX83" s="19">
        <f t="shared" si="22"/>
        <v>0</v>
      </c>
      <c r="BY83" s="19">
        <f t="shared" si="23"/>
        <v>4.728320749188876E-2</v>
      </c>
    </row>
    <row r="84" spans="1:77" x14ac:dyDescent="0.25">
      <c r="A84" s="1">
        <v>46143</v>
      </c>
      <c r="B84" s="7">
        <v>216.27</v>
      </c>
      <c r="C84" s="7">
        <v>256.44</v>
      </c>
      <c r="D84" s="12">
        <v>-1.0532949297828199E-2</v>
      </c>
      <c r="E84" s="12">
        <v>-1.0473737081608101E-2</v>
      </c>
      <c r="F84" s="7">
        <v>0</v>
      </c>
      <c r="G84" s="7">
        <v>0.15132499999999999</v>
      </c>
      <c r="H84" s="7">
        <v>0</v>
      </c>
      <c r="I84" s="7">
        <v>0.11178100000000001</v>
      </c>
      <c r="J84" s="7">
        <v>0</v>
      </c>
      <c r="K84" s="7">
        <v>0</v>
      </c>
      <c r="L84" s="7">
        <v>216.27</v>
      </c>
      <c r="M84" s="7">
        <v>256.44</v>
      </c>
      <c r="N84" s="10">
        <v>1.18574004716326</v>
      </c>
      <c r="O84" s="10">
        <v>1.1658179450689301</v>
      </c>
      <c r="P84" s="10">
        <v>1.1893701385531099</v>
      </c>
      <c r="Q84" s="10">
        <v>1.18180509947002</v>
      </c>
      <c r="R84" s="7">
        <v>252.131446980058</v>
      </c>
      <c r="S84" s="7">
        <v>257.35184066508799</v>
      </c>
      <c r="T84" s="7">
        <v>255.41611837434701</v>
      </c>
      <c r="U84" s="12">
        <v>-1.69441526012153E-2</v>
      </c>
      <c r="V84" s="12">
        <v>3.5494593344997999E-3</v>
      </c>
      <c r="W84" s="12">
        <v>-4.0006671973962897E-3</v>
      </c>
      <c r="X84" s="10">
        <v>1.18574004716326</v>
      </c>
      <c r="Y84" s="10">
        <v>1.16578176214971</v>
      </c>
      <c r="Z84" s="10">
        <v>1.1893701385531099</v>
      </c>
      <c r="AA84" s="10">
        <v>1.18180509947002</v>
      </c>
      <c r="AB84" s="7">
        <v>252.123621700119</v>
      </c>
      <c r="AC84" s="7">
        <v>257.35184066508799</v>
      </c>
      <c r="AD84" s="7">
        <v>255.41611837434701</v>
      </c>
      <c r="AE84" s="12">
        <v>-1.6975189591921101E-2</v>
      </c>
      <c r="AF84" s="12">
        <v>3.5494593345000202E-3</v>
      </c>
      <c r="AG84" s="12">
        <v>-4.0006671973962897E-3</v>
      </c>
      <c r="AZ84" s="5"/>
      <c r="BB84">
        <f t="shared" si="6"/>
        <v>0</v>
      </c>
      <c r="BC84">
        <f t="shared" si="7"/>
        <v>1</v>
      </c>
      <c r="BD84">
        <f t="shared" si="8"/>
        <v>0</v>
      </c>
      <c r="BE84">
        <f t="shared" si="4"/>
        <v>1</v>
      </c>
      <c r="BF84">
        <f t="shared" si="9"/>
        <v>0</v>
      </c>
      <c r="BG84" s="5">
        <f t="shared" si="10"/>
        <v>0</v>
      </c>
      <c r="BH84" s="5">
        <f t="shared" si="11"/>
        <v>0</v>
      </c>
      <c r="BI84" s="5">
        <f t="shared" si="12"/>
        <v>0</v>
      </c>
      <c r="BJ84" s="19">
        <f t="shared" si="13"/>
        <v>2.1229215976407773E-2</v>
      </c>
      <c r="BL84" s="5"/>
      <c r="BN84">
        <f t="shared" si="14"/>
        <v>0</v>
      </c>
      <c r="BO84">
        <f t="shared" si="15"/>
        <v>1</v>
      </c>
      <c r="BP84">
        <f t="shared" si="16"/>
        <v>0</v>
      </c>
      <c r="BQ84">
        <f t="shared" si="5"/>
        <v>1</v>
      </c>
      <c r="BR84">
        <f t="shared" si="17"/>
        <v>0</v>
      </c>
      <c r="BS84" s="5">
        <f t="shared" si="18"/>
        <v>0</v>
      </c>
      <c r="BT84" s="5">
        <f t="shared" si="19"/>
        <v>0</v>
      </c>
      <c r="BU84" s="5">
        <f t="shared" si="20"/>
        <v>0</v>
      </c>
      <c r="BV84" s="19">
        <f t="shared" si="21"/>
        <v>2.605399151548099E-2</v>
      </c>
      <c r="BX84" s="19">
        <f t="shared" si="22"/>
        <v>0</v>
      </c>
      <c r="BY84" s="19">
        <f t="shared" si="23"/>
        <v>4.728320749188876E-2</v>
      </c>
    </row>
    <row r="85" spans="1:77" x14ac:dyDescent="0.25">
      <c r="A85" s="1">
        <v>46146</v>
      </c>
      <c r="B85" s="7">
        <v>214.33</v>
      </c>
      <c r="C85" s="7">
        <v>254.75</v>
      </c>
      <c r="D85" s="12">
        <v>-9.0107437355558401E-3</v>
      </c>
      <c r="E85" s="12">
        <v>-6.61204701622239E-3</v>
      </c>
      <c r="F85" s="7">
        <v>0</v>
      </c>
      <c r="G85" s="7">
        <v>0.15132499999999999</v>
      </c>
      <c r="H85" s="7">
        <v>0</v>
      </c>
      <c r="I85" s="7">
        <v>0.11178100000000001</v>
      </c>
      <c r="J85" s="7">
        <v>0</v>
      </c>
      <c r="K85" s="7">
        <v>0</v>
      </c>
      <c r="L85" s="7">
        <v>214.33</v>
      </c>
      <c r="M85" s="7">
        <v>254.75</v>
      </c>
      <c r="N85" s="10">
        <v>1.18858769187701</v>
      </c>
      <c r="O85" s="10">
        <v>1.1658179450689301</v>
      </c>
      <c r="P85" s="10">
        <v>1.1890354637037199</v>
      </c>
      <c r="Q85" s="10">
        <v>1.18269984818465</v>
      </c>
      <c r="R85" s="7">
        <v>249.86976016662501</v>
      </c>
      <c r="S85" s="7">
        <v>254.91770179608801</v>
      </c>
      <c r="T85" s="7">
        <v>253.29628696941</v>
      </c>
      <c r="U85" s="12">
        <v>-1.9342849320548701E-2</v>
      </c>
      <c r="V85" s="12">
        <v>6.5808290990292302E-4</v>
      </c>
      <c r="W85" s="12">
        <v>-5.7227738311037999E-3</v>
      </c>
      <c r="X85" s="10">
        <v>1.18858769187701</v>
      </c>
      <c r="Y85" s="10">
        <v>1.16578176214971</v>
      </c>
      <c r="Z85" s="10">
        <v>1.1890354637037199</v>
      </c>
      <c r="AA85" s="10">
        <v>1.18269984818465</v>
      </c>
      <c r="AB85" s="7">
        <v>249.86200508154801</v>
      </c>
      <c r="AC85" s="7">
        <v>254.91770179608801</v>
      </c>
      <c r="AD85" s="7">
        <v>253.29628696941</v>
      </c>
      <c r="AE85" s="12">
        <v>-1.9373886311254501E-2</v>
      </c>
      <c r="AF85" s="12">
        <v>6.5808290990292302E-4</v>
      </c>
      <c r="AG85" s="12">
        <v>-5.7227738311037999E-3</v>
      </c>
      <c r="AZ85" s="5"/>
      <c r="BB85">
        <f t="shared" si="6"/>
        <v>0</v>
      </c>
      <c r="BC85">
        <f t="shared" si="7"/>
        <v>0</v>
      </c>
      <c r="BD85">
        <f t="shared" si="8"/>
        <v>0</v>
      </c>
      <c r="BE85">
        <f t="shared" si="4"/>
        <v>1</v>
      </c>
      <c r="BF85">
        <f t="shared" si="9"/>
        <v>0</v>
      </c>
      <c r="BG85" s="5">
        <f t="shared" si="10"/>
        <v>0</v>
      </c>
      <c r="BH85" s="5">
        <f t="shared" si="11"/>
        <v>0</v>
      </c>
      <c r="BI85" s="5">
        <f t="shared" si="12"/>
        <v>0</v>
      </c>
      <c r="BJ85" s="19">
        <f t="shared" si="13"/>
        <v>2.1229215976407773E-2</v>
      </c>
      <c r="BL85" s="5"/>
      <c r="BN85">
        <f t="shared" si="14"/>
        <v>0</v>
      </c>
      <c r="BO85">
        <f t="shared" si="15"/>
        <v>1</v>
      </c>
      <c r="BP85">
        <f t="shared" si="16"/>
        <v>0</v>
      </c>
      <c r="BQ85">
        <f t="shared" si="5"/>
        <v>1</v>
      </c>
      <c r="BR85">
        <f t="shared" si="17"/>
        <v>0</v>
      </c>
      <c r="BS85" s="5">
        <f t="shared" si="18"/>
        <v>0</v>
      </c>
      <c r="BT85" s="5">
        <f t="shared" si="19"/>
        <v>0</v>
      </c>
      <c r="BU85" s="5">
        <f t="shared" si="20"/>
        <v>0</v>
      </c>
      <c r="BV85" s="19">
        <f t="shared" si="21"/>
        <v>2.605399151548099E-2</v>
      </c>
      <c r="BX85" s="19">
        <f t="shared" si="22"/>
        <v>0</v>
      </c>
      <c r="BY85" s="19">
        <f t="shared" si="23"/>
        <v>4.728320749188876E-2</v>
      </c>
    </row>
    <row r="86" spans="1:77" x14ac:dyDescent="0.25">
      <c r="A86" s="1">
        <v>46147</v>
      </c>
      <c r="B86" s="7">
        <v>215.37</v>
      </c>
      <c r="C86" s="7">
        <v>255.22</v>
      </c>
      <c r="D86" s="12">
        <v>4.8405959074601197E-3</v>
      </c>
      <c r="E86" s="12">
        <v>1.84324620299609E-3</v>
      </c>
      <c r="F86" s="7">
        <v>0</v>
      </c>
      <c r="G86" s="7">
        <v>0.15132499999999999</v>
      </c>
      <c r="H86" s="7">
        <v>0</v>
      </c>
      <c r="I86" s="7">
        <v>0.11178100000000001</v>
      </c>
      <c r="J86" s="7">
        <v>0</v>
      </c>
      <c r="K86" s="7">
        <v>0</v>
      </c>
      <c r="L86" s="7">
        <v>215.37</v>
      </c>
      <c r="M86" s="7">
        <v>255.22</v>
      </c>
      <c r="N86" s="10">
        <v>1.185030412778</v>
      </c>
      <c r="O86" s="10">
        <v>1.1658179450689301</v>
      </c>
      <c r="P86" s="10">
        <v>1.1876496708786899</v>
      </c>
      <c r="Q86" s="10">
        <v>1.1837202895579899</v>
      </c>
      <c r="R86" s="7">
        <v>251.08221082949601</v>
      </c>
      <c r="S86" s="7">
        <v>256.08256781786997</v>
      </c>
      <c r="T86" s="7">
        <v>254.71806630353001</v>
      </c>
      <c r="U86" s="12">
        <v>-1.63454996160847E-2</v>
      </c>
      <c r="V86" s="12">
        <v>3.3740047104945901E-3</v>
      </c>
      <c r="W86" s="12">
        <v>-1.96860713775858E-3</v>
      </c>
      <c r="X86" s="10">
        <v>1.185030412778</v>
      </c>
      <c r="Y86" s="10">
        <v>1.16578176214971</v>
      </c>
      <c r="Z86" s="10">
        <v>1.1876496708786899</v>
      </c>
      <c r="AA86" s="10">
        <v>1.1837202895579899</v>
      </c>
      <c r="AB86" s="7">
        <v>251.074418114184</v>
      </c>
      <c r="AC86" s="7">
        <v>256.08256781786997</v>
      </c>
      <c r="AD86" s="7">
        <v>254.71806630353001</v>
      </c>
      <c r="AE86" s="12">
        <v>-1.63765366067905E-2</v>
      </c>
      <c r="AF86" s="12">
        <v>3.3740047104945901E-3</v>
      </c>
      <c r="AG86" s="12">
        <v>-1.96860713775858E-3</v>
      </c>
      <c r="AZ86" s="5"/>
      <c r="BB86">
        <f t="shared" si="6"/>
        <v>0</v>
      </c>
      <c r="BC86">
        <f t="shared" si="7"/>
        <v>1</v>
      </c>
      <c r="BD86">
        <f t="shared" si="8"/>
        <v>0</v>
      </c>
      <c r="BE86">
        <f t="shared" ref="BE86:BE149" si="24">IF(F87+H87&gt;0,0,1)</f>
        <v>1</v>
      </c>
      <c r="BF86">
        <f t="shared" si="9"/>
        <v>0</v>
      </c>
      <c r="BG86" s="5">
        <f t="shared" si="10"/>
        <v>0</v>
      </c>
      <c r="BH86" s="5">
        <f t="shared" si="11"/>
        <v>0</v>
      </c>
      <c r="BI86" s="5">
        <f t="shared" si="12"/>
        <v>0</v>
      </c>
      <c r="BJ86" s="19">
        <f t="shared" si="13"/>
        <v>2.1229215976407773E-2</v>
      </c>
      <c r="BL86" s="5"/>
      <c r="BN86">
        <f t="shared" si="14"/>
        <v>0</v>
      </c>
      <c r="BO86">
        <f t="shared" si="15"/>
        <v>1</v>
      </c>
      <c r="BP86">
        <f t="shared" si="16"/>
        <v>0</v>
      </c>
      <c r="BQ86">
        <f t="shared" ref="BQ86:BQ149" si="25">IF(F87+H87&gt;0,0,1)</f>
        <v>1</v>
      </c>
      <c r="BR86">
        <f t="shared" si="17"/>
        <v>0</v>
      </c>
      <c r="BS86" s="5">
        <f t="shared" si="18"/>
        <v>0</v>
      </c>
      <c r="BT86" s="5">
        <f t="shared" si="19"/>
        <v>0</v>
      </c>
      <c r="BU86" s="5">
        <f t="shared" si="20"/>
        <v>0</v>
      </c>
      <c r="BV86" s="19">
        <f t="shared" si="21"/>
        <v>2.605399151548099E-2</v>
      </c>
      <c r="BX86" s="19">
        <f t="shared" si="22"/>
        <v>0</v>
      </c>
      <c r="BY86" s="19">
        <f t="shared" si="23"/>
        <v>4.728320749188876E-2</v>
      </c>
    </row>
    <row r="87" spans="1:77" x14ac:dyDescent="0.25">
      <c r="A87" s="1">
        <v>46148</v>
      </c>
      <c r="B87" s="7">
        <v>223.42</v>
      </c>
      <c r="C87" s="7">
        <v>267.26</v>
      </c>
      <c r="D87" s="12">
        <v>3.66959288862009E-2</v>
      </c>
      <c r="E87" s="12">
        <v>4.6096049047084399E-2</v>
      </c>
      <c r="F87" s="7">
        <v>0</v>
      </c>
      <c r="G87" s="7">
        <v>0.15132499999999999</v>
      </c>
      <c r="H87" s="7">
        <v>0</v>
      </c>
      <c r="I87" s="7">
        <v>0.11178100000000001</v>
      </c>
      <c r="J87" s="7">
        <v>0</v>
      </c>
      <c r="K87" s="7">
        <v>0</v>
      </c>
      <c r="L87" s="7">
        <v>223.42</v>
      </c>
      <c r="M87" s="7">
        <v>267.26</v>
      </c>
      <c r="N87" s="10">
        <v>1.1962223614716601</v>
      </c>
      <c r="O87" s="10">
        <v>1.1658179450689301</v>
      </c>
      <c r="P87" s="10">
        <v>1.1868429770691999</v>
      </c>
      <c r="Q87" s="10">
        <v>1.18502040276445</v>
      </c>
      <c r="R87" s="7">
        <v>260.467045287301</v>
      </c>
      <c r="S87" s="7">
        <v>265.34468946771699</v>
      </c>
      <c r="T87" s="7">
        <v>264.466787093047</v>
      </c>
      <c r="U87" s="12">
        <v>-2.57456197769684E-2</v>
      </c>
      <c r="V87" s="12">
        <v>-7.1922715910661301E-3</v>
      </c>
      <c r="W87" s="12">
        <v>-1.0506292585284901E-2</v>
      </c>
      <c r="X87" s="10">
        <v>1.1962223614716601</v>
      </c>
      <c r="Y87" s="10">
        <v>1.16578176214971</v>
      </c>
      <c r="Z87" s="10">
        <v>1.1868429770691999</v>
      </c>
      <c r="AA87" s="10">
        <v>1.18502040276445</v>
      </c>
      <c r="AB87" s="7">
        <v>260.45896129948898</v>
      </c>
      <c r="AC87" s="7">
        <v>265.34468946771699</v>
      </c>
      <c r="AD87" s="7">
        <v>264.466787093047</v>
      </c>
      <c r="AE87" s="12">
        <v>-2.5776656767673999E-2</v>
      </c>
      <c r="AF87" s="12">
        <v>-7.1922715910661301E-3</v>
      </c>
      <c r="AG87" s="12">
        <v>-1.0506292585284901E-2</v>
      </c>
      <c r="AZ87" s="5"/>
      <c r="BB87">
        <f t="shared" ref="BB87:BB150" si="26">IF($AG87&lt;BA$20,1,0)</f>
        <v>0</v>
      </c>
      <c r="BC87">
        <f t="shared" ref="BC87:BC150" si="27">IF($AG87&gt;BA$21,1,0)</f>
        <v>0</v>
      </c>
      <c r="BD87">
        <f t="shared" ref="BD87:BD150" si="28">BF87</f>
        <v>0</v>
      </c>
      <c r="BE87">
        <f t="shared" si="24"/>
        <v>1</v>
      </c>
      <c r="BF87">
        <f t="shared" ref="BF87:BF150" si="29">IF(BB86,1,IF(BC86,0,BD86))*BE86</f>
        <v>0</v>
      </c>
      <c r="BG87" s="5">
        <f t="shared" ref="BG87:BG150" si="30">BF87*D87</f>
        <v>0</v>
      </c>
      <c r="BH87" s="5">
        <f t="shared" ref="BH87:BH150" si="31">-BF87*$E87</f>
        <v>0</v>
      </c>
      <c r="BI87" s="5">
        <f t="shared" ref="BI87:BI150" si="32">BG87+BH87</f>
        <v>0</v>
      </c>
      <c r="BJ87" s="19">
        <f t="shared" ref="BJ87:BJ150" si="33">BJ86+BI87</f>
        <v>2.1229215976407773E-2</v>
      </c>
      <c r="BL87" s="5"/>
      <c r="BN87">
        <f t="shared" ref="BN87:BN150" si="34">IF($AG87&gt;BM$20,1,0)</f>
        <v>0</v>
      </c>
      <c r="BO87">
        <f t="shared" ref="BO87:BO150" si="35">IF($AG87&lt;BM$21,1,0)</f>
        <v>1</v>
      </c>
      <c r="BP87">
        <f t="shared" ref="BP87:BP150" si="36">BR87</f>
        <v>0</v>
      </c>
      <c r="BQ87">
        <f t="shared" si="25"/>
        <v>1</v>
      </c>
      <c r="BR87">
        <f t="shared" ref="BR87:BR150" si="37">IF(BN86,1,IF(BO86,0,BP86))*BQ86</f>
        <v>0</v>
      </c>
      <c r="BS87" s="5">
        <f t="shared" ref="BS87:BS150" si="38">-BR87*D87</f>
        <v>0</v>
      </c>
      <c r="BT87" s="5">
        <f t="shared" ref="BT87:BT150" si="39">BR87*$E87</f>
        <v>0</v>
      </c>
      <c r="BU87" s="5">
        <f t="shared" ref="BU87:BU150" si="40">BS87+BT87</f>
        <v>0</v>
      </c>
      <c r="BV87" s="19">
        <f t="shared" ref="BV87:BV150" si="41">BV86+BU87</f>
        <v>2.605399151548099E-2</v>
      </c>
      <c r="BX87" s="19">
        <f t="shared" ref="BX87:BX150" si="42">BI87+BU87</f>
        <v>0</v>
      </c>
      <c r="BY87" s="19">
        <f t="shared" ref="BY87:BY150" si="43">BY86+BX87</f>
        <v>4.728320749188876E-2</v>
      </c>
    </row>
    <row r="88" spans="1:77" x14ac:dyDescent="0.25">
      <c r="A88" s="1">
        <v>46149</v>
      </c>
      <c r="B88" s="7">
        <v>222.51</v>
      </c>
      <c r="C88" s="7">
        <v>262.76</v>
      </c>
      <c r="D88" s="12">
        <v>-4.0813637261258896E-3</v>
      </c>
      <c r="E88" s="12">
        <v>-1.69808993286426E-2</v>
      </c>
      <c r="F88" s="7">
        <v>0</v>
      </c>
      <c r="G88" s="7">
        <v>0.15132499999999999</v>
      </c>
      <c r="H88" s="7">
        <v>0</v>
      </c>
      <c r="I88" s="7">
        <v>0.11178100000000001</v>
      </c>
      <c r="J88" s="7">
        <v>0</v>
      </c>
      <c r="K88" s="7">
        <v>0</v>
      </c>
      <c r="L88" s="7">
        <v>222.51</v>
      </c>
      <c r="M88" s="7">
        <v>262.76</v>
      </c>
      <c r="N88" s="10">
        <v>1.1808907464833001</v>
      </c>
      <c r="O88" s="10">
        <v>1.1658179450689301</v>
      </c>
      <c r="P88" s="10">
        <v>1.1855490933860999</v>
      </c>
      <c r="Q88" s="10">
        <v>1.1860005631469499</v>
      </c>
      <c r="R88" s="7">
        <v>259.40615095728799</v>
      </c>
      <c r="S88" s="7">
        <v>264.084430827669</v>
      </c>
      <c r="T88" s="7">
        <v>263.67888981911898</v>
      </c>
      <c r="U88" s="12">
        <v>-1.28460841744516E-2</v>
      </c>
      <c r="V88" s="12">
        <v>5.0277977337032896E-3</v>
      </c>
      <c r="W88" s="12">
        <v>3.4909683539284201E-3</v>
      </c>
      <c r="X88" s="10">
        <v>1.1808907464833001</v>
      </c>
      <c r="Y88" s="10">
        <v>1.16578176214971</v>
      </c>
      <c r="Z88" s="10">
        <v>1.1855490933860999</v>
      </c>
      <c r="AA88" s="10">
        <v>1.1860005631469499</v>
      </c>
      <c r="AB88" s="7">
        <v>259.398099895933</v>
      </c>
      <c r="AC88" s="7">
        <v>264.084430827669</v>
      </c>
      <c r="AD88" s="7">
        <v>263.67888981911898</v>
      </c>
      <c r="AE88" s="12">
        <v>-1.28771211651574E-2</v>
      </c>
      <c r="AF88" s="12">
        <v>5.0277977337032896E-3</v>
      </c>
      <c r="AG88" s="12">
        <v>3.4909683539284201E-3</v>
      </c>
      <c r="AZ88" s="5"/>
      <c r="BB88">
        <f t="shared" si="26"/>
        <v>0</v>
      </c>
      <c r="BC88">
        <f t="shared" si="27"/>
        <v>1</v>
      </c>
      <c r="BD88">
        <f t="shared" si="28"/>
        <v>0</v>
      </c>
      <c r="BE88">
        <f t="shared" si="24"/>
        <v>1</v>
      </c>
      <c r="BF88">
        <f t="shared" si="29"/>
        <v>0</v>
      </c>
      <c r="BG88" s="5">
        <f t="shared" si="30"/>
        <v>0</v>
      </c>
      <c r="BH88" s="5">
        <f t="shared" si="31"/>
        <v>0</v>
      </c>
      <c r="BI88" s="5">
        <f t="shared" si="32"/>
        <v>0</v>
      </c>
      <c r="BJ88" s="19">
        <f t="shared" si="33"/>
        <v>2.1229215976407773E-2</v>
      </c>
      <c r="BL88" s="5"/>
      <c r="BN88">
        <f t="shared" si="34"/>
        <v>0</v>
      </c>
      <c r="BO88">
        <f t="shared" si="35"/>
        <v>1</v>
      </c>
      <c r="BP88">
        <f t="shared" si="36"/>
        <v>0</v>
      </c>
      <c r="BQ88">
        <f t="shared" si="25"/>
        <v>1</v>
      </c>
      <c r="BR88">
        <f t="shared" si="37"/>
        <v>0</v>
      </c>
      <c r="BS88" s="5">
        <f t="shared" si="38"/>
        <v>0</v>
      </c>
      <c r="BT88" s="5">
        <f t="shared" si="39"/>
        <v>0</v>
      </c>
      <c r="BU88" s="5">
        <f t="shared" si="40"/>
        <v>0</v>
      </c>
      <c r="BV88" s="19">
        <f t="shared" si="41"/>
        <v>2.605399151548099E-2</v>
      </c>
      <c r="BX88" s="19">
        <f t="shared" si="42"/>
        <v>0</v>
      </c>
      <c r="BY88" s="19">
        <f t="shared" si="43"/>
        <v>4.728320749188876E-2</v>
      </c>
    </row>
    <row r="89" spans="1:77" x14ac:dyDescent="0.25">
      <c r="A89" s="1">
        <v>46150</v>
      </c>
      <c r="B89" s="7">
        <v>223.49</v>
      </c>
      <c r="C89" s="7">
        <v>265.39999999999998</v>
      </c>
      <c r="D89" s="12">
        <v>4.3946259067549204E-3</v>
      </c>
      <c r="E89" s="12">
        <v>9.9970538738349199E-3</v>
      </c>
      <c r="F89" s="7">
        <v>0</v>
      </c>
      <c r="G89" s="7">
        <v>0.15132499999999999</v>
      </c>
      <c r="H89" s="7">
        <v>0</v>
      </c>
      <c r="I89" s="7">
        <v>0.11178100000000001</v>
      </c>
      <c r="J89" s="7">
        <v>0</v>
      </c>
      <c r="K89" s="7">
        <v>0</v>
      </c>
      <c r="L89" s="7">
        <v>223.49</v>
      </c>
      <c r="M89" s="7">
        <v>265.39999999999998</v>
      </c>
      <c r="N89" s="10">
        <v>1.18752516891136</v>
      </c>
      <c r="O89" s="10">
        <v>1.1658179450689301</v>
      </c>
      <c r="P89" s="10">
        <v>1.18546472427168</v>
      </c>
      <c r="Q89" s="10">
        <v>1.18706598724311</v>
      </c>
      <c r="R89" s="7">
        <v>260.548652543456</v>
      </c>
      <c r="S89" s="7">
        <v>264.95836688086098</v>
      </c>
      <c r="T89" s="7">
        <v>265.05926585771402</v>
      </c>
      <c r="U89" s="12">
        <v>-1.8448512141531301E-2</v>
      </c>
      <c r="V89" s="12">
        <v>-1.66541436430039E-3</v>
      </c>
      <c r="W89" s="12">
        <v>-1.2846761705523899E-3</v>
      </c>
      <c r="X89" s="10">
        <v>1.18752516891136</v>
      </c>
      <c r="Y89" s="10">
        <v>1.16578176214971</v>
      </c>
      <c r="Z89" s="10">
        <v>1.18546472427168</v>
      </c>
      <c r="AA89" s="10">
        <v>1.18706598724311</v>
      </c>
      <c r="AB89" s="7">
        <v>260.54056602283998</v>
      </c>
      <c r="AC89" s="7">
        <v>264.95836688086098</v>
      </c>
      <c r="AD89" s="7">
        <v>265.05926585771402</v>
      </c>
      <c r="AE89" s="12">
        <v>-1.8479549132237202E-2</v>
      </c>
      <c r="AF89" s="12">
        <v>-1.66541436430039E-3</v>
      </c>
      <c r="AG89" s="12">
        <v>-1.2846761705523899E-3</v>
      </c>
      <c r="AZ89" s="5"/>
      <c r="BB89">
        <f t="shared" si="26"/>
        <v>0</v>
      </c>
      <c r="BC89">
        <f t="shared" si="27"/>
        <v>1</v>
      </c>
      <c r="BD89">
        <f t="shared" si="28"/>
        <v>0</v>
      </c>
      <c r="BE89">
        <f t="shared" si="24"/>
        <v>1</v>
      </c>
      <c r="BF89">
        <f t="shared" si="29"/>
        <v>0</v>
      </c>
      <c r="BG89" s="5">
        <f t="shared" si="30"/>
        <v>0</v>
      </c>
      <c r="BH89" s="5">
        <f t="shared" si="31"/>
        <v>0</v>
      </c>
      <c r="BI89" s="5">
        <f t="shared" si="32"/>
        <v>0</v>
      </c>
      <c r="BJ89" s="19">
        <f t="shared" si="33"/>
        <v>2.1229215976407773E-2</v>
      </c>
      <c r="BL89" s="5"/>
      <c r="BN89">
        <f t="shared" si="34"/>
        <v>0</v>
      </c>
      <c r="BO89">
        <f t="shared" si="35"/>
        <v>1</v>
      </c>
      <c r="BP89">
        <f t="shared" si="36"/>
        <v>0</v>
      </c>
      <c r="BQ89">
        <f t="shared" si="25"/>
        <v>1</v>
      </c>
      <c r="BR89">
        <f t="shared" si="37"/>
        <v>0</v>
      </c>
      <c r="BS89" s="5">
        <f t="shared" si="38"/>
        <v>0</v>
      </c>
      <c r="BT89" s="5">
        <f t="shared" si="39"/>
        <v>0</v>
      </c>
      <c r="BU89" s="5">
        <f t="shared" si="40"/>
        <v>0</v>
      </c>
      <c r="BV89" s="19">
        <f t="shared" si="41"/>
        <v>2.605399151548099E-2</v>
      </c>
      <c r="BX89" s="19">
        <f t="shared" si="42"/>
        <v>0</v>
      </c>
      <c r="BY89" s="19">
        <f t="shared" si="43"/>
        <v>4.728320749188876E-2</v>
      </c>
    </row>
    <row r="90" spans="1:77" x14ac:dyDescent="0.25">
      <c r="A90" s="1">
        <v>46153</v>
      </c>
      <c r="B90" s="7">
        <v>225.99</v>
      </c>
      <c r="C90" s="7">
        <v>269.39999999999998</v>
      </c>
      <c r="D90" s="12">
        <v>1.11240801823817E-2</v>
      </c>
      <c r="E90" s="12">
        <v>1.49591420781564E-2</v>
      </c>
      <c r="F90" s="7">
        <v>0</v>
      </c>
      <c r="G90" s="7">
        <v>0.15132499999999999</v>
      </c>
      <c r="H90" s="7">
        <v>0</v>
      </c>
      <c r="I90" s="7">
        <v>0.11178100000000001</v>
      </c>
      <c r="J90" s="7">
        <v>0</v>
      </c>
      <c r="K90" s="7">
        <v>0</v>
      </c>
      <c r="L90" s="7">
        <v>225.99</v>
      </c>
      <c r="M90" s="7">
        <v>269.39999999999998</v>
      </c>
      <c r="N90" s="10">
        <v>1.19208814549316</v>
      </c>
      <c r="O90" s="10">
        <v>1.1658179450689301</v>
      </c>
      <c r="P90" s="10">
        <v>1.1852512096226999</v>
      </c>
      <c r="Q90" s="10">
        <v>1.1878799645534199</v>
      </c>
      <c r="R90" s="7">
        <v>263.46319740612802</v>
      </c>
      <c r="S90" s="7">
        <v>267.90317303815698</v>
      </c>
      <c r="T90" s="7">
        <v>268.26504245707002</v>
      </c>
      <c r="U90" s="12">
        <v>-2.22835740373062E-2</v>
      </c>
      <c r="V90" s="12">
        <v>-5.5716433817777399E-3</v>
      </c>
      <c r="W90" s="12">
        <v>-4.2218077764562901E-3</v>
      </c>
      <c r="X90" s="10">
        <v>1.19208814549316</v>
      </c>
      <c r="Y90" s="10">
        <v>1.16578176214971</v>
      </c>
      <c r="Z90" s="10">
        <v>1.1852512096226999</v>
      </c>
      <c r="AA90" s="10">
        <v>1.1878799645534199</v>
      </c>
      <c r="AB90" s="7">
        <v>263.45502042821403</v>
      </c>
      <c r="AC90" s="7">
        <v>267.90317303815698</v>
      </c>
      <c r="AD90" s="7">
        <v>268.26504245707002</v>
      </c>
      <c r="AE90" s="12">
        <v>-2.2314611028012001E-2</v>
      </c>
      <c r="AF90" s="12">
        <v>-5.5716433817779602E-3</v>
      </c>
      <c r="AG90" s="12">
        <v>-4.2218077764562901E-3</v>
      </c>
      <c r="AZ90" s="5"/>
      <c r="BB90">
        <f t="shared" si="26"/>
        <v>0</v>
      </c>
      <c r="BC90">
        <f t="shared" si="27"/>
        <v>1</v>
      </c>
      <c r="BD90">
        <f t="shared" si="28"/>
        <v>0</v>
      </c>
      <c r="BE90">
        <f t="shared" si="24"/>
        <v>1</v>
      </c>
      <c r="BF90">
        <f t="shared" si="29"/>
        <v>0</v>
      </c>
      <c r="BG90" s="5">
        <f t="shared" si="30"/>
        <v>0</v>
      </c>
      <c r="BH90" s="5">
        <f t="shared" si="31"/>
        <v>0</v>
      </c>
      <c r="BI90" s="5">
        <f t="shared" si="32"/>
        <v>0</v>
      </c>
      <c r="BJ90" s="19">
        <f t="shared" si="33"/>
        <v>2.1229215976407773E-2</v>
      </c>
      <c r="BL90" s="5"/>
      <c r="BN90">
        <f t="shared" si="34"/>
        <v>0</v>
      </c>
      <c r="BO90">
        <f t="shared" si="35"/>
        <v>1</v>
      </c>
      <c r="BP90">
        <f t="shared" si="36"/>
        <v>0</v>
      </c>
      <c r="BQ90">
        <f t="shared" si="25"/>
        <v>1</v>
      </c>
      <c r="BR90">
        <f t="shared" si="37"/>
        <v>0</v>
      </c>
      <c r="BS90" s="5">
        <f t="shared" si="38"/>
        <v>0</v>
      </c>
      <c r="BT90" s="5">
        <f t="shared" si="39"/>
        <v>0</v>
      </c>
      <c r="BU90" s="5">
        <f t="shared" si="40"/>
        <v>0</v>
      </c>
      <c r="BV90" s="19">
        <f t="shared" si="41"/>
        <v>2.605399151548099E-2</v>
      </c>
      <c r="BX90" s="19">
        <f t="shared" si="42"/>
        <v>0</v>
      </c>
      <c r="BY90" s="19">
        <f t="shared" si="43"/>
        <v>4.728320749188876E-2</v>
      </c>
    </row>
    <row r="91" spans="1:77" x14ac:dyDescent="0.25">
      <c r="A91" s="1">
        <v>46154</v>
      </c>
      <c r="B91" s="7">
        <v>225.39</v>
      </c>
      <c r="C91" s="7">
        <v>268.42</v>
      </c>
      <c r="D91" s="12">
        <v>-2.6585154565341601E-3</v>
      </c>
      <c r="E91" s="12">
        <v>-3.6443460066035598E-3</v>
      </c>
      <c r="F91" s="7">
        <v>0</v>
      </c>
      <c r="G91" s="7">
        <v>0.15132499999999999</v>
      </c>
      <c r="H91" s="7">
        <v>0</v>
      </c>
      <c r="I91" s="7">
        <v>0.11178100000000001</v>
      </c>
      <c r="J91" s="7">
        <v>0</v>
      </c>
      <c r="K91" s="7">
        <v>0</v>
      </c>
      <c r="L91" s="7">
        <v>225.39</v>
      </c>
      <c r="M91" s="7">
        <v>268.42</v>
      </c>
      <c r="N91" s="10">
        <v>1.1909135276631599</v>
      </c>
      <c r="O91" s="10">
        <v>1.1658179450689301</v>
      </c>
      <c r="P91" s="10">
        <v>1.18644329778516</v>
      </c>
      <c r="Q91" s="10">
        <v>1.1887075506337199</v>
      </c>
      <c r="R91" s="7">
        <v>262.76370663908699</v>
      </c>
      <c r="S91" s="7">
        <v>267.14377013685998</v>
      </c>
      <c r="T91" s="7">
        <v>267.73626521069502</v>
      </c>
      <c r="U91" s="12">
        <v>-2.12977434872368E-2</v>
      </c>
      <c r="V91" s="12">
        <v>-4.7659395575678203E-3</v>
      </c>
      <c r="W91" s="12">
        <v>-2.5505070231043301E-3</v>
      </c>
      <c r="X91" s="10">
        <v>1.1909135276631599</v>
      </c>
      <c r="Y91" s="10">
        <v>1.16578176214971</v>
      </c>
      <c r="Z91" s="10">
        <v>1.18644329778516</v>
      </c>
      <c r="AA91" s="10">
        <v>1.1887075506337199</v>
      </c>
      <c r="AB91" s="7">
        <v>262.75555137092402</v>
      </c>
      <c r="AC91" s="7">
        <v>267.14377013685998</v>
      </c>
      <c r="AD91" s="7">
        <v>267.73626521069502</v>
      </c>
      <c r="AE91" s="12">
        <v>-2.1328780477942601E-2</v>
      </c>
      <c r="AF91" s="12">
        <v>-4.7659395575678203E-3</v>
      </c>
      <c r="AG91" s="12">
        <v>-2.5505070231043301E-3</v>
      </c>
      <c r="AZ91" s="5"/>
      <c r="BB91">
        <f t="shared" si="26"/>
        <v>0</v>
      </c>
      <c r="BC91">
        <f t="shared" si="27"/>
        <v>1</v>
      </c>
      <c r="BD91">
        <f t="shared" si="28"/>
        <v>0</v>
      </c>
      <c r="BE91">
        <f t="shared" si="24"/>
        <v>1</v>
      </c>
      <c r="BF91">
        <f t="shared" si="29"/>
        <v>0</v>
      </c>
      <c r="BG91" s="5">
        <f t="shared" si="30"/>
        <v>0</v>
      </c>
      <c r="BH91" s="5">
        <f t="shared" si="31"/>
        <v>0</v>
      </c>
      <c r="BI91" s="5">
        <f t="shared" si="32"/>
        <v>0</v>
      </c>
      <c r="BJ91" s="19">
        <f t="shared" si="33"/>
        <v>2.1229215976407773E-2</v>
      </c>
      <c r="BL91" s="5"/>
      <c r="BN91">
        <f t="shared" si="34"/>
        <v>0</v>
      </c>
      <c r="BO91">
        <f t="shared" si="35"/>
        <v>1</v>
      </c>
      <c r="BP91">
        <f t="shared" si="36"/>
        <v>0</v>
      </c>
      <c r="BQ91">
        <f t="shared" si="25"/>
        <v>1</v>
      </c>
      <c r="BR91">
        <f t="shared" si="37"/>
        <v>0</v>
      </c>
      <c r="BS91" s="5">
        <f t="shared" si="38"/>
        <v>0</v>
      </c>
      <c r="BT91" s="5">
        <f t="shared" si="39"/>
        <v>0</v>
      </c>
      <c r="BU91" s="5">
        <f t="shared" si="40"/>
        <v>0</v>
      </c>
      <c r="BV91" s="19">
        <f t="shared" si="41"/>
        <v>2.605399151548099E-2</v>
      </c>
      <c r="BX91" s="19">
        <f t="shared" si="42"/>
        <v>0</v>
      </c>
      <c r="BY91" s="19">
        <f t="shared" si="43"/>
        <v>4.728320749188876E-2</v>
      </c>
    </row>
    <row r="92" spans="1:77" x14ac:dyDescent="0.25">
      <c r="A92" s="1">
        <v>46155</v>
      </c>
      <c r="B92" s="7">
        <v>225.71</v>
      </c>
      <c r="C92" s="7">
        <v>270.11</v>
      </c>
      <c r="D92" s="12">
        <v>1.4187543944862401E-3</v>
      </c>
      <c r="E92" s="12">
        <v>6.2763654682582298E-3</v>
      </c>
      <c r="F92" s="7">
        <v>0</v>
      </c>
      <c r="G92" s="7">
        <v>0.15132499999999999</v>
      </c>
      <c r="H92" s="7">
        <v>0</v>
      </c>
      <c r="I92" s="7">
        <v>0.11178100000000001</v>
      </c>
      <c r="J92" s="7">
        <v>0</v>
      </c>
      <c r="K92" s="7">
        <v>0</v>
      </c>
      <c r="L92" s="7">
        <v>225.71</v>
      </c>
      <c r="M92" s="7">
        <v>270.11</v>
      </c>
      <c r="N92" s="10">
        <v>1.1967125958087801</v>
      </c>
      <c r="O92" s="10">
        <v>1.1658179450689301</v>
      </c>
      <c r="P92" s="10">
        <v>1.18893805365955</v>
      </c>
      <c r="Q92" s="10">
        <v>1.1896820693130501</v>
      </c>
      <c r="R92" s="7">
        <v>263.136768381509</v>
      </c>
      <c r="S92" s="7">
        <v>267.792116743088</v>
      </c>
      <c r="T92" s="7">
        <v>268.30318125353801</v>
      </c>
      <c r="U92" s="12">
        <v>-2.61553545610087E-2</v>
      </c>
      <c r="V92" s="12">
        <v>-8.61828771984385E-3</v>
      </c>
      <c r="W92" s="12">
        <v>-6.7116690004548401E-3</v>
      </c>
      <c r="X92" s="10">
        <v>1.1967125958087801</v>
      </c>
      <c r="Y92" s="10">
        <v>1.16578176214971</v>
      </c>
      <c r="Z92" s="10">
        <v>1.18893805365955</v>
      </c>
      <c r="AA92" s="10">
        <v>1.1896820693130501</v>
      </c>
      <c r="AB92" s="7">
        <v>263.12860153481199</v>
      </c>
      <c r="AC92" s="7">
        <v>267.792116743088</v>
      </c>
      <c r="AD92" s="7">
        <v>268.30318125353801</v>
      </c>
      <c r="AE92" s="12">
        <v>-2.61863915517145E-2</v>
      </c>
      <c r="AF92" s="12">
        <v>-8.61828771984385E-3</v>
      </c>
      <c r="AG92" s="12">
        <v>-6.7116690004548401E-3</v>
      </c>
      <c r="AZ92" s="5"/>
      <c r="BB92">
        <f t="shared" si="26"/>
        <v>0</v>
      </c>
      <c r="BC92">
        <f t="shared" si="27"/>
        <v>0</v>
      </c>
      <c r="BD92">
        <f t="shared" si="28"/>
        <v>0</v>
      </c>
      <c r="BE92">
        <f t="shared" si="24"/>
        <v>1</v>
      </c>
      <c r="BF92">
        <f t="shared" si="29"/>
        <v>0</v>
      </c>
      <c r="BG92" s="5">
        <f t="shared" si="30"/>
        <v>0</v>
      </c>
      <c r="BH92" s="5">
        <f t="shared" si="31"/>
        <v>0</v>
      </c>
      <c r="BI92" s="5">
        <f t="shared" si="32"/>
        <v>0</v>
      </c>
      <c r="BJ92" s="19">
        <f t="shared" si="33"/>
        <v>2.1229215976407773E-2</v>
      </c>
      <c r="BL92" s="5"/>
      <c r="BN92">
        <f t="shared" si="34"/>
        <v>0</v>
      </c>
      <c r="BO92">
        <f t="shared" si="35"/>
        <v>1</v>
      </c>
      <c r="BP92">
        <f t="shared" si="36"/>
        <v>0</v>
      </c>
      <c r="BQ92">
        <f t="shared" si="25"/>
        <v>1</v>
      </c>
      <c r="BR92">
        <f t="shared" si="37"/>
        <v>0</v>
      </c>
      <c r="BS92" s="5">
        <f t="shared" si="38"/>
        <v>0</v>
      </c>
      <c r="BT92" s="5">
        <f t="shared" si="39"/>
        <v>0</v>
      </c>
      <c r="BU92" s="5">
        <f t="shared" si="40"/>
        <v>0</v>
      </c>
      <c r="BV92" s="19">
        <f t="shared" si="41"/>
        <v>2.605399151548099E-2</v>
      </c>
      <c r="BX92" s="19">
        <f t="shared" si="42"/>
        <v>0</v>
      </c>
      <c r="BY92" s="19">
        <f t="shared" si="43"/>
        <v>4.728320749188876E-2</v>
      </c>
    </row>
    <row r="93" spans="1:77" x14ac:dyDescent="0.25">
      <c r="A93" s="1">
        <v>46156</v>
      </c>
      <c r="B93" s="7">
        <v>224.46</v>
      </c>
      <c r="C93" s="7">
        <v>271.35000000000002</v>
      </c>
      <c r="D93" s="12">
        <v>-5.5534718555554398E-3</v>
      </c>
      <c r="E93" s="12">
        <v>4.5802170714958701E-3</v>
      </c>
      <c r="F93" s="7">
        <v>0</v>
      </c>
      <c r="G93" s="7">
        <v>0.15132499999999999</v>
      </c>
      <c r="H93" s="7">
        <v>0</v>
      </c>
      <c r="I93" s="7">
        <v>0.11178100000000001</v>
      </c>
      <c r="J93" s="7">
        <v>0</v>
      </c>
      <c r="K93" s="7">
        <v>0</v>
      </c>
      <c r="L93" s="7">
        <v>224.46</v>
      </c>
      <c r="M93" s="7">
        <v>271.35000000000002</v>
      </c>
      <c r="N93" s="10">
        <v>1.2089013632718499</v>
      </c>
      <c r="O93" s="10">
        <v>1.1658179450689301</v>
      </c>
      <c r="P93" s="10">
        <v>1.1912612060921499</v>
      </c>
      <c r="Q93" s="10">
        <v>1.1906087337740701</v>
      </c>
      <c r="R93" s="7">
        <v>261.67949595017302</v>
      </c>
      <c r="S93" s="7">
        <v>266.869035524423</v>
      </c>
      <c r="T93" s="7">
        <v>267.036037278008</v>
      </c>
      <c r="U93" s="12">
        <v>-3.6289043488059898E-2</v>
      </c>
      <c r="V93" s="12">
        <v>-1.6651466099276601E-2</v>
      </c>
      <c r="W93" s="12">
        <v>-1.6025880138256701E-2</v>
      </c>
      <c r="X93" s="10">
        <v>1.2089013632718499</v>
      </c>
      <c r="Y93" s="10">
        <v>1.16578176214971</v>
      </c>
      <c r="Z93" s="10">
        <v>1.1912612060921499</v>
      </c>
      <c r="AA93" s="10">
        <v>1.1906087337740701</v>
      </c>
      <c r="AB93" s="7">
        <v>261.67137433212503</v>
      </c>
      <c r="AC93" s="7">
        <v>266.869035524423</v>
      </c>
      <c r="AD93" s="7">
        <v>267.036037278008</v>
      </c>
      <c r="AE93" s="12">
        <v>-3.6320080478765698E-2</v>
      </c>
      <c r="AF93" s="12">
        <v>-1.66514660992764E-2</v>
      </c>
      <c r="AG93" s="12">
        <v>-1.6025880138256701E-2</v>
      </c>
      <c r="AZ93" s="5"/>
      <c r="BB93">
        <f t="shared" si="26"/>
        <v>0</v>
      </c>
      <c r="BC93">
        <f t="shared" si="27"/>
        <v>0</v>
      </c>
      <c r="BD93">
        <f t="shared" si="28"/>
        <v>0</v>
      </c>
      <c r="BE93">
        <f t="shared" si="24"/>
        <v>1</v>
      </c>
      <c r="BF93">
        <f t="shared" si="29"/>
        <v>0</v>
      </c>
      <c r="BG93" s="5">
        <f t="shared" si="30"/>
        <v>0</v>
      </c>
      <c r="BH93" s="5">
        <f t="shared" si="31"/>
        <v>0</v>
      </c>
      <c r="BI93" s="5">
        <f t="shared" si="32"/>
        <v>0</v>
      </c>
      <c r="BJ93" s="19">
        <f t="shared" si="33"/>
        <v>2.1229215976407773E-2</v>
      </c>
      <c r="BL93" s="5"/>
      <c r="BN93">
        <f t="shared" si="34"/>
        <v>0</v>
      </c>
      <c r="BO93">
        <f t="shared" si="35"/>
        <v>1</v>
      </c>
      <c r="BP93">
        <f t="shared" si="36"/>
        <v>0</v>
      </c>
      <c r="BQ93">
        <f t="shared" si="25"/>
        <v>1</v>
      </c>
      <c r="BR93">
        <f t="shared" si="37"/>
        <v>0</v>
      </c>
      <c r="BS93" s="5">
        <f t="shared" si="38"/>
        <v>0</v>
      </c>
      <c r="BT93" s="5">
        <f t="shared" si="39"/>
        <v>0</v>
      </c>
      <c r="BU93" s="5">
        <f t="shared" si="40"/>
        <v>0</v>
      </c>
      <c r="BV93" s="19">
        <f t="shared" si="41"/>
        <v>2.605399151548099E-2</v>
      </c>
      <c r="BX93" s="19">
        <f t="shared" si="42"/>
        <v>0</v>
      </c>
      <c r="BY93" s="19">
        <f t="shared" si="43"/>
        <v>4.728320749188876E-2</v>
      </c>
    </row>
    <row r="94" spans="1:77" x14ac:dyDescent="0.25">
      <c r="A94" s="1">
        <v>46157</v>
      </c>
      <c r="B94" s="7">
        <v>217.27</v>
      </c>
      <c r="C94" s="7">
        <v>260.74</v>
      </c>
      <c r="D94" s="12">
        <v>-3.2556697840959999E-2</v>
      </c>
      <c r="E94" s="12">
        <v>-3.9885758274781198E-2</v>
      </c>
      <c r="F94" s="7">
        <v>0</v>
      </c>
      <c r="G94" s="7">
        <v>0.15132499999999999</v>
      </c>
      <c r="H94" s="7">
        <v>0</v>
      </c>
      <c r="I94" s="7">
        <v>0.11178100000000001</v>
      </c>
      <c r="J94" s="7">
        <v>0</v>
      </c>
      <c r="K94" s="7">
        <v>0</v>
      </c>
      <c r="L94" s="7">
        <v>217.27</v>
      </c>
      <c r="M94" s="7">
        <v>260.74</v>
      </c>
      <c r="N94" s="10">
        <v>1.2000736410917201</v>
      </c>
      <c r="O94" s="10">
        <v>1.1658179450689301</v>
      </c>
      <c r="P94" s="10">
        <v>1.1926945654850001</v>
      </c>
      <c r="Q94" s="10">
        <v>1.19103235201905</v>
      </c>
      <c r="R94" s="7">
        <v>253.297264925127</v>
      </c>
      <c r="S94" s="7">
        <v>258.82532224764299</v>
      </c>
      <c r="T94" s="7">
        <v>258.68355958709299</v>
      </c>
      <c r="U94" s="12">
        <v>-2.8959983054238699E-2</v>
      </c>
      <c r="V94" s="12">
        <v>-7.37033954259268E-3</v>
      </c>
      <c r="W94" s="12">
        <v>-7.9182051699137196E-3</v>
      </c>
      <c r="X94" s="10">
        <v>1.2000736410917201</v>
      </c>
      <c r="Y94" s="10">
        <v>1.16578176214971</v>
      </c>
      <c r="Z94" s="10">
        <v>1.1926945654850001</v>
      </c>
      <c r="AA94" s="10">
        <v>1.19103235201905</v>
      </c>
      <c r="AB94" s="7">
        <v>253.28940346226901</v>
      </c>
      <c r="AC94" s="7">
        <v>258.82532224764299</v>
      </c>
      <c r="AD94" s="7">
        <v>258.68355958709299</v>
      </c>
      <c r="AE94" s="12">
        <v>-2.8991020044944402E-2</v>
      </c>
      <c r="AF94" s="12">
        <v>-7.37033954259268E-3</v>
      </c>
      <c r="AG94" s="12">
        <v>-7.9182051699137196E-3</v>
      </c>
      <c r="AZ94" s="5"/>
      <c r="BB94">
        <f t="shared" si="26"/>
        <v>0</v>
      </c>
      <c r="BC94">
        <f t="shared" si="27"/>
        <v>0</v>
      </c>
      <c r="BD94">
        <f t="shared" si="28"/>
        <v>0</v>
      </c>
      <c r="BE94">
        <f t="shared" si="24"/>
        <v>1</v>
      </c>
      <c r="BF94">
        <f t="shared" si="29"/>
        <v>0</v>
      </c>
      <c r="BG94" s="5">
        <f t="shared" si="30"/>
        <v>0</v>
      </c>
      <c r="BH94" s="5">
        <f t="shared" si="31"/>
        <v>0</v>
      </c>
      <c r="BI94" s="5">
        <f t="shared" si="32"/>
        <v>0</v>
      </c>
      <c r="BJ94" s="19">
        <f t="shared" si="33"/>
        <v>2.1229215976407773E-2</v>
      </c>
      <c r="BL94" s="5"/>
      <c r="BN94">
        <f t="shared" si="34"/>
        <v>0</v>
      </c>
      <c r="BO94">
        <f t="shared" si="35"/>
        <v>1</v>
      </c>
      <c r="BP94">
        <f t="shared" si="36"/>
        <v>0</v>
      </c>
      <c r="BQ94">
        <f t="shared" si="25"/>
        <v>1</v>
      </c>
      <c r="BR94">
        <f t="shared" si="37"/>
        <v>0</v>
      </c>
      <c r="BS94" s="5">
        <f t="shared" si="38"/>
        <v>0</v>
      </c>
      <c r="BT94" s="5">
        <f t="shared" si="39"/>
        <v>0</v>
      </c>
      <c r="BU94" s="5">
        <f t="shared" si="40"/>
        <v>0</v>
      </c>
      <c r="BV94" s="19">
        <f t="shared" si="41"/>
        <v>2.605399151548099E-2</v>
      </c>
      <c r="BX94" s="19">
        <f t="shared" si="42"/>
        <v>0</v>
      </c>
      <c r="BY94" s="19">
        <f t="shared" si="43"/>
        <v>4.728320749188876E-2</v>
      </c>
    </row>
    <row r="95" spans="1:77" x14ac:dyDescent="0.25">
      <c r="A95" s="1">
        <v>46160</v>
      </c>
      <c r="B95" s="7">
        <v>220.23</v>
      </c>
      <c r="C95" s="7">
        <v>263.20999999999998</v>
      </c>
      <c r="D95" s="12">
        <v>1.3531635043649799E-2</v>
      </c>
      <c r="E95" s="12">
        <v>9.4284504157513306E-3</v>
      </c>
      <c r="F95" s="7">
        <v>0</v>
      </c>
      <c r="G95" s="7">
        <v>0.15132499999999999</v>
      </c>
      <c r="H95" s="7">
        <v>0</v>
      </c>
      <c r="I95" s="7">
        <v>0.11178100000000001</v>
      </c>
      <c r="J95" s="7">
        <v>0</v>
      </c>
      <c r="K95" s="7">
        <v>0</v>
      </c>
      <c r="L95" s="7">
        <v>220.23</v>
      </c>
      <c r="M95" s="7">
        <v>263.20999999999998</v>
      </c>
      <c r="N95" s="10">
        <v>1.1951596058665901</v>
      </c>
      <c r="O95" s="10">
        <v>1.1658179450689301</v>
      </c>
      <c r="P95" s="10">
        <v>1.19335175688396</v>
      </c>
      <c r="Q95" s="10">
        <v>1.1911936102938401</v>
      </c>
      <c r="R95" s="7">
        <v>256.74808604253099</v>
      </c>
      <c r="S95" s="7">
        <v>262.66712415676199</v>
      </c>
      <c r="T95" s="7">
        <v>262.30105488515699</v>
      </c>
      <c r="U95" s="12">
        <v>-2.4856798426340102E-2</v>
      </c>
      <c r="V95" s="12">
        <v>-2.0646497485684698E-3</v>
      </c>
      <c r="W95" s="12">
        <v>-3.4592841113876001E-3</v>
      </c>
      <c r="X95" s="10">
        <v>1.1951596058665901</v>
      </c>
      <c r="Y95" s="10">
        <v>1.16578176214971</v>
      </c>
      <c r="Z95" s="10">
        <v>1.19335175688396</v>
      </c>
      <c r="AA95" s="10">
        <v>1.1911936102938401</v>
      </c>
      <c r="AB95" s="7">
        <v>256.74011747823198</v>
      </c>
      <c r="AC95" s="7">
        <v>262.66712415676199</v>
      </c>
      <c r="AD95" s="7">
        <v>262.30105488515699</v>
      </c>
      <c r="AE95" s="12">
        <v>-2.4887835417045898E-2</v>
      </c>
      <c r="AF95" s="12">
        <v>-2.0646497485684698E-3</v>
      </c>
      <c r="AG95" s="12">
        <v>-3.4592841113876001E-3</v>
      </c>
      <c r="AZ95" s="5"/>
      <c r="BB95">
        <f t="shared" si="26"/>
        <v>0</v>
      </c>
      <c r="BC95">
        <f t="shared" si="27"/>
        <v>1</v>
      </c>
      <c r="BD95">
        <f t="shared" si="28"/>
        <v>0</v>
      </c>
      <c r="BE95">
        <f t="shared" si="24"/>
        <v>1</v>
      </c>
      <c r="BF95">
        <f t="shared" si="29"/>
        <v>0</v>
      </c>
      <c r="BG95" s="5">
        <f t="shared" si="30"/>
        <v>0</v>
      </c>
      <c r="BH95" s="5">
        <f t="shared" si="31"/>
        <v>0</v>
      </c>
      <c r="BI95" s="5">
        <f t="shared" si="32"/>
        <v>0</v>
      </c>
      <c r="BJ95" s="19">
        <f t="shared" si="33"/>
        <v>2.1229215976407773E-2</v>
      </c>
      <c r="BL95" s="5"/>
      <c r="BN95">
        <f t="shared" si="34"/>
        <v>0</v>
      </c>
      <c r="BO95">
        <f t="shared" si="35"/>
        <v>1</v>
      </c>
      <c r="BP95">
        <f t="shared" si="36"/>
        <v>0</v>
      </c>
      <c r="BQ95">
        <f t="shared" si="25"/>
        <v>1</v>
      </c>
      <c r="BR95">
        <f t="shared" si="37"/>
        <v>0</v>
      </c>
      <c r="BS95" s="5">
        <f t="shared" si="38"/>
        <v>0</v>
      </c>
      <c r="BT95" s="5">
        <f t="shared" si="39"/>
        <v>0</v>
      </c>
      <c r="BU95" s="5">
        <f t="shared" si="40"/>
        <v>0</v>
      </c>
      <c r="BV95" s="19">
        <f t="shared" si="41"/>
        <v>2.605399151548099E-2</v>
      </c>
      <c r="BX95" s="19">
        <f t="shared" si="42"/>
        <v>0</v>
      </c>
      <c r="BY95" s="19">
        <f t="shared" si="43"/>
        <v>4.728320749188876E-2</v>
      </c>
    </row>
    <row r="96" spans="1:77" x14ac:dyDescent="0.25">
      <c r="A96" s="1">
        <v>46161</v>
      </c>
      <c r="B96" s="7">
        <v>218.32</v>
      </c>
      <c r="C96" s="7">
        <v>259.45999999999998</v>
      </c>
      <c r="D96" s="12">
        <v>-8.7105783907165703E-3</v>
      </c>
      <c r="E96" s="12">
        <v>-1.43496445075177E-2</v>
      </c>
      <c r="F96" s="7">
        <v>0</v>
      </c>
      <c r="G96" s="7">
        <v>0.15132499999999999</v>
      </c>
      <c r="H96" s="7">
        <v>0</v>
      </c>
      <c r="I96" s="7">
        <v>0.11178100000000001</v>
      </c>
      <c r="J96" s="7">
        <v>0</v>
      </c>
      <c r="K96" s="7">
        <v>0</v>
      </c>
      <c r="L96" s="7">
        <v>218.32</v>
      </c>
      <c r="M96" s="7">
        <v>259.45999999999998</v>
      </c>
      <c r="N96" s="10">
        <v>1.18843898864052</v>
      </c>
      <c r="O96" s="10">
        <v>1.1658179450689301</v>
      </c>
      <c r="P96" s="10">
        <v>1.19369261447021</v>
      </c>
      <c r="Q96" s="10">
        <v>1.1906711426744501</v>
      </c>
      <c r="R96" s="7">
        <v>254.52137376745</v>
      </c>
      <c r="S96" s="7">
        <v>260.532555562906</v>
      </c>
      <c r="T96" s="7">
        <v>260.06138899935098</v>
      </c>
      <c r="U96" s="12">
        <v>-1.9217732309539E-2</v>
      </c>
      <c r="V96" s="12">
        <v>4.12527861211749E-3</v>
      </c>
      <c r="W96" s="12">
        <v>2.3151665386865398E-3</v>
      </c>
      <c r="X96" s="10">
        <v>1.18843898864052</v>
      </c>
      <c r="Y96" s="10">
        <v>1.16578176214971</v>
      </c>
      <c r="Z96" s="10">
        <v>1.19369261447021</v>
      </c>
      <c r="AA96" s="10">
        <v>1.1906711426744501</v>
      </c>
      <c r="AB96" s="7">
        <v>254.513474312526</v>
      </c>
      <c r="AC96" s="7">
        <v>260.532555562906</v>
      </c>
      <c r="AD96" s="7">
        <v>260.06138899935098</v>
      </c>
      <c r="AE96" s="12">
        <v>-1.9248769300244901E-2</v>
      </c>
      <c r="AF96" s="12">
        <v>4.12527861211749E-3</v>
      </c>
      <c r="AG96" s="12">
        <v>2.3151665386867601E-3</v>
      </c>
      <c r="AZ96" s="5"/>
      <c r="BB96">
        <f t="shared" si="26"/>
        <v>0</v>
      </c>
      <c r="BC96">
        <f t="shared" si="27"/>
        <v>1</v>
      </c>
      <c r="BD96">
        <f t="shared" si="28"/>
        <v>0</v>
      </c>
      <c r="BE96">
        <f t="shared" si="24"/>
        <v>1</v>
      </c>
      <c r="BF96">
        <f t="shared" si="29"/>
        <v>0</v>
      </c>
      <c r="BG96" s="5">
        <f t="shared" si="30"/>
        <v>0</v>
      </c>
      <c r="BH96" s="5">
        <f t="shared" si="31"/>
        <v>0</v>
      </c>
      <c r="BI96" s="5">
        <f t="shared" si="32"/>
        <v>0</v>
      </c>
      <c r="BJ96" s="19">
        <f t="shared" si="33"/>
        <v>2.1229215976407773E-2</v>
      </c>
      <c r="BL96" s="5"/>
      <c r="BN96">
        <f t="shared" si="34"/>
        <v>0</v>
      </c>
      <c r="BO96">
        <f t="shared" si="35"/>
        <v>1</v>
      </c>
      <c r="BP96">
        <f t="shared" si="36"/>
        <v>0</v>
      </c>
      <c r="BQ96">
        <f t="shared" si="25"/>
        <v>1</v>
      </c>
      <c r="BR96">
        <f t="shared" si="37"/>
        <v>0</v>
      </c>
      <c r="BS96" s="5">
        <f t="shared" si="38"/>
        <v>0</v>
      </c>
      <c r="BT96" s="5">
        <f t="shared" si="39"/>
        <v>0</v>
      </c>
      <c r="BU96" s="5">
        <f t="shared" si="40"/>
        <v>0</v>
      </c>
      <c r="BV96" s="19">
        <f t="shared" si="41"/>
        <v>2.605399151548099E-2</v>
      </c>
      <c r="BX96" s="19">
        <f t="shared" si="42"/>
        <v>0</v>
      </c>
      <c r="BY96" s="19">
        <f t="shared" si="43"/>
        <v>4.728320749188876E-2</v>
      </c>
    </row>
    <row r="97" spans="1:77" x14ac:dyDescent="0.25">
      <c r="A97" s="1">
        <v>46162</v>
      </c>
      <c r="B97" s="7">
        <v>223.28</v>
      </c>
      <c r="C97" s="7">
        <v>266.5</v>
      </c>
      <c r="D97" s="12">
        <v>2.24647128279836E-2</v>
      </c>
      <c r="E97" s="12">
        <v>2.6771695463032801E-2</v>
      </c>
      <c r="F97" s="7">
        <v>0</v>
      </c>
      <c r="G97" s="7">
        <v>0.15132499999999999</v>
      </c>
      <c r="H97" s="7">
        <v>0</v>
      </c>
      <c r="I97" s="7">
        <v>0.11178100000000001</v>
      </c>
      <c r="J97" s="7">
        <v>0</v>
      </c>
      <c r="K97" s="7">
        <v>0</v>
      </c>
      <c r="L97" s="7">
        <v>223.28</v>
      </c>
      <c r="M97" s="7">
        <v>266.5</v>
      </c>
      <c r="N97" s="10">
        <v>1.1935686134002099</v>
      </c>
      <c r="O97" s="10">
        <v>1.1658179450689301</v>
      </c>
      <c r="P97" s="10">
        <v>1.1934272396630601</v>
      </c>
      <c r="Q97" s="10">
        <v>1.19013510836613</v>
      </c>
      <c r="R97" s="7">
        <v>260.30383077499198</v>
      </c>
      <c r="S97" s="7">
        <v>266.52768695890899</v>
      </c>
      <c r="T97" s="7">
        <v>265.853052736351</v>
      </c>
      <c r="U97" s="12">
        <v>-2.3524714944588399E-2</v>
      </c>
      <c r="V97" s="12">
        <v>1.03885631503757E-4</v>
      </c>
      <c r="W97" s="12">
        <v>-2.43052079369386E-3</v>
      </c>
      <c r="X97" s="10">
        <v>1.1935686134002099</v>
      </c>
      <c r="Y97" s="10">
        <v>1.16578176214971</v>
      </c>
      <c r="Z97" s="10">
        <v>1.1934272396630601</v>
      </c>
      <c r="AA97" s="10">
        <v>1.19013510836613</v>
      </c>
      <c r="AB97" s="7">
        <v>260.29575185278799</v>
      </c>
      <c r="AC97" s="7">
        <v>266.52768695890899</v>
      </c>
      <c r="AD97" s="7">
        <v>265.853052736351</v>
      </c>
      <c r="AE97" s="12">
        <v>-2.3555751935293901E-2</v>
      </c>
      <c r="AF97" s="12">
        <v>1.03885631503757E-4</v>
      </c>
      <c r="AG97" s="12">
        <v>-2.43052079369386E-3</v>
      </c>
      <c r="AZ97" s="5"/>
      <c r="BB97">
        <f t="shared" si="26"/>
        <v>0</v>
      </c>
      <c r="BC97">
        <f t="shared" si="27"/>
        <v>1</v>
      </c>
      <c r="BD97">
        <f t="shared" si="28"/>
        <v>0</v>
      </c>
      <c r="BE97">
        <f t="shared" si="24"/>
        <v>1</v>
      </c>
      <c r="BF97">
        <f t="shared" si="29"/>
        <v>0</v>
      </c>
      <c r="BG97" s="5">
        <f t="shared" si="30"/>
        <v>0</v>
      </c>
      <c r="BH97" s="5">
        <f t="shared" si="31"/>
        <v>0</v>
      </c>
      <c r="BI97" s="5">
        <f t="shared" si="32"/>
        <v>0</v>
      </c>
      <c r="BJ97" s="19">
        <f t="shared" si="33"/>
        <v>2.1229215976407773E-2</v>
      </c>
      <c r="BL97" s="5"/>
      <c r="BN97">
        <f t="shared" si="34"/>
        <v>0</v>
      </c>
      <c r="BO97">
        <f t="shared" si="35"/>
        <v>1</v>
      </c>
      <c r="BP97">
        <f t="shared" si="36"/>
        <v>0</v>
      </c>
      <c r="BQ97">
        <f t="shared" si="25"/>
        <v>1</v>
      </c>
      <c r="BR97">
        <f t="shared" si="37"/>
        <v>0</v>
      </c>
      <c r="BS97" s="5">
        <f t="shared" si="38"/>
        <v>0</v>
      </c>
      <c r="BT97" s="5">
        <f t="shared" si="39"/>
        <v>0</v>
      </c>
      <c r="BU97" s="5">
        <f t="shared" si="40"/>
        <v>0</v>
      </c>
      <c r="BV97" s="19">
        <f t="shared" si="41"/>
        <v>2.605399151548099E-2</v>
      </c>
      <c r="BX97" s="19">
        <f t="shared" si="42"/>
        <v>0</v>
      </c>
      <c r="BY97" s="19">
        <f t="shared" si="43"/>
        <v>4.728320749188876E-2</v>
      </c>
    </row>
    <row r="98" spans="1:77" x14ac:dyDescent="0.25">
      <c r="A98" s="1">
        <v>46163</v>
      </c>
      <c r="B98" s="7">
        <v>223.15</v>
      </c>
      <c r="C98" s="7">
        <v>266.37</v>
      </c>
      <c r="D98" s="12">
        <v>-5.8239815278776099E-4</v>
      </c>
      <c r="E98" s="12">
        <v>-4.8792389355410801E-4</v>
      </c>
      <c r="F98" s="7">
        <v>0</v>
      </c>
      <c r="G98" s="7">
        <v>0.15132499999999999</v>
      </c>
      <c r="H98" s="7">
        <v>0</v>
      </c>
      <c r="I98" s="7">
        <v>0.11178100000000001</v>
      </c>
      <c r="J98" s="7">
        <v>0</v>
      </c>
      <c r="K98" s="7">
        <v>0</v>
      </c>
      <c r="L98" s="7">
        <v>223.15</v>
      </c>
      <c r="M98" s="7">
        <v>266.37</v>
      </c>
      <c r="N98" s="10">
        <v>1.1936813802374999</v>
      </c>
      <c r="O98" s="10">
        <v>1.1658179450689301</v>
      </c>
      <c r="P98" s="10">
        <v>1.1947063030384799</v>
      </c>
      <c r="Q98" s="10">
        <v>1.1901276982122899</v>
      </c>
      <c r="R98" s="7">
        <v>260.15227444213298</v>
      </c>
      <c r="S98" s="7">
        <v>266.313288530813</v>
      </c>
      <c r="T98" s="7">
        <v>265.57864943190299</v>
      </c>
      <c r="U98" s="12">
        <v>-2.3619189203822E-2</v>
      </c>
      <c r="V98" s="12">
        <v>-2.1292753356998999E-4</v>
      </c>
      <c r="W98" s="12">
        <v>-2.9752915162686998E-3</v>
      </c>
      <c r="X98" s="10">
        <v>1.1936813802374999</v>
      </c>
      <c r="Y98" s="10">
        <v>1.16578176214971</v>
      </c>
      <c r="Z98" s="10">
        <v>1.1947063030384799</v>
      </c>
      <c r="AA98" s="10">
        <v>1.1901276982122899</v>
      </c>
      <c r="AB98" s="7">
        <v>260.14420022370899</v>
      </c>
      <c r="AC98" s="7">
        <v>266.313288530813</v>
      </c>
      <c r="AD98" s="7">
        <v>265.57864943190299</v>
      </c>
      <c r="AE98" s="12">
        <v>-2.36502261945278E-2</v>
      </c>
      <c r="AF98" s="12">
        <v>-2.1292753356998999E-4</v>
      </c>
      <c r="AG98" s="12">
        <v>-2.9752915162686998E-3</v>
      </c>
      <c r="AZ98" s="5"/>
      <c r="BB98">
        <f t="shared" si="26"/>
        <v>0</v>
      </c>
      <c r="BC98">
        <f t="shared" si="27"/>
        <v>1</v>
      </c>
      <c r="BD98">
        <f t="shared" si="28"/>
        <v>0</v>
      </c>
      <c r="BE98">
        <f t="shared" si="24"/>
        <v>1</v>
      </c>
      <c r="BF98">
        <f t="shared" si="29"/>
        <v>0</v>
      </c>
      <c r="BG98" s="5">
        <f t="shared" si="30"/>
        <v>0</v>
      </c>
      <c r="BH98" s="5">
        <f t="shared" si="31"/>
        <v>0</v>
      </c>
      <c r="BI98" s="5">
        <f t="shared" si="32"/>
        <v>0</v>
      </c>
      <c r="BJ98" s="19">
        <f t="shared" si="33"/>
        <v>2.1229215976407773E-2</v>
      </c>
      <c r="BL98" s="5"/>
      <c r="BN98">
        <f t="shared" si="34"/>
        <v>0</v>
      </c>
      <c r="BO98">
        <f t="shared" si="35"/>
        <v>1</v>
      </c>
      <c r="BP98">
        <f t="shared" si="36"/>
        <v>0</v>
      </c>
      <c r="BQ98">
        <f t="shared" si="25"/>
        <v>1</v>
      </c>
      <c r="BR98">
        <f t="shared" si="37"/>
        <v>0</v>
      </c>
      <c r="BS98" s="5">
        <f t="shared" si="38"/>
        <v>0</v>
      </c>
      <c r="BT98" s="5">
        <f t="shared" si="39"/>
        <v>0</v>
      </c>
      <c r="BU98" s="5">
        <f t="shared" si="40"/>
        <v>0</v>
      </c>
      <c r="BV98" s="19">
        <f t="shared" si="41"/>
        <v>2.605399151548099E-2</v>
      </c>
      <c r="BX98" s="19">
        <f t="shared" si="42"/>
        <v>0</v>
      </c>
      <c r="BY98" s="19">
        <f t="shared" si="43"/>
        <v>4.728320749188876E-2</v>
      </c>
    </row>
    <row r="99" spans="1:77" x14ac:dyDescent="0.25">
      <c r="A99" s="1">
        <v>46164</v>
      </c>
      <c r="B99" s="7">
        <v>225.37</v>
      </c>
      <c r="C99" s="7">
        <v>271.18</v>
      </c>
      <c r="D99" s="12">
        <v>9.8993049552953804E-3</v>
      </c>
      <c r="E99" s="12">
        <v>1.7896487321817998E-2</v>
      </c>
      <c r="F99" s="7">
        <v>0</v>
      </c>
      <c r="G99" s="7">
        <v>0.15132499999999999</v>
      </c>
      <c r="H99" s="7">
        <v>0</v>
      </c>
      <c r="I99" s="7">
        <v>0.11178100000000001</v>
      </c>
      <c r="J99" s="7">
        <v>0</v>
      </c>
      <c r="K99" s="7">
        <v>0</v>
      </c>
      <c r="L99" s="7">
        <v>225.37</v>
      </c>
      <c r="M99" s="7">
        <v>271.18</v>
      </c>
      <c r="N99" s="10">
        <v>1.2032657407818199</v>
      </c>
      <c r="O99" s="10">
        <v>1.1658179450689301</v>
      </c>
      <c r="P99" s="10">
        <v>1.1962803602255301</v>
      </c>
      <c r="Q99" s="10">
        <v>1.1908725422486</v>
      </c>
      <c r="R99" s="7">
        <v>262.74039028018598</v>
      </c>
      <c r="S99" s="7">
        <v>269.25095951578402</v>
      </c>
      <c r="T99" s="7">
        <v>268.21907934610499</v>
      </c>
      <c r="U99" s="12">
        <v>-3.1616371570344602E-2</v>
      </c>
      <c r="V99" s="12">
        <v>-7.1389273427917696E-3</v>
      </c>
      <c r="W99" s="12">
        <v>-1.09787002152953E-2</v>
      </c>
      <c r="X99" s="10">
        <v>1.2032657407818199</v>
      </c>
      <c r="Y99" s="10">
        <v>1.16578176214971</v>
      </c>
      <c r="Z99" s="10">
        <v>1.1962803602255301</v>
      </c>
      <c r="AA99" s="10">
        <v>1.1908725422486</v>
      </c>
      <c r="AB99" s="7">
        <v>262.732235735681</v>
      </c>
      <c r="AC99" s="7">
        <v>269.25095951578402</v>
      </c>
      <c r="AD99" s="7">
        <v>268.21907934610499</v>
      </c>
      <c r="AE99" s="12">
        <v>-3.1647408561050402E-2</v>
      </c>
      <c r="AF99" s="12">
        <v>-7.1389273427917696E-3</v>
      </c>
      <c r="AG99" s="12">
        <v>-1.09787002152953E-2</v>
      </c>
      <c r="AZ99" s="5"/>
      <c r="BB99">
        <f t="shared" si="26"/>
        <v>0</v>
      </c>
      <c r="BC99">
        <f t="shared" si="27"/>
        <v>0</v>
      </c>
      <c r="BD99">
        <f t="shared" si="28"/>
        <v>0</v>
      </c>
      <c r="BE99">
        <f t="shared" si="24"/>
        <v>1</v>
      </c>
      <c r="BF99">
        <f t="shared" si="29"/>
        <v>0</v>
      </c>
      <c r="BG99" s="5">
        <f t="shared" si="30"/>
        <v>0</v>
      </c>
      <c r="BH99" s="5">
        <f t="shared" si="31"/>
        <v>0</v>
      </c>
      <c r="BI99" s="5">
        <f t="shared" si="32"/>
        <v>0</v>
      </c>
      <c r="BJ99" s="19">
        <f t="shared" si="33"/>
        <v>2.1229215976407773E-2</v>
      </c>
      <c r="BL99" s="5"/>
      <c r="BN99">
        <f t="shared" si="34"/>
        <v>0</v>
      </c>
      <c r="BO99">
        <f t="shared" si="35"/>
        <v>1</v>
      </c>
      <c r="BP99">
        <f t="shared" si="36"/>
        <v>0</v>
      </c>
      <c r="BQ99">
        <f t="shared" si="25"/>
        <v>1</v>
      </c>
      <c r="BR99">
        <f t="shared" si="37"/>
        <v>0</v>
      </c>
      <c r="BS99" s="5">
        <f t="shared" si="38"/>
        <v>0</v>
      </c>
      <c r="BT99" s="5">
        <f t="shared" si="39"/>
        <v>0</v>
      </c>
      <c r="BU99" s="5">
        <f t="shared" si="40"/>
        <v>0</v>
      </c>
      <c r="BV99" s="19">
        <f t="shared" si="41"/>
        <v>2.605399151548099E-2</v>
      </c>
      <c r="BX99" s="19">
        <f t="shared" si="42"/>
        <v>0</v>
      </c>
      <c r="BY99" s="19">
        <f t="shared" si="43"/>
        <v>4.728320749188876E-2</v>
      </c>
    </row>
    <row r="100" spans="1:77" x14ac:dyDescent="0.25">
      <c r="A100" s="1">
        <v>46168</v>
      </c>
      <c r="B100" s="7">
        <v>229.49</v>
      </c>
      <c r="C100" s="7">
        <v>276.56</v>
      </c>
      <c r="D100" s="12">
        <v>1.8115959535946E-2</v>
      </c>
      <c r="E100" s="12">
        <v>1.9644988579205901E-2</v>
      </c>
      <c r="F100" s="7">
        <v>0</v>
      </c>
      <c r="G100" s="7">
        <v>0.15132499999999999</v>
      </c>
      <c r="H100" s="7">
        <v>0</v>
      </c>
      <c r="I100" s="7">
        <v>0.11178100000000001</v>
      </c>
      <c r="J100" s="7">
        <v>0</v>
      </c>
      <c r="K100" s="7">
        <v>0</v>
      </c>
      <c r="L100" s="7">
        <v>229.49</v>
      </c>
      <c r="M100" s="7">
        <v>276.56</v>
      </c>
      <c r="N100" s="10">
        <v>1.20510697633883</v>
      </c>
      <c r="O100" s="10">
        <v>1.1658179450689301</v>
      </c>
      <c r="P100" s="10">
        <v>1.1975822433101</v>
      </c>
      <c r="Q100" s="10">
        <v>1.1914167264664</v>
      </c>
      <c r="R100" s="7">
        <v>267.54356021387002</v>
      </c>
      <c r="S100" s="7">
        <v>274.534379868158</v>
      </c>
      <c r="T100" s="7">
        <v>273.29333972063301</v>
      </c>
      <c r="U100" s="12">
        <v>-3.3145400613604603E-2</v>
      </c>
      <c r="V100" s="12">
        <v>-7.3512970849952501E-3</v>
      </c>
      <c r="W100" s="12">
        <v>-1.1882072823960499E-2</v>
      </c>
      <c r="X100" s="10">
        <v>1.20510697633883</v>
      </c>
      <c r="Y100" s="10">
        <v>1.16578176214971</v>
      </c>
      <c r="Z100" s="10">
        <v>1.1975822433101</v>
      </c>
      <c r="AA100" s="10">
        <v>1.1914167264664</v>
      </c>
      <c r="AB100" s="7">
        <v>267.53525659573802</v>
      </c>
      <c r="AC100" s="7">
        <v>274.534379868158</v>
      </c>
      <c r="AD100" s="7">
        <v>273.29333972063301</v>
      </c>
      <c r="AE100" s="12">
        <v>-3.3176437604310202E-2</v>
      </c>
      <c r="AF100" s="12">
        <v>-7.3512970849952501E-3</v>
      </c>
      <c r="AG100" s="12">
        <v>-1.1882072823960499E-2</v>
      </c>
      <c r="AZ100" s="5"/>
      <c r="BB100">
        <f t="shared" si="26"/>
        <v>0</v>
      </c>
      <c r="BC100">
        <f t="shared" si="27"/>
        <v>0</v>
      </c>
      <c r="BD100">
        <f t="shared" si="28"/>
        <v>0</v>
      </c>
      <c r="BE100">
        <f t="shared" si="24"/>
        <v>1</v>
      </c>
      <c r="BF100">
        <f t="shared" si="29"/>
        <v>0</v>
      </c>
      <c r="BG100" s="5">
        <f t="shared" si="30"/>
        <v>0</v>
      </c>
      <c r="BH100" s="5">
        <f t="shared" si="31"/>
        <v>0</v>
      </c>
      <c r="BI100" s="5">
        <f t="shared" si="32"/>
        <v>0</v>
      </c>
      <c r="BJ100" s="19">
        <f t="shared" si="33"/>
        <v>2.1229215976407773E-2</v>
      </c>
      <c r="BL100" s="5"/>
      <c r="BN100">
        <f t="shared" si="34"/>
        <v>0</v>
      </c>
      <c r="BO100">
        <f t="shared" si="35"/>
        <v>1</v>
      </c>
      <c r="BP100">
        <f t="shared" si="36"/>
        <v>0</v>
      </c>
      <c r="BQ100">
        <f t="shared" si="25"/>
        <v>1</v>
      </c>
      <c r="BR100">
        <f t="shared" si="37"/>
        <v>0</v>
      </c>
      <c r="BS100" s="5">
        <f t="shared" si="38"/>
        <v>0</v>
      </c>
      <c r="BT100" s="5">
        <f t="shared" si="39"/>
        <v>0</v>
      </c>
      <c r="BU100" s="5">
        <f t="shared" si="40"/>
        <v>0</v>
      </c>
      <c r="BV100" s="19">
        <f t="shared" si="41"/>
        <v>2.605399151548099E-2</v>
      </c>
      <c r="BX100" s="19">
        <f t="shared" si="42"/>
        <v>0</v>
      </c>
      <c r="BY100" s="19">
        <f t="shared" si="43"/>
        <v>4.728320749188876E-2</v>
      </c>
    </row>
    <row r="101" spans="1:77" x14ac:dyDescent="0.25">
      <c r="A101" s="1">
        <v>46169</v>
      </c>
      <c r="B101" s="7">
        <v>230.48</v>
      </c>
      <c r="C101" s="7">
        <v>278.89999999999998</v>
      </c>
      <c r="D101" s="12">
        <v>4.3046352097526599E-3</v>
      </c>
      <c r="E101" s="12">
        <v>8.4254990200741103E-3</v>
      </c>
      <c r="F101" s="7">
        <v>0</v>
      </c>
      <c r="G101" s="7">
        <v>0.15132499999999999</v>
      </c>
      <c r="H101" s="7">
        <v>0</v>
      </c>
      <c r="I101" s="7">
        <v>0.11178100000000001</v>
      </c>
      <c r="J101" s="7">
        <v>0</v>
      </c>
      <c r="K101" s="7">
        <v>0</v>
      </c>
      <c r="L101" s="7">
        <v>230.48</v>
      </c>
      <c r="M101" s="7">
        <v>278.89999999999998</v>
      </c>
      <c r="N101" s="10">
        <v>1.21008330440819</v>
      </c>
      <c r="O101" s="10">
        <v>1.1658179450689301</v>
      </c>
      <c r="P101" s="10">
        <v>1.1994992209846</v>
      </c>
      <c r="Q101" s="10">
        <v>1.19297125938488</v>
      </c>
      <c r="R101" s="7">
        <v>268.697719979488</v>
      </c>
      <c r="S101" s="7">
        <v>276.01875543811201</v>
      </c>
      <c r="T101" s="7">
        <v>274.597727115976</v>
      </c>
      <c r="U101" s="12">
        <v>-3.7266264423925798E-2</v>
      </c>
      <c r="V101" s="12">
        <v>-1.03844767391794E-2</v>
      </c>
      <c r="W101" s="12">
        <v>-1.5546078406017801E-2</v>
      </c>
      <c r="X101" s="10">
        <v>1.21008330440819</v>
      </c>
      <c r="Y101" s="10">
        <v>1.16578176214971</v>
      </c>
      <c r="Z101" s="10">
        <v>1.1994992209846</v>
      </c>
      <c r="AA101" s="10">
        <v>1.19297125938488</v>
      </c>
      <c r="AB101" s="7">
        <v>268.68938054026597</v>
      </c>
      <c r="AC101" s="7">
        <v>276.01875543811201</v>
      </c>
      <c r="AD101" s="7">
        <v>274.597727115976</v>
      </c>
      <c r="AE101" s="12">
        <v>-3.7297301414631702E-2</v>
      </c>
      <c r="AF101" s="12">
        <v>-1.03844767391794E-2</v>
      </c>
      <c r="AG101" s="12">
        <v>-1.5546078406017801E-2</v>
      </c>
      <c r="AZ101" s="5"/>
      <c r="BB101">
        <f t="shared" si="26"/>
        <v>0</v>
      </c>
      <c r="BC101">
        <f t="shared" si="27"/>
        <v>0</v>
      </c>
      <c r="BD101">
        <f t="shared" si="28"/>
        <v>0</v>
      </c>
      <c r="BE101">
        <f t="shared" si="24"/>
        <v>1</v>
      </c>
      <c r="BF101">
        <f t="shared" si="29"/>
        <v>0</v>
      </c>
      <c r="BG101" s="5">
        <f t="shared" si="30"/>
        <v>0</v>
      </c>
      <c r="BH101" s="5">
        <f t="shared" si="31"/>
        <v>0</v>
      </c>
      <c r="BI101" s="5">
        <f t="shared" si="32"/>
        <v>0</v>
      </c>
      <c r="BJ101" s="19">
        <f t="shared" si="33"/>
        <v>2.1229215976407773E-2</v>
      </c>
      <c r="BL101" s="5"/>
      <c r="BN101">
        <f t="shared" si="34"/>
        <v>0</v>
      </c>
      <c r="BO101">
        <f t="shared" si="35"/>
        <v>1</v>
      </c>
      <c r="BP101">
        <f t="shared" si="36"/>
        <v>0</v>
      </c>
      <c r="BQ101">
        <f t="shared" si="25"/>
        <v>1</v>
      </c>
      <c r="BR101">
        <f t="shared" si="37"/>
        <v>0</v>
      </c>
      <c r="BS101" s="5">
        <f t="shared" si="38"/>
        <v>0</v>
      </c>
      <c r="BT101" s="5">
        <f t="shared" si="39"/>
        <v>0</v>
      </c>
      <c r="BU101" s="5">
        <f t="shared" si="40"/>
        <v>0</v>
      </c>
      <c r="BV101" s="19">
        <f t="shared" si="41"/>
        <v>2.605399151548099E-2</v>
      </c>
      <c r="BX101" s="19">
        <f t="shared" si="42"/>
        <v>0</v>
      </c>
      <c r="BY101" s="19">
        <f t="shared" si="43"/>
        <v>4.728320749188876E-2</v>
      </c>
    </row>
    <row r="102" spans="1:77" x14ac:dyDescent="0.25">
      <c r="A102" s="1">
        <v>46170</v>
      </c>
      <c r="B102" s="7">
        <v>235.57</v>
      </c>
      <c r="C102" s="7">
        <v>289.56</v>
      </c>
      <c r="D102" s="12">
        <v>2.1844018428242001E-2</v>
      </c>
      <c r="E102" s="12">
        <v>3.7509234791497502E-2</v>
      </c>
      <c r="F102" s="7">
        <v>0</v>
      </c>
      <c r="G102" s="7">
        <v>0.15132499999999999</v>
      </c>
      <c r="H102" s="7">
        <v>0</v>
      </c>
      <c r="I102" s="7">
        <v>0.11178100000000001</v>
      </c>
      <c r="J102" s="7">
        <v>0</v>
      </c>
      <c r="K102" s="7">
        <v>0</v>
      </c>
      <c r="L102" s="7">
        <v>235.57</v>
      </c>
      <c r="M102" s="7">
        <v>289.56</v>
      </c>
      <c r="N102" s="10">
        <v>1.22918877615995</v>
      </c>
      <c r="O102" s="10">
        <v>1.1658179450689301</v>
      </c>
      <c r="P102" s="10">
        <v>1.20274683901972</v>
      </c>
      <c r="Q102" s="10">
        <v>1.19584244633963</v>
      </c>
      <c r="R102" s="7">
        <v>274.63173331988901</v>
      </c>
      <c r="S102" s="7">
        <v>282.56603148734303</v>
      </c>
      <c r="T102" s="7">
        <v>281.02823957329701</v>
      </c>
      <c r="U102" s="12">
        <v>-5.2931480787181302E-2</v>
      </c>
      <c r="V102" s="12">
        <v>-2.4450266373123E-2</v>
      </c>
      <c r="W102" s="12">
        <v>-2.99073684385253E-2</v>
      </c>
      <c r="X102" s="10">
        <v>1.22918877615995</v>
      </c>
      <c r="Y102" s="10">
        <v>1.16578176214971</v>
      </c>
      <c r="Z102" s="10">
        <v>1.20274683901972</v>
      </c>
      <c r="AA102" s="10">
        <v>1.19584244633963</v>
      </c>
      <c r="AB102" s="7">
        <v>274.62320970960798</v>
      </c>
      <c r="AC102" s="7">
        <v>282.56603148734303</v>
      </c>
      <c r="AD102" s="7">
        <v>281.02823957329701</v>
      </c>
      <c r="AE102" s="12">
        <v>-5.29625177778872E-2</v>
      </c>
      <c r="AF102" s="12">
        <v>-2.4450266373123E-2</v>
      </c>
      <c r="AG102" s="12">
        <v>-2.99073684385253E-2</v>
      </c>
      <c r="AZ102" s="5"/>
      <c r="BB102">
        <f t="shared" si="26"/>
        <v>1</v>
      </c>
      <c r="BC102">
        <f t="shared" si="27"/>
        <v>0</v>
      </c>
      <c r="BD102">
        <f t="shared" si="28"/>
        <v>0</v>
      </c>
      <c r="BE102">
        <f t="shared" si="24"/>
        <v>1</v>
      </c>
      <c r="BF102">
        <f t="shared" si="29"/>
        <v>0</v>
      </c>
      <c r="BG102" s="5">
        <f t="shared" si="30"/>
        <v>0</v>
      </c>
      <c r="BH102" s="5">
        <f t="shared" si="31"/>
        <v>0</v>
      </c>
      <c r="BI102" s="5">
        <f t="shared" si="32"/>
        <v>0</v>
      </c>
      <c r="BJ102" s="19">
        <f t="shared" si="33"/>
        <v>2.1229215976407773E-2</v>
      </c>
      <c r="BL102" s="5"/>
      <c r="BN102">
        <f t="shared" si="34"/>
        <v>0</v>
      </c>
      <c r="BO102">
        <f t="shared" si="35"/>
        <v>1</v>
      </c>
      <c r="BP102">
        <f t="shared" si="36"/>
        <v>0</v>
      </c>
      <c r="BQ102">
        <f t="shared" si="25"/>
        <v>1</v>
      </c>
      <c r="BR102">
        <f t="shared" si="37"/>
        <v>0</v>
      </c>
      <c r="BS102" s="5">
        <f t="shared" si="38"/>
        <v>0</v>
      </c>
      <c r="BT102" s="5">
        <f t="shared" si="39"/>
        <v>0</v>
      </c>
      <c r="BU102" s="5">
        <f t="shared" si="40"/>
        <v>0</v>
      </c>
      <c r="BV102" s="19">
        <f t="shared" si="41"/>
        <v>2.605399151548099E-2</v>
      </c>
      <c r="BX102" s="19">
        <f t="shared" si="42"/>
        <v>0</v>
      </c>
      <c r="BY102" s="19">
        <f t="shared" si="43"/>
        <v>4.728320749188876E-2</v>
      </c>
    </row>
    <row r="103" spans="1:77" x14ac:dyDescent="0.25">
      <c r="A103" s="1">
        <v>46171</v>
      </c>
      <c r="B103" s="7">
        <v>235.44</v>
      </c>
      <c r="C103" s="7">
        <v>288</v>
      </c>
      <c r="D103" s="12">
        <v>-5.5200527929770502E-4</v>
      </c>
      <c r="E103" s="12">
        <v>-5.4020492889947699E-3</v>
      </c>
      <c r="F103" s="7">
        <v>0</v>
      </c>
      <c r="G103" s="7">
        <v>0.15132499999999999</v>
      </c>
      <c r="H103" s="7">
        <v>0</v>
      </c>
      <c r="I103" s="7">
        <v>0.11178100000000001</v>
      </c>
      <c r="J103" s="7">
        <v>0</v>
      </c>
      <c r="K103" s="7">
        <v>0</v>
      </c>
      <c r="L103" s="7">
        <v>235.44</v>
      </c>
      <c r="M103" s="7">
        <v>288</v>
      </c>
      <c r="N103" s="10">
        <v>1.2232415902140601</v>
      </c>
      <c r="O103" s="10">
        <v>1.1658179450689301</v>
      </c>
      <c r="P103" s="10">
        <v>1.20418086171394</v>
      </c>
      <c r="Q103" s="10">
        <v>1.19772103390305</v>
      </c>
      <c r="R103" s="7">
        <v>274.48017698703001</v>
      </c>
      <c r="S103" s="7">
        <v>283.17471577880298</v>
      </c>
      <c r="T103" s="7">
        <v>281.549145566204</v>
      </c>
      <c r="U103" s="12">
        <v>-4.8081436777484401E-2</v>
      </c>
      <c r="V103" s="12">
        <v>-1.6896402744194301E-2</v>
      </c>
      <c r="W103" s="12">
        <v>-2.2653463189684399E-2</v>
      </c>
      <c r="X103" s="10">
        <v>1.2232415902140601</v>
      </c>
      <c r="Y103" s="10">
        <v>1.16578176214971</v>
      </c>
      <c r="Z103" s="10">
        <v>1.20418086171394</v>
      </c>
      <c r="AA103" s="10">
        <v>1.19772103390305</v>
      </c>
      <c r="AB103" s="7">
        <v>274.47165808052898</v>
      </c>
      <c r="AC103" s="7">
        <v>283.17471577880298</v>
      </c>
      <c r="AD103" s="7">
        <v>281.549145566204</v>
      </c>
      <c r="AE103" s="12">
        <v>-4.8112473768190098E-2</v>
      </c>
      <c r="AF103" s="12">
        <v>-1.6896402744194301E-2</v>
      </c>
      <c r="AG103" s="12">
        <v>-2.2653463189684399E-2</v>
      </c>
      <c r="AZ103" s="5"/>
      <c r="BB103">
        <f t="shared" si="26"/>
        <v>0</v>
      </c>
      <c r="BC103">
        <f t="shared" si="27"/>
        <v>0</v>
      </c>
      <c r="BD103">
        <f t="shared" si="28"/>
        <v>1</v>
      </c>
      <c r="BE103">
        <f t="shared" si="24"/>
        <v>1</v>
      </c>
      <c r="BF103">
        <f t="shared" si="29"/>
        <v>1</v>
      </c>
      <c r="BG103" s="5">
        <f t="shared" si="30"/>
        <v>-5.5200527929770502E-4</v>
      </c>
      <c r="BH103" s="5">
        <f t="shared" si="31"/>
        <v>5.4020492889947699E-3</v>
      </c>
      <c r="BI103" s="5">
        <f t="shared" si="32"/>
        <v>4.8500440096970647E-3</v>
      </c>
      <c r="BJ103" s="19">
        <f t="shared" si="33"/>
        <v>2.6079259986104837E-2</v>
      </c>
      <c r="BL103" s="5"/>
      <c r="BN103">
        <f t="shared" si="34"/>
        <v>0</v>
      </c>
      <c r="BO103">
        <f t="shared" si="35"/>
        <v>1</v>
      </c>
      <c r="BP103">
        <f t="shared" si="36"/>
        <v>0</v>
      </c>
      <c r="BQ103">
        <f t="shared" si="25"/>
        <v>1</v>
      </c>
      <c r="BR103">
        <f t="shared" si="37"/>
        <v>0</v>
      </c>
      <c r="BS103" s="5">
        <f t="shared" si="38"/>
        <v>0</v>
      </c>
      <c r="BT103" s="5">
        <f t="shared" si="39"/>
        <v>0</v>
      </c>
      <c r="BU103" s="5">
        <f t="shared" si="40"/>
        <v>0</v>
      </c>
      <c r="BV103" s="19">
        <f t="shared" si="41"/>
        <v>2.605399151548099E-2</v>
      </c>
      <c r="BX103" s="19">
        <f t="shared" si="42"/>
        <v>4.8500440096970647E-3</v>
      </c>
      <c r="BY103" s="19">
        <f t="shared" si="43"/>
        <v>5.2133251501585827E-2</v>
      </c>
    </row>
    <row r="104" spans="1:77" x14ac:dyDescent="0.25">
      <c r="A104" s="1">
        <v>46174</v>
      </c>
      <c r="B104" s="7">
        <v>229.91</v>
      </c>
      <c r="C104" s="7">
        <v>280</v>
      </c>
      <c r="D104" s="12">
        <v>-2.37681759293723E-2</v>
      </c>
      <c r="E104" s="12">
        <v>-2.81708769666963E-2</v>
      </c>
      <c r="F104" s="7">
        <v>0</v>
      </c>
      <c r="G104" s="7">
        <v>0.15132499999999999</v>
      </c>
      <c r="H104" s="7">
        <v>0</v>
      </c>
      <c r="I104" s="7">
        <v>0.11178100000000001</v>
      </c>
      <c r="J104" s="7">
        <v>0</v>
      </c>
      <c r="K104" s="7">
        <v>0</v>
      </c>
      <c r="L104" s="7">
        <v>229.91</v>
      </c>
      <c r="M104" s="7">
        <v>280</v>
      </c>
      <c r="N104" s="10">
        <v>1.2178678613370399</v>
      </c>
      <c r="O104" s="10">
        <v>1.1658179450689301</v>
      </c>
      <c r="P104" s="10">
        <v>1.20596028373847</v>
      </c>
      <c r="Q104" s="10">
        <v>1.19932742461174</v>
      </c>
      <c r="R104" s="7">
        <v>268.03320375079898</v>
      </c>
      <c r="S104" s="7">
        <v>276.85322191665301</v>
      </c>
      <c r="T104" s="7">
        <v>275.36804290465</v>
      </c>
      <c r="U104" s="12">
        <v>-4.3678735740160402E-2</v>
      </c>
      <c r="V104" s="12">
        <v>-1.13021221978885E-2</v>
      </c>
      <c r="W104" s="12">
        <v>-1.6681062443413101E-2</v>
      </c>
      <c r="X104" s="10">
        <v>1.2178678613370399</v>
      </c>
      <c r="Y104" s="10">
        <v>1.16578176214971</v>
      </c>
      <c r="Z104" s="10">
        <v>1.20596028373847</v>
      </c>
      <c r="AA104" s="10">
        <v>1.19932742461174</v>
      </c>
      <c r="AB104" s="7">
        <v>268.02488493584099</v>
      </c>
      <c r="AC104" s="7">
        <v>276.85322191665301</v>
      </c>
      <c r="AD104" s="7">
        <v>275.36804290465</v>
      </c>
      <c r="AE104" s="12">
        <v>-4.3709772730866098E-2</v>
      </c>
      <c r="AF104" s="12">
        <v>-1.13021221978885E-2</v>
      </c>
      <c r="AG104" s="12">
        <v>-1.6681062443413101E-2</v>
      </c>
      <c r="AZ104" s="5"/>
      <c r="BB104">
        <f t="shared" si="26"/>
        <v>0</v>
      </c>
      <c r="BC104">
        <f t="shared" si="27"/>
        <v>0</v>
      </c>
      <c r="BD104">
        <f t="shared" si="28"/>
        <v>1</v>
      </c>
      <c r="BE104">
        <f t="shared" si="24"/>
        <v>1</v>
      </c>
      <c r="BF104">
        <f t="shared" si="29"/>
        <v>1</v>
      </c>
      <c r="BG104" s="5">
        <f t="shared" si="30"/>
        <v>-2.37681759293723E-2</v>
      </c>
      <c r="BH104" s="5">
        <f t="shared" si="31"/>
        <v>2.81708769666963E-2</v>
      </c>
      <c r="BI104" s="5">
        <f t="shared" si="32"/>
        <v>4.402701037324E-3</v>
      </c>
      <c r="BJ104" s="19">
        <f t="shared" si="33"/>
        <v>3.0481961023428837E-2</v>
      </c>
      <c r="BL104" s="5"/>
      <c r="BN104">
        <f t="shared" si="34"/>
        <v>0</v>
      </c>
      <c r="BO104">
        <f t="shared" si="35"/>
        <v>1</v>
      </c>
      <c r="BP104">
        <f t="shared" si="36"/>
        <v>0</v>
      </c>
      <c r="BQ104">
        <f t="shared" si="25"/>
        <v>1</v>
      </c>
      <c r="BR104">
        <f t="shared" si="37"/>
        <v>0</v>
      </c>
      <c r="BS104" s="5">
        <f t="shared" si="38"/>
        <v>0</v>
      </c>
      <c r="BT104" s="5">
        <f t="shared" si="39"/>
        <v>0</v>
      </c>
      <c r="BU104" s="5">
        <f t="shared" si="40"/>
        <v>0</v>
      </c>
      <c r="BV104" s="19">
        <f t="shared" si="41"/>
        <v>2.605399151548099E-2</v>
      </c>
      <c r="BX104" s="19">
        <f t="shared" si="42"/>
        <v>4.402701037324E-3</v>
      </c>
      <c r="BY104" s="19">
        <f t="shared" si="43"/>
        <v>5.6535952538909827E-2</v>
      </c>
    </row>
    <row r="105" spans="1:77" x14ac:dyDescent="0.25">
      <c r="A105" s="1">
        <v>46175</v>
      </c>
      <c r="B105" s="7">
        <v>228.33</v>
      </c>
      <c r="C105" s="7">
        <v>279.27999999999997</v>
      </c>
      <c r="D105" s="12">
        <v>-6.8959770484351103E-3</v>
      </c>
      <c r="E105" s="12">
        <v>-2.5747403724691101E-3</v>
      </c>
      <c r="F105" s="7">
        <v>0</v>
      </c>
      <c r="G105" s="7">
        <v>0.15132499999999999</v>
      </c>
      <c r="H105" s="7">
        <v>0</v>
      </c>
      <c r="I105" s="7">
        <v>0.11178100000000001</v>
      </c>
      <c r="J105" s="7">
        <v>0</v>
      </c>
      <c r="K105" s="7">
        <v>0</v>
      </c>
      <c r="L105" s="7">
        <v>228.33</v>
      </c>
      <c r="M105" s="7">
        <v>279.27999999999997</v>
      </c>
      <c r="N105" s="10">
        <v>1.223141943678</v>
      </c>
      <c r="O105" s="10">
        <v>1.1658179450689301</v>
      </c>
      <c r="P105" s="10">
        <v>1.2087585175196101</v>
      </c>
      <c r="Q105" s="10">
        <v>1.2010551372017899</v>
      </c>
      <c r="R105" s="7">
        <v>266.19121139759</v>
      </c>
      <c r="S105" s="7">
        <v>275.35691158600599</v>
      </c>
      <c r="T105" s="7">
        <v>273.84243086159802</v>
      </c>
      <c r="U105" s="12">
        <v>-4.7999972416126198E-2</v>
      </c>
      <c r="V105" s="12">
        <v>-1.41467463101397E-2</v>
      </c>
      <c r="W105" s="12">
        <v>-1.96619916729758E-2</v>
      </c>
      <c r="X105" s="10">
        <v>1.223141943678</v>
      </c>
      <c r="Y105" s="10">
        <v>1.16578176214971</v>
      </c>
      <c r="Z105" s="10">
        <v>1.2087585175196101</v>
      </c>
      <c r="AA105" s="10">
        <v>1.2010551372017899</v>
      </c>
      <c r="AB105" s="7">
        <v>266.18294975164503</v>
      </c>
      <c r="AC105" s="7">
        <v>275.35691158600599</v>
      </c>
      <c r="AD105" s="7">
        <v>273.84243086159802</v>
      </c>
      <c r="AE105" s="12">
        <v>-4.8031009406832102E-2</v>
      </c>
      <c r="AF105" s="12">
        <v>-1.41467463101397E-2</v>
      </c>
      <c r="AG105" s="12">
        <v>-1.96619916729758E-2</v>
      </c>
      <c r="AZ105" s="5"/>
      <c r="BB105">
        <f t="shared" si="26"/>
        <v>0</v>
      </c>
      <c r="BC105">
        <f t="shared" si="27"/>
        <v>0</v>
      </c>
      <c r="BD105">
        <f t="shared" si="28"/>
        <v>1</v>
      </c>
      <c r="BE105">
        <f t="shared" si="24"/>
        <v>1</v>
      </c>
      <c r="BF105">
        <f t="shared" si="29"/>
        <v>1</v>
      </c>
      <c r="BG105" s="5">
        <f t="shared" si="30"/>
        <v>-6.8959770484351103E-3</v>
      </c>
      <c r="BH105" s="5">
        <f t="shared" si="31"/>
        <v>2.5747403724691101E-3</v>
      </c>
      <c r="BI105" s="5">
        <f t="shared" si="32"/>
        <v>-4.3212366759660002E-3</v>
      </c>
      <c r="BJ105" s="19">
        <f t="shared" si="33"/>
        <v>2.6160724347462836E-2</v>
      </c>
      <c r="BL105" s="5"/>
      <c r="BN105">
        <f t="shared" si="34"/>
        <v>0</v>
      </c>
      <c r="BO105">
        <f t="shared" si="35"/>
        <v>1</v>
      </c>
      <c r="BP105">
        <f t="shared" si="36"/>
        <v>0</v>
      </c>
      <c r="BQ105">
        <f t="shared" si="25"/>
        <v>1</v>
      </c>
      <c r="BR105">
        <f t="shared" si="37"/>
        <v>0</v>
      </c>
      <c r="BS105" s="5">
        <f t="shared" si="38"/>
        <v>0</v>
      </c>
      <c r="BT105" s="5">
        <f t="shared" si="39"/>
        <v>0</v>
      </c>
      <c r="BU105" s="5">
        <f t="shared" si="40"/>
        <v>0</v>
      </c>
      <c r="BV105" s="19">
        <f t="shared" si="41"/>
        <v>2.605399151548099E-2</v>
      </c>
      <c r="BX105" s="19">
        <f t="shared" si="42"/>
        <v>-4.3212366759660002E-3</v>
      </c>
      <c r="BY105" s="19">
        <f t="shared" si="43"/>
        <v>5.2214715862943829E-2</v>
      </c>
    </row>
    <row r="106" spans="1:77" x14ac:dyDescent="0.25">
      <c r="A106" s="1">
        <v>46176</v>
      </c>
      <c r="B106" s="7">
        <v>224.89</v>
      </c>
      <c r="C106" s="7">
        <v>273.45999999999998</v>
      </c>
      <c r="D106" s="12">
        <v>-1.5180557177016E-2</v>
      </c>
      <c r="E106" s="12">
        <v>-2.10595039158449E-2</v>
      </c>
      <c r="F106" s="7">
        <v>0</v>
      </c>
      <c r="G106" s="7">
        <v>0.15132499999999999</v>
      </c>
      <c r="H106" s="7">
        <v>0</v>
      </c>
      <c r="I106" s="7">
        <v>0.11178100000000001</v>
      </c>
      <c r="J106" s="7">
        <v>0</v>
      </c>
      <c r="K106" s="7">
        <v>0</v>
      </c>
      <c r="L106" s="7">
        <v>224.89</v>
      </c>
      <c r="M106" s="7">
        <v>273.45999999999998</v>
      </c>
      <c r="N106" s="10">
        <v>1.21597225310151</v>
      </c>
      <c r="O106" s="10">
        <v>1.1658179450689301</v>
      </c>
      <c r="P106" s="10">
        <v>1.21151184396571</v>
      </c>
      <c r="Q106" s="10">
        <v>1.2026022292179599</v>
      </c>
      <c r="R106" s="7">
        <v>262.180797666552</v>
      </c>
      <c r="S106" s="7">
        <v>271.837703004986</v>
      </c>
      <c r="T106" s="7">
        <v>270.10528980531001</v>
      </c>
      <c r="U106" s="12">
        <v>-4.2121025677297398E-2</v>
      </c>
      <c r="V106" s="12">
        <v>-5.9501507980939897E-3</v>
      </c>
      <c r="W106" s="12">
        <v>-1.2343513656183301E-2</v>
      </c>
      <c r="X106" s="10">
        <v>1.21597225310151</v>
      </c>
      <c r="Y106" s="10">
        <v>1.16578176214971</v>
      </c>
      <c r="Z106" s="10">
        <v>1.21151184396571</v>
      </c>
      <c r="AA106" s="10">
        <v>1.2026022292179599</v>
      </c>
      <c r="AB106" s="7">
        <v>262.17266048984902</v>
      </c>
      <c r="AC106" s="7">
        <v>271.837703004986</v>
      </c>
      <c r="AD106" s="7">
        <v>270.10528980531001</v>
      </c>
      <c r="AE106" s="12">
        <v>-4.2152062668003198E-2</v>
      </c>
      <c r="AF106" s="12">
        <v>-5.9501507980939897E-3</v>
      </c>
      <c r="AG106" s="12">
        <v>-1.23435136561831E-2</v>
      </c>
      <c r="AZ106" s="5"/>
      <c r="BB106">
        <f t="shared" si="26"/>
        <v>0</v>
      </c>
      <c r="BC106">
        <f t="shared" si="27"/>
        <v>0</v>
      </c>
      <c r="BD106">
        <f t="shared" si="28"/>
        <v>1</v>
      </c>
      <c r="BE106">
        <f t="shared" si="24"/>
        <v>1</v>
      </c>
      <c r="BF106">
        <f t="shared" si="29"/>
        <v>1</v>
      </c>
      <c r="BG106" s="5">
        <f t="shared" si="30"/>
        <v>-1.5180557177016E-2</v>
      </c>
      <c r="BH106" s="5">
        <f t="shared" si="31"/>
        <v>2.10595039158449E-2</v>
      </c>
      <c r="BI106" s="5">
        <f t="shared" si="32"/>
        <v>5.8789467388289003E-3</v>
      </c>
      <c r="BJ106" s="19">
        <f t="shared" si="33"/>
        <v>3.2039671086291736E-2</v>
      </c>
      <c r="BL106" s="5"/>
      <c r="BN106">
        <f t="shared" si="34"/>
        <v>0</v>
      </c>
      <c r="BO106">
        <f t="shared" si="35"/>
        <v>1</v>
      </c>
      <c r="BP106">
        <f t="shared" si="36"/>
        <v>0</v>
      </c>
      <c r="BQ106">
        <f t="shared" si="25"/>
        <v>1</v>
      </c>
      <c r="BR106">
        <f t="shared" si="37"/>
        <v>0</v>
      </c>
      <c r="BS106" s="5">
        <f t="shared" si="38"/>
        <v>0</v>
      </c>
      <c r="BT106" s="5">
        <f t="shared" si="39"/>
        <v>0</v>
      </c>
      <c r="BU106" s="5">
        <f t="shared" si="40"/>
        <v>0</v>
      </c>
      <c r="BV106" s="19">
        <f t="shared" si="41"/>
        <v>2.605399151548099E-2</v>
      </c>
      <c r="BX106" s="19">
        <f t="shared" si="42"/>
        <v>5.8789467388289003E-3</v>
      </c>
      <c r="BY106" s="19">
        <f t="shared" si="43"/>
        <v>5.8093662601772733E-2</v>
      </c>
    </row>
    <row r="107" spans="1:77" x14ac:dyDescent="0.25">
      <c r="A107" s="1">
        <v>46177</v>
      </c>
      <c r="B107" s="7">
        <v>231.57</v>
      </c>
      <c r="C107" s="7">
        <v>280.42</v>
      </c>
      <c r="D107" s="12">
        <v>2.9270809859478102E-2</v>
      </c>
      <c r="E107" s="12">
        <v>2.5133120412050101E-2</v>
      </c>
      <c r="F107" s="7">
        <v>0</v>
      </c>
      <c r="G107" s="7">
        <v>0.15132499999999999</v>
      </c>
      <c r="H107" s="7">
        <v>0</v>
      </c>
      <c r="I107" s="7">
        <v>0.11178100000000001</v>
      </c>
      <c r="J107" s="7">
        <v>0</v>
      </c>
      <c r="K107" s="7">
        <v>0</v>
      </c>
      <c r="L107" s="7">
        <v>231.57</v>
      </c>
      <c r="M107" s="7">
        <v>280.42</v>
      </c>
      <c r="N107" s="10">
        <v>1.2109513322105601</v>
      </c>
      <c r="O107" s="10">
        <v>1.1658179450689301</v>
      </c>
      <c r="P107" s="10">
        <v>1.2132501158467499</v>
      </c>
      <c r="Q107" s="10">
        <v>1.20333867775491</v>
      </c>
      <c r="R107" s="7">
        <v>269.96846153961297</v>
      </c>
      <c r="S107" s="7">
        <v>280.54979770714101</v>
      </c>
      <c r="T107" s="7">
        <v>278.486598220004</v>
      </c>
      <c r="U107" s="12">
        <v>-3.7983336229869102E-2</v>
      </c>
      <c r="V107" s="12">
        <v>4.6276184560361801E-4</v>
      </c>
      <c r="W107" s="12">
        <v>-6.9185423761371299E-3</v>
      </c>
      <c r="X107" s="10">
        <v>1.2109513322105601</v>
      </c>
      <c r="Y107" s="10">
        <v>1.16578176214971</v>
      </c>
      <c r="Z107" s="10">
        <v>1.2132501158467499</v>
      </c>
      <c r="AA107" s="10">
        <v>1.20333867775491</v>
      </c>
      <c r="AB107" s="7">
        <v>269.96008266101001</v>
      </c>
      <c r="AC107" s="7">
        <v>280.54979770714101</v>
      </c>
      <c r="AD107" s="7">
        <v>278.486598220004</v>
      </c>
      <c r="AE107" s="12">
        <v>-3.8014373220574903E-2</v>
      </c>
      <c r="AF107" s="12">
        <v>4.6276184560361801E-4</v>
      </c>
      <c r="AG107" s="12">
        <v>-6.9185423761371299E-3</v>
      </c>
      <c r="AZ107" s="5"/>
      <c r="BB107">
        <f t="shared" si="26"/>
        <v>0</v>
      </c>
      <c r="BC107">
        <f t="shared" si="27"/>
        <v>0</v>
      </c>
      <c r="BD107">
        <f t="shared" si="28"/>
        <v>1</v>
      </c>
      <c r="BE107">
        <f t="shared" si="24"/>
        <v>1</v>
      </c>
      <c r="BF107">
        <f t="shared" si="29"/>
        <v>1</v>
      </c>
      <c r="BG107" s="5">
        <f t="shared" si="30"/>
        <v>2.9270809859478102E-2</v>
      </c>
      <c r="BH107" s="5">
        <f t="shared" si="31"/>
        <v>-2.5133120412050101E-2</v>
      </c>
      <c r="BI107" s="5">
        <f t="shared" si="32"/>
        <v>4.1376894474280008E-3</v>
      </c>
      <c r="BJ107" s="19">
        <f t="shared" si="33"/>
        <v>3.6177360533719741E-2</v>
      </c>
      <c r="BL107" s="5"/>
      <c r="BN107">
        <f t="shared" si="34"/>
        <v>0</v>
      </c>
      <c r="BO107">
        <f t="shared" si="35"/>
        <v>1</v>
      </c>
      <c r="BP107">
        <f t="shared" si="36"/>
        <v>0</v>
      </c>
      <c r="BQ107">
        <f t="shared" si="25"/>
        <v>1</v>
      </c>
      <c r="BR107">
        <f t="shared" si="37"/>
        <v>0</v>
      </c>
      <c r="BS107" s="5">
        <f t="shared" si="38"/>
        <v>0</v>
      </c>
      <c r="BT107" s="5">
        <f t="shared" si="39"/>
        <v>0</v>
      </c>
      <c r="BU107" s="5">
        <f t="shared" si="40"/>
        <v>0</v>
      </c>
      <c r="BV107" s="19">
        <f t="shared" si="41"/>
        <v>2.605399151548099E-2</v>
      </c>
      <c r="BX107" s="19">
        <f t="shared" si="42"/>
        <v>4.1376894474280008E-3</v>
      </c>
      <c r="BY107" s="19">
        <f t="shared" si="43"/>
        <v>6.223135204920073E-2</v>
      </c>
    </row>
    <row r="108" spans="1:77" x14ac:dyDescent="0.25">
      <c r="A108" s="1">
        <v>46178</v>
      </c>
      <c r="B108" s="7">
        <v>229.45</v>
      </c>
      <c r="C108" s="7">
        <v>272.57</v>
      </c>
      <c r="D108" s="12">
        <v>-9.1970627890297207E-3</v>
      </c>
      <c r="E108" s="12">
        <v>-2.8393017443948301E-2</v>
      </c>
      <c r="F108" s="7">
        <v>0</v>
      </c>
      <c r="G108" s="7">
        <v>0.15132499999999999</v>
      </c>
      <c r="H108" s="7">
        <v>0</v>
      </c>
      <c r="I108" s="7">
        <v>0.11178100000000001</v>
      </c>
      <c r="J108" s="7">
        <v>0</v>
      </c>
      <c r="K108" s="7">
        <v>0</v>
      </c>
      <c r="L108" s="7">
        <v>229.45</v>
      </c>
      <c r="M108" s="7">
        <v>272.57</v>
      </c>
      <c r="N108" s="10">
        <v>1.1879276530834599</v>
      </c>
      <c r="O108" s="10">
        <v>1.1658179450689301</v>
      </c>
      <c r="P108" s="10">
        <v>1.21267474313134</v>
      </c>
      <c r="Q108" s="10">
        <v>1.20369052308491</v>
      </c>
      <c r="R108" s="7">
        <v>267.49692749606697</v>
      </c>
      <c r="S108" s="7">
        <v>278.38023908103702</v>
      </c>
      <c r="T108" s="7">
        <v>276.10605961086401</v>
      </c>
      <c r="U108" s="12">
        <v>-1.8787381574950499E-2</v>
      </c>
      <c r="V108" s="12">
        <v>2.10924837796393E-2</v>
      </c>
      <c r="W108" s="12">
        <v>1.28896040061933E-2</v>
      </c>
      <c r="X108" s="10">
        <v>1.1879276530834599</v>
      </c>
      <c r="Y108" s="10">
        <v>1.16578176214971</v>
      </c>
      <c r="Z108" s="10">
        <v>1.21267474313134</v>
      </c>
      <c r="AA108" s="10">
        <v>1.20369052308491</v>
      </c>
      <c r="AB108" s="7">
        <v>267.48862532525197</v>
      </c>
      <c r="AC108" s="7">
        <v>278.38023908103702</v>
      </c>
      <c r="AD108" s="7">
        <v>276.10605961086401</v>
      </c>
      <c r="AE108" s="12">
        <v>-1.88184185656563E-2</v>
      </c>
      <c r="AF108" s="12">
        <v>2.10924837796393E-2</v>
      </c>
      <c r="AG108" s="12">
        <v>1.28896040061933E-2</v>
      </c>
      <c r="AZ108" s="5"/>
      <c r="BB108">
        <f t="shared" si="26"/>
        <v>0</v>
      </c>
      <c r="BC108">
        <f t="shared" si="27"/>
        <v>1</v>
      </c>
      <c r="BD108">
        <f t="shared" si="28"/>
        <v>1</v>
      </c>
      <c r="BE108">
        <f t="shared" si="24"/>
        <v>1</v>
      </c>
      <c r="BF108">
        <f t="shared" si="29"/>
        <v>1</v>
      </c>
      <c r="BG108" s="5">
        <f t="shared" si="30"/>
        <v>-9.1970627890297207E-3</v>
      </c>
      <c r="BH108" s="5">
        <f t="shared" si="31"/>
        <v>2.8393017443948301E-2</v>
      </c>
      <c r="BI108" s="5">
        <f t="shared" si="32"/>
        <v>1.9195954654918579E-2</v>
      </c>
      <c r="BJ108" s="19">
        <f t="shared" si="33"/>
        <v>5.537331518863832E-2</v>
      </c>
      <c r="BL108" s="5"/>
      <c r="BN108">
        <f t="shared" si="34"/>
        <v>0</v>
      </c>
      <c r="BO108">
        <f t="shared" si="35"/>
        <v>1</v>
      </c>
      <c r="BP108">
        <f t="shared" si="36"/>
        <v>0</v>
      </c>
      <c r="BQ108">
        <f t="shared" si="25"/>
        <v>1</v>
      </c>
      <c r="BR108">
        <f t="shared" si="37"/>
        <v>0</v>
      </c>
      <c r="BS108" s="5">
        <f t="shared" si="38"/>
        <v>0</v>
      </c>
      <c r="BT108" s="5">
        <f t="shared" si="39"/>
        <v>0</v>
      </c>
      <c r="BU108" s="5">
        <f t="shared" si="40"/>
        <v>0</v>
      </c>
      <c r="BV108" s="19">
        <f t="shared" si="41"/>
        <v>2.605399151548099E-2</v>
      </c>
      <c r="BX108" s="19">
        <f t="shared" si="42"/>
        <v>1.9195954654918579E-2</v>
      </c>
      <c r="BY108" s="19">
        <f t="shared" si="43"/>
        <v>8.1427306704119309E-2</v>
      </c>
    </row>
    <row r="109" spans="1:77" x14ac:dyDescent="0.25">
      <c r="A109" s="1">
        <v>46181</v>
      </c>
      <c r="B109" s="7">
        <v>227.26</v>
      </c>
      <c r="C109" s="7">
        <v>271.11</v>
      </c>
      <c r="D109" s="12">
        <v>-9.5904043509794593E-3</v>
      </c>
      <c r="E109" s="12">
        <v>-5.3708192670629601E-3</v>
      </c>
      <c r="F109" s="7">
        <v>0</v>
      </c>
      <c r="G109" s="7">
        <v>0.15132499999999999</v>
      </c>
      <c r="H109" s="7">
        <v>0</v>
      </c>
      <c r="I109" s="7">
        <v>0.11178100000000001</v>
      </c>
      <c r="J109" s="7">
        <v>0</v>
      </c>
      <c r="K109" s="7">
        <v>0</v>
      </c>
      <c r="L109" s="7">
        <v>227.26</v>
      </c>
      <c r="M109" s="7">
        <v>271.11</v>
      </c>
      <c r="N109" s="10">
        <v>1.1929508052450899</v>
      </c>
      <c r="O109" s="10">
        <v>1.1658179450689301</v>
      </c>
      <c r="P109" s="10">
        <v>1.2116432495776699</v>
      </c>
      <c r="Q109" s="10">
        <v>1.2039618049016001</v>
      </c>
      <c r="R109" s="7">
        <v>264.94378619636598</v>
      </c>
      <c r="S109" s="7">
        <v>275.592462124029</v>
      </c>
      <c r="T109" s="7">
        <v>273.55070827627799</v>
      </c>
      <c r="U109" s="12">
        <v>-2.3006966658866802E-2</v>
      </c>
      <c r="V109" s="12">
        <v>1.63985453998538E-2</v>
      </c>
      <c r="W109" s="12">
        <v>8.9623671267696093E-3</v>
      </c>
      <c r="X109" s="10">
        <v>1.1929508052450899</v>
      </c>
      <c r="Y109" s="10">
        <v>1.16578176214971</v>
      </c>
      <c r="Z109" s="10">
        <v>1.2116432495776699</v>
      </c>
      <c r="AA109" s="10">
        <v>1.2039618049016001</v>
      </c>
      <c r="AB109" s="7">
        <v>264.93556326614402</v>
      </c>
      <c r="AC109" s="7">
        <v>275.592462124029</v>
      </c>
      <c r="AD109" s="7">
        <v>273.55070827627799</v>
      </c>
      <c r="AE109" s="12">
        <v>-2.3038003649572598E-2</v>
      </c>
      <c r="AF109" s="12">
        <v>1.63985453998538E-2</v>
      </c>
      <c r="AG109" s="12">
        <v>8.9623671267696093E-3</v>
      </c>
      <c r="AZ109" s="5"/>
      <c r="BB109">
        <f t="shared" si="26"/>
        <v>0</v>
      </c>
      <c r="BC109">
        <f t="shared" si="27"/>
        <v>1</v>
      </c>
      <c r="BD109">
        <f t="shared" si="28"/>
        <v>0</v>
      </c>
      <c r="BE109">
        <f t="shared" si="24"/>
        <v>1</v>
      </c>
      <c r="BF109">
        <f t="shared" si="29"/>
        <v>0</v>
      </c>
      <c r="BG109" s="5">
        <f t="shared" si="30"/>
        <v>0</v>
      </c>
      <c r="BH109" s="5">
        <f t="shared" si="31"/>
        <v>0</v>
      </c>
      <c r="BI109" s="5">
        <f t="shared" si="32"/>
        <v>0</v>
      </c>
      <c r="BJ109" s="19">
        <f t="shared" si="33"/>
        <v>5.537331518863832E-2</v>
      </c>
      <c r="BL109" s="5"/>
      <c r="BN109">
        <f t="shared" si="34"/>
        <v>0</v>
      </c>
      <c r="BO109">
        <f t="shared" si="35"/>
        <v>1</v>
      </c>
      <c r="BP109">
        <f t="shared" si="36"/>
        <v>0</v>
      </c>
      <c r="BQ109">
        <f t="shared" si="25"/>
        <v>1</v>
      </c>
      <c r="BR109">
        <f t="shared" si="37"/>
        <v>0</v>
      </c>
      <c r="BS109" s="5">
        <f t="shared" si="38"/>
        <v>0</v>
      </c>
      <c r="BT109" s="5">
        <f t="shared" si="39"/>
        <v>0</v>
      </c>
      <c r="BU109" s="5">
        <f t="shared" si="40"/>
        <v>0</v>
      </c>
      <c r="BV109" s="19">
        <f t="shared" si="41"/>
        <v>2.605399151548099E-2</v>
      </c>
      <c r="BX109" s="19">
        <f t="shared" si="42"/>
        <v>0</v>
      </c>
      <c r="BY109" s="19">
        <f t="shared" si="43"/>
        <v>8.1427306704119309E-2</v>
      </c>
    </row>
    <row r="110" spans="1:77" x14ac:dyDescent="0.25">
      <c r="A110" s="1">
        <v>46182</v>
      </c>
      <c r="B110" s="7">
        <v>230.45</v>
      </c>
      <c r="C110" s="7">
        <v>273.38</v>
      </c>
      <c r="D110" s="12">
        <v>1.39391826766543E-2</v>
      </c>
      <c r="E110" s="12">
        <v>8.3381261425326293E-3</v>
      </c>
      <c r="F110" s="7">
        <v>0</v>
      </c>
      <c r="G110" s="7">
        <v>0.15132499999999999</v>
      </c>
      <c r="H110" s="7">
        <v>0</v>
      </c>
      <c r="I110" s="7">
        <v>0.11178100000000001</v>
      </c>
      <c r="J110" s="7">
        <v>0</v>
      </c>
      <c r="K110" s="7">
        <v>0</v>
      </c>
      <c r="L110" s="7">
        <v>230.45</v>
      </c>
      <c r="M110" s="7">
        <v>273.38</v>
      </c>
      <c r="N110" s="10">
        <v>1.1862876979821999</v>
      </c>
      <c r="O110" s="10">
        <v>1.1658179450689301</v>
      </c>
      <c r="P110" s="10">
        <v>1.20976132174201</v>
      </c>
      <c r="Q110" s="10">
        <v>1.2036717825260499</v>
      </c>
      <c r="R110" s="7">
        <v>268.662745441136</v>
      </c>
      <c r="S110" s="7">
        <v>279.223186865174</v>
      </c>
      <c r="T110" s="7">
        <v>277.452997939574</v>
      </c>
      <c r="U110" s="12">
        <v>-1.7405910124745301E-2</v>
      </c>
      <c r="V110" s="12">
        <v>2.1148646226828299E-2</v>
      </c>
      <c r="W110" s="12">
        <v>1.4788773321788001E-2</v>
      </c>
      <c r="X110" s="10">
        <v>1.1862876979821999</v>
      </c>
      <c r="Y110" s="10">
        <v>1.16578176214971</v>
      </c>
      <c r="Z110" s="10">
        <v>1.20976132174201</v>
      </c>
      <c r="AA110" s="10">
        <v>1.2036717825260499</v>
      </c>
      <c r="AB110" s="7">
        <v>268.65440708740198</v>
      </c>
      <c r="AC110" s="7">
        <v>279.223186865174</v>
      </c>
      <c r="AD110" s="7">
        <v>277.452997939574</v>
      </c>
      <c r="AE110" s="12">
        <v>-1.7436947115451299E-2</v>
      </c>
      <c r="AF110" s="12">
        <v>2.1148646226828299E-2</v>
      </c>
      <c r="AG110" s="12">
        <v>1.4788773321788001E-2</v>
      </c>
      <c r="AZ110" s="5"/>
      <c r="BB110">
        <f t="shared" si="26"/>
        <v>0</v>
      </c>
      <c r="BC110">
        <f t="shared" si="27"/>
        <v>1</v>
      </c>
      <c r="BD110">
        <f t="shared" si="28"/>
        <v>0</v>
      </c>
      <c r="BE110">
        <f t="shared" si="24"/>
        <v>1</v>
      </c>
      <c r="BF110">
        <f t="shared" si="29"/>
        <v>0</v>
      </c>
      <c r="BG110" s="5">
        <f t="shared" si="30"/>
        <v>0</v>
      </c>
      <c r="BH110" s="5">
        <f t="shared" si="31"/>
        <v>0</v>
      </c>
      <c r="BI110" s="5">
        <f t="shared" si="32"/>
        <v>0</v>
      </c>
      <c r="BJ110" s="19">
        <f t="shared" si="33"/>
        <v>5.537331518863832E-2</v>
      </c>
      <c r="BL110" s="5"/>
      <c r="BN110">
        <f t="shared" si="34"/>
        <v>0</v>
      </c>
      <c r="BO110">
        <f t="shared" si="35"/>
        <v>1</v>
      </c>
      <c r="BP110">
        <f t="shared" si="36"/>
        <v>0</v>
      </c>
      <c r="BQ110">
        <f t="shared" si="25"/>
        <v>1</v>
      </c>
      <c r="BR110">
        <f t="shared" si="37"/>
        <v>0</v>
      </c>
      <c r="BS110" s="5">
        <f t="shared" si="38"/>
        <v>0</v>
      </c>
      <c r="BT110" s="5">
        <f t="shared" si="39"/>
        <v>0</v>
      </c>
      <c r="BU110" s="5">
        <f t="shared" si="40"/>
        <v>0</v>
      </c>
      <c r="BV110" s="19">
        <f t="shared" si="41"/>
        <v>2.605399151548099E-2</v>
      </c>
      <c r="BX110" s="19">
        <f t="shared" si="42"/>
        <v>0</v>
      </c>
      <c r="BY110" s="19">
        <f t="shared" si="43"/>
        <v>8.1427306704119309E-2</v>
      </c>
    </row>
    <row r="111" spans="1:77" x14ac:dyDescent="0.25">
      <c r="A111" s="1">
        <v>46183</v>
      </c>
      <c r="B111" s="7">
        <v>224.87</v>
      </c>
      <c r="C111" s="7">
        <v>266.73</v>
      </c>
      <c r="D111" s="12">
        <v>-2.4511461717775601E-2</v>
      </c>
      <c r="E111" s="12">
        <v>-2.4625857923349499E-2</v>
      </c>
      <c r="F111" s="7">
        <v>0</v>
      </c>
      <c r="G111" s="7">
        <v>0.15132499999999999</v>
      </c>
      <c r="H111" s="7">
        <v>0</v>
      </c>
      <c r="I111" s="7">
        <v>0.11178100000000001</v>
      </c>
      <c r="J111" s="7">
        <v>0</v>
      </c>
      <c r="K111" s="7">
        <v>0</v>
      </c>
      <c r="L111" s="7">
        <v>224.87</v>
      </c>
      <c r="M111" s="7">
        <v>266.73</v>
      </c>
      <c r="N111" s="10">
        <v>1.1861519989327101</v>
      </c>
      <c r="O111" s="10">
        <v>1.1658179450689301</v>
      </c>
      <c r="P111" s="10">
        <v>1.20736819119446</v>
      </c>
      <c r="Q111" s="10">
        <v>1.2034337060895299</v>
      </c>
      <c r="R111" s="7">
        <v>262.15748130765098</v>
      </c>
      <c r="S111" s="7">
        <v>272.03902842012502</v>
      </c>
      <c r="T111" s="7">
        <v>270.66967373663402</v>
      </c>
      <c r="U111" s="12">
        <v>-1.7291513919171501E-2</v>
      </c>
      <c r="V111" s="12">
        <v>1.9708632040286399E-2</v>
      </c>
      <c r="W111" s="12">
        <v>1.46622504951097E-2</v>
      </c>
      <c r="X111" s="10">
        <v>1.1861519989327101</v>
      </c>
      <c r="Y111" s="10">
        <v>1.16578176214971</v>
      </c>
      <c r="Z111" s="10">
        <v>1.20736819119446</v>
      </c>
      <c r="AA111" s="10">
        <v>1.2034337060895299</v>
      </c>
      <c r="AB111" s="7">
        <v>262.149344854606</v>
      </c>
      <c r="AC111" s="7">
        <v>272.03902842012502</v>
      </c>
      <c r="AD111" s="7">
        <v>270.66967373663402</v>
      </c>
      <c r="AE111" s="12">
        <v>-1.7322550909877402E-2</v>
      </c>
      <c r="AF111" s="12">
        <v>1.9708632040286399E-2</v>
      </c>
      <c r="AG111" s="12">
        <v>1.46622504951097E-2</v>
      </c>
      <c r="AZ111" s="5"/>
      <c r="BB111">
        <f t="shared" si="26"/>
        <v>0</v>
      </c>
      <c r="BC111">
        <f t="shared" si="27"/>
        <v>1</v>
      </c>
      <c r="BD111">
        <f t="shared" si="28"/>
        <v>0</v>
      </c>
      <c r="BE111">
        <f t="shared" si="24"/>
        <v>1</v>
      </c>
      <c r="BF111">
        <f t="shared" si="29"/>
        <v>0</v>
      </c>
      <c r="BG111" s="5">
        <f t="shared" si="30"/>
        <v>0</v>
      </c>
      <c r="BH111" s="5">
        <f t="shared" si="31"/>
        <v>0</v>
      </c>
      <c r="BI111" s="5">
        <f t="shared" si="32"/>
        <v>0</v>
      </c>
      <c r="BJ111" s="19">
        <f t="shared" si="33"/>
        <v>5.537331518863832E-2</v>
      </c>
      <c r="BL111" s="5"/>
      <c r="BN111">
        <f t="shared" si="34"/>
        <v>0</v>
      </c>
      <c r="BO111">
        <f t="shared" si="35"/>
        <v>1</v>
      </c>
      <c r="BP111">
        <f t="shared" si="36"/>
        <v>0</v>
      </c>
      <c r="BQ111">
        <f t="shared" si="25"/>
        <v>1</v>
      </c>
      <c r="BR111">
        <f t="shared" si="37"/>
        <v>0</v>
      </c>
      <c r="BS111" s="5">
        <f t="shared" si="38"/>
        <v>0</v>
      </c>
      <c r="BT111" s="5">
        <f t="shared" si="39"/>
        <v>0</v>
      </c>
      <c r="BU111" s="5">
        <f t="shared" si="40"/>
        <v>0</v>
      </c>
      <c r="BV111" s="19">
        <f t="shared" si="41"/>
        <v>2.605399151548099E-2</v>
      </c>
      <c r="BX111" s="19">
        <f t="shared" si="42"/>
        <v>0</v>
      </c>
      <c r="BY111" s="19">
        <f t="shared" si="43"/>
        <v>8.1427306704119309E-2</v>
      </c>
    </row>
    <row r="112" spans="1:77" x14ac:dyDescent="0.25">
      <c r="A112" s="1">
        <v>46184</v>
      </c>
      <c r="B112" s="7">
        <v>236.04</v>
      </c>
      <c r="C112" s="7">
        <v>284.39</v>
      </c>
      <c r="D112" s="12">
        <v>4.8478824740226301E-2</v>
      </c>
      <c r="E112" s="12">
        <v>6.4109624765717299E-2</v>
      </c>
      <c r="F112" s="7">
        <v>0</v>
      </c>
      <c r="G112" s="7">
        <v>0.15132499999999999</v>
      </c>
      <c r="H112" s="7">
        <v>0</v>
      </c>
      <c r="I112" s="7">
        <v>0.11178100000000001</v>
      </c>
      <c r="J112" s="7">
        <v>0</v>
      </c>
      <c r="K112" s="7">
        <v>0</v>
      </c>
      <c r="L112" s="7">
        <v>236.04</v>
      </c>
      <c r="M112" s="7">
        <v>284.39</v>
      </c>
      <c r="N112" s="10">
        <v>1.2048381630232099</v>
      </c>
      <c r="O112" s="10">
        <v>1.1658179450689301</v>
      </c>
      <c r="P112" s="10">
        <v>1.2049331298807799</v>
      </c>
      <c r="Q112" s="10">
        <v>1.2038399844502501</v>
      </c>
      <c r="R112" s="7">
        <v>275.17966775407098</v>
      </c>
      <c r="S112" s="7">
        <v>284.98718784954099</v>
      </c>
      <c r="T112" s="7">
        <v>284.058491985373</v>
      </c>
      <c r="U112" s="12">
        <v>-3.2922313944662399E-2</v>
      </c>
      <c r="V112" s="12">
        <v>2.09768877738228E-3</v>
      </c>
      <c r="W112" s="12">
        <v>-1.1663609170648201E-3</v>
      </c>
      <c r="X112" s="10">
        <v>1.2048381630232099</v>
      </c>
      <c r="Y112" s="10">
        <v>1.16578176214971</v>
      </c>
      <c r="Z112" s="10">
        <v>1.2049331298807799</v>
      </c>
      <c r="AA112" s="10">
        <v>1.2038399844502501</v>
      </c>
      <c r="AB112" s="7">
        <v>275.17112713781898</v>
      </c>
      <c r="AC112" s="7">
        <v>284.98718784954099</v>
      </c>
      <c r="AD112" s="7">
        <v>284.058491985373</v>
      </c>
      <c r="AE112" s="12">
        <v>-3.2953350935368199E-2</v>
      </c>
      <c r="AF112" s="12">
        <v>2.09768877738228E-3</v>
      </c>
      <c r="AG112" s="12">
        <v>-1.1663609170648201E-3</v>
      </c>
      <c r="AZ112" s="5"/>
      <c r="BB112">
        <f t="shared" si="26"/>
        <v>0</v>
      </c>
      <c r="BC112">
        <f t="shared" si="27"/>
        <v>1</v>
      </c>
      <c r="BD112">
        <f t="shared" si="28"/>
        <v>0</v>
      </c>
      <c r="BE112">
        <f t="shared" si="24"/>
        <v>1</v>
      </c>
      <c r="BF112">
        <f t="shared" si="29"/>
        <v>0</v>
      </c>
      <c r="BG112" s="5">
        <f t="shared" si="30"/>
        <v>0</v>
      </c>
      <c r="BH112" s="5">
        <f t="shared" si="31"/>
        <v>0</v>
      </c>
      <c r="BI112" s="5">
        <f t="shared" si="32"/>
        <v>0</v>
      </c>
      <c r="BJ112" s="19">
        <f t="shared" si="33"/>
        <v>5.537331518863832E-2</v>
      </c>
      <c r="BL112" s="5"/>
      <c r="BN112">
        <f t="shared" si="34"/>
        <v>0</v>
      </c>
      <c r="BO112">
        <f t="shared" si="35"/>
        <v>1</v>
      </c>
      <c r="BP112">
        <f t="shared" si="36"/>
        <v>0</v>
      </c>
      <c r="BQ112">
        <f t="shared" si="25"/>
        <v>1</v>
      </c>
      <c r="BR112">
        <f t="shared" si="37"/>
        <v>0</v>
      </c>
      <c r="BS112" s="5">
        <f t="shared" si="38"/>
        <v>0</v>
      </c>
      <c r="BT112" s="5">
        <f t="shared" si="39"/>
        <v>0</v>
      </c>
      <c r="BU112" s="5">
        <f t="shared" si="40"/>
        <v>0</v>
      </c>
      <c r="BV112" s="19">
        <f t="shared" si="41"/>
        <v>2.605399151548099E-2</v>
      </c>
      <c r="BX112" s="19">
        <f t="shared" si="42"/>
        <v>0</v>
      </c>
      <c r="BY112" s="19">
        <f t="shared" si="43"/>
        <v>8.1427306704119309E-2</v>
      </c>
    </row>
    <row r="113" spans="1:77" x14ac:dyDescent="0.25">
      <c r="A113" s="1">
        <v>46185</v>
      </c>
      <c r="B113" s="7">
        <v>233.79</v>
      </c>
      <c r="C113" s="7">
        <v>279.97000000000003</v>
      </c>
      <c r="D113" s="12">
        <v>-9.57800566538871E-3</v>
      </c>
      <c r="E113" s="12">
        <v>-1.56640809949736E-2</v>
      </c>
      <c r="F113" s="7">
        <v>0</v>
      </c>
      <c r="G113" s="7">
        <v>0.15132499999999999</v>
      </c>
      <c r="H113" s="7">
        <v>0</v>
      </c>
      <c r="I113" s="7">
        <v>0.11178100000000001</v>
      </c>
      <c r="J113" s="7">
        <v>0</v>
      </c>
      <c r="K113" s="7">
        <v>0</v>
      </c>
      <c r="L113" s="7">
        <v>233.79</v>
      </c>
      <c r="M113" s="7">
        <v>279.97000000000003</v>
      </c>
      <c r="N113" s="10">
        <v>1.19752769579537</v>
      </c>
      <c r="O113" s="10">
        <v>1.1658179450689301</v>
      </c>
      <c r="P113" s="10">
        <v>1.20236174043892</v>
      </c>
      <c r="Q113" s="10">
        <v>1.20327130107643</v>
      </c>
      <c r="R113" s="7">
        <v>272.55657737766597</v>
      </c>
      <c r="S113" s="7">
        <v>281.70131643482898</v>
      </c>
      <c r="T113" s="7">
        <v>281.44574996462501</v>
      </c>
      <c r="U113" s="12">
        <v>-2.6836238615077501E-2</v>
      </c>
      <c r="V113" s="12">
        <v>6.1648934795913001E-3</v>
      </c>
      <c r="W113" s="12">
        <v>5.25725672536617E-3</v>
      </c>
      <c r="X113" s="10">
        <v>1.19752769579537</v>
      </c>
      <c r="Y113" s="10">
        <v>1.16578176214971</v>
      </c>
      <c r="Z113" s="10">
        <v>1.20236174043892</v>
      </c>
      <c r="AA113" s="10">
        <v>1.20327130107643</v>
      </c>
      <c r="AB113" s="7">
        <v>272.54811817298202</v>
      </c>
      <c r="AC113" s="7">
        <v>281.70131643482898</v>
      </c>
      <c r="AD113" s="7">
        <v>281.44574996462501</v>
      </c>
      <c r="AE113" s="12">
        <v>-2.68672756057831E-2</v>
      </c>
      <c r="AF113" s="12">
        <v>6.1648934795913001E-3</v>
      </c>
      <c r="AG113" s="12">
        <v>5.25725672536617E-3</v>
      </c>
      <c r="AZ113" s="5"/>
      <c r="BB113">
        <f t="shared" si="26"/>
        <v>0</v>
      </c>
      <c r="BC113">
        <f t="shared" si="27"/>
        <v>1</v>
      </c>
      <c r="BD113">
        <f t="shared" si="28"/>
        <v>0</v>
      </c>
      <c r="BE113">
        <f t="shared" si="24"/>
        <v>0</v>
      </c>
      <c r="BF113">
        <f t="shared" si="29"/>
        <v>0</v>
      </c>
      <c r="BG113" s="5">
        <f t="shared" si="30"/>
        <v>0</v>
      </c>
      <c r="BH113" s="5">
        <f t="shared" si="31"/>
        <v>0</v>
      </c>
      <c r="BI113" s="5">
        <f t="shared" si="32"/>
        <v>0</v>
      </c>
      <c r="BJ113" s="19">
        <f t="shared" si="33"/>
        <v>5.537331518863832E-2</v>
      </c>
      <c r="BL113" s="5"/>
      <c r="BN113">
        <f t="shared" si="34"/>
        <v>0</v>
      </c>
      <c r="BO113">
        <f t="shared" si="35"/>
        <v>1</v>
      </c>
      <c r="BP113">
        <f t="shared" si="36"/>
        <v>0</v>
      </c>
      <c r="BQ113">
        <f t="shared" si="25"/>
        <v>0</v>
      </c>
      <c r="BR113">
        <f t="shared" si="37"/>
        <v>0</v>
      </c>
      <c r="BS113" s="5">
        <f t="shared" si="38"/>
        <v>0</v>
      </c>
      <c r="BT113" s="5">
        <f t="shared" si="39"/>
        <v>0</v>
      </c>
      <c r="BU113" s="5">
        <f t="shared" si="40"/>
        <v>0</v>
      </c>
      <c r="BV113" s="19">
        <f t="shared" si="41"/>
        <v>2.605399151548099E-2</v>
      </c>
      <c r="BX113" s="19">
        <f t="shared" si="42"/>
        <v>0</v>
      </c>
      <c r="BY113" s="19">
        <f t="shared" si="43"/>
        <v>8.1427306704119309E-2</v>
      </c>
    </row>
    <row r="114" spans="1:77" x14ac:dyDescent="0.25">
      <c r="A114" s="1">
        <v>46188</v>
      </c>
      <c r="B114" s="7">
        <v>237.4</v>
      </c>
      <c r="C114" s="7">
        <v>282.79000000000002</v>
      </c>
      <c r="D114" s="12">
        <v>1.53232056519883E-2</v>
      </c>
      <c r="E114" s="12">
        <v>1.00221181463881E-2</v>
      </c>
      <c r="F114" s="7">
        <v>0.16358</v>
      </c>
      <c r="G114" s="7">
        <v>0.31490499999999999</v>
      </c>
      <c r="H114" s="7">
        <v>0</v>
      </c>
      <c r="I114" s="7">
        <v>0.11178100000000001</v>
      </c>
      <c r="J114" s="7">
        <v>0.16358</v>
      </c>
      <c r="K114" s="7">
        <v>0</v>
      </c>
      <c r="L114" s="7">
        <v>237.56358</v>
      </c>
      <c r="M114" s="7">
        <v>282.79000000000002</v>
      </c>
      <c r="N114" s="10">
        <v>1.19119629317607</v>
      </c>
      <c r="O114" s="10">
        <v>1.1658179450689301</v>
      </c>
      <c r="P114" s="10">
        <v>1.1996945836228201</v>
      </c>
      <c r="Q114" s="10">
        <v>1.2028274336806399</v>
      </c>
      <c r="R114" s="7">
        <v>276.765180159365</v>
      </c>
      <c r="S114" s="7">
        <v>285.44067718019897</v>
      </c>
      <c r="T114" s="7">
        <v>285.65660687554498</v>
      </c>
      <c r="U114" s="12">
        <v>-2.1535151109477201E-2</v>
      </c>
      <c r="V114" s="12">
        <v>9.3296490787518303E-3</v>
      </c>
      <c r="W114" s="12">
        <v>1.0085841453198199E-2</v>
      </c>
      <c r="X114" s="10">
        <v>1.1903760669038499</v>
      </c>
      <c r="Y114" s="10">
        <v>1.16578176214971</v>
      </c>
      <c r="Z114" s="10">
        <v>1.1996125609956001</v>
      </c>
      <c r="AA114" s="10">
        <v>1.2027864223670299</v>
      </c>
      <c r="AB114" s="7">
        <v>276.947288914995</v>
      </c>
      <c r="AC114" s="7">
        <v>285.63735951370001</v>
      </c>
      <c r="AD114" s="7">
        <v>285.85343799497502</v>
      </c>
      <c r="AE114" s="12">
        <v>-2.0877377364557002E-2</v>
      </c>
      <c r="AF114" s="12">
        <v>1.0018459814377699E-2</v>
      </c>
      <c r="AG114" s="12">
        <v>1.0774652188824301E-2</v>
      </c>
      <c r="AZ114" s="5"/>
      <c r="BB114">
        <f t="shared" si="26"/>
        <v>0</v>
      </c>
      <c r="BC114">
        <f t="shared" si="27"/>
        <v>1</v>
      </c>
      <c r="BD114">
        <f t="shared" si="28"/>
        <v>0</v>
      </c>
      <c r="BE114">
        <f t="shared" si="24"/>
        <v>1</v>
      </c>
      <c r="BF114">
        <f t="shared" si="29"/>
        <v>0</v>
      </c>
      <c r="BG114" s="5">
        <f t="shared" si="30"/>
        <v>0</v>
      </c>
      <c r="BH114" s="5">
        <f t="shared" si="31"/>
        <v>0</v>
      </c>
      <c r="BI114" s="5">
        <f t="shared" si="32"/>
        <v>0</v>
      </c>
      <c r="BJ114" s="19">
        <f t="shared" si="33"/>
        <v>5.537331518863832E-2</v>
      </c>
      <c r="BL114" s="5"/>
      <c r="BN114">
        <f t="shared" si="34"/>
        <v>0</v>
      </c>
      <c r="BO114">
        <f t="shared" si="35"/>
        <v>1</v>
      </c>
      <c r="BP114">
        <f t="shared" si="36"/>
        <v>0</v>
      </c>
      <c r="BQ114">
        <f t="shared" si="25"/>
        <v>1</v>
      </c>
      <c r="BR114">
        <f t="shared" si="37"/>
        <v>0</v>
      </c>
      <c r="BS114" s="5">
        <f t="shared" si="38"/>
        <v>0</v>
      </c>
      <c r="BT114" s="5">
        <f t="shared" si="39"/>
        <v>0</v>
      </c>
      <c r="BU114" s="5">
        <f t="shared" si="40"/>
        <v>0</v>
      </c>
      <c r="BV114" s="19">
        <f t="shared" si="41"/>
        <v>2.605399151548099E-2</v>
      </c>
      <c r="BX114" s="19">
        <f t="shared" si="42"/>
        <v>0</v>
      </c>
      <c r="BY114" s="19">
        <f t="shared" si="43"/>
        <v>8.1427306704119309E-2</v>
      </c>
    </row>
    <row r="115" spans="1:77" x14ac:dyDescent="0.25">
      <c r="A115" s="1">
        <v>46189</v>
      </c>
      <c r="B115" s="7">
        <v>239.52</v>
      </c>
      <c r="C115" s="7">
        <v>281.81</v>
      </c>
      <c r="D115" s="12">
        <v>8.8904384957506702E-3</v>
      </c>
      <c r="E115" s="12">
        <v>-3.4714877229308E-3</v>
      </c>
      <c r="F115" s="7">
        <v>0</v>
      </c>
      <c r="G115" s="7">
        <v>0.31490499999999999</v>
      </c>
      <c r="H115" s="7">
        <v>0</v>
      </c>
      <c r="I115" s="7">
        <v>0.11178100000000001</v>
      </c>
      <c r="J115" s="7">
        <v>0.16358</v>
      </c>
      <c r="K115" s="7">
        <v>0</v>
      </c>
      <c r="L115" s="7">
        <v>239.68358000000001</v>
      </c>
      <c r="M115" s="7">
        <v>281.81</v>
      </c>
      <c r="N115" s="10">
        <v>1.17656145624582</v>
      </c>
      <c r="O115" s="10">
        <v>1.1658179450689301</v>
      </c>
      <c r="P115" s="10">
        <v>1.1950365348795999</v>
      </c>
      <c r="Q115" s="10">
        <v>1.2018975261996101</v>
      </c>
      <c r="R115" s="7">
        <v>279.236714202911</v>
      </c>
      <c r="S115" s="7">
        <v>287.35084666933801</v>
      </c>
      <c r="T115" s="7">
        <v>288.10122691518899</v>
      </c>
      <c r="U115" s="12">
        <v>-9.1732248907959498E-3</v>
      </c>
      <c r="V115" s="12">
        <v>1.94708464281718E-2</v>
      </c>
      <c r="W115" s="12">
        <v>2.2078815729545499E-2</v>
      </c>
      <c r="X115" s="10">
        <v>1.1757584728999699</v>
      </c>
      <c r="Y115" s="10">
        <v>1.16578176214971</v>
      </c>
      <c r="Z115" s="10">
        <v>1.1948742139177899</v>
      </c>
      <c r="AA115" s="10">
        <v>1.2018163657187</v>
      </c>
      <c r="AB115" s="7">
        <v>279.41874625075201</v>
      </c>
      <c r="AC115" s="7">
        <v>287.527433232394</v>
      </c>
      <c r="AD115" s="7">
        <v>288.28815568832403</v>
      </c>
      <c r="AE115" s="12">
        <v>-8.5215457534054493E-3</v>
      </c>
      <c r="AF115" s="12">
        <v>2.0085190628615902E-2</v>
      </c>
      <c r="AG115" s="12">
        <v>2.2727435517939199E-2</v>
      </c>
      <c r="AZ115" s="5"/>
      <c r="BB115">
        <f t="shared" si="26"/>
        <v>0</v>
      </c>
      <c r="BC115">
        <f t="shared" si="27"/>
        <v>1</v>
      </c>
      <c r="BD115">
        <f t="shared" si="28"/>
        <v>0</v>
      </c>
      <c r="BE115">
        <f t="shared" si="24"/>
        <v>1</v>
      </c>
      <c r="BF115">
        <f t="shared" si="29"/>
        <v>0</v>
      </c>
      <c r="BG115" s="5">
        <f t="shared" si="30"/>
        <v>0</v>
      </c>
      <c r="BH115" s="5">
        <f t="shared" si="31"/>
        <v>0</v>
      </c>
      <c r="BI115" s="5">
        <f t="shared" si="32"/>
        <v>0</v>
      </c>
      <c r="BJ115" s="19">
        <f t="shared" si="33"/>
        <v>5.537331518863832E-2</v>
      </c>
      <c r="BL115" s="5"/>
      <c r="BN115">
        <f t="shared" si="34"/>
        <v>0</v>
      </c>
      <c r="BO115">
        <f t="shared" si="35"/>
        <v>0</v>
      </c>
      <c r="BP115">
        <f t="shared" si="36"/>
        <v>0</v>
      </c>
      <c r="BQ115">
        <f t="shared" si="25"/>
        <v>1</v>
      </c>
      <c r="BR115">
        <f t="shared" si="37"/>
        <v>0</v>
      </c>
      <c r="BS115" s="5">
        <f t="shared" si="38"/>
        <v>0</v>
      </c>
      <c r="BT115" s="5">
        <f t="shared" si="39"/>
        <v>0</v>
      </c>
      <c r="BU115" s="5">
        <f t="shared" si="40"/>
        <v>0</v>
      </c>
      <c r="BV115" s="19">
        <f t="shared" si="41"/>
        <v>2.605399151548099E-2</v>
      </c>
      <c r="BX115" s="19">
        <f t="shared" si="42"/>
        <v>0</v>
      </c>
      <c r="BY115" s="19">
        <f t="shared" si="43"/>
        <v>8.1427306704119309E-2</v>
      </c>
    </row>
    <row r="116" spans="1:77" x14ac:dyDescent="0.25">
      <c r="A116" s="1">
        <v>46190</v>
      </c>
      <c r="B116" s="7">
        <v>242.79</v>
      </c>
      <c r="C116" s="7">
        <v>285.58999999999997</v>
      </c>
      <c r="D116" s="12">
        <v>1.35599515044018E-2</v>
      </c>
      <c r="E116" s="12">
        <v>1.3324130851463899E-2</v>
      </c>
      <c r="F116" s="7">
        <v>0</v>
      </c>
      <c r="G116" s="7">
        <v>0.31490499999999999</v>
      </c>
      <c r="H116" s="7">
        <v>0</v>
      </c>
      <c r="I116" s="7">
        <v>0.11178100000000001</v>
      </c>
      <c r="J116" s="7">
        <v>0.16358</v>
      </c>
      <c r="K116" s="7">
        <v>0</v>
      </c>
      <c r="L116" s="7">
        <v>242.95357999999999</v>
      </c>
      <c r="M116" s="7">
        <v>285.58999999999997</v>
      </c>
      <c r="N116" s="10">
        <v>1.17628403146752</v>
      </c>
      <c r="O116" s="10">
        <v>1.1658179450689301</v>
      </c>
      <c r="P116" s="10">
        <v>1.1910677127161999</v>
      </c>
      <c r="Q116" s="10">
        <v>1.20128977834096</v>
      </c>
      <c r="R116" s="7">
        <v>283.04893888328598</v>
      </c>
      <c r="S116" s="7">
        <v>290.14292030341898</v>
      </c>
      <c r="T116" s="7">
        <v>291.80870038600301</v>
      </c>
      <c r="U116" s="12">
        <v>-8.9374042378579203E-3</v>
      </c>
      <c r="V116" s="12">
        <v>1.5816414366031602E-2</v>
      </c>
      <c r="W116" s="12">
        <v>2.1541236061944E-2</v>
      </c>
      <c r="X116" s="10">
        <v>1.1754920425539701</v>
      </c>
      <c r="Y116" s="10">
        <v>1.16578176214971</v>
      </c>
      <c r="Z116" s="10">
        <v>1.1908261928630399</v>
      </c>
      <c r="AA116" s="10">
        <v>1.20116901841438</v>
      </c>
      <c r="AB116" s="7">
        <v>283.23085261298201</v>
      </c>
      <c r="AC116" s="7">
        <v>290.29896792101403</v>
      </c>
      <c r="AD116" s="7">
        <v>291.98558855394901</v>
      </c>
      <c r="AE116" s="12">
        <v>-8.2949171186463503E-3</v>
      </c>
      <c r="AF116" s="12">
        <v>1.6354099962199001E-2</v>
      </c>
      <c r="AG116" s="12">
        <v>2.2147230936200898E-2</v>
      </c>
      <c r="AZ116" s="5"/>
      <c r="BB116">
        <f t="shared" si="26"/>
        <v>0</v>
      </c>
      <c r="BC116">
        <f t="shared" si="27"/>
        <v>1</v>
      </c>
      <c r="BD116">
        <f t="shared" si="28"/>
        <v>0</v>
      </c>
      <c r="BE116">
        <f t="shared" si="24"/>
        <v>1</v>
      </c>
      <c r="BF116">
        <f t="shared" si="29"/>
        <v>0</v>
      </c>
      <c r="BG116" s="5">
        <f t="shared" si="30"/>
        <v>0</v>
      </c>
      <c r="BH116" s="5">
        <f t="shared" si="31"/>
        <v>0</v>
      </c>
      <c r="BI116" s="5">
        <f t="shared" si="32"/>
        <v>0</v>
      </c>
      <c r="BJ116" s="19">
        <f t="shared" si="33"/>
        <v>5.537331518863832E-2</v>
      </c>
      <c r="BL116" s="5"/>
      <c r="BN116">
        <f t="shared" si="34"/>
        <v>0</v>
      </c>
      <c r="BO116">
        <f t="shared" si="35"/>
        <v>0</v>
      </c>
      <c r="BP116">
        <f t="shared" si="36"/>
        <v>0</v>
      </c>
      <c r="BQ116">
        <f t="shared" si="25"/>
        <v>1</v>
      </c>
      <c r="BR116">
        <f t="shared" si="37"/>
        <v>0</v>
      </c>
      <c r="BS116" s="5">
        <f t="shared" si="38"/>
        <v>0</v>
      </c>
      <c r="BT116" s="5">
        <f t="shared" si="39"/>
        <v>0</v>
      </c>
      <c r="BU116" s="5">
        <f t="shared" si="40"/>
        <v>0</v>
      </c>
      <c r="BV116" s="19">
        <f t="shared" si="41"/>
        <v>2.605399151548099E-2</v>
      </c>
      <c r="BX116" s="19">
        <f t="shared" si="42"/>
        <v>0</v>
      </c>
      <c r="BY116" s="19">
        <f t="shared" si="43"/>
        <v>8.1427306704119309E-2</v>
      </c>
    </row>
    <row r="117" spans="1:77" x14ac:dyDescent="0.25">
      <c r="A117" s="1">
        <v>46191</v>
      </c>
      <c r="B117" s="7">
        <v>238.99</v>
      </c>
      <c r="C117" s="7">
        <v>284.29000000000002</v>
      </c>
      <c r="D117" s="12">
        <v>-1.5775162123752798E-2</v>
      </c>
      <c r="E117" s="12">
        <v>-4.5623719203454699E-3</v>
      </c>
      <c r="F117" s="7">
        <v>0</v>
      </c>
      <c r="G117" s="7">
        <v>0.31490499999999999</v>
      </c>
      <c r="H117" s="7">
        <v>0</v>
      </c>
      <c r="I117" s="7">
        <v>0.11178100000000001</v>
      </c>
      <c r="J117" s="7">
        <v>0.16358</v>
      </c>
      <c r="K117" s="7">
        <v>0</v>
      </c>
      <c r="L117" s="7">
        <v>239.15358000000001</v>
      </c>
      <c r="M117" s="7">
        <v>284.29000000000002</v>
      </c>
      <c r="N117" s="10">
        <v>1.1895476798192299</v>
      </c>
      <c r="O117" s="10">
        <v>1.1658179450689301</v>
      </c>
      <c r="P117" s="10">
        <v>1.1889273474770701</v>
      </c>
      <c r="Q117" s="10">
        <v>1.2010887316619101</v>
      </c>
      <c r="R117" s="7">
        <v>278.61883069202401</v>
      </c>
      <c r="S117" s="7">
        <v>284.65327266204503</v>
      </c>
      <c r="T117" s="7">
        <v>287.09624412570599</v>
      </c>
      <c r="U117" s="12">
        <v>-2.0150194441265399E-2</v>
      </c>
      <c r="V117" s="12">
        <v>1.2770085485443699E-3</v>
      </c>
      <c r="W117" s="12">
        <v>9.8226610031838402E-3</v>
      </c>
      <c r="X117" s="10">
        <v>1.1887340344225601</v>
      </c>
      <c r="Y117" s="10">
        <v>1.16578176214971</v>
      </c>
      <c r="Z117" s="10">
        <v>1.1886044630842401</v>
      </c>
      <c r="AA117" s="10">
        <v>1.2009272894654901</v>
      </c>
      <c r="AB117" s="7">
        <v>278.80088191681301</v>
      </c>
      <c r="AC117" s="7">
        <v>284.79034718096699</v>
      </c>
      <c r="AD117" s="7">
        <v>287.26387093888502</v>
      </c>
      <c r="AE117" s="12">
        <v>-1.9497001785378502E-2</v>
      </c>
      <c r="AF117" s="12">
        <v>1.7584417116971399E-3</v>
      </c>
      <c r="AG117" s="12">
        <v>1.04063603706765E-2</v>
      </c>
      <c r="AZ117" s="5"/>
      <c r="BB117">
        <f t="shared" si="26"/>
        <v>0</v>
      </c>
      <c r="BC117">
        <f t="shared" si="27"/>
        <v>1</v>
      </c>
      <c r="BD117">
        <f t="shared" si="28"/>
        <v>0</v>
      </c>
      <c r="BE117">
        <f t="shared" si="24"/>
        <v>0</v>
      </c>
      <c r="BF117">
        <f t="shared" si="29"/>
        <v>0</v>
      </c>
      <c r="BG117" s="5">
        <f t="shared" si="30"/>
        <v>0</v>
      </c>
      <c r="BH117" s="5">
        <f t="shared" si="31"/>
        <v>0</v>
      </c>
      <c r="BI117" s="5">
        <f t="shared" si="32"/>
        <v>0</v>
      </c>
      <c r="BJ117" s="19">
        <f t="shared" si="33"/>
        <v>5.537331518863832E-2</v>
      </c>
      <c r="BL117" s="5"/>
      <c r="BN117">
        <f t="shared" si="34"/>
        <v>0</v>
      </c>
      <c r="BO117">
        <f t="shared" si="35"/>
        <v>1</v>
      </c>
      <c r="BP117">
        <f t="shared" si="36"/>
        <v>0</v>
      </c>
      <c r="BQ117">
        <f t="shared" si="25"/>
        <v>0</v>
      </c>
      <c r="BR117">
        <f t="shared" si="37"/>
        <v>0</v>
      </c>
      <c r="BS117" s="5">
        <f t="shared" si="38"/>
        <v>0</v>
      </c>
      <c r="BT117" s="5">
        <f t="shared" si="39"/>
        <v>0</v>
      </c>
      <c r="BU117" s="5">
        <f t="shared" si="40"/>
        <v>0</v>
      </c>
      <c r="BV117" s="19">
        <f t="shared" si="41"/>
        <v>2.605399151548099E-2</v>
      </c>
      <c r="BX117" s="19">
        <f t="shared" si="42"/>
        <v>0</v>
      </c>
      <c r="BY117" s="19">
        <f t="shared" si="43"/>
        <v>8.1427306704119309E-2</v>
      </c>
    </row>
    <row r="118" spans="1:77" x14ac:dyDescent="0.25">
      <c r="A118" s="1">
        <v>46195</v>
      </c>
      <c r="B118" s="7">
        <v>235.51</v>
      </c>
      <c r="C118" s="7">
        <v>277.87</v>
      </c>
      <c r="D118" s="12">
        <v>-1.4668334652005399E-2</v>
      </c>
      <c r="E118" s="12">
        <v>-2.2841465506209101E-2</v>
      </c>
      <c r="F118" s="7">
        <v>0</v>
      </c>
      <c r="G118" s="7">
        <v>0.31490499999999999</v>
      </c>
      <c r="H118" s="7">
        <v>6.1849000000000001E-2</v>
      </c>
      <c r="I118" s="7">
        <v>0.17363000000000001</v>
      </c>
      <c r="J118" s="7">
        <v>0</v>
      </c>
      <c r="K118" s="7">
        <v>0</v>
      </c>
      <c r="L118" s="7">
        <v>235.51</v>
      </c>
      <c r="M118" s="7">
        <v>277.87</v>
      </c>
      <c r="N118" s="10">
        <v>1.17986497388645</v>
      </c>
      <c r="O118" s="10">
        <v>1.1658179450689301</v>
      </c>
      <c r="P118" s="10">
        <v>1.18812107955737</v>
      </c>
      <c r="Q118" s="10">
        <v>1.2003979113443599</v>
      </c>
      <c r="R118" s="7">
        <v>274.561784243185</v>
      </c>
      <c r="S118" s="7">
        <v>280.00427960432501</v>
      </c>
      <c r="T118" s="7">
        <v>282.86840719369599</v>
      </c>
      <c r="U118" s="12">
        <v>-1.1977063587061699E-2</v>
      </c>
      <c r="V118" s="12">
        <v>7.65150893334031E-3</v>
      </c>
      <c r="W118" s="12">
        <v>1.7828418832128601E-2</v>
      </c>
      <c r="X118" s="10">
        <v>1.17986497388645</v>
      </c>
      <c r="Y118" s="10">
        <v>1.16578176214971</v>
      </c>
      <c r="Z118" s="10">
        <v>1.18779819516454</v>
      </c>
      <c r="AA118" s="10">
        <v>1.2002364691479399</v>
      </c>
      <c r="AB118" s="7">
        <v>274.55326280387999</v>
      </c>
      <c r="AC118" s="7">
        <v>279.92823710097002</v>
      </c>
      <c r="AD118" s="7">
        <v>282.83038594201901</v>
      </c>
      <c r="AE118" s="12">
        <v>-1.20081005777673E-2</v>
      </c>
      <c r="AF118" s="12">
        <v>7.3798958315685701E-3</v>
      </c>
      <c r="AG118" s="12">
        <v>1.7693996584119399E-2</v>
      </c>
      <c r="AZ118" s="5"/>
      <c r="BB118">
        <f t="shared" si="26"/>
        <v>0</v>
      </c>
      <c r="BC118">
        <f t="shared" si="27"/>
        <v>1</v>
      </c>
      <c r="BD118">
        <f t="shared" si="28"/>
        <v>0</v>
      </c>
      <c r="BE118">
        <f t="shared" si="24"/>
        <v>1</v>
      </c>
      <c r="BF118">
        <f t="shared" si="29"/>
        <v>0</v>
      </c>
      <c r="BG118" s="5">
        <f t="shared" si="30"/>
        <v>0</v>
      </c>
      <c r="BH118" s="5">
        <f t="shared" si="31"/>
        <v>0</v>
      </c>
      <c r="BI118" s="5">
        <f t="shared" si="32"/>
        <v>0</v>
      </c>
      <c r="BJ118" s="19">
        <f t="shared" si="33"/>
        <v>5.537331518863832E-2</v>
      </c>
      <c r="BL118" s="5"/>
      <c r="BN118">
        <f t="shared" si="34"/>
        <v>0</v>
      </c>
      <c r="BO118">
        <f t="shared" si="35"/>
        <v>1</v>
      </c>
      <c r="BP118">
        <f t="shared" si="36"/>
        <v>0</v>
      </c>
      <c r="BQ118">
        <f t="shared" si="25"/>
        <v>1</v>
      </c>
      <c r="BR118">
        <f t="shared" si="37"/>
        <v>0</v>
      </c>
      <c r="BS118" s="5">
        <f t="shared" si="38"/>
        <v>0</v>
      </c>
      <c r="BT118" s="5">
        <f t="shared" si="39"/>
        <v>0</v>
      </c>
      <c r="BU118" s="5">
        <f t="shared" si="40"/>
        <v>0</v>
      </c>
      <c r="BV118" s="19">
        <f t="shared" si="41"/>
        <v>2.605399151548099E-2</v>
      </c>
      <c r="BX118" s="19">
        <f t="shared" si="42"/>
        <v>0</v>
      </c>
      <c r="BY118" s="19">
        <f t="shared" si="43"/>
        <v>8.1427306704119309E-2</v>
      </c>
    </row>
    <row r="119" spans="1:77" x14ac:dyDescent="0.25">
      <c r="A119" s="1">
        <v>46196</v>
      </c>
      <c r="B119" s="7">
        <v>235.93</v>
      </c>
      <c r="C119" s="7">
        <v>275.32</v>
      </c>
      <c r="D119" s="12">
        <v>1.78177545865997E-3</v>
      </c>
      <c r="E119" s="12">
        <v>-9.2193208901044498E-3</v>
      </c>
      <c r="F119" s="7">
        <v>0</v>
      </c>
      <c r="G119" s="7">
        <v>0.31490499999999999</v>
      </c>
      <c r="H119" s="7">
        <v>0</v>
      </c>
      <c r="I119" s="7">
        <v>0.17363000000000001</v>
      </c>
      <c r="J119" s="7">
        <v>0</v>
      </c>
      <c r="K119" s="7">
        <v>0</v>
      </c>
      <c r="L119" s="7">
        <v>235.93</v>
      </c>
      <c r="M119" s="7">
        <v>275.32</v>
      </c>
      <c r="N119" s="10">
        <v>1.16695630059763</v>
      </c>
      <c r="O119" s="10">
        <v>1.1658179450689301</v>
      </c>
      <c r="P119" s="10">
        <v>1.18552162909262</v>
      </c>
      <c r="Q119" s="10">
        <v>1.1985824393351501</v>
      </c>
      <c r="R119" s="7">
        <v>275.05142778011401</v>
      </c>
      <c r="S119" s="7">
        <v>280.31340629997101</v>
      </c>
      <c r="T119" s="7">
        <v>283.20987922347399</v>
      </c>
      <c r="U119" s="12">
        <v>-9.7596723829714298E-4</v>
      </c>
      <c r="V119" s="12">
        <v>1.79742278948791E-2</v>
      </c>
      <c r="W119" s="12">
        <v>2.8254187944641702E-2</v>
      </c>
      <c r="X119" s="10">
        <v>1.16695630059763</v>
      </c>
      <c r="Y119" s="10">
        <v>1.16578176214971</v>
      </c>
      <c r="Z119" s="10">
        <v>1.18519874469979</v>
      </c>
      <c r="AA119" s="10">
        <v>1.1984209971387301</v>
      </c>
      <c r="AB119" s="7">
        <v>275.04289114398199</v>
      </c>
      <c r="AC119" s="7">
        <v>280.23722818517098</v>
      </c>
      <c r="AD119" s="7">
        <v>283.171790166074</v>
      </c>
      <c r="AE119" s="12">
        <v>-1.00700422900312E-3</v>
      </c>
      <c r="AF119" s="12">
        <v>1.7702430449358601E-2</v>
      </c>
      <c r="AG119" s="12">
        <v>2.81196883323982E-2</v>
      </c>
      <c r="AZ119" s="5"/>
      <c r="BB119">
        <f t="shared" si="26"/>
        <v>0</v>
      </c>
      <c r="BC119">
        <f t="shared" si="27"/>
        <v>1</v>
      </c>
      <c r="BD119">
        <f t="shared" si="28"/>
        <v>0</v>
      </c>
      <c r="BE119">
        <f t="shared" si="24"/>
        <v>1</v>
      </c>
      <c r="BF119">
        <f t="shared" si="29"/>
        <v>0</v>
      </c>
      <c r="BG119" s="5">
        <f t="shared" si="30"/>
        <v>0</v>
      </c>
      <c r="BH119" s="5">
        <f t="shared" si="31"/>
        <v>0</v>
      </c>
      <c r="BI119" s="5">
        <f t="shared" si="32"/>
        <v>0</v>
      </c>
      <c r="BJ119" s="19">
        <f t="shared" si="33"/>
        <v>5.537331518863832E-2</v>
      </c>
      <c r="BL119" s="5"/>
      <c r="BN119">
        <f t="shared" si="34"/>
        <v>0</v>
      </c>
      <c r="BO119">
        <f t="shared" si="35"/>
        <v>0</v>
      </c>
      <c r="BP119">
        <f t="shared" si="36"/>
        <v>0</v>
      </c>
      <c r="BQ119">
        <f t="shared" si="25"/>
        <v>1</v>
      </c>
      <c r="BR119">
        <f t="shared" si="37"/>
        <v>0</v>
      </c>
      <c r="BS119" s="5">
        <f t="shared" si="38"/>
        <v>0</v>
      </c>
      <c r="BT119" s="5">
        <f t="shared" si="39"/>
        <v>0</v>
      </c>
      <c r="BU119" s="5">
        <f t="shared" si="40"/>
        <v>0</v>
      </c>
      <c r="BV119" s="19">
        <f t="shared" si="41"/>
        <v>2.605399151548099E-2</v>
      </c>
      <c r="BX119" s="19">
        <f t="shared" si="42"/>
        <v>0</v>
      </c>
      <c r="BY119" s="19">
        <f t="shared" si="43"/>
        <v>8.1427306704119309E-2</v>
      </c>
    </row>
    <row r="120" spans="1:77" x14ac:dyDescent="0.25">
      <c r="A120" s="1">
        <v>46197</v>
      </c>
      <c r="B120" s="7">
        <v>236.19</v>
      </c>
      <c r="C120" s="7">
        <v>272.41000000000003</v>
      </c>
      <c r="D120" s="12">
        <v>1.10141500586364E-3</v>
      </c>
      <c r="E120" s="12">
        <v>-1.06257732090979E-2</v>
      </c>
      <c r="F120" s="7">
        <v>0</v>
      </c>
      <c r="G120" s="7">
        <v>0.31490499999999999</v>
      </c>
      <c r="H120" s="7">
        <v>0</v>
      </c>
      <c r="I120" s="7">
        <v>0.17363000000000001</v>
      </c>
      <c r="J120" s="7">
        <v>0</v>
      </c>
      <c r="K120" s="7">
        <v>0</v>
      </c>
      <c r="L120" s="7">
        <v>236.19</v>
      </c>
      <c r="M120" s="7">
        <v>272.41000000000003</v>
      </c>
      <c r="N120" s="10">
        <v>1.15335111562724</v>
      </c>
      <c r="O120" s="10">
        <v>1.1658179450689301</v>
      </c>
      <c r="P120" s="10">
        <v>1.1822279708571299</v>
      </c>
      <c r="Q120" s="10">
        <v>1.1959946462995701</v>
      </c>
      <c r="R120" s="7">
        <v>275.35454044583099</v>
      </c>
      <c r="S120" s="7">
        <v>280.00835357538699</v>
      </c>
      <c r="T120" s="7">
        <v>283.09318634656898</v>
      </c>
      <c r="U120" s="12">
        <v>1.0751220976664101E-2</v>
      </c>
      <c r="V120" s="12">
        <v>2.7511152600966E-2</v>
      </c>
      <c r="W120" s="12">
        <v>3.8467839497856399E-2</v>
      </c>
      <c r="X120" s="10">
        <v>1.15335111562724</v>
      </c>
      <c r="Y120" s="10">
        <v>1.16578176214971</v>
      </c>
      <c r="Z120" s="10">
        <v>1.1819050864642999</v>
      </c>
      <c r="AA120" s="10">
        <v>1.1958332041031501</v>
      </c>
      <c r="AB120" s="7">
        <v>275.345994402141</v>
      </c>
      <c r="AC120" s="7">
        <v>279.93209151064502</v>
      </c>
      <c r="AD120" s="7">
        <v>283.055055314198</v>
      </c>
      <c r="AE120" s="12">
        <v>1.0720183985958399E-2</v>
      </c>
      <c r="AF120" s="12">
        <v>2.7238759113826401E-2</v>
      </c>
      <c r="AG120" s="12">
        <v>3.8333136147663302E-2</v>
      </c>
      <c r="AZ120" s="5"/>
      <c r="BB120">
        <f t="shared" si="26"/>
        <v>0</v>
      </c>
      <c r="BC120">
        <f t="shared" si="27"/>
        <v>1</v>
      </c>
      <c r="BD120">
        <f t="shared" si="28"/>
        <v>0</v>
      </c>
      <c r="BE120">
        <f t="shared" si="24"/>
        <v>1</v>
      </c>
      <c r="BF120">
        <f t="shared" si="29"/>
        <v>0</v>
      </c>
      <c r="BG120" s="5">
        <f t="shared" si="30"/>
        <v>0</v>
      </c>
      <c r="BH120" s="5">
        <f t="shared" si="31"/>
        <v>0</v>
      </c>
      <c r="BI120" s="5">
        <f t="shared" si="32"/>
        <v>0</v>
      </c>
      <c r="BJ120" s="19">
        <f t="shared" si="33"/>
        <v>5.537331518863832E-2</v>
      </c>
      <c r="BL120" s="5"/>
      <c r="BN120">
        <f t="shared" si="34"/>
        <v>1</v>
      </c>
      <c r="BO120">
        <f t="shared" si="35"/>
        <v>0</v>
      </c>
      <c r="BP120">
        <f t="shared" si="36"/>
        <v>0</v>
      </c>
      <c r="BQ120">
        <f t="shared" si="25"/>
        <v>1</v>
      </c>
      <c r="BR120">
        <f t="shared" si="37"/>
        <v>0</v>
      </c>
      <c r="BS120" s="5">
        <f t="shared" si="38"/>
        <v>0</v>
      </c>
      <c r="BT120" s="5">
        <f t="shared" si="39"/>
        <v>0</v>
      </c>
      <c r="BU120" s="5">
        <f t="shared" si="40"/>
        <v>0</v>
      </c>
      <c r="BV120" s="19">
        <f t="shared" si="41"/>
        <v>2.605399151548099E-2</v>
      </c>
      <c r="BX120" s="19">
        <f t="shared" si="42"/>
        <v>0</v>
      </c>
      <c r="BY120" s="19">
        <f t="shared" si="43"/>
        <v>8.1427306704119309E-2</v>
      </c>
    </row>
    <row r="121" spans="1:77" x14ac:dyDescent="0.25">
      <c r="A121" s="1">
        <v>46198</v>
      </c>
      <c r="B121" s="7">
        <v>237.38</v>
      </c>
      <c r="C121" s="7">
        <v>272.77999999999997</v>
      </c>
      <c r="D121" s="12">
        <v>5.0256667638737002E-3</v>
      </c>
      <c r="E121" s="12">
        <v>1.3573251776633601E-3</v>
      </c>
      <c r="F121" s="7">
        <v>0</v>
      </c>
      <c r="G121" s="7">
        <v>0.31490499999999999</v>
      </c>
      <c r="H121" s="7">
        <v>0</v>
      </c>
      <c r="I121" s="7">
        <v>0.17363000000000001</v>
      </c>
      <c r="J121" s="7">
        <v>0</v>
      </c>
      <c r="K121" s="7">
        <v>0</v>
      </c>
      <c r="L121" s="7">
        <v>237.38</v>
      </c>
      <c r="M121" s="7">
        <v>272.77999999999997</v>
      </c>
      <c r="N121" s="10">
        <v>1.1491279804532799</v>
      </c>
      <c r="O121" s="10">
        <v>1.1658179450689301</v>
      </c>
      <c r="P121" s="10">
        <v>1.17852556900918</v>
      </c>
      <c r="Q121" s="10">
        <v>1.1929468801018199</v>
      </c>
      <c r="R121" s="7">
        <v>276.74186380046399</v>
      </c>
      <c r="S121" s="7">
        <v>280.637275722065</v>
      </c>
      <c r="T121" s="7">
        <v>283.905209138592</v>
      </c>
      <c r="U121" s="12">
        <v>1.4419562562874201E-2</v>
      </c>
      <c r="V121" s="12">
        <v>2.8397392262208901E-2</v>
      </c>
      <c r="W121" s="12">
        <v>3.9974802309899998E-2</v>
      </c>
      <c r="X121" s="10">
        <v>1.1491279804532799</v>
      </c>
      <c r="Y121" s="10">
        <v>1.16578176214971</v>
      </c>
      <c r="Z121" s="10">
        <v>1.17820268461635</v>
      </c>
      <c r="AA121" s="10">
        <v>1.1927854379054099</v>
      </c>
      <c r="AB121" s="7">
        <v>276.73327469909901</v>
      </c>
      <c r="AC121" s="7">
        <v>280.56062942489598</v>
      </c>
      <c r="AD121" s="7">
        <v>283.86688599000701</v>
      </c>
      <c r="AE121" s="12">
        <v>1.4388525572168499E-2</v>
      </c>
      <c r="AF121" s="12">
        <v>2.8124239789816201E-2</v>
      </c>
      <c r="AG121" s="12">
        <v>3.9839807480207198E-2</v>
      </c>
      <c r="AZ121" s="5"/>
      <c r="BB121">
        <f t="shared" si="26"/>
        <v>0</v>
      </c>
      <c r="BC121">
        <f t="shared" si="27"/>
        <v>1</v>
      </c>
      <c r="BD121">
        <f t="shared" si="28"/>
        <v>0</v>
      </c>
      <c r="BE121">
        <f t="shared" si="24"/>
        <v>1</v>
      </c>
      <c r="BF121">
        <f t="shared" si="29"/>
        <v>0</v>
      </c>
      <c r="BG121" s="5">
        <f t="shared" si="30"/>
        <v>0</v>
      </c>
      <c r="BH121" s="5">
        <f t="shared" si="31"/>
        <v>0</v>
      </c>
      <c r="BI121" s="5">
        <f t="shared" si="32"/>
        <v>0</v>
      </c>
      <c r="BJ121" s="19">
        <f t="shared" si="33"/>
        <v>5.537331518863832E-2</v>
      </c>
      <c r="BL121" s="5"/>
      <c r="BN121">
        <f t="shared" si="34"/>
        <v>1</v>
      </c>
      <c r="BO121">
        <f t="shared" si="35"/>
        <v>0</v>
      </c>
      <c r="BP121">
        <f t="shared" si="36"/>
        <v>1</v>
      </c>
      <c r="BQ121">
        <f t="shared" si="25"/>
        <v>1</v>
      </c>
      <c r="BR121">
        <f t="shared" si="37"/>
        <v>1</v>
      </c>
      <c r="BS121" s="5">
        <f t="shared" si="38"/>
        <v>-5.0256667638737002E-3</v>
      </c>
      <c r="BT121" s="5">
        <f t="shared" si="39"/>
        <v>1.3573251776633601E-3</v>
      </c>
      <c r="BU121" s="5">
        <f t="shared" si="40"/>
        <v>-3.6683415862103401E-3</v>
      </c>
      <c r="BV121" s="19">
        <f t="shared" si="41"/>
        <v>2.2385649929270651E-2</v>
      </c>
      <c r="BX121" s="19">
        <f t="shared" si="42"/>
        <v>-3.6683415862103401E-3</v>
      </c>
      <c r="BY121" s="19">
        <f t="shared" si="43"/>
        <v>7.7758965117908974E-2</v>
      </c>
    </row>
    <row r="122" spans="1:77" x14ac:dyDescent="0.25">
      <c r="A122" s="1">
        <v>46199</v>
      </c>
      <c r="B122" s="7">
        <v>236.78</v>
      </c>
      <c r="C122" s="7">
        <v>274.08999999999997</v>
      </c>
      <c r="D122" s="12">
        <v>-2.5307926448689998E-3</v>
      </c>
      <c r="E122" s="12">
        <v>4.7909101091003596E-3</v>
      </c>
      <c r="F122" s="7">
        <v>0</v>
      </c>
      <c r="G122" s="7">
        <v>0.31490499999999999</v>
      </c>
      <c r="H122" s="7">
        <v>0</v>
      </c>
      <c r="I122" s="7">
        <v>0.17363000000000001</v>
      </c>
      <c r="J122" s="7">
        <v>0</v>
      </c>
      <c r="K122" s="7">
        <v>0</v>
      </c>
      <c r="L122" s="7">
        <v>236.78</v>
      </c>
      <c r="M122" s="7">
        <v>274.08999999999997</v>
      </c>
      <c r="N122" s="10">
        <v>1.1575724301038901</v>
      </c>
      <c r="O122" s="10">
        <v>1.1658179450689301</v>
      </c>
      <c r="P122" s="10">
        <v>1.1737989957172501</v>
      </c>
      <c r="Q122" s="10">
        <v>1.1893660627990199</v>
      </c>
      <c r="R122" s="7">
        <v>276.042373033422</v>
      </c>
      <c r="S122" s="7">
        <v>279.05128422999502</v>
      </c>
      <c r="T122" s="7">
        <v>282.46596227050998</v>
      </c>
      <c r="U122" s="12">
        <v>7.0978598089048899E-3</v>
      </c>
      <c r="V122" s="12">
        <v>1.7939059766159199E-2</v>
      </c>
      <c r="W122" s="12">
        <v>3.0101536181443001E-2</v>
      </c>
      <c r="X122" s="10">
        <v>1.1575724301038901</v>
      </c>
      <c r="Y122" s="10">
        <v>1.16578176214971</v>
      </c>
      <c r="Z122" s="10">
        <v>1.1734761113244201</v>
      </c>
      <c r="AA122" s="10">
        <v>1.1892046206025999</v>
      </c>
      <c r="AB122" s="7">
        <v>276.03380564180998</v>
      </c>
      <c r="AC122" s="7">
        <v>278.97483166346098</v>
      </c>
      <c r="AD122" s="7">
        <v>282.42773598724301</v>
      </c>
      <c r="AE122" s="12">
        <v>7.06682281819929E-3</v>
      </c>
      <c r="AF122" s="12">
        <v>1.76650490529155E-2</v>
      </c>
      <c r="AG122" s="12">
        <v>2.9966196440733499E-2</v>
      </c>
      <c r="AZ122" s="5"/>
      <c r="BB122">
        <f t="shared" si="26"/>
        <v>0</v>
      </c>
      <c r="BC122">
        <f t="shared" si="27"/>
        <v>1</v>
      </c>
      <c r="BD122">
        <f t="shared" si="28"/>
        <v>0</v>
      </c>
      <c r="BE122">
        <f t="shared" si="24"/>
        <v>1</v>
      </c>
      <c r="BF122">
        <f t="shared" si="29"/>
        <v>0</v>
      </c>
      <c r="BG122" s="5">
        <f t="shared" si="30"/>
        <v>0</v>
      </c>
      <c r="BH122" s="5">
        <f t="shared" si="31"/>
        <v>0</v>
      </c>
      <c r="BI122" s="5">
        <f t="shared" si="32"/>
        <v>0</v>
      </c>
      <c r="BJ122" s="19">
        <f t="shared" si="33"/>
        <v>5.537331518863832E-2</v>
      </c>
      <c r="BL122" s="5"/>
      <c r="BN122">
        <f t="shared" si="34"/>
        <v>0</v>
      </c>
      <c r="BO122">
        <f t="shared" si="35"/>
        <v>0</v>
      </c>
      <c r="BP122">
        <f t="shared" si="36"/>
        <v>1</v>
      </c>
      <c r="BQ122">
        <f t="shared" si="25"/>
        <v>1</v>
      </c>
      <c r="BR122">
        <f t="shared" si="37"/>
        <v>1</v>
      </c>
      <c r="BS122" s="5">
        <f t="shared" si="38"/>
        <v>2.5307926448689998E-3</v>
      </c>
      <c r="BT122" s="5">
        <f t="shared" si="39"/>
        <v>4.7909101091003596E-3</v>
      </c>
      <c r="BU122" s="5">
        <f t="shared" si="40"/>
        <v>7.3217027539693594E-3</v>
      </c>
      <c r="BV122" s="19">
        <f t="shared" si="41"/>
        <v>2.9707352683240009E-2</v>
      </c>
      <c r="BX122" s="19">
        <f t="shared" si="42"/>
        <v>7.3217027539693594E-3</v>
      </c>
      <c r="BY122" s="19">
        <f t="shared" si="43"/>
        <v>8.5080667871878332E-2</v>
      </c>
    </row>
    <row r="123" spans="1:77" x14ac:dyDescent="0.25">
      <c r="A123" s="1">
        <v>46202</v>
      </c>
      <c r="B123" s="7">
        <v>239.13</v>
      </c>
      <c r="C123" s="7">
        <v>276.98</v>
      </c>
      <c r="D123" s="12">
        <v>9.87589712445122E-3</v>
      </c>
      <c r="E123" s="12">
        <v>1.0488781806742399E-2</v>
      </c>
      <c r="F123" s="7">
        <v>0</v>
      </c>
      <c r="G123" s="7">
        <v>0.31490499999999999</v>
      </c>
      <c r="H123" s="7">
        <v>0</v>
      </c>
      <c r="I123" s="7">
        <v>0.17363000000000001</v>
      </c>
      <c r="J123" s="7">
        <v>0</v>
      </c>
      <c r="K123" s="7">
        <v>0</v>
      </c>
      <c r="L123" s="7">
        <v>239.13</v>
      </c>
      <c r="M123" s="7">
        <v>276.98</v>
      </c>
      <c r="N123" s="10">
        <v>1.15828210596746</v>
      </c>
      <c r="O123" s="10">
        <v>1.1658179450689301</v>
      </c>
      <c r="P123" s="10">
        <v>1.16987443673446</v>
      </c>
      <c r="Q123" s="10">
        <v>1.18611808858669</v>
      </c>
      <c r="R123" s="7">
        <v>278.782045204334</v>
      </c>
      <c r="S123" s="7">
        <v>280.69055384586699</v>
      </c>
      <c r="T123" s="7">
        <v>284.41310659713002</v>
      </c>
      <c r="U123" s="12">
        <v>6.4849751266140201E-3</v>
      </c>
      <c r="V123" s="12">
        <v>1.3307529252595599E-2</v>
      </c>
      <c r="W123" s="12">
        <v>2.6482480533959098E-2</v>
      </c>
      <c r="X123" s="10">
        <v>1.15828210596746</v>
      </c>
      <c r="Y123" s="10">
        <v>1.16578176214971</v>
      </c>
      <c r="Z123" s="10">
        <v>1.16955155234163</v>
      </c>
      <c r="AA123" s="10">
        <v>1.18595664639027</v>
      </c>
      <c r="AB123" s="7">
        <v>278.77339278286098</v>
      </c>
      <c r="AC123" s="7">
        <v>280.61334250100998</v>
      </c>
      <c r="AD123" s="7">
        <v>284.37450092470101</v>
      </c>
      <c r="AE123" s="12">
        <v>6.4539381359082397E-3</v>
      </c>
      <c r="AF123" s="12">
        <v>1.3032415020014501E-2</v>
      </c>
      <c r="AG123" s="12">
        <v>2.6346733299043201E-2</v>
      </c>
      <c r="AZ123" s="5"/>
      <c r="BB123">
        <f t="shared" si="26"/>
        <v>0</v>
      </c>
      <c r="BC123">
        <f t="shared" si="27"/>
        <v>1</v>
      </c>
      <c r="BD123">
        <f t="shared" si="28"/>
        <v>0</v>
      </c>
      <c r="BE123">
        <f t="shared" si="24"/>
        <v>1</v>
      </c>
      <c r="BF123">
        <f t="shared" si="29"/>
        <v>0</v>
      </c>
      <c r="BG123" s="5">
        <f t="shared" si="30"/>
        <v>0</v>
      </c>
      <c r="BH123" s="5">
        <f t="shared" si="31"/>
        <v>0</v>
      </c>
      <c r="BI123" s="5">
        <f t="shared" si="32"/>
        <v>0</v>
      </c>
      <c r="BJ123" s="19">
        <f t="shared" si="33"/>
        <v>5.537331518863832E-2</v>
      </c>
      <c r="BL123" s="5"/>
      <c r="BN123">
        <f t="shared" si="34"/>
        <v>0</v>
      </c>
      <c r="BO123">
        <f t="shared" si="35"/>
        <v>0</v>
      </c>
      <c r="BP123">
        <f t="shared" si="36"/>
        <v>1</v>
      </c>
      <c r="BQ123">
        <f t="shared" si="25"/>
        <v>1</v>
      </c>
      <c r="BR123">
        <f t="shared" si="37"/>
        <v>1</v>
      </c>
      <c r="BS123" s="5">
        <f t="shared" si="38"/>
        <v>-9.87589712445122E-3</v>
      </c>
      <c r="BT123" s="5">
        <f t="shared" si="39"/>
        <v>1.0488781806742399E-2</v>
      </c>
      <c r="BU123" s="5">
        <f t="shared" si="40"/>
        <v>6.1288468229117946E-4</v>
      </c>
      <c r="BV123" s="19">
        <f t="shared" si="41"/>
        <v>3.0320237365531189E-2</v>
      </c>
      <c r="BX123" s="19">
        <f t="shared" si="42"/>
        <v>6.1288468229117946E-4</v>
      </c>
      <c r="BY123" s="19">
        <f t="shared" si="43"/>
        <v>8.5693552554169508E-2</v>
      </c>
    </row>
    <row r="124" spans="1:77" x14ac:dyDescent="0.25">
      <c r="A124" s="1">
        <v>46203</v>
      </c>
      <c r="B124" s="7">
        <v>242.42</v>
      </c>
      <c r="C124" s="7">
        <v>283.79000000000002</v>
      </c>
      <c r="D124" s="12">
        <v>1.36644219344243E-2</v>
      </c>
      <c r="E124" s="12">
        <v>2.4289226608817601E-2</v>
      </c>
      <c r="F124" s="7">
        <v>0</v>
      </c>
      <c r="G124" s="7">
        <v>0.31490499999999999</v>
      </c>
      <c r="H124" s="7">
        <v>0</v>
      </c>
      <c r="I124" s="7">
        <v>0.17363000000000001</v>
      </c>
      <c r="J124" s="7">
        <v>0</v>
      </c>
      <c r="K124" s="7">
        <v>0</v>
      </c>
      <c r="L124" s="7">
        <v>242.42</v>
      </c>
      <c r="M124" s="7">
        <v>283.79000000000002</v>
      </c>
      <c r="N124" s="10">
        <v>1.1706542364491299</v>
      </c>
      <c r="O124" s="10">
        <v>1.1658179450689301</v>
      </c>
      <c r="P124" s="10">
        <v>1.16782023106177</v>
      </c>
      <c r="Q124" s="10">
        <v>1.1837574073422901</v>
      </c>
      <c r="R124" s="7">
        <v>282.61758624361102</v>
      </c>
      <c r="S124" s="7">
        <v>283.600960953168</v>
      </c>
      <c r="T124" s="7">
        <v>287.538747035185</v>
      </c>
      <c r="U124" s="12">
        <v>-4.1398295477792398E-3</v>
      </c>
      <c r="V124" s="12">
        <v>-6.6634496083018595E-4</v>
      </c>
      <c r="W124" s="12">
        <v>1.3123095429344801E-2</v>
      </c>
      <c r="X124" s="10">
        <v>1.1706542364491299</v>
      </c>
      <c r="Y124" s="10">
        <v>1.16578176214971</v>
      </c>
      <c r="Z124" s="10">
        <v>1.16757936929616</v>
      </c>
      <c r="AA124" s="10">
        <v>1.1835959651458801</v>
      </c>
      <c r="AB124" s="7">
        <v>282.608814780334</v>
      </c>
      <c r="AC124" s="7">
        <v>283.522687318659</v>
      </c>
      <c r="AD124" s="7">
        <v>287.49961021793098</v>
      </c>
      <c r="AE124" s="12">
        <v>-4.1708665384849299E-3</v>
      </c>
      <c r="AF124" s="12">
        <v>-9.4238224210030201E-4</v>
      </c>
      <c r="AG124" s="12">
        <v>1.29869764493793E-2</v>
      </c>
      <c r="AZ124" s="5"/>
      <c r="BB124">
        <f t="shared" si="26"/>
        <v>0</v>
      </c>
      <c r="BC124">
        <f t="shared" si="27"/>
        <v>1</v>
      </c>
      <c r="BD124">
        <f t="shared" si="28"/>
        <v>0</v>
      </c>
      <c r="BE124">
        <f t="shared" si="24"/>
        <v>1</v>
      </c>
      <c r="BF124">
        <f t="shared" si="29"/>
        <v>0</v>
      </c>
      <c r="BG124" s="5">
        <f t="shared" si="30"/>
        <v>0</v>
      </c>
      <c r="BH124" s="5">
        <f t="shared" si="31"/>
        <v>0</v>
      </c>
      <c r="BI124" s="5">
        <f t="shared" si="32"/>
        <v>0</v>
      </c>
      <c r="BJ124" s="19">
        <f t="shared" si="33"/>
        <v>5.537331518863832E-2</v>
      </c>
      <c r="BL124" s="5"/>
      <c r="BN124">
        <f t="shared" si="34"/>
        <v>0</v>
      </c>
      <c r="BO124">
        <f t="shared" si="35"/>
        <v>1</v>
      </c>
      <c r="BP124">
        <f t="shared" si="36"/>
        <v>1</v>
      </c>
      <c r="BQ124">
        <f t="shared" si="25"/>
        <v>1</v>
      </c>
      <c r="BR124">
        <f t="shared" si="37"/>
        <v>1</v>
      </c>
      <c r="BS124" s="5">
        <f t="shared" si="38"/>
        <v>-1.36644219344243E-2</v>
      </c>
      <c r="BT124" s="5">
        <f t="shared" si="39"/>
        <v>2.4289226608817601E-2</v>
      </c>
      <c r="BU124" s="5">
        <f t="shared" si="40"/>
        <v>1.0624804674393301E-2</v>
      </c>
      <c r="BV124" s="19">
        <f t="shared" si="41"/>
        <v>4.0945042039924488E-2</v>
      </c>
      <c r="BX124" s="19">
        <f t="shared" si="42"/>
        <v>1.0624804674393301E-2</v>
      </c>
      <c r="BY124" s="19">
        <f t="shared" si="43"/>
        <v>9.6318357228562815E-2</v>
      </c>
    </row>
    <row r="125" spans="1:77" x14ac:dyDescent="0.25">
      <c r="A125" s="1">
        <v>46204</v>
      </c>
      <c r="B125" s="7">
        <v>243.86</v>
      </c>
      <c r="C125" s="7">
        <v>285.11</v>
      </c>
      <c r="D125" s="12">
        <v>5.9225310897527798E-3</v>
      </c>
      <c r="E125" s="12">
        <v>4.6405426922453098E-3</v>
      </c>
      <c r="F125" s="7">
        <v>0</v>
      </c>
      <c r="G125" s="7">
        <v>0.31490499999999999</v>
      </c>
      <c r="H125" s="7">
        <v>0</v>
      </c>
      <c r="I125" s="7">
        <v>0.17363000000000001</v>
      </c>
      <c r="J125" s="7">
        <v>0</v>
      </c>
      <c r="K125" s="7">
        <v>0</v>
      </c>
      <c r="L125" s="7">
        <v>243.86</v>
      </c>
      <c r="M125" s="7">
        <v>285.11</v>
      </c>
      <c r="N125" s="10">
        <v>1.1691544328713099</v>
      </c>
      <c r="O125" s="10">
        <v>1.1658179450689301</v>
      </c>
      <c r="P125" s="10">
        <v>1.1670795287243201</v>
      </c>
      <c r="Q125" s="10">
        <v>1.1810580318019599</v>
      </c>
      <c r="R125" s="7">
        <v>284.29636408451</v>
      </c>
      <c r="S125" s="7">
        <v>284.78464154672298</v>
      </c>
      <c r="T125" s="7">
        <v>288.671081354492</v>
      </c>
      <c r="U125" s="12">
        <v>-2.85784115027147E-3</v>
      </c>
      <c r="V125" s="12">
        <v>-1.1418197852936401E-3</v>
      </c>
      <c r="W125" s="12">
        <v>1.2412842437588801E-2</v>
      </c>
      <c r="X125" s="10">
        <v>1.1691544328713099</v>
      </c>
      <c r="Y125" s="10">
        <v>1.16578176214971</v>
      </c>
      <c r="Z125" s="10">
        <v>1.1669189652932901</v>
      </c>
      <c r="AA125" s="10">
        <v>1.1808965896055399</v>
      </c>
      <c r="AB125" s="7">
        <v>284.28754051783</v>
      </c>
      <c r="AC125" s="7">
        <v>284.72590499656201</v>
      </c>
      <c r="AD125" s="7">
        <v>288.63171206047502</v>
      </c>
      <c r="AE125" s="12">
        <v>-2.8888781409774798E-3</v>
      </c>
      <c r="AF125" s="12">
        <v>-1.3480900667683501E-3</v>
      </c>
      <c r="AG125" s="12">
        <v>1.2276451986935499E-2</v>
      </c>
      <c r="AZ125" s="5"/>
      <c r="BB125">
        <f t="shared" si="26"/>
        <v>0</v>
      </c>
      <c r="BC125">
        <f t="shared" si="27"/>
        <v>1</v>
      </c>
      <c r="BD125">
        <f t="shared" si="28"/>
        <v>0</v>
      </c>
      <c r="BE125">
        <f t="shared" si="24"/>
        <v>1</v>
      </c>
      <c r="BF125">
        <f t="shared" si="29"/>
        <v>0</v>
      </c>
      <c r="BG125" s="5">
        <f t="shared" si="30"/>
        <v>0</v>
      </c>
      <c r="BH125" s="5">
        <f t="shared" si="31"/>
        <v>0</v>
      </c>
      <c r="BI125" s="5">
        <f t="shared" si="32"/>
        <v>0</v>
      </c>
      <c r="BJ125" s="19">
        <f t="shared" si="33"/>
        <v>5.537331518863832E-2</v>
      </c>
      <c r="BL125" s="5"/>
      <c r="BN125">
        <f t="shared" si="34"/>
        <v>0</v>
      </c>
      <c r="BO125">
        <f t="shared" si="35"/>
        <v>1</v>
      </c>
      <c r="BP125">
        <f t="shared" si="36"/>
        <v>0</v>
      </c>
      <c r="BQ125">
        <f t="shared" si="25"/>
        <v>1</v>
      </c>
      <c r="BR125">
        <f t="shared" si="37"/>
        <v>0</v>
      </c>
      <c r="BS125" s="5">
        <f t="shared" si="38"/>
        <v>0</v>
      </c>
      <c r="BT125" s="5">
        <f t="shared" si="39"/>
        <v>0</v>
      </c>
      <c r="BU125" s="5">
        <f t="shared" si="40"/>
        <v>0</v>
      </c>
      <c r="BV125" s="19">
        <f t="shared" si="41"/>
        <v>4.0945042039924488E-2</v>
      </c>
      <c r="BX125" s="19">
        <f t="shared" si="42"/>
        <v>0</v>
      </c>
      <c r="BY125" s="19">
        <f t="shared" si="43"/>
        <v>9.6318357228562815E-2</v>
      </c>
    </row>
    <row r="126" spans="1:77" x14ac:dyDescent="0.25">
      <c r="A126" s="1">
        <v>46205</v>
      </c>
      <c r="B126" s="7">
        <v>248.19</v>
      </c>
      <c r="C126" s="7">
        <v>287.56</v>
      </c>
      <c r="D126" s="12">
        <v>1.7600291738082498E-2</v>
      </c>
      <c r="E126" s="12">
        <v>8.5564634000361399E-3</v>
      </c>
      <c r="F126" s="7">
        <v>0</v>
      </c>
      <c r="G126" s="7">
        <v>0.31490499999999999</v>
      </c>
      <c r="H126" s="7">
        <v>0</v>
      </c>
      <c r="I126" s="7">
        <v>0.17363000000000001</v>
      </c>
      <c r="J126" s="7">
        <v>0</v>
      </c>
      <c r="K126" s="7">
        <v>0</v>
      </c>
      <c r="L126" s="7">
        <v>248.19</v>
      </c>
      <c r="M126" s="7">
        <v>287.56</v>
      </c>
      <c r="N126" s="10">
        <v>1.15862847012369</v>
      </c>
      <c r="O126" s="10">
        <v>1.1658179450689301</v>
      </c>
      <c r="P126" s="10">
        <v>1.16531397258993</v>
      </c>
      <c r="Q126" s="10">
        <v>1.1781908426530701</v>
      </c>
      <c r="R126" s="7">
        <v>289.34435578665898</v>
      </c>
      <c r="S126" s="7">
        <v>289.65746823408898</v>
      </c>
      <c r="T126" s="7">
        <v>293.12679291292898</v>
      </c>
      <c r="U126" s="12">
        <v>6.1859871877747302E-3</v>
      </c>
      <c r="V126" s="12">
        <v>7.2675467441091603E-3</v>
      </c>
      <c r="W126" s="12">
        <v>1.9173721613472999E-2</v>
      </c>
      <c r="X126" s="10">
        <v>1.15862847012369</v>
      </c>
      <c r="Y126" s="10">
        <v>1.16578176214971</v>
      </c>
      <c r="Z126" s="10">
        <v>1.16523260805027</v>
      </c>
      <c r="AA126" s="10">
        <v>1.1780294004566501</v>
      </c>
      <c r="AB126" s="7">
        <v>289.33537554793799</v>
      </c>
      <c r="AC126" s="7">
        <v>289.617617996143</v>
      </c>
      <c r="AD126" s="7">
        <v>293.08672457420101</v>
      </c>
      <c r="AE126" s="12">
        <v>6.1549501970688996E-3</v>
      </c>
      <c r="AF126" s="12">
        <v>7.1299601675219601E-3</v>
      </c>
      <c r="AG126" s="12">
        <v>1.90370194133524E-2</v>
      </c>
      <c r="AZ126" s="5"/>
      <c r="BB126">
        <f t="shared" si="26"/>
        <v>0</v>
      </c>
      <c r="BC126">
        <f t="shared" si="27"/>
        <v>1</v>
      </c>
      <c r="BD126">
        <f t="shared" si="28"/>
        <v>0</v>
      </c>
      <c r="BE126">
        <f t="shared" si="24"/>
        <v>1</v>
      </c>
      <c r="BF126">
        <f t="shared" si="29"/>
        <v>0</v>
      </c>
      <c r="BG126" s="5">
        <f t="shared" si="30"/>
        <v>0</v>
      </c>
      <c r="BH126" s="5">
        <f t="shared" si="31"/>
        <v>0</v>
      </c>
      <c r="BI126" s="5">
        <f t="shared" si="32"/>
        <v>0</v>
      </c>
      <c r="BJ126" s="19">
        <f t="shared" si="33"/>
        <v>5.537331518863832E-2</v>
      </c>
      <c r="BL126" s="5"/>
      <c r="BN126">
        <f t="shared" si="34"/>
        <v>0</v>
      </c>
      <c r="BO126">
        <f t="shared" si="35"/>
        <v>1</v>
      </c>
      <c r="BP126">
        <f t="shared" si="36"/>
        <v>0</v>
      </c>
      <c r="BQ126">
        <f t="shared" si="25"/>
        <v>1</v>
      </c>
      <c r="BR126">
        <f t="shared" si="37"/>
        <v>0</v>
      </c>
      <c r="BS126" s="5">
        <f t="shared" si="38"/>
        <v>0</v>
      </c>
      <c r="BT126" s="5">
        <f t="shared" si="39"/>
        <v>0</v>
      </c>
      <c r="BU126" s="5">
        <f t="shared" si="40"/>
        <v>0</v>
      </c>
      <c r="BV126" s="19">
        <f t="shared" si="41"/>
        <v>4.0945042039924488E-2</v>
      </c>
      <c r="BX126" s="19">
        <f t="shared" si="42"/>
        <v>0</v>
      </c>
      <c r="BY126" s="19">
        <f t="shared" si="43"/>
        <v>9.6318357228562815E-2</v>
      </c>
    </row>
    <row r="127" spans="1:77" x14ac:dyDescent="0.25">
      <c r="A127" s="1">
        <v>46209</v>
      </c>
      <c r="B127" s="7">
        <v>250.78</v>
      </c>
      <c r="C127" s="7">
        <v>289.73</v>
      </c>
      <c r="D127" s="12">
        <v>1.03814788921905E-2</v>
      </c>
      <c r="E127" s="12">
        <v>7.5179207002836201E-3</v>
      </c>
      <c r="F127" s="7">
        <v>0</v>
      </c>
      <c r="G127" s="7">
        <v>0.31490499999999999</v>
      </c>
      <c r="H127" s="7">
        <v>0</v>
      </c>
      <c r="I127" s="7">
        <v>0.17363000000000001</v>
      </c>
      <c r="J127" s="7">
        <v>0</v>
      </c>
      <c r="K127" s="7">
        <v>0</v>
      </c>
      <c r="L127" s="7">
        <v>250.78</v>
      </c>
      <c r="M127" s="7">
        <v>289.73</v>
      </c>
      <c r="N127" s="10">
        <v>1.15531541590238</v>
      </c>
      <c r="O127" s="10">
        <v>1.1658179450689301</v>
      </c>
      <c r="P127" s="10">
        <v>1.1618907461982499</v>
      </c>
      <c r="Q127" s="10">
        <v>1.1754090468376599</v>
      </c>
      <c r="R127" s="7">
        <v>292.36382426438701</v>
      </c>
      <c r="S127" s="7">
        <v>292.23743804610399</v>
      </c>
      <c r="T127" s="7">
        <v>295.46669952053702</v>
      </c>
      <c r="U127" s="12">
        <v>9.0495453796816897E-3</v>
      </c>
      <c r="V127" s="12">
        <v>8.6171610233676497E-3</v>
      </c>
      <c r="W127" s="12">
        <v>1.9606683702103E-2</v>
      </c>
      <c r="X127" s="10">
        <v>1.15531541590238</v>
      </c>
      <c r="Y127" s="10">
        <v>1.16578176214971</v>
      </c>
      <c r="Z127" s="10">
        <v>1.1618907461982499</v>
      </c>
      <c r="AA127" s="10">
        <v>1.1752476046412399</v>
      </c>
      <c r="AB127" s="7">
        <v>292.354750311906</v>
      </c>
      <c r="AC127" s="7">
        <v>292.21703344684602</v>
      </c>
      <c r="AD127" s="7">
        <v>295.42621304651999</v>
      </c>
      <c r="AE127" s="12">
        <v>9.0185083889757506E-3</v>
      </c>
      <c r="AF127" s="12">
        <v>8.5473365964488998E-3</v>
      </c>
      <c r="AG127" s="12">
        <v>1.9469648807221001E-2</v>
      </c>
      <c r="AZ127" s="5"/>
      <c r="BB127">
        <f t="shared" si="26"/>
        <v>0</v>
      </c>
      <c r="BC127">
        <f t="shared" si="27"/>
        <v>1</v>
      </c>
      <c r="BD127">
        <f t="shared" si="28"/>
        <v>0</v>
      </c>
      <c r="BE127">
        <f t="shared" si="24"/>
        <v>1</v>
      </c>
      <c r="BF127">
        <f t="shared" si="29"/>
        <v>0</v>
      </c>
      <c r="BG127" s="5">
        <f t="shared" si="30"/>
        <v>0</v>
      </c>
      <c r="BH127" s="5">
        <f t="shared" si="31"/>
        <v>0</v>
      </c>
      <c r="BI127" s="5">
        <f t="shared" si="32"/>
        <v>0</v>
      </c>
      <c r="BJ127" s="19">
        <f t="shared" si="33"/>
        <v>5.537331518863832E-2</v>
      </c>
      <c r="BL127" s="5"/>
      <c r="BN127">
        <f t="shared" si="34"/>
        <v>0</v>
      </c>
      <c r="BO127">
        <f t="shared" si="35"/>
        <v>1</v>
      </c>
      <c r="BP127">
        <f t="shared" si="36"/>
        <v>0</v>
      </c>
      <c r="BQ127">
        <f t="shared" si="25"/>
        <v>1</v>
      </c>
      <c r="BR127">
        <f t="shared" si="37"/>
        <v>0</v>
      </c>
      <c r="BS127" s="5">
        <f t="shared" si="38"/>
        <v>0</v>
      </c>
      <c r="BT127" s="5">
        <f t="shared" si="39"/>
        <v>0</v>
      </c>
      <c r="BU127" s="5">
        <f t="shared" si="40"/>
        <v>0</v>
      </c>
      <c r="BV127" s="19">
        <f t="shared" si="41"/>
        <v>4.0945042039924488E-2</v>
      </c>
      <c r="BX127" s="19">
        <f t="shared" si="42"/>
        <v>0</v>
      </c>
      <c r="BY127" s="19">
        <f t="shared" si="43"/>
        <v>9.6318357228562815E-2</v>
      </c>
    </row>
    <row r="128" spans="1:77" x14ac:dyDescent="0.25">
      <c r="A128" s="1">
        <v>46210</v>
      </c>
      <c r="B128" s="7">
        <v>245.11</v>
      </c>
      <c r="C128" s="7">
        <v>279.33</v>
      </c>
      <c r="D128" s="12">
        <v>-2.28689713870062E-2</v>
      </c>
      <c r="E128" s="12">
        <v>-3.6555576247406303E-2</v>
      </c>
      <c r="F128" s="7">
        <v>0</v>
      </c>
      <c r="G128" s="7">
        <v>0.31490499999999999</v>
      </c>
      <c r="H128" s="7">
        <v>0</v>
      </c>
      <c r="I128" s="7">
        <v>0.17363000000000001</v>
      </c>
      <c r="J128" s="7">
        <v>0</v>
      </c>
      <c r="K128" s="7">
        <v>0</v>
      </c>
      <c r="L128" s="7">
        <v>245.11</v>
      </c>
      <c r="M128" s="7">
        <v>279.33</v>
      </c>
      <c r="N128" s="10">
        <v>1.1396107869935901</v>
      </c>
      <c r="O128" s="10">
        <v>1.1658179450689301</v>
      </c>
      <c r="P128" s="10">
        <v>1.1578653275089601</v>
      </c>
      <c r="Q128" s="10">
        <v>1.1729932035331601</v>
      </c>
      <c r="R128" s="7">
        <v>285.75363651584598</v>
      </c>
      <c r="S128" s="7">
        <v>284.79104080065298</v>
      </c>
      <c r="T128" s="7">
        <v>288.10451147037901</v>
      </c>
      <c r="U128" s="12">
        <v>2.2736150240081601E-2</v>
      </c>
      <c r="V128" s="12">
        <v>1.93618426115903E-2</v>
      </c>
      <c r="W128" s="12">
        <v>3.0929422789745999E-2</v>
      </c>
      <c r="X128" s="10">
        <v>1.1396107869935901</v>
      </c>
      <c r="Y128" s="10">
        <v>1.16578176214971</v>
      </c>
      <c r="Z128" s="10">
        <v>1.1578653275089601</v>
      </c>
      <c r="AA128" s="10">
        <v>1.17283176133675</v>
      </c>
      <c r="AB128" s="7">
        <v>285.74476772051702</v>
      </c>
      <c r="AC128" s="7">
        <v>284.79104080065298</v>
      </c>
      <c r="AD128" s="7">
        <v>288.06494037361603</v>
      </c>
      <c r="AE128" s="12">
        <v>2.2705113249375901E-2</v>
      </c>
      <c r="AF128" s="12">
        <v>1.93618426115903E-2</v>
      </c>
      <c r="AG128" s="12">
        <v>3.0792063557323401E-2</v>
      </c>
      <c r="AZ128" s="5"/>
      <c r="BB128">
        <f t="shared" si="26"/>
        <v>0</v>
      </c>
      <c r="BC128">
        <f t="shared" si="27"/>
        <v>1</v>
      </c>
      <c r="BD128">
        <f t="shared" si="28"/>
        <v>0</v>
      </c>
      <c r="BE128">
        <f t="shared" si="24"/>
        <v>1</v>
      </c>
      <c r="BF128">
        <f t="shared" si="29"/>
        <v>0</v>
      </c>
      <c r="BG128" s="5">
        <f t="shared" si="30"/>
        <v>0</v>
      </c>
      <c r="BH128" s="5">
        <f t="shared" si="31"/>
        <v>0</v>
      </c>
      <c r="BI128" s="5">
        <f t="shared" si="32"/>
        <v>0</v>
      </c>
      <c r="BJ128" s="19">
        <f t="shared" si="33"/>
        <v>5.537331518863832E-2</v>
      </c>
      <c r="BL128" s="5"/>
      <c r="BN128">
        <f t="shared" si="34"/>
        <v>0</v>
      </c>
      <c r="BO128">
        <f t="shared" si="35"/>
        <v>0</v>
      </c>
      <c r="BP128">
        <f t="shared" si="36"/>
        <v>0</v>
      </c>
      <c r="BQ128">
        <f t="shared" si="25"/>
        <v>1</v>
      </c>
      <c r="BR128">
        <f t="shared" si="37"/>
        <v>0</v>
      </c>
      <c r="BS128" s="5">
        <f t="shared" si="38"/>
        <v>0</v>
      </c>
      <c r="BT128" s="5">
        <f t="shared" si="39"/>
        <v>0</v>
      </c>
      <c r="BU128" s="5">
        <f t="shared" si="40"/>
        <v>0</v>
      </c>
      <c r="BV128" s="19">
        <f t="shared" si="41"/>
        <v>4.0945042039924488E-2</v>
      </c>
      <c r="BX128" s="19">
        <f t="shared" si="42"/>
        <v>0</v>
      </c>
      <c r="BY128" s="19">
        <f t="shared" si="43"/>
        <v>9.6318357228562815E-2</v>
      </c>
    </row>
    <row r="129" spans="1:77" x14ac:dyDescent="0.25">
      <c r="A129" s="1">
        <v>46211</v>
      </c>
      <c r="B129" s="7">
        <v>239.63</v>
      </c>
      <c r="C129" s="7">
        <v>273.83</v>
      </c>
      <c r="D129" s="12">
        <v>-2.2611022290908601E-2</v>
      </c>
      <c r="E129" s="12">
        <v>-1.9886402687959201E-2</v>
      </c>
      <c r="F129" s="7">
        <v>0</v>
      </c>
      <c r="G129" s="7">
        <v>0.31490499999999999</v>
      </c>
      <c r="H129" s="7">
        <v>0</v>
      </c>
      <c r="I129" s="7">
        <v>0.17363000000000001</v>
      </c>
      <c r="J129" s="7">
        <v>0</v>
      </c>
      <c r="K129" s="7">
        <v>0</v>
      </c>
      <c r="L129" s="7">
        <v>239.63</v>
      </c>
      <c r="M129" s="7">
        <v>273.83</v>
      </c>
      <c r="N129" s="10">
        <v>1.1427200267078399</v>
      </c>
      <c r="O129" s="10">
        <v>1.1658179450689301</v>
      </c>
      <c r="P129" s="10">
        <v>1.1554417001199799</v>
      </c>
      <c r="Q129" s="10">
        <v>1.1704816646063001</v>
      </c>
      <c r="R129" s="7">
        <v>279.36495417686899</v>
      </c>
      <c r="S129" s="7">
        <v>277.459268430973</v>
      </c>
      <c r="T129" s="7">
        <v>281.084361362653</v>
      </c>
      <c r="U129" s="12">
        <v>2.0011530637132201E-2</v>
      </c>
      <c r="V129" s="12">
        <v>1.3166666103674399E-2</v>
      </c>
      <c r="W129" s="12">
        <v>2.6147366769070899E-2</v>
      </c>
      <c r="X129" s="10">
        <v>1.1427200267078399</v>
      </c>
      <c r="Y129" s="10">
        <v>1.16578176214971</v>
      </c>
      <c r="Z129" s="10">
        <v>1.1554417001199799</v>
      </c>
      <c r="AA129" s="10">
        <v>1.1703202224098901</v>
      </c>
      <c r="AB129" s="7">
        <v>279.35628366393598</v>
      </c>
      <c r="AC129" s="7">
        <v>277.459268430973</v>
      </c>
      <c r="AD129" s="7">
        <v>281.04567496912603</v>
      </c>
      <c r="AE129" s="12">
        <v>1.99804936464264E-2</v>
      </c>
      <c r="AF129" s="12">
        <v>1.3166666103674399E-2</v>
      </c>
      <c r="AG129" s="12">
        <v>2.6009724618367602E-2</v>
      </c>
      <c r="AZ129" s="5"/>
      <c r="BB129">
        <f t="shared" si="26"/>
        <v>0</v>
      </c>
      <c r="BC129">
        <f t="shared" si="27"/>
        <v>1</v>
      </c>
      <c r="BD129">
        <f t="shared" si="28"/>
        <v>0</v>
      </c>
      <c r="BE129">
        <f t="shared" si="24"/>
        <v>1</v>
      </c>
      <c r="BF129">
        <f t="shared" si="29"/>
        <v>0</v>
      </c>
      <c r="BG129" s="5">
        <f t="shared" si="30"/>
        <v>0</v>
      </c>
      <c r="BH129" s="5">
        <f t="shared" si="31"/>
        <v>0</v>
      </c>
      <c r="BI129" s="5">
        <f t="shared" si="32"/>
        <v>0</v>
      </c>
      <c r="BJ129" s="19">
        <f t="shared" si="33"/>
        <v>5.537331518863832E-2</v>
      </c>
      <c r="BL129" s="5"/>
      <c r="BN129">
        <f t="shared" si="34"/>
        <v>0</v>
      </c>
      <c r="BO129">
        <f t="shared" si="35"/>
        <v>0</v>
      </c>
      <c r="BP129">
        <f t="shared" si="36"/>
        <v>0</v>
      </c>
      <c r="BQ129">
        <f t="shared" si="25"/>
        <v>1</v>
      </c>
      <c r="BR129">
        <f t="shared" si="37"/>
        <v>0</v>
      </c>
      <c r="BS129" s="5">
        <f t="shared" si="38"/>
        <v>0</v>
      </c>
      <c r="BT129" s="5">
        <f t="shared" si="39"/>
        <v>0</v>
      </c>
      <c r="BU129" s="5">
        <f t="shared" si="40"/>
        <v>0</v>
      </c>
      <c r="BV129" s="19">
        <f t="shared" si="41"/>
        <v>4.0945042039924488E-2</v>
      </c>
      <c r="BX129" s="19">
        <f t="shared" si="42"/>
        <v>0</v>
      </c>
      <c r="BY129" s="19">
        <f t="shared" si="43"/>
        <v>9.6318357228562815E-2</v>
      </c>
    </row>
    <row r="130" spans="1:77" x14ac:dyDescent="0.25">
      <c r="A130" s="1">
        <v>46212</v>
      </c>
      <c r="B130" s="7">
        <v>239.62</v>
      </c>
      <c r="C130" s="7">
        <v>273.89</v>
      </c>
      <c r="D130" s="12">
        <v>-4.1731872723852398E-5</v>
      </c>
      <c r="E130" s="12">
        <v>2.1909004688539001E-4</v>
      </c>
      <c r="F130" s="7">
        <v>0</v>
      </c>
      <c r="G130" s="7">
        <v>0.31490499999999999</v>
      </c>
      <c r="H130" s="7">
        <v>0</v>
      </c>
      <c r="I130" s="7">
        <v>0.17363000000000001</v>
      </c>
      <c r="J130" s="7">
        <v>0</v>
      </c>
      <c r="K130" s="7">
        <v>0</v>
      </c>
      <c r="L130" s="7">
        <v>239.62</v>
      </c>
      <c r="M130" s="7">
        <v>273.89</v>
      </c>
      <c r="N130" s="10">
        <v>1.1430181120106799</v>
      </c>
      <c r="O130" s="10">
        <v>1.1658179450689301</v>
      </c>
      <c r="P130" s="10">
        <v>1.1544083997583201</v>
      </c>
      <c r="Q130" s="10">
        <v>1.16831818530773</v>
      </c>
      <c r="R130" s="7">
        <v>279.353295997418</v>
      </c>
      <c r="S130" s="7">
        <v>276.86694018275102</v>
      </c>
      <c r="T130" s="7">
        <v>280.47081647296301</v>
      </c>
      <c r="U130" s="12">
        <v>1.9750708717522901E-2</v>
      </c>
      <c r="V130" s="12">
        <v>1.08104644987915E-2</v>
      </c>
      <c r="W130" s="12">
        <v>2.3743112528021401E-2</v>
      </c>
      <c r="X130" s="10">
        <v>1.1430181120106799</v>
      </c>
      <c r="Y130" s="10">
        <v>1.16578176214971</v>
      </c>
      <c r="Z130" s="10">
        <v>1.1544083997583201</v>
      </c>
      <c r="AA130" s="10">
        <v>1.16815674311131</v>
      </c>
      <c r="AB130" s="7">
        <v>279.34462584631501</v>
      </c>
      <c r="AC130" s="7">
        <v>276.86694018275102</v>
      </c>
      <c r="AD130" s="7">
        <v>280.43213169385803</v>
      </c>
      <c r="AE130" s="12">
        <v>1.9719671726817298E-2</v>
      </c>
      <c r="AF130" s="12">
        <v>1.08104644987915E-2</v>
      </c>
      <c r="AG130" s="12">
        <v>2.3605175013902299E-2</v>
      </c>
      <c r="AZ130" s="5"/>
      <c r="BB130">
        <f t="shared" si="26"/>
        <v>0</v>
      </c>
      <c r="BC130">
        <f t="shared" si="27"/>
        <v>1</v>
      </c>
      <c r="BD130">
        <f t="shared" si="28"/>
        <v>0</v>
      </c>
      <c r="BE130">
        <f t="shared" si="24"/>
        <v>1</v>
      </c>
      <c r="BF130">
        <f t="shared" si="29"/>
        <v>0</v>
      </c>
      <c r="BG130" s="5">
        <f t="shared" si="30"/>
        <v>0</v>
      </c>
      <c r="BH130" s="5">
        <f t="shared" si="31"/>
        <v>0</v>
      </c>
      <c r="BI130" s="5">
        <f t="shared" si="32"/>
        <v>0</v>
      </c>
      <c r="BJ130" s="19">
        <f t="shared" si="33"/>
        <v>5.537331518863832E-2</v>
      </c>
      <c r="BL130" s="5"/>
      <c r="BN130">
        <f t="shared" si="34"/>
        <v>0</v>
      </c>
      <c r="BO130">
        <f t="shared" si="35"/>
        <v>0</v>
      </c>
      <c r="BP130">
        <f t="shared" si="36"/>
        <v>0</v>
      </c>
      <c r="BQ130">
        <f t="shared" si="25"/>
        <v>1</v>
      </c>
      <c r="BR130">
        <f t="shared" si="37"/>
        <v>0</v>
      </c>
      <c r="BS130" s="5">
        <f t="shared" si="38"/>
        <v>0</v>
      </c>
      <c r="BT130" s="5">
        <f t="shared" si="39"/>
        <v>0</v>
      </c>
      <c r="BU130" s="5">
        <f t="shared" si="40"/>
        <v>0</v>
      </c>
      <c r="BV130" s="19">
        <f t="shared" si="41"/>
        <v>4.0945042039924488E-2</v>
      </c>
      <c r="BX130" s="19">
        <f t="shared" si="42"/>
        <v>0</v>
      </c>
      <c r="BY130" s="19">
        <f t="shared" si="43"/>
        <v>9.6318357228562815E-2</v>
      </c>
    </row>
    <row r="131" spans="1:77" x14ac:dyDescent="0.25">
      <c r="A131" s="1">
        <v>46213</v>
      </c>
      <c r="B131" s="7">
        <v>239.06</v>
      </c>
      <c r="C131" s="7">
        <v>271.45</v>
      </c>
      <c r="D131" s="12">
        <v>-2.33976876191814E-3</v>
      </c>
      <c r="E131" s="12">
        <v>-8.94860557601403E-3</v>
      </c>
      <c r="F131" s="7">
        <v>0</v>
      </c>
      <c r="G131" s="7">
        <v>0.31490499999999999</v>
      </c>
      <c r="H131" s="7">
        <v>0</v>
      </c>
      <c r="I131" s="7">
        <v>0.17363000000000001</v>
      </c>
      <c r="J131" s="7">
        <v>0</v>
      </c>
      <c r="K131" s="7">
        <v>0</v>
      </c>
      <c r="L131" s="7">
        <v>239.06</v>
      </c>
      <c r="M131" s="7">
        <v>271.45</v>
      </c>
      <c r="N131" s="10">
        <v>1.1354889985777601</v>
      </c>
      <c r="O131" s="10">
        <v>1.1658179450689301</v>
      </c>
      <c r="P131" s="10">
        <v>1.15304450157077</v>
      </c>
      <c r="Q131" s="10">
        <v>1.1657850352899799</v>
      </c>
      <c r="R131" s="7">
        <v>278.700437948179</v>
      </c>
      <c r="S131" s="7">
        <v>275.97287204622597</v>
      </c>
      <c r="T131" s="7">
        <v>279.29814537966598</v>
      </c>
      <c r="U131" s="12">
        <v>2.6359545531619E-2</v>
      </c>
      <c r="V131" s="12">
        <v>1.6524610847356201E-2</v>
      </c>
      <c r="W131" s="12">
        <v>2.8501872332962901E-2</v>
      </c>
      <c r="X131" s="10">
        <v>1.1354889985777601</v>
      </c>
      <c r="Y131" s="10">
        <v>1.16578176214971</v>
      </c>
      <c r="Z131" s="10">
        <v>1.15304450157077</v>
      </c>
      <c r="AA131" s="10">
        <v>1.1656235930935599</v>
      </c>
      <c r="AB131" s="7">
        <v>278.691788059511</v>
      </c>
      <c r="AC131" s="7">
        <v>275.97287204622597</v>
      </c>
      <c r="AD131" s="7">
        <v>279.25955100819101</v>
      </c>
      <c r="AE131" s="12">
        <v>2.63285085409131E-2</v>
      </c>
      <c r="AF131" s="12">
        <v>1.6524610847356201E-2</v>
      </c>
      <c r="AG131" s="12">
        <v>2.8363679369959E-2</v>
      </c>
      <c r="AZ131" s="5"/>
      <c r="BB131">
        <f t="shared" si="26"/>
        <v>0</v>
      </c>
      <c r="BC131">
        <f t="shared" si="27"/>
        <v>1</v>
      </c>
      <c r="BD131">
        <f t="shared" si="28"/>
        <v>0</v>
      </c>
      <c r="BE131">
        <f t="shared" si="24"/>
        <v>1</v>
      </c>
      <c r="BF131">
        <f t="shared" si="29"/>
        <v>0</v>
      </c>
      <c r="BG131" s="5">
        <f t="shared" si="30"/>
        <v>0</v>
      </c>
      <c r="BH131" s="5">
        <f t="shared" si="31"/>
        <v>0</v>
      </c>
      <c r="BI131" s="5">
        <f t="shared" si="32"/>
        <v>0</v>
      </c>
      <c r="BJ131" s="19">
        <f t="shared" si="33"/>
        <v>5.537331518863832E-2</v>
      </c>
      <c r="BL131" s="5"/>
      <c r="BN131">
        <f t="shared" si="34"/>
        <v>0</v>
      </c>
      <c r="BO131">
        <f t="shared" si="35"/>
        <v>0</v>
      </c>
      <c r="BP131">
        <f t="shared" si="36"/>
        <v>0</v>
      </c>
      <c r="BQ131">
        <f t="shared" si="25"/>
        <v>1</v>
      </c>
      <c r="BR131">
        <f t="shared" si="37"/>
        <v>0</v>
      </c>
      <c r="BS131" s="5">
        <f t="shared" si="38"/>
        <v>0</v>
      </c>
      <c r="BT131" s="5">
        <f t="shared" si="39"/>
        <v>0</v>
      </c>
      <c r="BU131" s="5">
        <f t="shared" si="40"/>
        <v>0</v>
      </c>
      <c r="BV131" s="19">
        <f t="shared" si="41"/>
        <v>4.0945042039924488E-2</v>
      </c>
      <c r="BX131" s="19">
        <f t="shared" si="42"/>
        <v>0</v>
      </c>
      <c r="BY131" s="19">
        <f t="shared" si="43"/>
        <v>9.6318357228562815E-2</v>
      </c>
    </row>
    <row r="132" spans="1:77" x14ac:dyDescent="0.25">
      <c r="A132" s="1">
        <v>46216</v>
      </c>
      <c r="B132" s="7">
        <v>235.05</v>
      </c>
      <c r="C132" s="7">
        <v>264.17</v>
      </c>
      <c r="D132" s="12">
        <v>-1.6916308979695201E-2</v>
      </c>
      <c r="E132" s="12">
        <v>-2.71851250512141E-2</v>
      </c>
      <c r="F132" s="7">
        <v>0</v>
      </c>
      <c r="G132" s="7">
        <v>0.31490499999999999</v>
      </c>
      <c r="H132" s="7">
        <v>0</v>
      </c>
      <c r="I132" s="7">
        <v>0.17363000000000001</v>
      </c>
      <c r="J132" s="7">
        <v>0</v>
      </c>
      <c r="K132" s="7">
        <v>0</v>
      </c>
      <c r="L132" s="7">
        <v>235.05</v>
      </c>
      <c r="M132" s="7">
        <v>264.17</v>
      </c>
      <c r="N132" s="10">
        <v>1.1238885343543901</v>
      </c>
      <c r="O132" s="10">
        <v>1.1658179450689301</v>
      </c>
      <c r="P132" s="10">
        <v>1.1496761119958201</v>
      </c>
      <c r="Q132" s="10">
        <v>1.16173755385654</v>
      </c>
      <c r="R132" s="7">
        <v>274.025507988453</v>
      </c>
      <c r="S132" s="7">
        <v>271.02311009421101</v>
      </c>
      <c r="T132" s="7">
        <v>274.01777254490997</v>
      </c>
      <c r="U132" s="12">
        <v>3.6628361603137698E-2</v>
      </c>
      <c r="V132" s="12">
        <v>2.5611259043980601E-2</v>
      </c>
      <c r="W132" s="12">
        <v>3.6600132286883899E-2</v>
      </c>
      <c r="X132" s="10">
        <v>1.1238885343543901</v>
      </c>
      <c r="Y132" s="10">
        <v>1.16578176214971</v>
      </c>
      <c r="Z132" s="10">
        <v>1.1496761119958201</v>
      </c>
      <c r="AA132" s="10">
        <v>1.16157611166012</v>
      </c>
      <c r="AB132" s="7">
        <v>274.01700319329098</v>
      </c>
      <c r="AC132" s="7">
        <v>271.02311009421101</v>
      </c>
      <c r="AD132" s="7">
        <v>273.97982555664299</v>
      </c>
      <c r="AE132" s="12">
        <v>3.6597324612431897E-2</v>
      </c>
      <c r="AF132" s="12">
        <v>2.5611259043980799E-2</v>
      </c>
      <c r="AG132" s="12">
        <v>3.6461639021733598E-2</v>
      </c>
      <c r="AZ132" s="5"/>
      <c r="BB132">
        <f t="shared" si="26"/>
        <v>0</v>
      </c>
      <c r="BC132">
        <f t="shared" si="27"/>
        <v>1</v>
      </c>
      <c r="BD132">
        <f t="shared" si="28"/>
        <v>0</v>
      </c>
      <c r="BE132">
        <f t="shared" si="24"/>
        <v>1</v>
      </c>
      <c r="BF132">
        <f t="shared" si="29"/>
        <v>0</v>
      </c>
      <c r="BG132" s="5">
        <f t="shared" si="30"/>
        <v>0</v>
      </c>
      <c r="BH132" s="5">
        <f t="shared" si="31"/>
        <v>0</v>
      </c>
      <c r="BI132" s="5">
        <f t="shared" si="32"/>
        <v>0</v>
      </c>
      <c r="BJ132" s="19">
        <f t="shared" si="33"/>
        <v>5.537331518863832E-2</v>
      </c>
      <c r="BL132" s="5"/>
      <c r="BN132">
        <f t="shared" si="34"/>
        <v>1</v>
      </c>
      <c r="BO132">
        <f t="shared" si="35"/>
        <v>0</v>
      </c>
      <c r="BP132">
        <f t="shared" si="36"/>
        <v>0</v>
      </c>
      <c r="BQ132">
        <f t="shared" si="25"/>
        <v>1</v>
      </c>
      <c r="BR132">
        <f t="shared" si="37"/>
        <v>0</v>
      </c>
      <c r="BS132" s="5">
        <f t="shared" si="38"/>
        <v>0</v>
      </c>
      <c r="BT132" s="5">
        <f t="shared" si="39"/>
        <v>0</v>
      </c>
      <c r="BU132" s="5">
        <f t="shared" si="40"/>
        <v>0</v>
      </c>
      <c r="BV132" s="19">
        <f t="shared" si="41"/>
        <v>4.0945042039924488E-2</v>
      </c>
      <c r="BX132" s="19">
        <f t="shared" si="42"/>
        <v>0</v>
      </c>
      <c r="BY132" s="19">
        <f t="shared" si="43"/>
        <v>9.6318357228562815E-2</v>
      </c>
    </row>
    <row r="133" spans="1:77" x14ac:dyDescent="0.25">
      <c r="A133" s="1">
        <v>46217</v>
      </c>
      <c r="B133" s="7">
        <v>235.27</v>
      </c>
      <c r="C133" s="7">
        <v>266.56</v>
      </c>
      <c r="D133" s="12">
        <v>9.3553332218796099E-4</v>
      </c>
      <c r="E133" s="12">
        <v>9.0065236782318307E-3</v>
      </c>
      <c r="F133" s="7">
        <v>0</v>
      </c>
      <c r="G133" s="7">
        <v>0.31490499999999999</v>
      </c>
      <c r="H133" s="7">
        <v>0</v>
      </c>
      <c r="I133" s="7">
        <v>0.17363000000000001</v>
      </c>
      <c r="J133" s="7">
        <v>0</v>
      </c>
      <c r="K133" s="7">
        <v>0</v>
      </c>
      <c r="L133" s="7">
        <v>235.27</v>
      </c>
      <c r="M133" s="7">
        <v>266.56</v>
      </c>
      <c r="N133" s="10">
        <v>1.13299613210354</v>
      </c>
      <c r="O133" s="10">
        <v>1.1658179450689301</v>
      </c>
      <c r="P133" s="10">
        <v>1.1471475146094301</v>
      </c>
      <c r="Q133" s="10">
        <v>1.1585109756719401</v>
      </c>
      <c r="R133" s="7">
        <v>274.28198793636801</v>
      </c>
      <c r="S133" s="7">
        <v>270.484298869258</v>
      </c>
      <c r="T133" s="7">
        <v>273.32199429582801</v>
      </c>
      <c r="U133" s="12">
        <v>2.85573712470941E-2</v>
      </c>
      <c r="V133" s="12">
        <v>1.46146927777658E-2</v>
      </c>
      <c r="W133" s="12">
        <v>2.5051207467660201E-2</v>
      </c>
      <c r="X133" s="10">
        <v>1.13299613210354</v>
      </c>
      <c r="Y133" s="10">
        <v>1.16578176214971</v>
      </c>
      <c r="Z133" s="10">
        <v>1.1471475146094301</v>
      </c>
      <c r="AA133" s="10">
        <v>1.15834953347553</v>
      </c>
      <c r="AB133" s="7">
        <v>274.273475180964</v>
      </c>
      <c r="AC133" s="7">
        <v>270.484298869258</v>
      </c>
      <c r="AD133" s="7">
        <v>273.28401179027799</v>
      </c>
      <c r="AE133" s="12">
        <v>2.8526334256388199E-2</v>
      </c>
      <c r="AF133" s="12">
        <v>1.4614692777765999E-2</v>
      </c>
      <c r="AG133" s="12">
        <v>2.4912231659898799E-2</v>
      </c>
      <c r="AZ133" s="5"/>
      <c r="BB133">
        <f t="shared" si="26"/>
        <v>0</v>
      </c>
      <c r="BC133">
        <f t="shared" si="27"/>
        <v>1</v>
      </c>
      <c r="BD133">
        <f t="shared" si="28"/>
        <v>0</v>
      </c>
      <c r="BE133">
        <f t="shared" si="24"/>
        <v>1</v>
      </c>
      <c r="BF133">
        <f t="shared" si="29"/>
        <v>0</v>
      </c>
      <c r="BG133" s="5">
        <f t="shared" si="30"/>
        <v>0</v>
      </c>
      <c r="BH133" s="5">
        <f t="shared" si="31"/>
        <v>0</v>
      </c>
      <c r="BI133" s="5">
        <f t="shared" si="32"/>
        <v>0</v>
      </c>
      <c r="BJ133" s="19">
        <f t="shared" si="33"/>
        <v>5.537331518863832E-2</v>
      </c>
      <c r="BL133" s="5"/>
      <c r="BN133">
        <f t="shared" si="34"/>
        <v>0</v>
      </c>
      <c r="BO133">
        <f t="shared" si="35"/>
        <v>0</v>
      </c>
      <c r="BP133">
        <f t="shared" si="36"/>
        <v>1</v>
      </c>
      <c r="BQ133">
        <f t="shared" si="25"/>
        <v>1</v>
      </c>
      <c r="BR133">
        <f t="shared" si="37"/>
        <v>1</v>
      </c>
      <c r="BS133" s="5">
        <f t="shared" si="38"/>
        <v>-9.3553332218796099E-4</v>
      </c>
      <c r="BT133" s="5">
        <f t="shared" si="39"/>
        <v>9.0065236782318307E-3</v>
      </c>
      <c r="BU133" s="5">
        <f t="shared" si="40"/>
        <v>8.0709903560438698E-3</v>
      </c>
      <c r="BV133" s="19">
        <f t="shared" si="41"/>
        <v>4.9016032395968356E-2</v>
      </c>
      <c r="BX133" s="19">
        <f t="shared" si="42"/>
        <v>8.0709903560438698E-3</v>
      </c>
      <c r="BY133" s="19">
        <f t="shared" si="43"/>
        <v>0.10438934758460669</v>
      </c>
    </row>
    <row r="134" spans="1:77" x14ac:dyDescent="0.25">
      <c r="A134" s="1">
        <v>46218</v>
      </c>
      <c r="B134" s="7">
        <v>236.42</v>
      </c>
      <c r="C134" s="7">
        <v>266.32</v>
      </c>
      <c r="D134" s="12">
        <v>4.8760935299031697E-3</v>
      </c>
      <c r="E134" s="12">
        <v>-9.0076571170844195E-4</v>
      </c>
      <c r="F134" s="7">
        <v>0</v>
      </c>
      <c r="G134" s="7">
        <v>0.31490499999999999</v>
      </c>
      <c r="H134" s="7">
        <v>0</v>
      </c>
      <c r="I134" s="7">
        <v>0.17363000000000001</v>
      </c>
      <c r="J134" s="7">
        <v>0</v>
      </c>
      <c r="K134" s="7">
        <v>0</v>
      </c>
      <c r="L134" s="7">
        <v>236.42</v>
      </c>
      <c r="M134" s="7">
        <v>266.32</v>
      </c>
      <c r="N134" s="10">
        <v>1.1264698418069501</v>
      </c>
      <c r="O134" s="10">
        <v>1.1658179450689301</v>
      </c>
      <c r="P134" s="10">
        <v>1.1427290751452099</v>
      </c>
      <c r="Q134" s="10">
        <v>1.1552746531034901</v>
      </c>
      <c r="R134" s="7">
        <v>275.62267857319699</v>
      </c>
      <c r="S134" s="7">
        <v>271.20861540396203</v>
      </c>
      <c r="T134" s="7">
        <v>273.89516486836197</v>
      </c>
      <c r="U134" s="12">
        <v>3.43342304887055E-2</v>
      </c>
      <c r="V134" s="12">
        <v>1.81897300086146E-2</v>
      </c>
      <c r="W134" s="12">
        <v>2.8046829937950501E-2</v>
      </c>
      <c r="X134" s="10">
        <v>1.1264698418069501</v>
      </c>
      <c r="Y134" s="10">
        <v>1.16578176214971</v>
      </c>
      <c r="Z134" s="10">
        <v>1.1427290751452099</v>
      </c>
      <c r="AA134" s="10">
        <v>1.1551542222206901</v>
      </c>
      <c r="AB134" s="7">
        <v>275.61412420743602</v>
      </c>
      <c r="AC134" s="7">
        <v>271.20861540396203</v>
      </c>
      <c r="AD134" s="7">
        <v>273.85699670428602</v>
      </c>
      <c r="AE134" s="12">
        <v>3.4303193497999797E-2</v>
      </c>
      <c r="AF134" s="12">
        <v>1.81897300086146E-2</v>
      </c>
      <c r="AG134" s="12">
        <v>2.79074670405829E-2</v>
      </c>
      <c r="AZ134" s="5"/>
      <c r="BB134">
        <f t="shared" si="26"/>
        <v>0</v>
      </c>
      <c r="BC134">
        <f t="shared" si="27"/>
        <v>1</v>
      </c>
      <c r="BD134">
        <f t="shared" si="28"/>
        <v>0</v>
      </c>
      <c r="BE134">
        <f t="shared" si="24"/>
        <v>1</v>
      </c>
      <c r="BF134">
        <f t="shared" si="29"/>
        <v>0</v>
      </c>
      <c r="BG134" s="5">
        <f t="shared" si="30"/>
        <v>0</v>
      </c>
      <c r="BH134" s="5">
        <f t="shared" si="31"/>
        <v>0</v>
      </c>
      <c r="BI134" s="5">
        <f t="shared" si="32"/>
        <v>0</v>
      </c>
      <c r="BJ134" s="19">
        <f t="shared" si="33"/>
        <v>5.537331518863832E-2</v>
      </c>
      <c r="BL134" s="5"/>
      <c r="BN134">
        <f t="shared" si="34"/>
        <v>0</v>
      </c>
      <c r="BO134">
        <f t="shared" si="35"/>
        <v>0</v>
      </c>
      <c r="BP134">
        <f t="shared" si="36"/>
        <v>1</v>
      </c>
      <c r="BQ134">
        <f t="shared" si="25"/>
        <v>1</v>
      </c>
      <c r="BR134">
        <f t="shared" si="37"/>
        <v>1</v>
      </c>
      <c r="BS134" s="5">
        <f t="shared" si="38"/>
        <v>-4.8760935299031697E-3</v>
      </c>
      <c r="BT134" s="5">
        <f t="shared" si="39"/>
        <v>-9.0076571170844195E-4</v>
      </c>
      <c r="BU134" s="5">
        <f t="shared" si="40"/>
        <v>-5.7768592416116114E-3</v>
      </c>
      <c r="BV134" s="19">
        <f t="shared" si="41"/>
        <v>4.3239173154356741E-2</v>
      </c>
      <c r="BX134" s="19">
        <f t="shared" si="42"/>
        <v>-5.7768592416116114E-3</v>
      </c>
      <c r="BY134" s="19">
        <f t="shared" si="43"/>
        <v>9.8612488342995075E-2</v>
      </c>
    </row>
    <row r="135" spans="1:77" x14ac:dyDescent="0.25">
      <c r="A135" s="1">
        <v>46219</v>
      </c>
      <c r="B135" s="7">
        <v>230.89</v>
      </c>
      <c r="C135" s="7">
        <v>259.06</v>
      </c>
      <c r="D135" s="12">
        <v>-2.36684776913187E-2</v>
      </c>
      <c r="E135" s="12">
        <v>-2.76388981646595E-2</v>
      </c>
      <c r="F135" s="7">
        <v>0</v>
      </c>
      <c r="G135" s="7">
        <v>0.31490499999999999</v>
      </c>
      <c r="H135" s="7">
        <v>0</v>
      </c>
      <c r="I135" s="7">
        <v>0.17363000000000001</v>
      </c>
      <c r="J135" s="7">
        <v>0</v>
      </c>
      <c r="K135" s="7">
        <v>0</v>
      </c>
      <c r="L135" s="7">
        <v>230.89</v>
      </c>
      <c r="M135" s="7">
        <v>259.06</v>
      </c>
      <c r="N135" s="10">
        <v>1.12200615011477</v>
      </c>
      <c r="O135" s="10">
        <v>1.1658179450689301</v>
      </c>
      <c r="P135" s="10">
        <v>1.13801424686956</v>
      </c>
      <c r="Q135" s="10">
        <v>1.15254688779694</v>
      </c>
      <c r="R135" s="7">
        <v>269.17570533696602</v>
      </c>
      <c r="S135" s="7">
        <v>263.84471616027901</v>
      </c>
      <c r="T135" s="7">
        <v>266.74136465506501</v>
      </c>
      <c r="U135" s="12">
        <v>3.8304650962046299E-2</v>
      </c>
      <c r="V135" s="12">
        <v>1.8301038626283E-2</v>
      </c>
      <c r="W135" s="12">
        <v>2.9219822128634301E-2</v>
      </c>
      <c r="X135" s="10">
        <v>1.12200615011477</v>
      </c>
      <c r="Y135" s="10">
        <v>1.16578176214971</v>
      </c>
      <c r="Z135" s="10">
        <v>1.13801424686956</v>
      </c>
      <c r="AA135" s="10">
        <v>1.1524666060814299</v>
      </c>
      <c r="AB135" s="7">
        <v>269.16735106274803</v>
      </c>
      <c r="AC135" s="7">
        <v>263.84471616027901</v>
      </c>
      <c r="AD135" s="7">
        <v>266.71355836853502</v>
      </c>
      <c r="AE135" s="12">
        <v>3.8273613971340402E-2</v>
      </c>
      <c r="AF135" s="12">
        <v>1.8301038626283E-2</v>
      </c>
      <c r="AG135" s="12">
        <v>2.9115572320991701E-2</v>
      </c>
      <c r="AZ135" s="5"/>
      <c r="BB135">
        <f t="shared" si="26"/>
        <v>0</v>
      </c>
      <c r="BC135">
        <f t="shared" si="27"/>
        <v>1</v>
      </c>
      <c r="BD135">
        <f t="shared" si="28"/>
        <v>0</v>
      </c>
      <c r="BE135">
        <f t="shared" si="24"/>
        <v>1</v>
      </c>
      <c r="BF135">
        <f t="shared" si="29"/>
        <v>0</v>
      </c>
      <c r="BG135" s="5">
        <f t="shared" si="30"/>
        <v>0</v>
      </c>
      <c r="BH135" s="5">
        <f t="shared" si="31"/>
        <v>0</v>
      </c>
      <c r="BI135" s="5">
        <f t="shared" si="32"/>
        <v>0</v>
      </c>
      <c r="BJ135" s="19">
        <f t="shared" si="33"/>
        <v>5.537331518863832E-2</v>
      </c>
      <c r="BL135" s="5"/>
      <c r="BN135">
        <f t="shared" si="34"/>
        <v>0</v>
      </c>
      <c r="BO135">
        <f t="shared" si="35"/>
        <v>0</v>
      </c>
      <c r="BP135">
        <f t="shared" si="36"/>
        <v>1</v>
      </c>
      <c r="BQ135">
        <f t="shared" si="25"/>
        <v>1</v>
      </c>
      <c r="BR135">
        <f t="shared" si="37"/>
        <v>1</v>
      </c>
      <c r="BS135" s="5">
        <f t="shared" si="38"/>
        <v>2.36684776913187E-2</v>
      </c>
      <c r="BT135" s="5">
        <f t="shared" si="39"/>
        <v>-2.76388981646595E-2</v>
      </c>
      <c r="BU135" s="5">
        <f t="shared" si="40"/>
        <v>-3.9704204733407994E-3</v>
      </c>
      <c r="BV135" s="19">
        <f t="shared" si="41"/>
        <v>3.9268752681015942E-2</v>
      </c>
      <c r="BX135" s="19">
        <f t="shared" si="42"/>
        <v>-3.9704204733407994E-3</v>
      </c>
      <c r="BY135" s="19">
        <f t="shared" si="43"/>
        <v>9.4642067869654276E-2</v>
      </c>
    </row>
    <row r="136" spans="1:77" x14ac:dyDescent="0.25">
      <c r="A136" s="1">
        <v>46220</v>
      </c>
      <c r="B136" s="7">
        <v>230.73</v>
      </c>
      <c r="C136" s="7">
        <v>258.57</v>
      </c>
      <c r="D136" s="12">
        <v>-6.93210893840002E-4</v>
      </c>
      <c r="E136" s="12">
        <v>-1.89324477469239E-3</v>
      </c>
      <c r="F136" s="7">
        <v>0</v>
      </c>
      <c r="G136" s="7">
        <v>0.31490499999999999</v>
      </c>
      <c r="H136" s="7">
        <v>0</v>
      </c>
      <c r="I136" s="7">
        <v>0.17363000000000001</v>
      </c>
      <c r="J136" s="7">
        <v>0</v>
      </c>
      <c r="K136" s="7">
        <v>0</v>
      </c>
      <c r="L136" s="7">
        <v>230.73</v>
      </c>
      <c r="M136" s="7">
        <v>258.57</v>
      </c>
      <c r="N136" s="10">
        <v>1.1206605122870801</v>
      </c>
      <c r="O136" s="10">
        <v>1.1658179450689301</v>
      </c>
      <c r="P136" s="10">
        <v>1.1342174510859</v>
      </c>
      <c r="Q136" s="10">
        <v>1.1497657118379101</v>
      </c>
      <c r="R136" s="7">
        <v>268.98917446575501</v>
      </c>
      <c r="S136" s="7">
        <v>262.57402718021399</v>
      </c>
      <c r="T136" s="7">
        <v>265.927143421388</v>
      </c>
      <c r="U136" s="12">
        <v>3.95046848428987E-2</v>
      </c>
      <c r="V136" s="12">
        <v>1.53666002529705E-2</v>
      </c>
      <c r="W136" s="12">
        <v>2.8055924025597499E-2</v>
      </c>
      <c r="X136" s="10">
        <v>1.1206605122870801</v>
      </c>
      <c r="Y136" s="10">
        <v>1.16578176214971</v>
      </c>
      <c r="Z136" s="10">
        <v>1.1342174510859</v>
      </c>
      <c r="AA136" s="10">
        <v>1.1497250295680801</v>
      </c>
      <c r="AB136" s="7">
        <v>268.98082598080401</v>
      </c>
      <c r="AC136" s="7">
        <v>262.57402718021399</v>
      </c>
      <c r="AD136" s="7">
        <v>265.90862002116802</v>
      </c>
      <c r="AE136" s="12">
        <v>3.9473647852192803E-2</v>
      </c>
      <c r="AF136" s="12">
        <v>1.53666002529705E-2</v>
      </c>
      <c r="AG136" s="12">
        <v>2.79862656780374E-2</v>
      </c>
      <c r="AZ136" s="5"/>
      <c r="BB136">
        <f t="shared" si="26"/>
        <v>0</v>
      </c>
      <c r="BC136">
        <f t="shared" si="27"/>
        <v>1</v>
      </c>
      <c r="BD136">
        <f t="shared" si="28"/>
        <v>0</v>
      </c>
      <c r="BE136">
        <f t="shared" si="24"/>
        <v>1</v>
      </c>
      <c r="BF136">
        <f t="shared" si="29"/>
        <v>0</v>
      </c>
      <c r="BG136" s="5">
        <f t="shared" si="30"/>
        <v>0</v>
      </c>
      <c r="BH136" s="5">
        <f t="shared" si="31"/>
        <v>0</v>
      </c>
      <c r="BI136" s="5">
        <f t="shared" si="32"/>
        <v>0</v>
      </c>
      <c r="BJ136" s="19">
        <f t="shared" si="33"/>
        <v>5.537331518863832E-2</v>
      </c>
      <c r="BL136" s="5"/>
      <c r="BN136">
        <f t="shared" si="34"/>
        <v>0</v>
      </c>
      <c r="BO136">
        <f t="shared" si="35"/>
        <v>0</v>
      </c>
      <c r="BP136">
        <f t="shared" si="36"/>
        <v>1</v>
      </c>
      <c r="BQ136">
        <f t="shared" si="25"/>
        <v>1</v>
      </c>
      <c r="BR136">
        <f t="shared" si="37"/>
        <v>1</v>
      </c>
      <c r="BS136" s="5">
        <f t="shared" si="38"/>
        <v>6.93210893840002E-4</v>
      </c>
      <c r="BT136" s="5">
        <f t="shared" si="39"/>
        <v>-1.89324477469239E-3</v>
      </c>
      <c r="BU136" s="5">
        <f t="shared" si="40"/>
        <v>-1.2000338808523881E-3</v>
      </c>
      <c r="BV136" s="19">
        <f t="shared" si="41"/>
        <v>3.8068718800163555E-2</v>
      </c>
      <c r="BX136" s="19">
        <f t="shared" si="42"/>
        <v>-1.2000338808523881E-3</v>
      </c>
      <c r="BY136" s="19">
        <f t="shared" si="43"/>
        <v>9.3442033988801881E-2</v>
      </c>
    </row>
    <row r="137" spans="1:77" x14ac:dyDescent="0.25">
      <c r="A137" s="1">
        <v>46223</v>
      </c>
      <c r="B137" s="7">
        <v>229.27</v>
      </c>
      <c r="C137" s="7">
        <v>259.31</v>
      </c>
      <c r="D137" s="12">
        <v>-6.3478474025013198E-3</v>
      </c>
      <c r="E137" s="12">
        <v>2.8578068418757601E-3</v>
      </c>
      <c r="F137" s="7">
        <v>0</v>
      </c>
      <c r="G137" s="7">
        <v>0.31490499999999999</v>
      </c>
      <c r="H137" s="7">
        <v>0</v>
      </c>
      <c r="I137" s="7">
        <v>0.17363000000000001</v>
      </c>
      <c r="J137" s="7">
        <v>0</v>
      </c>
      <c r="K137" s="7">
        <v>0</v>
      </c>
      <c r="L137" s="7">
        <v>229.27</v>
      </c>
      <c r="M137" s="7">
        <v>259.31</v>
      </c>
      <c r="N137" s="10">
        <v>1.13102455620011</v>
      </c>
      <c r="O137" s="10">
        <v>1.1658179450689301</v>
      </c>
      <c r="P137" s="10">
        <v>1.1317883651156699</v>
      </c>
      <c r="Q137" s="10">
        <v>1.1468395556569599</v>
      </c>
      <c r="R137" s="7">
        <v>267.28708026595399</v>
      </c>
      <c r="S137" s="7">
        <v>260.04203501046402</v>
      </c>
      <c r="T137" s="7">
        <v>263.60678475307901</v>
      </c>
      <c r="U137" s="12">
        <v>3.0299030598521699E-2</v>
      </c>
      <c r="V137" s="12">
        <v>2.81903389571632E-3</v>
      </c>
      <c r="W137" s="12">
        <v>1.6434283948306101E-2</v>
      </c>
      <c r="X137" s="10">
        <v>1.13102455620011</v>
      </c>
      <c r="Y137" s="10">
        <v>1.16578176214971</v>
      </c>
      <c r="Z137" s="10">
        <v>1.1317883651156699</v>
      </c>
      <c r="AA137" s="10">
        <v>1.1468395556569599</v>
      </c>
      <c r="AB137" s="7">
        <v>267.278784608065</v>
      </c>
      <c r="AC137" s="7">
        <v>260.04203501046402</v>
      </c>
      <c r="AD137" s="7">
        <v>263.59745752907497</v>
      </c>
      <c r="AE137" s="12">
        <v>3.0267993607815801E-2</v>
      </c>
      <c r="AF137" s="12">
        <v>2.81903389571632E-3</v>
      </c>
      <c r="AG137" s="12">
        <v>1.6398900226940901E-2</v>
      </c>
      <c r="AZ137" s="5"/>
      <c r="BB137">
        <f t="shared" si="26"/>
        <v>0</v>
      </c>
      <c r="BC137">
        <f t="shared" si="27"/>
        <v>1</v>
      </c>
      <c r="BD137">
        <f t="shared" si="28"/>
        <v>0</v>
      </c>
      <c r="BE137">
        <f t="shared" si="24"/>
        <v>1</v>
      </c>
      <c r="BF137">
        <f t="shared" si="29"/>
        <v>0</v>
      </c>
      <c r="BG137" s="5">
        <f t="shared" si="30"/>
        <v>0</v>
      </c>
      <c r="BH137" s="5">
        <f t="shared" si="31"/>
        <v>0</v>
      </c>
      <c r="BI137" s="5">
        <f t="shared" si="32"/>
        <v>0</v>
      </c>
      <c r="BJ137" s="19">
        <f t="shared" si="33"/>
        <v>5.537331518863832E-2</v>
      </c>
      <c r="BL137" s="5"/>
      <c r="BN137">
        <f t="shared" si="34"/>
        <v>0</v>
      </c>
      <c r="BO137">
        <f t="shared" si="35"/>
        <v>1</v>
      </c>
      <c r="BP137">
        <f t="shared" si="36"/>
        <v>1</v>
      </c>
      <c r="BQ137">
        <f t="shared" si="25"/>
        <v>1</v>
      </c>
      <c r="BR137">
        <f t="shared" si="37"/>
        <v>1</v>
      </c>
      <c r="BS137" s="5">
        <f t="shared" si="38"/>
        <v>6.3478474025013198E-3</v>
      </c>
      <c r="BT137" s="5">
        <f t="shared" si="39"/>
        <v>2.8578068418757601E-3</v>
      </c>
      <c r="BU137" s="5">
        <f t="shared" si="40"/>
        <v>9.20565424437708E-3</v>
      </c>
      <c r="BV137" s="19">
        <f t="shared" si="41"/>
        <v>4.7274373044540637E-2</v>
      </c>
      <c r="BX137" s="19">
        <f t="shared" si="42"/>
        <v>9.20565424437708E-3</v>
      </c>
      <c r="BY137" s="19">
        <f t="shared" si="43"/>
        <v>0.10264768823317896</v>
      </c>
    </row>
    <row r="138" spans="1:77" x14ac:dyDescent="0.25">
      <c r="A138" s="1">
        <v>46224</v>
      </c>
      <c r="B138" s="7">
        <v>229.74</v>
      </c>
      <c r="C138" s="7">
        <v>264.91000000000003</v>
      </c>
      <c r="D138" s="12">
        <v>2.0478863826873298E-3</v>
      </c>
      <c r="E138" s="12">
        <v>2.1365888490589201E-2</v>
      </c>
      <c r="F138" s="7">
        <v>0</v>
      </c>
      <c r="G138" s="7">
        <v>0.31490499999999999</v>
      </c>
      <c r="H138" s="7">
        <v>0</v>
      </c>
      <c r="I138" s="7">
        <v>0.17363000000000001</v>
      </c>
      <c r="J138" s="7">
        <v>0</v>
      </c>
      <c r="K138" s="7">
        <v>0</v>
      </c>
      <c r="L138" s="7">
        <v>229.74</v>
      </c>
      <c r="M138" s="7">
        <v>264.91000000000003</v>
      </c>
      <c r="N138" s="10">
        <v>1.15308609732741</v>
      </c>
      <c r="O138" s="10">
        <v>1.1658179450689301</v>
      </c>
      <c r="P138" s="10">
        <v>1.1331358961490501</v>
      </c>
      <c r="Q138" s="10">
        <v>1.1455006118290101</v>
      </c>
      <c r="R138" s="7">
        <v>267.83501470013698</v>
      </c>
      <c r="S138" s="7">
        <v>260.01705900167502</v>
      </c>
      <c r="T138" s="7">
        <v>263.47491951663</v>
      </c>
      <c r="U138" s="12">
        <v>1.09810284906198E-2</v>
      </c>
      <c r="V138" s="12">
        <v>-1.8642905251794101E-2</v>
      </c>
      <c r="W138" s="12">
        <v>-5.4319643086418899E-3</v>
      </c>
      <c r="X138" s="10">
        <v>1.15308609732741</v>
      </c>
      <c r="Y138" s="10">
        <v>1.16578176214971</v>
      </c>
      <c r="Z138" s="10">
        <v>1.1331358961490501</v>
      </c>
      <c r="AA138" s="10">
        <v>1.1455006118290101</v>
      </c>
      <c r="AB138" s="7">
        <v>267.826702036276</v>
      </c>
      <c r="AC138" s="7">
        <v>260.01705900167502</v>
      </c>
      <c r="AD138" s="7">
        <v>263.47491951663</v>
      </c>
      <c r="AE138" s="12">
        <v>1.09499914999142E-2</v>
      </c>
      <c r="AF138" s="12">
        <v>-1.8642905251794101E-2</v>
      </c>
      <c r="AG138" s="12">
        <v>-5.4319643086421102E-3</v>
      </c>
      <c r="AZ138" s="5"/>
      <c r="BB138">
        <f t="shared" si="26"/>
        <v>0</v>
      </c>
      <c r="BC138">
        <f t="shared" si="27"/>
        <v>0</v>
      </c>
      <c r="BD138">
        <f t="shared" si="28"/>
        <v>0</v>
      </c>
      <c r="BE138">
        <f t="shared" si="24"/>
        <v>1</v>
      </c>
      <c r="BF138">
        <f t="shared" si="29"/>
        <v>0</v>
      </c>
      <c r="BG138" s="5">
        <f t="shared" si="30"/>
        <v>0</v>
      </c>
      <c r="BH138" s="5">
        <f t="shared" si="31"/>
        <v>0</v>
      </c>
      <c r="BI138" s="5">
        <f t="shared" si="32"/>
        <v>0</v>
      </c>
      <c r="BJ138" s="19">
        <f t="shared" si="33"/>
        <v>5.537331518863832E-2</v>
      </c>
      <c r="BL138" s="5"/>
      <c r="BN138">
        <f t="shared" si="34"/>
        <v>0</v>
      </c>
      <c r="BO138">
        <f t="shared" si="35"/>
        <v>1</v>
      </c>
      <c r="BP138">
        <f t="shared" si="36"/>
        <v>0</v>
      </c>
      <c r="BQ138">
        <f t="shared" si="25"/>
        <v>1</v>
      </c>
      <c r="BR138">
        <f t="shared" si="37"/>
        <v>0</v>
      </c>
      <c r="BS138" s="5">
        <f t="shared" si="38"/>
        <v>0</v>
      </c>
      <c r="BT138" s="5">
        <f t="shared" si="39"/>
        <v>0</v>
      </c>
      <c r="BU138" s="5">
        <f t="shared" si="40"/>
        <v>0</v>
      </c>
      <c r="BV138" s="19">
        <f t="shared" si="41"/>
        <v>4.7274373044540637E-2</v>
      </c>
      <c r="BX138" s="19">
        <f t="shared" si="42"/>
        <v>0</v>
      </c>
      <c r="BY138" s="19">
        <f t="shared" si="43"/>
        <v>0.10264768823317896</v>
      </c>
    </row>
    <row r="139" spans="1:77" x14ac:dyDescent="0.25">
      <c r="A139" s="1">
        <v>46225</v>
      </c>
      <c r="B139" s="7">
        <v>231.11</v>
      </c>
      <c r="C139" s="7">
        <v>264.3</v>
      </c>
      <c r="D139" s="12">
        <v>5.9455529380213904E-3</v>
      </c>
      <c r="E139" s="12">
        <v>-2.3053240496389302E-3</v>
      </c>
      <c r="F139" s="7">
        <v>0</v>
      </c>
      <c r="G139" s="7">
        <v>0.31490499999999999</v>
      </c>
      <c r="H139" s="7">
        <v>0</v>
      </c>
      <c r="I139" s="7">
        <v>0.17363000000000001</v>
      </c>
      <c r="J139" s="7">
        <v>0</v>
      </c>
      <c r="K139" s="7">
        <v>0</v>
      </c>
      <c r="L139" s="7">
        <v>231.11</v>
      </c>
      <c r="M139" s="7">
        <v>264.3</v>
      </c>
      <c r="N139" s="10">
        <v>1.1436112673618599</v>
      </c>
      <c r="O139" s="10">
        <v>1.1658179450689301</v>
      </c>
      <c r="P139" s="10">
        <v>1.13322502021445</v>
      </c>
      <c r="Q139" s="10">
        <v>1.1443333601672201</v>
      </c>
      <c r="R139" s="7">
        <v>269.43218528488097</v>
      </c>
      <c r="S139" s="7">
        <v>261.87903695900798</v>
      </c>
      <c r="T139" s="7">
        <v>264.736646399802</v>
      </c>
      <c r="U139" s="12">
        <v>1.92319054782801E-2</v>
      </c>
      <c r="V139" s="12">
        <v>-9.2021154574013497E-3</v>
      </c>
      <c r="W139" s="12">
        <v>1.65072307154985E-3</v>
      </c>
      <c r="X139" s="10">
        <v>1.1436112673618599</v>
      </c>
      <c r="Y139" s="10">
        <v>1.16578176214971</v>
      </c>
      <c r="Z139" s="10">
        <v>1.13322502021445</v>
      </c>
      <c r="AA139" s="10">
        <v>1.1443333601672201</v>
      </c>
      <c r="AB139" s="7">
        <v>269.42382305042099</v>
      </c>
      <c r="AC139" s="7">
        <v>261.87903695900798</v>
      </c>
      <c r="AD139" s="7">
        <v>264.736646399802</v>
      </c>
      <c r="AE139" s="12">
        <v>1.92008684875744E-2</v>
      </c>
      <c r="AF139" s="12">
        <v>-9.2021154574013497E-3</v>
      </c>
      <c r="AG139" s="12">
        <v>1.6507230715496299E-3</v>
      </c>
      <c r="AZ139" s="5"/>
      <c r="BB139">
        <f t="shared" si="26"/>
        <v>0</v>
      </c>
      <c r="BC139">
        <f t="shared" si="27"/>
        <v>1</v>
      </c>
      <c r="BD139">
        <f t="shared" si="28"/>
        <v>0</v>
      </c>
      <c r="BE139">
        <f t="shared" si="24"/>
        <v>1</v>
      </c>
      <c r="BF139">
        <f t="shared" si="29"/>
        <v>0</v>
      </c>
      <c r="BG139" s="5">
        <f t="shared" si="30"/>
        <v>0</v>
      </c>
      <c r="BH139" s="5">
        <f t="shared" si="31"/>
        <v>0</v>
      </c>
      <c r="BI139" s="5">
        <f t="shared" si="32"/>
        <v>0</v>
      </c>
      <c r="BJ139" s="19">
        <f t="shared" si="33"/>
        <v>5.537331518863832E-2</v>
      </c>
      <c r="BL139" s="5"/>
      <c r="BN139">
        <f t="shared" si="34"/>
        <v>0</v>
      </c>
      <c r="BO139">
        <f t="shared" si="35"/>
        <v>1</v>
      </c>
      <c r="BP139">
        <f t="shared" si="36"/>
        <v>0</v>
      </c>
      <c r="BQ139">
        <f t="shared" si="25"/>
        <v>1</v>
      </c>
      <c r="BR139">
        <f t="shared" si="37"/>
        <v>0</v>
      </c>
      <c r="BS139" s="5">
        <f t="shared" si="38"/>
        <v>0</v>
      </c>
      <c r="BT139" s="5">
        <f t="shared" si="39"/>
        <v>0</v>
      </c>
      <c r="BU139" s="5">
        <f t="shared" si="40"/>
        <v>0</v>
      </c>
      <c r="BV139" s="19">
        <f t="shared" si="41"/>
        <v>4.7274373044540637E-2</v>
      </c>
      <c r="BX139" s="19">
        <f t="shared" si="42"/>
        <v>0</v>
      </c>
      <c r="BY139" s="19">
        <f t="shared" si="43"/>
        <v>0.10264768823317896</v>
      </c>
    </row>
    <row r="140" spans="1:77" x14ac:dyDescent="0.25">
      <c r="A140" s="1">
        <v>46226</v>
      </c>
      <c r="B140" s="7">
        <v>238.23</v>
      </c>
      <c r="C140" s="7">
        <v>270.54000000000002</v>
      </c>
      <c r="D140" s="12">
        <v>3.0342805919949499E-2</v>
      </c>
      <c r="E140" s="12">
        <v>2.3335140050804198E-2</v>
      </c>
      <c r="F140" s="7">
        <v>0</v>
      </c>
      <c r="G140" s="7">
        <v>0.31490499999999999</v>
      </c>
      <c r="H140" s="7">
        <v>0</v>
      </c>
      <c r="I140" s="7">
        <v>0.17363000000000001</v>
      </c>
      <c r="J140" s="7">
        <v>0</v>
      </c>
      <c r="K140" s="7">
        <v>0</v>
      </c>
      <c r="L140" s="7">
        <v>238.23</v>
      </c>
      <c r="M140" s="7">
        <v>270.54000000000002</v>
      </c>
      <c r="N140" s="10">
        <v>1.1356252361163499</v>
      </c>
      <c r="O140" s="10">
        <v>1.1658179450689301</v>
      </c>
      <c r="P140" s="10">
        <v>1.1324857326250199</v>
      </c>
      <c r="Q140" s="10">
        <v>1.14344706619167</v>
      </c>
      <c r="R140" s="7">
        <v>277.73280905377197</v>
      </c>
      <c r="S140" s="7">
        <v>269.96819656568999</v>
      </c>
      <c r="T140" s="7">
        <v>272.61453639263698</v>
      </c>
      <c r="U140" s="12">
        <v>2.6239571347425598E-2</v>
      </c>
      <c r="V140" s="12">
        <v>-2.1158000979613701E-3</v>
      </c>
      <c r="W140" s="12">
        <v>7.6388811709905196E-3</v>
      </c>
      <c r="X140" s="10">
        <v>1.1356252361163499</v>
      </c>
      <c r="Y140" s="10">
        <v>1.16578176214971</v>
      </c>
      <c r="Z140" s="10">
        <v>1.1324857326250199</v>
      </c>
      <c r="AA140" s="10">
        <v>1.14344706619167</v>
      </c>
      <c r="AB140" s="7">
        <v>277.724189196927</v>
      </c>
      <c r="AC140" s="7">
        <v>269.96819656568999</v>
      </c>
      <c r="AD140" s="7">
        <v>272.61453639263698</v>
      </c>
      <c r="AE140" s="12">
        <v>2.62085343567196E-2</v>
      </c>
      <c r="AF140" s="12">
        <v>-2.1158000979613701E-3</v>
      </c>
      <c r="AG140" s="12">
        <v>7.6388811709905196E-3</v>
      </c>
      <c r="AZ140" s="5"/>
      <c r="BB140">
        <f t="shared" si="26"/>
        <v>0</v>
      </c>
      <c r="BC140">
        <f t="shared" si="27"/>
        <v>1</v>
      </c>
      <c r="BD140">
        <f t="shared" si="28"/>
        <v>0</v>
      </c>
      <c r="BE140">
        <f t="shared" si="24"/>
        <v>1</v>
      </c>
      <c r="BF140">
        <f t="shared" si="29"/>
        <v>0</v>
      </c>
      <c r="BG140" s="5">
        <f t="shared" si="30"/>
        <v>0</v>
      </c>
      <c r="BH140" s="5">
        <f t="shared" si="31"/>
        <v>0</v>
      </c>
      <c r="BI140" s="5">
        <f t="shared" si="32"/>
        <v>0</v>
      </c>
      <c r="BJ140" s="19">
        <f t="shared" si="33"/>
        <v>5.537331518863832E-2</v>
      </c>
      <c r="BL140" s="5"/>
      <c r="BN140">
        <f t="shared" si="34"/>
        <v>0</v>
      </c>
      <c r="BO140">
        <f t="shared" si="35"/>
        <v>1</v>
      </c>
      <c r="BP140">
        <f t="shared" si="36"/>
        <v>0</v>
      </c>
      <c r="BQ140">
        <f t="shared" si="25"/>
        <v>1</v>
      </c>
      <c r="BR140">
        <f t="shared" si="37"/>
        <v>0</v>
      </c>
      <c r="BS140" s="5">
        <f t="shared" si="38"/>
        <v>0</v>
      </c>
      <c r="BT140" s="5">
        <f t="shared" si="39"/>
        <v>0</v>
      </c>
      <c r="BU140" s="5">
        <f t="shared" si="40"/>
        <v>0</v>
      </c>
      <c r="BV140" s="19">
        <f t="shared" si="41"/>
        <v>4.7274373044540637E-2</v>
      </c>
      <c r="BX140" s="19">
        <f t="shared" si="42"/>
        <v>0</v>
      </c>
      <c r="BY140" s="19">
        <f t="shared" si="43"/>
        <v>0.10264768823317896</v>
      </c>
    </row>
    <row r="141" spans="1:77" x14ac:dyDescent="0.25">
      <c r="A141" s="1">
        <v>46227</v>
      </c>
      <c r="B141" s="7">
        <v>240.14</v>
      </c>
      <c r="C141" s="7">
        <v>269.01</v>
      </c>
      <c r="D141" s="12">
        <v>7.9854930273427199E-3</v>
      </c>
      <c r="E141" s="12">
        <v>-5.6714080289820903E-3</v>
      </c>
      <c r="F141" s="7">
        <v>0</v>
      </c>
      <c r="G141" s="7">
        <v>0.31490499999999999</v>
      </c>
      <c r="H141" s="7">
        <v>0</v>
      </c>
      <c r="I141" s="7">
        <v>0.17363000000000001</v>
      </c>
      <c r="J141" s="7">
        <v>0</v>
      </c>
      <c r="K141" s="7">
        <v>0</v>
      </c>
      <c r="L141" s="7">
        <v>240.14</v>
      </c>
      <c r="M141" s="7">
        <v>269.01</v>
      </c>
      <c r="N141" s="10">
        <v>1.1202215374364899</v>
      </c>
      <c r="O141" s="10">
        <v>1.1658179450689301</v>
      </c>
      <c r="P141" s="10">
        <v>1.13095898651089</v>
      </c>
      <c r="Q141" s="10">
        <v>1.1420017440408301</v>
      </c>
      <c r="R141" s="7">
        <v>279.95952132885401</v>
      </c>
      <c r="S141" s="7">
        <v>271.95512383257301</v>
      </c>
      <c r="T141" s="7">
        <v>274.58737847526902</v>
      </c>
      <c r="U141" s="12">
        <v>3.9896472403750202E-2</v>
      </c>
      <c r="V141" s="12">
        <v>1.0888513142603499E-2</v>
      </c>
      <c r="W141" s="12">
        <v>2.0520975336171501E-2</v>
      </c>
      <c r="X141" s="10">
        <v>1.1202215374364899</v>
      </c>
      <c r="Y141" s="10">
        <v>1.16578176214971</v>
      </c>
      <c r="Z141" s="10">
        <v>1.13095898651089</v>
      </c>
      <c r="AA141" s="10">
        <v>1.1420017440408301</v>
      </c>
      <c r="AB141" s="7">
        <v>279.95083236263298</v>
      </c>
      <c r="AC141" s="7">
        <v>271.95512383257301</v>
      </c>
      <c r="AD141" s="7">
        <v>274.58737847526902</v>
      </c>
      <c r="AE141" s="12">
        <v>3.9865435413044402E-2</v>
      </c>
      <c r="AF141" s="12">
        <v>1.0888513142603499E-2</v>
      </c>
      <c r="AG141" s="12">
        <v>2.0520975336171501E-2</v>
      </c>
      <c r="AZ141" s="5"/>
      <c r="BB141">
        <f t="shared" si="26"/>
        <v>0</v>
      </c>
      <c r="BC141">
        <f t="shared" si="27"/>
        <v>1</v>
      </c>
      <c r="BD141">
        <f t="shared" si="28"/>
        <v>0</v>
      </c>
      <c r="BE141">
        <f t="shared" si="24"/>
        <v>1</v>
      </c>
      <c r="BF141">
        <f t="shared" si="29"/>
        <v>0</v>
      </c>
      <c r="BG141" s="5">
        <f t="shared" si="30"/>
        <v>0</v>
      </c>
      <c r="BH141" s="5">
        <f t="shared" si="31"/>
        <v>0</v>
      </c>
      <c r="BI141" s="5">
        <f t="shared" si="32"/>
        <v>0</v>
      </c>
      <c r="BJ141" s="19">
        <f t="shared" si="33"/>
        <v>5.537331518863832E-2</v>
      </c>
      <c r="BL141" s="5"/>
      <c r="BN141">
        <f t="shared" si="34"/>
        <v>0</v>
      </c>
      <c r="BO141">
        <f t="shared" si="35"/>
        <v>0</v>
      </c>
      <c r="BP141">
        <f t="shared" si="36"/>
        <v>0</v>
      </c>
      <c r="BQ141">
        <f t="shared" si="25"/>
        <v>1</v>
      </c>
      <c r="BR141">
        <f t="shared" si="37"/>
        <v>0</v>
      </c>
      <c r="BS141" s="5">
        <f t="shared" si="38"/>
        <v>0</v>
      </c>
      <c r="BT141" s="5">
        <f t="shared" si="39"/>
        <v>0</v>
      </c>
      <c r="BU141" s="5">
        <f t="shared" si="40"/>
        <v>0</v>
      </c>
      <c r="BV141" s="19">
        <f t="shared" si="41"/>
        <v>4.7274373044540637E-2</v>
      </c>
      <c r="BX141" s="19">
        <f t="shared" si="42"/>
        <v>0</v>
      </c>
      <c r="BY141" s="19">
        <f t="shared" si="43"/>
        <v>0.10264768823317896</v>
      </c>
    </row>
    <row r="142" spans="1:77" x14ac:dyDescent="0.25">
      <c r="A142" s="1">
        <v>46230</v>
      </c>
      <c r="B142" s="7">
        <v>243.91</v>
      </c>
      <c r="C142" s="7">
        <v>273.07</v>
      </c>
      <c r="D142" s="12">
        <v>1.55772181888129E-2</v>
      </c>
      <c r="E142" s="12">
        <v>1.49796189418125E-2</v>
      </c>
      <c r="F142" s="7">
        <v>0</v>
      </c>
      <c r="G142" s="7">
        <v>0.31490499999999999</v>
      </c>
      <c r="H142" s="7">
        <v>0</v>
      </c>
      <c r="I142" s="7">
        <v>0.17363000000000001</v>
      </c>
      <c r="J142" s="7">
        <v>0</v>
      </c>
      <c r="K142" s="7">
        <v>0</v>
      </c>
      <c r="L142" s="7">
        <v>243.91</v>
      </c>
      <c r="M142" s="7">
        <v>273.07</v>
      </c>
      <c r="N142" s="10">
        <v>1.11955229387888</v>
      </c>
      <c r="O142" s="10">
        <v>1.1658179450689301</v>
      </c>
      <c r="P142" s="10">
        <v>1.13052536246334</v>
      </c>
      <c r="Q142" s="10">
        <v>1.1401007372295799</v>
      </c>
      <c r="R142" s="7">
        <v>284.35465498176399</v>
      </c>
      <c r="S142" s="7">
        <v>275.85220639987301</v>
      </c>
      <c r="T142" s="7">
        <v>278.54564538900098</v>
      </c>
      <c r="U142" s="12">
        <v>4.0494071650750502E-2</v>
      </c>
      <c r="V142" s="12">
        <v>1.0137065662050899E-2</v>
      </c>
      <c r="W142" s="12">
        <v>1.9853770631278501E-2</v>
      </c>
      <c r="X142" s="10">
        <v>1.11955229387888</v>
      </c>
      <c r="Y142" s="10">
        <v>1.16578176214971</v>
      </c>
      <c r="Z142" s="10">
        <v>1.13052536246334</v>
      </c>
      <c r="AA142" s="10">
        <v>1.1401007372295799</v>
      </c>
      <c r="AB142" s="7">
        <v>284.34582960593701</v>
      </c>
      <c r="AC142" s="7">
        <v>275.85220639987301</v>
      </c>
      <c r="AD142" s="7">
        <v>278.54564538900001</v>
      </c>
      <c r="AE142" s="12">
        <v>4.0463034660044701E-2</v>
      </c>
      <c r="AF142" s="12">
        <v>1.0137065662050899E-2</v>
      </c>
      <c r="AG142" s="12">
        <v>1.98537706312783E-2</v>
      </c>
      <c r="AZ142" s="5"/>
      <c r="BB142">
        <f t="shared" si="26"/>
        <v>0</v>
      </c>
      <c r="BC142">
        <f t="shared" si="27"/>
        <v>1</v>
      </c>
      <c r="BD142">
        <f t="shared" si="28"/>
        <v>0</v>
      </c>
      <c r="BE142">
        <f t="shared" si="24"/>
        <v>1</v>
      </c>
      <c r="BF142">
        <f t="shared" si="29"/>
        <v>0</v>
      </c>
      <c r="BG142" s="5">
        <f t="shared" si="30"/>
        <v>0</v>
      </c>
      <c r="BH142" s="5">
        <f t="shared" si="31"/>
        <v>0</v>
      </c>
      <c r="BI142" s="5">
        <f t="shared" si="32"/>
        <v>0</v>
      </c>
      <c r="BJ142" s="19">
        <f t="shared" si="33"/>
        <v>5.537331518863832E-2</v>
      </c>
      <c r="BL142" s="5"/>
      <c r="BN142">
        <f t="shared" si="34"/>
        <v>0</v>
      </c>
      <c r="BO142">
        <f t="shared" si="35"/>
        <v>1</v>
      </c>
      <c r="BP142">
        <f t="shared" si="36"/>
        <v>0</v>
      </c>
      <c r="BQ142">
        <f t="shared" si="25"/>
        <v>1</v>
      </c>
      <c r="BR142">
        <f t="shared" si="37"/>
        <v>0</v>
      </c>
      <c r="BS142" s="5">
        <f t="shared" si="38"/>
        <v>0</v>
      </c>
      <c r="BT142" s="5">
        <f t="shared" si="39"/>
        <v>0</v>
      </c>
      <c r="BU142" s="5">
        <f t="shared" si="40"/>
        <v>0</v>
      </c>
      <c r="BV142" s="19">
        <f t="shared" si="41"/>
        <v>4.7274373044540637E-2</v>
      </c>
      <c r="BX142" s="19">
        <f t="shared" si="42"/>
        <v>0</v>
      </c>
      <c r="BY142" s="19">
        <f t="shared" si="43"/>
        <v>0.10264768823317896</v>
      </c>
    </row>
    <row r="143" spans="1:77" x14ac:dyDescent="0.25">
      <c r="A143" s="1">
        <v>46231</v>
      </c>
      <c r="B143" s="7">
        <v>244.98</v>
      </c>
      <c r="C143" s="7">
        <v>271.92</v>
      </c>
      <c r="D143" s="12">
        <v>4.37726976815453E-3</v>
      </c>
      <c r="E143" s="12">
        <v>-4.2202671860177903E-3</v>
      </c>
      <c r="F143" s="7">
        <v>0</v>
      </c>
      <c r="G143" s="7">
        <v>0.31490499999999999</v>
      </c>
      <c r="H143" s="7">
        <v>0</v>
      </c>
      <c r="I143" s="7">
        <v>0.17363000000000001</v>
      </c>
      <c r="J143" s="7">
        <v>0</v>
      </c>
      <c r="K143" s="7">
        <v>0</v>
      </c>
      <c r="L143" s="7">
        <v>244.98</v>
      </c>
      <c r="M143" s="7">
        <v>271.92</v>
      </c>
      <c r="N143" s="10">
        <v>1.10996816066617</v>
      </c>
      <c r="O143" s="10">
        <v>1.1658179450689301</v>
      </c>
      <c r="P143" s="10">
        <v>1.1282225653196101</v>
      </c>
      <c r="Q143" s="10">
        <v>1.13768503996452</v>
      </c>
      <c r="R143" s="7">
        <v>285.60208018298698</v>
      </c>
      <c r="S143" s="7">
        <v>276.95610329627101</v>
      </c>
      <c r="T143" s="7">
        <v>279.30187860650398</v>
      </c>
      <c r="U143" s="12">
        <v>4.9091608604922898E-2</v>
      </c>
      <c r="V143" s="12">
        <v>1.83511163868702E-2</v>
      </c>
      <c r="W143" s="12">
        <v>2.67852936649055E-2</v>
      </c>
      <c r="X143" s="10">
        <v>1.10996816066617</v>
      </c>
      <c r="Y143" s="10">
        <v>1.16578176214971</v>
      </c>
      <c r="Z143" s="10">
        <v>1.1282225653196101</v>
      </c>
      <c r="AA143" s="10">
        <v>1.13768503996452</v>
      </c>
      <c r="AB143" s="7">
        <v>285.593216091437</v>
      </c>
      <c r="AC143" s="7">
        <v>276.95610329627101</v>
      </c>
      <c r="AD143" s="7">
        <v>279.30187860650398</v>
      </c>
      <c r="AE143" s="12">
        <v>4.9060571614217098E-2</v>
      </c>
      <c r="AF143" s="12">
        <v>1.83511163868702E-2</v>
      </c>
      <c r="AG143" s="12">
        <v>2.67852936649055E-2</v>
      </c>
      <c r="AZ143" s="5"/>
      <c r="BB143">
        <f t="shared" si="26"/>
        <v>0</v>
      </c>
      <c r="BC143">
        <f t="shared" si="27"/>
        <v>1</v>
      </c>
      <c r="BD143">
        <f t="shared" si="28"/>
        <v>0</v>
      </c>
      <c r="BE143">
        <f t="shared" si="24"/>
        <v>1</v>
      </c>
      <c r="BF143">
        <f t="shared" si="29"/>
        <v>0</v>
      </c>
      <c r="BG143" s="5">
        <f t="shared" si="30"/>
        <v>0</v>
      </c>
      <c r="BH143" s="5">
        <f t="shared" si="31"/>
        <v>0</v>
      </c>
      <c r="BI143" s="5">
        <f t="shared" si="32"/>
        <v>0</v>
      </c>
      <c r="BJ143" s="19">
        <f t="shared" si="33"/>
        <v>5.537331518863832E-2</v>
      </c>
      <c r="BL143" s="5"/>
      <c r="BN143">
        <f t="shared" si="34"/>
        <v>0</v>
      </c>
      <c r="BO143">
        <f t="shared" si="35"/>
        <v>0</v>
      </c>
      <c r="BP143">
        <f t="shared" si="36"/>
        <v>0</v>
      </c>
      <c r="BQ143">
        <f t="shared" si="25"/>
        <v>1</v>
      </c>
      <c r="BR143">
        <f t="shared" si="37"/>
        <v>0</v>
      </c>
      <c r="BS143" s="5">
        <f t="shared" si="38"/>
        <v>0</v>
      </c>
      <c r="BT143" s="5">
        <f t="shared" si="39"/>
        <v>0</v>
      </c>
      <c r="BU143" s="5">
        <f t="shared" si="40"/>
        <v>0</v>
      </c>
      <c r="BV143" s="19">
        <f t="shared" si="41"/>
        <v>4.7274373044540637E-2</v>
      </c>
      <c r="BX143" s="19">
        <f t="shared" si="42"/>
        <v>0</v>
      </c>
      <c r="BY143" s="19">
        <f t="shared" si="43"/>
        <v>0.10264768823317896</v>
      </c>
    </row>
    <row r="144" spans="1:77" x14ac:dyDescent="0.25">
      <c r="A144" s="1">
        <v>46232</v>
      </c>
      <c r="B144" s="7">
        <v>236.26</v>
      </c>
      <c r="C144" s="7">
        <v>258.11</v>
      </c>
      <c r="D144" s="12">
        <v>-3.6243681039165497E-2</v>
      </c>
      <c r="E144" s="12">
        <v>-5.2122054741240202E-2</v>
      </c>
      <c r="F144" s="7">
        <v>0</v>
      </c>
      <c r="G144" s="7">
        <v>0.31490499999999999</v>
      </c>
      <c r="H144" s="7">
        <v>0</v>
      </c>
      <c r="I144" s="7">
        <v>0.17363000000000001</v>
      </c>
      <c r="J144" s="7">
        <v>0</v>
      </c>
      <c r="K144" s="7">
        <v>0</v>
      </c>
      <c r="L144" s="7">
        <v>236.26</v>
      </c>
      <c r="M144" s="7">
        <v>258.11</v>
      </c>
      <c r="N144" s="10">
        <v>1.09248285786845</v>
      </c>
      <c r="O144" s="10">
        <v>1.1658179450689301</v>
      </c>
      <c r="P144" s="10">
        <v>1.12482386692576</v>
      </c>
      <c r="Q144" s="10">
        <v>1.1337764710354801</v>
      </c>
      <c r="R144" s="7">
        <v>275.43614770198599</v>
      </c>
      <c r="S144" s="7">
        <v>266.55386328241099</v>
      </c>
      <c r="T144" s="7">
        <v>268.78946754201797</v>
      </c>
      <c r="U144" s="12">
        <v>6.4969982306997701E-2</v>
      </c>
      <c r="V144" s="12">
        <v>3.2190486167133499E-2</v>
      </c>
      <c r="W144" s="12">
        <v>4.0542573983270901E-2</v>
      </c>
      <c r="X144" s="10">
        <v>1.09248285786845</v>
      </c>
      <c r="Y144" s="10">
        <v>1.16578176214971</v>
      </c>
      <c r="Z144" s="10">
        <v>1.12482386692576</v>
      </c>
      <c r="AA144" s="10">
        <v>1.1337764710354801</v>
      </c>
      <c r="AB144" s="7">
        <v>275.42759912549201</v>
      </c>
      <c r="AC144" s="7">
        <v>266.55386328241099</v>
      </c>
      <c r="AD144" s="7">
        <v>268.78946754201797</v>
      </c>
      <c r="AE144" s="12">
        <v>6.4938945316291893E-2</v>
      </c>
      <c r="AF144" s="12">
        <v>3.2190486167133499E-2</v>
      </c>
      <c r="AG144" s="12">
        <v>4.0542573983270901E-2</v>
      </c>
      <c r="AZ144" s="5"/>
      <c r="BB144">
        <f t="shared" si="26"/>
        <v>0</v>
      </c>
      <c r="BC144">
        <f t="shared" si="27"/>
        <v>1</v>
      </c>
      <c r="BD144">
        <f t="shared" si="28"/>
        <v>0</v>
      </c>
      <c r="BE144">
        <f t="shared" si="24"/>
        <v>1</v>
      </c>
      <c r="BF144">
        <f t="shared" si="29"/>
        <v>0</v>
      </c>
      <c r="BG144" s="5">
        <f t="shared" si="30"/>
        <v>0</v>
      </c>
      <c r="BH144" s="5">
        <f t="shared" si="31"/>
        <v>0</v>
      </c>
      <c r="BI144" s="5">
        <f t="shared" si="32"/>
        <v>0</v>
      </c>
      <c r="BJ144" s="19">
        <f t="shared" si="33"/>
        <v>5.537331518863832E-2</v>
      </c>
      <c r="BL144" s="5"/>
      <c r="BN144">
        <f t="shared" si="34"/>
        <v>1</v>
      </c>
      <c r="BO144">
        <f t="shared" si="35"/>
        <v>0</v>
      </c>
      <c r="BP144">
        <f t="shared" si="36"/>
        <v>0</v>
      </c>
      <c r="BQ144">
        <f t="shared" si="25"/>
        <v>1</v>
      </c>
      <c r="BR144">
        <f t="shared" si="37"/>
        <v>0</v>
      </c>
      <c r="BS144" s="5">
        <f t="shared" si="38"/>
        <v>0</v>
      </c>
      <c r="BT144" s="5">
        <f t="shared" si="39"/>
        <v>0</v>
      </c>
      <c r="BU144" s="5">
        <f t="shared" si="40"/>
        <v>0</v>
      </c>
      <c r="BV144" s="19">
        <f t="shared" si="41"/>
        <v>4.7274373044540637E-2</v>
      </c>
      <c r="BX144" s="19">
        <f t="shared" si="42"/>
        <v>0</v>
      </c>
      <c r="BY144" s="19">
        <f t="shared" si="43"/>
        <v>0.10264768823317896</v>
      </c>
    </row>
    <row r="145" spans="1:77" x14ac:dyDescent="0.25">
      <c r="A145" s="1">
        <v>46233</v>
      </c>
      <c r="B145" s="7">
        <v>238.13</v>
      </c>
      <c r="C145" s="7">
        <v>262.83</v>
      </c>
      <c r="D145" s="12">
        <v>7.8838495154778705E-3</v>
      </c>
      <c r="E145" s="12">
        <v>1.81215846997617E-2</v>
      </c>
      <c r="F145" s="7">
        <v>0</v>
      </c>
      <c r="G145" s="7">
        <v>0.31490499999999999</v>
      </c>
      <c r="H145" s="7">
        <v>0</v>
      </c>
      <c r="I145" s="7">
        <v>0.17363000000000001</v>
      </c>
      <c r="J145" s="7">
        <v>0</v>
      </c>
      <c r="K145" s="7">
        <v>0</v>
      </c>
      <c r="L145" s="7">
        <v>238.13</v>
      </c>
      <c r="M145" s="7">
        <v>262.83</v>
      </c>
      <c r="N145" s="10">
        <v>1.10372485617099</v>
      </c>
      <c r="O145" s="10">
        <v>1.1658179450689301</v>
      </c>
      <c r="P145" s="10">
        <v>1.1229957375313799</v>
      </c>
      <c r="Q145" s="10">
        <v>1.13050499220047</v>
      </c>
      <c r="R145" s="7">
        <v>277.61622725926497</v>
      </c>
      <c r="S145" s="7">
        <v>267.85430743103097</v>
      </c>
      <c r="T145" s="7">
        <v>269.98619104768102</v>
      </c>
      <c r="U145" s="12">
        <v>5.4732247122713899E-2</v>
      </c>
      <c r="V145" s="12">
        <v>1.8935768355973201E-2</v>
      </c>
      <c r="W145" s="12">
        <v>2.6863378076232201E-2</v>
      </c>
      <c r="X145" s="10">
        <v>1.10372485617099</v>
      </c>
      <c r="Y145" s="10">
        <v>1.16578176214971</v>
      </c>
      <c r="Z145" s="10">
        <v>1.1229957375313799</v>
      </c>
      <c r="AA145" s="10">
        <v>1.13050499220047</v>
      </c>
      <c r="AB145" s="7">
        <v>277.607611020712</v>
      </c>
      <c r="AC145" s="7">
        <v>267.85430743103097</v>
      </c>
      <c r="AD145" s="7">
        <v>269.98619104768102</v>
      </c>
      <c r="AE145" s="12">
        <v>5.4701210132007898E-2</v>
      </c>
      <c r="AF145" s="12">
        <v>1.8935768355973201E-2</v>
      </c>
      <c r="AG145" s="12">
        <v>2.6863378076232E-2</v>
      </c>
      <c r="AZ145" s="5"/>
      <c r="BB145">
        <f t="shared" si="26"/>
        <v>0</v>
      </c>
      <c r="BC145">
        <f t="shared" si="27"/>
        <v>1</v>
      </c>
      <c r="BD145">
        <f t="shared" si="28"/>
        <v>0</v>
      </c>
      <c r="BE145">
        <f t="shared" si="24"/>
        <v>1</v>
      </c>
      <c r="BF145">
        <f t="shared" si="29"/>
        <v>0</v>
      </c>
      <c r="BG145" s="5">
        <f t="shared" si="30"/>
        <v>0</v>
      </c>
      <c r="BH145" s="5">
        <f t="shared" si="31"/>
        <v>0</v>
      </c>
      <c r="BI145" s="5">
        <f t="shared" si="32"/>
        <v>0</v>
      </c>
      <c r="BJ145" s="19">
        <f t="shared" si="33"/>
        <v>5.537331518863832E-2</v>
      </c>
      <c r="BL145" s="5"/>
      <c r="BN145">
        <f t="shared" si="34"/>
        <v>0</v>
      </c>
      <c r="BO145">
        <f t="shared" si="35"/>
        <v>0</v>
      </c>
      <c r="BP145">
        <f t="shared" si="36"/>
        <v>1</v>
      </c>
      <c r="BQ145">
        <f t="shared" si="25"/>
        <v>1</v>
      </c>
      <c r="BR145">
        <f t="shared" si="37"/>
        <v>1</v>
      </c>
      <c r="BS145" s="5">
        <f t="shared" si="38"/>
        <v>-7.8838495154778705E-3</v>
      </c>
      <c r="BT145" s="5">
        <f t="shared" si="39"/>
        <v>1.81215846997617E-2</v>
      </c>
      <c r="BU145" s="5">
        <f t="shared" si="40"/>
        <v>1.0237735184283829E-2</v>
      </c>
      <c r="BV145" s="19">
        <f t="shared" si="41"/>
        <v>5.7512108228824466E-2</v>
      </c>
      <c r="BX145" s="19">
        <f t="shared" si="42"/>
        <v>1.0237735184283829E-2</v>
      </c>
      <c r="BY145" s="19">
        <f t="shared" si="43"/>
        <v>0.1128854234174628</v>
      </c>
    </row>
    <row r="146" spans="1:77" x14ac:dyDescent="0.25">
      <c r="A146" s="1">
        <v>46234</v>
      </c>
      <c r="B146" s="7">
        <v>239.66</v>
      </c>
      <c r="C146" s="7">
        <v>264.86</v>
      </c>
      <c r="D146" s="12">
        <v>6.40450921851894E-3</v>
      </c>
      <c r="E146" s="12">
        <v>7.6939491524361699E-3</v>
      </c>
      <c r="F146" s="7">
        <v>0</v>
      </c>
      <c r="G146" s="7">
        <v>0.31490499999999999</v>
      </c>
      <c r="H146" s="7">
        <v>0</v>
      </c>
      <c r="I146" s="7">
        <v>0.17363000000000001</v>
      </c>
      <c r="J146" s="7">
        <v>0</v>
      </c>
      <c r="K146" s="7">
        <v>0</v>
      </c>
      <c r="L146" s="7">
        <v>239.66</v>
      </c>
      <c r="M146" s="7">
        <v>264.86</v>
      </c>
      <c r="N146" s="10">
        <v>1.10514896102812</v>
      </c>
      <c r="O146" s="10">
        <v>1.1658179450689301</v>
      </c>
      <c r="P146" s="10">
        <v>1.12144458240548</v>
      </c>
      <c r="Q146" s="10">
        <v>1.12783101674569</v>
      </c>
      <c r="R146" s="7">
        <v>279.39992871522099</v>
      </c>
      <c r="S146" s="7">
        <v>269.13715845677098</v>
      </c>
      <c r="T146" s="7">
        <v>270.936826430765</v>
      </c>
      <c r="U146" s="12">
        <v>5.34428071887963E-2</v>
      </c>
      <c r="V146" s="12">
        <v>1.6019747895914701E-2</v>
      </c>
      <c r="W146" s="12">
        <v>2.2684296404266498E-2</v>
      </c>
      <c r="X146" s="10">
        <v>1.10514896102812</v>
      </c>
      <c r="Y146" s="10">
        <v>1.16578176214971</v>
      </c>
      <c r="Z146" s="10">
        <v>1.12144458240548</v>
      </c>
      <c r="AA146" s="10">
        <v>1.12783101674569</v>
      </c>
      <c r="AB146" s="7">
        <v>279.391257116801</v>
      </c>
      <c r="AC146" s="7">
        <v>269.13715845677098</v>
      </c>
      <c r="AD146" s="7">
        <v>270.936826430765</v>
      </c>
      <c r="AE146" s="12">
        <v>5.3411770198090597E-2</v>
      </c>
      <c r="AF146" s="12">
        <v>1.6019747895914701E-2</v>
      </c>
      <c r="AG146" s="12">
        <v>2.2684296404266498E-2</v>
      </c>
      <c r="AZ146" s="5"/>
      <c r="BB146">
        <f t="shared" si="26"/>
        <v>0</v>
      </c>
      <c r="BC146">
        <f t="shared" si="27"/>
        <v>1</v>
      </c>
      <c r="BD146">
        <f t="shared" si="28"/>
        <v>0</v>
      </c>
      <c r="BE146">
        <f t="shared" si="24"/>
        <v>1</v>
      </c>
      <c r="BF146">
        <f t="shared" si="29"/>
        <v>0</v>
      </c>
      <c r="BG146" s="5">
        <f t="shared" si="30"/>
        <v>0</v>
      </c>
      <c r="BH146" s="5">
        <f t="shared" si="31"/>
        <v>0</v>
      </c>
      <c r="BI146" s="5">
        <f t="shared" si="32"/>
        <v>0</v>
      </c>
      <c r="BJ146" s="19">
        <f t="shared" si="33"/>
        <v>5.537331518863832E-2</v>
      </c>
      <c r="BL146" s="5"/>
      <c r="BN146">
        <f t="shared" si="34"/>
        <v>0</v>
      </c>
      <c r="BO146">
        <f t="shared" si="35"/>
        <v>0</v>
      </c>
      <c r="BP146">
        <f t="shared" si="36"/>
        <v>1</v>
      </c>
      <c r="BQ146">
        <f t="shared" si="25"/>
        <v>1</v>
      </c>
      <c r="BR146">
        <f t="shared" si="37"/>
        <v>1</v>
      </c>
      <c r="BS146" s="5">
        <f t="shared" si="38"/>
        <v>-6.40450921851894E-3</v>
      </c>
      <c r="BT146" s="5">
        <f t="shared" si="39"/>
        <v>7.6939491524361699E-3</v>
      </c>
      <c r="BU146" s="5">
        <f t="shared" si="40"/>
        <v>1.2894399339172299E-3</v>
      </c>
      <c r="BV146" s="19">
        <f t="shared" si="41"/>
        <v>5.8801548162741697E-2</v>
      </c>
      <c r="BX146" s="19">
        <f t="shared" si="42"/>
        <v>1.2894399339172299E-3</v>
      </c>
      <c r="BY146" s="19">
        <f t="shared" si="43"/>
        <v>0.11417486335138002</v>
      </c>
    </row>
    <row r="147" spans="1:77" x14ac:dyDescent="0.25">
      <c r="A147" s="1">
        <v>46237</v>
      </c>
      <c r="B147" s="7">
        <v>246.08</v>
      </c>
      <c r="C147" s="7">
        <v>273.63</v>
      </c>
      <c r="D147" s="12">
        <v>2.64354340629087E-2</v>
      </c>
      <c r="E147" s="12">
        <v>3.2575444361358397E-2</v>
      </c>
      <c r="F147" s="7">
        <v>0</v>
      </c>
      <c r="G147" s="7">
        <v>0.31490499999999999</v>
      </c>
      <c r="H147" s="7">
        <v>0</v>
      </c>
      <c r="I147" s="7">
        <v>0.17363000000000001</v>
      </c>
      <c r="J147" s="7">
        <v>0</v>
      </c>
      <c r="K147" s="7">
        <v>0</v>
      </c>
      <c r="L147" s="7">
        <v>246.08</v>
      </c>
      <c r="M147" s="7">
        <v>273.63</v>
      </c>
      <c r="N147" s="10">
        <v>1.1119554616384899</v>
      </c>
      <c r="O147" s="10">
        <v>1.1658179450689301</v>
      </c>
      <c r="P147" s="10">
        <v>1.1195376729493201</v>
      </c>
      <c r="Q147" s="10">
        <v>1.1256630190325001</v>
      </c>
      <c r="R147" s="7">
        <v>286.884479922563</v>
      </c>
      <c r="S147" s="7">
        <v>275.96508283834203</v>
      </c>
      <c r="T147" s="7">
        <v>277.53665660078002</v>
      </c>
      <c r="U147" s="12">
        <v>4.7302796890346603E-2</v>
      </c>
      <c r="V147" s="12">
        <v>8.4975173984433994E-3</v>
      </c>
      <c r="W147" s="12">
        <v>1.4176191461091499E-2</v>
      </c>
      <c r="X147" s="10">
        <v>1.1119554616384899</v>
      </c>
      <c r="Y147" s="10">
        <v>1.16578176214971</v>
      </c>
      <c r="Z147" s="10">
        <v>1.1195376729493201</v>
      </c>
      <c r="AA147" s="10">
        <v>1.1256630190325001</v>
      </c>
      <c r="AB147" s="7">
        <v>286.875576029802</v>
      </c>
      <c r="AC147" s="7">
        <v>275.96508283834203</v>
      </c>
      <c r="AD147" s="7">
        <v>277.53665660078002</v>
      </c>
      <c r="AE147" s="12">
        <v>4.72717598996409E-2</v>
      </c>
      <c r="AF147" s="12">
        <v>8.4975173984433994E-3</v>
      </c>
      <c r="AG147" s="12">
        <v>1.4176191461091499E-2</v>
      </c>
      <c r="AZ147" s="5"/>
      <c r="BB147">
        <f t="shared" si="26"/>
        <v>0</v>
      </c>
      <c r="BC147">
        <f t="shared" si="27"/>
        <v>1</v>
      </c>
      <c r="BD147">
        <f t="shared" si="28"/>
        <v>0</v>
      </c>
      <c r="BE147">
        <f t="shared" si="24"/>
        <v>1</v>
      </c>
      <c r="BF147">
        <f t="shared" si="29"/>
        <v>0</v>
      </c>
      <c r="BG147" s="5">
        <f t="shared" si="30"/>
        <v>0</v>
      </c>
      <c r="BH147" s="5">
        <f t="shared" si="31"/>
        <v>0</v>
      </c>
      <c r="BI147" s="5">
        <f t="shared" si="32"/>
        <v>0</v>
      </c>
      <c r="BJ147" s="19">
        <f t="shared" si="33"/>
        <v>5.537331518863832E-2</v>
      </c>
      <c r="BL147" s="5"/>
      <c r="BN147">
        <f t="shared" si="34"/>
        <v>0</v>
      </c>
      <c r="BO147">
        <f t="shared" si="35"/>
        <v>1</v>
      </c>
      <c r="BP147">
        <f t="shared" si="36"/>
        <v>1</v>
      </c>
      <c r="BQ147">
        <f t="shared" si="25"/>
        <v>1</v>
      </c>
      <c r="BR147">
        <f t="shared" si="37"/>
        <v>1</v>
      </c>
      <c r="BS147" s="5">
        <f t="shared" si="38"/>
        <v>-2.64354340629087E-2</v>
      </c>
      <c r="BT147" s="5">
        <f t="shared" si="39"/>
        <v>3.2575444361358397E-2</v>
      </c>
      <c r="BU147" s="5">
        <f t="shared" si="40"/>
        <v>6.1400102984496968E-3</v>
      </c>
      <c r="BV147" s="19">
        <f t="shared" si="41"/>
        <v>6.4941558461191401E-2</v>
      </c>
      <c r="BX147" s="19">
        <f t="shared" si="42"/>
        <v>6.1400102984496968E-3</v>
      </c>
      <c r="BY147" s="19">
        <f t="shared" si="43"/>
        <v>0.12031487364982972</v>
      </c>
    </row>
    <row r="148" spans="1:77" x14ac:dyDescent="0.25">
      <c r="A148" s="1">
        <v>46238</v>
      </c>
      <c r="B148" s="7">
        <v>250.65</v>
      </c>
      <c r="C148" s="7">
        <v>282.08999999999997</v>
      </c>
      <c r="D148" s="12">
        <v>1.84008573922332E-2</v>
      </c>
      <c r="E148" s="12">
        <v>3.0449340096918399E-2</v>
      </c>
      <c r="F148" s="7">
        <v>0</v>
      </c>
      <c r="G148" s="7">
        <v>0.31490499999999999</v>
      </c>
      <c r="H148" s="7">
        <v>0</v>
      </c>
      <c r="I148" s="7">
        <v>0.17363000000000001</v>
      </c>
      <c r="J148" s="7">
        <v>0</v>
      </c>
      <c r="K148" s="7">
        <v>0</v>
      </c>
      <c r="L148" s="7">
        <v>250.65</v>
      </c>
      <c r="M148" s="7">
        <v>282.08999999999997</v>
      </c>
      <c r="N148" s="10">
        <v>1.12543387193297</v>
      </c>
      <c r="O148" s="10">
        <v>1.1658179450689301</v>
      </c>
      <c r="P148" s="10">
        <v>1.1167724504098799</v>
      </c>
      <c r="Q148" s="10">
        <v>1.1249541732794599</v>
      </c>
      <c r="R148" s="7">
        <v>292.212267931528</v>
      </c>
      <c r="S148" s="7">
        <v>280.61211772474797</v>
      </c>
      <c r="T148" s="7">
        <v>282.14743572049599</v>
      </c>
      <c r="U148" s="12">
        <v>3.5254314185661502E-2</v>
      </c>
      <c r="V148" s="12">
        <v>-5.2528171721848097E-3</v>
      </c>
      <c r="W148" s="12">
        <v>2.0358706125621199E-4</v>
      </c>
      <c r="X148" s="10">
        <v>1.12543387193297</v>
      </c>
      <c r="Y148" s="10">
        <v>1.16578176214971</v>
      </c>
      <c r="Z148" s="10">
        <v>1.1167724504098799</v>
      </c>
      <c r="AA148" s="10">
        <v>1.1249541732794599</v>
      </c>
      <c r="AB148" s="7">
        <v>292.20319868282598</v>
      </c>
      <c r="AC148" s="7">
        <v>280.61211772474797</v>
      </c>
      <c r="AD148" s="7">
        <v>282.14743572049599</v>
      </c>
      <c r="AE148" s="12">
        <v>3.5223277194955903E-2</v>
      </c>
      <c r="AF148" s="12">
        <v>-5.2528171721848097E-3</v>
      </c>
      <c r="AG148" s="12">
        <v>2.0358706125643401E-4</v>
      </c>
      <c r="AZ148" s="5"/>
      <c r="BB148">
        <f t="shared" si="26"/>
        <v>0</v>
      </c>
      <c r="BC148">
        <f t="shared" si="27"/>
        <v>1</v>
      </c>
      <c r="BD148">
        <f t="shared" si="28"/>
        <v>0</v>
      </c>
      <c r="BE148">
        <f t="shared" si="24"/>
        <v>1</v>
      </c>
      <c r="BF148">
        <f t="shared" si="29"/>
        <v>0</v>
      </c>
      <c r="BG148" s="5">
        <f t="shared" si="30"/>
        <v>0</v>
      </c>
      <c r="BH148" s="5">
        <f t="shared" si="31"/>
        <v>0</v>
      </c>
      <c r="BI148" s="5">
        <f t="shared" si="32"/>
        <v>0</v>
      </c>
      <c r="BJ148" s="19">
        <f t="shared" si="33"/>
        <v>5.537331518863832E-2</v>
      </c>
      <c r="BL148" s="5"/>
      <c r="BN148">
        <f t="shared" si="34"/>
        <v>0</v>
      </c>
      <c r="BO148">
        <f t="shared" si="35"/>
        <v>1</v>
      </c>
      <c r="BP148">
        <f t="shared" si="36"/>
        <v>0</v>
      </c>
      <c r="BQ148">
        <f t="shared" si="25"/>
        <v>1</v>
      </c>
      <c r="BR148">
        <f t="shared" si="37"/>
        <v>0</v>
      </c>
      <c r="BS148" s="5">
        <f t="shared" si="38"/>
        <v>0</v>
      </c>
      <c r="BT148" s="5">
        <f t="shared" si="39"/>
        <v>0</v>
      </c>
      <c r="BU148" s="5">
        <f t="shared" si="40"/>
        <v>0</v>
      </c>
      <c r="BV148" s="19">
        <f t="shared" si="41"/>
        <v>6.4941558461191401E-2</v>
      </c>
      <c r="BX148" s="19">
        <f t="shared" si="42"/>
        <v>0</v>
      </c>
      <c r="BY148" s="19">
        <f t="shared" si="43"/>
        <v>0.12031487364982972</v>
      </c>
    </row>
    <row r="149" spans="1:77" x14ac:dyDescent="0.25">
      <c r="A149" s="1">
        <v>46239</v>
      </c>
      <c r="B149" s="7">
        <v>252.28</v>
      </c>
      <c r="C149" s="7">
        <v>282.08</v>
      </c>
      <c r="D149" s="12">
        <v>6.4820380859381098E-3</v>
      </c>
      <c r="E149" s="12">
        <v>-3.5450307535070802E-5</v>
      </c>
      <c r="F149" s="7">
        <v>0</v>
      </c>
      <c r="G149" s="7">
        <v>0.31490499999999999</v>
      </c>
      <c r="H149" s="7">
        <v>0</v>
      </c>
      <c r="I149" s="7">
        <v>0.17363000000000001</v>
      </c>
      <c r="J149" s="7">
        <v>0</v>
      </c>
      <c r="K149" s="7">
        <v>0</v>
      </c>
      <c r="L149" s="7">
        <v>252.28</v>
      </c>
      <c r="M149" s="7">
        <v>282.08</v>
      </c>
      <c r="N149" s="10">
        <v>1.1181227207864199</v>
      </c>
      <c r="O149" s="10">
        <v>1.1658179450689301</v>
      </c>
      <c r="P149" s="10">
        <v>1.1142235957523301</v>
      </c>
      <c r="Q149" s="10">
        <v>1.1237243079833901</v>
      </c>
      <c r="R149" s="7">
        <v>294.11255118199102</v>
      </c>
      <c r="S149" s="7">
        <v>281.73935378940502</v>
      </c>
      <c r="T149" s="7">
        <v>283.80343883494402</v>
      </c>
      <c r="U149" s="12">
        <v>4.1771802579134598E-2</v>
      </c>
      <c r="V149" s="12">
        <v>-1.2083524616672799E-3</v>
      </c>
      <c r="W149" s="12">
        <v>6.0911631098926802E-3</v>
      </c>
      <c r="X149" s="10">
        <v>1.1181227207864199</v>
      </c>
      <c r="Y149" s="10">
        <v>1.16578176214971</v>
      </c>
      <c r="Z149" s="10">
        <v>1.1142235957523301</v>
      </c>
      <c r="AA149" s="10">
        <v>1.1237243079833901</v>
      </c>
      <c r="AB149" s="7">
        <v>294.10342295512999</v>
      </c>
      <c r="AC149" s="7">
        <v>281.73935378940502</v>
      </c>
      <c r="AD149" s="7">
        <v>283.80343883494402</v>
      </c>
      <c r="AE149" s="12">
        <v>4.1740765588428798E-2</v>
      </c>
      <c r="AF149" s="12">
        <v>-1.20835246166706E-3</v>
      </c>
      <c r="AG149" s="12">
        <v>6.0911631098926802E-3</v>
      </c>
      <c r="AZ149" s="5"/>
      <c r="BB149">
        <f t="shared" si="26"/>
        <v>0</v>
      </c>
      <c r="BC149">
        <f t="shared" si="27"/>
        <v>1</v>
      </c>
      <c r="BD149">
        <f t="shared" si="28"/>
        <v>0</v>
      </c>
      <c r="BE149">
        <f t="shared" si="24"/>
        <v>1</v>
      </c>
      <c r="BF149">
        <f t="shared" si="29"/>
        <v>0</v>
      </c>
      <c r="BG149" s="5">
        <f t="shared" si="30"/>
        <v>0</v>
      </c>
      <c r="BH149" s="5">
        <f t="shared" si="31"/>
        <v>0</v>
      </c>
      <c r="BI149" s="5">
        <f t="shared" si="32"/>
        <v>0</v>
      </c>
      <c r="BJ149" s="19">
        <f t="shared" si="33"/>
        <v>5.537331518863832E-2</v>
      </c>
      <c r="BL149" s="5"/>
      <c r="BN149">
        <f t="shared" si="34"/>
        <v>0</v>
      </c>
      <c r="BO149">
        <f t="shared" si="35"/>
        <v>1</v>
      </c>
      <c r="BP149">
        <f t="shared" si="36"/>
        <v>0</v>
      </c>
      <c r="BQ149">
        <f t="shared" si="25"/>
        <v>1</v>
      </c>
      <c r="BR149">
        <f t="shared" si="37"/>
        <v>0</v>
      </c>
      <c r="BS149" s="5">
        <f t="shared" si="38"/>
        <v>0</v>
      </c>
      <c r="BT149" s="5">
        <f t="shared" si="39"/>
        <v>0</v>
      </c>
      <c r="BU149" s="5">
        <f t="shared" si="40"/>
        <v>0</v>
      </c>
      <c r="BV149" s="19">
        <f t="shared" si="41"/>
        <v>6.4941558461191401E-2</v>
      </c>
      <c r="BX149" s="19">
        <f t="shared" si="42"/>
        <v>0</v>
      </c>
      <c r="BY149" s="19">
        <f t="shared" si="43"/>
        <v>0.12031487364982972</v>
      </c>
    </row>
    <row r="150" spans="1:77" x14ac:dyDescent="0.25">
      <c r="A150" s="1">
        <v>46240</v>
      </c>
      <c r="B150" s="7">
        <v>249.99</v>
      </c>
      <c r="C150" s="7">
        <v>282.91000000000003</v>
      </c>
      <c r="D150" s="12">
        <v>-9.11866473322538E-3</v>
      </c>
      <c r="E150" s="12">
        <v>2.93810721279812E-3</v>
      </c>
      <c r="F150" s="7">
        <v>0</v>
      </c>
      <c r="G150" s="7">
        <v>0.31490499999999999</v>
      </c>
      <c r="H150" s="7">
        <v>0</v>
      </c>
      <c r="I150" s="7">
        <v>0.17363000000000001</v>
      </c>
      <c r="J150" s="7">
        <v>0</v>
      </c>
      <c r="K150" s="7">
        <v>0</v>
      </c>
      <c r="L150" s="7">
        <v>249.99</v>
      </c>
      <c r="M150" s="7">
        <v>282.91000000000003</v>
      </c>
      <c r="N150" s="10">
        <v>1.1316852674106901</v>
      </c>
      <c r="O150" s="10">
        <v>1.1658179450689301</v>
      </c>
      <c r="P150" s="10">
        <v>1.1138295988817699</v>
      </c>
      <c r="Q150" s="10">
        <v>1.1231576657533899</v>
      </c>
      <c r="R150" s="7">
        <v>291.44282808778303</v>
      </c>
      <c r="S150" s="7">
        <v>278.54475670212702</v>
      </c>
      <c r="T150" s="7">
        <v>280.91983975276901</v>
      </c>
      <c r="U150" s="12">
        <v>2.9715030633111299E-2</v>
      </c>
      <c r="V150" s="12">
        <v>-1.5550073115591799E-2</v>
      </c>
      <c r="W150" s="12">
        <v>-7.0594650089437902E-3</v>
      </c>
      <c r="X150" s="10">
        <v>1.1316852674106901</v>
      </c>
      <c r="Y150" s="10">
        <v>1.16578176214971</v>
      </c>
      <c r="Z150" s="10">
        <v>1.1138295988817699</v>
      </c>
      <c r="AA150" s="10">
        <v>1.1231576657533899</v>
      </c>
      <c r="AB150" s="7">
        <v>291.43378271980703</v>
      </c>
      <c r="AC150" s="7">
        <v>278.54475670212702</v>
      </c>
      <c r="AD150" s="7">
        <v>280.91983975276901</v>
      </c>
      <c r="AE150" s="12">
        <v>2.9683993642405301E-2</v>
      </c>
      <c r="AF150" s="12">
        <v>-1.5550073115591799E-2</v>
      </c>
      <c r="AG150" s="12">
        <v>-7.0594650089437902E-3</v>
      </c>
      <c r="AZ150" s="5"/>
      <c r="BB150">
        <f t="shared" si="26"/>
        <v>0</v>
      </c>
      <c r="BC150">
        <f t="shared" si="27"/>
        <v>0</v>
      </c>
      <c r="BD150">
        <f t="shared" si="28"/>
        <v>0</v>
      </c>
      <c r="BE150">
        <f t="shared" ref="BE150:BE167" si="44">IF(F151+H151&gt;0,0,1)</f>
        <v>1</v>
      </c>
      <c r="BF150">
        <f t="shared" si="29"/>
        <v>0</v>
      </c>
      <c r="BG150" s="5">
        <f t="shared" si="30"/>
        <v>0</v>
      </c>
      <c r="BH150" s="5">
        <f t="shared" si="31"/>
        <v>0</v>
      </c>
      <c r="BI150" s="5">
        <f t="shared" si="32"/>
        <v>0</v>
      </c>
      <c r="BJ150" s="19">
        <f t="shared" si="33"/>
        <v>5.537331518863832E-2</v>
      </c>
      <c r="BL150" s="5"/>
      <c r="BN150">
        <f t="shared" si="34"/>
        <v>0</v>
      </c>
      <c r="BO150">
        <f t="shared" si="35"/>
        <v>1</v>
      </c>
      <c r="BP150">
        <f t="shared" si="36"/>
        <v>0</v>
      </c>
      <c r="BQ150">
        <f t="shared" ref="BQ150:BQ167" si="45">IF(F151+H151&gt;0,0,1)</f>
        <v>1</v>
      </c>
      <c r="BR150">
        <f t="shared" si="37"/>
        <v>0</v>
      </c>
      <c r="BS150" s="5">
        <f t="shared" si="38"/>
        <v>0</v>
      </c>
      <c r="BT150" s="5">
        <f t="shared" si="39"/>
        <v>0</v>
      </c>
      <c r="BU150" s="5">
        <f t="shared" si="40"/>
        <v>0</v>
      </c>
      <c r="BV150" s="19">
        <f t="shared" si="41"/>
        <v>6.4941558461191401E-2</v>
      </c>
      <c r="BX150" s="19">
        <f t="shared" si="42"/>
        <v>0</v>
      </c>
      <c r="BY150" s="19">
        <f t="shared" si="43"/>
        <v>0.12031487364982972</v>
      </c>
    </row>
    <row r="151" spans="1:77" x14ac:dyDescent="0.25">
      <c r="A151" s="1">
        <v>46241</v>
      </c>
      <c r="B151" s="7">
        <v>250.75</v>
      </c>
      <c r="C151" s="7">
        <v>286.83</v>
      </c>
      <c r="D151" s="12">
        <v>3.0355097798197201E-3</v>
      </c>
      <c r="E151" s="12">
        <v>1.3760879903106E-2</v>
      </c>
      <c r="F151" s="7">
        <v>0</v>
      </c>
      <c r="G151" s="7">
        <v>0.31490499999999999</v>
      </c>
      <c r="H151" s="7">
        <v>0</v>
      </c>
      <c r="I151" s="7">
        <v>0.17363000000000001</v>
      </c>
      <c r="J151" s="7">
        <v>0</v>
      </c>
      <c r="K151" s="7">
        <v>0</v>
      </c>
      <c r="L151" s="7">
        <v>250.75</v>
      </c>
      <c r="M151" s="7">
        <v>286.83</v>
      </c>
      <c r="N151" s="10">
        <v>1.14388833499501</v>
      </c>
      <c r="O151" s="10">
        <v>1.1658179450689301</v>
      </c>
      <c r="P151" s="10">
        <v>1.1161962786376201</v>
      </c>
      <c r="Q151" s="10">
        <v>1.1235776325742599</v>
      </c>
      <c r="R151" s="7">
        <v>292.328849726035</v>
      </c>
      <c r="S151" s="7">
        <v>279.29277191960398</v>
      </c>
      <c r="T151" s="7">
        <v>281.63178468766398</v>
      </c>
      <c r="U151" s="12">
        <v>1.8989660509824799E-2</v>
      </c>
      <c r="V151" s="12">
        <v>-2.6629112420226201E-2</v>
      </c>
      <c r="W151" s="12">
        <v>-1.82892160909412E-2</v>
      </c>
      <c r="X151" s="10">
        <v>1.14388833499501</v>
      </c>
      <c r="Y151" s="10">
        <v>1.16578176214971</v>
      </c>
      <c r="Z151" s="10">
        <v>1.1161962786376201</v>
      </c>
      <c r="AA151" s="10">
        <v>1.1235776325742599</v>
      </c>
      <c r="AB151" s="7">
        <v>292.31977685904099</v>
      </c>
      <c r="AC151" s="7">
        <v>279.29277191960398</v>
      </c>
      <c r="AD151" s="7">
        <v>281.63178468766398</v>
      </c>
      <c r="AE151" s="12">
        <v>1.8958623519118901E-2</v>
      </c>
      <c r="AF151" s="12">
        <v>-2.6629112420226201E-2</v>
      </c>
      <c r="AG151" s="12">
        <v>-1.82892160909412E-2</v>
      </c>
      <c r="AZ151" s="5"/>
      <c r="BB151">
        <f t="shared" ref="BB151:BB167" si="46">IF($AG151&lt;BA$20,1,0)</f>
        <v>0</v>
      </c>
      <c r="BC151">
        <f t="shared" ref="BC151:BC167" si="47">IF($AG151&gt;BA$21,1,0)</f>
        <v>0</v>
      </c>
      <c r="BD151">
        <f t="shared" ref="BD151:BD167" si="48">BF151</f>
        <v>0</v>
      </c>
      <c r="BE151">
        <f t="shared" si="44"/>
        <v>1</v>
      </c>
      <c r="BF151">
        <f t="shared" ref="BF151:BF167" si="49">IF(BB150,1,IF(BC150,0,BD150))*BE150</f>
        <v>0</v>
      </c>
      <c r="BG151" s="5">
        <f t="shared" ref="BG151:BG167" si="50">BF151*D151</f>
        <v>0</v>
      </c>
      <c r="BH151" s="5">
        <f t="shared" ref="BH151:BH167" si="51">-BF151*$E151</f>
        <v>0</v>
      </c>
      <c r="BI151" s="5">
        <f t="shared" ref="BI151:BI167" si="52">BG151+BH151</f>
        <v>0</v>
      </c>
      <c r="BJ151" s="19">
        <f t="shared" ref="BJ151:BJ167" si="53">BJ150+BI151</f>
        <v>5.537331518863832E-2</v>
      </c>
      <c r="BL151" s="5"/>
      <c r="BN151">
        <f t="shared" ref="BN151:BN167" si="54">IF($AG151&gt;BM$20,1,0)</f>
        <v>0</v>
      </c>
      <c r="BO151">
        <f t="shared" ref="BO151:BO167" si="55">IF($AG151&lt;BM$21,1,0)</f>
        <v>1</v>
      </c>
      <c r="BP151">
        <f t="shared" ref="BP151:BP167" si="56">BR151</f>
        <v>0</v>
      </c>
      <c r="BQ151">
        <f t="shared" si="45"/>
        <v>1</v>
      </c>
      <c r="BR151">
        <f t="shared" ref="BR151:BR167" si="57">IF(BN150,1,IF(BO150,0,BP150))*BQ150</f>
        <v>0</v>
      </c>
      <c r="BS151" s="5">
        <f t="shared" ref="BS151:BS167" si="58">-BR151*D151</f>
        <v>0</v>
      </c>
      <c r="BT151" s="5">
        <f t="shared" ref="BT151:BT167" si="59">BR151*$E151</f>
        <v>0</v>
      </c>
      <c r="BU151" s="5">
        <f t="shared" ref="BU151:BU167" si="60">BS151+BT151</f>
        <v>0</v>
      </c>
      <c r="BV151" s="19">
        <f t="shared" ref="BV151:BV167" si="61">BV150+BU151</f>
        <v>6.4941558461191401E-2</v>
      </c>
      <c r="BX151" s="19">
        <f t="shared" ref="BX151:BX167" si="62">BI151+BU151</f>
        <v>0</v>
      </c>
      <c r="BY151" s="19">
        <f t="shared" ref="BY151:BY167" si="63">BY150+BX151</f>
        <v>0.12031487364982972</v>
      </c>
    </row>
    <row r="152" spans="1:77" x14ac:dyDescent="0.25">
      <c r="A152" s="1">
        <v>46244</v>
      </c>
      <c r="B152" s="7">
        <v>251.13</v>
      </c>
      <c r="C152" s="7">
        <v>288.29000000000002</v>
      </c>
      <c r="D152" s="12">
        <v>1.5143064980297099E-3</v>
      </c>
      <c r="E152" s="12">
        <v>5.0772121864382401E-3</v>
      </c>
      <c r="F152" s="7">
        <v>0</v>
      </c>
      <c r="G152" s="7">
        <v>0.31490499999999999</v>
      </c>
      <c r="H152" s="7">
        <v>0</v>
      </c>
      <c r="I152" s="7">
        <v>0.17363000000000001</v>
      </c>
      <c r="J152" s="7">
        <v>0</v>
      </c>
      <c r="K152" s="7">
        <v>0</v>
      </c>
      <c r="L152" s="7">
        <v>251.13</v>
      </c>
      <c r="M152" s="7">
        <v>288.29000000000002</v>
      </c>
      <c r="N152" s="10">
        <v>1.14797117031019</v>
      </c>
      <c r="O152" s="10">
        <v>1.1658179450689301</v>
      </c>
      <c r="P152" s="10">
        <v>1.11903816628075</v>
      </c>
      <c r="Q152" s="10">
        <v>1.1247817643720499</v>
      </c>
      <c r="R152" s="7">
        <v>292.77186054516102</v>
      </c>
      <c r="S152" s="7">
        <v>280.31037145426598</v>
      </c>
      <c r="T152" s="7">
        <v>282.16405086837398</v>
      </c>
      <c r="U152" s="12">
        <v>1.54267548214163E-2</v>
      </c>
      <c r="V152" s="12">
        <v>-2.8069459201806202E-2</v>
      </c>
      <c r="W152" s="12">
        <v>-2.1478275491301099E-2</v>
      </c>
      <c r="X152" s="10">
        <v>1.14797117031019</v>
      </c>
      <c r="Y152" s="10">
        <v>1.16578176214971</v>
      </c>
      <c r="Z152" s="10">
        <v>1.11903816628075</v>
      </c>
      <c r="AA152" s="10">
        <v>1.1247817643720499</v>
      </c>
      <c r="AB152" s="7">
        <v>292.76277392865802</v>
      </c>
      <c r="AC152" s="7">
        <v>280.31037145426598</v>
      </c>
      <c r="AD152" s="7">
        <v>282.16405086837398</v>
      </c>
      <c r="AE152" s="12">
        <v>1.53957178307104E-2</v>
      </c>
      <c r="AF152" s="12">
        <v>-2.8069459201806202E-2</v>
      </c>
      <c r="AG152" s="12">
        <v>-2.1478275491301099E-2</v>
      </c>
      <c r="AZ152" s="5"/>
      <c r="BB152">
        <f t="shared" si="46"/>
        <v>0</v>
      </c>
      <c r="BC152">
        <f t="shared" si="47"/>
        <v>0</v>
      </c>
      <c r="BD152">
        <f t="shared" si="48"/>
        <v>0</v>
      </c>
      <c r="BE152">
        <f t="shared" si="44"/>
        <v>1</v>
      </c>
      <c r="BF152">
        <f t="shared" si="49"/>
        <v>0</v>
      </c>
      <c r="BG152" s="5">
        <f t="shared" si="50"/>
        <v>0</v>
      </c>
      <c r="BH152" s="5">
        <f t="shared" si="51"/>
        <v>0</v>
      </c>
      <c r="BI152" s="5">
        <f t="shared" si="52"/>
        <v>0</v>
      </c>
      <c r="BJ152" s="19">
        <f t="shared" si="53"/>
        <v>5.537331518863832E-2</v>
      </c>
      <c r="BL152" s="5"/>
      <c r="BN152">
        <f t="shared" si="54"/>
        <v>0</v>
      </c>
      <c r="BO152">
        <f t="shared" si="55"/>
        <v>1</v>
      </c>
      <c r="BP152">
        <f t="shared" si="56"/>
        <v>0</v>
      </c>
      <c r="BQ152">
        <f t="shared" si="45"/>
        <v>1</v>
      </c>
      <c r="BR152">
        <f t="shared" si="57"/>
        <v>0</v>
      </c>
      <c r="BS152" s="5">
        <f t="shared" si="58"/>
        <v>0</v>
      </c>
      <c r="BT152" s="5">
        <f t="shared" si="59"/>
        <v>0</v>
      </c>
      <c r="BU152" s="5">
        <f t="shared" si="60"/>
        <v>0</v>
      </c>
      <c r="BV152" s="19">
        <f t="shared" si="61"/>
        <v>6.4941558461191401E-2</v>
      </c>
      <c r="BX152" s="19">
        <f t="shared" si="62"/>
        <v>0</v>
      </c>
      <c r="BY152" s="19">
        <f t="shared" si="63"/>
        <v>0.12031487364982972</v>
      </c>
    </row>
    <row r="153" spans="1:77" x14ac:dyDescent="0.25">
      <c r="A153" s="1">
        <v>46245</v>
      </c>
      <c r="B153" s="7">
        <v>251.9</v>
      </c>
      <c r="C153" s="7">
        <v>292.33</v>
      </c>
      <c r="D153" s="12">
        <v>3.0614500184897699E-3</v>
      </c>
      <c r="E153" s="12">
        <v>1.39163831786096E-2</v>
      </c>
      <c r="F153" s="7">
        <v>0</v>
      </c>
      <c r="G153" s="7">
        <v>0.31490499999999999</v>
      </c>
      <c r="H153" s="7">
        <v>0</v>
      </c>
      <c r="I153" s="7">
        <v>0.17363000000000001</v>
      </c>
      <c r="J153" s="7">
        <v>0</v>
      </c>
      <c r="K153" s="7">
        <v>0</v>
      </c>
      <c r="L153" s="7">
        <v>251.9</v>
      </c>
      <c r="M153" s="7">
        <v>292.33</v>
      </c>
      <c r="N153" s="10">
        <v>1.16050019849146</v>
      </c>
      <c r="O153" s="10">
        <v>1.1658179450689301</v>
      </c>
      <c r="P153" s="10">
        <v>1.12409137006328</v>
      </c>
      <c r="Q153" s="10">
        <v>1.12615696769144</v>
      </c>
      <c r="R153" s="7">
        <v>293.66954036286398</v>
      </c>
      <c r="S153" s="7">
        <v>281.88571408612199</v>
      </c>
      <c r="T153" s="7">
        <v>283.33252644531899</v>
      </c>
      <c r="U153" s="12">
        <v>4.5718216612964501E-3</v>
      </c>
      <c r="V153" s="12">
        <v>-3.6381581534302702E-2</v>
      </c>
      <c r="W153" s="12">
        <v>-3.1262088158362303E-2</v>
      </c>
      <c r="X153" s="10">
        <v>1.16050019849146</v>
      </c>
      <c r="Y153" s="10">
        <v>1.16578176214971</v>
      </c>
      <c r="Z153" s="10">
        <v>1.12409137006328</v>
      </c>
      <c r="AA153" s="10">
        <v>1.12615696769144</v>
      </c>
      <c r="AB153" s="7">
        <v>293.66042588551301</v>
      </c>
      <c r="AC153" s="7">
        <v>281.88571408612199</v>
      </c>
      <c r="AD153" s="7">
        <v>283.33252644531899</v>
      </c>
      <c r="AE153" s="12">
        <v>4.5407846705907704E-3</v>
      </c>
      <c r="AF153" s="12">
        <v>-3.6381581534302702E-2</v>
      </c>
      <c r="AG153" s="12">
        <v>-3.1262088158362102E-2</v>
      </c>
      <c r="AZ153" s="5"/>
      <c r="BB153">
        <f t="shared" si="46"/>
        <v>1</v>
      </c>
      <c r="BC153">
        <f t="shared" si="47"/>
        <v>0</v>
      </c>
      <c r="BD153">
        <f t="shared" si="48"/>
        <v>0</v>
      </c>
      <c r="BE153">
        <f t="shared" si="44"/>
        <v>1</v>
      </c>
      <c r="BF153">
        <f t="shared" si="49"/>
        <v>0</v>
      </c>
      <c r="BG153" s="5">
        <f t="shared" si="50"/>
        <v>0</v>
      </c>
      <c r="BH153" s="5">
        <f t="shared" si="51"/>
        <v>0</v>
      </c>
      <c r="BI153" s="5">
        <f t="shared" si="52"/>
        <v>0</v>
      </c>
      <c r="BJ153" s="19">
        <f t="shared" si="53"/>
        <v>5.537331518863832E-2</v>
      </c>
      <c r="BL153" s="5"/>
      <c r="BN153">
        <f t="shared" si="54"/>
        <v>0</v>
      </c>
      <c r="BO153">
        <f t="shared" si="55"/>
        <v>1</v>
      </c>
      <c r="BP153">
        <f t="shared" si="56"/>
        <v>0</v>
      </c>
      <c r="BQ153">
        <f t="shared" si="45"/>
        <v>1</v>
      </c>
      <c r="BR153">
        <f t="shared" si="57"/>
        <v>0</v>
      </c>
      <c r="BS153" s="5">
        <f t="shared" si="58"/>
        <v>0</v>
      </c>
      <c r="BT153" s="5">
        <f t="shared" si="59"/>
        <v>0</v>
      </c>
      <c r="BU153" s="5">
        <f t="shared" si="60"/>
        <v>0</v>
      </c>
      <c r="BV153" s="19">
        <f t="shared" si="61"/>
        <v>6.4941558461191401E-2</v>
      </c>
      <c r="BX153" s="19">
        <f t="shared" si="62"/>
        <v>0</v>
      </c>
      <c r="BY153" s="19">
        <f t="shared" si="63"/>
        <v>0.12031487364982972</v>
      </c>
    </row>
    <row r="154" spans="1:77" x14ac:dyDescent="0.25">
      <c r="A154" s="1">
        <v>46246</v>
      </c>
      <c r="B154" s="7">
        <v>251.62</v>
      </c>
      <c r="C154" s="7">
        <v>293.33999999999997</v>
      </c>
      <c r="D154" s="12">
        <v>-1.1121704355797201E-3</v>
      </c>
      <c r="E154" s="12">
        <v>3.4490446880968699E-3</v>
      </c>
      <c r="F154" s="7">
        <v>0</v>
      </c>
      <c r="G154" s="7">
        <v>0.31490499999999999</v>
      </c>
      <c r="H154" s="7">
        <v>0</v>
      </c>
      <c r="I154" s="7">
        <v>0.17363000000000001</v>
      </c>
      <c r="J154" s="7">
        <v>0</v>
      </c>
      <c r="K154" s="7">
        <v>0</v>
      </c>
      <c r="L154" s="7">
        <v>251.62</v>
      </c>
      <c r="M154" s="7">
        <v>293.33999999999997</v>
      </c>
      <c r="N154" s="10">
        <v>1.1658055798426099</v>
      </c>
      <c r="O154" s="10">
        <v>1.1658179450689301</v>
      </c>
      <c r="P154" s="10">
        <v>1.1314236422607</v>
      </c>
      <c r="Q154" s="10">
        <v>1.1281237545932301</v>
      </c>
      <c r="R154" s="7">
        <v>293.34311133824502</v>
      </c>
      <c r="S154" s="7">
        <v>282.84387053532299</v>
      </c>
      <c r="T154" s="7">
        <v>283.36361621052203</v>
      </c>
      <c r="U154" s="12">
        <v>1.0606537619903101E-5</v>
      </c>
      <c r="V154" s="12">
        <v>-3.6437294636095699E-2</v>
      </c>
      <c r="W154" s="12">
        <v>-3.4601409970676698E-2</v>
      </c>
      <c r="X154" s="10">
        <v>1.1658055798426099</v>
      </c>
      <c r="Y154" s="10">
        <v>1.16578176214971</v>
      </c>
      <c r="Z154" s="10">
        <v>1.1314236422607</v>
      </c>
      <c r="AA154" s="10">
        <v>1.1281237545932301</v>
      </c>
      <c r="AB154" s="7">
        <v>293.33400699211097</v>
      </c>
      <c r="AC154" s="7">
        <v>282.84387053532299</v>
      </c>
      <c r="AD154" s="7">
        <v>283.36361621052203</v>
      </c>
      <c r="AE154" s="12">
        <v>-2.04304530857573E-5</v>
      </c>
      <c r="AF154" s="12">
        <v>-3.6437294636095699E-2</v>
      </c>
      <c r="AG154" s="12">
        <v>-3.4601409970676698E-2</v>
      </c>
      <c r="AZ154" s="5"/>
      <c r="BB154">
        <f t="shared" si="46"/>
        <v>1</v>
      </c>
      <c r="BC154">
        <f t="shared" si="47"/>
        <v>0</v>
      </c>
      <c r="BD154">
        <f t="shared" si="48"/>
        <v>1</v>
      </c>
      <c r="BE154">
        <f t="shared" si="44"/>
        <v>1</v>
      </c>
      <c r="BF154">
        <f t="shared" si="49"/>
        <v>1</v>
      </c>
      <c r="BG154" s="5">
        <f t="shared" si="50"/>
        <v>-1.1121704355797201E-3</v>
      </c>
      <c r="BH154" s="5">
        <f t="shared" si="51"/>
        <v>-3.4490446880968699E-3</v>
      </c>
      <c r="BI154" s="5">
        <f t="shared" si="52"/>
        <v>-4.5612151236765902E-3</v>
      </c>
      <c r="BJ154" s="19">
        <f t="shared" si="53"/>
        <v>5.0812100064961729E-2</v>
      </c>
      <c r="BL154" s="5"/>
      <c r="BN154">
        <f t="shared" si="54"/>
        <v>0</v>
      </c>
      <c r="BO154">
        <f t="shared" si="55"/>
        <v>1</v>
      </c>
      <c r="BP154">
        <f t="shared" si="56"/>
        <v>0</v>
      </c>
      <c r="BQ154">
        <f t="shared" si="45"/>
        <v>1</v>
      </c>
      <c r="BR154">
        <f t="shared" si="57"/>
        <v>0</v>
      </c>
      <c r="BS154" s="5">
        <f t="shared" si="58"/>
        <v>0</v>
      </c>
      <c r="BT154" s="5">
        <f t="shared" si="59"/>
        <v>0</v>
      </c>
      <c r="BU154" s="5">
        <f t="shared" si="60"/>
        <v>0</v>
      </c>
      <c r="BV154" s="19">
        <f t="shared" si="61"/>
        <v>6.4941558461191401E-2</v>
      </c>
      <c r="BX154" s="19">
        <f t="shared" si="62"/>
        <v>-4.5612151236765902E-3</v>
      </c>
      <c r="BY154" s="19">
        <f t="shared" si="63"/>
        <v>0.11575365852615313</v>
      </c>
    </row>
    <row r="155" spans="1:77" x14ac:dyDescent="0.25">
      <c r="A155" s="1">
        <v>46247</v>
      </c>
      <c r="B155" s="7">
        <v>249.69</v>
      </c>
      <c r="C155" s="7">
        <v>292.10000000000002</v>
      </c>
      <c r="D155" s="12">
        <v>-7.6998644968714501E-3</v>
      </c>
      <c r="E155" s="12">
        <v>-4.2361364249137601E-3</v>
      </c>
      <c r="F155" s="7">
        <v>0</v>
      </c>
      <c r="G155" s="7">
        <v>0.31490499999999999</v>
      </c>
      <c r="H155" s="7">
        <v>0</v>
      </c>
      <c r="I155" s="7">
        <v>0.17363000000000001</v>
      </c>
      <c r="J155" s="7">
        <v>0</v>
      </c>
      <c r="K155" s="7">
        <v>0</v>
      </c>
      <c r="L155" s="7">
        <v>249.69</v>
      </c>
      <c r="M155" s="7">
        <v>292.10000000000002</v>
      </c>
      <c r="N155" s="10">
        <v>1.1698506147623</v>
      </c>
      <c r="O155" s="10">
        <v>1.1658179450689301</v>
      </c>
      <c r="P155" s="10">
        <v>1.13803621811983</v>
      </c>
      <c r="Q155" s="10">
        <v>1.1305159778256</v>
      </c>
      <c r="R155" s="7">
        <v>291.09308270426197</v>
      </c>
      <c r="S155" s="7">
        <v>282.50516923607398</v>
      </c>
      <c r="T155" s="7">
        <v>281.68122028438398</v>
      </c>
      <c r="U155" s="12">
        <v>-3.4531215343376301E-3</v>
      </c>
      <c r="V155" s="12">
        <v>-3.33993607938151E-2</v>
      </c>
      <c r="W155" s="12">
        <v>-3.6320202390760899E-2</v>
      </c>
      <c r="X155" s="10">
        <v>1.1698506147623</v>
      </c>
      <c r="Y155" s="10">
        <v>1.16578176214971</v>
      </c>
      <c r="Z155" s="10">
        <v>1.13803621811983</v>
      </c>
      <c r="AA155" s="10">
        <v>1.1305159778256</v>
      </c>
      <c r="AB155" s="7">
        <v>291.08404819116203</v>
      </c>
      <c r="AC155" s="7">
        <v>282.50516923607398</v>
      </c>
      <c r="AD155" s="7">
        <v>281.68122028438398</v>
      </c>
      <c r="AE155" s="12">
        <v>-3.4841585250435501E-3</v>
      </c>
      <c r="AF155" s="12">
        <v>-3.33993607938151E-2</v>
      </c>
      <c r="AG155" s="12">
        <v>-3.6320202390760899E-2</v>
      </c>
      <c r="AZ155" s="5"/>
      <c r="BB155">
        <f t="shared" si="46"/>
        <v>1</v>
      </c>
      <c r="BC155">
        <f t="shared" si="47"/>
        <v>0</v>
      </c>
      <c r="BD155">
        <f t="shared" si="48"/>
        <v>1</v>
      </c>
      <c r="BE155">
        <f t="shared" si="44"/>
        <v>1</v>
      </c>
      <c r="BF155">
        <f t="shared" si="49"/>
        <v>1</v>
      </c>
      <c r="BG155" s="5">
        <f t="shared" si="50"/>
        <v>-7.6998644968714501E-3</v>
      </c>
      <c r="BH155" s="5">
        <f t="shared" si="51"/>
        <v>4.2361364249137601E-3</v>
      </c>
      <c r="BI155" s="5">
        <f t="shared" si="52"/>
        <v>-3.4637280719576899E-3</v>
      </c>
      <c r="BJ155" s="19">
        <f t="shared" si="53"/>
        <v>4.734837199300404E-2</v>
      </c>
      <c r="BL155" s="5"/>
      <c r="BN155">
        <f t="shared" si="54"/>
        <v>0</v>
      </c>
      <c r="BO155">
        <f t="shared" si="55"/>
        <v>1</v>
      </c>
      <c r="BP155">
        <f t="shared" si="56"/>
        <v>0</v>
      </c>
      <c r="BQ155">
        <f t="shared" si="45"/>
        <v>1</v>
      </c>
      <c r="BR155">
        <f t="shared" si="57"/>
        <v>0</v>
      </c>
      <c r="BS155" s="5">
        <f t="shared" si="58"/>
        <v>0</v>
      </c>
      <c r="BT155" s="5">
        <f t="shared" si="59"/>
        <v>0</v>
      </c>
      <c r="BU155" s="5">
        <f t="shared" si="60"/>
        <v>0</v>
      </c>
      <c r="BV155" s="19">
        <f t="shared" si="61"/>
        <v>6.4941558461191401E-2</v>
      </c>
      <c r="BX155" s="19">
        <f t="shared" si="62"/>
        <v>-3.4637280719576899E-3</v>
      </c>
      <c r="BY155" s="19">
        <f t="shared" si="63"/>
        <v>0.11228993045419544</v>
      </c>
    </row>
    <row r="156" spans="1:77" x14ac:dyDescent="0.25">
      <c r="A156" s="1">
        <v>46248</v>
      </c>
      <c r="B156" s="7">
        <v>253.22</v>
      </c>
      <c r="C156" s="7">
        <v>296.73</v>
      </c>
      <c r="D156" s="12">
        <v>1.40385276659937E-2</v>
      </c>
      <c r="E156" s="12">
        <v>1.5726425026163698E-2</v>
      </c>
      <c r="F156" s="7">
        <v>0</v>
      </c>
      <c r="G156" s="7">
        <v>0.31490499999999999</v>
      </c>
      <c r="H156" s="7">
        <v>0</v>
      </c>
      <c r="I156" s="7">
        <v>0.17363000000000001</v>
      </c>
      <c r="J156" s="7">
        <v>0</v>
      </c>
      <c r="K156" s="7">
        <v>0</v>
      </c>
      <c r="L156" s="7">
        <v>253.22</v>
      </c>
      <c r="M156" s="7">
        <v>296.73</v>
      </c>
      <c r="N156" s="10">
        <v>1.1718268699154799</v>
      </c>
      <c r="O156" s="10">
        <v>1.1658179450689301</v>
      </c>
      <c r="P156" s="10">
        <v>1.1447040090085601</v>
      </c>
      <c r="Q156" s="10">
        <v>1.1330742957070199</v>
      </c>
      <c r="R156" s="7">
        <v>295.20842005035502</v>
      </c>
      <c r="S156" s="7">
        <v>288.17353115230298</v>
      </c>
      <c r="T156" s="7">
        <v>286.26925590500002</v>
      </c>
      <c r="U156" s="12">
        <v>-5.1410188945078296E-3</v>
      </c>
      <c r="V156" s="12">
        <v>-2.9259797014208E-2</v>
      </c>
      <c r="W156" s="12">
        <v>-3.5889812276783797E-2</v>
      </c>
      <c r="X156" s="10">
        <v>1.1718268699154799</v>
      </c>
      <c r="Y156" s="10">
        <v>1.16578176214971</v>
      </c>
      <c r="Z156" s="10">
        <v>1.1447040090085601</v>
      </c>
      <c r="AA156" s="10">
        <v>1.1330742957070199</v>
      </c>
      <c r="AB156" s="7">
        <v>295.19925781155098</v>
      </c>
      <c r="AC156" s="7">
        <v>288.17353115230298</v>
      </c>
      <c r="AD156" s="7">
        <v>286.26925590500002</v>
      </c>
      <c r="AE156" s="12">
        <v>-5.1720558852134304E-3</v>
      </c>
      <c r="AF156" s="12">
        <v>-2.9259797014208E-2</v>
      </c>
      <c r="AG156" s="12">
        <v>-3.5889812276783797E-2</v>
      </c>
      <c r="AZ156" s="5"/>
      <c r="BB156">
        <f t="shared" si="46"/>
        <v>1</v>
      </c>
      <c r="BC156">
        <f t="shared" si="47"/>
        <v>0</v>
      </c>
      <c r="BD156">
        <f t="shared" si="48"/>
        <v>1</v>
      </c>
      <c r="BE156">
        <f t="shared" si="44"/>
        <v>1</v>
      </c>
      <c r="BF156">
        <f t="shared" si="49"/>
        <v>1</v>
      </c>
      <c r="BG156" s="5">
        <f t="shared" si="50"/>
        <v>1.40385276659937E-2</v>
      </c>
      <c r="BH156" s="5">
        <f t="shared" si="51"/>
        <v>-1.5726425026163698E-2</v>
      </c>
      <c r="BI156" s="5">
        <f t="shared" si="52"/>
        <v>-1.6878973601699987E-3</v>
      </c>
      <c r="BJ156" s="19">
        <f t="shared" si="53"/>
        <v>4.5660474632834042E-2</v>
      </c>
      <c r="BL156" s="5"/>
      <c r="BN156">
        <f t="shared" si="54"/>
        <v>0</v>
      </c>
      <c r="BO156">
        <f t="shared" si="55"/>
        <v>1</v>
      </c>
      <c r="BP156">
        <f t="shared" si="56"/>
        <v>0</v>
      </c>
      <c r="BQ156">
        <f t="shared" si="45"/>
        <v>1</v>
      </c>
      <c r="BR156">
        <f t="shared" si="57"/>
        <v>0</v>
      </c>
      <c r="BS156" s="5">
        <f t="shared" si="58"/>
        <v>0</v>
      </c>
      <c r="BT156" s="5">
        <f t="shared" si="59"/>
        <v>0</v>
      </c>
      <c r="BU156" s="5">
        <f t="shared" si="60"/>
        <v>0</v>
      </c>
      <c r="BV156" s="19">
        <f t="shared" si="61"/>
        <v>6.4941558461191401E-2</v>
      </c>
      <c r="BX156" s="19">
        <f t="shared" si="62"/>
        <v>-1.6878973601699987E-3</v>
      </c>
      <c r="BY156" s="19">
        <f t="shared" si="63"/>
        <v>0.11060203309402544</v>
      </c>
    </row>
    <row r="157" spans="1:77" x14ac:dyDescent="0.25">
      <c r="A157" s="1">
        <v>46251</v>
      </c>
      <c r="B157" s="7">
        <v>251.2</v>
      </c>
      <c r="C157" s="7">
        <v>294.87</v>
      </c>
      <c r="D157" s="12">
        <v>-8.0092414980635004E-3</v>
      </c>
      <c r="E157" s="12">
        <v>-6.2880531732114001E-3</v>
      </c>
      <c r="F157" s="7">
        <v>0</v>
      </c>
      <c r="G157" s="7">
        <v>0.31490499999999999</v>
      </c>
      <c r="H157" s="7">
        <v>0</v>
      </c>
      <c r="I157" s="7">
        <v>0.17363000000000001</v>
      </c>
      <c r="J157" s="7">
        <v>0</v>
      </c>
      <c r="K157" s="7">
        <v>0</v>
      </c>
      <c r="L157" s="7">
        <v>251.2</v>
      </c>
      <c r="M157" s="7">
        <v>294.87</v>
      </c>
      <c r="N157" s="10">
        <v>1.1738455414012701</v>
      </c>
      <c r="O157" s="10">
        <v>1.1658179450689301</v>
      </c>
      <c r="P157" s="10">
        <v>1.1508930169848399</v>
      </c>
      <c r="Q157" s="10">
        <v>1.1352153449670801</v>
      </c>
      <c r="R157" s="7">
        <v>292.85346780131601</v>
      </c>
      <c r="S157" s="7">
        <v>287.54964706295198</v>
      </c>
      <c r="T157" s="7">
        <v>284.62826308160498</v>
      </c>
      <c r="U157" s="12">
        <v>-6.8622072193598102E-3</v>
      </c>
      <c r="V157" s="12">
        <v>-2.5139050481300301E-2</v>
      </c>
      <c r="W157" s="12">
        <v>-3.53505924344584E-2</v>
      </c>
      <c r="X157" s="10">
        <v>1.1738455414012701</v>
      </c>
      <c r="Y157" s="10">
        <v>1.16578176214971</v>
      </c>
      <c r="Z157" s="10">
        <v>1.1508930169848399</v>
      </c>
      <c r="AA157" s="10">
        <v>1.1352153449670801</v>
      </c>
      <c r="AB157" s="7">
        <v>292.84437865200903</v>
      </c>
      <c r="AC157" s="7">
        <v>287.54964706295198</v>
      </c>
      <c r="AD157" s="7">
        <v>284.62826308160498</v>
      </c>
      <c r="AE157" s="12">
        <v>-6.8932442100656703E-3</v>
      </c>
      <c r="AF157" s="12">
        <v>-2.5139050481300301E-2</v>
      </c>
      <c r="AG157" s="12">
        <v>-3.53505924344584E-2</v>
      </c>
      <c r="BB157">
        <f t="shared" si="46"/>
        <v>1</v>
      </c>
      <c r="BC157">
        <f t="shared" si="47"/>
        <v>0</v>
      </c>
      <c r="BD157">
        <f t="shared" si="48"/>
        <v>1</v>
      </c>
      <c r="BE157">
        <f t="shared" si="44"/>
        <v>1</v>
      </c>
      <c r="BF157">
        <f t="shared" si="49"/>
        <v>1</v>
      </c>
      <c r="BG157" s="5">
        <f t="shared" si="50"/>
        <v>-8.0092414980635004E-3</v>
      </c>
      <c r="BH157" s="5">
        <f t="shared" si="51"/>
        <v>6.2880531732114001E-3</v>
      </c>
      <c r="BI157" s="5">
        <f t="shared" si="52"/>
        <v>-1.7211883248521003E-3</v>
      </c>
      <c r="BJ157" s="19">
        <f t="shared" si="53"/>
        <v>4.393928630798194E-2</v>
      </c>
      <c r="BL157" s="5"/>
      <c r="BN157">
        <f t="shared" si="54"/>
        <v>0</v>
      </c>
      <c r="BO157">
        <f t="shared" si="55"/>
        <v>1</v>
      </c>
      <c r="BP157">
        <f t="shared" si="56"/>
        <v>0</v>
      </c>
      <c r="BQ157">
        <f t="shared" si="45"/>
        <v>1</v>
      </c>
      <c r="BR157">
        <f t="shared" si="57"/>
        <v>0</v>
      </c>
      <c r="BS157" s="5">
        <f t="shared" si="58"/>
        <v>0</v>
      </c>
      <c r="BT157" s="5">
        <f t="shared" si="59"/>
        <v>0</v>
      </c>
      <c r="BU157" s="5">
        <f t="shared" si="60"/>
        <v>0</v>
      </c>
      <c r="BV157" s="19">
        <f t="shared" si="61"/>
        <v>6.4941558461191401E-2</v>
      </c>
      <c r="BX157" s="19">
        <f t="shared" si="62"/>
        <v>-1.7211883248521003E-3</v>
      </c>
      <c r="BY157" s="19">
        <f t="shared" si="63"/>
        <v>0.10888084476917334</v>
      </c>
    </row>
    <row r="158" spans="1:77" x14ac:dyDescent="0.25">
      <c r="A158" s="1">
        <v>46252</v>
      </c>
      <c r="B158" s="7">
        <v>252.16</v>
      </c>
      <c r="C158" s="7">
        <v>290.43</v>
      </c>
      <c r="D158" s="12">
        <v>3.8143720754706899E-3</v>
      </c>
      <c r="E158" s="12">
        <v>-1.51719978465577E-2</v>
      </c>
      <c r="F158" s="7">
        <v>0</v>
      </c>
      <c r="G158" s="7">
        <v>0.31490499999999999</v>
      </c>
      <c r="H158" s="7">
        <v>0</v>
      </c>
      <c r="I158" s="7">
        <v>0.17363000000000001</v>
      </c>
      <c r="J158" s="7">
        <v>0</v>
      </c>
      <c r="K158" s="7">
        <v>0</v>
      </c>
      <c r="L158" s="7">
        <v>252.16</v>
      </c>
      <c r="M158" s="7">
        <v>290.43</v>
      </c>
      <c r="N158" s="10">
        <v>1.1517687182741101</v>
      </c>
      <c r="O158" s="10">
        <v>1.1658179450689301</v>
      </c>
      <c r="P158" s="10">
        <v>1.15352650161896</v>
      </c>
      <c r="Q158" s="10">
        <v>1.1351494760144201</v>
      </c>
      <c r="R158" s="7">
        <v>293.97265302858199</v>
      </c>
      <c r="S158" s="7">
        <v>290.209183162898</v>
      </c>
      <c r="T158" s="7">
        <v>286.25590138690001</v>
      </c>
      <c r="U158" s="12">
        <v>1.2124162702668501E-2</v>
      </c>
      <c r="V158" s="12">
        <v>-7.6059919533413498E-4</v>
      </c>
      <c r="W158" s="12">
        <v>-1.4476412545372601E-2</v>
      </c>
      <c r="X158" s="10">
        <v>1.1517687182741101</v>
      </c>
      <c r="Y158" s="10">
        <v>1.16578176214971</v>
      </c>
      <c r="Z158" s="10">
        <v>1.15352650161896</v>
      </c>
      <c r="AA158" s="10">
        <v>1.1351494760144201</v>
      </c>
      <c r="AB158" s="7">
        <v>293.96352914367202</v>
      </c>
      <c r="AC158" s="7">
        <v>290.209183162898</v>
      </c>
      <c r="AD158" s="7">
        <v>286.25590138690001</v>
      </c>
      <c r="AE158" s="12">
        <v>1.20931257119629E-2</v>
      </c>
      <c r="AF158" s="12">
        <v>-7.6059919533413498E-4</v>
      </c>
      <c r="AG158" s="12">
        <v>-1.4476412545372601E-2</v>
      </c>
      <c r="BB158">
        <f t="shared" si="46"/>
        <v>0</v>
      </c>
      <c r="BC158">
        <f t="shared" si="47"/>
        <v>0</v>
      </c>
      <c r="BD158">
        <f t="shared" si="48"/>
        <v>1</v>
      </c>
      <c r="BE158">
        <f t="shared" si="44"/>
        <v>1</v>
      </c>
      <c r="BF158">
        <f t="shared" si="49"/>
        <v>1</v>
      </c>
      <c r="BG158" s="5">
        <f t="shared" si="50"/>
        <v>3.8143720754706899E-3</v>
      </c>
      <c r="BH158" s="5">
        <f t="shared" si="51"/>
        <v>1.51719978465577E-2</v>
      </c>
      <c r="BI158" s="5">
        <f t="shared" si="52"/>
        <v>1.8986369922028391E-2</v>
      </c>
      <c r="BJ158" s="19">
        <f t="shared" si="53"/>
        <v>6.2925656230010327E-2</v>
      </c>
      <c r="BL158" s="5"/>
      <c r="BN158">
        <f t="shared" si="54"/>
        <v>0</v>
      </c>
      <c r="BO158">
        <f t="shared" si="55"/>
        <v>1</v>
      </c>
      <c r="BP158">
        <f t="shared" si="56"/>
        <v>0</v>
      </c>
      <c r="BQ158">
        <f t="shared" si="45"/>
        <v>1</v>
      </c>
      <c r="BR158">
        <f t="shared" si="57"/>
        <v>0</v>
      </c>
      <c r="BS158" s="5">
        <f t="shared" si="58"/>
        <v>0</v>
      </c>
      <c r="BT158" s="5">
        <f t="shared" si="59"/>
        <v>0</v>
      </c>
      <c r="BU158" s="5">
        <f t="shared" si="60"/>
        <v>0</v>
      </c>
      <c r="BV158" s="19">
        <f t="shared" si="61"/>
        <v>6.4941558461191401E-2</v>
      </c>
      <c r="BX158" s="19">
        <f t="shared" si="62"/>
        <v>1.8986369922028391E-2</v>
      </c>
      <c r="BY158" s="19">
        <f t="shared" si="63"/>
        <v>0.12786721469120174</v>
      </c>
    </row>
    <row r="159" spans="1:77" x14ac:dyDescent="0.25">
      <c r="A159" s="1">
        <v>46253</v>
      </c>
      <c r="B159" s="7">
        <v>246.15</v>
      </c>
      <c r="C159" s="7">
        <v>284.10000000000002</v>
      </c>
      <c r="D159" s="12">
        <v>-2.4122700465304601E-2</v>
      </c>
      <c r="E159" s="12">
        <v>-2.2036294539947501E-2</v>
      </c>
      <c r="F159" s="7">
        <v>0</v>
      </c>
      <c r="G159" s="7">
        <v>0.31490499999999999</v>
      </c>
      <c r="H159" s="7">
        <v>0</v>
      </c>
      <c r="I159" s="7">
        <v>0.17363000000000001</v>
      </c>
      <c r="J159" s="7">
        <v>0</v>
      </c>
      <c r="K159" s="7">
        <v>0</v>
      </c>
      <c r="L159" s="7">
        <v>246.15</v>
      </c>
      <c r="M159" s="7">
        <v>284.10000000000002</v>
      </c>
      <c r="N159" s="10">
        <v>1.1541742839731799</v>
      </c>
      <c r="O159" s="10">
        <v>1.1658179450689301</v>
      </c>
      <c r="P159" s="10">
        <v>1.1571316579376301</v>
      </c>
      <c r="Q159" s="10">
        <v>1.13567762684498</v>
      </c>
      <c r="R159" s="7">
        <v>286.966087178718</v>
      </c>
      <c r="S159" s="7">
        <v>283.940548373507</v>
      </c>
      <c r="T159" s="7">
        <v>279.41704352094899</v>
      </c>
      <c r="U159" s="12">
        <v>1.00377567773115E-2</v>
      </c>
      <c r="V159" s="12">
        <v>-5.6140932592760795E-4</v>
      </c>
      <c r="W159" s="12">
        <v>-1.6620843464840399E-2</v>
      </c>
      <c r="X159" s="10">
        <v>1.1541742839731799</v>
      </c>
      <c r="Y159" s="10">
        <v>1.16578176214971</v>
      </c>
      <c r="Z159" s="10">
        <v>1.1571316579376301</v>
      </c>
      <c r="AA159" s="10">
        <v>1.13567762684498</v>
      </c>
      <c r="AB159" s="7">
        <v>286.95718075315199</v>
      </c>
      <c r="AC159" s="7">
        <v>283.940548373507</v>
      </c>
      <c r="AD159" s="7">
        <v>279.41704352094899</v>
      </c>
      <c r="AE159" s="12">
        <v>1.00067197866057E-2</v>
      </c>
      <c r="AF159" s="12">
        <v>-5.6140932592760795E-4</v>
      </c>
      <c r="AG159" s="12">
        <v>-1.6620843464840399E-2</v>
      </c>
      <c r="BB159">
        <f t="shared" si="46"/>
        <v>0</v>
      </c>
      <c r="BC159">
        <f t="shared" si="47"/>
        <v>0</v>
      </c>
      <c r="BD159">
        <f t="shared" si="48"/>
        <v>1</v>
      </c>
      <c r="BE159">
        <f t="shared" si="44"/>
        <v>1</v>
      </c>
      <c r="BF159">
        <f t="shared" si="49"/>
        <v>1</v>
      </c>
      <c r="BG159" s="5">
        <f t="shared" si="50"/>
        <v>-2.4122700465304601E-2</v>
      </c>
      <c r="BH159" s="5">
        <f t="shared" si="51"/>
        <v>2.2036294539947501E-2</v>
      </c>
      <c r="BI159" s="5">
        <f t="shared" si="52"/>
        <v>-2.0864059253570995E-3</v>
      </c>
      <c r="BJ159" s="19">
        <f t="shared" si="53"/>
        <v>6.0839250304653231E-2</v>
      </c>
      <c r="BL159" s="5"/>
      <c r="BN159">
        <f t="shared" si="54"/>
        <v>0</v>
      </c>
      <c r="BO159">
        <f t="shared" si="55"/>
        <v>1</v>
      </c>
      <c r="BP159">
        <f t="shared" si="56"/>
        <v>0</v>
      </c>
      <c r="BQ159">
        <f t="shared" si="45"/>
        <v>1</v>
      </c>
      <c r="BR159">
        <f t="shared" si="57"/>
        <v>0</v>
      </c>
      <c r="BS159" s="5">
        <f t="shared" si="58"/>
        <v>0</v>
      </c>
      <c r="BT159" s="5">
        <f t="shared" si="59"/>
        <v>0</v>
      </c>
      <c r="BU159" s="5">
        <f t="shared" si="60"/>
        <v>0</v>
      </c>
      <c r="BV159" s="19">
        <f t="shared" si="61"/>
        <v>6.4941558461191401E-2</v>
      </c>
      <c r="BX159" s="19">
        <f t="shared" si="62"/>
        <v>-2.0864059253570995E-3</v>
      </c>
      <c r="BY159" s="19">
        <f t="shared" si="63"/>
        <v>0.12578080876584463</v>
      </c>
    </row>
    <row r="160" spans="1:77" x14ac:dyDescent="0.25">
      <c r="A160" s="1">
        <v>46254</v>
      </c>
      <c r="B160" s="7">
        <v>237.56</v>
      </c>
      <c r="C160" s="7">
        <v>271.77999999999997</v>
      </c>
      <c r="D160" s="12">
        <v>-3.5520883056550101E-2</v>
      </c>
      <c r="E160" s="12">
        <v>-4.4333373367791001E-2</v>
      </c>
      <c r="F160" s="7">
        <v>0</v>
      </c>
      <c r="G160" s="7">
        <v>0.31490499999999999</v>
      </c>
      <c r="H160" s="7">
        <v>0</v>
      </c>
      <c r="I160" s="7">
        <v>0.17363000000000001</v>
      </c>
      <c r="J160" s="7">
        <v>0</v>
      </c>
      <c r="K160" s="7">
        <v>0</v>
      </c>
      <c r="L160" s="7">
        <v>237.56</v>
      </c>
      <c r="M160" s="7">
        <v>271.77999999999997</v>
      </c>
      <c r="N160" s="10">
        <v>1.14404781949823</v>
      </c>
      <c r="O160" s="10">
        <v>1.1658179450689301</v>
      </c>
      <c r="P160" s="10">
        <v>1.15836791314638</v>
      </c>
      <c r="Q160" s="10">
        <v>1.1360987560140801</v>
      </c>
      <c r="R160" s="7">
        <v>276.95171103057601</v>
      </c>
      <c r="S160" s="7">
        <v>274.888196659664</v>
      </c>
      <c r="T160" s="7">
        <v>269.79157703329503</v>
      </c>
      <c r="U160" s="12">
        <v>1.8850247088552399E-2</v>
      </c>
      <c r="V160" s="12">
        <v>1.1371541906052799E-2</v>
      </c>
      <c r="W160" s="12">
        <v>-7.3431915044152203E-3</v>
      </c>
      <c r="X160" s="10">
        <v>1.14404781949823</v>
      </c>
      <c r="Y160" s="10">
        <v>1.16578176214971</v>
      </c>
      <c r="Z160" s="10">
        <v>1.15836791314638</v>
      </c>
      <c r="AA160" s="10">
        <v>1.1360987560140801</v>
      </c>
      <c r="AB160" s="7">
        <v>276.94311541628599</v>
      </c>
      <c r="AC160" s="7">
        <v>274.888196659664</v>
      </c>
      <c r="AD160" s="7">
        <v>269.79157703329503</v>
      </c>
      <c r="AE160" s="12">
        <v>1.8819210097846598E-2</v>
      </c>
      <c r="AF160" s="12">
        <v>1.1371541906052799E-2</v>
      </c>
      <c r="AG160" s="12">
        <v>-7.3431915044152203E-3</v>
      </c>
      <c r="BB160">
        <f t="shared" si="46"/>
        <v>0</v>
      </c>
      <c r="BC160">
        <f t="shared" si="47"/>
        <v>0</v>
      </c>
      <c r="BD160">
        <f t="shared" si="48"/>
        <v>1</v>
      </c>
      <c r="BE160">
        <f t="shared" si="44"/>
        <v>1</v>
      </c>
      <c r="BF160">
        <f t="shared" si="49"/>
        <v>1</v>
      </c>
      <c r="BG160" s="5">
        <f t="shared" si="50"/>
        <v>-3.5520883056550101E-2</v>
      </c>
      <c r="BH160" s="5">
        <f t="shared" si="51"/>
        <v>4.4333373367791001E-2</v>
      </c>
      <c r="BI160" s="5">
        <f t="shared" si="52"/>
        <v>8.8124903112409003E-3</v>
      </c>
      <c r="BJ160" s="19">
        <f t="shared" si="53"/>
        <v>6.9651740615894131E-2</v>
      </c>
      <c r="BL160" s="5"/>
      <c r="BN160">
        <f t="shared" si="54"/>
        <v>0</v>
      </c>
      <c r="BO160">
        <f t="shared" si="55"/>
        <v>1</v>
      </c>
      <c r="BP160">
        <f t="shared" si="56"/>
        <v>0</v>
      </c>
      <c r="BQ160">
        <f t="shared" si="45"/>
        <v>1</v>
      </c>
      <c r="BR160">
        <f t="shared" si="57"/>
        <v>0</v>
      </c>
      <c r="BS160" s="5">
        <f t="shared" si="58"/>
        <v>0</v>
      </c>
      <c r="BT160" s="5">
        <f t="shared" si="59"/>
        <v>0</v>
      </c>
      <c r="BU160" s="5">
        <f t="shared" si="60"/>
        <v>0</v>
      </c>
      <c r="BV160" s="19">
        <f t="shared" si="61"/>
        <v>6.4941558461191401E-2</v>
      </c>
      <c r="BX160" s="19">
        <f t="shared" si="62"/>
        <v>8.8124903112409003E-3</v>
      </c>
      <c r="BY160" s="19">
        <f t="shared" si="63"/>
        <v>0.13459329907708553</v>
      </c>
    </row>
    <row r="161" spans="1:77" x14ac:dyDescent="0.25">
      <c r="A161" s="1">
        <v>46255</v>
      </c>
      <c r="B161" s="7">
        <v>237.34</v>
      </c>
      <c r="C161" s="7">
        <v>272.74</v>
      </c>
      <c r="D161" s="12">
        <v>-9.2651091066638395E-4</v>
      </c>
      <c r="E161" s="12">
        <v>3.52604493733667E-3</v>
      </c>
      <c r="F161" s="7">
        <v>0</v>
      </c>
      <c r="G161" s="7">
        <v>0.31490499999999999</v>
      </c>
      <c r="H161" s="7">
        <v>0</v>
      </c>
      <c r="I161" s="7">
        <v>0.17363000000000001</v>
      </c>
      <c r="J161" s="7">
        <v>0</v>
      </c>
      <c r="K161" s="7">
        <v>0</v>
      </c>
      <c r="L161" s="7">
        <v>237.34</v>
      </c>
      <c r="M161" s="7">
        <v>272.74</v>
      </c>
      <c r="N161" s="10">
        <v>1.14915311367658</v>
      </c>
      <c r="O161" s="10">
        <v>1.1658179450689301</v>
      </c>
      <c r="P161" s="10">
        <v>1.1588943910145399</v>
      </c>
      <c r="Q161" s="10">
        <v>1.13754533482608</v>
      </c>
      <c r="R161" s="7">
        <v>276.695231082661</v>
      </c>
      <c r="S161" s="7">
        <v>274.92704050616402</v>
      </c>
      <c r="T161" s="7">
        <v>269.64167875238098</v>
      </c>
      <c r="U161" s="12">
        <v>1.43976912405491E-2</v>
      </c>
      <c r="V161" s="12">
        <v>7.9867947863764294E-3</v>
      </c>
      <c r="W161" s="12">
        <v>-1.14249985612124E-2</v>
      </c>
      <c r="X161" s="10">
        <v>1.14915311367658</v>
      </c>
      <c r="Y161" s="10">
        <v>1.16578176214971</v>
      </c>
      <c r="Z161" s="10">
        <v>1.1588943910145399</v>
      </c>
      <c r="AA161" s="10">
        <v>1.13754533482608</v>
      </c>
      <c r="AB161" s="7">
        <v>276.68664342861302</v>
      </c>
      <c r="AC161" s="7">
        <v>274.92704050616402</v>
      </c>
      <c r="AD161" s="7">
        <v>269.64167875238201</v>
      </c>
      <c r="AE161" s="12">
        <v>1.4366654249843401E-2</v>
      </c>
      <c r="AF161" s="12">
        <v>7.9867947863764294E-3</v>
      </c>
      <c r="AG161" s="12">
        <v>-1.1424998561212299E-2</v>
      </c>
      <c r="BB161">
        <f t="shared" si="46"/>
        <v>0</v>
      </c>
      <c r="BC161">
        <f t="shared" si="47"/>
        <v>0</v>
      </c>
      <c r="BD161">
        <f t="shared" si="48"/>
        <v>1</v>
      </c>
      <c r="BE161">
        <f t="shared" si="44"/>
        <v>1</v>
      </c>
      <c r="BF161">
        <f t="shared" si="49"/>
        <v>1</v>
      </c>
      <c r="BG161" s="5">
        <f t="shared" si="50"/>
        <v>-9.2651091066638395E-4</v>
      </c>
      <c r="BH161" s="5">
        <f t="shared" si="51"/>
        <v>-3.52604493733667E-3</v>
      </c>
      <c r="BI161" s="5">
        <f t="shared" si="52"/>
        <v>-4.4525558480030536E-3</v>
      </c>
      <c r="BJ161" s="19">
        <f t="shared" si="53"/>
        <v>6.5199184767891077E-2</v>
      </c>
      <c r="BL161" s="5"/>
      <c r="BN161">
        <f t="shared" si="54"/>
        <v>0</v>
      </c>
      <c r="BO161">
        <f t="shared" si="55"/>
        <v>1</v>
      </c>
      <c r="BP161">
        <f t="shared" si="56"/>
        <v>0</v>
      </c>
      <c r="BQ161">
        <f t="shared" si="45"/>
        <v>1</v>
      </c>
      <c r="BR161">
        <f t="shared" si="57"/>
        <v>0</v>
      </c>
      <c r="BS161" s="5">
        <f t="shared" si="58"/>
        <v>0</v>
      </c>
      <c r="BT161" s="5">
        <f t="shared" si="59"/>
        <v>0</v>
      </c>
      <c r="BU161" s="5">
        <f t="shared" si="60"/>
        <v>0</v>
      </c>
      <c r="BV161" s="19">
        <f t="shared" si="61"/>
        <v>6.4941558461191401E-2</v>
      </c>
      <c r="BX161" s="19">
        <f t="shared" si="62"/>
        <v>-4.4525558480030536E-3</v>
      </c>
      <c r="BY161" s="19">
        <f t="shared" si="63"/>
        <v>0.13014074322908248</v>
      </c>
    </row>
    <row r="162" spans="1:77" x14ac:dyDescent="0.25">
      <c r="A162" s="1">
        <v>46258</v>
      </c>
      <c r="B162" s="7">
        <v>233.4</v>
      </c>
      <c r="C162" s="7">
        <v>265.61</v>
      </c>
      <c r="D162" s="12">
        <v>-1.67399923845373E-2</v>
      </c>
      <c r="E162" s="12">
        <v>-2.64898929337655E-2</v>
      </c>
      <c r="F162" s="7">
        <v>0</v>
      </c>
      <c r="G162" s="7">
        <v>0.31490499999999999</v>
      </c>
      <c r="H162" s="7">
        <v>0</v>
      </c>
      <c r="I162" s="7">
        <v>0.17363000000000001</v>
      </c>
      <c r="J162" s="7">
        <v>0</v>
      </c>
      <c r="K162" s="7">
        <v>0</v>
      </c>
      <c r="L162" s="7">
        <v>233.4</v>
      </c>
      <c r="M162" s="7">
        <v>265.61</v>
      </c>
      <c r="N162" s="10">
        <v>1.13800342759211</v>
      </c>
      <c r="O162" s="10">
        <v>1.1658179450689301</v>
      </c>
      <c r="P162" s="10">
        <v>1.15789761674273</v>
      </c>
      <c r="Q162" s="10">
        <v>1.1384678915117401</v>
      </c>
      <c r="R162" s="7">
        <v>272.10190837908902</v>
      </c>
      <c r="S162" s="7">
        <v>270.48595086279499</v>
      </c>
      <c r="T162" s="7">
        <v>265.503081148408</v>
      </c>
      <c r="U162" s="12">
        <v>2.41475917897775E-2</v>
      </c>
      <c r="V162" s="12">
        <v>1.81910917811604E-2</v>
      </c>
      <c r="W162" s="12">
        <v>-4.0262180251637403E-4</v>
      </c>
      <c r="X162" s="10">
        <v>1.13800342759211</v>
      </c>
      <c r="Y162" s="10">
        <v>1.16578176214971</v>
      </c>
      <c r="Z162" s="10">
        <v>1.15789761674273</v>
      </c>
      <c r="AA162" s="10">
        <v>1.1384678915117401</v>
      </c>
      <c r="AB162" s="7">
        <v>272.09346328574401</v>
      </c>
      <c r="AC162" s="7">
        <v>270.48595086279499</v>
      </c>
      <c r="AD162" s="7">
        <v>265.503081148408</v>
      </c>
      <c r="AE162" s="12">
        <v>2.41165547990718E-2</v>
      </c>
      <c r="AF162" s="12">
        <v>1.81910917811604E-2</v>
      </c>
      <c r="AG162" s="12">
        <v>-4.0262180251637403E-4</v>
      </c>
      <c r="BB162">
        <f t="shared" si="46"/>
        <v>0</v>
      </c>
      <c r="BC162">
        <f t="shared" si="47"/>
        <v>1</v>
      </c>
      <c r="BD162">
        <f t="shared" si="48"/>
        <v>1</v>
      </c>
      <c r="BE162">
        <f t="shared" si="44"/>
        <v>1</v>
      </c>
      <c r="BF162">
        <f t="shared" si="49"/>
        <v>1</v>
      </c>
      <c r="BG162" s="5">
        <f t="shared" si="50"/>
        <v>-1.67399923845373E-2</v>
      </c>
      <c r="BH162" s="5">
        <f t="shared" si="51"/>
        <v>2.64898929337655E-2</v>
      </c>
      <c r="BI162" s="5">
        <f t="shared" si="52"/>
        <v>9.7499005492282E-3</v>
      </c>
      <c r="BJ162" s="19">
        <f t="shared" si="53"/>
        <v>7.4949085317119274E-2</v>
      </c>
      <c r="BL162" s="5"/>
      <c r="BN162">
        <f t="shared" si="54"/>
        <v>0</v>
      </c>
      <c r="BO162">
        <f t="shared" si="55"/>
        <v>1</v>
      </c>
      <c r="BP162">
        <f t="shared" si="56"/>
        <v>0</v>
      </c>
      <c r="BQ162">
        <f t="shared" si="45"/>
        <v>1</v>
      </c>
      <c r="BR162">
        <f t="shared" si="57"/>
        <v>0</v>
      </c>
      <c r="BS162" s="5">
        <f t="shared" si="58"/>
        <v>0</v>
      </c>
      <c r="BT162" s="5">
        <f t="shared" si="59"/>
        <v>0</v>
      </c>
      <c r="BU162" s="5">
        <f t="shared" si="60"/>
        <v>0</v>
      </c>
      <c r="BV162" s="19">
        <f t="shared" si="61"/>
        <v>6.4941558461191401E-2</v>
      </c>
      <c r="BX162" s="19">
        <f t="shared" si="62"/>
        <v>9.7499005492282E-3</v>
      </c>
      <c r="BY162" s="19">
        <f t="shared" si="63"/>
        <v>0.13989064377831067</v>
      </c>
    </row>
    <row r="163" spans="1:77" x14ac:dyDescent="0.25">
      <c r="A163" s="1">
        <v>46259</v>
      </c>
      <c r="B163" s="7">
        <v>234.3</v>
      </c>
      <c r="C163" s="7">
        <v>264.85000000000002</v>
      </c>
      <c r="D163" s="12">
        <v>3.8486256612944498E-3</v>
      </c>
      <c r="E163" s="12">
        <v>-2.8654395053865698E-3</v>
      </c>
      <c r="F163" s="7">
        <v>0</v>
      </c>
      <c r="G163" s="7">
        <v>0.31490499999999999</v>
      </c>
      <c r="H163" s="7">
        <v>0</v>
      </c>
      <c r="I163" s="7">
        <v>0.17363000000000001</v>
      </c>
      <c r="J163" s="7">
        <v>0</v>
      </c>
      <c r="K163" s="7">
        <v>0</v>
      </c>
      <c r="L163" s="7">
        <v>234.3</v>
      </c>
      <c r="M163" s="7">
        <v>264.85000000000002</v>
      </c>
      <c r="N163" s="10">
        <v>1.13038839095177</v>
      </c>
      <c r="O163" s="10">
        <v>1.1658179450689301</v>
      </c>
      <c r="P163" s="10">
        <v>1.1548864359887601</v>
      </c>
      <c r="Q163" s="10">
        <v>1.13948890302602</v>
      </c>
      <c r="R163" s="7">
        <v>273.15114452965099</v>
      </c>
      <c r="S163" s="7">
        <v>271.29541160282298</v>
      </c>
      <c r="T163" s="7">
        <v>266.74302698120198</v>
      </c>
      <c r="U163" s="12">
        <v>3.0861656956458299E-2</v>
      </c>
      <c r="V163" s="12">
        <v>2.4044678898906598E-2</v>
      </c>
      <c r="W163" s="12">
        <v>7.1221211981161801E-3</v>
      </c>
      <c r="X163" s="10">
        <v>1.13038839095177</v>
      </c>
      <c r="Y163" s="10">
        <v>1.16578176214971</v>
      </c>
      <c r="Z163" s="10">
        <v>1.1548864359887601</v>
      </c>
      <c r="AA163" s="10">
        <v>1.13948890302602</v>
      </c>
      <c r="AB163" s="7">
        <v>273.14266687167799</v>
      </c>
      <c r="AC163" s="7">
        <v>271.29541160282298</v>
      </c>
      <c r="AD163" s="7">
        <v>266.74302698120198</v>
      </c>
      <c r="AE163" s="12">
        <v>3.08306199657527E-2</v>
      </c>
      <c r="AF163" s="12">
        <v>2.4044678898906598E-2</v>
      </c>
      <c r="AG163" s="12">
        <v>7.1221211981161801E-3</v>
      </c>
      <c r="BB163">
        <f t="shared" si="46"/>
        <v>0</v>
      </c>
      <c r="BC163">
        <f t="shared" si="47"/>
        <v>1</v>
      </c>
      <c r="BD163">
        <f t="shared" si="48"/>
        <v>0</v>
      </c>
      <c r="BE163">
        <f t="shared" si="44"/>
        <v>1</v>
      </c>
      <c r="BF163">
        <f t="shared" si="49"/>
        <v>0</v>
      </c>
      <c r="BG163" s="5">
        <f t="shared" si="50"/>
        <v>0</v>
      </c>
      <c r="BH163" s="5">
        <f t="shared" si="51"/>
        <v>0</v>
      </c>
      <c r="BI163" s="5">
        <f t="shared" si="52"/>
        <v>0</v>
      </c>
      <c r="BJ163" s="19">
        <f t="shared" si="53"/>
        <v>7.4949085317119274E-2</v>
      </c>
      <c r="BL163" s="5"/>
      <c r="BN163">
        <f t="shared" si="54"/>
        <v>0</v>
      </c>
      <c r="BO163">
        <f t="shared" si="55"/>
        <v>1</v>
      </c>
      <c r="BP163">
        <f t="shared" si="56"/>
        <v>0</v>
      </c>
      <c r="BQ163">
        <f t="shared" si="45"/>
        <v>1</v>
      </c>
      <c r="BR163">
        <f t="shared" si="57"/>
        <v>0</v>
      </c>
      <c r="BS163" s="5">
        <f t="shared" si="58"/>
        <v>0</v>
      </c>
      <c r="BT163" s="5">
        <f t="shared" si="59"/>
        <v>0</v>
      </c>
      <c r="BU163" s="5">
        <f t="shared" si="60"/>
        <v>0</v>
      </c>
      <c r="BV163" s="19">
        <f t="shared" si="61"/>
        <v>6.4941558461191401E-2</v>
      </c>
      <c r="BX163" s="19">
        <f t="shared" si="62"/>
        <v>0</v>
      </c>
      <c r="BY163" s="19">
        <f t="shared" si="63"/>
        <v>0.13989064377831067</v>
      </c>
    </row>
    <row r="164" spans="1:77" x14ac:dyDescent="0.25">
      <c r="A164" s="1">
        <v>46260</v>
      </c>
      <c r="B164" s="7">
        <v>236.38</v>
      </c>
      <c r="C164" s="7">
        <v>266.64999999999998</v>
      </c>
      <c r="D164" s="12">
        <v>8.8383340703445893E-3</v>
      </c>
      <c r="E164" s="12">
        <v>6.7733090560754498E-3</v>
      </c>
      <c r="F164" s="7">
        <v>0</v>
      </c>
      <c r="G164" s="7">
        <v>0.31490499999999999</v>
      </c>
      <c r="H164" s="7">
        <v>0</v>
      </c>
      <c r="I164" s="7">
        <v>0.17363000000000001</v>
      </c>
      <c r="J164" s="7">
        <v>0</v>
      </c>
      <c r="K164" s="7">
        <v>0</v>
      </c>
      <c r="L164" s="7">
        <v>236.38</v>
      </c>
      <c r="M164" s="7">
        <v>266.64999999999998</v>
      </c>
      <c r="N164" s="10">
        <v>1.1280565191640499</v>
      </c>
      <c r="O164" s="10">
        <v>1.1658179450689301</v>
      </c>
      <c r="P164" s="10">
        <v>1.15111152992091</v>
      </c>
      <c r="Q164" s="10">
        <v>1.1412675860907999</v>
      </c>
      <c r="R164" s="7">
        <v>275.57604585539502</v>
      </c>
      <c r="S164" s="7">
        <v>272.99205573902498</v>
      </c>
      <c r="T164" s="7">
        <v>269.35238689729198</v>
      </c>
      <c r="U164" s="12">
        <v>3.2926681970727602E-2</v>
      </c>
      <c r="V164" s="12">
        <v>2.3505757857888901E-2</v>
      </c>
      <c r="W164" s="12">
        <v>1.0083573734716E-2</v>
      </c>
      <c r="X164" s="10">
        <v>1.1280565191640499</v>
      </c>
      <c r="Y164" s="10">
        <v>1.16578176214971</v>
      </c>
      <c r="Z164" s="10">
        <v>1.15111152992091</v>
      </c>
      <c r="AA164" s="10">
        <v>1.1412675860907999</v>
      </c>
      <c r="AB164" s="7">
        <v>275.56749293694998</v>
      </c>
      <c r="AC164" s="7">
        <v>272.99205573902498</v>
      </c>
      <c r="AD164" s="7">
        <v>269.35238689729198</v>
      </c>
      <c r="AE164" s="12">
        <v>3.2895644980021697E-2</v>
      </c>
      <c r="AF164" s="12">
        <v>2.3505757857888901E-2</v>
      </c>
      <c r="AG164" s="12">
        <v>1.00835737347162E-2</v>
      </c>
      <c r="BB164">
        <f t="shared" si="46"/>
        <v>0</v>
      </c>
      <c r="BC164">
        <f t="shared" si="47"/>
        <v>1</v>
      </c>
      <c r="BD164">
        <f t="shared" si="48"/>
        <v>0</v>
      </c>
      <c r="BE164">
        <f t="shared" si="44"/>
        <v>1</v>
      </c>
      <c r="BF164">
        <f t="shared" si="49"/>
        <v>0</v>
      </c>
      <c r="BG164" s="5">
        <f t="shared" si="50"/>
        <v>0</v>
      </c>
      <c r="BH164" s="5">
        <f t="shared" si="51"/>
        <v>0</v>
      </c>
      <c r="BI164" s="5">
        <f t="shared" si="52"/>
        <v>0</v>
      </c>
      <c r="BJ164" s="19">
        <f t="shared" si="53"/>
        <v>7.4949085317119274E-2</v>
      </c>
      <c r="BL164" s="5"/>
      <c r="BN164">
        <f t="shared" si="54"/>
        <v>0</v>
      </c>
      <c r="BO164">
        <f t="shared" si="55"/>
        <v>1</v>
      </c>
      <c r="BP164">
        <f t="shared" si="56"/>
        <v>0</v>
      </c>
      <c r="BQ164">
        <f t="shared" si="45"/>
        <v>1</v>
      </c>
      <c r="BR164">
        <f t="shared" si="57"/>
        <v>0</v>
      </c>
      <c r="BS164" s="5">
        <f t="shared" si="58"/>
        <v>0</v>
      </c>
      <c r="BT164" s="5">
        <f t="shared" si="59"/>
        <v>0</v>
      </c>
      <c r="BU164" s="5">
        <f t="shared" si="60"/>
        <v>0</v>
      </c>
      <c r="BV164" s="19">
        <f t="shared" si="61"/>
        <v>6.4941558461191401E-2</v>
      </c>
      <c r="BX164" s="19">
        <f t="shared" si="62"/>
        <v>0</v>
      </c>
      <c r="BY164" s="19">
        <f t="shared" si="63"/>
        <v>0.13989064377831067</v>
      </c>
    </row>
    <row r="165" spans="1:77" x14ac:dyDescent="0.25">
      <c r="A165" s="1">
        <v>46261</v>
      </c>
      <c r="B165" s="7">
        <v>234.26</v>
      </c>
      <c r="C165" s="7">
        <v>266.05</v>
      </c>
      <c r="D165" s="12">
        <v>-9.0090699423659593E-3</v>
      </c>
      <c r="E165" s="12">
        <v>-2.2526760042327798E-3</v>
      </c>
      <c r="F165" s="7">
        <v>0</v>
      </c>
      <c r="G165" s="7">
        <v>0.31490499999999999</v>
      </c>
      <c r="H165" s="7">
        <v>0</v>
      </c>
      <c r="I165" s="7">
        <v>0.17363000000000001</v>
      </c>
      <c r="J165" s="7">
        <v>0</v>
      </c>
      <c r="K165" s="7">
        <v>0</v>
      </c>
      <c r="L165" s="7">
        <v>234.26</v>
      </c>
      <c r="M165" s="7">
        <v>266.05</v>
      </c>
      <c r="N165" s="10">
        <v>1.13570391872278</v>
      </c>
      <c r="O165" s="10">
        <v>1.1658179450689301</v>
      </c>
      <c r="P165" s="10">
        <v>1.1476968603169599</v>
      </c>
      <c r="Q165" s="10">
        <v>1.1428665392183901</v>
      </c>
      <c r="R165" s="7">
        <v>273.104511811848</v>
      </c>
      <c r="S165" s="7">
        <v>269.65938699927199</v>
      </c>
      <c r="T165" s="7">
        <v>267.35334471763201</v>
      </c>
      <c r="U165" s="12">
        <v>2.6170288032594299E-2</v>
      </c>
      <c r="V165" s="12">
        <v>1.34753719253102E-2</v>
      </c>
      <c r="W165" s="12">
        <v>4.8869109067304298E-3</v>
      </c>
      <c r="X165" s="10">
        <v>1.13570391872278</v>
      </c>
      <c r="Y165" s="10">
        <v>1.16578176214971</v>
      </c>
      <c r="Z165" s="10">
        <v>1.1476968603169599</v>
      </c>
      <c r="AA165" s="10">
        <v>1.1428665392183901</v>
      </c>
      <c r="AB165" s="7">
        <v>273.096035601192</v>
      </c>
      <c r="AC165" s="7">
        <v>269.65938699927199</v>
      </c>
      <c r="AD165" s="7">
        <v>267.35334471763201</v>
      </c>
      <c r="AE165" s="12">
        <v>2.6139251041888498E-2</v>
      </c>
      <c r="AF165" s="12">
        <v>1.34753719253102E-2</v>
      </c>
      <c r="AG165" s="12">
        <v>4.8869109067304298E-3</v>
      </c>
      <c r="BB165">
        <f t="shared" si="46"/>
        <v>0</v>
      </c>
      <c r="BC165">
        <f t="shared" si="47"/>
        <v>1</v>
      </c>
      <c r="BD165">
        <f t="shared" si="48"/>
        <v>0</v>
      </c>
      <c r="BE165">
        <f t="shared" si="44"/>
        <v>1</v>
      </c>
      <c r="BF165">
        <f t="shared" si="49"/>
        <v>0</v>
      </c>
      <c r="BG165" s="5">
        <f t="shared" si="50"/>
        <v>0</v>
      </c>
      <c r="BH165" s="5">
        <f t="shared" si="51"/>
        <v>0</v>
      </c>
      <c r="BI165" s="5">
        <f t="shared" si="52"/>
        <v>0</v>
      </c>
      <c r="BJ165" s="19">
        <f t="shared" si="53"/>
        <v>7.4949085317119274E-2</v>
      </c>
      <c r="BL165" s="5"/>
      <c r="BN165">
        <f t="shared" si="54"/>
        <v>0</v>
      </c>
      <c r="BO165">
        <f t="shared" si="55"/>
        <v>1</v>
      </c>
      <c r="BP165">
        <f t="shared" si="56"/>
        <v>0</v>
      </c>
      <c r="BQ165">
        <f t="shared" si="45"/>
        <v>1</v>
      </c>
      <c r="BR165">
        <f t="shared" si="57"/>
        <v>0</v>
      </c>
      <c r="BS165" s="5">
        <f t="shared" si="58"/>
        <v>0</v>
      </c>
      <c r="BT165" s="5">
        <f t="shared" si="59"/>
        <v>0</v>
      </c>
      <c r="BU165" s="5">
        <f t="shared" si="60"/>
        <v>0</v>
      </c>
      <c r="BV165" s="19">
        <f t="shared" si="61"/>
        <v>6.4941558461191401E-2</v>
      </c>
      <c r="BX165" s="19">
        <f t="shared" si="62"/>
        <v>0</v>
      </c>
      <c r="BY165" s="19">
        <f t="shared" si="63"/>
        <v>0.13989064377831067</v>
      </c>
    </row>
    <row r="166" spans="1:77" x14ac:dyDescent="0.25">
      <c r="A166" s="1">
        <v>46262</v>
      </c>
      <c r="B166" s="7">
        <v>232.82</v>
      </c>
      <c r="C166" s="7">
        <v>261.79000000000002</v>
      </c>
      <c r="D166" s="12">
        <v>-6.1659868216337003E-3</v>
      </c>
      <c r="E166" s="12">
        <v>-1.6141605393126899E-2</v>
      </c>
      <c r="F166" s="7">
        <v>0</v>
      </c>
      <c r="G166" s="7">
        <v>0.31490499999999999</v>
      </c>
      <c r="H166" s="7">
        <v>0</v>
      </c>
      <c r="I166" s="7">
        <v>0.17363000000000001</v>
      </c>
      <c r="J166" s="7">
        <v>0</v>
      </c>
      <c r="K166" s="7">
        <v>0</v>
      </c>
      <c r="L166" s="7">
        <v>232.82</v>
      </c>
      <c r="M166" s="7">
        <v>261.79000000000002</v>
      </c>
      <c r="N166" s="10">
        <v>1.12443089081694</v>
      </c>
      <c r="O166" s="10">
        <v>1.1658179450689301</v>
      </c>
      <c r="P166" s="10">
        <v>1.1429572624071</v>
      </c>
      <c r="Q166" s="10">
        <v>1.1438306357078301</v>
      </c>
      <c r="R166" s="7">
        <v>271.42573397094901</v>
      </c>
      <c r="S166" s="7">
        <v>267.20678301899397</v>
      </c>
      <c r="T166" s="7">
        <v>266.08218766082598</v>
      </c>
      <c r="U166" s="12">
        <v>3.6145906604087702E-2</v>
      </c>
      <c r="V166" s="12">
        <v>2.0480171241161998E-2</v>
      </c>
      <c r="W166" s="12">
        <v>1.62625815776637E-2</v>
      </c>
      <c r="X166" s="10">
        <v>1.12443089081694</v>
      </c>
      <c r="Y166" s="10">
        <v>1.16578176214971</v>
      </c>
      <c r="Z166" s="10">
        <v>1.1429572624071</v>
      </c>
      <c r="AA166" s="10">
        <v>1.1438306357078301</v>
      </c>
      <c r="AB166" s="7">
        <v>271.41730986369703</v>
      </c>
      <c r="AC166" s="7">
        <v>267.20678301899397</v>
      </c>
      <c r="AD166" s="7">
        <v>266.082187660827</v>
      </c>
      <c r="AE166" s="12">
        <v>3.6114869613381902E-2</v>
      </c>
      <c r="AF166" s="12">
        <v>2.04801712411617E-2</v>
      </c>
      <c r="AG166" s="12">
        <v>1.6262581577663901E-2</v>
      </c>
      <c r="BB166">
        <f t="shared" si="46"/>
        <v>0</v>
      </c>
      <c r="BC166">
        <f t="shared" si="47"/>
        <v>1</v>
      </c>
      <c r="BD166">
        <f t="shared" si="48"/>
        <v>0</v>
      </c>
      <c r="BE166">
        <f t="shared" si="44"/>
        <v>1</v>
      </c>
      <c r="BF166">
        <f t="shared" si="49"/>
        <v>0</v>
      </c>
      <c r="BG166" s="5">
        <f t="shared" si="50"/>
        <v>0</v>
      </c>
      <c r="BH166" s="5">
        <f t="shared" si="51"/>
        <v>0</v>
      </c>
      <c r="BI166" s="5">
        <f t="shared" si="52"/>
        <v>0</v>
      </c>
      <c r="BJ166" s="19">
        <f t="shared" si="53"/>
        <v>7.4949085317119274E-2</v>
      </c>
      <c r="BL166" s="5"/>
      <c r="BN166">
        <f t="shared" si="54"/>
        <v>0</v>
      </c>
      <c r="BO166">
        <f t="shared" si="55"/>
        <v>1</v>
      </c>
      <c r="BP166">
        <f t="shared" si="56"/>
        <v>0</v>
      </c>
      <c r="BQ166">
        <f t="shared" si="45"/>
        <v>1</v>
      </c>
      <c r="BR166">
        <f t="shared" si="57"/>
        <v>0</v>
      </c>
      <c r="BS166" s="5">
        <f t="shared" si="58"/>
        <v>0</v>
      </c>
      <c r="BT166" s="5">
        <f t="shared" si="59"/>
        <v>0</v>
      </c>
      <c r="BU166" s="5">
        <f t="shared" si="60"/>
        <v>0</v>
      </c>
      <c r="BV166" s="19">
        <f t="shared" si="61"/>
        <v>6.4941558461191401E-2</v>
      </c>
      <c r="BX166" s="19">
        <f t="shared" si="62"/>
        <v>0</v>
      </c>
      <c r="BY166" s="19">
        <f t="shared" si="63"/>
        <v>0.13989064377831067</v>
      </c>
    </row>
    <row r="167" spans="1:77" x14ac:dyDescent="0.25">
      <c r="A167" s="1">
        <v>46265</v>
      </c>
      <c r="B167" s="7">
        <v>228.35</v>
      </c>
      <c r="C167" s="7">
        <v>256.52</v>
      </c>
      <c r="D167" s="12">
        <v>-1.9386083189086901E-2</v>
      </c>
      <c r="E167" s="12">
        <v>-2.03360213685892E-2</v>
      </c>
      <c r="F167" s="7">
        <v>0</v>
      </c>
      <c r="G167" s="7">
        <v>0.31490499999999999</v>
      </c>
      <c r="H167" s="7">
        <v>0</v>
      </c>
      <c r="I167" s="7">
        <v>0.17363000000000001</v>
      </c>
      <c r="J167" s="7">
        <v>0</v>
      </c>
      <c r="K167" s="7">
        <v>0</v>
      </c>
      <c r="L167" s="7">
        <v>228.35</v>
      </c>
      <c r="M167" s="7">
        <v>256.52</v>
      </c>
      <c r="N167" s="10">
        <v>1.12336325815633</v>
      </c>
      <c r="O167" s="10">
        <v>1.1658179450689301</v>
      </c>
      <c r="P167" s="10">
        <v>1.1379090340826099</v>
      </c>
      <c r="Q167" s="10">
        <v>1.14440102553372</v>
      </c>
      <c r="R167" s="7">
        <v>266.21452775649101</v>
      </c>
      <c r="S167" s="7">
        <v>260.99429087066198</v>
      </c>
      <c r="T167" s="7">
        <v>261.19372566388398</v>
      </c>
      <c r="U167" s="12">
        <v>3.7095844783590001E-2</v>
      </c>
      <c r="V167" s="12">
        <v>1.7291898744026899E-2</v>
      </c>
      <c r="W167" s="12">
        <v>1.8055741638171599E-2</v>
      </c>
      <c r="X167" s="10">
        <v>1.12336325815633</v>
      </c>
      <c r="Y167" s="10">
        <v>1.16578176214971</v>
      </c>
      <c r="Z167" s="10">
        <v>1.1379090340826099</v>
      </c>
      <c r="AA167" s="10">
        <v>1.14440102553372</v>
      </c>
      <c r="AB167" s="7">
        <v>266.20626538688799</v>
      </c>
      <c r="AC167" s="7">
        <v>260.99429087066198</v>
      </c>
      <c r="AD167" s="7">
        <v>261.19372566388398</v>
      </c>
      <c r="AE167" s="12">
        <v>3.7064807792884298E-2</v>
      </c>
      <c r="AF167" s="12">
        <v>1.7291898744026601E-2</v>
      </c>
      <c r="AG167" s="12">
        <v>1.8055741638171401E-2</v>
      </c>
      <c r="BB167">
        <f t="shared" si="46"/>
        <v>0</v>
      </c>
      <c r="BC167">
        <f t="shared" si="47"/>
        <v>1</v>
      </c>
      <c r="BD167">
        <f t="shared" si="48"/>
        <v>0</v>
      </c>
      <c r="BE167">
        <f t="shared" si="44"/>
        <v>1</v>
      </c>
      <c r="BF167">
        <f t="shared" si="49"/>
        <v>0</v>
      </c>
      <c r="BG167" s="5">
        <f t="shared" si="50"/>
        <v>0</v>
      </c>
      <c r="BH167" s="5">
        <f t="shared" si="51"/>
        <v>0</v>
      </c>
      <c r="BI167" s="5">
        <f t="shared" si="52"/>
        <v>0</v>
      </c>
      <c r="BJ167" s="19">
        <f t="shared" si="53"/>
        <v>7.4949085317119274E-2</v>
      </c>
      <c r="BL167" s="5"/>
      <c r="BN167">
        <f t="shared" si="54"/>
        <v>0</v>
      </c>
      <c r="BO167">
        <f t="shared" si="55"/>
        <v>1</v>
      </c>
      <c r="BP167">
        <f t="shared" si="56"/>
        <v>0</v>
      </c>
      <c r="BQ167">
        <f t="shared" si="45"/>
        <v>1</v>
      </c>
      <c r="BR167">
        <f t="shared" si="57"/>
        <v>0</v>
      </c>
      <c r="BS167" s="5">
        <f t="shared" si="58"/>
        <v>0</v>
      </c>
      <c r="BT167" s="5">
        <f t="shared" si="59"/>
        <v>0</v>
      </c>
      <c r="BU167" s="5">
        <f t="shared" si="60"/>
        <v>0</v>
      </c>
      <c r="BV167" s="19">
        <f t="shared" si="61"/>
        <v>6.4941558461191401E-2</v>
      </c>
      <c r="BX167" s="19">
        <f t="shared" si="62"/>
        <v>0</v>
      </c>
      <c r="BY167" s="19">
        <f t="shared" si="63"/>
        <v>0.13989064377831067</v>
      </c>
    </row>
    <row r="168" spans="1:77" x14ac:dyDescent="0.25">
      <c r="A168" s="1">
        <v>46266</v>
      </c>
      <c r="B168" s="7">
        <v>225.46</v>
      </c>
      <c r="C168" s="7">
        <v>252.04</v>
      </c>
      <c r="D168" s="12">
        <v>-1.27367800146227E-2</v>
      </c>
      <c r="E168" s="12">
        <v>-1.7618829206807299E-2</v>
      </c>
      <c r="F168" s="7">
        <v>0</v>
      </c>
      <c r="G168" s="7">
        <v>0.31490499999999999</v>
      </c>
      <c r="H168" s="7">
        <v>0</v>
      </c>
      <c r="I168" s="7">
        <v>0.17363000000000001</v>
      </c>
      <c r="J168" s="7">
        <v>0</v>
      </c>
      <c r="K168" s="7">
        <v>0</v>
      </c>
      <c r="L168" s="7">
        <v>225.46</v>
      </c>
      <c r="M168" s="7">
        <v>252.04</v>
      </c>
      <c r="N168" s="10">
        <v>1.1178923090570301</v>
      </c>
      <c r="O168" s="10">
        <v>1.1658179450689301</v>
      </c>
      <c r="P168" s="10">
        <v>1.1345213931608999</v>
      </c>
      <c r="Q168" s="10">
        <v>1.1440239473899301</v>
      </c>
      <c r="R168" s="7">
        <v>262.84531389524199</v>
      </c>
      <c r="S168" s="7">
        <v>256.552970824265</v>
      </c>
      <c r="T168" s="7">
        <v>258.01665521683401</v>
      </c>
      <c r="U168" s="12">
        <v>4.1977893975774699E-2</v>
      </c>
      <c r="V168" s="12">
        <v>1.7747352150661699E-2</v>
      </c>
      <c r="W168" s="12">
        <v>2.34363328681821E-2</v>
      </c>
      <c r="X168" s="10">
        <v>1.1178923090570301</v>
      </c>
      <c r="Y168" s="10">
        <v>1.16578176214971</v>
      </c>
      <c r="Z168" s="10">
        <v>1.1345213931608999</v>
      </c>
      <c r="AA168" s="10">
        <v>1.1440239473899301</v>
      </c>
      <c r="AB168" s="7">
        <v>262.83715609427497</v>
      </c>
      <c r="AC168" s="7">
        <v>256.552970824265</v>
      </c>
      <c r="AD168" s="7">
        <v>258.01665521683401</v>
      </c>
      <c r="AE168" s="12">
        <v>4.1946856985068899E-2</v>
      </c>
      <c r="AF168" s="12">
        <v>1.7747352150661699E-2</v>
      </c>
      <c r="AG168" s="12">
        <v>2.3436332868181801E-2</v>
      </c>
    </row>
    <row r="169" spans="1:77" x14ac:dyDescent="0.25">
      <c r="A169" s="1">
        <v>46267</v>
      </c>
      <c r="B169" s="7">
        <v>223.37</v>
      </c>
      <c r="C169" s="7">
        <v>250.21</v>
      </c>
      <c r="D169" s="12">
        <v>-9.3131702709197597E-3</v>
      </c>
      <c r="E169" s="12">
        <v>-7.2872398141646698E-3</v>
      </c>
      <c r="F169" s="7">
        <v>0</v>
      </c>
      <c r="G169" s="7">
        <v>0.31490499999999999</v>
      </c>
      <c r="H169" s="7">
        <v>0</v>
      </c>
      <c r="I169" s="7">
        <v>0.17363000000000001</v>
      </c>
      <c r="J169" s="7">
        <v>0</v>
      </c>
      <c r="K169" s="7">
        <v>0</v>
      </c>
      <c r="L169" s="7">
        <v>223.37</v>
      </c>
      <c r="M169" s="7">
        <v>250.21</v>
      </c>
      <c r="N169" s="10">
        <v>1.1201593768187299</v>
      </c>
      <c r="O169" s="10">
        <v>1.1658179450689301</v>
      </c>
      <c r="P169" s="10">
        <v>1.1311199024454499</v>
      </c>
      <c r="Q169" s="10">
        <v>1.1441257801915401</v>
      </c>
      <c r="R169" s="7">
        <v>260.40875439004799</v>
      </c>
      <c r="S169" s="7">
        <v>253.418043590351</v>
      </c>
      <c r="T169" s="7">
        <v>255.540629128489</v>
      </c>
      <c r="U169" s="12">
        <v>3.9951963519019598E-2</v>
      </c>
      <c r="V169" s="12">
        <v>1.2739906052669401E-2</v>
      </c>
      <c r="W169" s="12">
        <v>2.1080849857446401E-2</v>
      </c>
      <c r="X169" s="10">
        <v>1.1201593768187299</v>
      </c>
      <c r="Y169" s="10">
        <v>1.16578176214971</v>
      </c>
      <c r="Z169" s="10">
        <v>1.1311199024454499</v>
      </c>
      <c r="AA169" s="10">
        <v>1.1441257801915401</v>
      </c>
      <c r="AB169" s="7">
        <v>260.40067221138202</v>
      </c>
      <c r="AC169" s="7">
        <v>253.418043590351</v>
      </c>
      <c r="AD169" s="7">
        <v>255.540629128489</v>
      </c>
      <c r="AE169" s="12">
        <v>3.9920926528313902E-2</v>
      </c>
      <c r="AF169" s="12">
        <v>1.2739906052669401E-2</v>
      </c>
      <c r="AG169" s="12">
        <v>2.1080849857446599E-2</v>
      </c>
    </row>
    <row r="170" spans="1:77" x14ac:dyDescent="0.25">
      <c r="A170" s="1">
        <v>46268</v>
      </c>
      <c r="B170" s="7">
        <v>225.98</v>
      </c>
      <c r="C170" s="7">
        <v>253.93</v>
      </c>
      <c r="D170" s="12">
        <v>1.16169104356347E-2</v>
      </c>
      <c r="E170" s="12">
        <v>1.47580732256109E-2</v>
      </c>
      <c r="F170" s="7">
        <v>0</v>
      </c>
      <c r="G170" s="7">
        <v>0.31490499999999999</v>
      </c>
      <c r="H170" s="7">
        <v>0</v>
      </c>
      <c r="I170" s="7">
        <v>0.17363000000000001</v>
      </c>
      <c r="J170" s="7">
        <v>0</v>
      </c>
      <c r="K170" s="7">
        <v>0</v>
      </c>
      <c r="L170" s="7">
        <v>225.98</v>
      </c>
      <c r="M170" s="7">
        <v>253.93</v>
      </c>
      <c r="N170" s="10">
        <v>1.1236835118152</v>
      </c>
      <c r="O170" s="10">
        <v>1.1658179450689301</v>
      </c>
      <c r="P170" s="10">
        <v>1.1290834716771501</v>
      </c>
      <c r="Q170" s="10">
        <v>1.14372569241177</v>
      </c>
      <c r="R170" s="7">
        <v>263.45153922667799</v>
      </c>
      <c r="S170" s="7">
        <v>255.610475554624</v>
      </c>
      <c r="T170" s="7">
        <v>258.54954380768498</v>
      </c>
      <c r="U170" s="12">
        <v>3.6810800729043303E-2</v>
      </c>
      <c r="V170" s="12">
        <v>6.59606735127436E-3</v>
      </c>
      <c r="W170" s="12">
        <v>1.80286959294821E-2</v>
      </c>
      <c r="X170" s="10">
        <v>1.1236835118152</v>
      </c>
      <c r="Y170" s="10">
        <v>1.16578176214971</v>
      </c>
      <c r="Z170" s="10">
        <v>1.1290834716771501</v>
      </c>
      <c r="AA170" s="10">
        <v>1.14372569241177</v>
      </c>
      <c r="AB170" s="7">
        <v>263.443362610593</v>
      </c>
      <c r="AC170" s="7">
        <v>255.610475554624</v>
      </c>
      <c r="AD170" s="7">
        <v>258.54954380768498</v>
      </c>
      <c r="AE170" s="12">
        <v>3.6779763738337502E-2</v>
      </c>
      <c r="AF170" s="12">
        <v>6.59606735127436E-3</v>
      </c>
      <c r="AG170" s="12">
        <v>1.80286959294821E-2</v>
      </c>
    </row>
    <row r="171" spans="1:77" x14ac:dyDescent="0.25">
      <c r="A171" s="1">
        <v>46269</v>
      </c>
      <c r="B171" s="7">
        <v>225.61</v>
      </c>
      <c r="C171" s="7">
        <v>252.92</v>
      </c>
      <c r="D171" s="12">
        <v>-1.6386548984402801E-3</v>
      </c>
      <c r="E171" s="12">
        <v>-3.9854052948886196E-3</v>
      </c>
      <c r="F171" s="7">
        <v>0</v>
      </c>
      <c r="G171" s="7">
        <v>0.31490499999999999</v>
      </c>
      <c r="H171" s="7">
        <v>0</v>
      </c>
      <c r="I171" s="7">
        <v>0.17363000000000001</v>
      </c>
      <c r="J171" s="7">
        <v>0</v>
      </c>
      <c r="K171" s="7">
        <v>0</v>
      </c>
      <c r="L171" s="7">
        <v>225.61</v>
      </c>
      <c r="M171" s="7">
        <v>252.92</v>
      </c>
      <c r="N171" s="10">
        <v>1.12104959886529</v>
      </c>
      <c r="O171" s="10">
        <v>1.1658179450689301</v>
      </c>
      <c r="P171" s="10">
        <v>1.1262731201960201</v>
      </c>
      <c r="Q171" s="10">
        <v>1.14258375560528</v>
      </c>
      <c r="R171" s="7">
        <v>263.020186587002</v>
      </c>
      <c r="S171" s="7">
        <v>254.73252204508299</v>
      </c>
      <c r="T171" s="7">
        <v>258.03595346501999</v>
      </c>
      <c r="U171" s="12">
        <v>3.9157551125491602E-2</v>
      </c>
      <c r="V171" s="12">
        <v>7.1408282960917198E-3</v>
      </c>
      <c r="W171" s="12">
        <v>2.0025696537848602E-2</v>
      </c>
      <c r="X171" s="10">
        <v>1.12104959886529</v>
      </c>
      <c r="Y171" s="10">
        <v>1.16578176214971</v>
      </c>
      <c r="Z171" s="10">
        <v>1.1262731201960201</v>
      </c>
      <c r="AA171" s="10">
        <v>1.14258375560528</v>
      </c>
      <c r="AB171" s="7">
        <v>263.01202335859699</v>
      </c>
      <c r="AC171" s="7">
        <v>254.73252204508299</v>
      </c>
      <c r="AD171" s="7">
        <v>258.03595346501999</v>
      </c>
      <c r="AE171" s="12">
        <v>3.9126514134785802E-2</v>
      </c>
      <c r="AF171" s="12">
        <v>7.1408282960917198E-3</v>
      </c>
      <c r="AG171" s="12">
        <v>2.00256965378483E-2</v>
      </c>
    </row>
    <row r="172" spans="1:77" x14ac:dyDescent="0.25">
      <c r="A172" s="1">
        <v>46273</v>
      </c>
      <c r="B172" s="7">
        <v>223.53</v>
      </c>
      <c r="C172" s="7">
        <v>253.27</v>
      </c>
      <c r="D172" s="12">
        <v>-9.2622116489140208E-3</v>
      </c>
      <c r="E172" s="12">
        <v>1.3828801666453899E-3</v>
      </c>
      <c r="F172" s="7">
        <v>0</v>
      </c>
      <c r="G172" s="7">
        <v>0.31490499999999999</v>
      </c>
      <c r="H172" s="7">
        <v>0</v>
      </c>
      <c r="I172" s="7">
        <v>0.17363000000000001</v>
      </c>
      <c r="J172" s="7">
        <v>0</v>
      </c>
      <c r="K172" s="7">
        <v>0</v>
      </c>
      <c r="L172" s="7">
        <v>223.53</v>
      </c>
      <c r="M172" s="7">
        <v>253.27</v>
      </c>
      <c r="N172" s="10">
        <v>1.13304701829732</v>
      </c>
      <c r="O172" s="10">
        <v>1.1658179450689301</v>
      </c>
      <c r="P172" s="10">
        <v>1.12577747926654</v>
      </c>
      <c r="Q172" s="10">
        <v>1.1418375480046401</v>
      </c>
      <c r="R172" s="7">
        <v>260.59528526125899</v>
      </c>
      <c r="S172" s="7">
        <v>251.75583055741799</v>
      </c>
      <c r="T172" s="7">
        <v>255.401746890449</v>
      </c>
      <c r="U172" s="12">
        <v>2.8512459309932101E-2</v>
      </c>
      <c r="V172" s="12">
        <v>-5.9964219176666302E-3</v>
      </c>
      <c r="W172" s="12">
        <v>8.38167003964152E-3</v>
      </c>
      <c r="X172" s="10">
        <v>1.13304701829732</v>
      </c>
      <c r="Y172" s="10">
        <v>1.16578176214971</v>
      </c>
      <c r="Z172" s="10">
        <v>1.12577747926654</v>
      </c>
      <c r="AA172" s="10">
        <v>1.1418375480046401</v>
      </c>
      <c r="AB172" s="7">
        <v>260.58719729332603</v>
      </c>
      <c r="AC172" s="7">
        <v>251.75583055741799</v>
      </c>
      <c r="AD172" s="7">
        <v>255.401746890449</v>
      </c>
      <c r="AE172" s="12">
        <v>2.8481422319226499E-2</v>
      </c>
      <c r="AF172" s="12">
        <v>-5.9964219176667404E-3</v>
      </c>
      <c r="AG172" s="12">
        <v>8.38167003964152E-3</v>
      </c>
    </row>
    <row r="173" spans="1:77" x14ac:dyDescent="0.25">
      <c r="A173" s="1">
        <v>46274</v>
      </c>
      <c r="B173" s="7">
        <v>219.45</v>
      </c>
      <c r="C173" s="7">
        <v>246.7</v>
      </c>
      <c r="D173" s="12">
        <v>-1.8421217099502799E-2</v>
      </c>
      <c r="E173" s="12">
        <v>-2.6283089821746802E-2</v>
      </c>
      <c r="F173" s="7">
        <v>0</v>
      </c>
      <c r="G173" s="7">
        <v>0.31490499999999999</v>
      </c>
      <c r="H173" s="7">
        <v>0</v>
      </c>
      <c r="I173" s="7">
        <v>0.17363000000000001</v>
      </c>
      <c r="J173" s="7">
        <v>0</v>
      </c>
      <c r="K173" s="7">
        <v>0</v>
      </c>
      <c r="L173" s="7">
        <v>219.45</v>
      </c>
      <c r="M173" s="7">
        <v>246.7</v>
      </c>
      <c r="N173" s="10">
        <v>1.1241740715424899</v>
      </c>
      <c r="O173" s="10">
        <v>1.1658179450689301</v>
      </c>
      <c r="P173" s="10">
        <v>1.1251560473256199</v>
      </c>
      <c r="Q173" s="10">
        <v>1.14002124165719</v>
      </c>
      <c r="R173" s="7">
        <v>255.838748045377</v>
      </c>
      <c r="S173" s="7">
        <v>247.05186782504401</v>
      </c>
      <c r="T173" s="7">
        <v>250.57624990961901</v>
      </c>
      <c r="U173" s="12">
        <v>3.6374332032176299E-2</v>
      </c>
      <c r="V173" s="12">
        <v>1.4252822421123E-3</v>
      </c>
      <c r="W173" s="12">
        <v>1.5590241528873E-2</v>
      </c>
      <c r="X173" s="10">
        <v>1.1241740715424899</v>
      </c>
      <c r="Y173" s="10">
        <v>1.16578176214971</v>
      </c>
      <c r="Z173" s="10">
        <v>1.1251560473256199</v>
      </c>
      <c r="AA173" s="10">
        <v>1.14002124165719</v>
      </c>
      <c r="AB173" s="7">
        <v>255.830807703755</v>
      </c>
      <c r="AC173" s="7">
        <v>247.05186782504401</v>
      </c>
      <c r="AD173" s="7">
        <v>250.57624990961901</v>
      </c>
      <c r="AE173" s="12">
        <v>3.6343295041470297E-2</v>
      </c>
      <c r="AF173" s="12">
        <v>1.4252822421123E-3</v>
      </c>
      <c r="AG173" s="12">
        <v>1.5590241528873E-2</v>
      </c>
    </row>
    <row r="174" spans="1:77" x14ac:dyDescent="0.25">
      <c r="A174" s="1">
        <v>46275</v>
      </c>
      <c r="B174" s="7">
        <v>218.32</v>
      </c>
      <c r="C174" s="7">
        <v>244.66</v>
      </c>
      <c r="D174" s="12">
        <v>-5.16253973416E-3</v>
      </c>
      <c r="E174" s="12">
        <v>-8.3035319165407108E-3</v>
      </c>
      <c r="F174" s="7">
        <v>0</v>
      </c>
      <c r="G174" s="7">
        <v>0.31490499999999999</v>
      </c>
      <c r="H174" s="7">
        <v>0</v>
      </c>
      <c r="I174" s="7">
        <v>0.17363000000000001</v>
      </c>
      <c r="J174" s="7">
        <v>0</v>
      </c>
      <c r="K174" s="7">
        <v>0</v>
      </c>
      <c r="L174" s="7">
        <v>218.32</v>
      </c>
      <c r="M174" s="7">
        <v>244.66</v>
      </c>
      <c r="N174" s="10">
        <v>1.1206485892268201</v>
      </c>
      <c r="O174" s="10">
        <v>1.1658179450689301</v>
      </c>
      <c r="P174" s="10">
        <v>1.1244152543318899</v>
      </c>
      <c r="Q174" s="10">
        <v>1.1377633921264001</v>
      </c>
      <c r="R174" s="7">
        <v>254.52137376745</v>
      </c>
      <c r="S174" s="7">
        <v>245.64406825212899</v>
      </c>
      <c r="T174" s="7">
        <v>248.88943747859801</v>
      </c>
      <c r="U174" s="12">
        <v>3.9515324214556898E-2</v>
      </c>
      <c r="V174" s="12">
        <v>4.01411955241449E-3</v>
      </c>
      <c r="W174" s="12">
        <v>1.7139280046751301E-2</v>
      </c>
      <c r="X174" s="10">
        <v>1.1206485892268201</v>
      </c>
      <c r="Y174" s="10">
        <v>1.16578176214971</v>
      </c>
      <c r="Z174" s="10">
        <v>1.1244152543318899</v>
      </c>
      <c r="AA174" s="10">
        <v>1.1377633921264001</v>
      </c>
      <c r="AB174" s="7">
        <v>254.513474312526</v>
      </c>
      <c r="AC174" s="7">
        <v>245.64406825212899</v>
      </c>
      <c r="AD174" s="7">
        <v>248.88943747859801</v>
      </c>
      <c r="AE174" s="12">
        <v>3.9484287223851201E-2</v>
      </c>
      <c r="AF174" s="12">
        <v>4.01411955241449E-3</v>
      </c>
      <c r="AG174" s="12">
        <v>1.7139280046751099E-2</v>
      </c>
    </row>
    <row r="175" spans="1:77" x14ac:dyDescent="0.25">
      <c r="A175" s="1">
        <v>46276</v>
      </c>
      <c r="B175" s="7">
        <v>219.01</v>
      </c>
      <c r="C175" s="7">
        <v>245.96</v>
      </c>
      <c r="D175" s="12">
        <v>3.1555144743923499E-3</v>
      </c>
      <c r="E175" s="12">
        <v>5.2994294664985902E-3</v>
      </c>
      <c r="F175" s="7">
        <v>0</v>
      </c>
      <c r="G175" s="7">
        <v>0.31490499999999999</v>
      </c>
      <c r="H175" s="7">
        <v>0</v>
      </c>
      <c r="I175" s="7">
        <v>0.17363000000000001</v>
      </c>
      <c r="J175" s="7">
        <v>0</v>
      </c>
      <c r="K175" s="7">
        <v>0</v>
      </c>
      <c r="L175" s="7">
        <v>219.01</v>
      </c>
      <c r="M175" s="7">
        <v>245.96</v>
      </c>
      <c r="N175" s="10">
        <v>1.12305374183827</v>
      </c>
      <c r="O175" s="10">
        <v>1.1658179450689301</v>
      </c>
      <c r="P175" s="10">
        <v>1.12315023664344</v>
      </c>
      <c r="Q175" s="10">
        <v>1.1354235484802</v>
      </c>
      <c r="R175" s="7">
        <v>255.32578814954701</v>
      </c>
      <c r="S175" s="7">
        <v>246.25818485122801</v>
      </c>
      <c r="T175" s="7">
        <v>249.181560509604</v>
      </c>
      <c r="U175" s="12">
        <v>3.7371409222450497E-2</v>
      </c>
      <c r="V175" s="12">
        <v>1.2115963890935899E-3</v>
      </c>
      <c r="W175" s="12">
        <v>1.30128683455155E-2</v>
      </c>
      <c r="X175" s="10">
        <v>1.12305374183827</v>
      </c>
      <c r="Y175" s="10">
        <v>1.16578176214971</v>
      </c>
      <c r="Z175" s="10">
        <v>1.12315023664344</v>
      </c>
      <c r="AA175" s="10">
        <v>1.1354235484802</v>
      </c>
      <c r="AB175" s="7">
        <v>255.31786372840901</v>
      </c>
      <c r="AC175" s="7">
        <v>246.25818485122801</v>
      </c>
      <c r="AD175" s="7">
        <v>249.181560509604</v>
      </c>
      <c r="AE175" s="12">
        <v>3.7340372231744898E-2</v>
      </c>
      <c r="AF175" s="12">
        <v>1.2115963890935899E-3</v>
      </c>
      <c r="AG175" s="12">
        <v>1.30128683455155E-2</v>
      </c>
    </row>
    <row r="176" spans="1:77" x14ac:dyDescent="0.25">
      <c r="A176" s="1">
        <v>46279</v>
      </c>
      <c r="B176" s="7">
        <v>216.77</v>
      </c>
      <c r="C176" s="7">
        <v>242.83</v>
      </c>
      <c r="D176" s="12">
        <v>-1.02805072676432E-2</v>
      </c>
      <c r="E176" s="12">
        <v>-1.28073110482973E-2</v>
      </c>
      <c r="F176" s="7">
        <v>0</v>
      </c>
      <c r="G176" s="7">
        <v>0.31490499999999999</v>
      </c>
      <c r="H176" s="7">
        <v>0</v>
      </c>
      <c r="I176" s="7">
        <v>0.17363000000000001</v>
      </c>
      <c r="J176" s="7">
        <v>0</v>
      </c>
      <c r="K176" s="7">
        <v>0</v>
      </c>
      <c r="L176" s="7">
        <v>216.77</v>
      </c>
      <c r="M176" s="7">
        <v>242.83</v>
      </c>
      <c r="N176" s="10">
        <v>1.1202195875812999</v>
      </c>
      <c r="O176" s="10">
        <v>1.1658179450689301</v>
      </c>
      <c r="P176" s="10">
        <v>1.1227291063198801</v>
      </c>
      <c r="Q176" s="10">
        <v>1.1328431843634901</v>
      </c>
      <c r="R176" s="7">
        <v>252.714355952593</v>
      </c>
      <c r="S176" s="7">
        <v>243.46527679719901</v>
      </c>
      <c r="T176" s="7">
        <v>246.12576260405299</v>
      </c>
      <c r="U176" s="12">
        <v>3.9898213003104803E-2</v>
      </c>
      <c r="V176" s="12">
        <v>2.6127218950884202E-3</v>
      </c>
      <c r="W176" s="12">
        <v>1.34810253595845E-2</v>
      </c>
      <c r="X176" s="10">
        <v>1.1202195875812999</v>
      </c>
      <c r="Y176" s="10">
        <v>1.16578176214971</v>
      </c>
      <c r="Z176" s="10">
        <v>1.1227291063198801</v>
      </c>
      <c r="AA176" s="10">
        <v>1.1328431843634901</v>
      </c>
      <c r="AB176" s="7">
        <v>252.706512581194</v>
      </c>
      <c r="AC176" s="7">
        <v>243.46527679719901</v>
      </c>
      <c r="AD176" s="7">
        <v>246.12576260405299</v>
      </c>
      <c r="AE176" s="12">
        <v>3.9867176012398899E-2</v>
      </c>
      <c r="AF176" s="12">
        <v>2.6127218950886401E-3</v>
      </c>
      <c r="AG176" s="12">
        <v>1.34810253595845E-2</v>
      </c>
    </row>
  </sheetData>
  <conditionalFormatting sqref="CM4:CT11">
    <cfRule type="top10" dxfId="2" priority="3" rank="3"/>
  </conditionalFormatting>
  <conditionalFormatting sqref="CM15:CT22">
    <cfRule type="top10" dxfId="1" priority="2" rank="3"/>
  </conditionalFormatting>
  <conditionalFormatting sqref="CM26:CT33">
    <cfRule type="top10" dxfId="0" priority="1" rank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ITA_XAR_1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2026-09-19T17:44:44Z</dcterms:created>
  <dcterms:modified xsi:type="dcterms:W3CDTF">2026-09-19T18:01:32Z</dcterms:modified>
</cp:coreProperties>
</file>