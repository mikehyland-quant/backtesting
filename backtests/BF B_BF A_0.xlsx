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9A51BF07-E043-4F53-938B-FC57FFA9F14B}" xr6:coauthVersionLast="47" xr6:coauthVersionMax="47" xr10:uidLastSave="{00000000-0000-0000-0000-000000000000}"/>
  <bookViews>
    <workbookView xWindow="-120" yWindow="-120" windowWidth="29040" windowHeight="15720" xr2:uid="{77AE6104-9970-4093-9388-BB5DC83AACC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N58" i="1" s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33" i="1" l="1"/>
  <c r="AN51" i="1"/>
  <c r="AY68" i="1"/>
  <c r="AY176" i="1"/>
  <c r="AN122" i="1"/>
  <c r="AN115" i="1"/>
  <c r="AN100" i="1"/>
  <c r="AN61" i="1"/>
  <c r="AN26" i="1"/>
  <c r="AN57" i="1"/>
  <c r="AN119" i="1"/>
  <c r="AN118" i="1"/>
  <c r="AN117" i="1"/>
  <c r="AN116" i="1"/>
  <c r="AN112" i="1"/>
  <c r="AN106" i="1"/>
  <c r="AN23" i="1"/>
  <c r="AN111" i="1"/>
  <c r="AN108" i="1"/>
  <c r="AN153" i="1"/>
  <c r="AN141" i="1"/>
  <c r="AN132" i="1"/>
  <c r="AN74" i="1"/>
  <c r="AN107" i="1"/>
  <c r="AN84" i="1"/>
  <c r="AN34" i="1"/>
  <c r="AN66" i="1"/>
  <c r="AN37" i="1"/>
  <c r="AN142" i="1"/>
  <c r="AN101" i="1"/>
  <c r="AN156" i="1"/>
  <c r="AN140" i="1"/>
  <c r="AN65" i="1"/>
  <c r="AN43" i="1"/>
  <c r="AN35" i="1"/>
  <c r="AN158" i="1"/>
  <c r="AN72" i="1"/>
  <c r="AN68" i="1"/>
  <c r="AN64" i="1"/>
  <c r="AN52" i="1"/>
  <c r="AN48" i="1"/>
  <c r="AN46" i="1"/>
  <c r="AN38" i="1"/>
  <c r="AN139" i="1"/>
  <c r="AN63" i="1"/>
  <c r="AN59" i="1"/>
  <c r="AN49" i="1"/>
  <c r="AN25" i="1"/>
  <c r="AN71" i="1"/>
  <c r="AY167" i="1"/>
  <c r="AY139" i="1"/>
  <c r="AY132" i="1"/>
  <c r="AY43" i="1"/>
  <c r="AY63" i="1"/>
  <c r="AY51" i="1"/>
  <c r="AY36" i="1"/>
  <c r="AY23" i="1"/>
  <c r="AY120" i="1"/>
  <c r="AY108" i="1"/>
  <c r="AY59" i="1"/>
  <c r="AY57" i="1"/>
  <c r="AY52" i="1"/>
  <c r="AY111" i="1"/>
  <c r="AY66" i="1"/>
  <c r="AY64" i="1"/>
  <c r="AY38" i="1"/>
  <c r="AY116" i="1"/>
  <c r="AY140" i="1"/>
  <c r="AY135" i="1"/>
  <c r="AY107" i="1"/>
  <c r="AY61" i="1"/>
  <c r="AY27" i="1"/>
  <c r="AY141" i="1"/>
  <c r="AY136" i="1"/>
  <c r="AY119" i="1"/>
  <c r="AY105" i="1"/>
  <c r="AY30" i="1"/>
  <c r="AY65" i="1"/>
  <c r="AY53" i="1"/>
  <c r="AY48" i="1"/>
  <c r="AY29" i="1"/>
  <c r="AN102" i="1"/>
  <c r="AN41" i="1"/>
  <c r="AN36" i="1"/>
  <c r="AN131" i="1"/>
  <c r="AN167" i="1"/>
  <c r="AY156" i="1"/>
  <c r="AN155" i="1"/>
  <c r="AN124" i="1"/>
  <c r="AN157" i="1"/>
  <c r="AY154" i="1"/>
  <c r="BA176" i="1"/>
  <c r="AZ176" i="1"/>
  <c r="AW176" i="1"/>
  <c r="BA174" i="1"/>
  <c r="AZ174" i="1"/>
  <c r="BB174" i="1" s="1"/>
  <c r="AW174" i="1"/>
  <c r="AY175" i="1" s="1"/>
  <c r="AW170" i="1"/>
  <c r="AY171" i="1" s="1"/>
  <c r="AZ170" i="1"/>
  <c r="BA170" i="1"/>
  <c r="AO170" i="1"/>
  <c r="AP170" i="1"/>
  <c r="AL170" i="1"/>
  <c r="AN171" i="1" s="1"/>
  <c r="BA167" i="1"/>
  <c r="AZ167" i="1"/>
  <c r="BB167" i="1" s="1"/>
  <c r="AW167" i="1"/>
  <c r="AY168" i="1" s="1"/>
  <c r="AP167" i="1"/>
  <c r="AO167" i="1"/>
  <c r="AL167" i="1"/>
  <c r="AN168" i="1" s="1"/>
  <c r="AW166" i="1"/>
  <c r="AZ166" i="1"/>
  <c r="BA166" i="1"/>
  <c r="AP166" i="1"/>
  <c r="AL166" i="1"/>
  <c r="AO166" i="1"/>
  <c r="AQ166" i="1" s="1"/>
  <c r="AO163" i="1"/>
  <c r="AL163" i="1"/>
  <c r="AN164" i="1" s="1"/>
  <c r="AP163" i="1"/>
  <c r="AP162" i="1"/>
  <c r="AL162" i="1"/>
  <c r="AO162" i="1"/>
  <c r="AQ162" i="1" s="1"/>
  <c r="AZ161" i="1"/>
  <c r="AW161" i="1"/>
  <c r="AY162" i="1" s="1"/>
  <c r="BA161" i="1"/>
  <c r="AL161" i="1"/>
  <c r="AO161" i="1"/>
  <c r="AP161" i="1"/>
  <c r="AW160" i="1"/>
  <c r="AZ160" i="1"/>
  <c r="BA160" i="1"/>
  <c r="AW158" i="1"/>
  <c r="AY159" i="1" s="1"/>
  <c r="BA158" i="1"/>
  <c r="AZ158" i="1"/>
  <c r="BB158" i="1" s="1"/>
  <c r="AL158" i="1"/>
  <c r="AN159" i="1" s="1"/>
  <c r="AO158" i="1"/>
  <c r="AP158" i="1"/>
  <c r="BA157" i="1"/>
  <c r="AW157" i="1"/>
  <c r="AZ157" i="1"/>
  <c r="BB157" i="1" s="1"/>
  <c r="AL157" i="1"/>
  <c r="AP157" i="1"/>
  <c r="AO157" i="1"/>
  <c r="AQ157" i="1" s="1"/>
  <c r="BA156" i="1"/>
  <c r="AZ156" i="1"/>
  <c r="BB156" i="1" s="1"/>
  <c r="AW156" i="1"/>
  <c r="AP156" i="1"/>
  <c r="AO156" i="1"/>
  <c r="AQ156" i="1" s="1"/>
  <c r="AL156" i="1"/>
  <c r="AZ155" i="1"/>
  <c r="AW155" i="1"/>
  <c r="BA155" i="1"/>
  <c r="AL155" i="1"/>
  <c r="AO155" i="1"/>
  <c r="AP155" i="1"/>
  <c r="BA154" i="1"/>
  <c r="AW154" i="1"/>
  <c r="AZ154" i="1"/>
  <c r="BB154" i="1" s="1"/>
  <c r="AZ153" i="1"/>
  <c r="AW153" i="1"/>
  <c r="BA153" i="1"/>
  <c r="AO153" i="1"/>
  <c r="AL153" i="1"/>
  <c r="AN154" i="1" s="1"/>
  <c r="AP153" i="1"/>
  <c r="AZ152" i="1"/>
  <c r="BA152" i="1"/>
  <c r="AW152" i="1"/>
  <c r="AO152" i="1"/>
  <c r="AL152" i="1"/>
  <c r="AP152" i="1"/>
  <c r="AW151" i="1"/>
  <c r="AZ151" i="1"/>
  <c r="BA151" i="1"/>
  <c r="AW149" i="1"/>
  <c r="AY150" i="1" s="1"/>
  <c r="BA149" i="1"/>
  <c r="AZ149" i="1"/>
  <c r="AW147" i="1"/>
  <c r="AY148" i="1" s="1"/>
  <c r="AZ147" i="1"/>
  <c r="BA147" i="1"/>
  <c r="AO147" i="1"/>
  <c r="AP147" i="1"/>
  <c r="AL147" i="1"/>
  <c r="AN148" i="1" s="1"/>
  <c r="AW143" i="1"/>
  <c r="AY144" i="1" s="1"/>
  <c r="AZ143" i="1"/>
  <c r="BA143" i="1"/>
  <c r="AL143" i="1"/>
  <c r="AN144" i="1" s="1"/>
  <c r="AO143" i="1"/>
  <c r="AP143" i="1"/>
  <c r="AP142" i="1"/>
  <c r="AL142" i="1"/>
  <c r="AO142" i="1"/>
  <c r="AZ141" i="1"/>
  <c r="BA141" i="1"/>
  <c r="AW141" i="1"/>
  <c r="AY142" i="1" s="1"/>
  <c r="AO141" i="1"/>
  <c r="AP141" i="1"/>
  <c r="AL141" i="1"/>
  <c r="BA140" i="1"/>
  <c r="AW140" i="1"/>
  <c r="AZ140" i="1"/>
  <c r="BB140" i="1" s="1"/>
  <c r="AL140" i="1"/>
  <c r="AP140" i="1"/>
  <c r="AO140" i="1"/>
  <c r="AW139" i="1"/>
  <c r="BA139" i="1"/>
  <c r="AZ139" i="1"/>
  <c r="BB139" i="1" s="1"/>
  <c r="AL139" i="1"/>
  <c r="AP139" i="1"/>
  <c r="AO139" i="1"/>
  <c r="AQ139" i="1" s="1"/>
  <c r="AW136" i="1"/>
  <c r="AY137" i="1" s="1"/>
  <c r="BA136" i="1"/>
  <c r="AZ136" i="1"/>
  <c r="BB136" i="1" s="1"/>
  <c r="AL136" i="1"/>
  <c r="AN137" i="1" s="1"/>
  <c r="AO136" i="1"/>
  <c r="AP136" i="1"/>
  <c r="AW135" i="1"/>
  <c r="AZ135" i="1"/>
  <c r="BA135" i="1"/>
  <c r="AL135" i="1"/>
  <c r="AP135" i="1"/>
  <c r="AO135" i="1"/>
  <c r="AQ135" i="1" s="1"/>
  <c r="AW133" i="1"/>
  <c r="AY134" i="1" s="1"/>
  <c r="BA133" i="1"/>
  <c r="AZ133" i="1"/>
  <c r="BB133" i="1" s="1"/>
  <c r="AL133" i="1"/>
  <c r="AN134" i="1" s="1"/>
  <c r="AP133" i="1"/>
  <c r="AO133" i="1"/>
  <c r="AZ132" i="1"/>
  <c r="BA132" i="1"/>
  <c r="AW132" i="1"/>
  <c r="AL132" i="1"/>
  <c r="AO132" i="1"/>
  <c r="AP132" i="1"/>
  <c r="AP131" i="1"/>
  <c r="AL131" i="1"/>
  <c r="AO131" i="1"/>
  <c r="AQ131" i="1" s="1"/>
  <c r="AZ128" i="1"/>
  <c r="AW128" i="1"/>
  <c r="AY129" i="1" s="1"/>
  <c r="BA128" i="1"/>
  <c r="AW126" i="1"/>
  <c r="AY127" i="1" s="1"/>
  <c r="BA126" i="1"/>
  <c r="AZ126" i="1"/>
  <c r="BA125" i="1"/>
  <c r="AW125" i="1"/>
  <c r="AZ125" i="1"/>
  <c r="AZ124" i="1"/>
  <c r="AW124" i="1"/>
  <c r="BA124" i="1"/>
  <c r="AL124" i="1"/>
  <c r="AN125" i="1" s="1"/>
  <c r="AP124" i="1"/>
  <c r="AO124" i="1"/>
  <c r="AQ124" i="1" s="1"/>
  <c r="AZ122" i="1"/>
  <c r="AW122" i="1"/>
  <c r="AY123" i="1" s="1"/>
  <c r="BA122" i="1"/>
  <c r="AL122" i="1"/>
  <c r="AN123" i="1" s="1"/>
  <c r="AP122" i="1"/>
  <c r="AO122" i="1"/>
  <c r="AQ122" i="1" s="1"/>
  <c r="BA120" i="1"/>
  <c r="AW120" i="1"/>
  <c r="AY121" i="1" s="1"/>
  <c r="AZ120" i="1"/>
  <c r="BB120" i="1" s="1"/>
  <c r="AL120" i="1"/>
  <c r="AN121" i="1" s="1"/>
  <c r="AP120" i="1"/>
  <c r="AO120" i="1"/>
  <c r="AQ120" i="1" s="1"/>
  <c r="AW119" i="1"/>
  <c r="AZ119" i="1"/>
  <c r="BA119" i="1"/>
  <c r="AO119" i="1"/>
  <c r="AP119" i="1"/>
  <c r="AL119" i="1"/>
  <c r="BA118" i="1"/>
  <c r="AZ118" i="1"/>
  <c r="AW118" i="1"/>
  <c r="AP118" i="1"/>
  <c r="AL118" i="1"/>
  <c r="AO118" i="1"/>
  <c r="AQ118" i="1" s="1"/>
  <c r="AZ117" i="1"/>
  <c r="BA117" i="1"/>
  <c r="AW117" i="1"/>
  <c r="AL117" i="1"/>
  <c r="AP117" i="1"/>
  <c r="AO117" i="1"/>
  <c r="AQ117" i="1" s="1"/>
  <c r="AW116" i="1"/>
  <c r="BA116" i="1"/>
  <c r="AZ116" i="1"/>
  <c r="BB116" i="1" s="1"/>
  <c r="AO116" i="1"/>
  <c r="AL116" i="1"/>
  <c r="AP116" i="1"/>
  <c r="BA115" i="1"/>
  <c r="AZ115" i="1"/>
  <c r="BB115" i="1" s="1"/>
  <c r="AW115" i="1"/>
  <c r="AL115" i="1"/>
  <c r="AP115" i="1"/>
  <c r="AO115" i="1"/>
  <c r="AZ112" i="1"/>
  <c r="BA112" i="1"/>
  <c r="AW112" i="1"/>
  <c r="AY113" i="1" s="1"/>
  <c r="AO112" i="1"/>
  <c r="AP112" i="1"/>
  <c r="AL112" i="1"/>
  <c r="AN113" i="1" s="1"/>
  <c r="AW111" i="1"/>
  <c r="BA111" i="1"/>
  <c r="AZ111" i="1"/>
  <c r="AL111" i="1"/>
  <c r="AO111" i="1"/>
  <c r="AP111" i="1"/>
  <c r="BA108" i="1"/>
  <c r="AZ108" i="1"/>
  <c r="BB108" i="1" s="1"/>
  <c r="AW108" i="1"/>
  <c r="AY109" i="1" s="1"/>
  <c r="AP108" i="1"/>
  <c r="AO108" i="1"/>
  <c r="AL108" i="1"/>
  <c r="AN109" i="1" s="1"/>
  <c r="AW107" i="1"/>
  <c r="BA107" i="1"/>
  <c r="AZ107" i="1"/>
  <c r="BB107" i="1" s="1"/>
  <c r="AW105" i="1"/>
  <c r="AY106" i="1" s="1"/>
  <c r="BA105" i="1"/>
  <c r="AZ105" i="1"/>
  <c r="BB105" i="1" s="1"/>
  <c r="AP105" i="1"/>
  <c r="AL105" i="1"/>
  <c r="AO105" i="1"/>
  <c r="AW104" i="1"/>
  <c r="BA104" i="1"/>
  <c r="AZ104" i="1"/>
  <c r="BB104" i="1" s="1"/>
  <c r="AW103" i="1"/>
  <c r="BA103" i="1"/>
  <c r="AZ103" i="1"/>
  <c r="BB103" i="1" s="1"/>
  <c r="AL103" i="1"/>
  <c r="AN104" i="1" s="1"/>
  <c r="AO103" i="1"/>
  <c r="AP103" i="1"/>
  <c r="AZ102" i="1"/>
  <c r="AW102" i="1"/>
  <c r="BA102" i="1"/>
  <c r="AP100" i="1"/>
  <c r="AL100" i="1"/>
  <c r="AO100" i="1"/>
  <c r="AQ100" i="1" s="1"/>
  <c r="AZ95" i="1"/>
  <c r="BA95" i="1"/>
  <c r="AW95" i="1"/>
  <c r="AY96" i="1" s="1"/>
  <c r="AW93" i="1"/>
  <c r="AY94" i="1" s="1"/>
  <c r="BA93" i="1"/>
  <c r="AZ93" i="1"/>
  <c r="BB93" i="1" s="1"/>
  <c r="AL91" i="1"/>
  <c r="AN92" i="1" s="1"/>
  <c r="AP91" i="1"/>
  <c r="AO91" i="1"/>
  <c r="AQ91" i="1" s="1"/>
  <c r="BA89" i="1"/>
  <c r="AZ89" i="1"/>
  <c r="AW89" i="1"/>
  <c r="AY90" i="1" s="1"/>
  <c r="AP88" i="1"/>
  <c r="AL88" i="1"/>
  <c r="AN89" i="1" s="1"/>
  <c r="AO88" i="1"/>
  <c r="AQ88" i="1" s="1"/>
  <c r="AL86" i="1"/>
  <c r="AN87" i="1" s="1"/>
  <c r="AP86" i="1"/>
  <c r="AO86" i="1"/>
  <c r="AQ86" i="1" s="1"/>
  <c r="AL78" i="1"/>
  <c r="AN79" i="1" s="1"/>
  <c r="AP78" i="1"/>
  <c r="AO78" i="1"/>
  <c r="AW74" i="1"/>
  <c r="AY75" i="1" s="1"/>
  <c r="BA74" i="1"/>
  <c r="AZ74" i="1"/>
  <c r="BB74" i="1" s="1"/>
  <c r="AL73" i="1"/>
  <c r="AO73" i="1"/>
  <c r="AP73" i="1"/>
  <c r="AZ71" i="1"/>
  <c r="AW71" i="1"/>
  <c r="AY72" i="1" s="1"/>
  <c r="BA71" i="1"/>
  <c r="AW68" i="1"/>
  <c r="AY69" i="1" s="1"/>
  <c r="AZ68" i="1"/>
  <c r="BA68" i="1"/>
  <c r="AW66" i="1"/>
  <c r="AY67" i="1" s="1"/>
  <c r="BA66" i="1"/>
  <c r="AZ66" i="1"/>
  <c r="BB66" i="1" s="1"/>
  <c r="BA65" i="1"/>
  <c r="AZ65" i="1"/>
  <c r="BB65" i="1" s="1"/>
  <c r="AW65" i="1"/>
  <c r="BA64" i="1"/>
  <c r="AZ64" i="1"/>
  <c r="AW64" i="1"/>
  <c r="AZ63" i="1"/>
  <c r="AW63" i="1"/>
  <c r="BA63" i="1"/>
  <c r="AZ61" i="1"/>
  <c r="AW61" i="1"/>
  <c r="AY62" i="1" s="1"/>
  <c r="BA61" i="1"/>
  <c r="AO61" i="1"/>
  <c r="AL61" i="1"/>
  <c r="AN62" i="1" s="1"/>
  <c r="AP61" i="1"/>
  <c r="AW58" i="1"/>
  <c r="BA58" i="1"/>
  <c r="AZ58" i="1"/>
  <c r="BB58" i="1" s="1"/>
  <c r="AL58" i="1"/>
  <c r="AO58" i="1"/>
  <c r="AP58" i="1"/>
  <c r="AO57" i="1"/>
  <c r="AL57" i="1"/>
  <c r="AP57" i="1"/>
  <c r="AO53" i="1"/>
  <c r="AL53" i="1"/>
  <c r="AN54" i="1" s="1"/>
  <c r="AP53" i="1"/>
  <c r="AL51" i="1"/>
  <c r="AO51" i="1"/>
  <c r="AP51" i="1"/>
  <c r="AZ42" i="1"/>
  <c r="BA42" i="1"/>
  <c r="AW42" i="1"/>
  <c r="AL42" i="1"/>
  <c r="AO42" i="1"/>
  <c r="AP42" i="1"/>
  <c r="AW34" i="1"/>
  <c r="AY35" i="1" s="1"/>
  <c r="BA34" i="1"/>
  <c r="AZ34" i="1"/>
  <c r="BB34" i="1" s="1"/>
  <c r="AW32" i="1"/>
  <c r="AY33" i="1" s="1"/>
  <c r="AZ32" i="1"/>
  <c r="BA32" i="1"/>
  <c r="AL30" i="1"/>
  <c r="AN31" i="1" s="1"/>
  <c r="AP30" i="1"/>
  <c r="AO30" i="1"/>
  <c r="AQ30" i="1" s="1"/>
  <c r="AL29" i="1"/>
  <c r="AP29" i="1"/>
  <c r="AO29" i="1"/>
  <c r="AQ29" i="1" s="1"/>
  <c r="AL28" i="1"/>
  <c r="AP28" i="1"/>
  <c r="AO28" i="1"/>
  <c r="AP27" i="1"/>
  <c r="AL27" i="1"/>
  <c r="AO27" i="1"/>
  <c r="AQ27" i="1" s="1"/>
  <c r="AO26" i="1"/>
  <c r="AL26" i="1"/>
  <c r="AP26" i="1"/>
  <c r="AL23" i="1"/>
  <c r="AN24" i="1" s="1"/>
  <c r="AP23" i="1"/>
  <c r="AO23" i="1"/>
  <c r="AQ23" i="1" s="1"/>
  <c r="BA22" i="1"/>
  <c r="AZ22" i="1"/>
  <c r="BB22" i="1" s="1"/>
  <c r="AO22" i="1"/>
  <c r="AP22" i="1"/>
  <c r="AP106" i="1" l="1"/>
  <c r="AL106" i="1"/>
  <c r="AO106" i="1"/>
  <c r="AQ106" i="1" s="1"/>
  <c r="BE156" i="1"/>
  <c r="BB112" i="1"/>
  <c r="BB64" i="1"/>
  <c r="AW43" i="1"/>
  <c r="AY44" i="1" s="1"/>
  <c r="BA43" i="1"/>
  <c r="AZ43" i="1"/>
  <c r="AZ51" i="1"/>
  <c r="BA51" i="1"/>
  <c r="AW51" i="1"/>
  <c r="AZ36" i="1"/>
  <c r="BA36" i="1"/>
  <c r="AW36" i="1"/>
  <c r="AY37" i="1" s="1"/>
  <c r="AW23" i="1"/>
  <c r="AY24" i="1" s="1"/>
  <c r="AZ23" i="1"/>
  <c r="BA23" i="1"/>
  <c r="AW59" i="1"/>
  <c r="AY60" i="1" s="1"/>
  <c r="AZ59" i="1"/>
  <c r="BA59" i="1"/>
  <c r="AW57" i="1"/>
  <c r="AZ57" i="1"/>
  <c r="BA57" i="1"/>
  <c r="AW52" i="1"/>
  <c r="BA52" i="1"/>
  <c r="AZ52" i="1"/>
  <c r="BB52" i="1" s="1"/>
  <c r="AZ38" i="1"/>
  <c r="AW38" i="1"/>
  <c r="AY39" i="1" s="1"/>
  <c r="BA38" i="1"/>
  <c r="BA27" i="1"/>
  <c r="AZ27" i="1"/>
  <c r="BB27" i="1" s="1"/>
  <c r="BE27" i="1" s="1"/>
  <c r="AW27" i="1"/>
  <c r="AY28" i="1" s="1"/>
  <c r="AW30" i="1"/>
  <c r="AY31" i="1" s="1"/>
  <c r="BA30" i="1"/>
  <c r="AZ30" i="1"/>
  <c r="BB30" i="1" s="1"/>
  <c r="AZ53" i="1"/>
  <c r="AW53" i="1"/>
  <c r="AY54" i="1" s="1"/>
  <c r="BA53" i="1"/>
  <c r="BA48" i="1"/>
  <c r="AW48" i="1"/>
  <c r="AY49" i="1" s="1"/>
  <c r="AZ48" i="1"/>
  <c r="AZ109" i="1"/>
  <c r="AW109" i="1"/>
  <c r="AY110" i="1" s="1"/>
  <c r="BA109" i="1"/>
  <c r="AW69" i="1"/>
  <c r="AY70" i="1" s="1"/>
  <c r="AZ69" i="1"/>
  <c r="BA69" i="1"/>
  <c r="BB69" i="1" s="1"/>
  <c r="BA67" i="1"/>
  <c r="AZ67" i="1"/>
  <c r="BB67" i="1" s="1"/>
  <c r="AW67" i="1"/>
  <c r="AQ142" i="1"/>
  <c r="AO168" i="1"/>
  <c r="AL168" i="1"/>
  <c r="AN169" i="1" s="1"/>
  <c r="AP168" i="1"/>
  <c r="AL137" i="1"/>
  <c r="AN138" i="1" s="1"/>
  <c r="AP137" i="1"/>
  <c r="AO137" i="1"/>
  <c r="AQ137" i="1" s="1"/>
  <c r="AL123" i="1"/>
  <c r="AO123" i="1"/>
  <c r="AP123" i="1"/>
  <c r="AO87" i="1"/>
  <c r="AL87" i="1"/>
  <c r="AP87" i="1"/>
  <c r="AP79" i="1"/>
  <c r="AO79" i="1"/>
  <c r="AQ79" i="1" s="1"/>
  <c r="AL79" i="1"/>
  <c r="AN80" i="1" s="1"/>
  <c r="AP24" i="1"/>
  <c r="AL24" i="1"/>
  <c r="AO24" i="1"/>
  <c r="AQ28" i="1"/>
  <c r="AQ133" i="1"/>
  <c r="AQ167" i="1"/>
  <c r="BA175" i="1"/>
  <c r="AW175" i="1"/>
  <c r="AZ175" i="1"/>
  <c r="AW171" i="1"/>
  <c r="AY172" i="1" s="1"/>
  <c r="AZ171" i="1"/>
  <c r="BA171" i="1"/>
  <c r="AO164" i="1"/>
  <c r="AP164" i="1"/>
  <c r="AL164" i="1"/>
  <c r="AN165" i="1" s="1"/>
  <c r="AO159" i="1"/>
  <c r="AL159" i="1"/>
  <c r="AN160" i="1" s="1"/>
  <c r="AP159" i="1"/>
  <c r="BA150" i="1"/>
  <c r="AW150" i="1"/>
  <c r="AZ150" i="1"/>
  <c r="AW148" i="1"/>
  <c r="BA148" i="1"/>
  <c r="AZ148" i="1"/>
  <c r="BB148" i="1" s="1"/>
  <c r="AZ144" i="1"/>
  <c r="BA144" i="1"/>
  <c r="AW144" i="1"/>
  <c r="AY145" i="1" s="1"/>
  <c r="AL134" i="1"/>
  <c r="AP134" i="1"/>
  <c r="AO134" i="1"/>
  <c r="AQ134" i="1" s="1"/>
  <c r="AO125" i="1"/>
  <c r="AP125" i="1"/>
  <c r="AL125" i="1"/>
  <c r="AN126" i="1" s="1"/>
  <c r="AW121" i="1"/>
  <c r="BA121" i="1"/>
  <c r="AZ121" i="1"/>
  <c r="BA113" i="1"/>
  <c r="AZ113" i="1"/>
  <c r="AW113" i="1"/>
  <c r="AY114" i="1" s="1"/>
  <c r="AZ70" i="1"/>
  <c r="BA70" i="1"/>
  <c r="AW70" i="1"/>
  <c r="AW62" i="1"/>
  <c r="BA62" i="1"/>
  <c r="AZ62" i="1"/>
  <c r="BB62" i="1" s="1"/>
  <c r="BA60" i="1"/>
  <c r="AW60" i="1"/>
  <c r="AZ60" i="1"/>
  <c r="BA54" i="1"/>
  <c r="AW54" i="1"/>
  <c r="AY55" i="1" s="1"/>
  <c r="AZ54" i="1"/>
  <c r="AW33" i="1"/>
  <c r="BA33" i="1"/>
  <c r="AZ33" i="1"/>
  <c r="BB33" i="1" s="1"/>
  <c r="AW31" i="1"/>
  <c r="AZ31" i="1"/>
  <c r="BA31" i="1"/>
  <c r="AL104" i="1"/>
  <c r="AO104" i="1"/>
  <c r="AP104" i="1"/>
  <c r="AL74" i="1"/>
  <c r="AN75" i="1" s="1"/>
  <c r="AP74" i="1"/>
  <c r="AO74" i="1"/>
  <c r="AL107" i="1"/>
  <c r="AO107" i="1"/>
  <c r="AP107" i="1"/>
  <c r="AL84" i="1"/>
  <c r="AN85" i="1" s="1"/>
  <c r="AP84" i="1"/>
  <c r="AO84" i="1"/>
  <c r="AQ84" i="1" s="1"/>
  <c r="AL80" i="1"/>
  <c r="AN81" i="1" s="1"/>
  <c r="AO80" i="1"/>
  <c r="AP80" i="1"/>
  <c r="AP34" i="1"/>
  <c r="AO34" i="1"/>
  <c r="AL34" i="1"/>
  <c r="AL66" i="1"/>
  <c r="AN67" i="1" s="1"/>
  <c r="AP66" i="1"/>
  <c r="AO66" i="1"/>
  <c r="AQ66" i="1" s="1"/>
  <c r="AP37" i="1"/>
  <c r="AL37" i="1"/>
  <c r="AO37" i="1"/>
  <c r="AO101" i="1"/>
  <c r="AL101" i="1"/>
  <c r="AP101" i="1"/>
  <c r="AL92" i="1"/>
  <c r="AN93" i="1" s="1"/>
  <c r="AP92" i="1"/>
  <c r="AO92" i="1"/>
  <c r="AQ92" i="1" s="1"/>
  <c r="AL65" i="1"/>
  <c r="AO65" i="1"/>
  <c r="AP65" i="1"/>
  <c r="AP43" i="1"/>
  <c r="AO43" i="1"/>
  <c r="AL43" i="1"/>
  <c r="AN44" i="1" s="1"/>
  <c r="AO35" i="1"/>
  <c r="AP35" i="1"/>
  <c r="AL35" i="1"/>
  <c r="AP72" i="1"/>
  <c r="AL72" i="1"/>
  <c r="AO72" i="1"/>
  <c r="AQ72" i="1" s="1"/>
  <c r="AO68" i="1"/>
  <c r="AL68" i="1"/>
  <c r="AN69" i="1" s="1"/>
  <c r="AP68" i="1"/>
  <c r="AO64" i="1"/>
  <c r="AL64" i="1"/>
  <c r="AP64" i="1"/>
  <c r="AP52" i="1"/>
  <c r="AO52" i="1"/>
  <c r="AQ52" i="1" s="1"/>
  <c r="AL52" i="1"/>
  <c r="AL48" i="1"/>
  <c r="AP48" i="1"/>
  <c r="AO48" i="1"/>
  <c r="AQ48" i="1" s="1"/>
  <c r="AP46" i="1"/>
  <c r="AL46" i="1"/>
  <c r="AN47" i="1" s="1"/>
  <c r="AO46" i="1"/>
  <c r="AQ46" i="1" s="1"/>
  <c r="AO38" i="1"/>
  <c r="AL38" i="1"/>
  <c r="AN39" i="1" s="1"/>
  <c r="AP38" i="1"/>
  <c r="AP63" i="1"/>
  <c r="AL63" i="1"/>
  <c r="AO63" i="1"/>
  <c r="AL59" i="1"/>
  <c r="AN60" i="1" s="1"/>
  <c r="AO59" i="1"/>
  <c r="AP59" i="1"/>
  <c r="AP49" i="1"/>
  <c r="AL49" i="1"/>
  <c r="AN50" i="1" s="1"/>
  <c r="AO49" i="1"/>
  <c r="AQ49" i="1" s="1"/>
  <c r="AP25" i="1"/>
  <c r="AL25" i="1"/>
  <c r="AO25" i="1"/>
  <c r="AQ25" i="1" s="1"/>
  <c r="AO71" i="1"/>
  <c r="AL71" i="1"/>
  <c r="AP71" i="1"/>
  <c r="AL41" i="1"/>
  <c r="AP41" i="1"/>
  <c r="AO41" i="1"/>
  <c r="AL36" i="1"/>
  <c r="AO36" i="1"/>
  <c r="AP36" i="1"/>
  <c r="AQ78" i="1"/>
  <c r="AQ41" i="1"/>
  <c r="AP102" i="1"/>
  <c r="AL102" i="1"/>
  <c r="AO102" i="1"/>
  <c r="AQ102" i="1" s="1"/>
  <c r="AP89" i="1"/>
  <c r="AO89" i="1"/>
  <c r="AQ89" i="1" s="1"/>
  <c r="AL89" i="1"/>
  <c r="AN90" i="1" s="1"/>
  <c r="AO171" i="1"/>
  <c r="AP171" i="1"/>
  <c r="AL171" i="1"/>
  <c r="AN172" i="1" s="1"/>
  <c r="AO148" i="1"/>
  <c r="AL148" i="1"/>
  <c r="AN149" i="1" s="1"/>
  <c r="AP148" i="1"/>
  <c r="AL144" i="1"/>
  <c r="AN145" i="1" s="1"/>
  <c r="AP144" i="1"/>
  <c r="AO144" i="1"/>
  <c r="AL121" i="1"/>
  <c r="AP121" i="1"/>
  <c r="AO121" i="1"/>
  <c r="AO113" i="1"/>
  <c r="AP113" i="1"/>
  <c r="AL113" i="1"/>
  <c r="AN114" i="1" s="1"/>
  <c r="AP109" i="1"/>
  <c r="AO109" i="1"/>
  <c r="AL109" i="1"/>
  <c r="AN110" i="1" s="1"/>
  <c r="AP69" i="1"/>
  <c r="AL69" i="1"/>
  <c r="AN70" i="1" s="1"/>
  <c r="AO69" i="1"/>
  <c r="AL67" i="1"/>
  <c r="AP67" i="1"/>
  <c r="AO67" i="1"/>
  <c r="AL62" i="1"/>
  <c r="AO62" i="1"/>
  <c r="AP62" i="1"/>
  <c r="AP60" i="1"/>
  <c r="AO60" i="1"/>
  <c r="AL60" i="1"/>
  <c r="AL54" i="1"/>
  <c r="AN55" i="1" s="1"/>
  <c r="AO54" i="1"/>
  <c r="AP54" i="1"/>
  <c r="AO31" i="1"/>
  <c r="AP31" i="1"/>
  <c r="AL31" i="1"/>
  <c r="AN32" i="1" s="1"/>
  <c r="BE167" i="1"/>
  <c r="BB89" i="1"/>
  <c r="BE89" i="1" s="1"/>
  <c r="BB149" i="1"/>
  <c r="BB111" i="1"/>
  <c r="BB141" i="1"/>
  <c r="BE30" i="1"/>
  <c r="BE52" i="1"/>
  <c r="BE157" i="1"/>
  <c r="BB118" i="1"/>
  <c r="BE66" i="1"/>
  <c r="AW168" i="1"/>
  <c r="AY169" i="1" s="1"/>
  <c r="AZ168" i="1"/>
  <c r="BA168" i="1"/>
  <c r="BA159" i="1"/>
  <c r="AW159" i="1"/>
  <c r="AZ159" i="1"/>
  <c r="AW137" i="1"/>
  <c r="AY138" i="1" s="1"/>
  <c r="AZ137" i="1"/>
  <c r="BA137" i="1"/>
  <c r="BA134" i="1"/>
  <c r="AW134" i="1"/>
  <c r="AZ134" i="1"/>
  <c r="BA129" i="1"/>
  <c r="AW129" i="1"/>
  <c r="AY130" i="1" s="1"/>
  <c r="AZ129" i="1"/>
  <c r="AW127" i="1"/>
  <c r="AZ127" i="1"/>
  <c r="BA127" i="1"/>
  <c r="AZ123" i="1"/>
  <c r="AW123" i="1"/>
  <c r="BA123" i="1"/>
  <c r="AW96" i="1"/>
  <c r="AY97" i="1" s="1"/>
  <c r="BA96" i="1"/>
  <c r="AZ96" i="1"/>
  <c r="AZ94" i="1"/>
  <c r="AW94" i="1"/>
  <c r="BA94" i="1"/>
  <c r="BA90" i="1"/>
  <c r="AW90" i="1"/>
  <c r="AY91" i="1" s="1"/>
  <c r="AZ90" i="1"/>
  <c r="AW75" i="1"/>
  <c r="AY76" i="1" s="1"/>
  <c r="AZ75" i="1"/>
  <c r="BA75" i="1"/>
  <c r="BA44" i="1"/>
  <c r="AW44" i="1"/>
  <c r="AY45" i="1" s="1"/>
  <c r="AZ44" i="1"/>
  <c r="BB44" i="1" s="1"/>
  <c r="AW39" i="1"/>
  <c r="AY40" i="1" s="1"/>
  <c r="AZ39" i="1"/>
  <c r="BA39" i="1"/>
  <c r="AW24" i="1"/>
  <c r="AY25" i="1" s="1"/>
  <c r="BA24" i="1"/>
  <c r="AZ24" i="1"/>
  <c r="BE133" i="1"/>
  <c r="BB126" i="1"/>
  <c r="BB125" i="1"/>
  <c r="BE118" i="1"/>
  <c r="BE139" i="1"/>
  <c r="BE120" i="1"/>
  <c r="BB117" i="1"/>
  <c r="BE117" i="1" s="1"/>
  <c r="BA29" i="1"/>
  <c r="AZ29" i="1"/>
  <c r="BB29" i="1" s="1"/>
  <c r="BE29" i="1" s="1"/>
  <c r="AW29" i="1"/>
  <c r="AQ38" i="1"/>
  <c r="AQ105" i="1"/>
  <c r="BE105" i="1" s="1"/>
  <c r="BB170" i="1"/>
  <c r="BB166" i="1"/>
  <c r="BE166" i="1" s="1"/>
  <c r="AQ161" i="1"/>
  <c r="AQ158" i="1"/>
  <c r="BE158" i="1" s="1"/>
  <c r="AQ155" i="1"/>
  <c r="AQ152" i="1"/>
  <c r="BB147" i="1"/>
  <c r="AQ143" i="1"/>
  <c r="AQ140" i="1"/>
  <c r="BE140" i="1" s="1"/>
  <c r="AQ132" i="1"/>
  <c r="BB129" i="1"/>
  <c r="AQ112" i="1"/>
  <c r="BE112" i="1" s="1"/>
  <c r="BB109" i="1"/>
  <c r="AQ119" i="1"/>
  <c r="BB143" i="1"/>
  <c r="AQ136" i="1"/>
  <c r="BE136" i="1" s="1"/>
  <c r="AQ115" i="1"/>
  <c r="BE115" i="1" s="1"/>
  <c r="AQ111" i="1"/>
  <c r="BE111" i="1" s="1"/>
  <c r="AQ107" i="1"/>
  <c r="BE107" i="1" s="1"/>
  <c r="AQ103" i="1"/>
  <c r="BE103" i="1" s="1"/>
  <c r="AQ62" i="1"/>
  <c r="BE62" i="1" s="1"/>
  <c r="BB128" i="1"/>
  <c r="AQ116" i="1"/>
  <c r="BE116" i="1" s="1"/>
  <c r="AQ109" i="1"/>
  <c r="BE109" i="1" s="1"/>
  <c r="BB122" i="1"/>
  <c r="BE122" i="1" s="1"/>
  <c r="BA162" i="1"/>
  <c r="AW162" i="1"/>
  <c r="AY163" i="1" s="1"/>
  <c r="AZ162" i="1"/>
  <c r="BB162" i="1" s="1"/>
  <c r="BE162" i="1" s="1"/>
  <c r="AL154" i="1"/>
  <c r="AP154" i="1"/>
  <c r="AO154" i="1"/>
  <c r="AP149" i="1"/>
  <c r="AL149" i="1"/>
  <c r="AN150" i="1" s="1"/>
  <c r="AO149" i="1"/>
  <c r="AQ149" i="1" s="1"/>
  <c r="BE149" i="1" s="1"/>
  <c r="AW142" i="1"/>
  <c r="AZ142" i="1"/>
  <c r="BA142" i="1"/>
  <c r="AW106" i="1"/>
  <c r="BA106" i="1"/>
  <c r="AZ106" i="1"/>
  <c r="BB106" i="1" s="1"/>
  <c r="BE106" i="1" s="1"/>
  <c r="BA91" i="1"/>
  <c r="AZ91" i="1"/>
  <c r="BB91" i="1" s="1"/>
  <c r="BE91" i="1" s="1"/>
  <c r="AW91" i="1"/>
  <c r="AY92" i="1" s="1"/>
  <c r="AZ72" i="1"/>
  <c r="AW72" i="1"/>
  <c r="AY73" i="1" s="1"/>
  <c r="BA72" i="1"/>
  <c r="AW49" i="1"/>
  <c r="AY50" i="1" s="1"/>
  <c r="BA49" i="1"/>
  <c r="AZ49" i="1"/>
  <c r="BA37" i="1"/>
  <c r="AZ37" i="1"/>
  <c r="AW37" i="1"/>
  <c r="AZ35" i="1"/>
  <c r="AW35" i="1"/>
  <c r="BA35" i="1"/>
  <c r="AO32" i="1"/>
  <c r="AL32" i="1"/>
  <c r="AN33" i="1" s="1"/>
  <c r="AP32" i="1"/>
  <c r="BA28" i="1"/>
  <c r="AZ28" i="1"/>
  <c r="BB28" i="1" s="1"/>
  <c r="BE28" i="1" s="1"/>
  <c r="AW28" i="1"/>
  <c r="AW25" i="1"/>
  <c r="AY26" i="1" s="1"/>
  <c r="BA25" i="1"/>
  <c r="AZ25" i="1"/>
  <c r="BB25" i="1" s="1"/>
  <c r="BE25" i="1" s="1"/>
  <c r="BC22" i="1"/>
  <c r="BB102" i="1"/>
  <c r="BE102" i="1" s="1"/>
  <c r="AQ101" i="1"/>
  <c r="AQ80" i="1"/>
  <c r="AQ73" i="1"/>
  <c r="BB71" i="1"/>
  <c r="BB70" i="1"/>
  <c r="AQ69" i="1"/>
  <c r="BE69" i="1" s="1"/>
  <c r="BB68" i="1"/>
  <c r="AQ67" i="1"/>
  <c r="BE67" i="1" s="1"/>
  <c r="AQ64" i="1"/>
  <c r="BE64" i="1" s="1"/>
  <c r="BB63" i="1"/>
  <c r="BB61" i="1"/>
  <c r="AQ61" i="1"/>
  <c r="AQ60" i="1"/>
  <c r="BB59" i="1"/>
  <c r="AQ59" i="1"/>
  <c r="AQ58" i="1"/>
  <c r="BE58" i="1" s="1"/>
  <c r="BB57" i="1"/>
  <c r="AQ57" i="1"/>
  <c r="AQ54" i="1"/>
  <c r="BB53" i="1"/>
  <c r="AQ53" i="1"/>
  <c r="BE53" i="1" s="1"/>
  <c r="BB51" i="1"/>
  <c r="AQ51" i="1"/>
  <c r="BB48" i="1"/>
  <c r="BE48" i="1" s="1"/>
  <c r="BB43" i="1"/>
  <c r="AQ43" i="1"/>
  <c r="BB42" i="1"/>
  <c r="AQ42" i="1"/>
  <c r="BB38" i="1"/>
  <c r="BE38" i="1" s="1"/>
  <c r="AQ37" i="1"/>
  <c r="BB36" i="1"/>
  <c r="AQ34" i="1"/>
  <c r="BE34" i="1" s="1"/>
  <c r="BB32" i="1"/>
  <c r="AQ31" i="1"/>
  <c r="AQ26" i="1"/>
  <c r="BB24" i="1"/>
  <c r="AQ24" i="1"/>
  <c r="BB23" i="1"/>
  <c r="AQ22" i="1"/>
  <c r="BB176" i="1"/>
  <c r="BB171" i="1"/>
  <c r="AQ170" i="1"/>
  <c r="BE170" i="1" s="1"/>
  <c r="AQ147" i="1"/>
  <c r="BE147" i="1" s="1"/>
  <c r="AQ144" i="1"/>
  <c r="BB124" i="1"/>
  <c r="BE124" i="1" s="1"/>
  <c r="BB113" i="1"/>
  <c r="BB175" i="1"/>
  <c r="BB159" i="1"/>
  <c r="BB155" i="1"/>
  <c r="BE155" i="1" s="1"/>
  <c r="BB152" i="1"/>
  <c r="BE152" i="1" s="1"/>
  <c r="BB144" i="1"/>
  <c r="AQ104" i="1"/>
  <c r="BE104" i="1" s="1"/>
  <c r="BB95" i="1"/>
  <c r="BB151" i="1"/>
  <c r="BB127" i="1"/>
  <c r="BB123" i="1"/>
  <c r="AQ121" i="1"/>
  <c r="BB119" i="1"/>
  <c r="BE119" i="1" s="1"/>
  <c r="BB161" i="1"/>
  <c r="BE161" i="1" s="1"/>
  <c r="AQ153" i="1"/>
  <c r="AQ141" i="1"/>
  <c r="BE141" i="1" s="1"/>
  <c r="BB132" i="1"/>
  <c r="BE132" i="1" s="1"/>
  <c r="AQ123" i="1"/>
  <c r="BE123" i="1" s="1"/>
  <c r="BB121" i="1"/>
  <c r="AQ163" i="1"/>
  <c r="BB160" i="1"/>
  <c r="BB135" i="1"/>
  <c r="BE135" i="1" s="1"/>
  <c r="AQ108" i="1"/>
  <c r="BE108" i="1" s="1"/>
  <c r="BB96" i="1"/>
  <c r="BB90" i="1"/>
  <c r="BB153" i="1"/>
  <c r="BB54" i="1" l="1"/>
  <c r="BE54" i="1" s="1"/>
  <c r="BA110" i="1"/>
  <c r="AZ110" i="1"/>
  <c r="AW110" i="1"/>
  <c r="BB150" i="1"/>
  <c r="BE42" i="1"/>
  <c r="BB60" i="1"/>
  <c r="BE60" i="1" s="1"/>
  <c r="BA114" i="1"/>
  <c r="AZ114" i="1"/>
  <c r="BB114" i="1" s="1"/>
  <c r="AW114" i="1"/>
  <c r="AL169" i="1"/>
  <c r="AO169" i="1"/>
  <c r="AP169" i="1"/>
  <c r="AO138" i="1"/>
  <c r="AL138" i="1"/>
  <c r="AP138" i="1"/>
  <c r="AQ168" i="1"/>
  <c r="AQ87" i="1"/>
  <c r="AL165" i="1"/>
  <c r="AO165" i="1"/>
  <c r="AP165" i="1"/>
  <c r="AO75" i="1"/>
  <c r="AP75" i="1"/>
  <c r="AL75" i="1"/>
  <c r="AN76" i="1" s="1"/>
  <c r="AL81" i="1"/>
  <c r="AN82" i="1" s="1"/>
  <c r="AP81" i="1"/>
  <c r="AO81" i="1"/>
  <c r="AO47" i="1"/>
  <c r="AL47" i="1"/>
  <c r="AP47" i="1"/>
  <c r="AO39" i="1"/>
  <c r="AL39" i="1"/>
  <c r="AN40" i="1" s="1"/>
  <c r="AP39" i="1"/>
  <c r="AP50" i="1"/>
  <c r="AL50" i="1"/>
  <c r="AO50" i="1"/>
  <c r="AQ50" i="1" s="1"/>
  <c r="AP90" i="1"/>
  <c r="AL90" i="1"/>
  <c r="AO90" i="1"/>
  <c r="AQ90" i="1" s="1"/>
  <c r="BE90" i="1" s="1"/>
  <c r="AQ63" i="1"/>
  <c r="BE63" i="1" s="1"/>
  <c r="AQ164" i="1"/>
  <c r="AQ65" i="1"/>
  <c r="BE65" i="1" s="1"/>
  <c r="AQ35" i="1"/>
  <c r="BE59" i="1"/>
  <c r="BB49" i="1"/>
  <c r="BE49" i="1" s="1"/>
  <c r="BE51" i="1"/>
  <c r="BE57" i="1"/>
  <c r="AW172" i="1"/>
  <c r="AY173" i="1" s="1"/>
  <c r="BA172" i="1"/>
  <c r="AZ172" i="1"/>
  <c r="BB172" i="1" s="1"/>
  <c r="AP160" i="1"/>
  <c r="AL160" i="1"/>
  <c r="AO160" i="1"/>
  <c r="AQ160" i="1" s="1"/>
  <c r="BE160" i="1" s="1"/>
  <c r="AZ145" i="1"/>
  <c r="AW145" i="1"/>
  <c r="AY146" i="1" s="1"/>
  <c r="BA145" i="1"/>
  <c r="AL126" i="1"/>
  <c r="AN127" i="1" s="1"/>
  <c r="AO126" i="1"/>
  <c r="AP126" i="1"/>
  <c r="AZ55" i="1"/>
  <c r="BA55" i="1"/>
  <c r="AW55" i="1"/>
  <c r="AY56" i="1" s="1"/>
  <c r="AQ36" i="1"/>
  <c r="BE36" i="1" s="1"/>
  <c r="AQ125" i="1"/>
  <c r="BE125" i="1" s="1"/>
  <c r="AQ81" i="1"/>
  <c r="BB37" i="1"/>
  <c r="BE37" i="1" s="1"/>
  <c r="AQ159" i="1"/>
  <c r="BE159" i="1" s="1"/>
  <c r="BB31" i="1"/>
  <c r="BE31" i="1" s="1"/>
  <c r="AL85" i="1"/>
  <c r="AP85" i="1"/>
  <c r="AO85" i="1"/>
  <c r="AP93" i="1"/>
  <c r="AO93" i="1"/>
  <c r="AQ93" i="1" s="1"/>
  <c r="BE93" i="1" s="1"/>
  <c r="AL93" i="1"/>
  <c r="AN94" i="1" s="1"/>
  <c r="AL44" i="1"/>
  <c r="AN45" i="1" s="1"/>
  <c r="AP44" i="1"/>
  <c r="AO44" i="1"/>
  <c r="AQ44" i="1" s="1"/>
  <c r="BE44" i="1" s="1"/>
  <c r="AL82" i="1"/>
  <c r="AN83" i="1" s="1"/>
  <c r="AP82" i="1"/>
  <c r="AO82" i="1"/>
  <c r="AQ154" i="1"/>
  <c r="BE154" i="1" s="1"/>
  <c r="AQ71" i="1"/>
  <c r="BE71" i="1" s="1"/>
  <c r="AQ74" i="1"/>
  <c r="BE74" i="1" s="1"/>
  <c r="AQ68" i="1"/>
  <c r="BE68" i="1" s="1"/>
  <c r="AQ85" i="1"/>
  <c r="BE143" i="1"/>
  <c r="AQ148" i="1"/>
  <c r="BE148" i="1" s="1"/>
  <c r="AL172" i="1"/>
  <c r="AN173" i="1" s="1"/>
  <c r="AP172" i="1"/>
  <c r="AO172" i="1"/>
  <c r="AO145" i="1"/>
  <c r="AP145" i="1"/>
  <c r="AL145" i="1"/>
  <c r="AN146" i="1" s="1"/>
  <c r="AL114" i="1"/>
  <c r="AP114" i="1"/>
  <c r="AO114" i="1"/>
  <c r="AO110" i="1"/>
  <c r="AL110" i="1"/>
  <c r="AP110" i="1"/>
  <c r="AP70" i="1"/>
  <c r="AL70" i="1"/>
  <c r="AO70" i="1"/>
  <c r="AQ70" i="1" s="1"/>
  <c r="BE70" i="1" s="1"/>
  <c r="AO55" i="1"/>
  <c r="AP55" i="1"/>
  <c r="AL55" i="1"/>
  <c r="AN56" i="1" s="1"/>
  <c r="AQ171" i="1"/>
  <c r="BE171" i="1" s="1"/>
  <c r="AQ113" i="1"/>
  <c r="BE113" i="1" s="1"/>
  <c r="AP150" i="1"/>
  <c r="AO150" i="1"/>
  <c r="AL150" i="1"/>
  <c r="AN151" i="1" s="1"/>
  <c r="AO33" i="1"/>
  <c r="AP33" i="1"/>
  <c r="AL33" i="1"/>
  <c r="BB134" i="1"/>
  <c r="BE134" i="1" s="1"/>
  <c r="AZ169" i="1"/>
  <c r="AW169" i="1"/>
  <c r="BA169" i="1"/>
  <c r="BA138" i="1"/>
  <c r="AZ138" i="1"/>
  <c r="BB138" i="1" s="1"/>
  <c r="AW138" i="1"/>
  <c r="AW130" i="1"/>
  <c r="AY131" i="1" s="1"/>
  <c r="BA130" i="1"/>
  <c r="AZ130" i="1"/>
  <c r="BB130" i="1" s="1"/>
  <c r="AZ97" i="1"/>
  <c r="AW97" i="1"/>
  <c r="AY98" i="1" s="1"/>
  <c r="BA97" i="1"/>
  <c r="AZ76" i="1"/>
  <c r="BA76" i="1"/>
  <c r="AW76" i="1"/>
  <c r="AY77" i="1" s="1"/>
  <c r="BA45" i="1"/>
  <c r="AZ45" i="1"/>
  <c r="AW45" i="1"/>
  <c r="AY46" i="1" s="1"/>
  <c r="AW40" i="1"/>
  <c r="AY41" i="1" s="1"/>
  <c r="AZ40" i="1"/>
  <c r="BA40" i="1"/>
  <c r="BB168" i="1"/>
  <c r="BE168" i="1" s="1"/>
  <c r="BB137" i="1"/>
  <c r="BE137" i="1" s="1"/>
  <c r="BB39" i="1"/>
  <c r="BE43" i="1"/>
  <c r="BB94" i="1"/>
  <c r="BB75" i="1"/>
  <c r="AZ92" i="1"/>
  <c r="AW92" i="1"/>
  <c r="BA92" i="1"/>
  <c r="BA50" i="1"/>
  <c r="AZ50" i="1"/>
  <c r="BB50" i="1" s="1"/>
  <c r="BE50" i="1" s="1"/>
  <c r="AW50" i="1"/>
  <c r="BA163" i="1"/>
  <c r="AZ163" i="1"/>
  <c r="BB163" i="1" s="1"/>
  <c r="BE163" i="1" s="1"/>
  <c r="AW163" i="1"/>
  <c r="AY164" i="1" s="1"/>
  <c r="BA73" i="1"/>
  <c r="AW73" i="1"/>
  <c r="AZ73" i="1"/>
  <c r="BB73" i="1" s="1"/>
  <c r="BE73" i="1" s="1"/>
  <c r="AZ26" i="1"/>
  <c r="BA26" i="1"/>
  <c r="AW26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BE22" i="1"/>
  <c r="BE24" i="1"/>
  <c r="BE153" i="1"/>
  <c r="BB142" i="1"/>
  <c r="BE142" i="1" s="1"/>
  <c r="BB72" i="1"/>
  <c r="BE72" i="1" s="1"/>
  <c r="BB35" i="1"/>
  <c r="AQ32" i="1"/>
  <c r="BC23" i="1"/>
  <c r="BC24" i="1" s="1"/>
  <c r="BC25" i="1" s="1"/>
  <c r="BE61" i="1"/>
  <c r="BE144" i="1"/>
  <c r="BE121" i="1"/>
  <c r="BE23" i="1"/>
  <c r="AQ150" i="1" l="1"/>
  <c r="BB110" i="1"/>
  <c r="BE150" i="1"/>
  <c r="BB45" i="1"/>
  <c r="AQ169" i="1"/>
  <c r="AP76" i="1"/>
  <c r="AO76" i="1"/>
  <c r="AQ76" i="1" s="1"/>
  <c r="AL76" i="1"/>
  <c r="AN77" i="1" s="1"/>
  <c r="AO40" i="1"/>
  <c r="AL40" i="1"/>
  <c r="AP40" i="1"/>
  <c r="BE35" i="1"/>
  <c r="AQ138" i="1"/>
  <c r="BE138" i="1" s="1"/>
  <c r="AQ165" i="1"/>
  <c r="AQ75" i="1"/>
  <c r="BE75" i="1" s="1"/>
  <c r="AQ47" i="1"/>
  <c r="AQ39" i="1"/>
  <c r="BE39" i="1" s="1"/>
  <c r="AL83" i="1"/>
  <c r="AP83" i="1"/>
  <c r="AO83" i="1"/>
  <c r="AQ83" i="1" s="1"/>
  <c r="AL56" i="1"/>
  <c r="AO56" i="1"/>
  <c r="AP56" i="1"/>
  <c r="AW173" i="1"/>
  <c r="BA173" i="1"/>
  <c r="AZ173" i="1"/>
  <c r="BB173" i="1" s="1"/>
  <c r="BA146" i="1"/>
  <c r="AZ146" i="1"/>
  <c r="BB146" i="1" s="1"/>
  <c r="AW146" i="1"/>
  <c r="AO127" i="1"/>
  <c r="AL127" i="1"/>
  <c r="AN128" i="1" s="1"/>
  <c r="AP127" i="1"/>
  <c r="AZ56" i="1"/>
  <c r="AW56" i="1"/>
  <c r="BA56" i="1"/>
  <c r="AL94" i="1"/>
  <c r="AN95" i="1" s="1"/>
  <c r="AO94" i="1"/>
  <c r="AP94" i="1"/>
  <c r="AO45" i="1"/>
  <c r="AP45" i="1"/>
  <c r="AL45" i="1"/>
  <c r="BB145" i="1"/>
  <c r="AQ126" i="1"/>
  <c r="BE126" i="1" s="1"/>
  <c r="BB55" i="1"/>
  <c r="AQ82" i="1"/>
  <c r="AQ172" i="1"/>
  <c r="BE172" i="1" s="1"/>
  <c r="AQ33" i="1"/>
  <c r="BE33" i="1" s="1"/>
  <c r="AP173" i="1"/>
  <c r="AO173" i="1"/>
  <c r="AQ173" i="1" s="1"/>
  <c r="BE173" i="1" s="1"/>
  <c r="AL173" i="1"/>
  <c r="AN174" i="1" s="1"/>
  <c r="AL146" i="1"/>
  <c r="AP146" i="1"/>
  <c r="AO146" i="1"/>
  <c r="AQ146" i="1" s="1"/>
  <c r="BE146" i="1" s="1"/>
  <c r="AP151" i="1"/>
  <c r="AO151" i="1"/>
  <c r="AL151" i="1"/>
  <c r="AQ145" i="1"/>
  <c r="BE145" i="1" s="1"/>
  <c r="AQ110" i="1"/>
  <c r="BE110" i="1" s="1"/>
  <c r="AQ55" i="1"/>
  <c r="AQ114" i="1"/>
  <c r="BE114" i="1" s="1"/>
  <c r="BB97" i="1"/>
  <c r="AZ131" i="1"/>
  <c r="AW131" i="1"/>
  <c r="BA131" i="1"/>
  <c r="AW98" i="1"/>
  <c r="AY99" i="1" s="1"/>
  <c r="BA98" i="1"/>
  <c r="AZ98" i="1"/>
  <c r="AW77" i="1"/>
  <c r="AY78" i="1" s="1"/>
  <c r="BA77" i="1"/>
  <c r="AZ77" i="1"/>
  <c r="BB77" i="1" s="1"/>
  <c r="AZ46" i="1"/>
  <c r="AW46" i="1"/>
  <c r="AY47" i="1" s="1"/>
  <c r="BA46" i="1"/>
  <c r="AZ41" i="1"/>
  <c r="AW41" i="1"/>
  <c r="BA41" i="1"/>
  <c r="BB169" i="1"/>
  <c r="BE169" i="1" s="1"/>
  <c r="BB76" i="1"/>
  <c r="BE76" i="1" s="1"/>
  <c r="BB40" i="1"/>
  <c r="BB92" i="1"/>
  <c r="BE92" i="1" s="1"/>
  <c r="AW164" i="1"/>
  <c r="AY165" i="1" s="1"/>
  <c r="BA164" i="1"/>
  <c r="AZ164" i="1"/>
  <c r="BF22" i="1"/>
  <c r="BF23" i="1" s="1"/>
  <c r="BF24" i="1" s="1"/>
  <c r="BF25" i="1" s="1"/>
  <c r="AR32" i="1"/>
  <c r="AR33" i="1" s="1"/>
  <c r="AR34" i="1" s="1"/>
  <c r="AR35" i="1" s="1"/>
  <c r="AR36" i="1" s="1"/>
  <c r="AR37" i="1" s="1"/>
  <c r="AR38" i="1" s="1"/>
  <c r="AR39" i="1" s="1"/>
  <c r="BB26" i="1"/>
  <c r="BE32" i="1"/>
  <c r="BB98" i="1" l="1"/>
  <c r="AO77" i="1"/>
  <c r="AL77" i="1"/>
  <c r="AP77" i="1"/>
  <c r="AQ40" i="1"/>
  <c r="AQ56" i="1"/>
  <c r="AQ151" i="1"/>
  <c r="BE151" i="1" s="1"/>
  <c r="AL128" i="1"/>
  <c r="AN129" i="1" s="1"/>
  <c r="AP128" i="1"/>
  <c r="AO128" i="1"/>
  <c r="AQ128" i="1" s="1"/>
  <c r="BE128" i="1" s="1"/>
  <c r="AP95" i="1"/>
  <c r="AL95" i="1"/>
  <c r="AN96" i="1" s="1"/>
  <c r="AO95" i="1"/>
  <c r="AQ95" i="1" s="1"/>
  <c r="BE95" i="1" s="1"/>
  <c r="AQ127" i="1"/>
  <c r="BE127" i="1" s="1"/>
  <c r="BB56" i="1"/>
  <c r="BE56" i="1" s="1"/>
  <c r="AQ94" i="1"/>
  <c r="BE94" i="1" s="1"/>
  <c r="AQ45" i="1"/>
  <c r="AO174" i="1"/>
  <c r="AP174" i="1"/>
  <c r="AL174" i="1"/>
  <c r="AN175" i="1" s="1"/>
  <c r="BE55" i="1"/>
  <c r="BB164" i="1"/>
  <c r="BE164" i="1" s="1"/>
  <c r="AZ99" i="1"/>
  <c r="AW99" i="1"/>
  <c r="AY100" i="1" s="1"/>
  <c r="BA99" i="1"/>
  <c r="AW78" i="1"/>
  <c r="AY79" i="1" s="1"/>
  <c r="BA78" i="1"/>
  <c r="AZ78" i="1"/>
  <c r="AW47" i="1"/>
  <c r="BA47" i="1"/>
  <c r="AZ47" i="1"/>
  <c r="AZ165" i="1"/>
  <c r="BA165" i="1"/>
  <c r="AW165" i="1"/>
  <c r="BB131" i="1"/>
  <c r="BE131" i="1" s="1"/>
  <c r="BB46" i="1"/>
  <c r="BE46" i="1" s="1"/>
  <c r="BB41" i="1"/>
  <c r="BE41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E26" i="1"/>
  <c r="AR40" i="1" l="1"/>
  <c r="AR41" i="1" s="1"/>
  <c r="AR42" i="1" s="1"/>
  <c r="AR43" i="1" s="1"/>
  <c r="AR44" i="1" s="1"/>
  <c r="BE40" i="1"/>
  <c r="AQ77" i="1"/>
  <c r="BE77" i="1" s="1"/>
  <c r="AP129" i="1"/>
  <c r="AO129" i="1"/>
  <c r="AL129" i="1"/>
  <c r="AN130" i="1" s="1"/>
  <c r="AL96" i="1"/>
  <c r="AN97" i="1" s="1"/>
  <c r="AP96" i="1"/>
  <c r="AO96" i="1"/>
  <c r="AR45" i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BE45" i="1"/>
  <c r="BB47" i="1"/>
  <c r="AP175" i="1"/>
  <c r="AL175" i="1"/>
  <c r="AN176" i="1" s="1"/>
  <c r="AO175" i="1"/>
  <c r="AQ174" i="1"/>
  <c r="BB78" i="1"/>
  <c r="AW100" i="1"/>
  <c r="AY101" i="1" s="1"/>
  <c r="BA100" i="1"/>
  <c r="AZ100" i="1"/>
  <c r="AZ79" i="1"/>
  <c r="BA79" i="1"/>
  <c r="AW79" i="1"/>
  <c r="AY80" i="1" s="1"/>
  <c r="BB99" i="1"/>
  <c r="BB165" i="1"/>
  <c r="BE165" i="1" s="1"/>
  <c r="BF26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B100" i="1" l="1"/>
  <c r="BE100" i="1" s="1"/>
  <c r="AL97" i="1"/>
  <c r="AN98" i="1" s="1"/>
  <c r="AO97" i="1"/>
  <c r="AP97" i="1"/>
  <c r="AQ175" i="1"/>
  <c r="BE175" i="1" s="1"/>
  <c r="AQ96" i="1"/>
  <c r="AQ129" i="1"/>
  <c r="BE129" i="1" s="1"/>
  <c r="AO130" i="1"/>
  <c r="AL130" i="1"/>
  <c r="AP130" i="1"/>
  <c r="BC47" i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E47" i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AP176" i="1"/>
  <c r="AL176" i="1"/>
  <c r="AO176" i="1"/>
  <c r="BE174" i="1"/>
  <c r="BE78" i="1"/>
  <c r="AW101" i="1"/>
  <c r="BA101" i="1"/>
  <c r="AZ101" i="1"/>
  <c r="BB101" i="1" s="1"/>
  <c r="BE101" i="1" s="1"/>
  <c r="AW80" i="1"/>
  <c r="AY81" i="1" s="1"/>
  <c r="BA80" i="1"/>
  <c r="AZ80" i="1"/>
  <c r="BB79" i="1"/>
  <c r="AL98" i="1" l="1"/>
  <c r="AN99" i="1" s="1"/>
  <c r="AO98" i="1"/>
  <c r="AP98" i="1"/>
  <c r="AQ97" i="1"/>
  <c r="BE97" i="1" s="1"/>
  <c r="AR96" i="1"/>
  <c r="AR97" i="1" s="1"/>
  <c r="BE96" i="1"/>
  <c r="BF78" i="1"/>
  <c r="AQ130" i="1"/>
  <c r="AQ176" i="1"/>
  <c r="BB80" i="1"/>
  <c r="BE80" i="1" s="1"/>
  <c r="AZ81" i="1"/>
  <c r="AW81" i="1"/>
  <c r="AY82" i="1" s="1"/>
  <c r="BA81" i="1"/>
  <c r="BE79" i="1"/>
  <c r="BC79" i="1"/>
  <c r="BC80" i="1" s="1"/>
  <c r="AP99" i="1" l="1"/>
  <c r="AO99" i="1"/>
  <c r="AQ99" i="1" s="1"/>
  <c r="BE99" i="1" s="1"/>
  <c r="AL99" i="1"/>
  <c r="AQ98" i="1"/>
  <c r="BE130" i="1"/>
  <c r="AQ14" i="1"/>
  <c r="AQ15" i="1"/>
  <c r="AQ19" i="1"/>
  <c r="BE176" i="1"/>
  <c r="BA82" i="1"/>
  <c r="AZ82" i="1"/>
  <c r="AW82" i="1"/>
  <c r="AY83" i="1" s="1"/>
  <c r="BF79" i="1"/>
  <c r="BF80" i="1" s="1"/>
  <c r="BB81" i="1"/>
  <c r="BB82" i="1" l="1"/>
  <c r="BE82" i="1" s="1"/>
  <c r="AR98" i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98" i="1"/>
  <c r="AQ16" i="1"/>
  <c r="AI1" i="1" s="1"/>
  <c r="BA83" i="1"/>
  <c r="AZ83" i="1"/>
  <c r="BB83" i="1" s="1"/>
  <c r="BE83" i="1" s="1"/>
  <c r="AW83" i="1"/>
  <c r="AY84" i="1" s="1"/>
  <c r="BC81" i="1"/>
  <c r="BC82" i="1" s="1"/>
  <c r="BE81" i="1"/>
  <c r="BC83" i="1" l="1"/>
  <c r="BA84" i="1"/>
  <c r="AZ84" i="1"/>
  <c r="BB84" i="1" s="1"/>
  <c r="AW84" i="1"/>
  <c r="AY85" i="1" s="1"/>
  <c r="BF81" i="1"/>
  <c r="BF82" i="1" s="1"/>
  <c r="BF83" i="1" s="1"/>
  <c r="BC84" i="1" l="1"/>
  <c r="BE84" i="1"/>
  <c r="AZ85" i="1"/>
  <c r="AW85" i="1"/>
  <c r="AY86" i="1" s="1"/>
  <c r="BA85" i="1"/>
  <c r="BF84" i="1" l="1"/>
  <c r="AW86" i="1"/>
  <c r="AY87" i="1" s="1"/>
  <c r="AZ86" i="1"/>
  <c r="BA86" i="1"/>
  <c r="BB85" i="1"/>
  <c r="BA87" i="1" l="1"/>
  <c r="AZ87" i="1"/>
  <c r="BB87" i="1" s="1"/>
  <c r="BE87" i="1" s="1"/>
  <c r="AW87" i="1"/>
  <c r="AY88" i="1" s="1"/>
  <c r="BC85" i="1"/>
  <c r="BE85" i="1"/>
  <c r="BB86" i="1"/>
  <c r="BE86" i="1" s="1"/>
  <c r="BA88" i="1" l="1"/>
  <c r="AZ88" i="1"/>
  <c r="BB88" i="1" s="1"/>
  <c r="AW88" i="1"/>
  <c r="BF85" i="1"/>
  <c r="BF86" i="1" s="1"/>
  <c r="BF87" i="1" s="1"/>
  <c r="BC86" i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5" i="1" l="1"/>
  <c r="BB14" i="1"/>
  <c r="BB19" i="1"/>
  <c r="BE88" i="1"/>
  <c r="BB16" i="1" l="1"/>
  <c r="AT1" i="1" s="1"/>
  <c r="BE18" i="1"/>
  <c r="BE15" i="1"/>
  <c r="BE14" i="1"/>
  <c r="BF88" i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<sst xmlns="http://schemas.openxmlformats.org/spreadsheetml/2006/main" count="74" uniqueCount="53">
  <si>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</si>
  <si>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BF A</t>
  </si>
  <si>
    <t>BF B</t>
  </si>
  <si>
    <t>BF A log rtn</t>
  </si>
  <si>
    <t>BF B log rtn</t>
  </si>
  <si>
    <t>BF A div</t>
  </si>
  <si>
    <t>BF A div cumsum</t>
  </si>
  <si>
    <t>BF B div</t>
  </si>
  <si>
    <t>BF B div cumsum</t>
  </si>
  <si>
    <t>BF A div adjustment</t>
  </si>
  <si>
    <t>BF B div adjustment</t>
  </si>
  <si>
    <t>BF A*</t>
  </si>
  <si>
    <t>BF 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</si>
  <si>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</si>
  <si>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</si>
  <si>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</si>
  <si>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</si>
  <si>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</si>
  <si>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</si>
  <si>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</si>
  <si>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</si>
  <si>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</si>
  <si>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</si>
  <si>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</si>
  <si>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</si>
  <si>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</si>
  <si>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</si>
  <si>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</si>
  <si>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</si>
  <si>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</si>
  <si>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</si>
  <si>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</si>
  <si>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</si>
  <si>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BF A/BF B</t>
  </si>
  <si>
    <t>BF A/BF B avg</t>
  </si>
  <si>
    <t>BF A/BF B 10 dma</t>
  </si>
  <si>
    <t>BF A/BF B 20 dma</t>
  </si>
  <si>
    <t>BF B x avg</t>
  </si>
  <si>
    <t>BF B x 10 dma</t>
  </si>
  <si>
    <t>BF B x 20 dma</t>
  </si>
  <si>
    <t>log diff BF B x avg / BF A</t>
  </si>
  <si>
    <t>log diff BF B x 10 dma / BF A</t>
  </si>
  <si>
    <t>log diff BF B x 20 dma / BF A</t>
  </si>
  <si>
    <t>BF A*/BF B*</t>
  </si>
  <si>
    <t>BF A*/BF B* avg</t>
  </si>
  <si>
    <t>BF A*/BF B* 10 dma</t>
  </si>
  <si>
    <t>BF A*/BF B* 20 dma</t>
  </si>
  <si>
    <t>BF B* x avg</t>
  </si>
  <si>
    <t>BF B* x 10 dma</t>
  </si>
  <si>
    <t>BF B* x 20 dma</t>
  </si>
  <si>
    <t>log diff BF B* x avg / BF A*</t>
  </si>
  <si>
    <t>log diff BF B* x 10 dma / BF A*</t>
  </si>
  <si>
    <t>log diff BF B* x 20 dma / BF 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</si>
</sst>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BF A/BF 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1.01735801017489</c:v>
                </c:pt>
                <c:pt idx="1">
                  <c:v>1.01735801017489</c:v>
                </c:pt>
                <c:pt idx="2">
                  <c:v>1.01735801017489</c:v>
                </c:pt>
                <c:pt idx="3">
                  <c:v>1.01735801017489</c:v>
                </c:pt>
                <c:pt idx="4">
                  <c:v>1.01735801017489</c:v>
                </c:pt>
                <c:pt idx="5">
                  <c:v>1.01735801017489</c:v>
                </c:pt>
                <c:pt idx="6">
                  <c:v>1.01735801017489</c:v>
                </c:pt>
                <c:pt idx="7">
                  <c:v>1.01735801017489</c:v>
                </c:pt>
                <c:pt idx="8">
                  <c:v>1.01735801017489</c:v>
                </c:pt>
                <c:pt idx="9">
                  <c:v>1.01735801017489</c:v>
                </c:pt>
                <c:pt idx="10">
                  <c:v>1.01735801017489</c:v>
                </c:pt>
                <c:pt idx="11">
                  <c:v>1.01735801017489</c:v>
                </c:pt>
                <c:pt idx="12">
                  <c:v>1.01735801017489</c:v>
                </c:pt>
                <c:pt idx="13">
                  <c:v>1.01735801017489</c:v>
                </c:pt>
                <c:pt idx="14">
                  <c:v>1.01735801017489</c:v>
                </c:pt>
                <c:pt idx="15">
                  <c:v>1.01735801017489</c:v>
                </c:pt>
                <c:pt idx="16">
                  <c:v>1.01735801017489</c:v>
                </c:pt>
                <c:pt idx="17">
                  <c:v>1.01735801017489</c:v>
                </c:pt>
                <c:pt idx="18">
                  <c:v>1.01735801017489</c:v>
                </c:pt>
                <c:pt idx="19">
                  <c:v>1.01735801017489</c:v>
                </c:pt>
                <c:pt idx="20">
                  <c:v>1.01735801017489</c:v>
                </c:pt>
                <c:pt idx="21">
                  <c:v>1.01735801017489</c:v>
                </c:pt>
                <c:pt idx="22">
                  <c:v>1.01735801017489</c:v>
                </c:pt>
                <c:pt idx="23">
                  <c:v>1.01735801017489</c:v>
                </c:pt>
                <c:pt idx="24">
                  <c:v>1.01735801017489</c:v>
                </c:pt>
                <c:pt idx="25">
                  <c:v>1.01735801017489</c:v>
                </c:pt>
                <c:pt idx="26">
                  <c:v>1.01735801017489</c:v>
                </c:pt>
                <c:pt idx="27">
                  <c:v>1.01735801017489</c:v>
                </c:pt>
                <c:pt idx="28">
                  <c:v>1.01735801017489</c:v>
                </c:pt>
                <c:pt idx="29">
                  <c:v>1.01735801017489</c:v>
                </c:pt>
                <c:pt idx="30">
                  <c:v>1.01735801017489</c:v>
                </c:pt>
                <c:pt idx="31">
                  <c:v>1.01735801017489</c:v>
                </c:pt>
                <c:pt idx="32">
                  <c:v>1.01735801017489</c:v>
                </c:pt>
                <c:pt idx="33">
                  <c:v>1.01735801017489</c:v>
                </c:pt>
                <c:pt idx="34">
                  <c:v>1.01735801017489</c:v>
                </c:pt>
                <c:pt idx="35">
                  <c:v>1.01735801017489</c:v>
                </c:pt>
                <c:pt idx="36">
                  <c:v>1.01735801017489</c:v>
                </c:pt>
                <c:pt idx="37">
                  <c:v>1.01735801017489</c:v>
                </c:pt>
                <c:pt idx="38">
                  <c:v>1.01735801017489</c:v>
                </c:pt>
                <c:pt idx="39">
                  <c:v>1.01735801017489</c:v>
                </c:pt>
                <c:pt idx="40">
                  <c:v>1.01735801017489</c:v>
                </c:pt>
                <c:pt idx="41">
                  <c:v>1.01735801017489</c:v>
                </c:pt>
                <c:pt idx="42">
                  <c:v>1.01735801017489</c:v>
                </c:pt>
                <c:pt idx="43">
                  <c:v>1.01735801017489</c:v>
                </c:pt>
                <c:pt idx="44">
                  <c:v>1.01735801017489</c:v>
                </c:pt>
                <c:pt idx="45">
                  <c:v>1.01735801017489</c:v>
                </c:pt>
                <c:pt idx="46">
                  <c:v>1.01735801017489</c:v>
                </c:pt>
                <c:pt idx="47">
                  <c:v>1.01735801017489</c:v>
                </c:pt>
                <c:pt idx="48">
                  <c:v>1.01735801017489</c:v>
                </c:pt>
                <c:pt idx="49">
                  <c:v>1.01735801017489</c:v>
                </c:pt>
                <c:pt idx="50">
                  <c:v>1.01735801017489</c:v>
                </c:pt>
                <c:pt idx="51">
                  <c:v>1.01735801017489</c:v>
                </c:pt>
                <c:pt idx="52">
                  <c:v>1.01735801017489</c:v>
                </c:pt>
                <c:pt idx="53">
                  <c:v>1.01735801017489</c:v>
                </c:pt>
                <c:pt idx="54">
                  <c:v>1.01735801017489</c:v>
                </c:pt>
                <c:pt idx="55">
                  <c:v>1.01735801017489</c:v>
                </c:pt>
                <c:pt idx="56">
                  <c:v>1.01735801017489</c:v>
                </c:pt>
                <c:pt idx="57">
                  <c:v>1.01735801017489</c:v>
                </c:pt>
                <c:pt idx="58">
                  <c:v>1.01735801017489</c:v>
                </c:pt>
                <c:pt idx="59">
                  <c:v>1.01735801017489</c:v>
                </c:pt>
                <c:pt idx="60">
                  <c:v>1.01735801017489</c:v>
                </c:pt>
                <c:pt idx="61">
                  <c:v>1.01735801017489</c:v>
                </c:pt>
                <c:pt idx="62">
                  <c:v>1.01735801017489</c:v>
                </c:pt>
                <c:pt idx="63">
                  <c:v>1.01735801017489</c:v>
                </c:pt>
                <c:pt idx="64">
                  <c:v>1.01735801017489</c:v>
                </c:pt>
                <c:pt idx="65">
                  <c:v>1.01735801017489</c:v>
                </c:pt>
                <c:pt idx="66">
                  <c:v>1.01735801017489</c:v>
                </c:pt>
                <c:pt idx="67">
                  <c:v>1.01735801017489</c:v>
                </c:pt>
                <c:pt idx="68">
                  <c:v>1.01735801017489</c:v>
                </c:pt>
                <c:pt idx="69">
                  <c:v>1.01735801017489</c:v>
                </c:pt>
                <c:pt idx="70">
                  <c:v>1.01735801017489</c:v>
                </c:pt>
                <c:pt idx="71">
                  <c:v>1.01735801017489</c:v>
                </c:pt>
                <c:pt idx="72">
                  <c:v>1.01735801017489</c:v>
                </c:pt>
                <c:pt idx="73">
                  <c:v>1.01735801017489</c:v>
                </c:pt>
                <c:pt idx="74">
                  <c:v>1.01735801017489</c:v>
                </c:pt>
                <c:pt idx="75">
                  <c:v>1.01735801017489</c:v>
                </c:pt>
                <c:pt idx="76">
                  <c:v>1.01735801017489</c:v>
                </c:pt>
                <c:pt idx="77">
                  <c:v>1.01735801017489</c:v>
                </c:pt>
                <c:pt idx="78">
                  <c:v>1.01735801017489</c:v>
                </c:pt>
                <c:pt idx="79">
                  <c:v>1.01735801017489</c:v>
                </c:pt>
                <c:pt idx="80">
                  <c:v>1.01735801017489</c:v>
                </c:pt>
                <c:pt idx="81">
                  <c:v>1.01735801017489</c:v>
                </c:pt>
                <c:pt idx="82">
                  <c:v>1.01735801017489</c:v>
                </c:pt>
                <c:pt idx="83">
                  <c:v>1.01735801017489</c:v>
                </c:pt>
                <c:pt idx="84">
                  <c:v>1.01735801017489</c:v>
                </c:pt>
                <c:pt idx="85">
                  <c:v>1.01735801017489</c:v>
                </c:pt>
                <c:pt idx="86">
                  <c:v>1.01735801017489</c:v>
                </c:pt>
                <c:pt idx="87">
                  <c:v>1.01735801017489</c:v>
                </c:pt>
                <c:pt idx="88">
                  <c:v>1.01735801017489</c:v>
                </c:pt>
                <c:pt idx="89">
                  <c:v>1.01735801017489</c:v>
                </c:pt>
                <c:pt idx="90">
                  <c:v>1.01735801017489</c:v>
                </c:pt>
                <c:pt idx="91">
                  <c:v>1.01735801017489</c:v>
                </c:pt>
                <c:pt idx="92">
                  <c:v>1.01735801017489</c:v>
                </c:pt>
                <c:pt idx="93">
                  <c:v>1.01735801017489</c:v>
                </c:pt>
                <c:pt idx="94">
                  <c:v>1.01735801017489</c:v>
                </c:pt>
                <c:pt idx="95">
                  <c:v>1.01735801017489</c:v>
                </c:pt>
                <c:pt idx="96">
                  <c:v>1.01735801017489</c:v>
                </c:pt>
                <c:pt idx="97">
                  <c:v>1.01735801017489</c:v>
                </c:pt>
                <c:pt idx="98">
                  <c:v>1.01735801017489</c:v>
                </c:pt>
                <c:pt idx="99">
                  <c:v>1.01735801017489</c:v>
                </c:pt>
                <c:pt idx="100">
                  <c:v>1.01735801017489</c:v>
                </c:pt>
                <c:pt idx="101">
                  <c:v>1.01735801017489</c:v>
                </c:pt>
                <c:pt idx="102">
                  <c:v>1.01735801017489</c:v>
                </c:pt>
                <c:pt idx="103">
                  <c:v>1.01735801017489</c:v>
                </c:pt>
                <c:pt idx="104">
                  <c:v>1.01735801017489</c:v>
                </c:pt>
                <c:pt idx="105">
                  <c:v>1.01735801017489</c:v>
                </c:pt>
                <c:pt idx="106">
                  <c:v>1.01735801017489</c:v>
                </c:pt>
                <c:pt idx="107">
                  <c:v>1.01735801017489</c:v>
                </c:pt>
                <c:pt idx="108">
                  <c:v>1.01735801017489</c:v>
                </c:pt>
                <c:pt idx="109">
                  <c:v>1.01735801017489</c:v>
                </c:pt>
                <c:pt idx="110">
                  <c:v>1.01735801017489</c:v>
                </c:pt>
                <c:pt idx="111">
                  <c:v>1.01735801017489</c:v>
                </c:pt>
                <c:pt idx="112">
                  <c:v>1.01735801017489</c:v>
                </c:pt>
                <c:pt idx="113">
                  <c:v>1.01735801017489</c:v>
                </c:pt>
                <c:pt idx="114">
                  <c:v>1.01735801017489</c:v>
                </c:pt>
                <c:pt idx="115">
                  <c:v>1.01735801017489</c:v>
                </c:pt>
                <c:pt idx="116">
                  <c:v>1.01735801017489</c:v>
                </c:pt>
                <c:pt idx="117">
                  <c:v>1.01735801017489</c:v>
                </c:pt>
                <c:pt idx="118">
                  <c:v>1.01735801017489</c:v>
                </c:pt>
                <c:pt idx="119">
                  <c:v>1.01735801017489</c:v>
                </c:pt>
                <c:pt idx="120">
                  <c:v>1.01735801017489</c:v>
                </c:pt>
                <c:pt idx="121">
                  <c:v>1.01735801017489</c:v>
                </c:pt>
                <c:pt idx="122">
                  <c:v>1.01735801017489</c:v>
                </c:pt>
                <c:pt idx="123">
                  <c:v>1.01735801017489</c:v>
                </c:pt>
                <c:pt idx="124">
                  <c:v>1.01735801017489</c:v>
                </c:pt>
                <c:pt idx="125">
                  <c:v>1.01735801017489</c:v>
                </c:pt>
                <c:pt idx="126">
                  <c:v>1.01735801017489</c:v>
                </c:pt>
                <c:pt idx="127">
                  <c:v>1.01735801017489</c:v>
                </c:pt>
                <c:pt idx="128">
                  <c:v>1.01735801017489</c:v>
                </c:pt>
                <c:pt idx="129">
                  <c:v>1.01735801017489</c:v>
                </c:pt>
                <c:pt idx="130">
                  <c:v>1.01735801017489</c:v>
                </c:pt>
                <c:pt idx="131">
                  <c:v>1.01735801017489</c:v>
                </c:pt>
                <c:pt idx="132">
                  <c:v>1.01735801017489</c:v>
                </c:pt>
                <c:pt idx="133">
                  <c:v>1.01735801017489</c:v>
                </c:pt>
                <c:pt idx="134">
                  <c:v>1.01735801017489</c:v>
                </c:pt>
                <c:pt idx="135">
                  <c:v>1.01735801017489</c:v>
                </c:pt>
                <c:pt idx="136">
                  <c:v>1.01735801017489</c:v>
                </c:pt>
                <c:pt idx="137">
                  <c:v>1.01735801017489</c:v>
                </c:pt>
                <c:pt idx="138">
                  <c:v>1.01735801017489</c:v>
                </c:pt>
                <c:pt idx="139">
                  <c:v>1.01735801017489</c:v>
                </c:pt>
                <c:pt idx="140">
                  <c:v>1.01735801017489</c:v>
                </c:pt>
                <c:pt idx="141">
                  <c:v>1.01735801017489</c:v>
                </c:pt>
                <c:pt idx="142">
                  <c:v>1.01735801017489</c:v>
                </c:pt>
                <c:pt idx="143">
                  <c:v>1.01735801017489</c:v>
                </c:pt>
                <c:pt idx="144">
                  <c:v>1.01735801017489</c:v>
                </c:pt>
                <c:pt idx="145">
                  <c:v>1.01735801017489</c:v>
                </c:pt>
                <c:pt idx="146">
                  <c:v>1.01735801017489</c:v>
                </c:pt>
                <c:pt idx="147">
                  <c:v>1.01735801017489</c:v>
                </c:pt>
                <c:pt idx="148">
                  <c:v>1.01735801017489</c:v>
                </c:pt>
                <c:pt idx="149">
                  <c:v>1.01735801017489</c:v>
                </c:pt>
                <c:pt idx="150">
                  <c:v>1.01735801017489</c:v>
                </c:pt>
                <c:pt idx="151">
                  <c:v>1.01735801017489</c:v>
                </c:pt>
                <c:pt idx="152">
                  <c:v>1.01735801017489</c:v>
                </c:pt>
                <c:pt idx="153">
                  <c:v>1.01735801017489</c:v>
                </c:pt>
                <c:pt idx="154">
                  <c:v>1.01735801017489</c:v>
                </c:pt>
                <c:pt idx="155">
                  <c:v>1.01735801017489</c:v>
                </c:pt>
                <c:pt idx="156">
                  <c:v>1.01735801017489</c:v>
                </c:pt>
                <c:pt idx="157">
                  <c:v>1.01735801017489</c:v>
                </c:pt>
                <c:pt idx="158">
                  <c:v>1.01735801017489</c:v>
                </c:pt>
                <c:pt idx="159">
                  <c:v>1.01735801017489</c:v>
                </c:pt>
                <c:pt idx="160">
                  <c:v>1.01735801017489</c:v>
                </c:pt>
                <c:pt idx="161">
                  <c:v>1.01735801017489</c:v>
                </c:pt>
                <c:pt idx="162">
                  <c:v>1.01735801017489</c:v>
                </c:pt>
                <c:pt idx="163">
                  <c:v>1.01735801017489</c:v>
                </c:pt>
                <c:pt idx="164">
                  <c:v>1.01735801017489</c:v>
                </c:pt>
                <c:pt idx="165">
                  <c:v>1.01735801017489</c:v>
                </c:pt>
                <c:pt idx="166">
                  <c:v>1.01735801017489</c:v>
                </c:pt>
                <c:pt idx="167">
                  <c:v>1.01735801017489</c:v>
                </c:pt>
                <c:pt idx="168">
                  <c:v>1.01735801017489</c:v>
                </c:pt>
                <c:pt idx="169">
                  <c:v>1.01735801017489</c:v>
                </c:pt>
                <c:pt idx="170">
                  <c:v>1.01735801017489</c:v>
                </c:pt>
                <c:pt idx="171">
                  <c:v>1.01735801017489</c:v>
                </c:pt>
                <c:pt idx="172">
                  <c:v>1.01735801017489</c:v>
                </c:pt>
                <c:pt idx="173">
                  <c:v>1.01735801017489</c:v>
                </c:pt>
                <c:pt idx="174">
                  <c:v>1.01735801017489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0-4CA3-91BD-2393C15DA9A9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BF A/BF 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1.00726169307082</c:v>
                </c:pt>
                <c:pt idx="10">
                  <c:v>1.0077889820277199</c:v>
                </c:pt>
                <c:pt idx="11">
                  <c:v>1.00808262361228</c:v>
                </c:pt>
                <c:pt idx="12">
                  <c:v>1.00804343399609</c:v>
                </c:pt>
                <c:pt idx="13">
                  <c:v>1.0084074886805601</c:v>
                </c:pt>
                <c:pt idx="14">
                  <c:v>1.00879762056891</c:v>
                </c:pt>
                <c:pt idx="15">
                  <c:v>1.0091642919388399</c:v>
                </c:pt>
                <c:pt idx="16">
                  <c:v>1.00964506886065</c:v>
                </c:pt>
                <c:pt idx="17">
                  <c:v>1.01002711420095</c:v>
                </c:pt>
                <c:pt idx="18">
                  <c:v>1.0109634524909099</c:v>
                </c:pt>
                <c:pt idx="19">
                  <c:v>1.01180532096696</c:v>
                </c:pt>
                <c:pt idx="20">
                  <c:v>1.01266815282537</c:v>
                </c:pt>
                <c:pt idx="21">
                  <c:v>1.0132724654808101</c:v>
                </c:pt>
                <c:pt idx="22">
                  <c:v>1.01423916164075</c:v>
                </c:pt>
                <c:pt idx="23">
                  <c:v>1.01471837881678</c:v>
                </c:pt>
                <c:pt idx="24">
                  <c:v>1.0149568334250001</c:v>
                </c:pt>
                <c:pt idx="25">
                  <c:v>1.0155974522604401</c:v>
                </c:pt>
                <c:pt idx="26">
                  <c:v>1.01562344232127</c:v>
                </c:pt>
                <c:pt idx="27">
                  <c:v>1.0149418273725901</c:v>
                </c:pt>
                <c:pt idx="28">
                  <c:v>1.0139347766600599</c:v>
                </c:pt>
                <c:pt idx="29">
                  <c:v>1.01315560689533</c:v>
                </c:pt>
                <c:pt idx="30">
                  <c:v>1.0121087923529399</c:v>
                </c:pt>
                <c:pt idx="31">
                  <c:v>1.0118343086399899</c:v>
                </c:pt>
                <c:pt idx="32">
                  <c:v>1.0120316135858001</c:v>
                </c:pt>
                <c:pt idx="33">
                  <c:v>1.0116453382389301</c:v>
                </c:pt>
                <c:pt idx="34">
                  <c:v>1.01201064479735</c:v>
                </c:pt>
                <c:pt idx="35">
                  <c:v>1.01182779091186</c:v>
                </c:pt>
                <c:pt idx="36">
                  <c:v>1.01248548165907</c:v>
                </c:pt>
                <c:pt idx="37">
                  <c:v>1.0135312455407499</c:v>
                </c:pt>
                <c:pt idx="38">
                  <c:v>1.0147094596958099</c:v>
                </c:pt>
                <c:pt idx="39">
                  <c:v>1.01533308717431</c:v>
                </c:pt>
                <c:pt idx="40">
                  <c:v>1.01596350900985</c:v>
                </c:pt>
                <c:pt idx="41">
                  <c:v>1.0168125721099499</c:v>
                </c:pt>
                <c:pt idx="42">
                  <c:v>1.01733356865052</c:v>
                </c:pt>
                <c:pt idx="43">
                  <c:v>1.0180667504949901</c:v>
                </c:pt>
                <c:pt idx="44">
                  <c:v>1.0185815393623501</c:v>
                </c:pt>
                <c:pt idx="45">
                  <c:v>1.01863768249238</c:v>
                </c:pt>
                <c:pt idx="46">
                  <c:v>1.0184671813624699</c:v>
                </c:pt>
                <c:pt idx="47">
                  <c:v>1.0186413277074999</c:v>
                </c:pt>
                <c:pt idx="48">
                  <c:v>1.0184413930248</c:v>
                </c:pt>
                <c:pt idx="49">
                  <c:v>1.01873602040782</c:v>
                </c:pt>
                <c:pt idx="50">
                  <c:v>1.01914091314971</c:v>
                </c:pt>
                <c:pt idx="51">
                  <c:v>1.0181528061571301</c:v>
                </c:pt>
                <c:pt idx="52">
                  <c:v>1.0171334866845201</c:v>
                </c:pt>
                <c:pt idx="53">
                  <c:v>1.0175578105583301</c:v>
                </c:pt>
                <c:pt idx="54">
                  <c:v>1.01730627611056</c:v>
                </c:pt>
                <c:pt idx="55">
                  <c:v>1.01752522900461</c:v>
                </c:pt>
                <c:pt idx="56">
                  <c:v>1.0172849700473201</c:v>
                </c:pt>
                <c:pt idx="57">
                  <c:v>1.0160455578196099</c:v>
                </c:pt>
                <c:pt idx="58">
                  <c:v>1.0145129907698001</c:v>
                </c:pt>
                <c:pt idx="59">
                  <c:v>1.0135168949541</c:v>
                </c:pt>
                <c:pt idx="60">
                  <c:v>1.0131559816183899</c:v>
                </c:pt>
                <c:pt idx="61">
                  <c:v>1.0132556627112499</c:v>
                </c:pt>
                <c:pt idx="62">
                  <c:v>1.01332548954743</c:v>
                </c:pt>
                <c:pt idx="63">
                  <c:v>1.01253478523333</c:v>
                </c:pt>
                <c:pt idx="64">
                  <c:v>1.01110554385923</c:v>
                </c:pt>
                <c:pt idx="65">
                  <c:v>1.0109526476522299</c:v>
                </c:pt>
                <c:pt idx="66">
                  <c:v>1.0096318696942601</c:v>
                </c:pt>
                <c:pt idx="67">
                  <c:v>1.00937272452158</c:v>
                </c:pt>
                <c:pt idx="68">
                  <c:v>1.01046599408086</c:v>
                </c:pt>
                <c:pt idx="69">
                  <c:v>1.01121713568048</c:v>
                </c:pt>
                <c:pt idx="70">
                  <c:v>1.01161810479042</c:v>
                </c:pt>
                <c:pt idx="71">
                  <c:v>1.0113840668849401</c:v>
                </c:pt>
                <c:pt idx="72">
                  <c:v>1.01210274725236</c:v>
                </c:pt>
                <c:pt idx="73">
                  <c:v>1.01258529481093</c:v>
                </c:pt>
                <c:pt idx="74">
                  <c:v>1.0142521743655</c:v>
                </c:pt>
                <c:pt idx="75">
                  <c:v>1.0142279716738301</c:v>
                </c:pt>
                <c:pt idx="76">
                  <c:v>1.0157972371512201</c:v>
                </c:pt>
                <c:pt idx="77">
                  <c:v>1.0171692005861299</c:v>
                </c:pt>
                <c:pt idx="78">
                  <c:v>1.0179969168912999</c:v>
                </c:pt>
                <c:pt idx="79">
                  <c:v>1.0188382695296501</c:v>
                </c:pt>
                <c:pt idx="80">
                  <c:v>1.01924463015308</c:v>
                </c:pt>
                <c:pt idx="81">
                  <c:v>1.02013745695322</c:v>
                </c:pt>
                <c:pt idx="82">
                  <c:v>1.02061350197307</c:v>
                </c:pt>
                <c:pt idx="83">
                  <c:v>1.02062467234537</c:v>
                </c:pt>
                <c:pt idx="84">
                  <c:v>1.0207149137440901</c:v>
                </c:pt>
                <c:pt idx="85">
                  <c:v>1.0212503027341799</c:v>
                </c:pt>
                <c:pt idx="86">
                  <c:v>1.0223789923297499</c:v>
                </c:pt>
                <c:pt idx="87">
                  <c:v>1.02275157049511</c:v>
                </c:pt>
                <c:pt idx="88">
                  <c:v>1.02317870240927</c:v>
                </c:pt>
                <c:pt idx="89">
                  <c:v>1.0237369442116799</c:v>
                </c:pt>
                <c:pt idx="90">
                  <c:v>1.0248933243609299</c:v>
                </c:pt>
                <c:pt idx="91">
                  <c:v>1.0259039301666599</c:v>
                </c:pt>
                <c:pt idx="92">
                  <c:v>1.0271531122992399</c:v>
                </c:pt>
                <c:pt idx="93">
                  <c:v>1.0284398229932501</c:v>
                </c:pt>
                <c:pt idx="94">
                  <c:v>1.0291637388677499</c:v>
                </c:pt>
                <c:pt idx="95">
                  <c:v>1.0301321860563399</c:v>
                </c:pt>
                <c:pt idx="96">
                  <c:v>1.0302478983560099</c:v>
                </c:pt>
                <c:pt idx="97">
                  <c:v>1.0308065181327399</c:v>
                </c:pt>
                <c:pt idx="98">
                  <c:v>1.03145288419968</c:v>
                </c:pt>
                <c:pt idx="99">
                  <c:v>1.0314854256995301</c:v>
                </c:pt>
                <c:pt idx="100">
                  <c:v>1.03120258642197</c:v>
                </c:pt>
                <c:pt idx="101">
                  <c:v>1.0321398403468101</c:v>
                </c:pt>
                <c:pt idx="102">
                  <c:v>1.0312865900041901</c:v>
                </c:pt>
                <c:pt idx="103">
                  <c:v>1.0313804839210201</c:v>
                </c:pt>
                <c:pt idx="104">
                  <c:v>1.0315600472350099</c:v>
                </c:pt>
                <c:pt idx="105">
                  <c:v>1.03177821699872</c:v>
                </c:pt>
                <c:pt idx="106">
                  <c:v>1.0306936118041701</c:v>
                </c:pt>
                <c:pt idx="107">
                  <c:v>1.0296450617239099</c:v>
                </c:pt>
                <c:pt idx="108">
                  <c:v>1.0281096126707301</c:v>
                </c:pt>
                <c:pt idx="109">
                  <c:v>1.02630885526164</c:v>
                </c:pt>
                <c:pt idx="110">
                  <c:v>1.0254781458089699</c:v>
                </c:pt>
                <c:pt idx="111">
                  <c:v>1.02299515033986</c:v>
                </c:pt>
                <c:pt idx="112">
                  <c:v>1.0209129751475099</c:v>
                </c:pt>
                <c:pt idx="113">
                  <c:v>1.0178430142311601</c:v>
                </c:pt>
                <c:pt idx="114">
                  <c:v>1.01473197221843</c:v>
                </c:pt>
                <c:pt idx="115">
                  <c:v>1.0114326792097901</c:v>
                </c:pt>
                <c:pt idx="116">
                  <c:v>1.0095167366833</c:v>
                </c:pt>
                <c:pt idx="117">
                  <c:v>1.0075867303075201</c:v>
                </c:pt>
                <c:pt idx="118">
                  <c:v>1.0070989185367301</c:v>
                </c:pt>
                <c:pt idx="119">
                  <c:v>1.0075545865666</c:v>
                </c:pt>
                <c:pt idx="120">
                  <c:v>1.0077411885445799</c:v>
                </c:pt>
                <c:pt idx="121">
                  <c:v>1.0082092557934701</c:v>
                </c:pt>
                <c:pt idx="122">
                  <c:v>1.01009391087439</c:v>
                </c:pt>
                <c:pt idx="123">
                  <c:v>1.0124270045870301</c:v>
                </c:pt>
                <c:pt idx="124">
                  <c:v>1.01468138225508</c:v>
                </c:pt>
                <c:pt idx="125">
                  <c:v>1.01743866380848</c:v>
                </c:pt>
                <c:pt idx="126">
                  <c:v>1.0196443206719401</c:v>
                </c:pt>
                <c:pt idx="127">
                  <c:v>1.02185741600361</c:v>
                </c:pt>
                <c:pt idx="128">
                  <c:v>1.02274979329924</c:v>
                </c:pt>
                <c:pt idx="129">
                  <c:v>1.02273104637771</c:v>
                </c:pt>
                <c:pt idx="130">
                  <c:v>1.0219705313562499</c:v>
                </c:pt>
                <c:pt idx="131">
                  <c:v>1.0224888333287301</c:v>
                </c:pt>
                <c:pt idx="132">
                  <c:v>1.0214202007345199</c:v>
                </c:pt>
                <c:pt idx="133">
                  <c:v>1.0203667619588801</c:v>
                </c:pt>
                <c:pt idx="134">
                  <c:v>1.02022330125636</c:v>
                </c:pt>
                <c:pt idx="135">
                  <c:v>1.01981361531068</c:v>
                </c:pt>
                <c:pt idx="136">
                  <c:v>1.0192476218103399</c:v>
                </c:pt>
                <c:pt idx="137">
                  <c:v>1.0188531735781501</c:v>
                </c:pt>
                <c:pt idx="138">
                  <c:v>1.0191296510819501</c:v>
                </c:pt>
                <c:pt idx="139">
                  <c:v>1.0199021924642799</c:v>
                </c:pt>
                <c:pt idx="140">
                  <c:v>1.0202364990336199</c:v>
                </c:pt>
                <c:pt idx="141">
                  <c:v>1.0191903031941401</c:v>
                </c:pt>
                <c:pt idx="142">
                  <c:v>1.0187804075415301</c:v>
                </c:pt>
                <c:pt idx="143">
                  <c:v>1.0184806053431099</c:v>
                </c:pt>
                <c:pt idx="144">
                  <c:v>1.0180360223487099</c:v>
                </c:pt>
                <c:pt idx="145">
                  <c:v>1.01680313368093</c:v>
                </c:pt>
                <c:pt idx="146">
                  <c:v>1.0164232819742001</c:v>
                </c:pt>
                <c:pt idx="147">
                  <c:v>1.0156602426893699</c:v>
                </c:pt>
                <c:pt idx="148">
                  <c:v>1.01475822641771</c:v>
                </c:pt>
                <c:pt idx="149">
                  <c:v>1.01423599038057</c:v>
                </c:pt>
                <c:pt idx="150">
                  <c:v>1.0140398888484801</c:v>
                </c:pt>
                <c:pt idx="151">
                  <c:v>1.01401149613528</c:v>
                </c:pt>
                <c:pt idx="152">
                  <c:v>1.0145450569866501</c:v>
                </c:pt>
                <c:pt idx="153">
                  <c:v>1.0150821407241699</c:v>
                </c:pt>
                <c:pt idx="154">
                  <c:v>1.01506555788209</c:v>
                </c:pt>
                <c:pt idx="155">
                  <c:v>1.0156549843721701</c:v>
                </c:pt>
                <c:pt idx="156">
                  <c:v>1.0166792281724599</c:v>
                </c:pt>
                <c:pt idx="157">
                  <c:v>1.01829531625102</c:v>
                </c:pt>
                <c:pt idx="158">
                  <c:v>1.01899319275165</c:v>
                </c:pt>
                <c:pt idx="159">
                  <c:v>1.01927981274641</c:v>
                </c:pt>
                <c:pt idx="160">
                  <c:v>1.0196285642309</c:v>
                </c:pt>
                <c:pt idx="161">
                  <c:v>1.0208988497685201</c:v>
                </c:pt>
                <c:pt idx="162">
                  <c:v>1.02149529153353</c:v>
                </c:pt>
                <c:pt idx="163">
                  <c:v>1.02132635335146</c:v>
                </c:pt>
                <c:pt idx="164">
                  <c:v>1.0215844996310799</c:v>
                </c:pt>
                <c:pt idx="165">
                  <c:v>1.0224020071494999</c:v>
                </c:pt>
                <c:pt idx="166">
                  <c:v>1.0224737576951399</c:v>
                </c:pt>
                <c:pt idx="167">
                  <c:v>1.02173759359519</c:v>
                </c:pt>
                <c:pt idx="168">
                  <c:v>1.02129202268443</c:v>
                </c:pt>
                <c:pt idx="169">
                  <c:v>1.0206084404959199</c:v>
                </c:pt>
                <c:pt idx="170">
                  <c:v>1.0199993164865</c:v>
                </c:pt>
                <c:pt idx="171">
                  <c:v>1.0189412182461499</c:v>
                </c:pt>
                <c:pt idx="172">
                  <c:v>1.01809229558423</c:v>
                </c:pt>
                <c:pt idx="173">
                  <c:v>1.0180079092390499</c:v>
                </c:pt>
                <c:pt idx="174">
                  <c:v>1.01800440907777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0-4CA3-91BD-2393C15DA9A9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BF A/BF 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1.00953350701889</c:v>
                </c:pt>
                <c:pt idx="20">
                  <c:v>1.0102285674265401</c:v>
                </c:pt>
                <c:pt idx="21">
                  <c:v>1.0106775445465399</c:v>
                </c:pt>
                <c:pt idx="22">
                  <c:v>1.01114129781842</c:v>
                </c:pt>
                <c:pt idx="23">
                  <c:v>1.01156293374867</c:v>
                </c:pt>
                <c:pt idx="24">
                  <c:v>1.01187722699696</c:v>
                </c:pt>
                <c:pt idx="25">
                  <c:v>1.0123808720996399</c:v>
                </c:pt>
                <c:pt idx="26">
                  <c:v>1.01263425559096</c:v>
                </c:pt>
                <c:pt idx="27">
                  <c:v>1.01248447078677</c:v>
                </c:pt>
                <c:pt idx="28">
                  <c:v>1.0124491145754899</c:v>
                </c:pt>
                <c:pt idx="29">
                  <c:v>1.01248046393115</c:v>
                </c:pt>
                <c:pt idx="30">
                  <c:v>1.0123884725891501</c:v>
                </c:pt>
                <c:pt idx="31">
                  <c:v>1.0125533870604</c:v>
                </c:pt>
                <c:pt idx="32">
                  <c:v>1.01313538761328</c:v>
                </c:pt>
                <c:pt idx="33">
                  <c:v>1.01318185852786</c:v>
                </c:pt>
                <c:pt idx="34">
                  <c:v>1.0134837391111799</c:v>
                </c:pt>
                <c:pt idx="35">
                  <c:v>1.0137126215861501</c:v>
                </c:pt>
                <c:pt idx="36">
                  <c:v>1.0140544619901699</c:v>
                </c:pt>
                <c:pt idx="37">
                  <c:v>1.0142365364566699</c:v>
                </c:pt>
                <c:pt idx="38">
                  <c:v>1.01432211817794</c:v>
                </c:pt>
                <c:pt idx="39">
                  <c:v>1.0142443470348199</c:v>
                </c:pt>
                <c:pt idx="40">
                  <c:v>1.01403615068139</c:v>
                </c:pt>
                <c:pt idx="41">
                  <c:v>1.0143234403749699</c:v>
                </c:pt>
                <c:pt idx="42">
                  <c:v>1.0146825911181601</c:v>
                </c:pt>
                <c:pt idx="43">
                  <c:v>1.0148560443669601</c:v>
                </c:pt>
                <c:pt idx="44">
                  <c:v>1.0152960920798499</c:v>
                </c:pt>
                <c:pt idx="45">
                  <c:v>1.0152327367021201</c:v>
                </c:pt>
                <c:pt idx="46">
                  <c:v>1.01547633151077</c:v>
                </c:pt>
                <c:pt idx="47">
                  <c:v>1.01608628662412</c:v>
                </c:pt>
                <c:pt idx="48">
                  <c:v>1.01657542636031</c:v>
                </c:pt>
                <c:pt idx="49">
                  <c:v>1.0170345537910599</c:v>
                </c:pt>
                <c:pt idx="50">
                  <c:v>1.0175522110797799</c:v>
                </c:pt>
                <c:pt idx="51">
                  <c:v>1.01748268913354</c:v>
                </c:pt>
                <c:pt idx="52">
                  <c:v>1.01723352766752</c:v>
                </c:pt>
                <c:pt idx="53">
                  <c:v>1.0178122805266601</c:v>
                </c:pt>
                <c:pt idx="54">
                  <c:v>1.01794390773645</c:v>
                </c:pt>
                <c:pt idx="55">
                  <c:v>1.0180814557485001</c:v>
                </c:pt>
                <c:pt idx="56">
                  <c:v>1.0178760757048899</c:v>
                </c:pt>
                <c:pt idx="57">
                  <c:v>1.0173434427635499</c:v>
                </c:pt>
                <c:pt idx="58">
                  <c:v>1.0164771918972999</c:v>
                </c:pt>
                <c:pt idx="59">
                  <c:v>1.0161264576809601</c:v>
                </c:pt>
                <c:pt idx="60">
                  <c:v>1.0161484473840501</c:v>
                </c:pt>
                <c:pt idx="61">
                  <c:v>1.01570423443419</c:v>
                </c:pt>
                <c:pt idx="62">
                  <c:v>1.01522948811597</c:v>
                </c:pt>
                <c:pt idx="63">
                  <c:v>1.0150462978958299</c:v>
                </c:pt>
                <c:pt idx="64">
                  <c:v>1.0142059099848999</c:v>
                </c:pt>
                <c:pt idx="65">
                  <c:v>1.01423893832842</c:v>
                </c:pt>
                <c:pt idx="66">
                  <c:v>1.0134584198707901</c:v>
                </c:pt>
                <c:pt idx="67">
                  <c:v>1.0127091411706</c:v>
                </c:pt>
                <c:pt idx="68">
                  <c:v>1.01248949242533</c:v>
                </c:pt>
                <c:pt idx="69">
                  <c:v>1.0123670153172899</c:v>
                </c:pt>
                <c:pt idx="70">
                  <c:v>1.01238704320441</c:v>
                </c:pt>
                <c:pt idx="71">
                  <c:v>1.01231986479809</c:v>
                </c:pt>
                <c:pt idx="72">
                  <c:v>1.01271411839989</c:v>
                </c:pt>
                <c:pt idx="73">
                  <c:v>1.01256004002213</c:v>
                </c:pt>
                <c:pt idx="74">
                  <c:v>1.0126788591123701</c:v>
                </c:pt>
                <c:pt idx="75">
                  <c:v>1.01259030966303</c:v>
                </c:pt>
                <c:pt idx="76">
                  <c:v>1.01271455342274</c:v>
                </c:pt>
                <c:pt idx="77">
                  <c:v>1.0132709625538601</c:v>
                </c:pt>
                <c:pt idx="78">
                  <c:v>1.0142314554860801</c:v>
                </c:pt>
                <c:pt idx="79">
                  <c:v>1.01502770260507</c:v>
                </c:pt>
                <c:pt idx="80">
                  <c:v>1.0154313674717499</c:v>
                </c:pt>
                <c:pt idx="81">
                  <c:v>1.01576076191908</c:v>
                </c:pt>
                <c:pt idx="82">
                  <c:v>1.01635812461271</c:v>
                </c:pt>
                <c:pt idx="83">
                  <c:v>1.0166049835781501</c:v>
                </c:pt>
                <c:pt idx="84">
                  <c:v>1.01748354405479</c:v>
                </c:pt>
                <c:pt idx="85">
                  <c:v>1.0177391372040101</c:v>
                </c:pt>
                <c:pt idx="86">
                  <c:v>1.01908811474049</c:v>
                </c:pt>
                <c:pt idx="87">
                  <c:v>1.0199603855406201</c:v>
                </c:pt>
                <c:pt idx="88">
                  <c:v>1.0205878096502901</c:v>
                </c:pt>
                <c:pt idx="89">
                  <c:v>1.02128760687066</c:v>
                </c:pt>
                <c:pt idx="90">
                  <c:v>1.02206897725701</c:v>
                </c:pt>
                <c:pt idx="91">
                  <c:v>1.02302069355994</c:v>
                </c:pt>
                <c:pt idx="92">
                  <c:v>1.0238833071361599</c:v>
                </c:pt>
                <c:pt idx="93">
                  <c:v>1.0245322476693099</c:v>
                </c:pt>
                <c:pt idx="94">
                  <c:v>1.0249393263059201</c:v>
                </c:pt>
                <c:pt idx="95">
                  <c:v>1.0256912443952599</c:v>
                </c:pt>
                <c:pt idx="96">
                  <c:v>1.0263134453428799</c:v>
                </c:pt>
                <c:pt idx="97">
                  <c:v>1.02677904431392</c:v>
                </c:pt>
                <c:pt idx="98">
                  <c:v>1.0273157933044801</c:v>
                </c:pt>
                <c:pt idx="99">
                  <c:v>1.0276111849556</c:v>
                </c:pt>
                <c:pt idx="100">
                  <c:v>1.0280479553914501</c:v>
                </c:pt>
                <c:pt idx="101">
                  <c:v>1.0290218852567301</c:v>
                </c:pt>
                <c:pt idx="102">
                  <c:v>1.0292198511517201</c:v>
                </c:pt>
                <c:pt idx="103">
                  <c:v>1.02991015345714</c:v>
                </c:pt>
                <c:pt idx="104">
                  <c:v>1.03036189305138</c:v>
                </c:pt>
                <c:pt idx="105">
                  <c:v>1.0309552015275301</c:v>
                </c:pt>
                <c:pt idx="106">
                  <c:v>1.03047075508009</c:v>
                </c:pt>
                <c:pt idx="107">
                  <c:v>1.03022578992832</c:v>
                </c:pt>
                <c:pt idx="108">
                  <c:v>1.0297812484352</c:v>
                </c:pt>
                <c:pt idx="109">
                  <c:v>1.02889714048058</c:v>
                </c:pt>
                <c:pt idx="110">
                  <c:v>1.02834036611547</c:v>
                </c:pt>
                <c:pt idx="111">
                  <c:v>1.02756749534333</c:v>
                </c:pt>
                <c:pt idx="112">
                  <c:v>1.02609978257585</c:v>
                </c:pt>
                <c:pt idx="113">
                  <c:v>1.02461174907609</c:v>
                </c:pt>
                <c:pt idx="114">
                  <c:v>1.02314600972672</c:v>
                </c:pt>
                <c:pt idx="115">
                  <c:v>1.02160544810426</c:v>
                </c:pt>
                <c:pt idx="116">
                  <c:v>1.0201051742437299</c:v>
                </c:pt>
                <c:pt idx="117">
                  <c:v>1.0186158960157099</c:v>
                </c:pt>
                <c:pt idx="118">
                  <c:v>1.0176042656037301</c:v>
                </c:pt>
                <c:pt idx="119">
                  <c:v>1.01693172091412</c:v>
                </c:pt>
                <c:pt idx="120">
                  <c:v>1.0166096671767699</c:v>
                </c:pt>
                <c:pt idx="121">
                  <c:v>1.01560220306667</c:v>
                </c:pt>
                <c:pt idx="122">
                  <c:v>1.01550344301095</c:v>
                </c:pt>
                <c:pt idx="123">
                  <c:v>1.0151350094091001</c:v>
                </c:pt>
                <c:pt idx="124">
                  <c:v>1.0147066772367499</c:v>
                </c:pt>
                <c:pt idx="125">
                  <c:v>1.0144356715091301</c:v>
                </c:pt>
                <c:pt idx="126">
                  <c:v>1.0145805286776199</c:v>
                </c:pt>
                <c:pt idx="127">
                  <c:v>1.0147220731555699</c:v>
                </c:pt>
                <c:pt idx="128">
                  <c:v>1.0149243559179899</c:v>
                </c:pt>
                <c:pt idx="129">
                  <c:v>1.0151428164721501</c:v>
                </c:pt>
                <c:pt idx="130">
                  <c:v>1.01485585995042</c:v>
                </c:pt>
                <c:pt idx="131">
                  <c:v>1.0153490445611</c:v>
                </c:pt>
                <c:pt idx="132">
                  <c:v>1.01575705580445</c:v>
                </c:pt>
                <c:pt idx="133">
                  <c:v>1.01639688327296</c:v>
                </c:pt>
                <c:pt idx="134">
                  <c:v>1.01745234175572</c:v>
                </c:pt>
                <c:pt idx="135">
                  <c:v>1.0186261395595799</c:v>
                </c:pt>
                <c:pt idx="136">
                  <c:v>1.0194459712411399</c:v>
                </c:pt>
                <c:pt idx="137">
                  <c:v>1.0203552947908801</c:v>
                </c:pt>
                <c:pt idx="138">
                  <c:v>1.02093972219059</c:v>
                </c:pt>
                <c:pt idx="139">
                  <c:v>1.0213166194209899</c:v>
                </c:pt>
                <c:pt idx="140">
                  <c:v>1.0211035151949399</c:v>
                </c:pt>
                <c:pt idx="141">
                  <c:v>1.02083956826144</c:v>
                </c:pt>
                <c:pt idx="142">
                  <c:v>1.0201003041380301</c:v>
                </c:pt>
                <c:pt idx="143">
                  <c:v>1.019423683651</c:v>
                </c:pt>
                <c:pt idx="144">
                  <c:v>1.0191296618025301</c:v>
                </c:pt>
                <c:pt idx="145">
                  <c:v>1.0183083744958099</c:v>
                </c:pt>
                <c:pt idx="146">
                  <c:v>1.0178354518922701</c:v>
                </c:pt>
                <c:pt idx="147">
                  <c:v>1.01725670813376</c:v>
                </c:pt>
                <c:pt idx="148">
                  <c:v>1.01694393874983</c:v>
                </c:pt>
                <c:pt idx="149">
                  <c:v>1.0170690914224201</c:v>
                </c:pt>
                <c:pt idx="150">
                  <c:v>1.01713819394105</c:v>
                </c:pt>
                <c:pt idx="151">
                  <c:v>1.01660089966471</c:v>
                </c:pt>
                <c:pt idx="152">
                  <c:v>1.01666273226409</c:v>
                </c:pt>
                <c:pt idx="153">
                  <c:v>1.0167813730336399</c:v>
                </c:pt>
                <c:pt idx="154">
                  <c:v>1.0165507901154001</c:v>
                </c:pt>
                <c:pt idx="155">
                  <c:v>1.0162290590265499</c:v>
                </c:pt>
                <c:pt idx="156">
                  <c:v>1.01655125507333</c:v>
                </c:pt>
                <c:pt idx="157">
                  <c:v>1.0169777794702</c:v>
                </c:pt>
                <c:pt idx="158">
                  <c:v>1.0168757095846801</c:v>
                </c:pt>
                <c:pt idx="159">
                  <c:v>1.01675790156349</c:v>
                </c:pt>
                <c:pt idx="160">
                  <c:v>1.0168342265396899</c:v>
                </c:pt>
                <c:pt idx="161">
                  <c:v>1.0174551729518999</c:v>
                </c:pt>
                <c:pt idx="162">
                  <c:v>1.0180201742600901</c:v>
                </c:pt>
                <c:pt idx="163">
                  <c:v>1.0182042470378201</c:v>
                </c:pt>
                <c:pt idx="164">
                  <c:v>1.0183250287565899</c:v>
                </c:pt>
                <c:pt idx="165">
                  <c:v>1.01902849576083</c:v>
                </c:pt>
                <c:pt idx="166">
                  <c:v>1.0195764929338</c:v>
                </c:pt>
                <c:pt idx="167">
                  <c:v>1.0200164549230999</c:v>
                </c:pt>
                <c:pt idx="168">
                  <c:v>1.02014260771804</c:v>
                </c:pt>
                <c:pt idx="169">
                  <c:v>1.01994412662116</c:v>
                </c:pt>
                <c:pt idx="170">
                  <c:v>1.0198139403587001</c:v>
                </c:pt>
                <c:pt idx="171">
                  <c:v>1.01992003400734</c:v>
                </c:pt>
                <c:pt idx="172">
                  <c:v>1.0197937935588799</c:v>
                </c:pt>
                <c:pt idx="173">
                  <c:v>1.0196671312952601</c:v>
                </c:pt>
                <c:pt idx="174">
                  <c:v>1.01979445435442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0-4CA3-91BD-2393C15D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BF B* x 10 dma / BF 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-1.06334888650689E-3</c:v>
                </c:pt>
                <c:pt idx="11">
                  <c:v>-2.4864369554456799E-3</c:v>
                </c:pt>
                <c:pt idx="12">
                  <c:v>2.70919214149783E-3</c:v>
                </c:pt>
                <c:pt idx="13">
                  <c:v>-2.6726043056123699E-3</c:v>
                </c:pt>
                <c:pt idx="14">
                  <c:v>-2.0914007122530501E-3</c:v>
                </c:pt>
                <c:pt idx="15">
                  <c:v>-1.40427987712759E-3</c:v>
                </c:pt>
                <c:pt idx="16">
                  <c:v>-4.2357145215626999E-3</c:v>
                </c:pt>
                <c:pt idx="17">
                  <c:v>-6.9865261677094703E-3</c:v>
                </c:pt>
                <c:pt idx="18">
                  <c:v>-5.5155718584527797E-3</c:v>
                </c:pt>
                <c:pt idx="19">
                  <c:v>-5.7632629609187204E-3</c:v>
                </c:pt>
                <c:pt idx="20">
                  <c:v>-5.0832275192803002E-3</c:v>
                </c:pt>
                <c:pt idx="21">
                  <c:v>-3.6203694024288199E-3</c:v>
                </c:pt>
                <c:pt idx="22">
                  <c:v>-1.72531818416262E-3</c:v>
                </c:pt>
                <c:pt idx="23">
                  <c:v>-1.27516642727713E-3</c:v>
                </c:pt>
                <c:pt idx="24">
                  <c:v>1.79042627193424E-3</c:v>
                </c:pt>
                <c:pt idx="25">
                  <c:v>-1.6387310633731299E-3</c:v>
                </c:pt>
                <c:pt idx="26">
                  <c:v>1.86237410761269E-3</c:v>
                </c:pt>
                <c:pt idx="27">
                  <c:v>5.6438808886846896E-3</c:v>
                </c:pt>
                <c:pt idx="28">
                  <c:v>9.3037273489258599E-3</c:v>
                </c:pt>
                <c:pt idx="29">
                  <c:v>4.8639479966072598E-3</c:v>
                </c:pt>
                <c:pt idx="30">
                  <c:v>6.59730892990341E-3</c:v>
                </c:pt>
                <c:pt idx="31">
                  <c:v>-1.4685267509460501E-3</c:v>
                </c:pt>
                <c:pt idx="32">
                  <c:v>-5.0876071126983004E-3</c:v>
                </c:pt>
                <c:pt idx="33">
                  <c:v>3.5682793903790098E-4</c:v>
                </c:pt>
                <c:pt idx="34">
                  <c:v>-4.8426770568501002E-3</c:v>
                </c:pt>
                <c:pt idx="35">
                  <c:v>-2.7454622985014902E-3</c:v>
                </c:pt>
                <c:pt idx="36">
                  <c:v>-8.3233142535029999E-3</c:v>
                </c:pt>
                <c:pt idx="37">
                  <c:v>-7.75239080475727E-3</c:v>
                </c:pt>
                <c:pt idx="38">
                  <c:v>-3.7361346212884498E-3</c:v>
                </c:pt>
                <c:pt idx="39">
                  <c:v>-5.3384297327048903E-4</c:v>
                </c:pt>
                <c:pt idx="40">
                  <c:v>2.5001973551938999E-3</c:v>
                </c:pt>
                <c:pt idx="41">
                  <c:v>-6.00901104643441E-3</c:v>
                </c:pt>
                <c:pt idx="42">
                  <c:v>-5.2894557930680298E-3</c:v>
                </c:pt>
                <c:pt idx="43">
                  <c:v>-1.6390291837012801E-3</c:v>
                </c:pt>
                <c:pt idx="44">
                  <c:v>-3.5665116807948199E-3</c:v>
                </c:pt>
                <c:pt idx="45">
                  <c:v>3.1733658955619402E-3</c:v>
                </c:pt>
                <c:pt idx="46">
                  <c:v>5.69367643831787E-5</c:v>
                </c:pt>
                <c:pt idx="47">
                  <c:v>-3.56708927888639E-3</c:v>
                </c:pt>
                <c:pt idx="48">
                  <c:v>3.2602890305669101E-3</c:v>
                </c:pt>
                <c:pt idx="49">
                  <c:v>2.3943307882669801E-4</c:v>
                </c:pt>
                <c:pt idx="50">
                  <c:v>1.8563418798260101E-3</c:v>
                </c:pt>
                <c:pt idx="51">
                  <c:v>6.8281658324915598E-3</c:v>
                </c:pt>
                <c:pt idx="52">
                  <c:v>6.0495707719852602E-3</c:v>
                </c:pt>
                <c:pt idx="53">
                  <c:v>-5.9911862760698197E-3</c:v>
                </c:pt>
                <c:pt idx="54">
                  <c:v>-1.6015986867712001E-3</c:v>
                </c:pt>
                <c:pt idx="55">
                  <c:v>-2.33514533047564E-4</c:v>
                </c:pt>
                <c:pt idx="56">
                  <c:v>1.3257914378300201E-3</c:v>
                </c:pt>
                <c:pt idx="57">
                  <c:v>7.4716378666934502E-3</c:v>
                </c:pt>
                <c:pt idx="58">
                  <c:v>1.5918188524627699E-2</c:v>
                </c:pt>
                <c:pt idx="59">
                  <c:v>6.2058055960260003E-3</c:v>
                </c:pt>
                <c:pt idx="60">
                  <c:v>2.7568810825885599E-4</c:v>
                </c:pt>
                <c:pt idx="61">
                  <c:v>-4.5977501339421397E-5</c:v>
                </c:pt>
                <c:pt idx="62">
                  <c:v>5.3839241716208499E-4</c:v>
                </c:pt>
                <c:pt idx="63">
                  <c:v>-1.98463811402495E-3</c:v>
                </c:pt>
                <c:pt idx="64">
                  <c:v>7.5724018349464604E-3</c:v>
                </c:pt>
                <c:pt idx="65">
                  <c:v>-4.8436819222433397E-3</c:v>
                </c:pt>
                <c:pt idx="66">
                  <c:v>7.9281844597476597E-3</c:v>
                </c:pt>
                <c:pt idx="67">
                  <c:v>2.4899559795042402E-3</c:v>
                </c:pt>
                <c:pt idx="68">
                  <c:v>-1.544292625921E-3</c:v>
                </c:pt>
                <c:pt idx="69">
                  <c:v>-5.2137131749864203E-3</c:v>
                </c:pt>
                <c:pt idx="70">
                  <c:v>-5.9454750638208102E-3</c:v>
                </c:pt>
                <c:pt idx="71">
                  <c:v>7.4751661524368005E-4</c:v>
                </c:pt>
                <c:pt idx="72">
                  <c:v>-8.3819681987226096E-3</c:v>
                </c:pt>
                <c:pt idx="73">
                  <c:v>-7.9333496295747007E-3</c:v>
                </c:pt>
                <c:pt idx="74">
                  <c:v>-8.8292197281778003E-3</c:v>
                </c:pt>
                <c:pt idx="75">
                  <c:v>-1.4982047488811699E-3</c:v>
                </c:pt>
                <c:pt idx="76">
                  <c:v>-4.36226978511729E-3</c:v>
                </c:pt>
                <c:pt idx="77">
                  <c:v>-4.9527364880212598E-3</c:v>
                </c:pt>
                <c:pt idx="78">
                  <c:v>-2.00420322741979E-3</c:v>
                </c:pt>
                <c:pt idx="79">
                  <c:v>-6.0373960097311E-3</c:v>
                </c:pt>
                <c:pt idx="80">
                  <c:v>-2.42388945261347E-3</c:v>
                </c:pt>
                <c:pt idx="81">
                  <c:v>-5.3537467843073805E-4</c:v>
                </c:pt>
                <c:pt idx="82">
                  <c:v>-4.42106389655851E-3</c:v>
                </c:pt>
                <c:pt idx="83">
                  <c:v>3.30984910665152E-4</c:v>
                </c:pt>
                <c:pt idx="84">
                  <c:v>-1.8040883709996699E-3</c:v>
                </c:pt>
                <c:pt idx="85">
                  <c:v>-4.0340720836027797E-4</c:v>
                </c:pt>
                <c:pt idx="86">
                  <c:v>-8.4814944567914996E-3</c:v>
                </c:pt>
                <c:pt idx="87">
                  <c:v>-2.1373138927233098E-3</c:v>
                </c:pt>
                <c:pt idx="88">
                  <c:v>-7.1312251500156804E-4</c:v>
                </c:pt>
                <c:pt idx="89">
                  <c:v>-6.3960478838074597E-3</c:v>
                </c:pt>
                <c:pt idx="90">
                  <c:v>-8.8862027460132106E-3</c:v>
                </c:pt>
                <c:pt idx="91">
                  <c:v>-4.8697900986537299E-3</c:v>
                </c:pt>
                <c:pt idx="92">
                  <c:v>-1.09018384158047E-2</c:v>
                </c:pt>
                <c:pt idx="93">
                  <c:v>-5.8144672489402601E-3</c:v>
                </c:pt>
                <c:pt idx="94">
                  <c:v>-1.2311730196112999E-3</c:v>
                </c:pt>
                <c:pt idx="95">
                  <c:v>-1.5995281066462201E-3</c:v>
                </c:pt>
                <c:pt idx="96">
                  <c:v>-9.4487363028591704E-4</c:v>
                </c:pt>
                <c:pt idx="97">
                  <c:v>9.2435035921809898E-5</c:v>
                </c:pt>
                <c:pt idx="98">
                  <c:v>8.3627723910439E-4</c:v>
                </c:pt>
                <c:pt idx="99">
                  <c:v>1.34220573021206E-3</c:v>
                </c:pt>
                <c:pt idx="100">
                  <c:v>1.39624436170997E-3</c:v>
                </c:pt>
                <c:pt idx="101">
                  <c:v>-7.79194997455136E-3</c:v>
                </c:pt>
                <c:pt idx="102">
                  <c:v>3.4191242910713801E-3</c:v>
                </c:pt>
                <c:pt idx="103">
                  <c:v>-2.70674038786112E-3</c:v>
                </c:pt>
                <c:pt idx="104">
                  <c:v>-1.18222262658123E-4</c:v>
                </c:pt>
                <c:pt idx="105">
                  <c:v>-1.3880807101639601E-3</c:v>
                </c:pt>
                <c:pt idx="106">
                  <c:v>1.12263011273435E-2</c:v>
                </c:pt>
                <c:pt idx="107">
                  <c:v>1.0755714061092599E-2</c:v>
                </c:pt>
                <c:pt idx="108">
                  <c:v>1.4729209663816099E-2</c:v>
                </c:pt>
                <c:pt idx="109">
                  <c:v>1.57321356550905E-2</c:v>
                </c:pt>
                <c:pt idx="110">
                  <c:v>4.4625247477385801E-3</c:v>
                </c:pt>
                <c:pt idx="111">
                  <c:v>1.0823141947237699E-2</c:v>
                </c:pt>
                <c:pt idx="112">
                  <c:v>1.49698709347849E-2</c:v>
                </c:pt>
                <c:pt idx="113">
                  <c:v>1.7320820214035498E-2</c:v>
                </c:pt>
                <c:pt idx="114">
                  <c:v>1.7293769924848101E-2</c:v>
                </c:pt>
                <c:pt idx="115">
                  <c:v>1.46245108421136E-2</c:v>
                </c:pt>
                <c:pt idx="116">
                  <c:v>1.0267911555824001E-2</c:v>
                </c:pt>
                <c:pt idx="117">
                  <c:v>9.1046979864633695E-3</c:v>
                </c:pt>
                <c:pt idx="118">
                  <c:v>-2.1072738710919601E-3</c:v>
                </c:pt>
                <c:pt idx="119">
                  <c:v>-9.40808110439415E-3</c:v>
                </c:pt>
                <c:pt idx="120">
                  <c:v>-1.58046631766968E-2</c:v>
                </c:pt>
                <c:pt idx="121">
                  <c:v>-1.1227903985638599E-2</c:v>
                </c:pt>
                <c:pt idx="122">
                  <c:v>-1.8117199004977401E-2</c:v>
                </c:pt>
                <c:pt idx="123">
                  <c:v>-1.6319250615460499E-2</c:v>
                </c:pt>
                <c:pt idx="124">
                  <c:v>-1.03262855064154E-2</c:v>
                </c:pt>
                <c:pt idx="125">
                  <c:v>-1.2624877471383999E-2</c:v>
                </c:pt>
                <c:pt idx="126">
                  <c:v>-5.6046704785978497E-3</c:v>
                </c:pt>
                <c:pt idx="127">
                  <c:v>-2.7948508624727501E-3</c:v>
                </c:pt>
                <c:pt idx="128">
                  <c:v>3.1574867898518798E-3</c:v>
                </c:pt>
                <c:pt idx="129">
                  <c:v>6.1973764788360898E-3</c:v>
                </c:pt>
                <c:pt idx="130">
                  <c:v>6.6031964805036798E-3</c:v>
                </c:pt>
                <c:pt idx="131">
                  <c:v>-2.2795180636422398E-3</c:v>
                </c:pt>
                <c:pt idx="132">
                  <c:v>6.4103111041344304E-3</c:v>
                </c:pt>
                <c:pt idx="133">
                  <c:v>5.1447570786636596E-3</c:v>
                </c:pt>
                <c:pt idx="134">
                  <c:v>-1.1111501677133399E-3</c:v>
                </c:pt>
                <c:pt idx="135">
                  <c:v>-3.1831078428819601E-3</c:v>
                </c:pt>
                <c:pt idx="136">
                  <c:v>2.2740459112151E-3</c:v>
                </c:pt>
                <c:pt idx="137">
                  <c:v>6.8116914162631595E-4</c:v>
                </c:pt>
                <c:pt idx="138">
                  <c:v>-2.4973420135148698E-3</c:v>
                </c:pt>
                <c:pt idx="139">
                  <c:v>-4.9203102735983903E-3</c:v>
                </c:pt>
                <c:pt idx="140">
                  <c:v>5.4836639450412696E-4</c:v>
                </c:pt>
                <c:pt idx="141">
                  <c:v>6.2885413134242301E-3</c:v>
                </c:pt>
                <c:pt idx="142">
                  <c:v>7.2218591602834399E-3</c:v>
                </c:pt>
                <c:pt idx="143">
                  <c:v>5.5116282716930701E-3</c:v>
                </c:pt>
                <c:pt idx="144">
                  <c:v>1.40038079907528E-3</c:v>
                </c:pt>
                <c:pt idx="145">
                  <c:v>6.7899042169982E-3</c:v>
                </c:pt>
                <c:pt idx="146">
                  <c:v>3.05787073751238E-3</c:v>
                </c:pt>
                <c:pt idx="147">
                  <c:v>5.4259202508624201E-3</c:v>
                </c:pt>
                <c:pt idx="148">
                  <c:v>3.2342840052694099E-3</c:v>
                </c:pt>
                <c:pt idx="149">
                  <c:v>-4.1066790502348096E-3</c:v>
                </c:pt>
                <c:pt idx="150">
                  <c:v>-3.09710038358187E-3</c:v>
                </c:pt>
                <c:pt idx="151">
                  <c:v>4.7641182074088898E-4</c:v>
                </c:pt>
                <c:pt idx="152">
                  <c:v>-3.1316247567410001E-3</c:v>
                </c:pt>
                <c:pt idx="153">
                  <c:v>-3.9412786296383097E-3</c:v>
                </c:pt>
                <c:pt idx="154">
                  <c:v>-1.7789364082345699E-3</c:v>
                </c:pt>
                <c:pt idx="155">
                  <c:v>-1.9445601491785501E-3</c:v>
                </c:pt>
                <c:pt idx="156">
                  <c:v>-8.1252651423412304E-3</c:v>
                </c:pt>
                <c:pt idx="157">
                  <c:v>-1.0182126156968899E-2</c:v>
                </c:pt>
                <c:pt idx="158">
                  <c:v>-1.04440104323736E-3</c:v>
                </c:pt>
                <c:pt idx="159">
                  <c:v>-2.7509793110404601E-3</c:v>
                </c:pt>
                <c:pt idx="160">
                  <c:v>-1.5584670514017501E-3</c:v>
                </c:pt>
                <c:pt idx="161">
                  <c:v>-6.4824825583501998E-3</c:v>
                </c:pt>
                <c:pt idx="162">
                  <c:v>-2.2088892978150902E-3</c:v>
                </c:pt>
                <c:pt idx="163">
                  <c:v>4.54594398838052E-3</c:v>
                </c:pt>
                <c:pt idx="164">
                  <c:v>1.81828603186017E-3</c:v>
                </c:pt>
                <c:pt idx="165">
                  <c:v>-3.54886852839474E-3</c:v>
                </c:pt>
                <c:pt idx="166">
                  <c:v>-2.2046903566156901E-3</c:v>
                </c:pt>
                <c:pt idx="167">
                  <c:v>2.6944857257761401E-3</c:v>
                </c:pt>
                <c:pt idx="168">
                  <c:v>6.7109981212678397E-3</c:v>
                </c:pt>
                <c:pt idx="169">
                  <c:v>6.2149181089048997E-3</c:v>
                </c:pt>
                <c:pt idx="170">
                  <c:v>5.7287699969667399E-3</c:v>
                </c:pt>
                <c:pt idx="171">
                  <c:v>4.2448230873822698E-3</c:v>
                </c:pt>
                <c:pt idx="172">
                  <c:v>4.2034213269525897E-3</c:v>
                </c:pt>
                <c:pt idx="173">
                  <c:v>2.0392103207392599E-3</c:v>
                </c:pt>
                <c:pt idx="174">
                  <c:v>-1.4018217779407599E-3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1-4E2E-B7B8-006835D4527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BF B* x 20 dma / BF 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-7.3310593752712204E-3</c:v>
                </c:pt>
                <c:pt idx="21">
                  <c:v>-6.0323428434045897E-3</c:v>
                </c:pt>
                <c:pt idx="22">
                  <c:v>-4.2895340425106203E-3</c:v>
                </c:pt>
                <c:pt idx="23">
                  <c:v>-4.3342126658434E-3</c:v>
                </c:pt>
                <c:pt idx="24">
                  <c:v>-1.32409449994294E-3</c:v>
                </c:pt>
                <c:pt idx="25">
                  <c:v>-4.6775676983682197E-3</c:v>
                </c:pt>
                <c:pt idx="26">
                  <c:v>-1.30983224144361E-3</c:v>
                </c:pt>
                <c:pt idx="27">
                  <c:v>2.6963373910687699E-3</c:v>
                </c:pt>
                <c:pt idx="28">
                  <c:v>6.8796118174213397E-3</c:v>
                </c:pt>
                <c:pt idx="29">
                  <c:v>3.3976292430934001E-3</c:v>
                </c:pt>
                <c:pt idx="30">
                  <c:v>5.9307104239771698E-3</c:v>
                </c:pt>
                <c:pt idx="31">
                  <c:v>-1.1922307609840701E-3</c:v>
                </c:pt>
                <c:pt idx="32">
                  <c:v>-4.3771913636049204E-3</c:v>
                </c:pt>
                <c:pt idx="33">
                  <c:v>1.44688533787573E-3</c:v>
                </c:pt>
                <c:pt idx="34">
                  <c:v>-3.3249963517394902E-3</c:v>
                </c:pt>
                <c:pt idx="35">
                  <c:v>-1.2909091926073899E-3</c:v>
                </c:pt>
                <c:pt idx="36">
                  <c:v>-6.4622492195208501E-3</c:v>
                </c:pt>
                <c:pt idx="37">
                  <c:v>-6.2039578222200199E-3</c:v>
                </c:pt>
                <c:pt idx="38">
                  <c:v>-3.04050176764184E-3</c:v>
                </c:pt>
                <c:pt idx="39">
                  <c:v>-9.1564237629962496E-4</c:v>
                </c:pt>
                <c:pt idx="40">
                  <c:v>1.4273235386334699E-3</c:v>
                </c:pt>
                <c:pt idx="41">
                  <c:v>-7.9078871357782295E-3</c:v>
                </c:pt>
                <c:pt idx="42">
                  <c:v>-7.7404319618294398E-3</c:v>
                </c:pt>
                <c:pt idx="43">
                  <c:v>-4.2482397685691901E-3</c:v>
                </c:pt>
                <c:pt idx="44">
                  <c:v>-6.7252236650402397E-3</c:v>
                </c:pt>
                <c:pt idx="45">
                  <c:v>-5.7359581116507898E-5</c:v>
                </c:pt>
                <c:pt idx="46">
                  <c:v>-3.2913089636891599E-3</c:v>
                </c:pt>
                <c:pt idx="47">
                  <c:v>-6.5080283840815399E-3</c:v>
                </c:pt>
                <c:pt idx="48">
                  <c:v>7.4885466625230395E-4</c:v>
                </c:pt>
                <c:pt idx="49">
                  <c:v>-1.59442614991725E-3</c:v>
                </c:pt>
                <c:pt idx="50">
                  <c:v>1.8477138509591501E-4</c:v>
                </c:pt>
                <c:pt idx="51">
                  <c:v>5.2680855501430496E-3</c:v>
                </c:pt>
                <c:pt idx="52">
                  <c:v>5.3911846814062902E-3</c:v>
                </c:pt>
                <c:pt idx="53">
                  <c:v>-5.8928353075586798E-3</c:v>
                </c:pt>
                <c:pt idx="54">
                  <c:v>-1.3515508249432699E-3</c:v>
                </c:pt>
                <c:pt idx="55">
                  <c:v>3.9307344303002301E-4</c:v>
                </c:pt>
                <c:pt idx="56">
                  <c:v>1.87228871738608E-3</c:v>
                </c:pt>
                <c:pt idx="57">
                  <c:v>8.0525311335235099E-3</c:v>
                </c:pt>
                <c:pt idx="58">
                  <c:v>1.71947618904E-2</c:v>
                </c:pt>
                <c:pt idx="59">
                  <c:v>8.1400362551823906E-3</c:v>
                </c:pt>
                <c:pt idx="60">
                  <c:v>2.8471390594009701E-3</c:v>
                </c:pt>
                <c:pt idx="61">
                  <c:v>2.9032773191350102E-3</c:v>
                </c:pt>
                <c:pt idx="62">
                  <c:v>2.9520161808279199E-3</c:v>
                </c:pt>
                <c:pt idx="63">
                  <c:v>-1.0744065215643E-4</c:v>
                </c:pt>
                <c:pt idx="64">
                  <c:v>1.0049751784483699E-2</c:v>
                </c:pt>
                <c:pt idx="65">
                  <c:v>-1.7820604204643699E-3</c:v>
                </c:pt>
                <c:pt idx="66">
                  <c:v>1.1173599445075E-2</c:v>
                </c:pt>
                <c:pt idx="67">
                  <c:v>6.2728368123457197E-3</c:v>
                </c:pt>
                <c:pt idx="68">
                  <c:v>1.75569214066273E-3</c:v>
                </c:pt>
                <c:pt idx="69">
                  <c:v>-3.2131758098960998E-3</c:v>
                </c:pt>
                <c:pt idx="70">
                  <c:v>-4.8089967414286497E-3</c:v>
                </c:pt>
                <c:pt idx="71">
                  <c:v>1.5073352863972001E-3</c:v>
                </c:pt>
                <c:pt idx="72">
                  <c:v>-7.4571313535650901E-3</c:v>
                </c:pt>
                <c:pt idx="73">
                  <c:v>-7.3294716428926798E-3</c:v>
                </c:pt>
                <c:pt idx="74">
                  <c:v>-8.8541609394226697E-3</c:v>
                </c:pt>
                <c:pt idx="75">
                  <c:v>-3.0506162943355398E-3</c:v>
                </c:pt>
                <c:pt idx="76">
                  <c:v>-5.97826307101346E-3</c:v>
                </c:pt>
                <c:pt idx="77">
                  <c:v>-7.9920938295771401E-3</c:v>
                </c:pt>
                <c:pt idx="78">
                  <c:v>-5.8440039688556497E-3</c:v>
                </c:pt>
                <c:pt idx="79">
                  <c:v>-9.7431465695895E-3</c:v>
                </c:pt>
                <c:pt idx="80">
                  <c:v>-6.1710108809139401E-3</c:v>
                </c:pt>
                <c:pt idx="81">
                  <c:v>-4.2836541591426804E-3</c:v>
                </c:pt>
                <c:pt idx="82">
                  <c:v>-8.7205929553775992E-3</c:v>
                </c:pt>
                <c:pt idx="83">
                  <c:v>-3.8471621929045499E-3</c:v>
                </c:pt>
                <c:pt idx="84">
                  <c:v>-5.7503238599699502E-3</c:v>
                </c:pt>
                <c:pt idx="85">
                  <c:v>-3.5742195346008402E-3</c:v>
                </c:pt>
                <c:pt idx="86">
                  <c:v>-1.1925523083905799E-2</c:v>
                </c:pt>
                <c:pt idx="87">
                  <c:v>-5.3613486356046602E-3</c:v>
                </c:pt>
                <c:pt idx="88">
                  <c:v>-3.44594706558452E-3</c:v>
                </c:pt>
                <c:pt idx="89">
                  <c:v>-8.9314589805436807E-3</c:v>
                </c:pt>
                <c:pt idx="90">
                  <c:v>-1.1281615075815101E-2</c:v>
                </c:pt>
                <c:pt idx="91">
                  <c:v>-7.6293415510707303E-3</c:v>
                </c:pt>
                <c:pt idx="92">
                  <c:v>-1.37162303914401E-2</c:v>
                </c:pt>
                <c:pt idx="93">
                  <c:v>-9.0029117857787708E-3</c:v>
                </c:pt>
                <c:pt idx="94">
                  <c:v>-5.03792723573374E-3</c:v>
                </c:pt>
                <c:pt idx="95">
                  <c:v>-5.7126795732631496E-3</c:v>
                </c:pt>
                <c:pt idx="96">
                  <c:v>-5.2652335434958501E-3</c:v>
                </c:pt>
                <c:pt idx="97">
                  <c:v>-3.73381388709131E-3</c:v>
                </c:pt>
                <c:pt idx="98">
                  <c:v>-3.0784848353001401E-3</c:v>
                </c:pt>
                <c:pt idx="99">
                  <c:v>-2.6767950531767998E-3</c:v>
                </c:pt>
                <c:pt idx="100">
                  <c:v>-2.3668091013119498E-3</c:v>
                </c:pt>
                <c:pt idx="101">
                  <c:v>-1.08558156229971E-2</c:v>
                </c:pt>
                <c:pt idx="102">
                  <c:v>3.9368729635897099E-4</c:v>
                </c:pt>
                <c:pt idx="103">
                  <c:v>-4.7127904581560302E-3</c:v>
                </c:pt>
                <c:pt idx="104">
                  <c:v>-1.5448340044407901E-3</c:v>
                </c:pt>
                <c:pt idx="105">
                  <c:v>-2.5502530456710899E-3</c:v>
                </c:pt>
                <c:pt idx="106">
                  <c:v>1.0428315786656501E-2</c:v>
                </c:pt>
                <c:pt idx="107">
                  <c:v>1.05394705353162E-2</c:v>
                </c:pt>
                <c:pt idx="108">
                  <c:v>1.52930588190521E-2</c:v>
                </c:pt>
                <c:pt idx="109">
                  <c:v>1.7356746720467501E-2</c:v>
                </c:pt>
                <c:pt idx="110">
                  <c:v>6.9812859742828899E-3</c:v>
                </c:pt>
                <c:pt idx="111">
                  <c:v>1.36103620865417E-2</c:v>
                </c:pt>
                <c:pt idx="112">
                  <c:v>1.9429478731731901E-2</c:v>
                </c:pt>
                <c:pt idx="113">
                  <c:v>2.23885155756787E-2</c:v>
                </c:pt>
                <c:pt idx="114">
                  <c:v>2.3921833122537602E-2</c:v>
                </c:pt>
                <c:pt idx="115">
                  <c:v>2.2882203790555802E-2</c:v>
                </c:pt>
                <c:pt idx="116">
                  <c:v>2.0275450183444101E-2</c:v>
                </c:pt>
                <c:pt idx="117">
                  <c:v>1.9538694156227301E-2</c:v>
                </c:pt>
                <c:pt idx="118">
                  <c:v>8.7793714181901104E-3</c:v>
                </c:pt>
                <c:pt idx="119">
                  <c:v>9.6918448573146004E-4</c:v>
                </c:pt>
                <c:pt idx="120">
                  <c:v>-6.54087969433671E-3</c:v>
                </c:pt>
                <c:pt idx="121">
                  <c:v>-2.4660479632624302E-3</c:v>
                </c:pt>
                <c:pt idx="122">
                  <c:v>-1.08112020697288E-2</c:v>
                </c:pt>
                <c:pt idx="123">
                  <c:v>-1.0978065718517499E-2</c:v>
                </c:pt>
                <c:pt idx="124">
                  <c:v>-7.6550908267252497E-3</c:v>
                </c:pt>
                <c:pt idx="125">
                  <c:v>-1.25999487924557E-2</c:v>
                </c:pt>
                <c:pt idx="126">
                  <c:v>-8.5605565131221199E-3</c:v>
                </c:pt>
                <c:pt idx="127">
                  <c:v>-7.7734572888155896E-3</c:v>
                </c:pt>
                <c:pt idx="128">
                  <c:v>-3.8497251378488101E-3</c:v>
                </c:pt>
                <c:pt idx="129">
                  <c:v>-1.48341571823474E-3</c:v>
                </c:pt>
                <c:pt idx="130">
                  <c:v>-8.4404067678332004E-4</c:v>
                </c:pt>
                <c:pt idx="131">
                  <c:v>-9.2655826317337101E-3</c:v>
                </c:pt>
                <c:pt idx="132">
                  <c:v>-5.9693717564224095E-4</c:v>
                </c:pt>
                <c:pt idx="133">
                  <c:v>-4.1505319302631501E-4</c:v>
                </c:pt>
                <c:pt idx="134">
                  <c:v>-5.0093773601191799E-3</c:v>
                </c:pt>
                <c:pt idx="135">
                  <c:v>-5.9028353109779096E-3</c:v>
                </c:pt>
                <c:pt idx="136">
                  <c:v>1.10896278075608E-3</c:v>
                </c:pt>
                <c:pt idx="137">
                  <c:v>8.7575397977959996E-4</c:v>
                </c:pt>
                <c:pt idx="138">
                  <c:v>-1.02410226611316E-3</c:v>
                </c:pt>
                <c:pt idx="139">
                  <c:v>-3.1457906348666201E-3</c:v>
                </c:pt>
                <c:pt idx="140">
                  <c:v>1.9342317165966399E-3</c:v>
                </c:pt>
                <c:pt idx="141">
                  <c:v>7.1379992257819304E-3</c:v>
                </c:pt>
                <c:pt idx="142">
                  <c:v>8.8387623730158803E-3</c:v>
                </c:pt>
                <c:pt idx="143">
                  <c:v>6.8063551022644799E-3</c:v>
                </c:pt>
                <c:pt idx="144">
                  <c:v>2.32591825468683E-3</c:v>
                </c:pt>
                <c:pt idx="145">
                  <c:v>7.8635916125753703E-3</c:v>
                </c:pt>
                <c:pt idx="146">
                  <c:v>4.5371421025590204E-3</c:v>
                </c:pt>
                <c:pt idx="147">
                  <c:v>6.8143081893327498E-3</c:v>
                </c:pt>
                <c:pt idx="148">
                  <c:v>4.80489983581302E-3</c:v>
                </c:pt>
                <c:pt idx="149">
                  <c:v>-1.9550711887983598E-3</c:v>
                </c:pt>
                <c:pt idx="150">
                  <c:v>-3.0765934465795301E-4</c:v>
                </c:pt>
                <c:pt idx="151">
                  <c:v>3.5271610601468198E-3</c:v>
                </c:pt>
                <c:pt idx="152">
                  <c:v>-5.8125626856999398E-4</c:v>
                </c:pt>
                <c:pt idx="153">
                  <c:v>-1.8561388857673399E-3</c:v>
                </c:pt>
                <c:pt idx="154">
                  <c:v>-1.06350927856634E-4</c:v>
                </c:pt>
                <c:pt idx="155">
                  <c:v>-4.8244108387110202E-4</c:v>
                </c:pt>
                <c:pt idx="156">
                  <c:v>-7.5601987730054398E-3</c:v>
                </c:pt>
                <c:pt idx="157">
                  <c:v>-1.03080077039491E-2</c:v>
                </c:pt>
                <c:pt idx="158">
                  <c:v>-2.3391039188717499E-3</c:v>
                </c:pt>
                <c:pt idx="159">
                  <c:v>-4.8311564070179901E-3</c:v>
                </c:pt>
                <c:pt idx="160">
                  <c:v>-4.0357418630787801E-3</c:v>
                </c:pt>
                <c:pt idx="161">
                  <c:v>-9.2267894591263697E-3</c:v>
                </c:pt>
                <c:pt idx="162">
                  <c:v>-5.5877725090385296E-3</c:v>
                </c:pt>
                <c:pt idx="163">
                  <c:v>1.13815356484055E-3</c:v>
                </c:pt>
                <c:pt idx="164">
                  <c:v>-1.2433093683484799E-3</c:v>
                </c:pt>
                <c:pt idx="165">
                  <c:v>-6.7445726545687602E-3</c:v>
                </c:pt>
                <c:pt idx="166">
                  <c:v>-5.5097398840850496E-3</c:v>
                </c:pt>
                <c:pt idx="167">
                  <c:v>-1.4311996439748099E-4</c:v>
                </c:pt>
                <c:pt idx="168">
                  <c:v>5.0250564859239798E-3</c:v>
                </c:pt>
                <c:pt idx="169">
                  <c:v>5.0888324917318902E-3</c:v>
                </c:pt>
                <c:pt idx="170">
                  <c:v>5.0776582256436198E-3</c:v>
                </c:pt>
                <c:pt idx="171">
                  <c:v>4.0630651468574804E-3</c:v>
                </c:pt>
                <c:pt idx="172">
                  <c:v>5.1635806661939499E-3</c:v>
                </c:pt>
                <c:pt idx="173">
                  <c:v>3.7090763442554102E-3</c:v>
                </c:pt>
                <c:pt idx="174">
                  <c:v>2.2672290156838901E-4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1-4E2E-B7B8-006835D4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BF A*/BF 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1.01735801017489</c:v>
                </c:pt>
                <c:pt idx="1">
                  <c:v>1.01735801017489</c:v>
                </c:pt>
                <c:pt idx="2">
                  <c:v>1.01735801017489</c:v>
                </c:pt>
                <c:pt idx="3">
                  <c:v>1.01735801017489</c:v>
                </c:pt>
                <c:pt idx="4">
                  <c:v>1.01735801017489</c:v>
                </c:pt>
                <c:pt idx="5">
                  <c:v>1.01735801017489</c:v>
                </c:pt>
                <c:pt idx="6">
                  <c:v>1.01735801017489</c:v>
                </c:pt>
                <c:pt idx="7">
                  <c:v>1.01735801017489</c:v>
                </c:pt>
                <c:pt idx="8">
                  <c:v>1.01735801017489</c:v>
                </c:pt>
                <c:pt idx="9">
                  <c:v>1.01735801017489</c:v>
                </c:pt>
                <c:pt idx="10">
                  <c:v>1.01735801017489</c:v>
                </c:pt>
                <c:pt idx="11">
                  <c:v>1.01735801017489</c:v>
                </c:pt>
                <c:pt idx="12">
                  <c:v>1.01735801017489</c:v>
                </c:pt>
                <c:pt idx="13">
                  <c:v>1.01735801017489</c:v>
                </c:pt>
                <c:pt idx="14">
                  <c:v>1.01735801017489</c:v>
                </c:pt>
                <c:pt idx="15">
                  <c:v>1.01735801017489</c:v>
                </c:pt>
                <c:pt idx="16">
                  <c:v>1.01735801017489</c:v>
                </c:pt>
                <c:pt idx="17">
                  <c:v>1.01735801017489</c:v>
                </c:pt>
                <c:pt idx="18">
                  <c:v>1.01735801017489</c:v>
                </c:pt>
                <c:pt idx="19">
                  <c:v>1.01735801017489</c:v>
                </c:pt>
                <c:pt idx="20">
                  <c:v>1.01735801017489</c:v>
                </c:pt>
                <c:pt idx="21">
                  <c:v>1.01735801017489</c:v>
                </c:pt>
                <c:pt idx="22">
                  <c:v>1.01735801017489</c:v>
                </c:pt>
                <c:pt idx="23">
                  <c:v>1.01735801017489</c:v>
                </c:pt>
                <c:pt idx="24">
                  <c:v>1.01735801017489</c:v>
                </c:pt>
                <c:pt idx="25">
                  <c:v>1.01735801017489</c:v>
                </c:pt>
                <c:pt idx="26">
                  <c:v>1.01735801017489</c:v>
                </c:pt>
                <c:pt idx="27">
                  <c:v>1.01735801017489</c:v>
                </c:pt>
                <c:pt idx="28">
                  <c:v>1.01735801017489</c:v>
                </c:pt>
                <c:pt idx="29">
                  <c:v>1.01735801017489</c:v>
                </c:pt>
                <c:pt idx="30">
                  <c:v>1.01735801017489</c:v>
                </c:pt>
                <c:pt idx="31">
                  <c:v>1.01735801017489</c:v>
                </c:pt>
                <c:pt idx="32">
                  <c:v>1.01735801017489</c:v>
                </c:pt>
                <c:pt idx="33">
                  <c:v>1.01735801017489</c:v>
                </c:pt>
                <c:pt idx="34">
                  <c:v>1.01735801017489</c:v>
                </c:pt>
                <c:pt idx="35">
                  <c:v>1.01735801017489</c:v>
                </c:pt>
                <c:pt idx="36">
                  <c:v>1.01735801017489</c:v>
                </c:pt>
                <c:pt idx="37">
                  <c:v>1.01735801017489</c:v>
                </c:pt>
                <c:pt idx="38">
                  <c:v>1.01735801017489</c:v>
                </c:pt>
                <c:pt idx="39">
                  <c:v>1.01735801017489</c:v>
                </c:pt>
                <c:pt idx="40">
                  <c:v>1.01735801017489</c:v>
                </c:pt>
                <c:pt idx="41">
                  <c:v>1.01735801017489</c:v>
                </c:pt>
                <c:pt idx="42">
                  <c:v>1.01735801017489</c:v>
                </c:pt>
                <c:pt idx="43">
                  <c:v>1.01735801017489</c:v>
                </c:pt>
                <c:pt idx="44">
                  <c:v>1.01735801017489</c:v>
                </c:pt>
                <c:pt idx="45">
                  <c:v>1.01735801017489</c:v>
                </c:pt>
                <c:pt idx="46">
                  <c:v>1.01735801017489</c:v>
                </c:pt>
                <c:pt idx="47">
                  <c:v>1.01735801017489</c:v>
                </c:pt>
                <c:pt idx="48">
                  <c:v>1.01735801017489</c:v>
                </c:pt>
                <c:pt idx="49">
                  <c:v>1.01735801017489</c:v>
                </c:pt>
                <c:pt idx="50">
                  <c:v>1.01735801017489</c:v>
                </c:pt>
                <c:pt idx="51">
                  <c:v>1.01735801017489</c:v>
                </c:pt>
                <c:pt idx="52">
                  <c:v>1.01735801017489</c:v>
                </c:pt>
                <c:pt idx="53">
                  <c:v>1.01735801017489</c:v>
                </c:pt>
                <c:pt idx="54">
                  <c:v>1.01735801017489</c:v>
                </c:pt>
                <c:pt idx="55">
                  <c:v>1.01735801017489</c:v>
                </c:pt>
                <c:pt idx="56">
                  <c:v>1.01735801017489</c:v>
                </c:pt>
                <c:pt idx="57">
                  <c:v>1.01735801017489</c:v>
                </c:pt>
                <c:pt idx="58">
                  <c:v>1.01735801017489</c:v>
                </c:pt>
                <c:pt idx="59">
                  <c:v>1.01735801017489</c:v>
                </c:pt>
                <c:pt idx="60">
                  <c:v>1.01735801017489</c:v>
                </c:pt>
                <c:pt idx="61">
                  <c:v>1.01735801017489</c:v>
                </c:pt>
                <c:pt idx="62">
                  <c:v>1.01735801017489</c:v>
                </c:pt>
                <c:pt idx="63">
                  <c:v>1.01735801017489</c:v>
                </c:pt>
                <c:pt idx="64">
                  <c:v>1.01735801017489</c:v>
                </c:pt>
                <c:pt idx="65">
                  <c:v>1.01735801017489</c:v>
                </c:pt>
                <c:pt idx="66">
                  <c:v>1.01735801017489</c:v>
                </c:pt>
                <c:pt idx="67">
                  <c:v>1.01735801017489</c:v>
                </c:pt>
                <c:pt idx="68">
                  <c:v>1.01735801017489</c:v>
                </c:pt>
                <c:pt idx="69">
                  <c:v>1.01735801017489</c:v>
                </c:pt>
                <c:pt idx="70">
                  <c:v>1.01735801017489</c:v>
                </c:pt>
                <c:pt idx="71">
                  <c:v>1.01735801017489</c:v>
                </c:pt>
                <c:pt idx="72">
                  <c:v>1.01735801017489</c:v>
                </c:pt>
                <c:pt idx="73">
                  <c:v>1.01735801017489</c:v>
                </c:pt>
                <c:pt idx="74">
                  <c:v>1.01735801017489</c:v>
                </c:pt>
                <c:pt idx="75">
                  <c:v>1.01735801017489</c:v>
                </c:pt>
                <c:pt idx="76">
                  <c:v>1.01735801017489</c:v>
                </c:pt>
                <c:pt idx="77">
                  <c:v>1.01735801017489</c:v>
                </c:pt>
                <c:pt idx="78">
                  <c:v>1.01735801017489</c:v>
                </c:pt>
                <c:pt idx="79">
                  <c:v>1.01735801017489</c:v>
                </c:pt>
                <c:pt idx="80">
                  <c:v>1.01735801017489</c:v>
                </c:pt>
                <c:pt idx="81">
                  <c:v>1.01735801017489</c:v>
                </c:pt>
                <c:pt idx="82">
                  <c:v>1.01735801017489</c:v>
                </c:pt>
                <c:pt idx="83">
                  <c:v>1.01735801017489</c:v>
                </c:pt>
                <c:pt idx="84">
                  <c:v>1.01735801017489</c:v>
                </c:pt>
                <c:pt idx="85">
                  <c:v>1.01735801017489</c:v>
                </c:pt>
                <c:pt idx="86">
                  <c:v>1.01735801017489</c:v>
                </c:pt>
                <c:pt idx="87">
                  <c:v>1.01735801017489</c:v>
                </c:pt>
                <c:pt idx="88">
                  <c:v>1.01735801017489</c:v>
                </c:pt>
                <c:pt idx="89">
                  <c:v>1.01735801017489</c:v>
                </c:pt>
                <c:pt idx="90">
                  <c:v>1.01735801017489</c:v>
                </c:pt>
                <c:pt idx="91">
                  <c:v>1.01735801017489</c:v>
                </c:pt>
                <c:pt idx="92">
                  <c:v>1.01735801017489</c:v>
                </c:pt>
                <c:pt idx="93">
                  <c:v>1.01735801017489</c:v>
                </c:pt>
                <c:pt idx="94">
                  <c:v>1.01735801017489</c:v>
                </c:pt>
                <c:pt idx="95">
                  <c:v>1.01735801017489</c:v>
                </c:pt>
                <c:pt idx="96">
                  <c:v>1.01735801017489</c:v>
                </c:pt>
                <c:pt idx="97">
                  <c:v>1.01735801017489</c:v>
                </c:pt>
                <c:pt idx="98">
                  <c:v>1.01735801017489</c:v>
                </c:pt>
                <c:pt idx="99">
                  <c:v>1.01735801017489</c:v>
                </c:pt>
                <c:pt idx="100">
                  <c:v>1.01735801017489</c:v>
                </c:pt>
                <c:pt idx="101">
                  <c:v>1.01735801017489</c:v>
                </c:pt>
                <c:pt idx="102">
                  <c:v>1.01735801017489</c:v>
                </c:pt>
                <c:pt idx="103">
                  <c:v>1.01735801017489</c:v>
                </c:pt>
                <c:pt idx="104">
                  <c:v>1.01735801017489</c:v>
                </c:pt>
                <c:pt idx="105">
                  <c:v>1.01735801017489</c:v>
                </c:pt>
                <c:pt idx="106">
                  <c:v>1.01735801017489</c:v>
                </c:pt>
                <c:pt idx="107">
                  <c:v>1.01735801017489</c:v>
                </c:pt>
                <c:pt idx="108">
                  <c:v>1.01735801017489</c:v>
                </c:pt>
                <c:pt idx="109">
                  <c:v>1.01735801017489</c:v>
                </c:pt>
                <c:pt idx="110">
                  <c:v>1.01735801017489</c:v>
                </c:pt>
                <c:pt idx="111">
                  <c:v>1.01735801017489</c:v>
                </c:pt>
                <c:pt idx="112">
                  <c:v>1.01735801017489</c:v>
                </c:pt>
                <c:pt idx="113">
                  <c:v>1.01735801017489</c:v>
                </c:pt>
                <c:pt idx="114">
                  <c:v>1.01735801017489</c:v>
                </c:pt>
                <c:pt idx="115">
                  <c:v>1.01735801017489</c:v>
                </c:pt>
                <c:pt idx="116">
                  <c:v>1.01735801017489</c:v>
                </c:pt>
                <c:pt idx="117">
                  <c:v>1.01735801017489</c:v>
                </c:pt>
                <c:pt idx="118">
                  <c:v>1.01735801017489</c:v>
                </c:pt>
                <c:pt idx="119">
                  <c:v>1.01735801017489</c:v>
                </c:pt>
                <c:pt idx="120">
                  <c:v>1.01735801017489</c:v>
                </c:pt>
                <c:pt idx="121">
                  <c:v>1.01735801017489</c:v>
                </c:pt>
                <c:pt idx="122">
                  <c:v>1.01735801017489</c:v>
                </c:pt>
                <c:pt idx="123">
                  <c:v>1.01735801017489</c:v>
                </c:pt>
                <c:pt idx="124">
                  <c:v>1.01735801017489</c:v>
                </c:pt>
                <c:pt idx="125">
                  <c:v>1.01735801017489</c:v>
                </c:pt>
                <c:pt idx="126">
                  <c:v>1.01735801017489</c:v>
                </c:pt>
                <c:pt idx="127">
                  <c:v>1.01735801017489</c:v>
                </c:pt>
                <c:pt idx="128">
                  <c:v>1.01735801017489</c:v>
                </c:pt>
                <c:pt idx="129">
                  <c:v>1.01735801017489</c:v>
                </c:pt>
                <c:pt idx="130">
                  <c:v>1.01735801017489</c:v>
                </c:pt>
                <c:pt idx="131">
                  <c:v>1.01735801017489</c:v>
                </c:pt>
                <c:pt idx="132">
                  <c:v>1.01735801017489</c:v>
                </c:pt>
                <c:pt idx="133">
                  <c:v>1.01735801017489</c:v>
                </c:pt>
                <c:pt idx="134">
                  <c:v>1.01735801017489</c:v>
                </c:pt>
                <c:pt idx="135">
                  <c:v>1.01735801017489</c:v>
                </c:pt>
                <c:pt idx="136">
                  <c:v>1.01735801017489</c:v>
                </c:pt>
                <c:pt idx="137">
                  <c:v>1.01735801017489</c:v>
                </c:pt>
                <c:pt idx="138">
                  <c:v>1.01735801017489</c:v>
                </c:pt>
                <c:pt idx="139">
                  <c:v>1.01735801017489</c:v>
                </c:pt>
                <c:pt idx="140">
                  <c:v>1.01735801017489</c:v>
                </c:pt>
                <c:pt idx="141">
                  <c:v>1.01735801017489</c:v>
                </c:pt>
                <c:pt idx="142">
                  <c:v>1.01735801017489</c:v>
                </c:pt>
                <c:pt idx="143">
                  <c:v>1.01735801017489</c:v>
                </c:pt>
                <c:pt idx="144">
                  <c:v>1.01735801017489</c:v>
                </c:pt>
                <c:pt idx="145">
                  <c:v>1.01735801017489</c:v>
                </c:pt>
                <c:pt idx="146">
                  <c:v>1.01735801017489</c:v>
                </c:pt>
                <c:pt idx="147">
                  <c:v>1.01735801017489</c:v>
                </c:pt>
                <c:pt idx="148">
                  <c:v>1.01735801017489</c:v>
                </c:pt>
                <c:pt idx="149">
                  <c:v>1.01735801017489</c:v>
                </c:pt>
                <c:pt idx="150">
                  <c:v>1.01735801017489</c:v>
                </c:pt>
                <c:pt idx="151">
                  <c:v>1.01735801017489</c:v>
                </c:pt>
                <c:pt idx="152">
                  <c:v>1.01735801017489</c:v>
                </c:pt>
                <c:pt idx="153">
                  <c:v>1.01735801017489</c:v>
                </c:pt>
                <c:pt idx="154">
                  <c:v>1.01735801017489</c:v>
                </c:pt>
                <c:pt idx="155">
                  <c:v>1.01735801017489</c:v>
                </c:pt>
                <c:pt idx="156">
                  <c:v>1.01735801017489</c:v>
                </c:pt>
                <c:pt idx="157">
                  <c:v>1.01735801017489</c:v>
                </c:pt>
                <c:pt idx="158">
                  <c:v>1.01735801017489</c:v>
                </c:pt>
                <c:pt idx="159">
                  <c:v>1.01735801017489</c:v>
                </c:pt>
                <c:pt idx="160">
                  <c:v>1.01735801017489</c:v>
                </c:pt>
                <c:pt idx="161">
                  <c:v>1.01735801017489</c:v>
                </c:pt>
                <c:pt idx="162">
                  <c:v>1.01735801017489</c:v>
                </c:pt>
                <c:pt idx="163">
                  <c:v>1.01735801017489</c:v>
                </c:pt>
                <c:pt idx="164">
                  <c:v>1.01735801017489</c:v>
                </c:pt>
                <c:pt idx="165">
                  <c:v>1.01735801017489</c:v>
                </c:pt>
                <c:pt idx="166">
                  <c:v>1.01735801017489</c:v>
                </c:pt>
                <c:pt idx="167">
                  <c:v>1.01735801017489</c:v>
                </c:pt>
                <c:pt idx="168">
                  <c:v>1.01735801017489</c:v>
                </c:pt>
                <c:pt idx="169">
                  <c:v>1.01735801017489</c:v>
                </c:pt>
                <c:pt idx="170">
                  <c:v>1.01735801017489</c:v>
                </c:pt>
                <c:pt idx="171">
                  <c:v>1.01735801017489</c:v>
                </c:pt>
                <c:pt idx="172">
                  <c:v>1.01735801017489</c:v>
                </c:pt>
                <c:pt idx="173">
                  <c:v>1.01735801017489</c:v>
                </c:pt>
                <c:pt idx="174">
                  <c:v>1.01735801017489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8-48C8-97A8-2C32FC6F770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BF A*/BF 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1.00726169307082</c:v>
                </c:pt>
                <c:pt idx="10">
                  <c:v>1.0077889820277199</c:v>
                </c:pt>
                <c:pt idx="11">
                  <c:v>1.00808262361228</c:v>
                </c:pt>
                <c:pt idx="12">
                  <c:v>1.00804343399609</c:v>
                </c:pt>
                <c:pt idx="13">
                  <c:v>1.0084074886805601</c:v>
                </c:pt>
                <c:pt idx="14">
                  <c:v>1.00879762056891</c:v>
                </c:pt>
                <c:pt idx="15">
                  <c:v>1.0091642919388399</c:v>
                </c:pt>
                <c:pt idx="16">
                  <c:v>1.00964506886065</c:v>
                </c:pt>
                <c:pt idx="17">
                  <c:v>1.01002711420095</c:v>
                </c:pt>
                <c:pt idx="18">
                  <c:v>1.0109634524909099</c:v>
                </c:pt>
                <c:pt idx="19">
                  <c:v>1.01180532096696</c:v>
                </c:pt>
                <c:pt idx="20">
                  <c:v>1.01266815282537</c:v>
                </c:pt>
                <c:pt idx="21">
                  <c:v>1.0132724654808101</c:v>
                </c:pt>
                <c:pt idx="22">
                  <c:v>1.01423916164075</c:v>
                </c:pt>
                <c:pt idx="23">
                  <c:v>1.01471837881678</c:v>
                </c:pt>
                <c:pt idx="24">
                  <c:v>1.0149568334250001</c:v>
                </c:pt>
                <c:pt idx="25">
                  <c:v>1.0155974522604401</c:v>
                </c:pt>
                <c:pt idx="26">
                  <c:v>1.01562344232127</c:v>
                </c:pt>
                <c:pt idx="27">
                  <c:v>1.0149418273725901</c:v>
                </c:pt>
                <c:pt idx="28">
                  <c:v>1.0139347766600599</c:v>
                </c:pt>
                <c:pt idx="29">
                  <c:v>1.01315560689533</c:v>
                </c:pt>
                <c:pt idx="30">
                  <c:v>1.0121087923529399</c:v>
                </c:pt>
                <c:pt idx="31">
                  <c:v>1.0118343086399899</c:v>
                </c:pt>
                <c:pt idx="32">
                  <c:v>1.0120316135858001</c:v>
                </c:pt>
                <c:pt idx="33">
                  <c:v>1.0116453382389301</c:v>
                </c:pt>
                <c:pt idx="34">
                  <c:v>1.01201064479735</c:v>
                </c:pt>
                <c:pt idx="35">
                  <c:v>1.01182779091186</c:v>
                </c:pt>
                <c:pt idx="36">
                  <c:v>1.01248548165907</c:v>
                </c:pt>
                <c:pt idx="37">
                  <c:v>1.0135312455407499</c:v>
                </c:pt>
                <c:pt idx="38">
                  <c:v>1.0147094596958099</c:v>
                </c:pt>
                <c:pt idx="39">
                  <c:v>1.01533308717431</c:v>
                </c:pt>
                <c:pt idx="40">
                  <c:v>1.01596350900985</c:v>
                </c:pt>
                <c:pt idx="41">
                  <c:v>1.0168125721099499</c:v>
                </c:pt>
                <c:pt idx="42">
                  <c:v>1.01733356865052</c:v>
                </c:pt>
                <c:pt idx="43">
                  <c:v>1.0180667504949901</c:v>
                </c:pt>
                <c:pt idx="44">
                  <c:v>1.0185815393623501</c:v>
                </c:pt>
                <c:pt idx="45">
                  <c:v>1.01863768249238</c:v>
                </c:pt>
                <c:pt idx="46">
                  <c:v>1.0184671813624699</c:v>
                </c:pt>
                <c:pt idx="47">
                  <c:v>1.0186413277074999</c:v>
                </c:pt>
                <c:pt idx="48">
                  <c:v>1.0184413930248</c:v>
                </c:pt>
                <c:pt idx="49">
                  <c:v>1.01873602040782</c:v>
                </c:pt>
                <c:pt idx="50">
                  <c:v>1.01914091314971</c:v>
                </c:pt>
                <c:pt idx="51">
                  <c:v>1.0181528061571301</c:v>
                </c:pt>
                <c:pt idx="52">
                  <c:v>1.0171334866845201</c:v>
                </c:pt>
                <c:pt idx="53">
                  <c:v>1.0175578105583301</c:v>
                </c:pt>
                <c:pt idx="54">
                  <c:v>1.01730627611056</c:v>
                </c:pt>
                <c:pt idx="55">
                  <c:v>1.01752522900461</c:v>
                </c:pt>
                <c:pt idx="56">
                  <c:v>1.0172849700473201</c:v>
                </c:pt>
                <c:pt idx="57">
                  <c:v>1.0160455578196099</c:v>
                </c:pt>
                <c:pt idx="58">
                  <c:v>1.0145129907698001</c:v>
                </c:pt>
                <c:pt idx="59">
                  <c:v>1.0135168949541</c:v>
                </c:pt>
                <c:pt idx="60">
                  <c:v>1.0131559816183899</c:v>
                </c:pt>
                <c:pt idx="61">
                  <c:v>1.0132556627112499</c:v>
                </c:pt>
                <c:pt idx="62">
                  <c:v>1.01332548954743</c:v>
                </c:pt>
                <c:pt idx="63">
                  <c:v>1.01253478523333</c:v>
                </c:pt>
                <c:pt idx="64">
                  <c:v>1.01110554385923</c:v>
                </c:pt>
                <c:pt idx="65">
                  <c:v>1.0109526476522299</c:v>
                </c:pt>
                <c:pt idx="66">
                  <c:v>1.0096318696942601</c:v>
                </c:pt>
                <c:pt idx="67">
                  <c:v>1.00937272452158</c:v>
                </c:pt>
                <c:pt idx="68">
                  <c:v>1.01046599408086</c:v>
                </c:pt>
                <c:pt idx="69">
                  <c:v>1.01121713568048</c:v>
                </c:pt>
                <c:pt idx="70">
                  <c:v>1.01161810479042</c:v>
                </c:pt>
                <c:pt idx="71">
                  <c:v>1.0113840668849401</c:v>
                </c:pt>
                <c:pt idx="72">
                  <c:v>1.01210274725236</c:v>
                </c:pt>
                <c:pt idx="73">
                  <c:v>1.01258529481093</c:v>
                </c:pt>
                <c:pt idx="74">
                  <c:v>1.0142521743655</c:v>
                </c:pt>
                <c:pt idx="75">
                  <c:v>1.0142279716738301</c:v>
                </c:pt>
                <c:pt idx="76">
                  <c:v>1.0157972371512201</c:v>
                </c:pt>
                <c:pt idx="77">
                  <c:v>1.0171692005861299</c:v>
                </c:pt>
                <c:pt idx="78">
                  <c:v>1.0179969168912999</c:v>
                </c:pt>
                <c:pt idx="79">
                  <c:v>1.0188382695296501</c:v>
                </c:pt>
                <c:pt idx="80">
                  <c:v>1.01924463015308</c:v>
                </c:pt>
                <c:pt idx="81">
                  <c:v>1.02013745695322</c:v>
                </c:pt>
                <c:pt idx="82">
                  <c:v>1.02061350197307</c:v>
                </c:pt>
                <c:pt idx="83">
                  <c:v>1.02062467234537</c:v>
                </c:pt>
                <c:pt idx="84">
                  <c:v>1.0207149137440901</c:v>
                </c:pt>
                <c:pt idx="85">
                  <c:v>1.0212503027341799</c:v>
                </c:pt>
                <c:pt idx="86">
                  <c:v>1.0223789923297499</c:v>
                </c:pt>
                <c:pt idx="87">
                  <c:v>1.02275157049511</c:v>
                </c:pt>
                <c:pt idx="88">
                  <c:v>1.02317870240927</c:v>
                </c:pt>
                <c:pt idx="89">
                  <c:v>1.0237369442116799</c:v>
                </c:pt>
                <c:pt idx="90">
                  <c:v>1.0248933243609299</c:v>
                </c:pt>
                <c:pt idx="91">
                  <c:v>1.0259039301666599</c:v>
                </c:pt>
                <c:pt idx="92">
                  <c:v>1.0271531122992399</c:v>
                </c:pt>
                <c:pt idx="93">
                  <c:v>1.0284398229932501</c:v>
                </c:pt>
                <c:pt idx="94">
                  <c:v>1.0291637388677499</c:v>
                </c:pt>
                <c:pt idx="95">
                  <c:v>1.0301321860563399</c:v>
                </c:pt>
                <c:pt idx="96">
                  <c:v>1.0302478983560099</c:v>
                </c:pt>
                <c:pt idx="97">
                  <c:v>1.0308065181327399</c:v>
                </c:pt>
                <c:pt idx="98">
                  <c:v>1.03145288419968</c:v>
                </c:pt>
                <c:pt idx="99">
                  <c:v>1.0314854256995301</c:v>
                </c:pt>
                <c:pt idx="100">
                  <c:v>1.03120258642197</c:v>
                </c:pt>
                <c:pt idx="101">
                  <c:v>1.0321398403468101</c:v>
                </c:pt>
                <c:pt idx="102">
                  <c:v>1.0312865900041901</c:v>
                </c:pt>
                <c:pt idx="103">
                  <c:v>1.0313804839210201</c:v>
                </c:pt>
                <c:pt idx="104">
                  <c:v>1.0315600472350099</c:v>
                </c:pt>
                <c:pt idx="105">
                  <c:v>1.03177821699872</c:v>
                </c:pt>
                <c:pt idx="106">
                  <c:v>1.0306936118041701</c:v>
                </c:pt>
                <c:pt idx="107">
                  <c:v>1.0296450617239099</c:v>
                </c:pt>
                <c:pt idx="108">
                  <c:v>1.0281096126707301</c:v>
                </c:pt>
                <c:pt idx="109">
                  <c:v>1.02630885526164</c:v>
                </c:pt>
                <c:pt idx="110">
                  <c:v>1.0254781458089699</c:v>
                </c:pt>
                <c:pt idx="111">
                  <c:v>1.02299515033986</c:v>
                </c:pt>
                <c:pt idx="112">
                  <c:v>1.0209129751475099</c:v>
                </c:pt>
                <c:pt idx="113">
                  <c:v>1.0178430142311601</c:v>
                </c:pt>
                <c:pt idx="114">
                  <c:v>1.01473197221843</c:v>
                </c:pt>
                <c:pt idx="115">
                  <c:v>1.0114326792097901</c:v>
                </c:pt>
                <c:pt idx="116">
                  <c:v>1.0095167366833</c:v>
                </c:pt>
                <c:pt idx="117">
                  <c:v>1.0075867303075201</c:v>
                </c:pt>
                <c:pt idx="118">
                  <c:v>1.0070989185367301</c:v>
                </c:pt>
                <c:pt idx="119">
                  <c:v>1.0075545865666</c:v>
                </c:pt>
                <c:pt idx="120">
                  <c:v>1.0077411885445799</c:v>
                </c:pt>
                <c:pt idx="121">
                  <c:v>1.0082092557934701</c:v>
                </c:pt>
                <c:pt idx="122">
                  <c:v>1.01009391087439</c:v>
                </c:pt>
                <c:pt idx="123">
                  <c:v>1.0124270045870301</c:v>
                </c:pt>
                <c:pt idx="124">
                  <c:v>1.01468138225508</c:v>
                </c:pt>
                <c:pt idx="125">
                  <c:v>1.01743866380848</c:v>
                </c:pt>
                <c:pt idx="126">
                  <c:v>1.0196443206719401</c:v>
                </c:pt>
                <c:pt idx="127">
                  <c:v>1.02185741600361</c:v>
                </c:pt>
                <c:pt idx="128">
                  <c:v>1.02274979329924</c:v>
                </c:pt>
                <c:pt idx="129">
                  <c:v>1.02273104637771</c:v>
                </c:pt>
                <c:pt idx="130">
                  <c:v>1.0219705313562499</c:v>
                </c:pt>
                <c:pt idx="131">
                  <c:v>1.0224888333287301</c:v>
                </c:pt>
                <c:pt idx="132">
                  <c:v>1.0214202007345199</c:v>
                </c:pt>
                <c:pt idx="133">
                  <c:v>1.0203667619588801</c:v>
                </c:pt>
                <c:pt idx="134">
                  <c:v>1.02022330125636</c:v>
                </c:pt>
                <c:pt idx="135">
                  <c:v>1.01981361531068</c:v>
                </c:pt>
                <c:pt idx="136">
                  <c:v>1.0192476218103399</c:v>
                </c:pt>
                <c:pt idx="137">
                  <c:v>1.0188531735781501</c:v>
                </c:pt>
                <c:pt idx="138">
                  <c:v>1.0191296510819501</c:v>
                </c:pt>
                <c:pt idx="139">
                  <c:v>1.0199021924642799</c:v>
                </c:pt>
                <c:pt idx="140">
                  <c:v>1.0202364990336199</c:v>
                </c:pt>
                <c:pt idx="141">
                  <c:v>1.0191903031941401</c:v>
                </c:pt>
                <c:pt idx="142">
                  <c:v>1.0187804075415301</c:v>
                </c:pt>
                <c:pt idx="143">
                  <c:v>1.0184806053431099</c:v>
                </c:pt>
                <c:pt idx="144">
                  <c:v>1.0180360223487099</c:v>
                </c:pt>
                <c:pt idx="145">
                  <c:v>1.01680313368093</c:v>
                </c:pt>
                <c:pt idx="146">
                  <c:v>1.0164232819742001</c:v>
                </c:pt>
                <c:pt idx="147">
                  <c:v>1.0156602426893699</c:v>
                </c:pt>
                <c:pt idx="148">
                  <c:v>1.01475822641771</c:v>
                </c:pt>
                <c:pt idx="149">
                  <c:v>1.01423599038057</c:v>
                </c:pt>
                <c:pt idx="150">
                  <c:v>1.0140398888484801</c:v>
                </c:pt>
                <c:pt idx="151">
                  <c:v>1.01401149613528</c:v>
                </c:pt>
                <c:pt idx="152">
                  <c:v>1.0145450569866501</c:v>
                </c:pt>
                <c:pt idx="153">
                  <c:v>1.0150821407241699</c:v>
                </c:pt>
                <c:pt idx="154">
                  <c:v>1.01506555788209</c:v>
                </c:pt>
                <c:pt idx="155">
                  <c:v>1.0156549843721701</c:v>
                </c:pt>
                <c:pt idx="156">
                  <c:v>1.0166792281724599</c:v>
                </c:pt>
                <c:pt idx="157">
                  <c:v>1.01829531625102</c:v>
                </c:pt>
                <c:pt idx="158">
                  <c:v>1.01899319275165</c:v>
                </c:pt>
                <c:pt idx="159">
                  <c:v>1.01927981274641</c:v>
                </c:pt>
                <c:pt idx="160">
                  <c:v>1.0196285642309</c:v>
                </c:pt>
                <c:pt idx="161">
                  <c:v>1.0208988497685201</c:v>
                </c:pt>
                <c:pt idx="162">
                  <c:v>1.02149529153353</c:v>
                </c:pt>
                <c:pt idx="163">
                  <c:v>1.02132635335146</c:v>
                </c:pt>
                <c:pt idx="164">
                  <c:v>1.0215844996310799</c:v>
                </c:pt>
                <c:pt idx="165">
                  <c:v>1.0224020071494999</c:v>
                </c:pt>
                <c:pt idx="166">
                  <c:v>1.0224737576951399</c:v>
                </c:pt>
                <c:pt idx="167">
                  <c:v>1.02173759359519</c:v>
                </c:pt>
                <c:pt idx="168">
                  <c:v>1.02129202268443</c:v>
                </c:pt>
                <c:pt idx="169">
                  <c:v>1.0206084404959199</c:v>
                </c:pt>
                <c:pt idx="170">
                  <c:v>1.0199993164865</c:v>
                </c:pt>
                <c:pt idx="171">
                  <c:v>1.0189412182461499</c:v>
                </c:pt>
                <c:pt idx="172">
                  <c:v>1.01809229558423</c:v>
                </c:pt>
                <c:pt idx="173">
                  <c:v>1.0180079092390499</c:v>
                </c:pt>
                <c:pt idx="174">
                  <c:v>1.01800440907777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8-48C8-97A8-2C32FC6F770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BF A*/BF 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1.00953350701889</c:v>
                </c:pt>
                <c:pt idx="20">
                  <c:v>1.0102285674265401</c:v>
                </c:pt>
                <c:pt idx="21">
                  <c:v>1.0106775445465399</c:v>
                </c:pt>
                <c:pt idx="22">
                  <c:v>1.01114129781842</c:v>
                </c:pt>
                <c:pt idx="23">
                  <c:v>1.01156293374867</c:v>
                </c:pt>
                <c:pt idx="24">
                  <c:v>1.01187722699696</c:v>
                </c:pt>
                <c:pt idx="25">
                  <c:v>1.0123808720996399</c:v>
                </c:pt>
                <c:pt idx="26">
                  <c:v>1.01263425559096</c:v>
                </c:pt>
                <c:pt idx="27">
                  <c:v>1.01248447078677</c:v>
                </c:pt>
                <c:pt idx="28">
                  <c:v>1.0124491145754899</c:v>
                </c:pt>
                <c:pt idx="29">
                  <c:v>1.01248046393115</c:v>
                </c:pt>
                <c:pt idx="30">
                  <c:v>1.0123884725891501</c:v>
                </c:pt>
                <c:pt idx="31">
                  <c:v>1.0125533870604</c:v>
                </c:pt>
                <c:pt idx="32">
                  <c:v>1.01313538761328</c:v>
                </c:pt>
                <c:pt idx="33">
                  <c:v>1.01318185852786</c:v>
                </c:pt>
                <c:pt idx="34">
                  <c:v>1.0134837391111799</c:v>
                </c:pt>
                <c:pt idx="35">
                  <c:v>1.0137126215861501</c:v>
                </c:pt>
                <c:pt idx="36">
                  <c:v>1.0140544619901699</c:v>
                </c:pt>
                <c:pt idx="37">
                  <c:v>1.0142365364566699</c:v>
                </c:pt>
                <c:pt idx="38">
                  <c:v>1.01432211817794</c:v>
                </c:pt>
                <c:pt idx="39">
                  <c:v>1.0142443470348199</c:v>
                </c:pt>
                <c:pt idx="40">
                  <c:v>1.01403615068139</c:v>
                </c:pt>
                <c:pt idx="41">
                  <c:v>1.0143234403749699</c:v>
                </c:pt>
                <c:pt idx="42">
                  <c:v>1.0146825911181601</c:v>
                </c:pt>
                <c:pt idx="43">
                  <c:v>1.0148560443669601</c:v>
                </c:pt>
                <c:pt idx="44">
                  <c:v>1.0152960920798499</c:v>
                </c:pt>
                <c:pt idx="45">
                  <c:v>1.0152327367021201</c:v>
                </c:pt>
                <c:pt idx="46">
                  <c:v>1.01547633151077</c:v>
                </c:pt>
                <c:pt idx="47">
                  <c:v>1.01608628662412</c:v>
                </c:pt>
                <c:pt idx="48">
                  <c:v>1.01657542636031</c:v>
                </c:pt>
                <c:pt idx="49">
                  <c:v>1.0170345537910599</c:v>
                </c:pt>
                <c:pt idx="50">
                  <c:v>1.0175522110797799</c:v>
                </c:pt>
                <c:pt idx="51">
                  <c:v>1.01748268913354</c:v>
                </c:pt>
                <c:pt idx="52">
                  <c:v>1.01723352766752</c:v>
                </c:pt>
                <c:pt idx="53">
                  <c:v>1.0178122805266601</c:v>
                </c:pt>
                <c:pt idx="54">
                  <c:v>1.01794390773645</c:v>
                </c:pt>
                <c:pt idx="55">
                  <c:v>1.0180814557485001</c:v>
                </c:pt>
                <c:pt idx="56">
                  <c:v>1.0178760757048899</c:v>
                </c:pt>
                <c:pt idx="57">
                  <c:v>1.0173434427635499</c:v>
                </c:pt>
                <c:pt idx="58">
                  <c:v>1.0164771918972999</c:v>
                </c:pt>
                <c:pt idx="59">
                  <c:v>1.0161264576809601</c:v>
                </c:pt>
                <c:pt idx="60">
                  <c:v>1.0161484473840501</c:v>
                </c:pt>
                <c:pt idx="61">
                  <c:v>1.01570423443419</c:v>
                </c:pt>
                <c:pt idx="62">
                  <c:v>1.01522948811597</c:v>
                </c:pt>
                <c:pt idx="63">
                  <c:v>1.0150462978958299</c:v>
                </c:pt>
                <c:pt idx="64">
                  <c:v>1.0142059099848999</c:v>
                </c:pt>
                <c:pt idx="65">
                  <c:v>1.01423893832842</c:v>
                </c:pt>
                <c:pt idx="66">
                  <c:v>1.0134584198707901</c:v>
                </c:pt>
                <c:pt idx="67">
                  <c:v>1.0127091411706</c:v>
                </c:pt>
                <c:pt idx="68">
                  <c:v>1.01248949242533</c:v>
                </c:pt>
                <c:pt idx="69">
                  <c:v>1.0123670153172899</c:v>
                </c:pt>
                <c:pt idx="70">
                  <c:v>1.01238704320441</c:v>
                </c:pt>
                <c:pt idx="71">
                  <c:v>1.01231986479809</c:v>
                </c:pt>
                <c:pt idx="72">
                  <c:v>1.01271411839989</c:v>
                </c:pt>
                <c:pt idx="73">
                  <c:v>1.01256004002213</c:v>
                </c:pt>
                <c:pt idx="74">
                  <c:v>1.0126788591123701</c:v>
                </c:pt>
                <c:pt idx="75">
                  <c:v>1.01259030966303</c:v>
                </c:pt>
                <c:pt idx="76">
                  <c:v>1.01271455342274</c:v>
                </c:pt>
                <c:pt idx="77">
                  <c:v>1.0132709625538601</c:v>
                </c:pt>
                <c:pt idx="78">
                  <c:v>1.0142314554860801</c:v>
                </c:pt>
                <c:pt idx="79">
                  <c:v>1.01502770260507</c:v>
                </c:pt>
                <c:pt idx="80">
                  <c:v>1.0154313674717499</c:v>
                </c:pt>
                <c:pt idx="81">
                  <c:v>1.01576076191908</c:v>
                </c:pt>
                <c:pt idx="82">
                  <c:v>1.01635812461271</c:v>
                </c:pt>
                <c:pt idx="83">
                  <c:v>1.0166049835781501</c:v>
                </c:pt>
                <c:pt idx="84">
                  <c:v>1.01748354405479</c:v>
                </c:pt>
                <c:pt idx="85">
                  <c:v>1.0177391372040101</c:v>
                </c:pt>
                <c:pt idx="86">
                  <c:v>1.01908811474049</c:v>
                </c:pt>
                <c:pt idx="87">
                  <c:v>1.0199603855406201</c:v>
                </c:pt>
                <c:pt idx="88">
                  <c:v>1.0205878096502901</c:v>
                </c:pt>
                <c:pt idx="89">
                  <c:v>1.02128760687066</c:v>
                </c:pt>
                <c:pt idx="90">
                  <c:v>1.02206897725701</c:v>
                </c:pt>
                <c:pt idx="91">
                  <c:v>1.02302069355994</c:v>
                </c:pt>
                <c:pt idx="92">
                  <c:v>1.0238833071361599</c:v>
                </c:pt>
                <c:pt idx="93">
                  <c:v>1.0245322476693099</c:v>
                </c:pt>
                <c:pt idx="94">
                  <c:v>1.0249393263059201</c:v>
                </c:pt>
                <c:pt idx="95">
                  <c:v>1.0256912443952599</c:v>
                </c:pt>
                <c:pt idx="96">
                  <c:v>1.0263134453428799</c:v>
                </c:pt>
                <c:pt idx="97">
                  <c:v>1.02677904431392</c:v>
                </c:pt>
                <c:pt idx="98">
                  <c:v>1.0273157933044801</c:v>
                </c:pt>
                <c:pt idx="99">
                  <c:v>1.0276111849556</c:v>
                </c:pt>
                <c:pt idx="100">
                  <c:v>1.0280479553914501</c:v>
                </c:pt>
                <c:pt idx="101">
                  <c:v>1.0290218852567301</c:v>
                </c:pt>
                <c:pt idx="102">
                  <c:v>1.0292198511517201</c:v>
                </c:pt>
                <c:pt idx="103">
                  <c:v>1.02991015345714</c:v>
                </c:pt>
                <c:pt idx="104">
                  <c:v>1.03036189305138</c:v>
                </c:pt>
                <c:pt idx="105">
                  <c:v>1.0309552015275301</c:v>
                </c:pt>
                <c:pt idx="106">
                  <c:v>1.03047075508009</c:v>
                </c:pt>
                <c:pt idx="107">
                  <c:v>1.03022578992832</c:v>
                </c:pt>
                <c:pt idx="108">
                  <c:v>1.0297812484352</c:v>
                </c:pt>
                <c:pt idx="109">
                  <c:v>1.02889714048058</c:v>
                </c:pt>
                <c:pt idx="110">
                  <c:v>1.02834036611547</c:v>
                </c:pt>
                <c:pt idx="111">
                  <c:v>1.02756749534333</c:v>
                </c:pt>
                <c:pt idx="112">
                  <c:v>1.02609978257585</c:v>
                </c:pt>
                <c:pt idx="113">
                  <c:v>1.02461174907609</c:v>
                </c:pt>
                <c:pt idx="114">
                  <c:v>1.02314600972672</c:v>
                </c:pt>
                <c:pt idx="115">
                  <c:v>1.02160544810426</c:v>
                </c:pt>
                <c:pt idx="116">
                  <c:v>1.0201051742437299</c:v>
                </c:pt>
                <c:pt idx="117">
                  <c:v>1.0186158960157099</c:v>
                </c:pt>
                <c:pt idx="118">
                  <c:v>1.0176042656037301</c:v>
                </c:pt>
                <c:pt idx="119">
                  <c:v>1.01693172091412</c:v>
                </c:pt>
                <c:pt idx="120">
                  <c:v>1.0166096671767699</c:v>
                </c:pt>
                <c:pt idx="121">
                  <c:v>1.01560220306667</c:v>
                </c:pt>
                <c:pt idx="122">
                  <c:v>1.01550344301095</c:v>
                </c:pt>
                <c:pt idx="123">
                  <c:v>1.0151350094091001</c:v>
                </c:pt>
                <c:pt idx="124">
                  <c:v>1.0147066772367499</c:v>
                </c:pt>
                <c:pt idx="125">
                  <c:v>1.0144356715091301</c:v>
                </c:pt>
                <c:pt idx="126">
                  <c:v>1.0145805286776199</c:v>
                </c:pt>
                <c:pt idx="127">
                  <c:v>1.0147220731555699</c:v>
                </c:pt>
                <c:pt idx="128">
                  <c:v>1.0149243559179899</c:v>
                </c:pt>
                <c:pt idx="129">
                  <c:v>1.0151428164721501</c:v>
                </c:pt>
                <c:pt idx="130">
                  <c:v>1.01485585995042</c:v>
                </c:pt>
                <c:pt idx="131">
                  <c:v>1.0153490445611</c:v>
                </c:pt>
                <c:pt idx="132">
                  <c:v>1.01575705580445</c:v>
                </c:pt>
                <c:pt idx="133">
                  <c:v>1.01639688327296</c:v>
                </c:pt>
                <c:pt idx="134">
                  <c:v>1.01745234175572</c:v>
                </c:pt>
                <c:pt idx="135">
                  <c:v>1.0186261395595799</c:v>
                </c:pt>
                <c:pt idx="136">
                  <c:v>1.0194459712411399</c:v>
                </c:pt>
                <c:pt idx="137">
                  <c:v>1.0203552947908801</c:v>
                </c:pt>
                <c:pt idx="138">
                  <c:v>1.02093972219059</c:v>
                </c:pt>
                <c:pt idx="139">
                  <c:v>1.0213166194209899</c:v>
                </c:pt>
                <c:pt idx="140">
                  <c:v>1.0211035151949399</c:v>
                </c:pt>
                <c:pt idx="141">
                  <c:v>1.02083956826144</c:v>
                </c:pt>
                <c:pt idx="142">
                  <c:v>1.0201003041380301</c:v>
                </c:pt>
                <c:pt idx="143">
                  <c:v>1.019423683651</c:v>
                </c:pt>
                <c:pt idx="144">
                  <c:v>1.0191296618025301</c:v>
                </c:pt>
                <c:pt idx="145">
                  <c:v>1.0183083744958099</c:v>
                </c:pt>
                <c:pt idx="146">
                  <c:v>1.0178354518922701</c:v>
                </c:pt>
                <c:pt idx="147">
                  <c:v>1.01725670813376</c:v>
                </c:pt>
                <c:pt idx="148">
                  <c:v>1.01694393874983</c:v>
                </c:pt>
                <c:pt idx="149">
                  <c:v>1.0170690914224201</c:v>
                </c:pt>
                <c:pt idx="150">
                  <c:v>1.01713819394105</c:v>
                </c:pt>
                <c:pt idx="151">
                  <c:v>1.01660089966471</c:v>
                </c:pt>
                <c:pt idx="152">
                  <c:v>1.01666273226409</c:v>
                </c:pt>
                <c:pt idx="153">
                  <c:v>1.0167813730336399</c:v>
                </c:pt>
                <c:pt idx="154">
                  <c:v>1.0165507901154001</c:v>
                </c:pt>
                <c:pt idx="155">
                  <c:v>1.0162290590265499</c:v>
                </c:pt>
                <c:pt idx="156">
                  <c:v>1.01655125507333</c:v>
                </c:pt>
                <c:pt idx="157">
                  <c:v>1.0169777794702</c:v>
                </c:pt>
                <c:pt idx="158">
                  <c:v>1.0168757095846801</c:v>
                </c:pt>
                <c:pt idx="159">
                  <c:v>1.01675790156349</c:v>
                </c:pt>
                <c:pt idx="160">
                  <c:v>1.0168342265396899</c:v>
                </c:pt>
                <c:pt idx="161">
                  <c:v>1.0174551729518999</c:v>
                </c:pt>
                <c:pt idx="162">
                  <c:v>1.0180201742600901</c:v>
                </c:pt>
                <c:pt idx="163">
                  <c:v>1.0182042470378201</c:v>
                </c:pt>
                <c:pt idx="164">
                  <c:v>1.0183250287565899</c:v>
                </c:pt>
                <c:pt idx="165">
                  <c:v>1.01902849576083</c:v>
                </c:pt>
                <c:pt idx="166">
                  <c:v>1.0195764929338</c:v>
                </c:pt>
                <c:pt idx="167">
                  <c:v>1.0200164549230999</c:v>
                </c:pt>
                <c:pt idx="168">
                  <c:v>1.02014260771804</c:v>
                </c:pt>
                <c:pt idx="169">
                  <c:v>1.01994412662116</c:v>
                </c:pt>
                <c:pt idx="170">
                  <c:v>1.0198139403587001</c:v>
                </c:pt>
                <c:pt idx="171">
                  <c:v>1.01992003400734</c:v>
                </c:pt>
                <c:pt idx="172">
                  <c:v>1.0197937935588799</c:v>
                </c:pt>
                <c:pt idx="173">
                  <c:v>1.0196671312952601</c:v>
                </c:pt>
                <c:pt idx="174">
                  <c:v>1.01979445435442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8-48C8-97A8-2C32FC6F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BF B x avg / BF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9.8745565663010803E-3</c:v>
                </c:pt>
                <c:pt idx="2">
                  <c:v>1.1478406148275701E-2</c:v>
                </c:pt>
                <c:pt idx="3">
                  <c:v>1.0133579641060399E-2</c:v>
                </c:pt>
                <c:pt idx="4">
                  <c:v>1.0613518635341501E-2</c:v>
                </c:pt>
                <c:pt idx="5">
                  <c:v>1.06818931606289E-2</c:v>
                </c:pt>
                <c:pt idx="6">
                  <c:v>8.6060728693526708E-3</c:v>
                </c:pt>
                <c:pt idx="7">
                  <c:v>4.3883924281993801E-3</c:v>
                </c:pt>
                <c:pt idx="8">
                  <c:v>1.0978531106624501E-2</c:v>
                </c:pt>
                <c:pt idx="9">
                  <c:v>8.8560270230852306E-3</c:v>
                </c:pt>
                <c:pt idx="10">
                  <c:v>8.9102780425655108E-3</c:v>
                </c:pt>
                <c:pt idx="11">
                  <c:v>6.9638393944575199E-3</c:v>
                </c:pt>
                <c:pt idx="12">
                  <c:v>1.18681388394362E-2</c:v>
                </c:pt>
                <c:pt idx="13">
                  <c:v>6.5252185489480703E-3</c:v>
                </c:pt>
                <c:pt idx="14">
                  <c:v>6.7453375413064004E-3</c:v>
                </c:pt>
                <c:pt idx="15">
                  <c:v>7.0456539890845302E-3</c:v>
                </c:pt>
                <c:pt idx="16">
                  <c:v>3.85081171868155E-3</c:v>
                </c:pt>
                <c:pt idx="17">
                  <c:v>6.23702567446429E-4</c:v>
                </c:pt>
                <c:pt idx="18">
                  <c:v>1.7163327624646701E-3</c:v>
                </c:pt>
                <c:pt idx="19">
                  <c:v>5.4202837204905905E-4</c:v>
                </c:pt>
                <c:pt idx="20">
                  <c:v>3.8967156429978601E-4</c:v>
                </c:pt>
                <c:pt idx="21">
                  <c:v>1.0001283809410999E-3</c:v>
                </c:pt>
                <c:pt idx="22">
                  <c:v>2.2986046868964101E-3</c:v>
                </c:pt>
                <c:pt idx="23">
                  <c:v>1.7951774652281E-3</c:v>
                </c:pt>
                <c:pt idx="24">
                  <c:v>4.3883924281993801E-3</c:v>
                </c:pt>
                <c:pt idx="25">
                  <c:v>7.2426684982470799E-4</c:v>
                </c:pt>
                <c:pt idx="26">
                  <c:v>3.5943927249464601E-3</c:v>
                </c:pt>
                <c:pt idx="27">
                  <c:v>7.3503089255925703E-3</c:v>
                </c:pt>
                <c:pt idx="28">
                  <c:v>1.16815102882922E-2</c:v>
                </c:pt>
                <c:pt idx="29">
                  <c:v>8.2344485741255198E-3</c:v>
                </c:pt>
                <c:pt idx="30">
                  <c:v>1.0736566351643301E-2</c:v>
                </c:pt>
                <c:pt idx="31">
                  <c:v>3.7044866939596899E-3</c:v>
                </c:pt>
                <c:pt idx="32">
                  <c:v>3.56642924275623E-4</c:v>
                </c:pt>
                <c:pt idx="33">
                  <c:v>5.6060996977921199E-3</c:v>
                </c:pt>
                <c:pt idx="34">
                  <c:v>7.8835064493301904E-4</c:v>
                </c:pt>
                <c:pt idx="35">
                  <c:v>2.5245291743394402E-3</c:v>
                </c:pt>
                <c:pt idx="36">
                  <c:v>-2.8726226983177101E-3</c:v>
                </c:pt>
                <c:pt idx="37">
                  <c:v>-2.95149074110109E-3</c:v>
                </c:pt>
                <c:pt idx="38">
                  <c:v>3.2430456670740502E-5</c:v>
                </c:pt>
                <c:pt idx="39">
                  <c:v>2.07291297172723E-3</c:v>
                </c:pt>
                <c:pt idx="40">
                  <c:v>4.4925548492093601E-3</c:v>
                </c:pt>
                <c:pt idx="41">
                  <c:v>-4.6373623715701097E-3</c:v>
                </c:pt>
                <c:pt idx="42">
                  <c:v>-4.7531801407127696E-3</c:v>
                </c:pt>
                <c:pt idx="43">
                  <c:v>-1.61500438837477E-3</c:v>
                </c:pt>
                <c:pt idx="44">
                  <c:v>-4.2629170330687896E-3</c:v>
                </c:pt>
                <c:pt idx="45">
                  <c:v>1.9714349884981902E-3</c:v>
                </c:pt>
                <c:pt idx="46">
                  <c:v>-1.2001115590585701E-3</c:v>
                </c:pt>
                <c:pt idx="47">
                  <c:v>-4.6567420663017403E-3</c:v>
                </c:pt>
                <c:pt idx="48">
                  <c:v>1.9996621937318801E-3</c:v>
                </c:pt>
                <c:pt idx="49">
                  <c:v>-8.2489865295388195E-4</c:v>
                </c:pt>
                <c:pt idx="50">
                  <c:v>5.02759557372984E-4</c:v>
                </c:pt>
                <c:pt idx="51">
                  <c:v>5.0772162887399198E-3</c:v>
                </c:pt>
                <c:pt idx="52">
                  <c:v>5.2686404853426703E-3</c:v>
                </c:pt>
                <c:pt idx="53">
                  <c:v>-5.7704692156826899E-3</c:v>
                </c:pt>
                <c:pt idx="54">
                  <c:v>-1.79797082369299E-3</c:v>
                </c:pt>
                <c:pt idx="55">
                  <c:v>-1.8266185460837401E-4</c:v>
                </c:pt>
                <c:pt idx="56">
                  <c:v>1.1614391773432299E-3</c:v>
                </c:pt>
                <c:pt idx="57">
                  <c:v>7.5434343718423103E-3</c:v>
                </c:pt>
                <c:pt idx="58">
                  <c:v>1.7209080857260601E-2</c:v>
                </c:pt>
                <c:pt idx="59">
                  <c:v>9.00620115562277E-3</c:v>
                </c:pt>
                <c:pt idx="60">
                  <c:v>4.0584122842289103E-3</c:v>
                </c:pt>
                <c:pt idx="61">
                  <c:v>4.0929100631034001E-3</c:v>
                </c:pt>
                <c:pt idx="62">
                  <c:v>4.5788981022724402E-3</c:v>
                </c:pt>
                <c:pt idx="63">
                  <c:v>1.9869566013652499E-3</c:v>
                </c:pt>
                <c:pt idx="64">
                  <c:v>1.2324607497785601E-2</c:v>
                </c:pt>
                <c:pt idx="65">
                  <c:v>1.3210688368729901E-3</c:v>
                </c:pt>
                <c:pt idx="66">
                  <c:v>1.42441635147963E-2</c:v>
                </c:pt>
                <c:pt idx="67">
                  <c:v>1.0113257875791501E-2</c:v>
                </c:pt>
                <c:pt idx="68">
                  <c:v>6.3357151489369396E-3</c:v>
                </c:pt>
                <c:pt idx="69">
                  <c:v>1.58376295417984E-3</c:v>
                </c:pt>
                <c:pt idx="70">
                  <c:v>1.08915640007643E-4</c:v>
                </c:pt>
                <c:pt idx="71">
                  <c:v>6.4054646358818901E-3</c:v>
                </c:pt>
                <c:pt idx="72">
                  <c:v>-2.4926433562443102E-3</c:v>
                </c:pt>
                <c:pt idx="73">
                  <c:v>-2.75436338937218E-3</c:v>
                </c:pt>
                <c:pt idx="74">
                  <c:v>-4.1268971099085901E-3</c:v>
                </c:pt>
                <c:pt idx="75">
                  <c:v>1.55930919013311E-3</c:v>
                </c:pt>
                <c:pt idx="76">
                  <c:v>-1.2808929636226999E-3</c:v>
                </c:pt>
                <c:pt idx="77">
                  <c:v>-3.4174151373175502E-3</c:v>
                </c:pt>
                <c:pt idx="78">
                  <c:v>-1.81859785600882E-3</c:v>
                </c:pt>
                <c:pt idx="79">
                  <c:v>-6.6652046822129598E-3</c:v>
                </c:pt>
                <c:pt idx="80">
                  <c:v>-3.8778353519168902E-3</c:v>
                </c:pt>
                <c:pt idx="81">
                  <c:v>-2.3880880948754101E-3</c:v>
                </c:pt>
                <c:pt idx="82">
                  <c:v>-7.1493629747797502E-3</c:v>
                </c:pt>
                <c:pt idx="83">
                  <c:v>-2.8638532387807699E-3</c:v>
                </c:pt>
                <c:pt idx="84">
                  <c:v>-5.0098712229628001E-3</c:v>
                </c:pt>
                <c:pt idx="85">
                  <c:v>-3.6976039620529601E-3</c:v>
                </c:pt>
                <c:pt idx="86">
                  <c:v>-1.23000772265045E-2</c:v>
                </c:pt>
                <c:pt idx="87">
                  <c:v>-7.0604900571971897E-3</c:v>
                </c:pt>
                <c:pt idx="88">
                  <c:v>-6.0006550450317003E-3</c:v>
                </c:pt>
                <c:pt idx="89">
                  <c:v>-1.21011234024966E-2</c:v>
                </c:pt>
                <c:pt idx="90">
                  <c:v>-1.5136725085794001E-2</c:v>
                </c:pt>
                <c:pt idx="91">
                  <c:v>-1.22492426215021E-2</c:v>
                </c:pt>
                <c:pt idx="92">
                  <c:v>-1.9266864607920601E-2</c:v>
                </c:pt>
                <c:pt idx="93">
                  <c:v>-1.5396393177301499E-2</c:v>
                </c:pt>
                <c:pt idx="94">
                  <c:v>-1.20650110750981E-2</c:v>
                </c:pt>
                <c:pt idx="95">
                  <c:v>-1.3137015706467799E-2</c:v>
                </c:pt>
                <c:pt idx="96">
                  <c:v>-1.34229227572445E-2</c:v>
                </c:pt>
                <c:pt idx="97">
                  <c:v>-1.24979354056015E-2</c:v>
                </c:pt>
                <c:pt idx="98">
                  <c:v>-1.22961650525736E-2</c:v>
                </c:pt>
                <c:pt idx="99">
                  <c:v>-1.24170889228863E-2</c:v>
                </c:pt>
                <c:pt idx="100">
                  <c:v>-1.23945989806471E-2</c:v>
                </c:pt>
                <c:pt idx="101">
                  <c:v>-2.1308549924148299E-2</c:v>
                </c:pt>
                <c:pt idx="102">
                  <c:v>-1.10059569431992E-2</c:v>
                </c:pt>
                <c:pt idx="103">
                  <c:v>-1.6304798784102199E-2</c:v>
                </c:pt>
                <c:pt idx="104">
                  <c:v>-1.3807321930737099E-2</c:v>
                </c:pt>
                <c:pt idx="105">
                  <c:v>-1.5251265197197701E-2</c:v>
                </c:pt>
                <c:pt idx="106">
                  <c:v>-2.8483559701740898E-3</c:v>
                </c:pt>
                <c:pt idx="107">
                  <c:v>-2.2671902033600398E-3</c:v>
                </c:pt>
                <c:pt idx="108">
                  <c:v>2.7241479358935099E-3</c:v>
                </c:pt>
                <c:pt idx="109">
                  <c:v>5.2194280520353204E-3</c:v>
                </c:pt>
                <c:pt idx="110">
                  <c:v>-4.2971243637029196E-3</c:v>
                </c:pt>
                <c:pt idx="111">
                  <c:v>2.8732352677604601E-3</c:v>
                </c:pt>
                <c:pt idx="112">
                  <c:v>9.4442054595342498E-3</c:v>
                </c:pt>
                <c:pt idx="113">
                  <c:v>1.3832600440654499E-2</c:v>
                </c:pt>
                <c:pt idx="114">
                  <c:v>1.6817154534391501E-2</c:v>
                </c:pt>
                <c:pt idx="115">
                  <c:v>1.7209080857260601E-2</c:v>
                </c:pt>
                <c:pt idx="116">
                  <c:v>1.6109172405400201E-2</c:v>
                </c:pt>
                <c:pt idx="117">
                  <c:v>1.6842041029319101E-2</c:v>
                </c:pt>
                <c:pt idx="118">
                  <c:v>7.5437111800610501E-3</c:v>
                </c:pt>
                <c:pt idx="119">
                  <c:v>7.2715992048644402E-4</c:v>
                </c:pt>
                <c:pt idx="120">
                  <c:v>-6.1217759054346798E-3</c:v>
                </c:pt>
                <c:pt idx="121">
                  <c:v>-1.73020241348683E-3</c:v>
                </c:pt>
                <c:pt idx="122">
                  <c:v>-9.0838612852355994E-3</c:v>
                </c:pt>
                <c:pt idx="123">
                  <c:v>-9.1534773526520206E-3</c:v>
                </c:pt>
                <c:pt idx="124">
                  <c:v>-5.46762781376906E-3</c:v>
                </c:pt>
                <c:pt idx="125">
                  <c:v>-9.9904507198037805E-3</c:v>
                </c:pt>
                <c:pt idx="126">
                  <c:v>-5.6839448696549798E-3</c:v>
                </c:pt>
                <c:pt idx="127">
                  <c:v>-5.03963126600444E-3</c:v>
                </c:pt>
                <c:pt idx="128">
                  <c:v>-1.2553997277580801E-3</c:v>
                </c:pt>
                <c:pt idx="129">
                  <c:v>9.1158161166171798E-4</c:v>
                </c:pt>
                <c:pt idx="130">
                  <c:v>1.3357317009703199E-3</c:v>
                </c:pt>
                <c:pt idx="131">
                  <c:v>-6.8030942827992796E-3</c:v>
                </c:pt>
                <c:pt idx="132">
                  <c:v>1.3797040360971401E-3</c:v>
                </c:pt>
                <c:pt idx="133">
                  <c:v>1.1598254039813299E-3</c:v>
                </c:pt>
                <c:pt idx="134">
                  <c:v>-4.0642025245637798E-3</c:v>
                </c:pt>
                <c:pt idx="135">
                  <c:v>-5.9955531220548001E-3</c:v>
                </c:pt>
                <c:pt idx="136">
                  <c:v>-1.36753742965123E-4</c:v>
                </c:pt>
                <c:pt idx="137">
                  <c:v>-1.1744794414918899E-3</c:v>
                </c:pt>
                <c:pt idx="138">
                  <c:v>-3.9659162791979997E-3</c:v>
                </c:pt>
                <c:pt idx="139">
                  <c:v>-6.6602092061566996E-3</c:v>
                </c:pt>
                <c:pt idx="140">
                  <c:v>-1.94928570580019E-3</c:v>
                </c:pt>
                <c:pt idx="141">
                  <c:v>3.4631599526255301E-3</c:v>
                </c:pt>
                <c:pt idx="142">
                  <c:v>5.42244836151383E-3</c:v>
                </c:pt>
                <c:pt idx="143">
                  <c:v>4.1144761079217303E-3</c:v>
                </c:pt>
                <c:pt idx="144">
                  <c:v>2.9754752590544002E-4</c:v>
                </c:pt>
                <c:pt idx="145">
                  <c:v>6.1236821606700303E-3</c:v>
                </c:pt>
                <c:pt idx="146">
                  <c:v>3.6034288014819699E-3</c:v>
                </c:pt>
                <c:pt idx="147">
                  <c:v>6.3451225958837997E-3</c:v>
                </c:pt>
                <c:pt idx="148">
                  <c:v>4.9044784344547399E-3</c:v>
                </c:pt>
                <c:pt idx="149">
                  <c:v>-1.5479817387809801E-3</c:v>
                </c:pt>
                <c:pt idx="150">
                  <c:v>-2.3629748137697399E-5</c:v>
                </c:pt>
                <c:pt idx="151">
                  <c:v>3.7432501678611799E-3</c:v>
                </c:pt>
                <c:pt idx="152">
                  <c:v>1.6321358427219399E-4</c:v>
                </c:pt>
                <c:pt idx="153">
                  <c:v>-1.1724900680616301E-3</c:v>
                </c:pt>
                <c:pt idx="154">
                  <c:v>4.60608407828944E-4</c:v>
                </c:pt>
                <c:pt idx="155">
                  <c:v>3.1132125371104901E-4</c:v>
                </c:pt>
                <c:pt idx="156">
                  <c:v>-6.44989345938639E-3</c:v>
                </c:pt>
                <c:pt idx="157">
                  <c:v>-9.5147027540670708E-3</c:v>
                </c:pt>
                <c:pt idx="158">
                  <c:v>-1.9652907941583998E-3</c:v>
                </c:pt>
                <c:pt idx="159">
                  <c:v>-4.35697234983591E-3</c:v>
                </c:pt>
                <c:pt idx="160">
                  <c:v>-3.44569817348531E-3</c:v>
                </c:pt>
                <c:pt idx="161">
                  <c:v>-8.7118099627691292E-3</c:v>
                </c:pt>
                <c:pt idx="162">
                  <c:v>-5.6832729489715798E-3</c:v>
                </c:pt>
                <c:pt idx="163">
                  <c:v>4.87498945836625E-4</c:v>
                </c:pt>
                <c:pt idx="164">
                  <c:v>-2.0747621118628302E-3</c:v>
                </c:pt>
                <c:pt idx="165">
                  <c:v>-7.6946406523287101E-3</c:v>
                </c:pt>
                <c:pt idx="166">
                  <c:v>-7.15037731295717E-3</c:v>
                </c:pt>
                <c:pt idx="167">
                  <c:v>-2.3213771766084001E-3</c:v>
                </c:pt>
                <c:pt idx="168">
                  <c:v>2.4153778995721501E-3</c:v>
                </c:pt>
                <c:pt idx="169">
                  <c:v>2.3554843372479099E-3</c:v>
                </c:pt>
                <c:pt idx="170">
                  <c:v>2.5388911094670402E-3</c:v>
                </c:pt>
                <c:pt idx="171">
                  <c:v>1.6519467599595101E-3</c:v>
                </c:pt>
                <c:pt idx="172">
                  <c:v>2.64843533257938E-3</c:v>
                </c:pt>
                <c:pt idx="173">
                  <c:v>1.3177135206260901E-3</c:v>
                </c:pt>
                <c:pt idx="174">
                  <c:v>-2.0404284088667E-3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3-445A-BC9F-5377AF97C1B7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BF B x 10 dma / BF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-1.06334888650689E-3</c:v>
                </c:pt>
                <c:pt idx="11">
                  <c:v>-2.4864369554456799E-3</c:v>
                </c:pt>
                <c:pt idx="12">
                  <c:v>2.70919214149783E-3</c:v>
                </c:pt>
                <c:pt idx="13">
                  <c:v>-2.6726043056123699E-3</c:v>
                </c:pt>
                <c:pt idx="14">
                  <c:v>-2.0914007122530501E-3</c:v>
                </c:pt>
                <c:pt idx="15">
                  <c:v>-1.40427987712759E-3</c:v>
                </c:pt>
                <c:pt idx="16">
                  <c:v>-4.2357145215626999E-3</c:v>
                </c:pt>
                <c:pt idx="17">
                  <c:v>-6.9865261677094703E-3</c:v>
                </c:pt>
                <c:pt idx="18">
                  <c:v>-5.5155718584527797E-3</c:v>
                </c:pt>
                <c:pt idx="19">
                  <c:v>-5.7632629609187204E-3</c:v>
                </c:pt>
                <c:pt idx="20">
                  <c:v>-5.0832275192803002E-3</c:v>
                </c:pt>
                <c:pt idx="21">
                  <c:v>-3.6203694024288199E-3</c:v>
                </c:pt>
                <c:pt idx="22">
                  <c:v>-1.72531818416262E-3</c:v>
                </c:pt>
                <c:pt idx="23">
                  <c:v>-1.27516642727713E-3</c:v>
                </c:pt>
                <c:pt idx="24">
                  <c:v>1.79042627193424E-3</c:v>
                </c:pt>
                <c:pt idx="25">
                  <c:v>-1.6387310633731299E-3</c:v>
                </c:pt>
                <c:pt idx="26">
                  <c:v>1.86237410761269E-3</c:v>
                </c:pt>
                <c:pt idx="27">
                  <c:v>5.6438808886846896E-3</c:v>
                </c:pt>
                <c:pt idx="28">
                  <c:v>9.3037273489258599E-3</c:v>
                </c:pt>
                <c:pt idx="29">
                  <c:v>4.8639479966072598E-3</c:v>
                </c:pt>
                <c:pt idx="30">
                  <c:v>6.59730892990341E-3</c:v>
                </c:pt>
                <c:pt idx="31">
                  <c:v>-1.4685267509460501E-3</c:v>
                </c:pt>
                <c:pt idx="32">
                  <c:v>-5.0876071126983004E-3</c:v>
                </c:pt>
                <c:pt idx="33">
                  <c:v>3.5682793903790098E-4</c:v>
                </c:pt>
                <c:pt idx="34">
                  <c:v>-4.8426770568501002E-3</c:v>
                </c:pt>
                <c:pt idx="35">
                  <c:v>-2.7454622985014902E-3</c:v>
                </c:pt>
                <c:pt idx="36">
                  <c:v>-8.3233142535029999E-3</c:v>
                </c:pt>
                <c:pt idx="37">
                  <c:v>-7.75239080475727E-3</c:v>
                </c:pt>
                <c:pt idx="38">
                  <c:v>-3.7361346212884498E-3</c:v>
                </c:pt>
                <c:pt idx="39">
                  <c:v>-5.3384297327048903E-4</c:v>
                </c:pt>
                <c:pt idx="40">
                  <c:v>2.5001973551938999E-3</c:v>
                </c:pt>
                <c:pt idx="41">
                  <c:v>-6.00901104643441E-3</c:v>
                </c:pt>
                <c:pt idx="42">
                  <c:v>-5.2894557930680298E-3</c:v>
                </c:pt>
                <c:pt idx="43">
                  <c:v>-1.6390291837012801E-3</c:v>
                </c:pt>
                <c:pt idx="44">
                  <c:v>-3.5665116807948199E-3</c:v>
                </c:pt>
                <c:pt idx="45">
                  <c:v>3.1733658955619402E-3</c:v>
                </c:pt>
                <c:pt idx="46">
                  <c:v>5.69367643831787E-5</c:v>
                </c:pt>
                <c:pt idx="47">
                  <c:v>-3.56708927888639E-3</c:v>
                </c:pt>
                <c:pt idx="48">
                  <c:v>3.2602890305669101E-3</c:v>
                </c:pt>
                <c:pt idx="49">
                  <c:v>2.3943307882669801E-4</c:v>
                </c:pt>
                <c:pt idx="50">
                  <c:v>1.8563418798260101E-3</c:v>
                </c:pt>
                <c:pt idx="51">
                  <c:v>6.8281658324915598E-3</c:v>
                </c:pt>
                <c:pt idx="52">
                  <c:v>6.0495707719852602E-3</c:v>
                </c:pt>
                <c:pt idx="53">
                  <c:v>-5.9911862760698197E-3</c:v>
                </c:pt>
                <c:pt idx="54">
                  <c:v>-1.6015986867712001E-3</c:v>
                </c:pt>
                <c:pt idx="55">
                  <c:v>-2.33514533047564E-4</c:v>
                </c:pt>
                <c:pt idx="56">
                  <c:v>1.3257914378300201E-3</c:v>
                </c:pt>
                <c:pt idx="57">
                  <c:v>7.4716378666934502E-3</c:v>
                </c:pt>
                <c:pt idx="58">
                  <c:v>1.5918188524627699E-2</c:v>
                </c:pt>
                <c:pt idx="59">
                  <c:v>6.2058055960260003E-3</c:v>
                </c:pt>
                <c:pt idx="60">
                  <c:v>2.7568810825885599E-4</c:v>
                </c:pt>
                <c:pt idx="61">
                  <c:v>-4.5977501339421397E-5</c:v>
                </c:pt>
                <c:pt idx="62">
                  <c:v>5.3839241716208499E-4</c:v>
                </c:pt>
                <c:pt idx="63">
                  <c:v>-1.98463811402495E-3</c:v>
                </c:pt>
                <c:pt idx="64">
                  <c:v>7.5724018349464604E-3</c:v>
                </c:pt>
                <c:pt idx="65">
                  <c:v>-4.8436819222433397E-3</c:v>
                </c:pt>
                <c:pt idx="66">
                  <c:v>7.9281844597476597E-3</c:v>
                </c:pt>
                <c:pt idx="67">
                  <c:v>2.4899559795042402E-3</c:v>
                </c:pt>
                <c:pt idx="68">
                  <c:v>-1.544292625921E-3</c:v>
                </c:pt>
                <c:pt idx="69">
                  <c:v>-5.2137131749864203E-3</c:v>
                </c:pt>
                <c:pt idx="70">
                  <c:v>-5.9454750638208102E-3</c:v>
                </c:pt>
                <c:pt idx="71">
                  <c:v>7.4751661524368005E-4</c:v>
                </c:pt>
                <c:pt idx="72">
                  <c:v>-8.3819681987226096E-3</c:v>
                </c:pt>
                <c:pt idx="73">
                  <c:v>-7.9333496295747007E-3</c:v>
                </c:pt>
                <c:pt idx="74">
                  <c:v>-8.8292197281778003E-3</c:v>
                </c:pt>
                <c:pt idx="75">
                  <c:v>-1.4982047488811699E-3</c:v>
                </c:pt>
                <c:pt idx="76">
                  <c:v>-4.36226978511729E-3</c:v>
                </c:pt>
                <c:pt idx="77">
                  <c:v>-4.9527364880212598E-3</c:v>
                </c:pt>
                <c:pt idx="78">
                  <c:v>-2.00420322741979E-3</c:v>
                </c:pt>
                <c:pt idx="79">
                  <c:v>-6.0373960097311E-3</c:v>
                </c:pt>
                <c:pt idx="80">
                  <c:v>-2.42388945261347E-3</c:v>
                </c:pt>
                <c:pt idx="81">
                  <c:v>-5.3537467843073805E-4</c:v>
                </c:pt>
                <c:pt idx="82">
                  <c:v>-4.42106389655851E-3</c:v>
                </c:pt>
                <c:pt idx="83">
                  <c:v>3.30984910665152E-4</c:v>
                </c:pt>
                <c:pt idx="84">
                  <c:v>-1.8040883709996699E-3</c:v>
                </c:pt>
                <c:pt idx="85">
                  <c:v>-4.0340720836027797E-4</c:v>
                </c:pt>
                <c:pt idx="86">
                  <c:v>-8.4814944567914996E-3</c:v>
                </c:pt>
                <c:pt idx="87">
                  <c:v>-2.1373138927233098E-3</c:v>
                </c:pt>
                <c:pt idx="88">
                  <c:v>-7.1312251500156804E-4</c:v>
                </c:pt>
                <c:pt idx="89">
                  <c:v>-6.3960478838074597E-3</c:v>
                </c:pt>
                <c:pt idx="90">
                  <c:v>-8.8862027460132106E-3</c:v>
                </c:pt>
                <c:pt idx="91">
                  <c:v>-4.8697900986537299E-3</c:v>
                </c:pt>
                <c:pt idx="92">
                  <c:v>-1.09018384158047E-2</c:v>
                </c:pt>
                <c:pt idx="93">
                  <c:v>-5.8144672489402601E-3</c:v>
                </c:pt>
                <c:pt idx="94">
                  <c:v>-1.2311730196112999E-3</c:v>
                </c:pt>
                <c:pt idx="95">
                  <c:v>-1.5995281066462201E-3</c:v>
                </c:pt>
                <c:pt idx="96">
                  <c:v>-9.4487363028591704E-4</c:v>
                </c:pt>
                <c:pt idx="97">
                  <c:v>9.2435035921809898E-5</c:v>
                </c:pt>
                <c:pt idx="98">
                  <c:v>8.3627723910439E-4</c:v>
                </c:pt>
                <c:pt idx="99">
                  <c:v>1.34220573021206E-3</c:v>
                </c:pt>
                <c:pt idx="100">
                  <c:v>1.39624436170997E-3</c:v>
                </c:pt>
                <c:pt idx="101">
                  <c:v>-7.79194997455136E-3</c:v>
                </c:pt>
                <c:pt idx="102">
                  <c:v>3.4191242910713801E-3</c:v>
                </c:pt>
                <c:pt idx="103">
                  <c:v>-2.70674038786112E-3</c:v>
                </c:pt>
                <c:pt idx="104">
                  <c:v>-1.18222262658123E-4</c:v>
                </c:pt>
                <c:pt idx="105">
                  <c:v>-1.3880807101639601E-3</c:v>
                </c:pt>
                <c:pt idx="106">
                  <c:v>1.12263011273435E-2</c:v>
                </c:pt>
                <c:pt idx="107">
                  <c:v>1.0755714061092599E-2</c:v>
                </c:pt>
                <c:pt idx="108">
                  <c:v>1.4729209663816099E-2</c:v>
                </c:pt>
                <c:pt idx="109">
                  <c:v>1.57321356550905E-2</c:v>
                </c:pt>
                <c:pt idx="110">
                  <c:v>4.4625247477385801E-3</c:v>
                </c:pt>
                <c:pt idx="111">
                  <c:v>1.0823141947237699E-2</c:v>
                </c:pt>
                <c:pt idx="112">
                  <c:v>1.49698709347849E-2</c:v>
                </c:pt>
                <c:pt idx="113">
                  <c:v>1.7320820214035498E-2</c:v>
                </c:pt>
                <c:pt idx="114">
                  <c:v>1.7293769924848101E-2</c:v>
                </c:pt>
                <c:pt idx="115">
                  <c:v>1.46245108421136E-2</c:v>
                </c:pt>
                <c:pt idx="116">
                  <c:v>1.0267911555824001E-2</c:v>
                </c:pt>
                <c:pt idx="117">
                  <c:v>9.1046979864633695E-3</c:v>
                </c:pt>
                <c:pt idx="118">
                  <c:v>-2.1072738710919601E-3</c:v>
                </c:pt>
                <c:pt idx="119">
                  <c:v>-9.40808110439415E-3</c:v>
                </c:pt>
                <c:pt idx="120">
                  <c:v>-1.58046631766968E-2</c:v>
                </c:pt>
                <c:pt idx="121">
                  <c:v>-1.1227903985638599E-2</c:v>
                </c:pt>
                <c:pt idx="122">
                  <c:v>-1.8117199004977401E-2</c:v>
                </c:pt>
                <c:pt idx="123">
                  <c:v>-1.6319250615460499E-2</c:v>
                </c:pt>
                <c:pt idx="124">
                  <c:v>-1.03262855064154E-2</c:v>
                </c:pt>
                <c:pt idx="125">
                  <c:v>-1.2624877471383999E-2</c:v>
                </c:pt>
                <c:pt idx="126">
                  <c:v>-5.6046704785978497E-3</c:v>
                </c:pt>
                <c:pt idx="127">
                  <c:v>-2.7948508624727501E-3</c:v>
                </c:pt>
                <c:pt idx="128">
                  <c:v>3.1574867898518798E-3</c:v>
                </c:pt>
                <c:pt idx="129">
                  <c:v>6.1973764788360898E-3</c:v>
                </c:pt>
                <c:pt idx="130">
                  <c:v>6.6031964805036798E-3</c:v>
                </c:pt>
                <c:pt idx="131">
                  <c:v>-2.2795180636422398E-3</c:v>
                </c:pt>
                <c:pt idx="132">
                  <c:v>6.4103111041344304E-3</c:v>
                </c:pt>
                <c:pt idx="133">
                  <c:v>5.1447570786636596E-3</c:v>
                </c:pt>
                <c:pt idx="134">
                  <c:v>-1.1111501677133399E-3</c:v>
                </c:pt>
                <c:pt idx="135">
                  <c:v>-3.1831078428819601E-3</c:v>
                </c:pt>
                <c:pt idx="136">
                  <c:v>2.2740459112151E-3</c:v>
                </c:pt>
                <c:pt idx="137">
                  <c:v>6.8116914162631595E-4</c:v>
                </c:pt>
                <c:pt idx="138">
                  <c:v>-2.4973420135148698E-3</c:v>
                </c:pt>
                <c:pt idx="139">
                  <c:v>-4.9203102735983903E-3</c:v>
                </c:pt>
                <c:pt idx="140">
                  <c:v>5.4836639450412696E-4</c:v>
                </c:pt>
                <c:pt idx="141">
                  <c:v>6.2885413134242301E-3</c:v>
                </c:pt>
                <c:pt idx="142">
                  <c:v>7.2218591602834399E-3</c:v>
                </c:pt>
                <c:pt idx="143">
                  <c:v>5.5116282716930701E-3</c:v>
                </c:pt>
                <c:pt idx="144">
                  <c:v>1.40038079907528E-3</c:v>
                </c:pt>
                <c:pt idx="145">
                  <c:v>6.7899042169982E-3</c:v>
                </c:pt>
                <c:pt idx="146">
                  <c:v>3.05787073751238E-3</c:v>
                </c:pt>
                <c:pt idx="147">
                  <c:v>5.4259202508624201E-3</c:v>
                </c:pt>
                <c:pt idx="148">
                  <c:v>3.2342840052694099E-3</c:v>
                </c:pt>
                <c:pt idx="149">
                  <c:v>-4.1066790502348096E-3</c:v>
                </c:pt>
                <c:pt idx="150">
                  <c:v>-3.09710038358187E-3</c:v>
                </c:pt>
                <c:pt idx="151">
                  <c:v>4.7641182074088898E-4</c:v>
                </c:pt>
                <c:pt idx="152">
                  <c:v>-3.1316247567410001E-3</c:v>
                </c:pt>
                <c:pt idx="153">
                  <c:v>-3.9412786296383097E-3</c:v>
                </c:pt>
                <c:pt idx="154">
                  <c:v>-1.7789364082345699E-3</c:v>
                </c:pt>
                <c:pt idx="155">
                  <c:v>-1.9445601491785501E-3</c:v>
                </c:pt>
                <c:pt idx="156">
                  <c:v>-8.1252651423412304E-3</c:v>
                </c:pt>
                <c:pt idx="157">
                  <c:v>-1.0182126156968899E-2</c:v>
                </c:pt>
                <c:pt idx="158">
                  <c:v>-1.04440104323736E-3</c:v>
                </c:pt>
                <c:pt idx="159">
                  <c:v>-2.7509793110404601E-3</c:v>
                </c:pt>
                <c:pt idx="160">
                  <c:v>-1.5584670514017501E-3</c:v>
                </c:pt>
                <c:pt idx="161">
                  <c:v>-6.4824825583501998E-3</c:v>
                </c:pt>
                <c:pt idx="162">
                  <c:v>-2.2088892978150902E-3</c:v>
                </c:pt>
                <c:pt idx="163">
                  <c:v>4.54594398838052E-3</c:v>
                </c:pt>
                <c:pt idx="164">
                  <c:v>1.81828603186017E-3</c:v>
                </c:pt>
                <c:pt idx="165">
                  <c:v>-3.54886852839474E-3</c:v>
                </c:pt>
                <c:pt idx="166">
                  <c:v>-2.2046903566156901E-3</c:v>
                </c:pt>
                <c:pt idx="167">
                  <c:v>2.6944857257761401E-3</c:v>
                </c:pt>
                <c:pt idx="168">
                  <c:v>6.7109981212678397E-3</c:v>
                </c:pt>
                <c:pt idx="169">
                  <c:v>6.2149181089048997E-3</c:v>
                </c:pt>
                <c:pt idx="170">
                  <c:v>5.7287699969667399E-3</c:v>
                </c:pt>
                <c:pt idx="171">
                  <c:v>4.2448230873822698E-3</c:v>
                </c:pt>
                <c:pt idx="172">
                  <c:v>4.2034213269525897E-3</c:v>
                </c:pt>
                <c:pt idx="173">
                  <c:v>2.0392103207392599E-3</c:v>
                </c:pt>
                <c:pt idx="174">
                  <c:v>-1.4018217779407599E-3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3-445A-BC9F-5377AF97C1B7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BF B x 20 dma / BF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-7.3310593752712204E-3</c:v>
                </c:pt>
                <c:pt idx="21">
                  <c:v>-6.0323428434045897E-3</c:v>
                </c:pt>
                <c:pt idx="22">
                  <c:v>-4.2895340425106203E-3</c:v>
                </c:pt>
                <c:pt idx="23">
                  <c:v>-4.3342126658434E-3</c:v>
                </c:pt>
                <c:pt idx="24">
                  <c:v>-1.32409449994294E-3</c:v>
                </c:pt>
                <c:pt idx="25">
                  <c:v>-4.6775676983682197E-3</c:v>
                </c:pt>
                <c:pt idx="26">
                  <c:v>-1.30983224144361E-3</c:v>
                </c:pt>
                <c:pt idx="27">
                  <c:v>2.6963373910687699E-3</c:v>
                </c:pt>
                <c:pt idx="28">
                  <c:v>6.8796118174213397E-3</c:v>
                </c:pt>
                <c:pt idx="29">
                  <c:v>3.3976292430934001E-3</c:v>
                </c:pt>
                <c:pt idx="30">
                  <c:v>5.9307104239771698E-3</c:v>
                </c:pt>
                <c:pt idx="31">
                  <c:v>-1.1922307609840701E-3</c:v>
                </c:pt>
                <c:pt idx="32">
                  <c:v>-4.3771913636049204E-3</c:v>
                </c:pt>
                <c:pt idx="33">
                  <c:v>1.44688533787573E-3</c:v>
                </c:pt>
                <c:pt idx="34">
                  <c:v>-3.3249963517394902E-3</c:v>
                </c:pt>
                <c:pt idx="35">
                  <c:v>-1.2909091926073899E-3</c:v>
                </c:pt>
                <c:pt idx="36">
                  <c:v>-6.4622492195208501E-3</c:v>
                </c:pt>
                <c:pt idx="37">
                  <c:v>-6.2039578222200199E-3</c:v>
                </c:pt>
                <c:pt idx="38">
                  <c:v>-3.04050176764184E-3</c:v>
                </c:pt>
                <c:pt idx="39">
                  <c:v>-9.1564237629962496E-4</c:v>
                </c:pt>
                <c:pt idx="40">
                  <c:v>1.4273235386334699E-3</c:v>
                </c:pt>
                <c:pt idx="41">
                  <c:v>-7.9078871357782295E-3</c:v>
                </c:pt>
                <c:pt idx="42">
                  <c:v>-7.7404319618294398E-3</c:v>
                </c:pt>
                <c:pt idx="43">
                  <c:v>-4.2482397685691901E-3</c:v>
                </c:pt>
                <c:pt idx="44">
                  <c:v>-6.7252236650402397E-3</c:v>
                </c:pt>
                <c:pt idx="45">
                  <c:v>-5.7359581116507898E-5</c:v>
                </c:pt>
                <c:pt idx="46">
                  <c:v>-3.2913089636891599E-3</c:v>
                </c:pt>
                <c:pt idx="47">
                  <c:v>-6.5080283840815399E-3</c:v>
                </c:pt>
                <c:pt idx="48">
                  <c:v>7.4885466625230395E-4</c:v>
                </c:pt>
                <c:pt idx="49">
                  <c:v>-1.59442614991725E-3</c:v>
                </c:pt>
                <c:pt idx="50">
                  <c:v>1.8477138509591501E-4</c:v>
                </c:pt>
                <c:pt idx="51">
                  <c:v>5.2680855501430496E-3</c:v>
                </c:pt>
                <c:pt idx="52">
                  <c:v>5.3911846814062902E-3</c:v>
                </c:pt>
                <c:pt idx="53">
                  <c:v>-5.8928353075586798E-3</c:v>
                </c:pt>
                <c:pt idx="54">
                  <c:v>-1.3515508249432699E-3</c:v>
                </c:pt>
                <c:pt idx="55">
                  <c:v>3.9307344303002301E-4</c:v>
                </c:pt>
                <c:pt idx="56">
                  <c:v>1.87228871738608E-3</c:v>
                </c:pt>
                <c:pt idx="57">
                  <c:v>8.0525311335235099E-3</c:v>
                </c:pt>
                <c:pt idx="58">
                  <c:v>1.71947618904E-2</c:v>
                </c:pt>
                <c:pt idx="59">
                  <c:v>8.1400362551823906E-3</c:v>
                </c:pt>
                <c:pt idx="60">
                  <c:v>2.8471390594009701E-3</c:v>
                </c:pt>
                <c:pt idx="61">
                  <c:v>2.9032773191350102E-3</c:v>
                </c:pt>
                <c:pt idx="62">
                  <c:v>2.9520161808279199E-3</c:v>
                </c:pt>
                <c:pt idx="63">
                  <c:v>-1.0744065215643E-4</c:v>
                </c:pt>
                <c:pt idx="64">
                  <c:v>1.0049751784483699E-2</c:v>
                </c:pt>
                <c:pt idx="65">
                  <c:v>-1.7820604204643699E-3</c:v>
                </c:pt>
                <c:pt idx="66">
                  <c:v>1.1173599445075E-2</c:v>
                </c:pt>
                <c:pt idx="67">
                  <c:v>6.2728368123457197E-3</c:v>
                </c:pt>
                <c:pt idx="68">
                  <c:v>1.75569214066273E-3</c:v>
                </c:pt>
                <c:pt idx="69">
                  <c:v>-3.2131758098960998E-3</c:v>
                </c:pt>
                <c:pt idx="70">
                  <c:v>-4.8089967414286497E-3</c:v>
                </c:pt>
                <c:pt idx="71">
                  <c:v>1.5073352863972001E-3</c:v>
                </c:pt>
                <c:pt idx="72">
                  <c:v>-7.4571313535650901E-3</c:v>
                </c:pt>
                <c:pt idx="73">
                  <c:v>-7.3294716428926798E-3</c:v>
                </c:pt>
                <c:pt idx="74">
                  <c:v>-8.8541609394226697E-3</c:v>
                </c:pt>
                <c:pt idx="75">
                  <c:v>-3.0506162943355398E-3</c:v>
                </c:pt>
                <c:pt idx="76">
                  <c:v>-5.97826307101346E-3</c:v>
                </c:pt>
                <c:pt idx="77">
                  <c:v>-7.9920938295771401E-3</c:v>
                </c:pt>
                <c:pt idx="78">
                  <c:v>-5.8440039688556497E-3</c:v>
                </c:pt>
                <c:pt idx="79">
                  <c:v>-9.7431465695895E-3</c:v>
                </c:pt>
                <c:pt idx="80">
                  <c:v>-6.1710108809139401E-3</c:v>
                </c:pt>
                <c:pt idx="81">
                  <c:v>-4.2836541591426804E-3</c:v>
                </c:pt>
                <c:pt idx="82">
                  <c:v>-8.7205929553775992E-3</c:v>
                </c:pt>
                <c:pt idx="83">
                  <c:v>-3.8471621929045499E-3</c:v>
                </c:pt>
                <c:pt idx="84">
                  <c:v>-5.7503238599699502E-3</c:v>
                </c:pt>
                <c:pt idx="85">
                  <c:v>-3.5742195346008402E-3</c:v>
                </c:pt>
                <c:pt idx="86">
                  <c:v>-1.1925523083905799E-2</c:v>
                </c:pt>
                <c:pt idx="87">
                  <c:v>-5.3613486356046602E-3</c:v>
                </c:pt>
                <c:pt idx="88">
                  <c:v>-3.44594706558452E-3</c:v>
                </c:pt>
                <c:pt idx="89">
                  <c:v>-8.9314589805436807E-3</c:v>
                </c:pt>
                <c:pt idx="90">
                  <c:v>-1.1281615075815101E-2</c:v>
                </c:pt>
                <c:pt idx="91">
                  <c:v>-7.6293415510707303E-3</c:v>
                </c:pt>
                <c:pt idx="92">
                  <c:v>-1.37162303914401E-2</c:v>
                </c:pt>
                <c:pt idx="93">
                  <c:v>-9.0029117857787708E-3</c:v>
                </c:pt>
                <c:pt idx="94">
                  <c:v>-5.03792723573374E-3</c:v>
                </c:pt>
                <c:pt idx="95">
                  <c:v>-5.7126795732631496E-3</c:v>
                </c:pt>
                <c:pt idx="96">
                  <c:v>-5.2652335434958501E-3</c:v>
                </c:pt>
                <c:pt idx="97">
                  <c:v>-3.73381388709131E-3</c:v>
                </c:pt>
                <c:pt idx="98">
                  <c:v>-3.0784848353001401E-3</c:v>
                </c:pt>
                <c:pt idx="99">
                  <c:v>-2.6767950531767998E-3</c:v>
                </c:pt>
                <c:pt idx="100">
                  <c:v>-2.3668091013119498E-3</c:v>
                </c:pt>
                <c:pt idx="101">
                  <c:v>-1.08558156229971E-2</c:v>
                </c:pt>
                <c:pt idx="102">
                  <c:v>3.9368729635897099E-4</c:v>
                </c:pt>
                <c:pt idx="103">
                  <c:v>-4.7127904581560302E-3</c:v>
                </c:pt>
                <c:pt idx="104">
                  <c:v>-1.5448340044407901E-3</c:v>
                </c:pt>
                <c:pt idx="105">
                  <c:v>-2.5502530456710899E-3</c:v>
                </c:pt>
                <c:pt idx="106">
                  <c:v>1.0428315786656501E-2</c:v>
                </c:pt>
                <c:pt idx="107">
                  <c:v>1.05394705353162E-2</c:v>
                </c:pt>
                <c:pt idx="108">
                  <c:v>1.52930588190521E-2</c:v>
                </c:pt>
                <c:pt idx="109">
                  <c:v>1.7356746720467501E-2</c:v>
                </c:pt>
                <c:pt idx="110">
                  <c:v>6.9812859742828899E-3</c:v>
                </c:pt>
                <c:pt idx="111">
                  <c:v>1.36103620865417E-2</c:v>
                </c:pt>
                <c:pt idx="112">
                  <c:v>1.9429478731731901E-2</c:v>
                </c:pt>
                <c:pt idx="113">
                  <c:v>2.23885155756787E-2</c:v>
                </c:pt>
                <c:pt idx="114">
                  <c:v>2.3921833122537602E-2</c:v>
                </c:pt>
                <c:pt idx="115">
                  <c:v>2.2882203790555802E-2</c:v>
                </c:pt>
                <c:pt idx="116">
                  <c:v>2.0275450183444101E-2</c:v>
                </c:pt>
                <c:pt idx="117">
                  <c:v>1.9538694156227301E-2</c:v>
                </c:pt>
                <c:pt idx="118">
                  <c:v>8.7793714181901104E-3</c:v>
                </c:pt>
                <c:pt idx="119">
                  <c:v>9.6918448573146004E-4</c:v>
                </c:pt>
                <c:pt idx="120">
                  <c:v>-6.54087969433671E-3</c:v>
                </c:pt>
                <c:pt idx="121">
                  <c:v>-2.4660479632624302E-3</c:v>
                </c:pt>
                <c:pt idx="122">
                  <c:v>-1.08112020697288E-2</c:v>
                </c:pt>
                <c:pt idx="123">
                  <c:v>-1.0978065718517499E-2</c:v>
                </c:pt>
                <c:pt idx="124">
                  <c:v>-7.6550908267252497E-3</c:v>
                </c:pt>
                <c:pt idx="125">
                  <c:v>-1.25999487924557E-2</c:v>
                </c:pt>
                <c:pt idx="126">
                  <c:v>-8.5605565131221199E-3</c:v>
                </c:pt>
                <c:pt idx="127">
                  <c:v>-7.7734572888155896E-3</c:v>
                </c:pt>
                <c:pt idx="128">
                  <c:v>-3.8497251378488101E-3</c:v>
                </c:pt>
                <c:pt idx="129">
                  <c:v>-1.48341571823474E-3</c:v>
                </c:pt>
                <c:pt idx="130">
                  <c:v>-8.4404067678332004E-4</c:v>
                </c:pt>
                <c:pt idx="131">
                  <c:v>-9.2655826317337101E-3</c:v>
                </c:pt>
                <c:pt idx="132">
                  <c:v>-5.9693717564224095E-4</c:v>
                </c:pt>
                <c:pt idx="133">
                  <c:v>-4.1505319302631501E-4</c:v>
                </c:pt>
                <c:pt idx="134">
                  <c:v>-5.0093773601191799E-3</c:v>
                </c:pt>
                <c:pt idx="135">
                  <c:v>-5.9028353109779096E-3</c:v>
                </c:pt>
                <c:pt idx="136">
                  <c:v>1.10896278075608E-3</c:v>
                </c:pt>
                <c:pt idx="137">
                  <c:v>8.7575397977959996E-4</c:v>
                </c:pt>
                <c:pt idx="138">
                  <c:v>-1.02410226611316E-3</c:v>
                </c:pt>
                <c:pt idx="139">
                  <c:v>-3.1457906348666201E-3</c:v>
                </c:pt>
                <c:pt idx="140">
                  <c:v>1.9342317165966399E-3</c:v>
                </c:pt>
                <c:pt idx="141">
                  <c:v>7.1379992257819304E-3</c:v>
                </c:pt>
                <c:pt idx="142">
                  <c:v>8.8387623730158803E-3</c:v>
                </c:pt>
                <c:pt idx="143">
                  <c:v>6.8063551022644799E-3</c:v>
                </c:pt>
                <c:pt idx="144">
                  <c:v>2.32591825468683E-3</c:v>
                </c:pt>
                <c:pt idx="145">
                  <c:v>7.8635916125753703E-3</c:v>
                </c:pt>
                <c:pt idx="146">
                  <c:v>4.5371421025590204E-3</c:v>
                </c:pt>
                <c:pt idx="147">
                  <c:v>6.8143081893327498E-3</c:v>
                </c:pt>
                <c:pt idx="148">
                  <c:v>4.80489983581302E-3</c:v>
                </c:pt>
                <c:pt idx="149">
                  <c:v>-1.9550711887983598E-3</c:v>
                </c:pt>
                <c:pt idx="150">
                  <c:v>-3.0765934465795301E-4</c:v>
                </c:pt>
                <c:pt idx="151">
                  <c:v>3.5271610601468198E-3</c:v>
                </c:pt>
                <c:pt idx="152">
                  <c:v>-5.8125626856999398E-4</c:v>
                </c:pt>
                <c:pt idx="153">
                  <c:v>-1.8561388857673399E-3</c:v>
                </c:pt>
                <c:pt idx="154">
                  <c:v>-1.06350927856634E-4</c:v>
                </c:pt>
                <c:pt idx="155">
                  <c:v>-4.8244108387110202E-4</c:v>
                </c:pt>
                <c:pt idx="156">
                  <c:v>-7.5601987730054398E-3</c:v>
                </c:pt>
                <c:pt idx="157">
                  <c:v>-1.03080077039491E-2</c:v>
                </c:pt>
                <c:pt idx="158">
                  <c:v>-2.3391039188717499E-3</c:v>
                </c:pt>
                <c:pt idx="159">
                  <c:v>-4.8311564070179901E-3</c:v>
                </c:pt>
                <c:pt idx="160">
                  <c:v>-4.0357418630787801E-3</c:v>
                </c:pt>
                <c:pt idx="161">
                  <c:v>-9.2267894591263697E-3</c:v>
                </c:pt>
                <c:pt idx="162">
                  <c:v>-5.5877725090385296E-3</c:v>
                </c:pt>
                <c:pt idx="163">
                  <c:v>1.13815356484055E-3</c:v>
                </c:pt>
                <c:pt idx="164">
                  <c:v>-1.2433093683484799E-3</c:v>
                </c:pt>
                <c:pt idx="165">
                  <c:v>-6.7445726545687602E-3</c:v>
                </c:pt>
                <c:pt idx="166">
                  <c:v>-5.5097398840850496E-3</c:v>
                </c:pt>
                <c:pt idx="167">
                  <c:v>-1.4311996439748099E-4</c:v>
                </c:pt>
                <c:pt idx="168">
                  <c:v>5.0250564859239798E-3</c:v>
                </c:pt>
                <c:pt idx="169">
                  <c:v>5.0888324917318902E-3</c:v>
                </c:pt>
                <c:pt idx="170">
                  <c:v>5.0776582256436198E-3</c:v>
                </c:pt>
                <c:pt idx="171">
                  <c:v>4.0630651468574804E-3</c:v>
                </c:pt>
                <c:pt idx="172">
                  <c:v>5.1635806661939499E-3</c:v>
                </c:pt>
                <c:pt idx="173">
                  <c:v>3.7090763442554102E-3</c:v>
                </c:pt>
                <c:pt idx="174">
                  <c:v>2.2672290156838901E-4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3-445A-BC9F-5377AF97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5.2395871693071494E-3</c:v>
                </c:pt>
                <c:pt idx="68">
                  <c:v>6.299422181472847E-3</c:v>
                </c:pt>
                <c:pt idx="69">
                  <c:v>6.299422181472847E-3</c:v>
                </c:pt>
                <c:pt idx="70">
                  <c:v>6.299422181472847E-3</c:v>
                </c:pt>
                <c:pt idx="71">
                  <c:v>9.1869046457647673E-3</c:v>
                </c:pt>
                <c:pt idx="72">
                  <c:v>2.1692826593463672E-3</c:v>
                </c:pt>
                <c:pt idx="73">
                  <c:v>6.0397540899653976E-3</c:v>
                </c:pt>
                <c:pt idx="74">
                  <c:v>9.3711361921687986E-3</c:v>
                </c:pt>
                <c:pt idx="75">
                  <c:v>8.299131560799089E-3</c:v>
                </c:pt>
                <c:pt idx="76">
                  <c:v>8.0132245100220899E-3</c:v>
                </c:pt>
                <c:pt idx="77">
                  <c:v>8.9382118616651886E-3</c:v>
                </c:pt>
                <c:pt idx="78">
                  <c:v>8.9382118616651886E-3</c:v>
                </c:pt>
                <c:pt idx="79">
                  <c:v>8.9382118616651886E-3</c:v>
                </c:pt>
                <c:pt idx="80">
                  <c:v>8.9382118616651886E-3</c:v>
                </c:pt>
                <c:pt idx="81">
                  <c:v>8.9382118616651886E-3</c:v>
                </c:pt>
                <c:pt idx="82">
                  <c:v>1.9240804842614187E-2</c:v>
                </c:pt>
                <c:pt idx="83">
                  <c:v>1.9240804842614187E-2</c:v>
                </c:pt>
                <c:pt idx="84">
                  <c:v>1.9240804842614187E-2</c:v>
                </c:pt>
                <c:pt idx="85">
                  <c:v>1.9240804842614187E-2</c:v>
                </c:pt>
                <c:pt idx="86">
                  <c:v>1.9240804842614187E-2</c:v>
                </c:pt>
                <c:pt idx="87">
                  <c:v>1.9240804842614187E-2</c:v>
                </c:pt>
                <c:pt idx="88">
                  <c:v>1.9240804842614187E-2</c:v>
                </c:pt>
                <c:pt idx="89">
                  <c:v>1.9240804842614187E-2</c:v>
                </c:pt>
                <c:pt idx="90">
                  <c:v>1.9240804842614187E-2</c:v>
                </c:pt>
                <c:pt idx="91">
                  <c:v>1.9240804842614187E-2</c:v>
                </c:pt>
                <c:pt idx="92">
                  <c:v>1.9240804842614187E-2</c:v>
                </c:pt>
                <c:pt idx="93">
                  <c:v>1.9240804842614187E-2</c:v>
                </c:pt>
                <c:pt idx="94">
                  <c:v>1.9240804842614187E-2</c:v>
                </c:pt>
                <c:pt idx="95">
                  <c:v>1.9240804842614187E-2</c:v>
                </c:pt>
                <c:pt idx="96">
                  <c:v>1.9240804842614187E-2</c:v>
                </c:pt>
                <c:pt idx="97">
                  <c:v>1.9240804842614187E-2</c:v>
                </c:pt>
                <c:pt idx="98">
                  <c:v>1.9240804842614187E-2</c:v>
                </c:pt>
                <c:pt idx="99">
                  <c:v>1.9240804842614187E-2</c:v>
                </c:pt>
                <c:pt idx="100">
                  <c:v>1.9240804842614187E-2</c:v>
                </c:pt>
                <c:pt idx="101">
                  <c:v>1.9240804842614187E-2</c:v>
                </c:pt>
                <c:pt idx="102">
                  <c:v>1.9240804842614187E-2</c:v>
                </c:pt>
                <c:pt idx="103">
                  <c:v>1.9171188775197689E-2</c:v>
                </c:pt>
                <c:pt idx="104">
                  <c:v>2.2857038314080681E-2</c:v>
                </c:pt>
                <c:pt idx="105">
                  <c:v>1.8334215408046084E-2</c:v>
                </c:pt>
                <c:pt idx="106">
                  <c:v>2.2640721258195114E-2</c:v>
                </c:pt>
                <c:pt idx="107">
                  <c:v>2.3285034861845653E-2</c:v>
                </c:pt>
                <c:pt idx="108">
                  <c:v>2.7069266400091854E-2</c:v>
                </c:pt>
                <c:pt idx="109">
                  <c:v>2.7069266400091854E-2</c:v>
                </c:pt>
                <c:pt idx="110">
                  <c:v>2.7069266400091854E-2</c:v>
                </c:pt>
                <c:pt idx="111">
                  <c:v>2.7069266400091854E-2</c:v>
                </c:pt>
                <c:pt idx="112">
                  <c:v>2.7069266400091854E-2</c:v>
                </c:pt>
                <c:pt idx="113">
                  <c:v>2.7069266400091854E-2</c:v>
                </c:pt>
                <c:pt idx="114">
                  <c:v>2.7069266400091854E-2</c:v>
                </c:pt>
                <c:pt idx="115">
                  <c:v>2.7069266400091854E-2</c:v>
                </c:pt>
                <c:pt idx="116">
                  <c:v>2.7069266400091854E-2</c:v>
                </c:pt>
                <c:pt idx="117">
                  <c:v>2.7069266400091854E-2</c:v>
                </c:pt>
                <c:pt idx="118">
                  <c:v>2.7069266400091854E-2</c:v>
                </c:pt>
                <c:pt idx="119">
                  <c:v>2.7069266400091854E-2</c:v>
                </c:pt>
                <c:pt idx="120">
                  <c:v>2.7069266400091854E-2</c:v>
                </c:pt>
                <c:pt idx="121">
                  <c:v>2.7069266400091854E-2</c:v>
                </c:pt>
                <c:pt idx="122">
                  <c:v>2.7069266400091854E-2</c:v>
                </c:pt>
                <c:pt idx="123">
                  <c:v>2.7069266400091854E-2</c:v>
                </c:pt>
                <c:pt idx="124">
                  <c:v>2.7069266400091854E-2</c:v>
                </c:pt>
                <c:pt idx="125">
                  <c:v>2.7069266400091854E-2</c:v>
                </c:pt>
                <c:pt idx="126">
                  <c:v>2.7069266400091854E-2</c:v>
                </c:pt>
                <c:pt idx="127">
                  <c:v>2.7069266400091854E-2</c:v>
                </c:pt>
                <c:pt idx="128">
                  <c:v>2.7069266400091854E-2</c:v>
                </c:pt>
                <c:pt idx="129">
                  <c:v>2.7069266400091854E-2</c:v>
                </c:pt>
                <c:pt idx="130">
                  <c:v>2.7069266400091854E-2</c:v>
                </c:pt>
                <c:pt idx="131">
                  <c:v>2.7069266400091854E-2</c:v>
                </c:pt>
                <c:pt idx="132">
                  <c:v>2.7069266400091854E-2</c:v>
                </c:pt>
                <c:pt idx="133">
                  <c:v>2.7069266400091854E-2</c:v>
                </c:pt>
                <c:pt idx="134">
                  <c:v>2.7069266400091854E-2</c:v>
                </c:pt>
                <c:pt idx="135">
                  <c:v>2.7069266400091854E-2</c:v>
                </c:pt>
                <c:pt idx="136">
                  <c:v>2.7069266400091854E-2</c:v>
                </c:pt>
                <c:pt idx="137">
                  <c:v>2.7069266400091854E-2</c:v>
                </c:pt>
                <c:pt idx="138">
                  <c:v>3.4618678360000425E-2</c:v>
                </c:pt>
                <c:pt idx="139">
                  <c:v>3.4618678360000425E-2</c:v>
                </c:pt>
                <c:pt idx="140">
                  <c:v>3.4618678360000425E-2</c:v>
                </c:pt>
                <c:pt idx="141">
                  <c:v>3.4618678360000425E-2</c:v>
                </c:pt>
                <c:pt idx="142">
                  <c:v>3.4618678360000425E-2</c:v>
                </c:pt>
                <c:pt idx="143">
                  <c:v>3.4618678360000425E-2</c:v>
                </c:pt>
                <c:pt idx="144">
                  <c:v>3.4618678360000425E-2</c:v>
                </c:pt>
                <c:pt idx="145">
                  <c:v>3.4618678360000425E-2</c:v>
                </c:pt>
                <c:pt idx="146">
                  <c:v>3.4618678360000425E-2</c:v>
                </c:pt>
                <c:pt idx="147">
                  <c:v>3.4618678360000425E-2</c:v>
                </c:pt>
                <c:pt idx="148">
                  <c:v>3.4618678360000425E-2</c:v>
                </c:pt>
                <c:pt idx="149">
                  <c:v>3.4618678360000425E-2</c:v>
                </c:pt>
                <c:pt idx="150">
                  <c:v>3.4618678360000425E-2</c:v>
                </c:pt>
                <c:pt idx="151">
                  <c:v>3.4618678360000425E-2</c:v>
                </c:pt>
                <c:pt idx="152">
                  <c:v>3.4618678360000425E-2</c:v>
                </c:pt>
                <c:pt idx="153">
                  <c:v>3.4618678360000425E-2</c:v>
                </c:pt>
                <c:pt idx="154">
                  <c:v>3.4618678360000425E-2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B-4516-90C5-6940E8C4F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8.2028797016379992E-3</c:v>
                </c:pt>
                <c:pt idx="40">
                  <c:v>1.3150668573031689E-2</c:v>
                </c:pt>
                <c:pt idx="41">
                  <c:v>1.3150668573031689E-2</c:v>
                </c:pt>
                <c:pt idx="42">
                  <c:v>1.3150668573031689E-2</c:v>
                </c:pt>
                <c:pt idx="43">
                  <c:v>1.3150668573031689E-2</c:v>
                </c:pt>
                <c:pt idx="44">
                  <c:v>1.3150668573031689E-2</c:v>
                </c:pt>
                <c:pt idx="45">
                  <c:v>1.3150668573031689E-2</c:v>
                </c:pt>
                <c:pt idx="46">
                  <c:v>1.3150668573031689E-2</c:v>
                </c:pt>
                <c:pt idx="47">
                  <c:v>1.3150668573031689E-2</c:v>
                </c:pt>
                <c:pt idx="48">
                  <c:v>1.3150668573031689E-2</c:v>
                </c:pt>
                <c:pt idx="49">
                  <c:v>1.3150668573031689E-2</c:v>
                </c:pt>
                <c:pt idx="50">
                  <c:v>1.3150668573031689E-2</c:v>
                </c:pt>
                <c:pt idx="51">
                  <c:v>1.3150668573031689E-2</c:v>
                </c:pt>
                <c:pt idx="52">
                  <c:v>1.3150668573031689E-2</c:v>
                </c:pt>
                <c:pt idx="53">
                  <c:v>1.3150668573031689E-2</c:v>
                </c:pt>
                <c:pt idx="54">
                  <c:v>1.3150668573031689E-2</c:v>
                </c:pt>
                <c:pt idx="55">
                  <c:v>1.3150668573031689E-2</c:v>
                </c:pt>
                <c:pt idx="56">
                  <c:v>1.3150668573031689E-2</c:v>
                </c:pt>
                <c:pt idx="57">
                  <c:v>1.3150668573031689E-2</c:v>
                </c:pt>
                <c:pt idx="58">
                  <c:v>1.3150668573031689E-2</c:v>
                </c:pt>
                <c:pt idx="59">
                  <c:v>1.3150668573031689E-2</c:v>
                </c:pt>
                <c:pt idx="60">
                  <c:v>1.3150668573031689E-2</c:v>
                </c:pt>
                <c:pt idx="61">
                  <c:v>1.3150668573031689E-2</c:v>
                </c:pt>
                <c:pt idx="62">
                  <c:v>1.3150668573031689E-2</c:v>
                </c:pt>
                <c:pt idx="63">
                  <c:v>1.3150668573031689E-2</c:v>
                </c:pt>
                <c:pt idx="64">
                  <c:v>1.3150668573031689E-2</c:v>
                </c:pt>
                <c:pt idx="65">
                  <c:v>1.3150668573031689E-2</c:v>
                </c:pt>
                <c:pt idx="66">
                  <c:v>1.3150668573031689E-2</c:v>
                </c:pt>
                <c:pt idx="67">
                  <c:v>1.3150668573031689E-2</c:v>
                </c:pt>
                <c:pt idx="68">
                  <c:v>1.3150668573031689E-2</c:v>
                </c:pt>
                <c:pt idx="69">
                  <c:v>1.3150668573031689E-2</c:v>
                </c:pt>
                <c:pt idx="70">
                  <c:v>1.3150668573031689E-2</c:v>
                </c:pt>
                <c:pt idx="71">
                  <c:v>1.3150668573031689E-2</c:v>
                </c:pt>
                <c:pt idx="72">
                  <c:v>1.3150668573031689E-2</c:v>
                </c:pt>
                <c:pt idx="73">
                  <c:v>1.3150668573031689E-2</c:v>
                </c:pt>
                <c:pt idx="74">
                  <c:v>1.3150668573031689E-2</c:v>
                </c:pt>
                <c:pt idx="75">
                  <c:v>1.3150668573031689E-2</c:v>
                </c:pt>
                <c:pt idx="76">
                  <c:v>1.3150668573031689E-2</c:v>
                </c:pt>
                <c:pt idx="77">
                  <c:v>1.3150668573031689E-2</c:v>
                </c:pt>
                <c:pt idx="78">
                  <c:v>1.3150668573031689E-2</c:v>
                </c:pt>
                <c:pt idx="79">
                  <c:v>1.3150668573031689E-2</c:v>
                </c:pt>
                <c:pt idx="80">
                  <c:v>1.3150668573031689E-2</c:v>
                </c:pt>
                <c:pt idx="81">
                  <c:v>1.3150668573031689E-2</c:v>
                </c:pt>
                <c:pt idx="82">
                  <c:v>1.3150668573031689E-2</c:v>
                </c:pt>
                <c:pt idx="83">
                  <c:v>1.3150668573031689E-2</c:v>
                </c:pt>
                <c:pt idx="84">
                  <c:v>1.3150668573031689E-2</c:v>
                </c:pt>
                <c:pt idx="85">
                  <c:v>1.3150668573031689E-2</c:v>
                </c:pt>
                <c:pt idx="86">
                  <c:v>1.3150668573031689E-2</c:v>
                </c:pt>
                <c:pt idx="87">
                  <c:v>1.3150668573031689E-2</c:v>
                </c:pt>
                <c:pt idx="88">
                  <c:v>1.3150668573031689E-2</c:v>
                </c:pt>
                <c:pt idx="89">
                  <c:v>1.0655388456889998E-2</c:v>
                </c:pt>
                <c:pt idx="90">
                  <c:v>2.0171940872628018E-2</c:v>
                </c:pt>
                <c:pt idx="91">
                  <c:v>2.0171940872628018E-2</c:v>
                </c:pt>
                <c:pt idx="92">
                  <c:v>2.0171940872628018E-2</c:v>
                </c:pt>
                <c:pt idx="93">
                  <c:v>1.5783545891507718E-2</c:v>
                </c:pt>
                <c:pt idx="94">
                  <c:v>1.2798991797770616E-2</c:v>
                </c:pt>
                <c:pt idx="95">
                  <c:v>1.2407065474901412E-2</c:v>
                </c:pt>
                <c:pt idx="96">
                  <c:v>1.3506973926762013E-2</c:v>
                </c:pt>
                <c:pt idx="97">
                  <c:v>1.2774105302842981E-2</c:v>
                </c:pt>
                <c:pt idx="98">
                  <c:v>2.2072435152100979E-2</c:v>
                </c:pt>
                <c:pt idx="99">
                  <c:v>2.8888986411675407E-2</c:v>
                </c:pt>
                <c:pt idx="100">
                  <c:v>2.8888986411675407E-2</c:v>
                </c:pt>
                <c:pt idx="101">
                  <c:v>2.8888986411675407E-2</c:v>
                </c:pt>
                <c:pt idx="102">
                  <c:v>2.8888986411675407E-2</c:v>
                </c:pt>
                <c:pt idx="103">
                  <c:v>2.8888986411675407E-2</c:v>
                </c:pt>
                <c:pt idx="104">
                  <c:v>2.8888986411675407E-2</c:v>
                </c:pt>
                <c:pt idx="105">
                  <c:v>2.8888986411675407E-2</c:v>
                </c:pt>
                <c:pt idx="106">
                  <c:v>2.8888986411675407E-2</c:v>
                </c:pt>
                <c:pt idx="107">
                  <c:v>2.8888986411675407E-2</c:v>
                </c:pt>
                <c:pt idx="108">
                  <c:v>2.8888986411675407E-2</c:v>
                </c:pt>
                <c:pt idx="109">
                  <c:v>2.8888986411675407E-2</c:v>
                </c:pt>
                <c:pt idx="110">
                  <c:v>2.8888986411675407E-2</c:v>
                </c:pt>
                <c:pt idx="111">
                  <c:v>2.8888986411675407E-2</c:v>
                </c:pt>
                <c:pt idx="112">
                  <c:v>2.8888986411675407E-2</c:v>
                </c:pt>
                <c:pt idx="113">
                  <c:v>2.8888986411675407E-2</c:v>
                </c:pt>
                <c:pt idx="114">
                  <c:v>2.8888986411675407E-2</c:v>
                </c:pt>
                <c:pt idx="115">
                  <c:v>2.8888986411675407E-2</c:v>
                </c:pt>
                <c:pt idx="116">
                  <c:v>2.8888986411675407E-2</c:v>
                </c:pt>
                <c:pt idx="117">
                  <c:v>2.8888986411675407E-2</c:v>
                </c:pt>
                <c:pt idx="118">
                  <c:v>2.8888986411675407E-2</c:v>
                </c:pt>
                <c:pt idx="119">
                  <c:v>2.8888986411675407E-2</c:v>
                </c:pt>
                <c:pt idx="120">
                  <c:v>2.8888986411675407E-2</c:v>
                </c:pt>
                <c:pt idx="121">
                  <c:v>2.8888986411675407E-2</c:v>
                </c:pt>
                <c:pt idx="122">
                  <c:v>2.8888986411675407E-2</c:v>
                </c:pt>
                <c:pt idx="123">
                  <c:v>2.8888986411675407E-2</c:v>
                </c:pt>
                <c:pt idx="124">
                  <c:v>2.8888986411675407E-2</c:v>
                </c:pt>
                <c:pt idx="125">
                  <c:v>2.8888986411675407E-2</c:v>
                </c:pt>
                <c:pt idx="126">
                  <c:v>2.8888986411675407E-2</c:v>
                </c:pt>
                <c:pt idx="127">
                  <c:v>2.8888986411675407E-2</c:v>
                </c:pt>
                <c:pt idx="128">
                  <c:v>2.8888986411675407E-2</c:v>
                </c:pt>
                <c:pt idx="129">
                  <c:v>2.8888986411675407E-2</c:v>
                </c:pt>
                <c:pt idx="130">
                  <c:v>2.8888986411675407E-2</c:v>
                </c:pt>
                <c:pt idx="131">
                  <c:v>2.8888986411675407E-2</c:v>
                </c:pt>
                <c:pt idx="132">
                  <c:v>2.8888986411675407E-2</c:v>
                </c:pt>
                <c:pt idx="133">
                  <c:v>2.8888986411675407E-2</c:v>
                </c:pt>
                <c:pt idx="134">
                  <c:v>2.8888986411675407E-2</c:v>
                </c:pt>
                <c:pt idx="135">
                  <c:v>2.8888986411675407E-2</c:v>
                </c:pt>
                <c:pt idx="136">
                  <c:v>2.8888986411675407E-2</c:v>
                </c:pt>
                <c:pt idx="137">
                  <c:v>2.8888986411675407E-2</c:v>
                </c:pt>
                <c:pt idx="138">
                  <c:v>2.8888986411675407E-2</c:v>
                </c:pt>
                <c:pt idx="139">
                  <c:v>2.8888986411675407E-2</c:v>
                </c:pt>
                <c:pt idx="140">
                  <c:v>2.8888986411675407E-2</c:v>
                </c:pt>
                <c:pt idx="141">
                  <c:v>2.8888986411675407E-2</c:v>
                </c:pt>
                <c:pt idx="142">
                  <c:v>2.8888986411675407E-2</c:v>
                </c:pt>
                <c:pt idx="143">
                  <c:v>2.8888986411675407E-2</c:v>
                </c:pt>
                <c:pt idx="144">
                  <c:v>2.8888986411675407E-2</c:v>
                </c:pt>
                <c:pt idx="145">
                  <c:v>2.8888986411675407E-2</c:v>
                </c:pt>
                <c:pt idx="146">
                  <c:v>2.8888986411675407E-2</c:v>
                </c:pt>
                <c:pt idx="147">
                  <c:v>2.8888986411675407E-2</c:v>
                </c:pt>
                <c:pt idx="148">
                  <c:v>2.8888986411675407E-2</c:v>
                </c:pt>
                <c:pt idx="149">
                  <c:v>2.8888986411675407E-2</c:v>
                </c:pt>
                <c:pt idx="150">
                  <c:v>2.8888986411675407E-2</c:v>
                </c:pt>
                <c:pt idx="151">
                  <c:v>2.8888986411675407E-2</c:v>
                </c:pt>
                <c:pt idx="152">
                  <c:v>2.8888986411675407E-2</c:v>
                </c:pt>
                <c:pt idx="153">
                  <c:v>2.8888986411675407E-2</c:v>
                </c:pt>
                <c:pt idx="154">
                  <c:v>2.8888986411675407E-2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6-4C96-8AF9-E7941ADE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8.2028797016379992E-3</c:v>
                </c:pt>
                <c:pt idx="40">
                  <c:v>1.3150668573031689E-2</c:v>
                </c:pt>
                <c:pt idx="41">
                  <c:v>1.3150668573031689E-2</c:v>
                </c:pt>
                <c:pt idx="42">
                  <c:v>1.3150668573031689E-2</c:v>
                </c:pt>
                <c:pt idx="43">
                  <c:v>1.3150668573031689E-2</c:v>
                </c:pt>
                <c:pt idx="44">
                  <c:v>1.3150668573031689E-2</c:v>
                </c:pt>
                <c:pt idx="45">
                  <c:v>1.3150668573031689E-2</c:v>
                </c:pt>
                <c:pt idx="46">
                  <c:v>1.3150668573031689E-2</c:v>
                </c:pt>
                <c:pt idx="47">
                  <c:v>1.3150668573031689E-2</c:v>
                </c:pt>
                <c:pt idx="48">
                  <c:v>1.3150668573031689E-2</c:v>
                </c:pt>
                <c:pt idx="49">
                  <c:v>1.3150668573031689E-2</c:v>
                </c:pt>
                <c:pt idx="50">
                  <c:v>1.3150668573031689E-2</c:v>
                </c:pt>
                <c:pt idx="51">
                  <c:v>1.3150668573031689E-2</c:v>
                </c:pt>
                <c:pt idx="52">
                  <c:v>1.3150668573031689E-2</c:v>
                </c:pt>
                <c:pt idx="53">
                  <c:v>1.3150668573031689E-2</c:v>
                </c:pt>
                <c:pt idx="54">
                  <c:v>1.3150668573031689E-2</c:v>
                </c:pt>
                <c:pt idx="55">
                  <c:v>1.3150668573031689E-2</c:v>
                </c:pt>
                <c:pt idx="56">
                  <c:v>1.3150668573031689E-2</c:v>
                </c:pt>
                <c:pt idx="57">
                  <c:v>1.3150668573031689E-2</c:v>
                </c:pt>
                <c:pt idx="58">
                  <c:v>1.3150668573031689E-2</c:v>
                </c:pt>
                <c:pt idx="59">
                  <c:v>1.3150668573031689E-2</c:v>
                </c:pt>
                <c:pt idx="60">
                  <c:v>1.3150668573031689E-2</c:v>
                </c:pt>
                <c:pt idx="61">
                  <c:v>1.3150668573031689E-2</c:v>
                </c:pt>
                <c:pt idx="62">
                  <c:v>1.3150668573031689E-2</c:v>
                </c:pt>
                <c:pt idx="63">
                  <c:v>1.3150668573031689E-2</c:v>
                </c:pt>
                <c:pt idx="64">
                  <c:v>1.3150668573031689E-2</c:v>
                </c:pt>
                <c:pt idx="65">
                  <c:v>1.3150668573031689E-2</c:v>
                </c:pt>
                <c:pt idx="66">
                  <c:v>1.3150668573031689E-2</c:v>
                </c:pt>
                <c:pt idx="67">
                  <c:v>1.8390255742338837E-2</c:v>
                </c:pt>
                <c:pt idx="68">
                  <c:v>1.9450090754504535E-2</c:v>
                </c:pt>
                <c:pt idx="69">
                  <c:v>1.9450090754504535E-2</c:v>
                </c:pt>
                <c:pt idx="70">
                  <c:v>1.9450090754504535E-2</c:v>
                </c:pt>
                <c:pt idx="71">
                  <c:v>2.2337573218796456E-2</c:v>
                </c:pt>
                <c:pt idx="72">
                  <c:v>1.5319951232378056E-2</c:v>
                </c:pt>
                <c:pt idx="73">
                  <c:v>1.9190422662997086E-2</c:v>
                </c:pt>
                <c:pt idx="74">
                  <c:v>2.2521804765200486E-2</c:v>
                </c:pt>
                <c:pt idx="75">
                  <c:v>2.1449800133830778E-2</c:v>
                </c:pt>
                <c:pt idx="76">
                  <c:v>2.1163893083053779E-2</c:v>
                </c:pt>
                <c:pt idx="77">
                  <c:v>2.2088880434696877E-2</c:v>
                </c:pt>
                <c:pt idx="78">
                  <c:v>2.2088880434696877E-2</c:v>
                </c:pt>
                <c:pt idx="79">
                  <c:v>2.2088880434696877E-2</c:v>
                </c:pt>
                <c:pt idx="80">
                  <c:v>2.2088880434696877E-2</c:v>
                </c:pt>
                <c:pt idx="81">
                  <c:v>2.2088880434696877E-2</c:v>
                </c:pt>
                <c:pt idx="82">
                  <c:v>3.2391473415645876E-2</c:v>
                </c:pt>
                <c:pt idx="83">
                  <c:v>3.2391473415645876E-2</c:v>
                </c:pt>
                <c:pt idx="84">
                  <c:v>3.2391473415645876E-2</c:v>
                </c:pt>
                <c:pt idx="85">
                  <c:v>3.2391473415645876E-2</c:v>
                </c:pt>
                <c:pt idx="86">
                  <c:v>3.2391473415645876E-2</c:v>
                </c:pt>
                <c:pt idx="87">
                  <c:v>3.2391473415645876E-2</c:v>
                </c:pt>
                <c:pt idx="88">
                  <c:v>3.2391473415645876E-2</c:v>
                </c:pt>
                <c:pt idx="89">
                  <c:v>2.9896193299504187E-2</c:v>
                </c:pt>
                <c:pt idx="90">
                  <c:v>3.9412745715242205E-2</c:v>
                </c:pt>
                <c:pt idx="91">
                  <c:v>3.9412745715242205E-2</c:v>
                </c:pt>
                <c:pt idx="92">
                  <c:v>3.9412745715242205E-2</c:v>
                </c:pt>
                <c:pt idx="93">
                  <c:v>3.5024350734121905E-2</c:v>
                </c:pt>
                <c:pt idx="94">
                  <c:v>3.2039796640384803E-2</c:v>
                </c:pt>
                <c:pt idx="95">
                  <c:v>3.1647870317515599E-2</c:v>
                </c:pt>
                <c:pt idx="96">
                  <c:v>3.27477787693762E-2</c:v>
                </c:pt>
                <c:pt idx="97">
                  <c:v>3.2014910145457168E-2</c:v>
                </c:pt>
                <c:pt idx="98">
                  <c:v>4.1313239994715166E-2</c:v>
                </c:pt>
                <c:pt idx="99">
                  <c:v>4.8129791254289594E-2</c:v>
                </c:pt>
                <c:pt idx="100">
                  <c:v>4.8129791254289594E-2</c:v>
                </c:pt>
                <c:pt idx="101">
                  <c:v>4.8129791254289594E-2</c:v>
                </c:pt>
                <c:pt idx="102">
                  <c:v>4.8129791254289594E-2</c:v>
                </c:pt>
                <c:pt idx="103">
                  <c:v>4.8060175186873097E-2</c:v>
                </c:pt>
                <c:pt idx="104">
                  <c:v>5.1746024725756089E-2</c:v>
                </c:pt>
                <c:pt idx="105">
                  <c:v>4.7223201819721491E-2</c:v>
                </c:pt>
                <c:pt idx="106">
                  <c:v>5.1529707669870521E-2</c:v>
                </c:pt>
                <c:pt idx="107">
                  <c:v>5.2174021273521061E-2</c:v>
                </c:pt>
                <c:pt idx="108">
                  <c:v>5.5958252811767265E-2</c:v>
                </c:pt>
                <c:pt idx="109">
                  <c:v>5.5958252811767265E-2</c:v>
                </c:pt>
                <c:pt idx="110">
                  <c:v>5.5958252811767265E-2</c:v>
                </c:pt>
                <c:pt idx="111">
                  <c:v>5.5958252811767265E-2</c:v>
                </c:pt>
                <c:pt idx="112">
                  <c:v>5.5958252811767265E-2</c:v>
                </c:pt>
                <c:pt idx="113">
                  <c:v>5.5958252811767265E-2</c:v>
                </c:pt>
                <c:pt idx="114">
                  <c:v>5.5958252811767265E-2</c:v>
                </c:pt>
                <c:pt idx="115">
                  <c:v>5.5958252811767265E-2</c:v>
                </c:pt>
                <c:pt idx="116">
                  <c:v>5.5958252811767265E-2</c:v>
                </c:pt>
                <c:pt idx="117">
                  <c:v>5.5958252811767265E-2</c:v>
                </c:pt>
                <c:pt idx="118">
                  <c:v>5.5958252811767265E-2</c:v>
                </c:pt>
                <c:pt idx="119">
                  <c:v>5.5958252811767265E-2</c:v>
                </c:pt>
                <c:pt idx="120">
                  <c:v>5.5958252811767265E-2</c:v>
                </c:pt>
                <c:pt idx="121">
                  <c:v>5.5958252811767265E-2</c:v>
                </c:pt>
                <c:pt idx="122">
                  <c:v>5.5958252811767265E-2</c:v>
                </c:pt>
                <c:pt idx="123">
                  <c:v>5.5958252811767265E-2</c:v>
                </c:pt>
                <c:pt idx="124">
                  <c:v>5.5958252811767265E-2</c:v>
                </c:pt>
                <c:pt idx="125">
                  <c:v>5.5958252811767265E-2</c:v>
                </c:pt>
                <c:pt idx="126">
                  <c:v>5.5958252811767265E-2</c:v>
                </c:pt>
                <c:pt idx="127">
                  <c:v>5.5958252811767265E-2</c:v>
                </c:pt>
                <c:pt idx="128">
                  <c:v>5.5958252811767265E-2</c:v>
                </c:pt>
                <c:pt idx="129">
                  <c:v>5.5958252811767265E-2</c:v>
                </c:pt>
                <c:pt idx="130">
                  <c:v>5.5958252811767265E-2</c:v>
                </c:pt>
                <c:pt idx="131">
                  <c:v>5.5958252811767265E-2</c:v>
                </c:pt>
                <c:pt idx="132">
                  <c:v>5.5958252811767265E-2</c:v>
                </c:pt>
                <c:pt idx="133">
                  <c:v>5.5958252811767265E-2</c:v>
                </c:pt>
                <c:pt idx="134">
                  <c:v>5.5958252811767265E-2</c:v>
                </c:pt>
                <c:pt idx="135">
                  <c:v>5.5958252811767265E-2</c:v>
                </c:pt>
                <c:pt idx="136">
                  <c:v>5.5958252811767265E-2</c:v>
                </c:pt>
                <c:pt idx="137">
                  <c:v>5.5958252811767265E-2</c:v>
                </c:pt>
                <c:pt idx="138">
                  <c:v>6.350766477167584E-2</c:v>
                </c:pt>
                <c:pt idx="139">
                  <c:v>6.350766477167584E-2</c:v>
                </c:pt>
                <c:pt idx="140">
                  <c:v>6.350766477167584E-2</c:v>
                </c:pt>
                <c:pt idx="141">
                  <c:v>6.350766477167584E-2</c:v>
                </c:pt>
                <c:pt idx="142">
                  <c:v>6.350766477167584E-2</c:v>
                </c:pt>
                <c:pt idx="143">
                  <c:v>6.350766477167584E-2</c:v>
                </c:pt>
                <c:pt idx="144">
                  <c:v>6.350766477167584E-2</c:v>
                </c:pt>
                <c:pt idx="145">
                  <c:v>6.350766477167584E-2</c:v>
                </c:pt>
                <c:pt idx="146">
                  <c:v>6.350766477167584E-2</c:v>
                </c:pt>
                <c:pt idx="147">
                  <c:v>6.350766477167584E-2</c:v>
                </c:pt>
                <c:pt idx="148">
                  <c:v>6.350766477167584E-2</c:v>
                </c:pt>
                <c:pt idx="149">
                  <c:v>6.350766477167584E-2</c:v>
                </c:pt>
                <c:pt idx="150">
                  <c:v>6.350766477167584E-2</c:v>
                </c:pt>
                <c:pt idx="151">
                  <c:v>6.350766477167584E-2</c:v>
                </c:pt>
                <c:pt idx="152">
                  <c:v>6.350766477167584E-2</c:v>
                </c:pt>
                <c:pt idx="153">
                  <c:v>6.350766477167584E-2</c:v>
                </c:pt>
                <c:pt idx="154">
                  <c:v>6.350766477167584E-2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1-4911-8825-0B8E6A4D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7EED4-3B19-48D4-9F4C-14C209014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35478-192E-4B26-8CED-B3986B6CF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6605A-8462-4AE1-A468-A66C49E71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44419F-0D8C-4C93-B42A-6BB385FE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2C1655-5ED0-4D52-BA02-9335464C4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ED96A-AB4E-40F7-834D-5E99F5A0F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26A83C-DCA1-4BDB-A09C-DF6E7F4C9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5787-979C-4320-9CDA-6CD9878ED1D1}">
  <dimension ref="A1:DZ179"/>
  <sheetViews>
    <sheetView tabSelected="1" topLeftCell="AE1" workbookViewId="0">
      <selection activeCell="AN4" sqref="AN4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4" width="12.28515625" style="15" bestFit="1" customWidth="1"/>
    <col min="5" max="5" width="11.7109375" style="15" bestFit="1" customWidth="1"/>
    <col min="6" max="6" width="10.7109375" style="33" bestFit="1" customWidth="1"/>
    <col min="7" max="7" width="19.140625" style="33" bestFit="1" customWidth="1"/>
    <col min="8" max="8" width="10.140625" style="33" bestFit="1" customWidth="1"/>
    <col min="9" max="9" width="18.5703125" style="33" bestFit="1" customWidth="1"/>
    <col min="10" max="10" width="21.85546875" style="33" bestFit="1" customWidth="1"/>
    <col min="11" max="11" width="21.140625" style="33" bestFit="1" customWidth="1"/>
    <col min="12" max="13" width="10" style="33" bestFit="1" customWidth="1"/>
    <col min="14" max="14" width="12.85546875" style="34" bestFit="1" customWidth="1"/>
    <col min="15" max="15" width="16.42578125" style="34" bestFit="1" customWidth="1"/>
    <col min="16" max="17" width="19.85546875" style="34" bestFit="1" customWidth="1"/>
    <col min="18" max="18" width="12.42578125" style="33" bestFit="1" customWidth="1"/>
    <col min="19" max="20" width="15.85546875" style="33" bestFit="1" customWidth="1"/>
    <col min="21" max="21" width="24.28515625" style="15" bestFit="1" customWidth="1"/>
    <col min="22" max="23" width="27.7109375" style="15" bestFit="1" customWidth="1"/>
    <col min="24" max="24" width="15" style="34" bestFit="1" customWidth="1"/>
    <col min="25" max="25" width="18.5703125" style="34" bestFit="1" customWidth="1"/>
    <col min="26" max="27" width="22" style="34" bestFit="1" customWidth="1"/>
    <col min="28" max="28" width="13.5703125" style="33" bestFit="1" customWidth="1"/>
    <col min="29" max="30" width="16.85546875" style="33" bestFit="1" customWidth="1"/>
    <col min="31" max="31" width="26.42578125" style="15" bestFit="1" customWidth="1"/>
    <col min="32" max="33" width="29.855468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2.28515625" style="15" bestFit="1" customWidth="1"/>
    <col min="42" max="42" width="11.7109375" style="15" bestFit="1" customWidth="1"/>
    <col min="43" max="43" width="7.5703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2.28515625" style="15" bestFit="1" customWidth="1"/>
    <col min="53" max="53" width="11.7109375" style="15" bestFit="1" customWidth="1"/>
    <col min="54" max="54" width="7.5703125" style="15" bestFit="1" customWidth="1"/>
    <col min="55" max="55" width="8.7109375" style="15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2</v>
      </c>
      <c r="C1" s="30" t="s">
        <v>1</v>
      </c>
      <c r="D1" s="31" t="s">
        <v>4</v>
      </c>
      <c r="E1" s="31" t="s">
        <v>3</v>
      </c>
      <c r="F1" s="30" t="s">
        <v>7</v>
      </c>
      <c r="G1" s="30" t="s">
        <v>8</v>
      </c>
      <c r="H1" s="30" t="s">
        <v>5</v>
      </c>
      <c r="I1" s="30" t="s">
        <v>6</v>
      </c>
      <c r="J1" s="30" t="s">
        <v>10</v>
      </c>
      <c r="K1" s="30" t="s">
        <v>9</v>
      </c>
      <c r="L1" s="30" t="s">
        <v>12</v>
      </c>
      <c r="M1" s="30" t="s">
        <v>11</v>
      </c>
      <c r="N1" s="32" t="s">
        <v>33</v>
      </c>
      <c r="O1" s="32" t="s">
        <v>34</v>
      </c>
      <c r="P1" s="32" t="s">
        <v>35</v>
      </c>
      <c r="Q1" s="32" t="s">
        <v>36</v>
      </c>
      <c r="R1" s="30" t="s">
        <v>37</v>
      </c>
      <c r="S1" s="30" t="s">
        <v>38</v>
      </c>
      <c r="T1" s="30" t="s">
        <v>39</v>
      </c>
      <c r="U1" s="31" t="s">
        <v>40</v>
      </c>
      <c r="V1" s="31" t="s">
        <v>41</v>
      </c>
      <c r="W1" s="31" t="s">
        <v>42</v>
      </c>
      <c r="X1" s="32" t="s">
        <v>43</v>
      </c>
      <c r="Y1" s="32" t="s">
        <v>44</v>
      </c>
      <c r="Z1" s="32" t="s">
        <v>45</v>
      </c>
      <c r="AA1" s="32" t="s">
        <v>46</v>
      </c>
      <c r="AB1" s="30" t="s">
        <v>47</v>
      </c>
      <c r="AC1" s="30" t="s">
        <v>48</v>
      </c>
      <c r="AD1" s="30" t="s">
        <v>49</v>
      </c>
      <c r="AE1" s="31" t="s">
        <v>50</v>
      </c>
      <c r="AF1" s="31" t="s">
        <v>51</v>
      </c>
      <c r="AG1" s="31" t="s">
        <v>52</v>
      </c>
      <c r="AH1" s="2"/>
      <c r="AI1" s="3">
        <f>AQ16</f>
        <v>2.3965491233828407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13</v>
      </c>
      <c r="AS1" s="2"/>
      <c r="AT1" s="3">
        <f>BB16</f>
        <v>1.9734203783000503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13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26.14</v>
      </c>
      <c r="C2" s="33">
        <v>26.22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26.14</v>
      </c>
      <c r="M2" s="33">
        <v>26.22</v>
      </c>
      <c r="N2" s="34">
        <v>1.00306044376434</v>
      </c>
      <c r="O2" s="34">
        <v>1.01735801017489</v>
      </c>
      <c r="X2" s="34">
        <v>1.00306044376434</v>
      </c>
      <c r="Y2" s="34">
        <v>1.01735801017489</v>
      </c>
      <c r="AI2" s="4">
        <v>0</v>
      </c>
      <c r="AJ2" s="10">
        <f t="dataTable" ref="AJ2:AQ9" dt2D="1" dtr="1" r1="AI21" r2="AI22"/>
        <v>2.2332875943228445</v>
      </c>
      <c r="AK2" s="10">
        <v>2.1184824746561541</v>
      </c>
      <c r="AL2" s="10">
        <v>1.4577397300793262</v>
      </c>
      <c r="AM2" s="10">
        <v>0.60273353155817444</v>
      </c>
      <c r="AN2" s="10">
        <v>0.93753699924259082</v>
      </c>
      <c r="AO2" s="10">
        <v>1.0871706211744674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2.6778071071130625</v>
      </c>
      <c r="AV2" s="11">
        <v>2.2819641102016313</v>
      </c>
      <c r="AW2" s="11">
        <v>2.344484748832028</v>
      </c>
      <c r="AX2" s="11">
        <v>1.6799252009712908</v>
      </c>
      <c r="AY2" s="11">
        <v>2.0416599905739479</v>
      </c>
      <c r="AZ2" s="11">
        <v>1.3731309238552829</v>
      </c>
      <c r="BA2" s="11">
        <v>1.3731309238552829</v>
      </c>
      <c r="BB2" s="11">
        <v>1.370642630413949</v>
      </c>
      <c r="BC2"/>
    </row>
    <row r="3" spans="1:130" x14ac:dyDescent="0.25">
      <c r="A3" s="1">
        <v>46027</v>
      </c>
      <c r="B3" s="33">
        <v>25.81</v>
      </c>
      <c r="C3" s="33">
        <v>26</v>
      </c>
      <c r="D3" s="15">
        <v>-1.2704694465553499E-2</v>
      </c>
      <c r="E3" s="15">
        <v>-8.4259403140717094E-3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25.81</v>
      </c>
      <c r="M3" s="33">
        <v>26</v>
      </c>
      <c r="N3" s="34">
        <v>1.00736148779542</v>
      </c>
      <c r="O3" s="34">
        <v>1.01735801017489</v>
      </c>
      <c r="R3" s="33">
        <v>26.258010242613999</v>
      </c>
      <c r="U3" s="15">
        <v>9.8745565663010803E-3</v>
      </c>
      <c r="X3" s="34">
        <v>1.00736148779542</v>
      </c>
      <c r="Y3" s="34">
        <v>1.01735801017489</v>
      </c>
      <c r="AB3" s="33">
        <v>26.258010242613999</v>
      </c>
      <c r="AE3" s="15">
        <v>9.8745565663010803E-3</v>
      </c>
      <c r="AI3" s="4">
        <f t="shared" ref="AI3:AI9" si="2">AI2-AK$12</f>
        <v>-2.5000000000000001E-3</v>
      </c>
      <c r="AJ3" s="10">
        <v>2.2332875943228445</v>
      </c>
      <c r="AK3" s="10">
        <v>3.6432913186670635</v>
      </c>
      <c r="AL3" s="10">
        <v>3.0405618611640897</v>
      </c>
      <c r="AM3" s="10">
        <v>1.8587553333817435</v>
      </c>
      <c r="AN3" s="10">
        <v>1.7838034937576304</v>
      </c>
      <c r="AO3" s="11">
        <v>2.8202570524114212</v>
      </c>
      <c r="AP3" s="10" t="e">
        <v>#DIV/0!</v>
      </c>
      <c r="AQ3" s="10" t="e">
        <v>#DIV/0!</v>
      </c>
      <c r="AR3"/>
      <c r="AT3" s="4">
        <f>AT2+AV$12</f>
        <v>2.5000000000000001E-3</v>
      </c>
      <c r="AU3" s="10">
        <v>2.6778071071130625</v>
      </c>
      <c r="AV3" s="11">
        <v>2.1605119676379116</v>
      </c>
      <c r="AW3" s="11">
        <v>2.2257724146702191</v>
      </c>
      <c r="AX3" s="11">
        <v>1.5226926741331683</v>
      </c>
      <c r="AY3" s="11">
        <v>1.5538686792981893</v>
      </c>
      <c r="AZ3" s="11">
        <v>1.0302982245977352</v>
      </c>
      <c r="BA3" s="11">
        <v>1.0302982245977352</v>
      </c>
      <c r="BB3" s="11">
        <v>0.86910324139092043</v>
      </c>
      <c r="BC3"/>
    </row>
    <row r="4" spans="1:130" x14ac:dyDescent="0.25">
      <c r="A4" s="1">
        <v>46028</v>
      </c>
      <c r="B4" s="33">
        <v>26.1</v>
      </c>
      <c r="C4" s="33">
        <v>26.25</v>
      </c>
      <c r="D4" s="15">
        <v>1.1173300598125199E-2</v>
      </c>
      <c r="E4" s="15">
        <v>9.5694510161506707E-3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26.1</v>
      </c>
      <c r="M4" s="33">
        <v>26.25</v>
      </c>
      <c r="N4" s="34">
        <v>1.0057471264367801</v>
      </c>
      <c r="O4" s="34">
        <v>1.01735801017489</v>
      </c>
      <c r="R4" s="33">
        <v>26.553044065564698</v>
      </c>
      <c r="U4" s="15">
        <v>1.1478406148275701E-2</v>
      </c>
      <c r="X4" s="34">
        <v>1.0057471264367801</v>
      </c>
      <c r="Y4" s="34">
        <v>1.01735801017489</v>
      </c>
      <c r="AB4" s="33">
        <v>26.553044065564698</v>
      </c>
      <c r="AE4" s="15">
        <v>1.1478406148275701E-2</v>
      </c>
      <c r="AG4"/>
      <c r="AI4" s="4">
        <f t="shared" si="2"/>
        <v>-5.0000000000000001E-3</v>
      </c>
      <c r="AJ4" s="10">
        <v>2.2332875943228445</v>
      </c>
      <c r="AK4" s="11">
        <v>3.6432913186670635</v>
      </c>
      <c r="AL4" s="11">
        <v>4.4041479760058966</v>
      </c>
      <c r="AM4" s="11">
        <v>3.2444290667774398</v>
      </c>
      <c r="AN4" s="10">
        <v>2.3965491233828407</v>
      </c>
      <c r="AO4" s="11">
        <v>2.5460882257986439</v>
      </c>
      <c r="AP4" s="11" t="e">
        <v>#DIV/0!</v>
      </c>
      <c r="AQ4" s="11" t="e">
        <v>#DIV/0!</v>
      </c>
      <c r="AR4"/>
      <c r="AT4" s="4">
        <f t="shared" ref="AT4:AT9" si="3">AT3+AV$12</f>
        <v>5.0000000000000001E-3</v>
      </c>
      <c r="AU4" s="10">
        <v>2.6778071071130625</v>
      </c>
      <c r="AV4" s="11">
        <v>2.1605119676379116</v>
      </c>
      <c r="AW4" s="11">
        <v>2.0733125323268315</v>
      </c>
      <c r="AX4" s="11">
        <v>1.240461770181988</v>
      </c>
      <c r="AY4" s="11">
        <v>1.4557398301604219</v>
      </c>
      <c r="AZ4" s="11">
        <v>0.91297725966493481</v>
      </c>
      <c r="BA4" s="11">
        <v>0.91297725966493481</v>
      </c>
      <c r="BB4" s="11">
        <v>0.86910324139092043</v>
      </c>
      <c r="BC4"/>
      <c r="BE4" s="8"/>
      <c r="BF4" s="8"/>
    </row>
    <row r="5" spans="1:130" x14ac:dyDescent="0.25">
      <c r="A5" s="1">
        <v>46029</v>
      </c>
      <c r="B5" s="33">
        <v>25.35</v>
      </c>
      <c r="C5" s="33">
        <v>25.53</v>
      </c>
      <c r="D5" s="15">
        <v>-2.9156584291455501E-2</v>
      </c>
      <c r="E5" s="15">
        <v>-2.78117577842402E-2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25.35</v>
      </c>
      <c r="M5" s="33">
        <v>25.53</v>
      </c>
      <c r="N5" s="34">
        <v>1.0071005917159701</v>
      </c>
      <c r="O5" s="34">
        <v>1.01735801017489</v>
      </c>
      <c r="R5" s="33">
        <v>25.7900255579336</v>
      </c>
      <c r="U5" s="15">
        <v>1.0133579641060399E-2</v>
      </c>
      <c r="X5" s="34">
        <v>1.0071005917159701</v>
      </c>
      <c r="Y5" s="34">
        <v>1.01735801017489</v>
      </c>
      <c r="AB5" s="33">
        <v>25.7900255579336</v>
      </c>
      <c r="AE5" s="15">
        <v>1.0133579641060399E-2</v>
      </c>
      <c r="AG5" s="29"/>
      <c r="AI5" s="4">
        <f t="shared" si="2"/>
        <v>-7.4999999999999997E-3</v>
      </c>
      <c r="AJ5" s="10">
        <v>2.2332875943228445</v>
      </c>
      <c r="AK5" s="11">
        <v>3.6432913186670635</v>
      </c>
      <c r="AL5" s="11">
        <v>4.4041479760058966</v>
      </c>
      <c r="AM5" s="11">
        <v>3.2542448501139267</v>
      </c>
      <c r="AN5" s="11">
        <v>2.3634529757602047</v>
      </c>
      <c r="AO5" s="11">
        <v>2.6660223250359016</v>
      </c>
      <c r="AP5" s="10" t="e">
        <v>#DIV/0!</v>
      </c>
      <c r="AQ5" s="11" t="e">
        <v>#DIV/0!</v>
      </c>
      <c r="AR5"/>
      <c r="AT5" s="4">
        <f t="shared" si="3"/>
        <v>7.4999999999999997E-3</v>
      </c>
      <c r="AU5" s="10">
        <v>2.6778071071130625</v>
      </c>
      <c r="AV5" s="11">
        <v>2.1605119676379116</v>
      </c>
      <c r="AW5" s="11">
        <v>2.0733125323268315</v>
      </c>
      <c r="AX5" s="11">
        <v>1.2930478679740096</v>
      </c>
      <c r="AY5" s="11">
        <v>1.7252374398494073</v>
      </c>
      <c r="AZ5" s="11">
        <v>1.4335442834536489</v>
      </c>
      <c r="BA5" s="11">
        <v>1.9734203783000503</v>
      </c>
      <c r="BB5" s="11">
        <v>0.86910324139092043</v>
      </c>
      <c r="BC5"/>
    </row>
    <row r="6" spans="1:130" x14ac:dyDescent="0.25">
      <c r="A6" s="1">
        <v>46030</v>
      </c>
      <c r="B6" s="33">
        <v>25.69</v>
      </c>
      <c r="C6" s="33">
        <v>25.86</v>
      </c>
      <c r="D6" s="15">
        <v>1.3323081084599901E-2</v>
      </c>
      <c r="E6" s="15">
        <v>1.2843142090318701E-2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25.69</v>
      </c>
      <c r="M6" s="33">
        <v>25.86</v>
      </c>
      <c r="N6" s="34">
        <v>1.00661736084079</v>
      </c>
      <c r="O6" s="34">
        <v>1.01735801017489</v>
      </c>
      <c r="R6" s="33">
        <v>26.135927281392998</v>
      </c>
      <c r="U6" s="15">
        <v>1.0613518635341501E-2</v>
      </c>
      <c r="X6" s="34">
        <v>1.00661736084079</v>
      </c>
      <c r="Y6" s="34">
        <v>1.01735801017489</v>
      </c>
      <c r="AB6" s="33">
        <v>26.135927281392998</v>
      </c>
      <c r="AE6" s="15">
        <v>1.0613518635341501E-2</v>
      </c>
      <c r="AG6" s="29"/>
      <c r="AI6" s="4">
        <f t="shared" si="2"/>
        <v>-0.01</v>
      </c>
      <c r="AJ6" s="10">
        <v>2.2332875943228445</v>
      </c>
      <c r="AK6" s="11">
        <v>3.6432913186670635</v>
      </c>
      <c r="AL6" s="11">
        <v>4.4041479760058966</v>
      </c>
      <c r="AM6" s="11">
        <v>3.2542448501139267</v>
      </c>
      <c r="AN6" s="11">
        <v>3.1194262758415139</v>
      </c>
      <c r="AO6" s="11">
        <v>1.8065060898523393</v>
      </c>
      <c r="AP6" s="11" t="e">
        <v>#DIV/0!</v>
      </c>
      <c r="AQ6" s="11" t="e">
        <v>#DIV/0!</v>
      </c>
      <c r="AR6"/>
      <c r="AT6" s="4">
        <f t="shared" si="3"/>
        <v>0.01</v>
      </c>
      <c r="AU6" s="10">
        <v>2.6778071071130625</v>
      </c>
      <c r="AV6" s="11">
        <v>2.1605119676379116</v>
      </c>
      <c r="AW6" s="11">
        <v>2.0733125323268315</v>
      </c>
      <c r="AX6" s="11">
        <v>1.2930478679740096</v>
      </c>
      <c r="AY6" s="11">
        <v>1.161413091348146</v>
      </c>
      <c r="AZ6" s="11">
        <v>0.74625870906092573</v>
      </c>
      <c r="BA6" s="11">
        <v>1.303686328810761</v>
      </c>
      <c r="BB6" s="11">
        <v>0.22378416293061482</v>
      </c>
      <c r="BC6"/>
    </row>
    <row r="7" spans="1:130" x14ac:dyDescent="0.25">
      <c r="A7" s="1">
        <v>46031</v>
      </c>
      <c r="B7" s="33">
        <v>25.96</v>
      </c>
      <c r="C7" s="33">
        <v>26.13</v>
      </c>
      <c r="D7" s="15">
        <v>1.04550807140969E-2</v>
      </c>
      <c r="E7" s="15">
        <v>1.0386706188809601E-2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25.96</v>
      </c>
      <c r="M7" s="33">
        <v>26.13</v>
      </c>
      <c r="N7" s="34">
        <v>1.0065485362095501</v>
      </c>
      <c r="O7" s="34">
        <v>1.01735801017489</v>
      </c>
      <c r="R7" s="33">
        <v>26.410613944140199</v>
      </c>
      <c r="U7" s="15">
        <v>1.06818931606289E-2</v>
      </c>
      <c r="X7" s="34">
        <v>1.0065485362095501</v>
      </c>
      <c r="Y7" s="34">
        <v>1.01735801017489</v>
      </c>
      <c r="AB7" s="33">
        <v>26.410613944140199</v>
      </c>
      <c r="AE7" s="15">
        <v>1.06818931606289E-2</v>
      </c>
      <c r="AG7"/>
      <c r="AI7" s="4">
        <f t="shared" si="2"/>
        <v>-1.2500000000000001E-2</v>
      </c>
      <c r="AJ7" s="10">
        <v>2.2332875943228445</v>
      </c>
      <c r="AK7" s="11">
        <v>3.6432913186670635</v>
      </c>
      <c r="AL7" s="11">
        <v>4.4041479760058966</v>
      </c>
      <c r="AM7" s="11">
        <v>3.2542448501139267</v>
      </c>
      <c r="AN7" s="11">
        <v>3.1194262758415139</v>
      </c>
      <c r="AO7" s="11">
        <v>1.8065060898523393</v>
      </c>
      <c r="AP7" s="11" t="e">
        <v>#DIV/0!</v>
      </c>
      <c r="AQ7" s="11" t="e">
        <v>#DIV/0!</v>
      </c>
      <c r="AR7"/>
      <c r="AT7" s="4">
        <f t="shared" si="3"/>
        <v>1.2500000000000001E-2</v>
      </c>
      <c r="AU7" s="10">
        <v>2.6778071071130625</v>
      </c>
      <c r="AV7" s="11">
        <v>2.1605119676379116</v>
      </c>
      <c r="AW7" s="11">
        <v>2.0733125323268315</v>
      </c>
      <c r="AX7" s="11">
        <v>1.2930478679740096</v>
      </c>
      <c r="AY7" s="11">
        <v>1.161413091348146</v>
      </c>
      <c r="AZ7" s="11">
        <v>0.74625870906092573</v>
      </c>
      <c r="BA7" s="11">
        <v>1.303686328810761</v>
      </c>
      <c r="BB7" s="11">
        <v>0.22378416293061482</v>
      </c>
      <c r="BC7"/>
    </row>
    <row r="8" spans="1:130" x14ac:dyDescent="0.25">
      <c r="A8" s="1">
        <v>46034</v>
      </c>
      <c r="B8" s="33">
        <v>26.62</v>
      </c>
      <c r="C8" s="33">
        <v>26.85</v>
      </c>
      <c r="D8" s="15">
        <v>2.5105921131076198E-2</v>
      </c>
      <c r="E8" s="15">
        <v>2.71817414223527E-2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26.62</v>
      </c>
      <c r="M8" s="33">
        <v>26.85</v>
      </c>
      <c r="N8" s="34">
        <v>1.0086401202103601</v>
      </c>
      <c r="O8" s="34">
        <v>1.01735801017489</v>
      </c>
      <c r="R8" s="33">
        <v>27.082070230855699</v>
      </c>
      <c r="U8" s="15">
        <v>8.6060728693526708E-3</v>
      </c>
      <c r="X8" s="34">
        <v>1.0086401202103601</v>
      </c>
      <c r="Y8" s="34">
        <v>1.01735801017489</v>
      </c>
      <c r="AB8" s="33">
        <v>27.082070230855699</v>
      </c>
      <c r="AE8" s="15">
        <v>8.6060728693526708E-3</v>
      </c>
      <c r="AG8"/>
      <c r="AI8" s="4">
        <f t="shared" si="2"/>
        <v>-1.5000000000000001E-2</v>
      </c>
      <c r="AJ8" s="10">
        <v>2.2332875943228445</v>
      </c>
      <c r="AK8" s="11">
        <v>3.6432913186670635</v>
      </c>
      <c r="AL8" s="11">
        <v>4.4041479760058966</v>
      </c>
      <c r="AM8" s="11">
        <v>3.2542448501139267</v>
      </c>
      <c r="AN8" s="11">
        <v>3.1194262758415139</v>
      </c>
      <c r="AO8" s="11">
        <v>1.8065060898523393</v>
      </c>
      <c r="AP8" s="11" t="e">
        <v>#DIV/0!</v>
      </c>
      <c r="AQ8" s="11" t="e">
        <v>#DIV/0!</v>
      </c>
      <c r="AR8"/>
      <c r="AT8" s="4">
        <f t="shared" si="3"/>
        <v>1.5000000000000001E-2</v>
      </c>
      <c r="AU8" s="10">
        <v>2.6778071071130625</v>
      </c>
      <c r="AV8" s="11">
        <v>2.1605119676379116</v>
      </c>
      <c r="AW8" s="11">
        <v>2.0733125323268315</v>
      </c>
      <c r="AX8" s="11">
        <v>1.2930478679740096</v>
      </c>
      <c r="AY8" s="11">
        <v>1.161413091348146</v>
      </c>
      <c r="AZ8" s="11">
        <v>0.74625870906092573</v>
      </c>
      <c r="BA8" s="11">
        <v>1.303686328810761</v>
      </c>
      <c r="BB8" s="11">
        <v>0.22378416293061482</v>
      </c>
      <c r="BC8"/>
    </row>
    <row r="9" spans="1:130" x14ac:dyDescent="0.25">
      <c r="A9" s="1">
        <v>46035</v>
      </c>
      <c r="B9" s="33">
        <v>26.35</v>
      </c>
      <c r="C9" s="33">
        <v>26.69</v>
      </c>
      <c r="D9" s="15">
        <v>-1.0194537979594199E-2</v>
      </c>
      <c r="E9" s="15">
        <v>-5.9768575384409103E-3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26.35</v>
      </c>
      <c r="M9" s="33">
        <v>26.69</v>
      </c>
      <c r="N9" s="34">
        <v>1.0129032258064501</v>
      </c>
      <c r="O9" s="34">
        <v>1.01735801017489</v>
      </c>
      <c r="R9" s="33">
        <v>26.807383568108399</v>
      </c>
      <c r="U9" s="15">
        <v>4.3883924281993801E-3</v>
      </c>
      <c r="X9" s="34">
        <v>1.0129032258064501</v>
      </c>
      <c r="Y9" s="34">
        <v>1.01735801017489</v>
      </c>
      <c r="AB9" s="33">
        <v>26.807383568108399</v>
      </c>
      <c r="AE9" s="15">
        <v>4.3883924281993801E-3</v>
      </c>
      <c r="AF9"/>
      <c r="AI9" s="4">
        <f t="shared" si="2"/>
        <v>-1.7500000000000002E-2</v>
      </c>
      <c r="AJ9" s="10">
        <v>2.2332875943228445</v>
      </c>
      <c r="AK9" s="11">
        <v>3.6432913186670635</v>
      </c>
      <c r="AL9" s="11">
        <v>4.4041479760058966</v>
      </c>
      <c r="AM9" s="11">
        <v>3.2542448501139267</v>
      </c>
      <c r="AN9" s="11">
        <v>3.1194262758415139</v>
      </c>
      <c r="AO9" s="11">
        <v>1.8065060898523393</v>
      </c>
      <c r="AP9" s="11" t="e">
        <v>#DIV/0!</v>
      </c>
      <c r="AQ9" s="11" t="e">
        <v>#DIV/0!</v>
      </c>
      <c r="AR9"/>
      <c r="AT9" s="4">
        <f t="shared" si="3"/>
        <v>1.7500000000000002E-2</v>
      </c>
      <c r="AU9" s="10">
        <v>2.6778071071130625</v>
      </c>
      <c r="AV9" s="10">
        <v>2.1605119676379116</v>
      </c>
      <c r="AW9" s="10">
        <v>2.0733125323268315</v>
      </c>
      <c r="AX9" s="10">
        <v>1.2930478679740096</v>
      </c>
      <c r="AY9" s="10">
        <v>1.161413091348146</v>
      </c>
      <c r="AZ9" s="10">
        <v>0.74625870906092573</v>
      </c>
      <c r="BA9" s="10">
        <v>1.303686328810761</v>
      </c>
      <c r="BB9" s="10">
        <v>0.22378416293061482</v>
      </c>
      <c r="BC9"/>
    </row>
    <row r="10" spans="1:130" x14ac:dyDescent="0.25">
      <c r="A10" s="1">
        <v>46036</v>
      </c>
      <c r="B10" s="33">
        <v>27.2</v>
      </c>
      <c r="C10" s="33">
        <v>27.37</v>
      </c>
      <c r="D10" s="15">
        <v>3.1748698314580201E-2</v>
      </c>
      <c r="E10" s="15">
        <v>2.51585596361549E-2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27.2</v>
      </c>
      <c r="M10" s="33">
        <v>27.37</v>
      </c>
      <c r="N10" s="34">
        <v>1.0062500000000001</v>
      </c>
      <c r="O10" s="34">
        <v>1.01735801017489</v>
      </c>
      <c r="R10" s="33">
        <v>27.672137876757098</v>
      </c>
      <c r="U10" s="15">
        <v>1.0978531106624501E-2</v>
      </c>
      <c r="X10" s="34">
        <v>1.0062500000000001</v>
      </c>
      <c r="Y10" s="34">
        <v>1.01735801017489</v>
      </c>
      <c r="AB10" s="33">
        <v>27.672137876757098</v>
      </c>
      <c r="AE10" s="15">
        <v>1.0978531106624501E-2</v>
      </c>
      <c r="AF10"/>
      <c r="AI10" s="13" t="s">
        <v>14</v>
      </c>
      <c r="AJ10"/>
      <c r="AK10"/>
      <c r="AL10"/>
      <c r="AM10"/>
      <c r="AN10"/>
      <c r="AO10"/>
      <c r="AP10"/>
      <c r="AQ10"/>
      <c r="AR10"/>
      <c r="AT10" s="13" t="s">
        <v>14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27.42</v>
      </c>
      <c r="C11" s="33">
        <v>27.65</v>
      </c>
      <c r="D11" s="15">
        <v>8.0557008322168899E-3</v>
      </c>
      <c r="E11" s="15">
        <v>1.0178204915756E-2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27.42</v>
      </c>
      <c r="M11" s="33">
        <v>27.65</v>
      </c>
      <c r="N11" s="34">
        <v>1.00838803792851</v>
      </c>
      <c r="O11" s="34">
        <v>1.01735801017489</v>
      </c>
      <c r="P11" s="34">
        <v>1.00726169307082</v>
      </c>
      <c r="R11" s="33">
        <v>27.8959566389956</v>
      </c>
      <c r="U11" s="15">
        <v>8.8560270230852306E-3</v>
      </c>
      <c r="X11" s="34">
        <v>1.00838803792851</v>
      </c>
      <c r="Y11" s="34">
        <v>1.01735801017489</v>
      </c>
      <c r="Z11" s="34">
        <v>1.00726169307082</v>
      </c>
      <c r="AB11" s="33">
        <v>27.8959566389956</v>
      </c>
      <c r="AE11" s="15">
        <v>8.8560270230852306E-3</v>
      </c>
      <c r="AL11" s="16" t="s">
        <v>15</v>
      </c>
      <c r="AM11" s="16" t="s">
        <v>16</v>
      </c>
      <c r="AW11" s="16" t="s">
        <v>15</v>
      </c>
      <c r="AX11" s="16" t="s">
        <v>16</v>
      </c>
    </row>
    <row r="12" spans="1:130" x14ac:dyDescent="0.25">
      <c r="A12" s="1">
        <v>46038</v>
      </c>
      <c r="B12" s="33">
        <v>26.4</v>
      </c>
      <c r="C12" s="33">
        <v>26.62</v>
      </c>
      <c r="D12" s="15">
        <v>-3.7908663981897898E-2</v>
      </c>
      <c r="E12" s="15">
        <v>-3.7962915001378099E-2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26.4</v>
      </c>
      <c r="M12" s="33">
        <v>26.62</v>
      </c>
      <c r="N12" s="34">
        <v>1.00833333333333</v>
      </c>
      <c r="O12" s="34">
        <v>1.01735801017489</v>
      </c>
      <c r="P12" s="34">
        <v>1.0077889820277199</v>
      </c>
      <c r="R12" s="33">
        <v>26.858251468617201</v>
      </c>
      <c r="S12" s="33">
        <v>26.591708697069599</v>
      </c>
      <c r="U12" s="15">
        <v>8.9102780425655108E-3</v>
      </c>
      <c r="V12" s="15">
        <v>-1.06334888650689E-3</v>
      </c>
      <c r="X12" s="34">
        <v>1.00833333333333</v>
      </c>
      <c r="Y12" s="34">
        <v>1.01735801017489</v>
      </c>
      <c r="Z12" s="34">
        <v>1.0077889820277199</v>
      </c>
      <c r="AB12" s="33">
        <v>26.858251468617201</v>
      </c>
      <c r="AC12" s="33">
        <v>26.591708697069599</v>
      </c>
      <c r="AE12" s="15">
        <v>8.9102780425655108E-3</v>
      </c>
      <c r="AF12" s="15">
        <v>-1.06334888650689E-3</v>
      </c>
      <c r="AK12" s="17">
        <v>2.5000000000000001E-3</v>
      </c>
      <c r="AL12" s="18" t="s">
        <v>17</v>
      </c>
      <c r="AM12" s="19" t="s">
        <v>18</v>
      </c>
      <c r="AV12" s="17">
        <v>2.5000000000000001E-3</v>
      </c>
      <c r="AW12" s="18" t="s">
        <v>19</v>
      </c>
      <c r="AX12" s="19" t="s">
        <v>20</v>
      </c>
    </row>
    <row r="13" spans="1:130" x14ac:dyDescent="0.25">
      <c r="A13" s="1">
        <v>46042</v>
      </c>
      <c r="B13" s="33">
        <v>27.19</v>
      </c>
      <c r="C13" s="33">
        <v>27.47</v>
      </c>
      <c r="D13" s="15">
        <v>2.9485248492108901E-2</v>
      </c>
      <c r="E13" s="15">
        <v>3.14316871402169E-2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27.19</v>
      </c>
      <c r="M13" s="33">
        <v>27.47</v>
      </c>
      <c r="N13" s="34">
        <v>1.01029790364104</v>
      </c>
      <c r="O13" s="34">
        <v>1.01735801017489</v>
      </c>
      <c r="P13" s="34">
        <v>1.00808262361228</v>
      </c>
      <c r="R13" s="33">
        <v>27.661964296655398</v>
      </c>
      <c r="S13" s="33">
        <v>27.401782421333699</v>
      </c>
      <c r="U13" s="15">
        <v>6.9638393944575199E-3</v>
      </c>
      <c r="V13" s="15">
        <v>-2.4864369554456799E-3</v>
      </c>
      <c r="X13" s="34">
        <v>1.01029790364104</v>
      </c>
      <c r="Y13" s="34">
        <v>1.01735801017489</v>
      </c>
      <c r="Z13" s="34">
        <v>1.00808262361228</v>
      </c>
      <c r="AB13" s="33">
        <v>27.661964296655398</v>
      </c>
      <c r="AC13" s="33">
        <v>27.401782421333699</v>
      </c>
      <c r="AE13" s="15">
        <v>6.9638393944575199E-3</v>
      </c>
      <c r="AF13" s="15">
        <v>-2.4864369554456799E-3</v>
      </c>
    </row>
    <row r="14" spans="1:130" x14ac:dyDescent="0.25">
      <c r="A14" s="1">
        <v>46043</v>
      </c>
      <c r="B14" s="33">
        <v>28.01</v>
      </c>
      <c r="C14" s="33">
        <v>28.16</v>
      </c>
      <c r="D14" s="15">
        <v>2.9712330627637701E-2</v>
      </c>
      <c r="E14" s="15">
        <v>2.4808031182659101E-2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28.01</v>
      </c>
      <c r="M14" s="33">
        <v>28.16</v>
      </c>
      <c r="N14" s="34">
        <v>1.0053552302749</v>
      </c>
      <c r="O14" s="34">
        <v>1.01735801017489</v>
      </c>
      <c r="P14" s="34">
        <v>1.00804343399609</v>
      </c>
      <c r="R14" s="33">
        <v>28.496197864998798</v>
      </c>
      <c r="S14" s="33">
        <v>28.236394287380001</v>
      </c>
      <c r="U14" s="15">
        <v>1.18681388394362E-2</v>
      </c>
      <c r="V14" s="15">
        <v>2.70919214149783E-3</v>
      </c>
      <c r="X14" s="34">
        <v>1.0053552302749</v>
      </c>
      <c r="Y14" s="34">
        <v>1.01735801017489</v>
      </c>
      <c r="Z14" s="34">
        <v>1.00804343399609</v>
      </c>
      <c r="AB14" s="33">
        <v>28.496197864998798</v>
      </c>
      <c r="AC14" s="33">
        <v>28.236394287380001</v>
      </c>
      <c r="AE14" s="15">
        <v>1.18681388394362E-2</v>
      </c>
      <c r="AF14" s="15">
        <v>2.70919214149783E-3</v>
      </c>
      <c r="AQ14" s="20">
        <f>AVERAGE(AQ22:AQ176)</f>
        <v>2.2334631200000274E-4</v>
      </c>
      <c r="AR14" s="21" t="s">
        <v>21</v>
      </c>
      <c r="BB14" s="20">
        <f>AVERAGE(BB22:BB176)</f>
        <v>1.8638055749468005E-4</v>
      </c>
      <c r="BC14" s="21" t="s">
        <v>21</v>
      </c>
      <c r="BD14" s="22"/>
      <c r="BE14" s="20">
        <f>AVERAGE(BE22:BE176)</f>
        <v>4.0972686949468281E-4</v>
      </c>
      <c r="BF14" s="21" t="s">
        <v>21</v>
      </c>
    </row>
    <row r="15" spans="1:130" x14ac:dyDescent="0.25">
      <c r="A15" s="1">
        <v>46044</v>
      </c>
      <c r="B15" s="33">
        <v>27.93</v>
      </c>
      <c r="C15" s="33">
        <v>28.23</v>
      </c>
      <c r="D15" s="15">
        <v>-2.8602093149318599E-3</v>
      </c>
      <c r="E15" s="15">
        <v>2.4827109755562599E-3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27.93</v>
      </c>
      <c r="M15" s="33">
        <v>28.23</v>
      </c>
      <c r="N15" s="34">
        <v>1.0107411385606799</v>
      </c>
      <c r="O15" s="34">
        <v>1.01735801017489</v>
      </c>
      <c r="P15" s="34">
        <v>1.0084074886805601</v>
      </c>
      <c r="R15" s="33">
        <v>28.4148092241848</v>
      </c>
      <c r="S15" s="33">
        <v>28.1546531115109</v>
      </c>
      <c r="U15" s="15">
        <v>6.5252185489480703E-3</v>
      </c>
      <c r="V15" s="15">
        <v>-2.6726043056123699E-3</v>
      </c>
      <c r="X15" s="34">
        <v>1.0107411385606799</v>
      </c>
      <c r="Y15" s="34">
        <v>1.01735801017489</v>
      </c>
      <c r="Z15" s="34">
        <v>1.0084074886805601</v>
      </c>
      <c r="AB15" s="33">
        <v>28.4148092241848</v>
      </c>
      <c r="AC15" s="33">
        <v>28.1546531115109</v>
      </c>
      <c r="AE15" s="15">
        <v>6.5252185489480703E-3</v>
      </c>
      <c r="AF15" s="15">
        <v>-2.6726043056123699E-3</v>
      </c>
      <c r="AQ15" s="20">
        <f>STDEV(AQ22:AQ176)</f>
        <v>1.4794242071566779E-3</v>
      </c>
      <c r="AR15" s="21" t="s">
        <v>22</v>
      </c>
      <c r="BB15" s="20">
        <f>STDEV(BB22:BB176)</f>
        <v>1.4992748927826955E-3</v>
      </c>
      <c r="BC15" s="21" t="s">
        <v>22</v>
      </c>
      <c r="BD15" s="22"/>
      <c r="BE15" s="20">
        <f>STDEV(BE22:BE176)</f>
        <v>2.0863187083577806E-3</v>
      </c>
      <c r="BF15" s="21" t="s">
        <v>22</v>
      </c>
    </row>
    <row r="16" spans="1:130" x14ac:dyDescent="0.25">
      <c r="A16" s="1">
        <v>46045</v>
      </c>
      <c r="B16" s="33">
        <v>27.57</v>
      </c>
      <c r="C16" s="33">
        <v>27.86</v>
      </c>
      <c r="D16" s="15">
        <v>-1.29731549213799E-2</v>
      </c>
      <c r="E16" s="15">
        <v>-1.31932739137383E-2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27.57</v>
      </c>
      <c r="M16" s="33">
        <v>27.86</v>
      </c>
      <c r="N16" s="34">
        <v>1.01051867972433</v>
      </c>
      <c r="O16" s="34">
        <v>1.01735801017489</v>
      </c>
      <c r="P16" s="34">
        <v>1.00879762056891</v>
      </c>
      <c r="R16" s="33">
        <v>28.048560340521799</v>
      </c>
      <c r="S16" s="33">
        <v>27.801794462923102</v>
      </c>
      <c r="U16" s="15">
        <v>6.7453375413064004E-3</v>
      </c>
      <c r="V16" s="15">
        <v>-2.0914007122530501E-3</v>
      </c>
      <c r="X16" s="34">
        <v>1.01051867972433</v>
      </c>
      <c r="Y16" s="34">
        <v>1.01735801017489</v>
      </c>
      <c r="Z16" s="34">
        <v>1.00879762056891</v>
      </c>
      <c r="AB16" s="33">
        <v>28.048560340521799</v>
      </c>
      <c r="AC16" s="33">
        <v>27.801794462923102</v>
      </c>
      <c r="AE16" s="15">
        <v>6.7453375413064004E-3</v>
      </c>
      <c r="AF16" s="15">
        <v>-2.0914007122530501E-3</v>
      </c>
      <c r="AQ16" s="23">
        <f>SQRT(252)*AQ14/AQ15</f>
        <v>2.3965491233828407</v>
      </c>
      <c r="AR16" s="21" t="s">
        <v>23</v>
      </c>
      <c r="BB16" s="23">
        <f>SQRT(252)*BB14/BB15</f>
        <v>1.9734203783000503</v>
      </c>
      <c r="BC16" s="21" t="s">
        <v>23</v>
      </c>
      <c r="BD16" s="22"/>
      <c r="BE16" s="23">
        <f>SQRT(252)*BE14/BE15</f>
        <v>3.1175545647977212</v>
      </c>
      <c r="BF16" s="21" t="s">
        <v>23</v>
      </c>
    </row>
    <row r="17" spans="1:124" x14ac:dyDescent="0.25">
      <c r="A17" s="1">
        <v>46048</v>
      </c>
      <c r="B17" s="33">
        <v>27.41</v>
      </c>
      <c r="C17" s="33">
        <v>27.69</v>
      </c>
      <c r="D17" s="15">
        <v>-5.8203147210110001E-3</v>
      </c>
      <c r="E17" s="15">
        <v>-6.1206311687890596E-3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27.41</v>
      </c>
      <c r="M17" s="33">
        <v>27.69</v>
      </c>
      <c r="N17" s="34">
        <v>1.01021524990879</v>
      </c>
      <c r="O17" s="34">
        <v>1.01735801017489</v>
      </c>
      <c r="P17" s="34">
        <v>1.0091642919388399</v>
      </c>
      <c r="R17" s="33">
        <v>27.8857830588938</v>
      </c>
      <c r="S17" s="33">
        <v>27.651142779794</v>
      </c>
      <c r="U17" s="15">
        <v>7.0456539890845302E-3</v>
      </c>
      <c r="V17" s="15">
        <v>-1.40427987712759E-3</v>
      </c>
      <c r="X17" s="34">
        <v>1.01021524990879</v>
      </c>
      <c r="Y17" s="34">
        <v>1.01735801017489</v>
      </c>
      <c r="Z17" s="34">
        <v>1.0091642919388399</v>
      </c>
      <c r="AB17" s="33">
        <v>27.8857830588938</v>
      </c>
      <c r="AC17" s="33">
        <v>27.651142779794</v>
      </c>
      <c r="AE17" s="15">
        <v>7.0456539890845302E-3</v>
      </c>
      <c r="AF17" s="15">
        <v>-1.40427987712759E-3</v>
      </c>
    </row>
    <row r="18" spans="1:124" x14ac:dyDescent="0.25">
      <c r="A18" s="1">
        <v>46049</v>
      </c>
      <c r="B18" s="33">
        <v>26.77</v>
      </c>
      <c r="C18" s="33">
        <v>27.13</v>
      </c>
      <c r="D18" s="15">
        <v>-2.36260527824333E-2</v>
      </c>
      <c r="E18" s="15">
        <v>-2.0431210512030201E-2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26.77</v>
      </c>
      <c r="M18" s="33">
        <v>27.13</v>
      </c>
      <c r="N18" s="34">
        <v>1.01344788942846</v>
      </c>
      <c r="O18" s="34">
        <v>1.01735801017489</v>
      </c>
      <c r="P18" s="34">
        <v>1.00964506886065</v>
      </c>
      <c r="R18" s="33">
        <v>27.234673932381899</v>
      </c>
      <c r="S18" s="33">
        <v>27.015328095202801</v>
      </c>
      <c r="U18" s="15">
        <v>3.85081171868155E-3</v>
      </c>
      <c r="V18" s="15">
        <v>-4.2357145215626999E-3</v>
      </c>
      <c r="X18" s="34">
        <v>1.01344788942846</v>
      </c>
      <c r="Y18" s="34">
        <v>1.01735801017489</v>
      </c>
      <c r="Z18" s="34">
        <v>1.00964506886065</v>
      </c>
      <c r="AB18" s="33">
        <v>27.234673932381899</v>
      </c>
      <c r="AC18" s="33">
        <v>27.015328095202801</v>
      </c>
      <c r="AE18" s="15">
        <v>3.85081171868155E-3</v>
      </c>
      <c r="AF18" s="15">
        <v>-4.2357145215626999E-3</v>
      </c>
      <c r="BE18" s="24">
        <f>SUM(BE22:BE176)</f>
        <v>6.350766477167584E-2</v>
      </c>
      <c r="BF18" s="20">
        <f>BF176</f>
        <v>6.350766477167584E-2</v>
      </c>
    </row>
    <row r="19" spans="1:124" x14ac:dyDescent="0.25">
      <c r="A19" s="1">
        <v>46050</v>
      </c>
      <c r="B19" s="33">
        <v>26.31</v>
      </c>
      <c r="C19" s="33">
        <v>26.75</v>
      </c>
      <c r="D19" s="15">
        <v>-1.7332762480059799E-2</v>
      </c>
      <c r="E19" s="15">
        <v>-1.41056533288248E-2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26.31</v>
      </c>
      <c r="M19" s="33">
        <v>26.75</v>
      </c>
      <c r="N19" s="34">
        <v>1.0167236792094201</v>
      </c>
      <c r="O19" s="34">
        <v>1.01735801017489</v>
      </c>
      <c r="P19" s="34">
        <v>1.01002711420095</v>
      </c>
      <c r="R19" s="33">
        <v>26.7666892477014</v>
      </c>
      <c r="S19" s="33">
        <v>26.563761761723701</v>
      </c>
      <c r="U19" s="15">
        <v>6.23702567446429E-4</v>
      </c>
      <c r="V19" s="15">
        <v>-6.9865261677094703E-3</v>
      </c>
      <c r="X19" s="34">
        <v>1.0167236792094201</v>
      </c>
      <c r="Y19" s="34">
        <v>1.01735801017489</v>
      </c>
      <c r="Z19" s="34">
        <v>1.01002711420095</v>
      </c>
      <c r="AB19" s="33">
        <v>26.7666892477014</v>
      </c>
      <c r="AC19" s="33">
        <v>26.563761761723701</v>
      </c>
      <c r="AE19" s="15">
        <v>6.23702567446429E-4</v>
      </c>
      <c r="AF19" s="15">
        <v>-6.9865261677094703E-3</v>
      </c>
      <c r="AI19" s="12"/>
      <c r="AJ19"/>
      <c r="AK19"/>
      <c r="AL19"/>
      <c r="AM19"/>
      <c r="AN19"/>
      <c r="AO19"/>
      <c r="AP19"/>
      <c r="AQ19" s="24">
        <f>SUM(AQ22:AQ176)</f>
        <v>3.4618678360000425E-2</v>
      </c>
      <c r="AR19" s="24">
        <f>AR176</f>
        <v>3.4618678360000425E-2</v>
      </c>
      <c r="AU19"/>
      <c r="AV19"/>
      <c r="AW19"/>
      <c r="AX19"/>
      <c r="AY19"/>
      <c r="AZ19"/>
      <c r="BA19"/>
      <c r="BB19" s="24">
        <f>SUM(BB22:BB176)</f>
        <v>2.8888986411675407E-2</v>
      </c>
      <c r="BC19" s="24">
        <f>BC176</f>
        <v>2.8888986411675407E-2</v>
      </c>
      <c r="BE19" s="7" t="s">
        <v>24</v>
      </c>
      <c r="BF19" s="7" t="s">
        <v>24</v>
      </c>
      <c r="BH19" s="7"/>
    </row>
    <row r="20" spans="1:124" x14ac:dyDescent="0.25">
      <c r="A20" s="1">
        <v>46051</v>
      </c>
      <c r="B20" s="33">
        <v>26.9</v>
      </c>
      <c r="C20" s="33">
        <v>27.32</v>
      </c>
      <c r="D20" s="15">
        <v>2.2177191555591998E-2</v>
      </c>
      <c r="E20" s="15">
        <v>2.1084561360573701E-2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26.9</v>
      </c>
      <c r="M20" s="33">
        <v>27.32</v>
      </c>
      <c r="N20" s="34">
        <v>1.0156133828996201</v>
      </c>
      <c r="O20" s="34">
        <v>1.01735801017489</v>
      </c>
      <c r="P20" s="34">
        <v>1.0109634524909099</v>
      </c>
      <c r="R20" s="33">
        <v>27.366930473704599</v>
      </c>
      <c r="S20" s="33">
        <v>27.169729372005499</v>
      </c>
      <c r="U20" s="15">
        <v>1.7163327624646701E-3</v>
      </c>
      <c r="V20" s="15">
        <v>-5.5155718584527797E-3</v>
      </c>
      <c r="X20" s="34">
        <v>1.0156133828996201</v>
      </c>
      <c r="Y20" s="34">
        <v>1.01735801017489</v>
      </c>
      <c r="Z20" s="34">
        <v>1.0109634524909099</v>
      </c>
      <c r="AB20" s="33">
        <v>27.366930473704599</v>
      </c>
      <c r="AC20" s="33">
        <v>27.169729372005499</v>
      </c>
      <c r="AE20" s="15">
        <v>1.7163327624646701E-3</v>
      </c>
      <c r="AF20" s="15">
        <v>-5.5155718584527797E-3</v>
      </c>
      <c r="AI20" s="25" t="s">
        <v>25</v>
      </c>
      <c r="AJ20" s="7" t="s">
        <v>26</v>
      </c>
      <c r="AK20" s="7" t="s">
        <v>27</v>
      </c>
      <c r="AL20" s="7" t="s">
        <v>28</v>
      </c>
      <c r="AM20" s="7" t="s">
        <v>29</v>
      </c>
      <c r="AN20" s="7" t="s">
        <v>30</v>
      </c>
      <c r="AO20" s="7" t="str">
        <f>D1</f>
        <v>BF B log rtn</v>
      </c>
      <c r="AP20" s="7" t="str">
        <f>E1</f>
        <v>BF A log rtn</v>
      </c>
      <c r="AQ20" s="7" t="s">
        <v>31</v>
      </c>
      <c r="AR20" s="7" t="s">
        <v>32</v>
      </c>
      <c r="AT20" s="25" t="s">
        <v>25</v>
      </c>
      <c r="AU20" s="7" t="s">
        <v>27</v>
      </c>
      <c r="AV20" s="7" t="s">
        <v>26</v>
      </c>
      <c r="AW20" s="7" t="s">
        <v>28</v>
      </c>
      <c r="AX20" s="7" t="s">
        <v>29</v>
      </c>
      <c r="AY20" s="7" t="s">
        <v>30</v>
      </c>
      <c r="AZ20" s="24" t="str">
        <f>D1</f>
        <v>BF B log rtn</v>
      </c>
      <c r="BA20" s="24" t="str">
        <f>E1</f>
        <v>BF A log rtn</v>
      </c>
      <c r="BB20" s="7" t="s">
        <v>31</v>
      </c>
      <c r="BC20" s="7" t="s">
        <v>32</v>
      </c>
      <c r="BE20" s="7" t="s">
        <v>31</v>
      </c>
      <c r="BF20" s="7" t="s">
        <v>32</v>
      </c>
      <c r="BH20" s="7"/>
    </row>
    <row r="21" spans="1:124" x14ac:dyDescent="0.25">
      <c r="A21" s="1">
        <v>46052</v>
      </c>
      <c r="B21" s="33">
        <v>27.37</v>
      </c>
      <c r="C21" s="33">
        <v>27.83</v>
      </c>
      <c r="D21" s="15">
        <v>1.7321236444794299E-2</v>
      </c>
      <c r="E21" s="15">
        <v>1.8495540835209899E-2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27.37</v>
      </c>
      <c r="M21" s="33">
        <v>27.83</v>
      </c>
      <c r="N21" s="34">
        <v>1.01680672268907</v>
      </c>
      <c r="O21" s="34">
        <v>1.01735801017489</v>
      </c>
      <c r="P21" s="34">
        <v>1.01180532096696</v>
      </c>
      <c r="Q21" s="34">
        <v>1.00953350701889</v>
      </c>
      <c r="R21" s="33">
        <v>27.845088738486801</v>
      </c>
      <c r="S21" s="33">
        <v>27.6700696946763</v>
      </c>
      <c r="U21" s="15">
        <v>5.4202837204905905E-4</v>
      </c>
      <c r="V21" s="15">
        <v>-5.7632629609187204E-3</v>
      </c>
      <c r="X21" s="34">
        <v>1.01680672268907</v>
      </c>
      <c r="Y21" s="34">
        <v>1.01735801017489</v>
      </c>
      <c r="Z21" s="34">
        <v>1.01180532096696</v>
      </c>
      <c r="AA21" s="34">
        <v>1.00953350701889</v>
      </c>
      <c r="AB21" s="33">
        <v>27.845088738486801</v>
      </c>
      <c r="AC21" s="33">
        <v>27.6700696946763</v>
      </c>
      <c r="AE21" s="15">
        <v>5.4202837204905905E-4</v>
      </c>
      <c r="AF21" s="15">
        <v>-5.7632629609187204E-3</v>
      </c>
      <c r="AI21" s="26">
        <v>-0.01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1.4999999999999999E-2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27.12</v>
      </c>
      <c r="C22" s="33">
        <v>27.58</v>
      </c>
      <c r="D22" s="15">
        <v>-9.1760599803929095E-3</v>
      </c>
      <c r="E22" s="15">
        <v>-9.0237031726436608E-3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27.12</v>
      </c>
      <c r="M22" s="33">
        <v>27.58</v>
      </c>
      <c r="N22" s="34">
        <v>1.0169616519174001</v>
      </c>
      <c r="O22" s="34">
        <v>1.01735801017489</v>
      </c>
      <c r="P22" s="34">
        <v>1.01266815282537</v>
      </c>
      <c r="Q22" s="34">
        <v>1.0102285674265401</v>
      </c>
      <c r="R22" s="33">
        <v>27.5907492359431</v>
      </c>
      <c r="S22" s="33">
        <v>27.4401603046242</v>
      </c>
      <c r="T22" s="33">
        <v>27.378548710352401</v>
      </c>
      <c r="U22" s="15">
        <v>3.8967156429978601E-4</v>
      </c>
      <c r="V22" s="15">
        <v>-5.0832275192803002E-3</v>
      </c>
      <c r="W22" s="15">
        <v>-7.3310593752712204E-3</v>
      </c>
      <c r="X22" s="34">
        <v>1.0169616519174001</v>
      </c>
      <c r="Y22" s="34">
        <v>1.01735801017489</v>
      </c>
      <c r="Z22" s="34">
        <v>1.01266815282537</v>
      </c>
      <c r="AA22" s="34">
        <v>1.0102285674265401</v>
      </c>
      <c r="AB22" s="33">
        <v>27.5907492359431</v>
      </c>
      <c r="AC22" s="33">
        <v>27.4401603046242</v>
      </c>
      <c r="AD22" s="33">
        <v>27.378548710352401</v>
      </c>
      <c r="AE22" s="15">
        <v>3.8967156429978601E-4</v>
      </c>
      <c r="AF22" s="15">
        <v>-5.0832275192803002E-3</v>
      </c>
      <c r="AG22" s="15">
        <v>-7.3310593752712204E-3</v>
      </c>
      <c r="AI22" s="26">
        <v>-5.0000000000000001E-3</v>
      </c>
      <c r="AJ22">
        <f t="shared" ref="AJ22:AJ85" si="6">IF($AG22&lt;AI$21,1,0)</f>
        <v>0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7.4999999999999997E-3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28.15</v>
      </c>
      <c r="C23" s="33">
        <v>28.61</v>
      </c>
      <c r="D23" s="15">
        <v>3.7275891513504397E-2</v>
      </c>
      <c r="E23" s="15">
        <v>3.6665434696863203E-2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28.15</v>
      </c>
      <c r="M23" s="33">
        <v>28.61</v>
      </c>
      <c r="N23" s="34">
        <v>1.0163410301953799</v>
      </c>
      <c r="O23" s="34">
        <v>1.01735801017489</v>
      </c>
      <c r="P23" s="34">
        <v>1.0132724654808101</v>
      </c>
      <c r="Q23" s="34">
        <v>1.0106775445465399</v>
      </c>
      <c r="R23" s="33">
        <v>28.638627986423302</v>
      </c>
      <c r="S23" s="33">
        <v>28.5066085020343</v>
      </c>
      <c r="T23" s="33">
        <v>28.4379341730573</v>
      </c>
      <c r="U23" s="15">
        <v>1.0001283809410999E-3</v>
      </c>
      <c r="V23" s="15">
        <v>-3.6203694024288199E-3</v>
      </c>
      <c r="W23" s="15">
        <v>-6.0323428434045897E-3</v>
      </c>
      <c r="X23" s="34">
        <v>1.0163410301953799</v>
      </c>
      <c r="Y23" s="34">
        <v>1.01735801017489</v>
      </c>
      <c r="Z23" s="34">
        <v>1.0132724654808101</v>
      </c>
      <c r="AA23" s="34">
        <v>1.0106775445465399</v>
      </c>
      <c r="AB23" s="33">
        <v>28.638627986423302</v>
      </c>
      <c r="AC23" s="33">
        <v>28.5066085020343</v>
      </c>
      <c r="AD23" s="33">
        <v>28.4379341730573</v>
      </c>
      <c r="AE23" s="15">
        <v>1.0001283809410999E-3</v>
      </c>
      <c r="AF23" s="15">
        <v>-3.6203694024288199E-3</v>
      </c>
      <c r="AG23" s="15">
        <v>-6.0323428434045897E-3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29.29</v>
      </c>
      <c r="C24" s="33">
        <v>29.73</v>
      </c>
      <c r="D24" s="15">
        <v>3.9698806253942599E-2</v>
      </c>
      <c r="E24" s="15">
        <v>3.8400329947987401E-2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29.29</v>
      </c>
      <c r="M24" s="33">
        <v>29.73</v>
      </c>
      <c r="N24" s="34">
        <v>1.0150221918743501</v>
      </c>
      <c r="O24" s="34">
        <v>1.01735801017489</v>
      </c>
      <c r="P24" s="34">
        <v>1.01423916164075</v>
      </c>
      <c r="Q24" s="34">
        <v>1.01114129781842</v>
      </c>
      <c r="R24" s="33">
        <v>29.798416118022601</v>
      </c>
      <c r="S24" s="33">
        <v>29.678750513932901</v>
      </c>
      <c r="T24" s="33">
        <v>29.6027452797683</v>
      </c>
      <c r="U24" s="15">
        <v>2.2986046868964101E-3</v>
      </c>
      <c r="V24" s="15">
        <v>-1.72531818416262E-3</v>
      </c>
      <c r="W24" s="15">
        <v>-4.2895340425106203E-3</v>
      </c>
      <c r="X24" s="34">
        <v>1.0150221918743501</v>
      </c>
      <c r="Y24" s="34">
        <v>1.01735801017489</v>
      </c>
      <c r="Z24" s="34">
        <v>1.01423916164075</v>
      </c>
      <c r="AA24" s="34">
        <v>1.01114129781842</v>
      </c>
      <c r="AB24" s="33">
        <v>29.798416118022601</v>
      </c>
      <c r="AC24" s="33">
        <v>29.678750513932901</v>
      </c>
      <c r="AD24" s="33">
        <v>29.6027452797683</v>
      </c>
      <c r="AE24" s="15">
        <v>2.2986046868964101E-3</v>
      </c>
      <c r="AF24" s="15">
        <v>-1.72531818416262E-3</v>
      </c>
      <c r="AG24" s="15">
        <v>-4.2895340425106203E-3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28.97</v>
      </c>
      <c r="C25" s="33">
        <v>29.42</v>
      </c>
      <c r="D25" s="15">
        <v>-1.0985349058383E-2</v>
      </c>
      <c r="E25" s="15">
        <v>-1.04819218367148E-2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28.97</v>
      </c>
      <c r="M25" s="33">
        <v>29.42</v>
      </c>
      <c r="N25" s="34">
        <v>1.01553331032102</v>
      </c>
      <c r="O25" s="34">
        <v>1.01735801017489</v>
      </c>
      <c r="P25" s="34">
        <v>1.01471837881678</v>
      </c>
      <c r="Q25" s="34">
        <v>1.01156293374867</v>
      </c>
      <c r="R25" s="33">
        <v>29.472861554766698</v>
      </c>
      <c r="S25" s="33">
        <v>29.382508512732599</v>
      </c>
      <c r="T25" s="33">
        <v>29.2927633977997</v>
      </c>
      <c r="U25" s="15">
        <v>1.7951774652281E-3</v>
      </c>
      <c r="V25" s="15">
        <v>-1.27516642727713E-3</v>
      </c>
      <c r="W25" s="15">
        <v>-4.3342126658434E-3</v>
      </c>
      <c r="X25" s="34">
        <v>1.01553331032102</v>
      </c>
      <c r="Y25" s="34">
        <v>1.01735801017489</v>
      </c>
      <c r="Z25" s="34">
        <v>1.01471837881678</v>
      </c>
      <c r="AA25" s="34">
        <v>1.01156293374867</v>
      </c>
      <c r="AB25" s="33">
        <v>29.472861554766698</v>
      </c>
      <c r="AC25" s="33">
        <v>29.382508512732599</v>
      </c>
      <c r="AD25" s="33">
        <v>29.2927633977997</v>
      </c>
      <c r="AE25" s="15">
        <v>1.7951774652281E-3</v>
      </c>
      <c r="AF25" s="15">
        <v>-1.27516642727713E-3</v>
      </c>
      <c r="AG25" s="15">
        <v>-4.3342126658434E-3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29.45</v>
      </c>
      <c r="C26" s="33">
        <v>29.83</v>
      </c>
      <c r="D26" s="15">
        <v>1.6433098316336499E-2</v>
      </c>
      <c r="E26" s="15">
        <v>1.38398833533656E-2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29.45</v>
      </c>
      <c r="M26" s="33">
        <v>29.83</v>
      </c>
      <c r="N26" s="34">
        <v>1.0129032258064501</v>
      </c>
      <c r="O26" s="34">
        <v>1.01735801017489</v>
      </c>
      <c r="P26" s="34">
        <v>1.0149568334250001</v>
      </c>
      <c r="Q26" s="34">
        <v>1.01187722699696</v>
      </c>
      <c r="R26" s="33">
        <v>29.9611933996506</v>
      </c>
      <c r="S26" s="33">
        <v>29.8834562561544</v>
      </c>
      <c r="T26" s="33">
        <v>29.790528398898498</v>
      </c>
      <c r="U26" s="15">
        <v>4.3883924281993801E-3</v>
      </c>
      <c r="V26" s="15">
        <v>1.79042627193424E-3</v>
      </c>
      <c r="W26" s="15">
        <v>-1.32409449994294E-3</v>
      </c>
      <c r="X26" s="34">
        <v>1.0129032258064501</v>
      </c>
      <c r="Y26" s="34">
        <v>1.01735801017489</v>
      </c>
      <c r="Z26" s="34">
        <v>1.0149568334250001</v>
      </c>
      <c r="AA26" s="34">
        <v>1.01187722699696</v>
      </c>
      <c r="AB26" s="33">
        <v>29.9611933996506</v>
      </c>
      <c r="AC26" s="33">
        <v>29.8834562561544</v>
      </c>
      <c r="AD26" s="33">
        <v>29.790528398898498</v>
      </c>
      <c r="AE26" s="15">
        <v>4.3883924281993801E-3</v>
      </c>
      <c r="AF26" s="15">
        <v>1.79042627193424E-3</v>
      </c>
      <c r="AG26" s="15">
        <v>-1.32409449994294E-3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29.48</v>
      </c>
      <c r="C27" s="33">
        <v>29.97</v>
      </c>
      <c r="D27" s="15">
        <v>1.0181572235401701E-3</v>
      </c>
      <c r="E27" s="15">
        <v>4.6822828019147302E-3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29.48</v>
      </c>
      <c r="M27" s="33">
        <v>29.97</v>
      </c>
      <c r="N27" s="34">
        <v>1.0166214382632199</v>
      </c>
      <c r="O27" s="34">
        <v>1.01735801017489</v>
      </c>
      <c r="P27" s="34">
        <v>1.0155974522604401</v>
      </c>
      <c r="Q27" s="34">
        <v>1.0123808720996399</v>
      </c>
      <c r="R27" s="33">
        <v>29.991714139955899</v>
      </c>
      <c r="S27" s="33">
        <v>29.920927449369</v>
      </c>
      <c r="T27" s="33">
        <v>29.830140651870298</v>
      </c>
      <c r="U27" s="15">
        <v>7.2426684982470799E-4</v>
      </c>
      <c r="V27" s="15">
        <v>-1.6387310633731299E-3</v>
      </c>
      <c r="W27" s="15">
        <v>-4.6775676983682197E-3</v>
      </c>
      <c r="X27" s="34">
        <v>1.0166214382632199</v>
      </c>
      <c r="Y27" s="34">
        <v>1.01735801017489</v>
      </c>
      <c r="Z27" s="34">
        <v>1.0155974522604401</v>
      </c>
      <c r="AA27" s="34">
        <v>1.0123808720996399</v>
      </c>
      <c r="AB27" s="33">
        <v>29.991714139955899</v>
      </c>
      <c r="AC27" s="33">
        <v>29.920927449369</v>
      </c>
      <c r="AD27" s="33">
        <v>29.830140651870298</v>
      </c>
      <c r="AE27" s="15">
        <v>7.2426684982470799E-4</v>
      </c>
      <c r="AF27" s="15">
        <v>-1.6387310633731299E-3</v>
      </c>
      <c r="AG27" s="15">
        <v>-4.6775676983682197E-3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29.91</v>
      </c>
      <c r="C28" s="33">
        <v>30.32</v>
      </c>
      <c r="D28" s="15">
        <v>1.44808053207208E-2</v>
      </c>
      <c r="E28" s="15">
        <v>1.16106794455991E-2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29.91</v>
      </c>
      <c r="M28" s="33">
        <v>30.32</v>
      </c>
      <c r="N28" s="34">
        <v>1.0137077900367699</v>
      </c>
      <c r="O28" s="34">
        <v>1.01735801017489</v>
      </c>
      <c r="P28" s="34">
        <v>1.01562344232127</v>
      </c>
      <c r="Q28" s="34">
        <v>1.01263425559096</v>
      </c>
      <c r="R28" s="33">
        <v>30.429178084331099</v>
      </c>
      <c r="S28" s="33">
        <v>30.3765197971098</v>
      </c>
      <c r="T28" s="33">
        <v>30.2803118845003</v>
      </c>
      <c r="U28" s="15">
        <v>3.5943927249464601E-3</v>
      </c>
      <c r="V28" s="15">
        <v>1.86237410761269E-3</v>
      </c>
      <c r="W28" s="15">
        <v>-1.30983224144361E-3</v>
      </c>
      <c r="X28" s="34">
        <v>1.0137077900367699</v>
      </c>
      <c r="Y28" s="34">
        <v>1.01735801017489</v>
      </c>
      <c r="Z28" s="34">
        <v>1.01562344232127</v>
      </c>
      <c r="AA28" s="34">
        <v>1.01263425559096</v>
      </c>
      <c r="AB28" s="33">
        <v>30.429178084331099</v>
      </c>
      <c r="AC28" s="33">
        <v>30.3765197971098</v>
      </c>
      <c r="AD28" s="33">
        <v>30.2803118845003</v>
      </c>
      <c r="AE28" s="15">
        <v>3.5943927249464601E-3</v>
      </c>
      <c r="AF28" s="15">
        <v>1.86237410761269E-3</v>
      </c>
      <c r="AG28" s="15">
        <v>-1.30983224144361E-3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30.28</v>
      </c>
      <c r="C29" s="33">
        <v>30.58</v>
      </c>
      <c r="D29" s="15">
        <v>1.22945559273914E-2</v>
      </c>
      <c r="E29" s="15">
        <v>8.5386397267451994E-3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30.28</v>
      </c>
      <c r="M29" s="33">
        <v>30.58</v>
      </c>
      <c r="N29" s="34">
        <v>1.0099075297225799</v>
      </c>
      <c r="O29" s="34">
        <v>1.01735801017489</v>
      </c>
      <c r="P29" s="34">
        <v>1.0149418273725901</v>
      </c>
      <c r="Q29" s="34">
        <v>1.01248447078677</v>
      </c>
      <c r="R29" s="33">
        <v>30.8056005480958</v>
      </c>
      <c r="S29" s="33">
        <v>30.753077833488199</v>
      </c>
      <c r="T29" s="33">
        <v>30.6625652592944</v>
      </c>
      <c r="U29" s="15">
        <v>7.3503089255925703E-3</v>
      </c>
      <c r="V29" s="15">
        <v>5.6438808886846896E-3</v>
      </c>
      <c r="W29" s="15">
        <v>2.6963373910687699E-3</v>
      </c>
      <c r="X29" s="34">
        <v>1.0099075297225799</v>
      </c>
      <c r="Y29" s="34">
        <v>1.01735801017489</v>
      </c>
      <c r="Z29" s="34">
        <v>1.0149418273725901</v>
      </c>
      <c r="AA29" s="34">
        <v>1.01248447078677</v>
      </c>
      <c r="AB29" s="33">
        <v>30.8056005480958</v>
      </c>
      <c r="AC29" s="33">
        <v>30.753077833488199</v>
      </c>
      <c r="AD29" s="33">
        <v>30.6625652592944</v>
      </c>
      <c r="AE29" s="15">
        <v>7.3503089255925703E-3</v>
      </c>
      <c r="AF29" s="15">
        <v>5.6438808886846896E-3</v>
      </c>
      <c r="AG29" s="15">
        <v>2.6963373910687699E-3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30.67</v>
      </c>
      <c r="C30" s="33">
        <v>30.84</v>
      </c>
      <c r="D30" s="15">
        <v>1.27975495569121E-2</v>
      </c>
      <c r="E30" s="15">
        <v>8.4663481942126393E-3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30.67</v>
      </c>
      <c r="M30" s="33">
        <v>30.84</v>
      </c>
      <c r="N30" s="34">
        <v>1.0055428757743701</v>
      </c>
      <c r="O30" s="34">
        <v>1.01735801017489</v>
      </c>
      <c r="P30" s="34">
        <v>1.0139347766600599</v>
      </c>
      <c r="Q30" s="34">
        <v>1.0124491145754899</v>
      </c>
      <c r="R30" s="33">
        <v>31.202370172064001</v>
      </c>
      <c r="S30" s="33">
        <v>31.128265845517301</v>
      </c>
      <c r="T30" s="33">
        <v>31.0528987190302</v>
      </c>
      <c r="U30" s="15">
        <v>1.16815102882922E-2</v>
      </c>
      <c r="V30" s="15">
        <v>9.3037273489258599E-3</v>
      </c>
      <c r="W30" s="15">
        <v>6.8796118174213397E-3</v>
      </c>
      <c r="X30" s="34">
        <v>1.0055428757743701</v>
      </c>
      <c r="Y30" s="34">
        <v>1.01735801017489</v>
      </c>
      <c r="Z30" s="34">
        <v>1.0139347766600599</v>
      </c>
      <c r="AA30" s="34">
        <v>1.0124491145754899</v>
      </c>
      <c r="AB30" s="33">
        <v>31.202370172064001</v>
      </c>
      <c r="AC30" s="33">
        <v>31.128265845517301</v>
      </c>
      <c r="AD30" s="33">
        <v>31.0528987190302</v>
      </c>
      <c r="AE30" s="15">
        <v>1.16815102882922E-2</v>
      </c>
      <c r="AF30" s="15">
        <v>9.3037273489258599E-3</v>
      </c>
      <c r="AG30" s="15">
        <v>6.8796118174213397E-3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29.95</v>
      </c>
      <c r="C31" s="33">
        <v>30.22</v>
      </c>
      <c r="D31" s="15">
        <v>-2.3755653564701801E-2</v>
      </c>
      <c r="E31" s="15">
        <v>-2.0308591850535199E-2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29.95</v>
      </c>
      <c r="M31" s="33">
        <v>30.22</v>
      </c>
      <c r="N31" s="34">
        <v>1.00901502504173</v>
      </c>
      <c r="O31" s="34">
        <v>1.01735801017489</v>
      </c>
      <c r="P31" s="34">
        <v>1.01315560689533</v>
      </c>
      <c r="Q31" s="34">
        <v>1.01248046393115</v>
      </c>
      <c r="R31" s="33">
        <v>30.469872404738101</v>
      </c>
      <c r="S31" s="33">
        <v>30.367346560968901</v>
      </c>
      <c r="T31" s="33">
        <v>30.3228509815359</v>
      </c>
      <c r="U31" s="15">
        <v>8.2344485741255198E-3</v>
      </c>
      <c r="V31" s="15">
        <v>4.8639479966072598E-3</v>
      </c>
      <c r="W31" s="15">
        <v>3.3976292430934001E-3</v>
      </c>
      <c r="X31" s="34">
        <v>1.00901502504173</v>
      </c>
      <c r="Y31" s="34">
        <v>1.01735801017489</v>
      </c>
      <c r="Z31" s="34">
        <v>1.01315560689533</v>
      </c>
      <c r="AA31" s="34">
        <v>1.01248046393115</v>
      </c>
      <c r="AB31" s="33">
        <v>30.469872404738101</v>
      </c>
      <c r="AC31" s="33">
        <v>30.367346560968901</v>
      </c>
      <c r="AD31" s="33">
        <v>30.3228509815359</v>
      </c>
      <c r="AE31" s="15">
        <v>8.2344485741255198E-3</v>
      </c>
      <c r="AF31" s="15">
        <v>4.8639479966072598E-3</v>
      </c>
      <c r="AG31" s="15">
        <v>3.3976292430934001E-3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29.26</v>
      </c>
      <c r="C32" s="33">
        <v>29.45</v>
      </c>
      <c r="D32" s="15">
        <v>-2.3307928969479901E-2</v>
      </c>
      <c r="E32" s="15">
        <v>-2.58100467469978E-2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29.26</v>
      </c>
      <c r="M32" s="33">
        <v>29.45</v>
      </c>
      <c r="N32" s="34">
        <v>1.0064935064934999</v>
      </c>
      <c r="O32" s="34">
        <v>1.01735801017489</v>
      </c>
      <c r="P32" s="34">
        <v>1.0121087923529399</v>
      </c>
      <c r="Q32" s="34">
        <v>1.0123884725891501</v>
      </c>
      <c r="R32" s="33">
        <v>29.767895377717402</v>
      </c>
      <c r="S32" s="33">
        <v>29.644933057757399</v>
      </c>
      <c r="T32" s="33">
        <v>29.625178374625399</v>
      </c>
      <c r="U32" s="15">
        <v>1.0736566351643301E-2</v>
      </c>
      <c r="V32" s="15">
        <v>6.59730892990341E-3</v>
      </c>
      <c r="W32" s="15">
        <v>5.9307104239771698E-3</v>
      </c>
      <c r="X32" s="34">
        <v>1.0064935064934999</v>
      </c>
      <c r="Y32" s="34">
        <v>1.01735801017489</v>
      </c>
      <c r="Z32" s="34">
        <v>1.0121087923529399</v>
      </c>
      <c r="AA32" s="34">
        <v>1.0123884725891501</v>
      </c>
      <c r="AB32" s="33">
        <v>29.767895377717402</v>
      </c>
      <c r="AC32" s="33">
        <v>29.644933057757399</v>
      </c>
      <c r="AD32" s="33">
        <v>29.625178374625399</v>
      </c>
      <c r="AE32" s="15">
        <v>1.0736566351643301E-2</v>
      </c>
      <c r="AF32" s="15">
        <v>6.59730892990341E-3</v>
      </c>
      <c r="AG32" s="15">
        <v>5.9307104239771698E-3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29.42</v>
      </c>
      <c r="C33" s="33">
        <v>29.82</v>
      </c>
      <c r="D33" s="15">
        <v>5.4533195813132604E-3</v>
      </c>
      <c r="E33" s="15">
        <v>1.24853992389967E-2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29.42</v>
      </c>
      <c r="M33" s="33">
        <v>29.82</v>
      </c>
      <c r="N33" s="34">
        <v>1.0135961930659401</v>
      </c>
      <c r="O33" s="34">
        <v>1.01735801017489</v>
      </c>
      <c r="P33" s="34">
        <v>1.0118343086399899</v>
      </c>
      <c r="Q33" s="34">
        <v>1.0125533870604</v>
      </c>
      <c r="R33" s="33">
        <v>29.930672659345401</v>
      </c>
      <c r="S33" s="33">
        <v>29.776240671023501</v>
      </c>
      <c r="T33" s="33">
        <v>29.784468863573</v>
      </c>
      <c r="U33" s="15">
        <v>3.7044866939596899E-3</v>
      </c>
      <c r="V33" s="15">
        <v>-1.4685267509460501E-3</v>
      </c>
      <c r="W33" s="15">
        <v>-1.1922307609840701E-3</v>
      </c>
      <c r="X33" s="34">
        <v>1.0135961930659401</v>
      </c>
      <c r="Y33" s="34">
        <v>1.01735801017489</v>
      </c>
      <c r="Z33" s="34">
        <v>1.0118343086399899</v>
      </c>
      <c r="AA33" s="34">
        <v>1.0125533870604</v>
      </c>
      <c r="AB33" s="33">
        <v>29.930672659345401</v>
      </c>
      <c r="AC33" s="33">
        <v>29.776240671023501</v>
      </c>
      <c r="AD33" s="33">
        <v>29.784468863573</v>
      </c>
      <c r="AE33" s="15">
        <v>3.7044866939596899E-3</v>
      </c>
      <c r="AF33" s="15">
        <v>-1.4685267509460501E-3</v>
      </c>
      <c r="AG33" s="15">
        <v>-1.1922307609840701E-3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29.42</v>
      </c>
      <c r="C34" s="33">
        <v>29.92</v>
      </c>
      <c r="D34" s="15">
        <v>0</v>
      </c>
      <c r="E34" s="15">
        <v>3.3478437696841199E-3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29.42</v>
      </c>
      <c r="M34" s="33">
        <v>29.92</v>
      </c>
      <c r="N34" s="34">
        <v>1.0169952413324199</v>
      </c>
      <c r="O34" s="34">
        <v>1.01735801017489</v>
      </c>
      <c r="P34" s="34">
        <v>1.0120316135858001</v>
      </c>
      <c r="Q34" s="34">
        <v>1.01313538761328</v>
      </c>
      <c r="R34" s="33">
        <v>29.930672659345401</v>
      </c>
      <c r="S34" s="33">
        <v>29.7681653601887</v>
      </c>
      <c r="T34" s="33">
        <v>29.789320647316998</v>
      </c>
      <c r="U34" s="15">
        <v>3.56642924275623E-4</v>
      </c>
      <c r="V34" s="15">
        <v>-5.0876071126983004E-3</v>
      </c>
      <c r="W34" s="15">
        <v>-4.3771913636049204E-3</v>
      </c>
      <c r="X34" s="34">
        <v>1.0169952413324199</v>
      </c>
      <c r="Y34" s="34">
        <v>1.01735801017489</v>
      </c>
      <c r="Z34" s="34">
        <v>1.0120316135858001</v>
      </c>
      <c r="AA34" s="34">
        <v>1.01313538761328</v>
      </c>
      <c r="AB34" s="33">
        <v>29.930672659345401</v>
      </c>
      <c r="AC34" s="33">
        <v>29.7681653601887</v>
      </c>
      <c r="AD34" s="33">
        <v>29.789320647316998</v>
      </c>
      <c r="AE34" s="15">
        <v>3.56642924275623E-4</v>
      </c>
      <c r="AF34" s="15">
        <v>-5.0876071126983004E-3</v>
      </c>
      <c r="AG34" s="15">
        <v>-4.3771913636049204E-3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29.99</v>
      </c>
      <c r="C35" s="33">
        <v>30.34</v>
      </c>
      <c r="D35" s="15">
        <v>1.9189277587626199E-2</v>
      </c>
      <c r="E35" s="15">
        <v>1.3939820814109501E-2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29.99</v>
      </c>
      <c r="M35" s="33">
        <v>30.34</v>
      </c>
      <c r="N35" s="34">
        <v>1.0116705568522799</v>
      </c>
      <c r="O35" s="34">
        <v>1.01735801017489</v>
      </c>
      <c r="P35" s="34">
        <v>1.0116453382389301</v>
      </c>
      <c r="Q35" s="34">
        <v>1.01318185852786</v>
      </c>
      <c r="R35" s="33">
        <v>30.5105667251451</v>
      </c>
      <c r="S35" s="33">
        <v>30.350828091438199</v>
      </c>
      <c r="T35" s="33">
        <v>30.3839302745222</v>
      </c>
      <c r="U35" s="15">
        <v>5.6060996977921199E-3</v>
      </c>
      <c r="V35" s="15">
        <v>3.5682793903790098E-4</v>
      </c>
      <c r="W35" s="15">
        <v>1.44688533787573E-3</v>
      </c>
      <c r="X35" s="34">
        <v>1.0116705568522799</v>
      </c>
      <c r="Y35" s="34">
        <v>1.01735801017489</v>
      </c>
      <c r="Z35" s="34">
        <v>1.0116453382389301</v>
      </c>
      <c r="AA35" s="34">
        <v>1.01318185852786</v>
      </c>
      <c r="AB35" s="33">
        <v>30.5105667251451</v>
      </c>
      <c r="AC35" s="33">
        <v>30.350828091438199</v>
      </c>
      <c r="AD35" s="33">
        <v>30.3839302745222</v>
      </c>
      <c r="AE35" s="15">
        <v>5.6060996977921199E-3</v>
      </c>
      <c r="AF35" s="15">
        <v>3.5682793903790098E-4</v>
      </c>
      <c r="AG35" s="15">
        <v>1.44688533787573E-3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30.2</v>
      </c>
      <c r="C36" s="33">
        <v>30.7</v>
      </c>
      <c r="D36" s="15">
        <v>6.9779316199062996E-3</v>
      </c>
      <c r="E36" s="15">
        <v>1.1795680672765201E-2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30.2</v>
      </c>
      <c r="M36" s="33">
        <v>30.7</v>
      </c>
      <c r="N36" s="34">
        <v>1.01655629139072</v>
      </c>
      <c r="O36" s="34">
        <v>1.01735801017489</v>
      </c>
      <c r="P36" s="34">
        <v>1.01201064479735</v>
      </c>
      <c r="Q36" s="34">
        <v>1.0134837391111799</v>
      </c>
      <c r="R36" s="33">
        <v>30.724211907281799</v>
      </c>
      <c r="S36" s="33">
        <v>30.551689214815699</v>
      </c>
      <c r="T36" s="33">
        <v>30.5980921275413</v>
      </c>
      <c r="U36" s="15">
        <v>7.8835064493301904E-4</v>
      </c>
      <c r="V36" s="15">
        <v>-4.8426770568501002E-3</v>
      </c>
      <c r="W36" s="15">
        <v>-3.3249963517394902E-3</v>
      </c>
      <c r="X36" s="34">
        <v>1.01655629139072</v>
      </c>
      <c r="Y36" s="34">
        <v>1.01735801017489</v>
      </c>
      <c r="Z36" s="34">
        <v>1.01201064479735</v>
      </c>
      <c r="AA36" s="34">
        <v>1.0134837391111799</v>
      </c>
      <c r="AB36" s="33">
        <v>30.724211907281799</v>
      </c>
      <c r="AC36" s="33">
        <v>30.551689214815699</v>
      </c>
      <c r="AD36" s="33">
        <v>30.5980921275413</v>
      </c>
      <c r="AE36" s="15">
        <v>7.8835064493301904E-4</v>
      </c>
      <c r="AF36" s="15">
        <v>-4.8426770568501002E-3</v>
      </c>
      <c r="AG36" s="15">
        <v>-3.3249963517394902E-3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30.42</v>
      </c>
      <c r="C37" s="33">
        <v>30.87</v>
      </c>
      <c r="D37" s="15">
        <v>7.2583624503228996E-3</v>
      </c>
      <c r="E37" s="15">
        <v>5.5221839209165001E-3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30.42</v>
      </c>
      <c r="M37" s="33">
        <v>30.87</v>
      </c>
      <c r="N37" s="34">
        <v>1.01479289940828</v>
      </c>
      <c r="O37" s="34">
        <v>1.01735801017489</v>
      </c>
      <c r="P37" s="34">
        <v>1.01182779091186</v>
      </c>
      <c r="Q37" s="34">
        <v>1.0137126215861501</v>
      </c>
      <c r="R37" s="33">
        <v>30.9480306695203</v>
      </c>
      <c r="S37" s="33">
        <v>30.7853638147356</v>
      </c>
      <c r="T37" s="33">
        <v>30.830175343762001</v>
      </c>
      <c r="U37" s="15">
        <v>2.5245291743394402E-3</v>
      </c>
      <c r="V37" s="15">
        <v>-2.7454622985014902E-3</v>
      </c>
      <c r="W37" s="15">
        <v>-1.2909091926073899E-3</v>
      </c>
      <c r="X37" s="34">
        <v>1.01479289940828</v>
      </c>
      <c r="Y37" s="34">
        <v>1.01735801017489</v>
      </c>
      <c r="Z37" s="34">
        <v>1.01182779091186</v>
      </c>
      <c r="AA37" s="34">
        <v>1.0137126215861501</v>
      </c>
      <c r="AB37" s="33">
        <v>30.9480306695203</v>
      </c>
      <c r="AC37" s="33">
        <v>30.7853638147356</v>
      </c>
      <c r="AD37" s="33">
        <v>30.830175343762001</v>
      </c>
      <c r="AE37" s="15">
        <v>2.5245291743394402E-3</v>
      </c>
      <c r="AF37" s="15">
        <v>-2.7454622985014902E-3</v>
      </c>
      <c r="AG37" s="15">
        <v>-1.2909091926073899E-3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28.1</v>
      </c>
      <c r="C38" s="33">
        <v>28.67</v>
      </c>
      <c r="D38" s="15">
        <v>-7.9330710491446702E-2</v>
      </c>
      <c r="E38" s="15">
        <v>-7.3933558618789294E-2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28.1</v>
      </c>
      <c r="M38" s="33">
        <v>28.67</v>
      </c>
      <c r="N38" s="34">
        <v>1.0202846975088899</v>
      </c>
      <c r="O38" s="34">
        <v>1.01735801017489</v>
      </c>
      <c r="P38" s="34">
        <v>1.01248548165907</v>
      </c>
      <c r="Q38" s="34">
        <v>1.0140544619901699</v>
      </c>
      <c r="R38" s="33">
        <v>28.5877600859145</v>
      </c>
      <c r="S38" s="33">
        <v>28.432360924623399</v>
      </c>
      <c r="T38" s="33">
        <v>28.4853246665709</v>
      </c>
      <c r="U38" s="15">
        <v>-2.8726226983177101E-3</v>
      </c>
      <c r="V38" s="15">
        <v>-8.3233142535029999E-3</v>
      </c>
      <c r="W38" s="15">
        <v>-6.4622492195208501E-3</v>
      </c>
      <c r="X38" s="34">
        <v>1.0202846975088899</v>
      </c>
      <c r="Y38" s="34">
        <v>1.01735801017489</v>
      </c>
      <c r="Z38" s="34">
        <v>1.01248548165907</v>
      </c>
      <c r="AA38" s="34">
        <v>1.0140544619901699</v>
      </c>
      <c r="AB38" s="33">
        <v>28.5877600859145</v>
      </c>
      <c r="AC38" s="33">
        <v>28.432360924623399</v>
      </c>
      <c r="AD38" s="33">
        <v>28.4853246665709</v>
      </c>
      <c r="AE38" s="15">
        <v>-2.8726226983177101E-3</v>
      </c>
      <c r="AF38" s="15">
        <v>-8.3233142535029999E-3</v>
      </c>
      <c r="AG38" s="15">
        <v>-6.4622492195208501E-3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28.48</v>
      </c>
      <c r="C39" s="33">
        <v>29.06</v>
      </c>
      <c r="D39" s="15">
        <v>1.3432510204074899E-2</v>
      </c>
      <c r="E39" s="15">
        <v>1.35113782468582E-2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28.48</v>
      </c>
      <c r="M39" s="33">
        <v>29.06</v>
      </c>
      <c r="N39" s="34">
        <v>1.02036516853932</v>
      </c>
      <c r="O39" s="34">
        <v>1.01735801017489</v>
      </c>
      <c r="P39" s="34">
        <v>1.0135312455407499</v>
      </c>
      <c r="Q39" s="34">
        <v>1.0142365364566699</v>
      </c>
      <c r="R39" s="33">
        <v>28.974356129781</v>
      </c>
      <c r="S39" s="33">
        <v>28.835586517650398</v>
      </c>
      <c r="T39" s="33">
        <v>28.880271077480199</v>
      </c>
      <c r="U39" s="15">
        <v>-2.95149074110109E-3</v>
      </c>
      <c r="V39" s="15">
        <v>-7.75239080475727E-3</v>
      </c>
      <c r="W39" s="15">
        <v>-6.2039578222200199E-3</v>
      </c>
      <c r="X39" s="34">
        <v>1.02036516853932</v>
      </c>
      <c r="Y39" s="34">
        <v>1.01735801017489</v>
      </c>
      <c r="Z39" s="34">
        <v>1.0135312455407499</v>
      </c>
      <c r="AA39" s="34">
        <v>1.0142365364566699</v>
      </c>
      <c r="AB39" s="33">
        <v>28.974356129781</v>
      </c>
      <c r="AC39" s="33">
        <v>28.835586517650398</v>
      </c>
      <c r="AD39" s="33">
        <v>28.880271077480199</v>
      </c>
      <c r="AE39" s="15">
        <v>-2.95149074110109E-3</v>
      </c>
      <c r="AF39" s="15">
        <v>-7.75239080475727E-3</v>
      </c>
      <c r="AG39" s="15">
        <v>-6.2039578222200199E-3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28.86</v>
      </c>
      <c r="C40" s="33">
        <v>29.36</v>
      </c>
      <c r="D40" s="15">
        <v>1.3254466801949701E-2</v>
      </c>
      <c r="E40" s="15">
        <v>1.0270545604177899E-2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28.86</v>
      </c>
      <c r="M40" s="33">
        <v>29.36</v>
      </c>
      <c r="N40" s="34">
        <v>1.0173250173250099</v>
      </c>
      <c r="O40" s="34">
        <v>1.01735801017489</v>
      </c>
      <c r="P40" s="34">
        <v>1.0147094596958099</v>
      </c>
      <c r="Q40" s="34">
        <v>1.01432211817794</v>
      </c>
      <c r="R40" s="33">
        <v>29.360952173647402</v>
      </c>
      <c r="S40" s="33">
        <v>29.250511746306</v>
      </c>
      <c r="T40" s="33">
        <v>29.2708664421395</v>
      </c>
      <c r="U40" s="15">
        <v>3.2430456670740502E-5</v>
      </c>
      <c r="V40" s="15">
        <v>-3.7361346212884498E-3</v>
      </c>
      <c r="W40" s="15">
        <v>-3.04050176764184E-3</v>
      </c>
      <c r="X40" s="34">
        <v>1.0173250173250099</v>
      </c>
      <c r="Y40" s="34">
        <v>1.01735801017489</v>
      </c>
      <c r="Z40" s="34">
        <v>1.0147094596958099</v>
      </c>
      <c r="AA40" s="34">
        <v>1.01432211817794</v>
      </c>
      <c r="AB40" s="33">
        <v>29.360952173647402</v>
      </c>
      <c r="AC40" s="33">
        <v>29.250511746306</v>
      </c>
      <c r="AD40" s="33">
        <v>29.2708664421395</v>
      </c>
      <c r="AE40" s="15">
        <v>3.2430456670740502E-5</v>
      </c>
      <c r="AF40" s="15">
        <v>-3.7361346212884498E-3</v>
      </c>
      <c r="AG40" s="15">
        <v>-3.04050176764184E-3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28.85</v>
      </c>
      <c r="C41" s="33">
        <v>29.29</v>
      </c>
      <c r="D41" s="15">
        <v>-3.4656039161619801E-4</v>
      </c>
      <c r="E41" s="15">
        <v>-2.3870429066726799E-3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28.85</v>
      </c>
      <c r="M41" s="33">
        <v>29.29</v>
      </c>
      <c r="N41" s="34">
        <v>1.0152512998266801</v>
      </c>
      <c r="O41" s="34">
        <v>1.01735801017489</v>
      </c>
      <c r="P41" s="34">
        <v>1.01533308717431</v>
      </c>
      <c r="Q41" s="34">
        <v>1.0142443470348199</v>
      </c>
      <c r="R41" s="33">
        <v>29.350778593545702</v>
      </c>
      <c r="S41" s="33">
        <v>29.2743679122242</v>
      </c>
      <c r="T41" s="33">
        <v>29.263193109433502</v>
      </c>
      <c r="U41" s="15">
        <v>2.07291297172723E-3</v>
      </c>
      <c r="V41" s="15">
        <v>-5.3384297327048903E-4</v>
      </c>
      <c r="W41" s="15">
        <v>-9.1564237629962496E-4</v>
      </c>
      <c r="X41" s="34">
        <v>1.0152512998266801</v>
      </c>
      <c r="Y41" s="34">
        <v>1.01735801017489</v>
      </c>
      <c r="Z41" s="34">
        <v>1.01533308717431</v>
      </c>
      <c r="AA41" s="34">
        <v>1.0142443470348199</v>
      </c>
      <c r="AB41" s="33">
        <v>29.350778593545702</v>
      </c>
      <c r="AC41" s="33">
        <v>29.2743679122242</v>
      </c>
      <c r="AD41" s="33">
        <v>29.263193109433502</v>
      </c>
      <c r="AE41" s="15">
        <v>2.07291297172723E-3</v>
      </c>
      <c r="AF41" s="15">
        <v>-5.3384297327048903E-4</v>
      </c>
      <c r="AG41" s="15">
        <v>-9.1564237629962496E-4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28.13</v>
      </c>
      <c r="C42" s="33">
        <v>28.49</v>
      </c>
      <c r="D42" s="15">
        <v>-2.52733704523431E-2</v>
      </c>
      <c r="E42" s="15">
        <v>-2.7693012329825101E-2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28.13</v>
      </c>
      <c r="M42" s="33">
        <v>28.49</v>
      </c>
      <c r="N42" s="34">
        <v>1.01279772484891</v>
      </c>
      <c r="O42" s="34">
        <v>1.01735801017489</v>
      </c>
      <c r="P42" s="34">
        <v>1.01596350900985</v>
      </c>
      <c r="Q42" s="34">
        <v>1.01403615068139</v>
      </c>
      <c r="R42" s="33">
        <v>28.618280826219799</v>
      </c>
      <c r="S42" s="33">
        <v>28.5613197422133</v>
      </c>
      <c r="T42" s="33">
        <v>28.5306934820895</v>
      </c>
      <c r="U42" s="15">
        <v>4.4925548492093601E-3</v>
      </c>
      <c r="V42" s="15">
        <v>2.5001973551938999E-3</v>
      </c>
      <c r="W42" s="15">
        <v>1.4273235386334699E-3</v>
      </c>
      <c r="X42" s="34">
        <v>1.01279772484891</v>
      </c>
      <c r="Y42" s="34">
        <v>1.01735801017489</v>
      </c>
      <c r="Z42" s="34">
        <v>1.01596350900985</v>
      </c>
      <c r="AA42" s="34">
        <v>1.01403615068139</v>
      </c>
      <c r="AB42" s="33">
        <v>28.618280826219799</v>
      </c>
      <c r="AC42" s="33">
        <v>28.5613197422133</v>
      </c>
      <c r="AD42" s="33">
        <v>28.5306934820895</v>
      </c>
      <c r="AE42" s="15">
        <v>4.4925548492093601E-3</v>
      </c>
      <c r="AF42" s="15">
        <v>2.5001973551938999E-3</v>
      </c>
      <c r="AG42" s="15">
        <v>1.4273235386334699E-3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26.26</v>
      </c>
      <c r="C43" s="33">
        <v>26.84</v>
      </c>
      <c r="D43" s="15">
        <v>-6.8789753627115202E-2</v>
      </c>
      <c r="E43" s="15">
        <v>-5.9659836406335799E-2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26.26</v>
      </c>
      <c r="M43" s="33">
        <v>26.84</v>
      </c>
      <c r="N43" s="34">
        <v>1.02208682406702</v>
      </c>
      <c r="O43" s="34">
        <v>1.01735801017489</v>
      </c>
      <c r="P43" s="34">
        <v>1.0168125721099499</v>
      </c>
      <c r="Q43" s="34">
        <v>1.0143234403749699</v>
      </c>
      <c r="R43" s="33">
        <v>26.715821347192701</v>
      </c>
      <c r="S43" s="33">
        <v>26.679201746598601</v>
      </c>
      <c r="T43" s="33">
        <v>26.6285893168934</v>
      </c>
      <c r="U43" s="15">
        <v>-4.6373623715701097E-3</v>
      </c>
      <c r="V43" s="15">
        <v>-6.00901104643441E-3</v>
      </c>
      <c r="W43" s="15">
        <v>-7.9078871357782295E-3</v>
      </c>
      <c r="X43" s="34">
        <v>1.02208682406702</v>
      </c>
      <c r="Y43" s="34">
        <v>1.01735801017489</v>
      </c>
      <c r="Z43" s="34">
        <v>1.0168125721099499</v>
      </c>
      <c r="AA43" s="34">
        <v>1.0143234403749699</v>
      </c>
      <c r="AB43" s="33">
        <v>26.715821347192701</v>
      </c>
      <c r="AC43" s="33">
        <v>26.679201746598601</v>
      </c>
      <c r="AD43" s="33">
        <v>26.6285893168934</v>
      </c>
      <c r="AE43" s="15">
        <v>-4.6373623715701097E-3</v>
      </c>
      <c r="AF43" s="15">
        <v>-6.00901104643441E-3</v>
      </c>
      <c r="AG43" s="15">
        <v>-7.9078871357782295E-3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26.12</v>
      </c>
      <c r="C44" s="33">
        <v>26.7</v>
      </c>
      <c r="D44" s="15">
        <v>-5.3455644664198E-3</v>
      </c>
      <c r="E44" s="15">
        <v>-5.2297466972772598E-3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26.12</v>
      </c>
      <c r="M44" s="33">
        <v>26.7</v>
      </c>
      <c r="N44" s="34">
        <v>1.02220520673813</v>
      </c>
      <c r="O44" s="34">
        <v>1.01735801017489</v>
      </c>
      <c r="P44" s="34">
        <v>1.01733356865052</v>
      </c>
      <c r="Q44" s="34">
        <v>1.0146825911181601</v>
      </c>
      <c r="R44" s="33">
        <v>26.573391225768201</v>
      </c>
      <c r="S44" s="33">
        <v>26.559144383512098</v>
      </c>
      <c r="T44" s="33">
        <v>26.494128262594401</v>
      </c>
      <c r="U44" s="15">
        <v>-4.7531801407127696E-3</v>
      </c>
      <c r="V44" s="15">
        <v>-5.2894557930680298E-3</v>
      </c>
      <c r="W44" s="15">
        <v>-7.7404319618294398E-3</v>
      </c>
      <c r="X44" s="34">
        <v>1.02220520673813</v>
      </c>
      <c r="Y44" s="34">
        <v>1.01735801017489</v>
      </c>
      <c r="Z44" s="34">
        <v>1.01733356865052</v>
      </c>
      <c r="AA44" s="34">
        <v>1.0146825911181601</v>
      </c>
      <c r="AB44" s="33">
        <v>26.573391225768201</v>
      </c>
      <c r="AC44" s="33">
        <v>26.559144383512098</v>
      </c>
      <c r="AD44" s="33">
        <v>26.494128262594401</v>
      </c>
      <c r="AE44" s="15">
        <v>-4.7531801407127696E-3</v>
      </c>
      <c r="AF44" s="15">
        <v>-5.2894557930680298E-3</v>
      </c>
      <c r="AG44" s="15">
        <v>-7.7404319618294398E-3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25.26</v>
      </c>
      <c r="C45" s="33">
        <v>25.74</v>
      </c>
      <c r="D45" s="15">
        <v>-3.3479187485885201E-2</v>
      </c>
      <c r="E45" s="15">
        <v>-3.6617363238223302E-2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25.26</v>
      </c>
      <c r="M45" s="33">
        <v>25.74</v>
      </c>
      <c r="N45" s="34">
        <v>1.01900237529691</v>
      </c>
      <c r="O45" s="34">
        <v>1.01735801017489</v>
      </c>
      <c r="P45" s="34">
        <v>1.0180667504949901</v>
      </c>
      <c r="Q45" s="34">
        <v>1.0148560443669601</v>
      </c>
      <c r="R45" s="33">
        <v>25.698463337017799</v>
      </c>
      <c r="S45" s="33">
        <v>25.697845944112299</v>
      </c>
      <c r="T45" s="33">
        <v>25.630882251644898</v>
      </c>
      <c r="U45" s="15">
        <v>-1.61500438837477E-3</v>
      </c>
      <c r="V45" s="15">
        <v>-1.6390291837012801E-3</v>
      </c>
      <c r="W45" s="15">
        <v>-4.2482397685691901E-3</v>
      </c>
      <c r="X45" s="34">
        <v>1.01900237529691</v>
      </c>
      <c r="Y45" s="34">
        <v>1.01735801017489</v>
      </c>
      <c r="Z45" s="34">
        <v>1.0180667504949901</v>
      </c>
      <c r="AA45" s="34">
        <v>1.0148560443669601</v>
      </c>
      <c r="AB45" s="33">
        <v>25.698463337017799</v>
      </c>
      <c r="AC45" s="33">
        <v>25.697845944112299</v>
      </c>
      <c r="AD45" s="33">
        <v>25.630882251644898</v>
      </c>
      <c r="AE45" s="15">
        <v>-1.61500438837477E-3</v>
      </c>
      <c r="AF45" s="15">
        <v>-1.6390291837012801E-3</v>
      </c>
      <c r="AG45" s="15">
        <v>-4.2482397685691901E-3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24.88</v>
      </c>
      <c r="C46" s="33">
        <v>25.42</v>
      </c>
      <c r="D46" s="15">
        <v>-1.51578490513664E-2</v>
      </c>
      <c r="E46" s="15">
        <v>-1.25099364066724E-2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24.88</v>
      </c>
      <c r="M46" s="33">
        <v>25.42</v>
      </c>
      <c r="N46" s="34">
        <v>1.0217041800643001</v>
      </c>
      <c r="O46" s="34">
        <v>1.01735801017489</v>
      </c>
      <c r="P46" s="34">
        <v>1.0185815393623501</v>
      </c>
      <c r="Q46" s="34">
        <v>1.0152960920798499</v>
      </c>
      <c r="R46" s="33">
        <v>25.311867293151298</v>
      </c>
      <c r="S46" s="33">
        <v>25.329500752315401</v>
      </c>
      <c r="T46" s="33">
        <v>25.249618383849999</v>
      </c>
      <c r="U46" s="15">
        <v>-4.2629170330687896E-3</v>
      </c>
      <c r="V46" s="15">
        <v>-3.5665116807948199E-3</v>
      </c>
      <c r="W46" s="15">
        <v>-6.7252236650402397E-3</v>
      </c>
      <c r="X46" s="34">
        <v>1.0217041800643001</v>
      </c>
      <c r="Y46" s="34">
        <v>1.01735801017489</v>
      </c>
      <c r="Z46" s="34">
        <v>1.0185815393623501</v>
      </c>
      <c r="AA46" s="34">
        <v>1.0152960920798499</v>
      </c>
      <c r="AB46" s="33">
        <v>25.311867293151298</v>
      </c>
      <c r="AC46" s="33">
        <v>25.329500752315401</v>
      </c>
      <c r="AD46" s="33">
        <v>25.249618383849999</v>
      </c>
      <c r="AE46" s="15">
        <v>-4.2629170330687896E-3</v>
      </c>
      <c r="AF46" s="15">
        <v>-3.5665116807948199E-3</v>
      </c>
      <c r="AG46" s="15">
        <v>-6.7252236650402397E-3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25.4</v>
      </c>
      <c r="C47" s="33">
        <v>25.79</v>
      </c>
      <c r="D47" s="15">
        <v>2.0684906153512098E-2</v>
      </c>
      <c r="E47" s="15">
        <v>1.44505541319452E-2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25.4</v>
      </c>
      <c r="M47" s="33">
        <v>25.79</v>
      </c>
      <c r="N47" s="34">
        <v>1.0153543307086601</v>
      </c>
      <c r="O47" s="34">
        <v>1.01735801017489</v>
      </c>
      <c r="P47" s="34">
        <v>1.01863768249238</v>
      </c>
      <c r="Q47" s="34">
        <v>1.0152327367021201</v>
      </c>
      <c r="R47" s="33">
        <v>25.840893458442299</v>
      </c>
      <c r="S47" s="33">
        <v>25.871971099803599</v>
      </c>
      <c r="T47" s="33">
        <v>25.7885207388283</v>
      </c>
      <c r="U47" s="15">
        <v>1.9714349884981902E-3</v>
      </c>
      <c r="V47" s="15">
        <v>3.1733658955619402E-3</v>
      </c>
      <c r="W47" s="15">
        <v>-5.7359581116507898E-5</v>
      </c>
      <c r="X47" s="34">
        <v>1.0153543307086601</v>
      </c>
      <c r="Y47" s="34">
        <v>1.01735801017489</v>
      </c>
      <c r="Z47" s="34">
        <v>1.01863768249238</v>
      </c>
      <c r="AA47" s="34">
        <v>1.0152327367021201</v>
      </c>
      <c r="AB47" s="33">
        <v>25.840893458442299</v>
      </c>
      <c r="AC47" s="33">
        <v>25.871971099803599</v>
      </c>
      <c r="AD47" s="33">
        <v>25.7885207388283</v>
      </c>
      <c r="AE47" s="15">
        <v>1.9714349884981902E-3</v>
      </c>
      <c r="AF47" s="15">
        <v>3.1733658955619402E-3</v>
      </c>
      <c r="AG47" s="15">
        <v>-5.7359581116507898E-5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24.22</v>
      </c>
      <c r="C48" s="33">
        <v>24.67</v>
      </c>
      <c r="D48" s="15">
        <v>-4.7570435899544697E-2</v>
      </c>
      <c r="E48" s="15">
        <v>-4.4398889351987901E-2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24.22</v>
      </c>
      <c r="M48" s="33">
        <v>24.67</v>
      </c>
      <c r="N48" s="34">
        <v>1.01857968620974</v>
      </c>
      <c r="O48" s="34">
        <v>1.01735801017489</v>
      </c>
      <c r="P48" s="34">
        <v>1.0184671813624699</v>
      </c>
      <c r="Q48" s="34">
        <v>1.01547633151077</v>
      </c>
      <c r="R48" s="33">
        <v>24.640411006435901</v>
      </c>
      <c r="S48" s="33">
        <v>24.6714046699656</v>
      </c>
      <c r="T48" s="33">
        <v>24.588936882925498</v>
      </c>
      <c r="U48" s="15">
        <v>-1.2001115590585701E-3</v>
      </c>
      <c r="V48" s="15">
        <v>5.69367643831787E-5</v>
      </c>
      <c r="W48" s="15">
        <v>-3.2913089636891599E-3</v>
      </c>
      <c r="X48" s="34">
        <v>1.01857968620974</v>
      </c>
      <c r="Y48" s="34">
        <v>1.01735801017489</v>
      </c>
      <c r="Z48" s="34">
        <v>1.0184671813624699</v>
      </c>
      <c r="AA48" s="34">
        <v>1.01547633151077</v>
      </c>
      <c r="AB48" s="33">
        <v>24.640411006435901</v>
      </c>
      <c r="AC48" s="33">
        <v>24.6714046699656</v>
      </c>
      <c r="AD48" s="33">
        <v>24.588936882925498</v>
      </c>
      <c r="AE48" s="15">
        <v>-1.2001115590585701E-3</v>
      </c>
      <c r="AF48" s="15">
        <v>5.69367643831787E-5</v>
      </c>
      <c r="AG48" s="15">
        <v>-3.2913089636891599E-3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23.07</v>
      </c>
      <c r="C49" s="33">
        <v>23.58</v>
      </c>
      <c r="D49" s="15">
        <v>-4.8645665939283801E-2</v>
      </c>
      <c r="E49" s="15">
        <v>-4.5189035432040503E-2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23.07</v>
      </c>
      <c r="M49" s="33">
        <v>23.58</v>
      </c>
      <c r="N49" s="34">
        <v>1.02210663198959</v>
      </c>
      <c r="O49" s="34">
        <v>1.01735801017489</v>
      </c>
      <c r="P49" s="34">
        <v>1.0186413277074999</v>
      </c>
      <c r="Q49" s="34">
        <v>1.01608628662412</v>
      </c>
      <c r="R49" s="33">
        <v>23.470449294734799</v>
      </c>
      <c r="S49" s="33">
        <v>23.496037874032201</v>
      </c>
      <c r="T49" s="33">
        <v>23.4270389679535</v>
      </c>
      <c r="U49" s="15">
        <v>-4.6567420663017403E-3</v>
      </c>
      <c r="V49" s="15">
        <v>-3.56708927888639E-3</v>
      </c>
      <c r="W49" s="15">
        <v>-6.5080283840815399E-3</v>
      </c>
      <c r="X49" s="34">
        <v>1.02210663198959</v>
      </c>
      <c r="Y49" s="34">
        <v>1.01735801017489</v>
      </c>
      <c r="Z49" s="34">
        <v>1.0186413277074999</v>
      </c>
      <c r="AA49" s="34">
        <v>1.01608628662412</v>
      </c>
      <c r="AB49" s="33">
        <v>23.470449294734799</v>
      </c>
      <c r="AC49" s="33">
        <v>23.496037874032201</v>
      </c>
      <c r="AD49" s="33">
        <v>23.4270389679535</v>
      </c>
      <c r="AE49" s="15">
        <v>-4.6567420663017403E-3</v>
      </c>
      <c r="AF49" s="15">
        <v>-3.56708927888639E-3</v>
      </c>
      <c r="AG49" s="15">
        <v>-6.5080283840815399E-3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23.49</v>
      </c>
      <c r="C50" s="33">
        <v>23.85</v>
      </c>
      <c r="D50" s="15">
        <v>1.8041726485159001E-2</v>
      </c>
      <c r="E50" s="15">
        <v>1.1385322225125401E-2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23.49</v>
      </c>
      <c r="M50" s="33">
        <v>23.85</v>
      </c>
      <c r="N50" s="34">
        <v>1.01532567049808</v>
      </c>
      <c r="O50" s="34">
        <v>1.01735801017489</v>
      </c>
      <c r="P50" s="34">
        <v>1.0184413930248</v>
      </c>
      <c r="Q50" s="34">
        <v>1.01657542636031</v>
      </c>
      <c r="R50" s="33">
        <v>23.897739659008199</v>
      </c>
      <c r="S50" s="33">
        <v>23.927884787849099</v>
      </c>
      <c r="T50" s="33">
        <v>23.867866872800601</v>
      </c>
      <c r="U50" s="15">
        <v>1.9996621937318801E-3</v>
      </c>
      <c r="V50" s="15">
        <v>3.2602890305669101E-3</v>
      </c>
      <c r="W50" s="15">
        <v>7.4885466625230395E-4</v>
      </c>
      <c r="X50" s="34">
        <v>1.01532567049808</v>
      </c>
      <c r="Y50" s="34">
        <v>1.01735801017489</v>
      </c>
      <c r="Z50" s="34">
        <v>1.0184413930248</v>
      </c>
      <c r="AA50" s="34">
        <v>1.01657542636031</v>
      </c>
      <c r="AB50" s="33">
        <v>23.897739659008199</v>
      </c>
      <c r="AC50" s="33">
        <v>23.927884787849099</v>
      </c>
      <c r="AD50" s="33">
        <v>23.867866872800601</v>
      </c>
      <c r="AE50" s="15">
        <v>1.9996621937318801E-3</v>
      </c>
      <c r="AF50" s="15">
        <v>3.2602890305669101E-3</v>
      </c>
      <c r="AG50" s="15">
        <v>7.4885466625230395E-4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23.08</v>
      </c>
      <c r="C51" s="33">
        <v>23.5</v>
      </c>
      <c r="D51" s="15">
        <v>-1.7608357030922599E-2</v>
      </c>
      <c r="E51" s="15">
        <v>-1.47837961842369E-2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23.08</v>
      </c>
      <c r="M51" s="33">
        <v>23.5</v>
      </c>
      <c r="N51" s="34">
        <v>1.01819757365684</v>
      </c>
      <c r="O51" s="34">
        <v>1.01735801017489</v>
      </c>
      <c r="P51" s="34">
        <v>1.01873602040782</v>
      </c>
      <c r="Q51" s="34">
        <v>1.0170345537910599</v>
      </c>
      <c r="R51" s="33">
        <v>23.480622874836499</v>
      </c>
      <c r="S51" s="33">
        <v>23.5056273510125</v>
      </c>
      <c r="T51" s="33">
        <v>23.462560840395899</v>
      </c>
      <c r="U51" s="15">
        <v>-8.2489865295388195E-4</v>
      </c>
      <c r="V51" s="15">
        <v>2.3943307882669801E-4</v>
      </c>
      <c r="W51" s="15">
        <v>-1.59442614991725E-3</v>
      </c>
      <c r="X51" s="34">
        <v>1.01819757365684</v>
      </c>
      <c r="Y51" s="34">
        <v>1.01735801017489</v>
      </c>
      <c r="Z51" s="34">
        <v>1.01873602040782</v>
      </c>
      <c r="AA51" s="34">
        <v>1.0170345537910599</v>
      </c>
      <c r="AB51" s="33">
        <v>23.480622874836499</v>
      </c>
      <c r="AC51" s="33">
        <v>23.5056273510125</v>
      </c>
      <c r="AD51" s="33">
        <v>23.462560840395899</v>
      </c>
      <c r="AE51" s="15">
        <v>-8.2489865295388195E-4</v>
      </c>
      <c r="AF51" s="15">
        <v>2.3943307882669801E-4</v>
      </c>
      <c r="AG51" s="15">
        <v>-1.59442614991725E-3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23.15</v>
      </c>
      <c r="C52" s="33">
        <v>23.54</v>
      </c>
      <c r="D52" s="15">
        <v>3.0283388923443501E-3</v>
      </c>
      <c r="E52" s="15">
        <v>1.70068068201725E-3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23.15</v>
      </c>
      <c r="M52" s="33">
        <v>23.54</v>
      </c>
      <c r="N52" s="34">
        <v>1.0168466522678099</v>
      </c>
      <c r="O52" s="34">
        <v>1.01735801017489</v>
      </c>
      <c r="P52" s="34">
        <v>1.01914091314971</v>
      </c>
      <c r="Q52" s="34">
        <v>1.0175522110797799</v>
      </c>
      <c r="R52" s="33">
        <v>23.5518379355488</v>
      </c>
      <c r="S52" s="33">
        <v>23.583738872441</v>
      </c>
      <c r="T52" s="33">
        <v>23.544349920263102</v>
      </c>
      <c r="U52" s="15">
        <v>5.02759557372984E-4</v>
      </c>
      <c r="V52" s="15">
        <v>1.8563418798260101E-3</v>
      </c>
      <c r="W52" s="15">
        <v>1.8477138509591501E-4</v>
      </c>
      <c r="X52" s="34">
        <v>1.0168466522678099</v>
      </c>
      <c r="Y52" s="34">
        <v>1.01735801017489</v>
      </c>
      <c r="Z52" s="34">
        <v>1.01914091314971</v>
      </c>
      <c r="AA52" s="34">
        <v>1.0175522110797799</v>
      </c>
      <c r="AB52" s="33">
        <v>23.5518379355488</v>
      </c>
      <c r="AC52" s="33">
        <v>23.583738872441</v>
      </c>
      <c r="AD52" s="33">
        <v>23.544349920263102</v>
      </c>
      <c r="AE52" s="15">
        <v>5.02759557372984E-4</v>
      </c>
      <c r="AF52" s="15">
        <v>1.8563418798260101E-3</v>
      </c>
      <c r="AG52" s="15">
        <v>1.8477138509591501E-4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22.94</v>
      </c>
      <c r="C53" s="33">
        <v>23.22</v>
      </c>
      <c r="D53" s="15">
        <v>-9.1126688310182793E-3</v>
      </c>
      <c r="E53" s="15">
        <v>-1.3687125562385201E-2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22.94</v>
      </c>
      <c r="M53" s="33">
        <v>23.22</v>
      </c>
      <c r="N53" s="34">
        <v>1.0122057541412299</v>
      </c>
      <c r="O53" s="34">
        <v>1.01735801017489</v>
      </c>
      <c r="P53" s="34">
        <v>1.0181528061571301</v>
      </c>
      <c r="Q53" s="34">
        <v>1.01748268913354</v>
      </c>
      <c r="R53" s="33">
        <v>23.338192753412098</v>
      </c>
      <c r="S53" s="33">
        <v>23.379092547654398</v>
      </c>
      <c r="T53" s="33">
        <v>23.342647722170199</v>
      </c>
      <c r="U53" s="15">
        <v>5.0772162887399198E-3</v>
      </c>
      <c r="V53" s="15">
        <v>6.8281658324915598E-3</v>
      </c>
      <c r="W53" s="15">
        <v>5.2680855501430496E-3</v>
      </c>
      <c r="X53" s="34">
        <v>1.0122057541412299</v>
      </c>
      <c r="Y53" s="34">
        <v>1.01735801017489</v>
      </c>
      <c r="Z53" s="34">
        <v>1.0181528061571301</v>
      </c>
      <c r="AA53" s="34">
        <v>1.01748268913354</v>
      </c>
      <c r="AB53" s="33">
        <v>23.338192753412098</v>
      </c>
      <c r="AC53" s="33">
        <v>23.379092547654398</v>
      </c>
      <c r="AD53" s="33">
        <v>23.342647722170199</v>
      </c>
      <c r="AE53" s="15">
        <v>5.0772162887399198E-3</v>
      </c>
      <c r="AF53" s="15">
        <v>6.8281658324915598E-3</v>
      </c>
      <c r="AG53" s="15">
        <v>5.2680855501430496E-3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23.31</v>
      </c>
      <c r="C54" s="33">
        <v>23.59</v>
      </c>
      <c r="D54" s="15">
        <v>1.6000341346441099E-2</v>
      </c>
      <c r="E54" s="15">
        <v>1.58089171498382E-2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23.31</v>
      </c>
      <c r="M54" s="33">
        <v>23.59</v>
      </c>
      <c r="N54" s="34">
        <v>1.01201201201201</v>
      </c>
      <c r="O54" s="34">
        <v>1.01735801017489</v>
      </c>
      <c r="P54" s="34">
        <v>1.0171334866845201</v>
      </c>
      <c r="Q54" s="34">
        <v>1.01723352766752</v>
      </c>
      <c r="R54" s="33">
        <v>23.714615217176799</v>
      </c>
      <c r="S54" s="33">
        <v>23.733141911522701</v>
      </c>
      <c r="T54" s="33">
        <v>23.7175214837029</v>
      </c>
      <c r="U54" s="15">
        <v>5.2686404853426703E-3</v>
      </c>
      <c r="V54" s="15">
        <v>6.0495707719852602E-3</v>
      </c>
      <c r="W54" s="15">
        <v>5.3911846814062902E-3</v>
      </c>
      <c r="X54" s="34">
        <v>1.01201201201201</v>
      </c>
      <c r="Y54" s="34">
        <v>1.01735801017489</v>
      </c>
      <c r="Z54" s="34">
        <v>1.0171334866845201</v>
      </c>
      <c r="AA54" s="34">
        <v>1.01723352766752</v>
      </c>
      <c r="AB54" s="33">
        <v>23.714615217176799</v>
      </c>
      <c r="AC54" s="33">
        <v>23.733141911522701</v>
      </c>
      <c r="AD54" s="33">
        <v>23.7175214837029</v>
      </c>
      <c r="AE54" s="15">
        <v>5.2686404853426703E-3</v>
      </c>
      <c r="AF54" s="15">
        <v>6.0495707719852602E-3</v>
      </c>
      <c r="AG54" s="15">
        <v>5.3911846814062902E-3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22.8</v>
      </c>
      <c r="C55" s="33">
        <v>23.33</v>
      </c>
      <c r="D55" s="15">
        <v>-2.2121917087270501E-2</v>
      </c>
      <c r="E55" s="15">
        <v>-1.10828073862451E-2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22.8</v>
      </c>
      <c r="M55" s="33">
        <v>23.33</v>
      </c>
      <c r="N55" s="34">
        <v>1.0232456140350801</v>
      </c>
      <c r="O55" s="34">
        <v>1.01735801017489</v>
      </c>
      <c r="P55" s="34">
        <v>1.0175578105583301</v>
      </c>
      <c r="Q55" s="34">
        <v>1.0178122805266601</v>
      </c>
      <c r="R55" s="33">
        <v>23.195762631987598</v>
      </c>
      <c r="S55" s="33">
        <v>23.190643496407102</v>
      </c>
      <c r="T55" s="33">
        <v>23.192924430819499</v>
      </c>
      <c r="U55" s="15">
        <v>-5.7704692156826899E-3</v>
      </c>
      <c r="V55" s="15">
        <v>-5.9911862760698197E-3</v>
      </c>
      <c r="W55" s="15">
        <v>-5.8928353075586798E-3</v>
      </c>
      <c r="X55" s="34">
        <v>1.0232456140350801</v>
      </c>
      <c r="Y55" s="34">
        <v>1.01735801017489</v>
      </c>
      <c r="Z55" s="34">
        <v>1.0175578105583301</v>
      </c>
      <c r="AA55" s="34">
        <v>1.0178122805266601</v>
      </c>
      <c r="AB55" s="33">
        <v>23.195762631987598</v>
      </c>
      <c r="AC55" s="33">
        <v>23.190643496407102</v>
      </c>
      <c r="AD55" s="33">
        <v>23.192924430819499</v>
      </c>
      <c r="AE55" s="15">
        <v>-5.7704692156826899E-3</v>
      </c>
      <c r="AF55" s="15">
        <v>-5.9911862760698197E-3</v>
      </c>
      <c r="AG55" s="15">
        <v>-5.8928353075586798E-3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22.93</v>
      </c>
      <c r="C56" s="33">
        <v>23.37</v>
      </c>
      <c r="D56" s="15">
        <v>5.6855609094178302E-3</v>
      </c>
      <c r="E56" s="15">
        <v>1.7130625174281401E-3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22.93</v>
      </c>
      <c r="M56" s="33">
        <v>23.37</v>
      </c>
      <c r="N56" s="34">
        <v>1.0191888355865599</v>
      </c>
      <c r="O56" s="34">
        <v>1.01735801017489</v>
      </c>
      <c r="P56" s="34">
        <v>1.01730627611056</v>
      </c>
      <c r="Q56" s="34">
        <v>1.01794390773645</v>
      </c>
      <c r="R56" s="33">
        <v>23.328019173310299</v>
      </c>
      <c r="S56" s="33">
        <v>23.332600596102701</v>
      </c>
      <c r="T56" s="33">
        <v>23.338435592476401</v>
      </c>
      <c r="U56" s="15">
        <v>-1.79797082369299E-3</v>
      </c>
      <c r="V56" s="15">
        <v>-1.6015986867712001E-3</v>
      </c>
      <c r="W56" s="15">
        <v>-1.3515508249432699E-3</v>
      </c>
      <c r="X56" s="34">
        <v>1.0191888355865599</v>
      </c>
      <c r="Y56" s="34">
        <v>1.01735801017489</v>
      </c>
      <c r="Z56" s="34">
        <v>1.01730627611056</v>
      </c>
      <c r="AA56" s="34">
        <v>1.01794390773645</v>
      </c>
      <c r="AB56" s="33">
        <v>23.328019173310299</v>
      </c>
      <c r="AC56" s="33">
        <v>23.332600596102701</v>
      </c>
      <c r="AD56" s="33">
        <v>23.338435592476401</v>
      </c>
      <c r="AE56" s="15">
        <v>-1.79797082369299E-3</v>
      </c>
      <c r="AF56" s="15">
        <v>-1.6015986867712001E-3</v>
      </c>
      <c r="AG56" s="15">
        <v>-1.3515508249432699E-3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22.8</v>
      </c>
      <c r="C57" s="33">
        <v>23.2</v>
      </c>
      <c r="D57" s="15">
        <v>-5.6855609094179603E-3</v>
      </c>
      <c r="E57" s="15">
        <v>-7.3008698785024199E-3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22.8</v>
      </c>
      <c r="M57" s="33">
        <v>23.2</v>
      </c>
      <c r="N57" s="34">
        <v>1.01754385964912</v>
      </c>
      <c r="O57" s="34">
        <v>1.01735801017489</v>
      </c>
      <c r="P57" s="34">
        <v>1.01752522900461</v>
      </c>
      <c r="Q57" s="34">
        <v>1.0180814557485001</v>
      </c>
      <c r="R57" s="33">
        <v>23.195762631987598</v>
      </c>
      <c r="S57" s="33">
        <v>23.194583095320802</v>
      </c>
      <c r="T57" s="33">
        <v>23.2091210963912</v>
      </c>
      <c r="U57" s="15">
        <v>-1.8266185460837401E-4</v>
      </c>
      <c r="V57" s="15">
        <v>-2.33514533047564E-4</v>
      </c>
      <c r="W57" s="15">
        <v>3.9307344303002301E-4</v>
      </c>
      <c r="X57" s="34">
        <v>1.01754385964912</v>
      </c>
      <c r="Y57" s="34">
        <v>1.01735801017489</v>
      </c>
      <c r="Z57" s="34">
        <v>1.01752522900461</v>
      </c>
      <c r="AA57" s="34">
        <v>1.0180814557485001</v>
      </c>
      <c r="AB57" s="33">
        <v>23.195762631987598</v>
      </c>
      <c r="AC57" s="33">
        <v>23.194583095320802</v>
      </c>
      <c r="AD57" s="33">
        <v>23.2091210963912</v>
      </c>
      <c r="AE57" s="15">
        <v>-1.8266185460837401E-4</v>
      </c>
      <c r="AF57" s="15">
        <v>-2.33514533047564E-4</v>
      </c>
      <c r="AG57" s="15">
        <v>3.9307344303002301E-4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23.49</v>
      </c>
      <c r="C58" s="33">
        <v>23.87</v>
      </c>
      <c r="D58" s="15">
        <v>2.9814262710426202E-2</v>
      </c>
      <c r="E58" s="15">
        <v>2.84701616784745E-2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23.49</v>
      </c>
      <c r="M58" s="33">
        <v>23.87</v>
      </c>
      <c r="N58" s="34">
        <v>1.01617709663686</v>
      </c>
      <c r="O58" s="34">
        <v>1.01735801017489</v>
      </c>
      <c r="P58" s="34">
        <v>1.0172849700473201</v>
      </c>
      <c r="Q58" s="34">
        <v>1.0178760757048899</v>
      </c>
      <c r="R58" s="33">
        <v>23.897739659008199</v>
      </c>
      <c r="S58" s="33">
        <v>23.9016676293183</v>
      </c>
      <c r="T58" s="33">
        <v>23.914733395532199</v>
      </c>
      <c r="U58" s="15">
        <v>1.1614391773432299E-3</v>
      </c>
      <c r="V58" s="15">
        <v>1.3257914378300201E-3</v>
      </c>
      <c r="W58" s="15">
        <v>1.87228871738608E-3</v>
      </c>
      <c r="X58" s="34">
        <v>1.01617709663686</v>
      </c>
      <c r="Y58" s="34">
        <v>1.01735801017489</v>
      </c>
      <c r="Z58" s="34">
        <v>1.0172849700473201</v>
      </c>
      <c r="AA58" s="34">
        <v>1.0178760757048899</v>
      </c>
      <c r="AB58" s="33">
        <v>23.897739659008199</v>
      </c>
      <c r="AC58" s="33">
        <v>23.9016676293183</v>
      </c>
      <c r="AD58" s="33">
        <v>23.914733395532199</v>
      </c>
      <c r="AE58" s="15">
        <v>1.1614391773432299E-3</v>
      </c>
      <c r="AF58" s="15">
        <v>1.3257914378300201E-3</v>
      </c>
      <c r="AG58" s="15">
        <v>1.87228871738608E-3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B59" s="33">
        <v>25.74</v>
      </c>
      <c r="C59" s="33">
        <v>25.99</v>
      </c>
      <c r="D59" s="15">
        <v>9.1471403497159098E-2</v>
      </c>
      <c r="E59" s="15">
        <v>8.508940830266E-2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25.74</v>
      </c>
      <c r="M59" s="33">
        <v>25.99</v>
      </c>
      <c r="N59" s="34">
        <v>1.0097125097124999</v>
      </c>
      <c r="O59" s="34">
        <v>1.01735801017489</v>
      </c>
      <c r="P59" s="34">
        <v>1.0160455578196099</v>
      </c>
      <c r="Q59" s="34">
        <v>1.0173434427635499</v>
      </c>
      <c r="R59" s="33">
        <v>26.1867951819018</v>
      </c>
      <c r="S59" s="33">
        <v>26.184915129018101</v>
      </c>
      <c r="T59" s="33">
        <v>26.200130188644</v>
      </c>
      <c r="U59" s="15">
        <v>7.5434343718423103E-3</v>
      </c>
      <c r="V59" s="15">
        <v>7.4716378666934502E-3</v>
      </c>
      <c r="W59" s="15">
        <v>8.0525311335235099E-3</v>
      </c>
      <c r="X59" s="34">
        <v>1.0097125097124999</v>
      </c>
      <c r="Y59" s="34">
        <v>1.01735801017489</v>
      </c>
      <c r="Z59" s="34">
        <v>1.0160455578196099</v>
      </c>
      <c r="AA59" s="34">
        <v>1.0173434427635499</v>
      </c>
      <c r="AB59" s="33">
        <v>26.1867951819018</v>
      </c>
      <c r="AC59" s="33">
        <v>26.184915129018101</v>
      </c>
      <c r="AD59" s="33">
        <v>26.200130188644</v>
      </c>
      <c r="AE59" s="15">
        <v>7.5434343718423103E-3</v>
      </c>
      <c r="AF59" s="15">
        <v>7.4716378666934502E-3</v>
      </c>
      <c r="AG59" s="15">
        <v>8.0525311335235099E-3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B60" s="33">
        <v>27.19</v>
      </c>
      <c r="C60" s="33">
        <v>27.19</v>
      </c>
      <c r="D60" s="15">
        <v>5.4803056476398902E-2</v>
      </c>
      <c r="E60" s="15">
        <v>4.5137409990980502E-2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27.19</v>
      </c>
      <c r="M60" s="33">
        <v>27.19</v>
      </c>
      <c r="N60" s="34">
        <v>1</v>
      </c>
      <c r="O60" s="34">
        <v>1.01735801017489</v>
      </c>
      <c r="P60" s="34">
        <v>1.0145129907698001</v>
      </c>
      <c r="Q60" s="34">
        <v>1.0164771918972999</v>
      </c>
      <c r="R60" s="33">
        <v>27.661964296655398</v>
      </c>
      <c r="S60" s="33">
        <v>27.626278717115301</v>
      </c>
      <c r="T60" s="33">
        <v>27.661568208741102</v>
      </c>
      <c r="U60" s="15">
        <v>1.7209080857260601E-2</v>
      </c>
      <c r="V60" s="15">
        <v>1.5918188524627699E-2</v>
      </c>
      <c r="W60" s="15">
        <v>1.71947618904E-2</v>
      </c>
      <c r="X60" s="34">
        <v>1</v>
      </c>
      <c r="Y60" s="34">
        <v>1.01735801017489</v>
      </c>
      <c r="Z60" s="34">
        <v>1.0145129907698001</v>
      </c>
      <c r="AA60" s="34">
        <v>1.0164771918972999</v>
      </c>
      <c r="AB60" s="33">
        <v>27.661964296655398</v>
      </c>
      <c r="AC60" s="33">
        <v>27.626278717115301</v>
      </c>
      <c r="AD60" s="33">
        <v>27.661568208741102</v>
      </c>
      <c r="AE60" s="15">
        <v>1.7209080857260601E-2</v>
      </c>
      <c r="AF60" s="15">
        <v>1.5918188524627699E-2</v>
      </c>
      <c r="AG60" s="15">
        <v>1.71947618904E-2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1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B61" s="33">
        <v>26.71</v>
      </c>
      <c r="C61" s="33">
        <v>26.93</v>
      </c>
      <c r="D61" s="15">
        <v>-1.78112315225098E-2</v>
      </c>
      <c r="E61" s="15">
        <v>-9.6083518208718004E-3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26.71</v>
      </c>
      <c r="M61" s="33">
        <v>26.93</v>
      </c>
      <c r="N61" s="34">
        <v>1.0082366154998099</v>
      </c>
      <c r="O61" s="34">
        <v>1.01735801017489</v>
      </c>
      <c r="P61" s="34">
        <v>1.0135168949541</v>
      </c>
      <c r="Q61" s="34">
        <v>1.0161264576809601</v>
      </c>
      <c r="R61" s="33">
        <v>27.1736324517714</v>
      </c>
      <c r="S61" s="33">
        <v>27.0976419834615</v>
      </c>
      <c r="T61" s="33">
        <v>27.150105795577002</v>
      </c>
      <c r="U61" s="15">
        <v>9.00620115562277E-3</v>
      </c>
      <c r="V61" s="15">
        <v>6.2058055960260003E-3</v>
      </c>
      <c r="W61" s="15">
        <v>8.1400362551823906E-3</v>
      </c>
      <c r="X61" s="34">
        <v>1.0082366154998099</v>
      </c>
      <c r="Y61" s="34">
        <v>1.01735801017489</v>
      </c>
      <c r="Z61" s="34">
        <v>1.0135168949541</v>
      </c>
      <c r="AA61" s="34">
        <v>1.0161264576809601</v>
      </c>
      <c r="AB61" s="33">
        <v>27.1736324517714</v>
      </c>
      <c r="AC61" s="33">
        <v>27.0976419834615</v>
      </c>
      <c r="AD61" s="33">
        <v>27.150105795577002</v>
      </c>
      <c r="AE61" s="15">
        <v>9.00620115562277E-3</v>
      </c>
      <c r="AF61" s="15">
        <v>6.2058055960260003E-3</v>
      </c>
      <c r="AG61" s="15">
        <v>8.1400362551823906E-3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0</v>
      </c>
      <c r="AW61">
        <f t="shared" si="18"/>
        <v>1</v>
      </c>
      <c r="AX61">
        <f t="shared" si="5"/>
        <v>1</v>
      </c>
      <c r="AY61">
        <f t="shared" si="19"/>
        <v>1</v>
      </c>
      <c r="AZ61" s="28">
        <f t="shared" si="12"/>
        <v>1.78112315225098E-2</v>
      </c>
      <c r="BA61" s="28">
        <f t="shared" si="13"/>
        <v>-9.6083518208718004E-3</v>
      </c>
      <c r="BB61" s="28">
        <f t="shared" si="20"/>
        <v>8.2028797016379992E-3</v>
      </c>
      <c r="BC61" s="29">
        <f t="shared" si="21"/>
        <v>8.2028797016379992E-3</v>
      </c>
      <c r="BE61" s="29">
        <f t="shared" si="22"/>
        <v>8.2028797016379992E-3</v>
      </c>
      <c r="BF61" s="29">
        <f t="shared" si="23"/>
        <v>8.2028797016379992E-3</v>
      </c>
      <c r="BH61" s="29"/>
    </row>
    <row r="62" spans="1:60" x14ac:dyDescent="0.25">
      <c r="A62" s="1">
        <v>46112</v>
      </c>
      <c r="B62" s="33">
        <v>26.44</v>
      </c>
      <c r="C62" s="33">
        <v>26.79</v>
      </c>
      <c r="D62" s="15">
        <v>-1.0160012138383899E-2</v>
      </c>
      <c r="E62" s="15">
        <v>-5.2122232669902097E-3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26.44</v>
      </c>
      <c r="M62" s="33">
        <v>26.79</v>
      </c>
      <c r="N62" s="34">
        <v>1.0132375189107401</v>
      </c>
      <c r="O62" s="34">
        <v>1.01735801017489</v>
      </c>
      <c r="P62" s="34">
        <v>1.0131559816183899</v>
      </c>
      <c r="Q62" s="34">
        <v>1.0161484473840501</v>
      </c>
      <c r="R62" s="33">
        <v>26.8989457890242</v>
      </c>
      <c r="S62" s="33">
        <v>26.7973867025865</v>
      </c>
      <c r="T62" s="33">
        <v>26.866383541084598</v>
      </c>
      <c r="U62" s="15">
        <v>4.0584122842289103E-3</v>
      </c>
      <c r="V62" s="15">
        <v>2.7568810825885599E-4</v>
      </c>
      <c r="W62" s="15">
        <v>2.8471390594009701E-3</v>
      </c>
      <c r="X62" s="34">
        <v>1.0132375189107401</v>
      </c>
      <c r="Y62" s="34">
        <v>1.01735801017489</v>
      </c>
      <c r="Z62" s="34">
        <v>1.0131559816183899</v>
      </c>
      <c r="AA62" s="34">
        <v>1.0161484473840501</v>
      </c>
      <c r="AB62" s="33">
        <v>26.8989457890242</v>
      </c>
      <c r="AC62" s="33">
        <v>26.7973867025865</v>
      </c>
      <c r="AD62" s="33">
        <v>26.866383541084598</v>
      </c>
      <c r="AE62" s="15">
        <v>4.0584122842289103E-3</v>
      </c>
      <c r="AF62" s="15">
        <v>2.7568810825885599E-4</v>
      </c>
      <c r="AG62" s="15">
        <v>2.8471390594009701E-3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1</v>
      </c>
      <c r="AX62">
        <f t="shared" si="5"/>
        <v>1</v>
      </c>
      <c r="AY62">
        <f t="shared" si="19"/>
        <v>1</v>
      </c>
      <c r="AZ62" s="28">
        <f t="shared" si="12"/>
        <v>1.0160012138383899E-2</v>
      </c>
      <c r="BA62" s="28">
        <f t="shared" si="13"/>
        <v>-5.2122232669902097E-3</v>
      </c>
      <c r="BB62" s="28">
        <f t="shared" si="20"/>
        <v>4.9477888713936897E-3</v>
      </c>
      <c r="BC62" s="29">
        <f t="shared" si="21"/>
        <v>1.3150668573031689E-2</v>
      </c>
      <c r="BE62" s="29">
        <f t="shared" si="22"/>
        <v>4.9477888713936897E-3</v>
      </c>
      <c r="BF62" s="29">
        <f t="shared" si="23"/>
        <v>1.3150668573031689E-2</v>
      </c>
      <c r="BH62" s="29"/>
    </row>
    <row r="63" spans="1:60" x14ac:dyDescent="0.25">
      <c r="A63" s="1">
        <v>46113</v>
      </c>
      <c r="B63" s="33">
        <v>26.51</v>
      </c>
      <c r="C63" s="33">
        <v>26.86</v>
      </c>
      <c r="D63" s="15">
        <v>2.6440053174486599E-3</v>
      </c>
      <c r="E63" s="15">
        <v>2.6095075385740699E-3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26.51</v>
      </c>
      <c r="M63" s="33">
        <v>26.86</v>
      </c>
      <c r="N63" s="34">
        <v>1.01320256506978</v>
      </c>
      <c r="O63" s="34">
        <v>1.01735801017489</v>
      </c>
      <c r="P63" s="34">
        <v>1.0132556627112499</v>
      </c>
      <c r="Q63" s="34">
        <v>1.01570423443419</v>
      </c>
      <c r="R63" s="33">
        <v>26.970160849736398</v>
      </c>
      <c r="S63" s="33">
        <v>26.858765072703601</v>
      </c>
      <c r="T63" s="33">
        <v>26.9380953401512</v>
      </c>
      <c r="U63" s="15">
        <v>4.0929100631034001E-3</v>
      </c>
      <c r="V63" s="15">
        <v>-4.5977501339421397E-5</v>
      </c>
      <c r="W63" s="15">
        <v>2.9032773191350102E-3</v>
      </c>
      <c r="X63" s="34">
        <v>1.01320256506978</v>
      </c>
      <c r="Y63" s="34">
        <v>1.01735801017489</v>
      </c>
      <c r="Z63" s="34">
        <v>1.0132556627112499</v>
      </c>
      <c r="AA63" s="34">
        <v>1.01570423443419</v>
      </c>
      <c r="AB63" s="33">
        <v>26.970160849736398</v>
      </c>
      <c r="AC63" s="33">
        <v>26.858765072703601</v>
      </c>
      <c r="AD63" s="33">
        <v>26.9380953401512</v>
      </c>
      <c r="AE63" s="15">
        <v>4.0929100631034001E-3</v>
      </c>
      <c r="AF63" s="15">
        <v>-4.5977501339421397E-5</v>
      </c>
      <c r="AG63" s="15">
        <v>2.9032773191350102E-3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1.3150668573031689E-2</v>
      </c>
      <c r="BE63" s="29">
        <f t="shared" si="22"/>
        <v>0</v>
      </c>
      <c r="BF63" s="29">
        <f t="shared" si="23"/>
        <v>1.3150668573031689E-2</v>
      </c>
      <c r="BH63" s="29"/>
    </row>
    <row r="64" spans="1:60" x14ac:dyDescent="0.25">
      <c r="A64" s="1">
        <v>46114</v>
      </c>
      <c r="B64" s="33">
        <v>26.75</v>
      </c>
      <c r="C64" s="33">
        <v>27.09</v>
      </c>
      <c r="D64" s="15">
        <v>9.0124530410813104E-3</v>
      </c>
      <c r="E64" s="15">
        <v>8.5264650019123093E-3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26.75</v>
      </c>
      <c r="M64" s="33">
        <v>27.09</v>
      </c>
      <c r="N64" s="34">
        <v>1.0127102803738299</v>
      </c>
      <c r="O64" s="34">
        <v>1.01735801017489</v>
      </c>
      <c r="P64" s="34">
        <v>1.01332548954743</v>
      </c>
      <c r="Q64" s="34">
        <v>1.01522948811597</v>
      </c>
      <c r="R64" s="33">
        <v>27.214326772178399</v>
      </c>
      <c r="S64" s="33">
        <v>27.1045889775259</v>
      </c>
      <c r="T64" s="33">
        <v>27.170088271114601</v>
      </c>
      <c r="U64" s="15">
        <v>4.5788981022724402E-3</v>
      </c>
      <c r="V64" s="15">
        <v>5.3839241716208499E-4</v>
      </c>
      <c r="W64" s="15">
        <v>2.9520161808279199E-3</v>
      </c>
      <c r="X64" s="34">
        <v>1.0127102803738299</v>
      </c>
      <c r="Y64" s="34">
        <v>1.01735801017489</v>
      </c>
      <c r="Z64" s="34">
        <v>1.01332548954743</v>
      </c>
      <c r="AA64" s="34">
        <v>1.01522948811597</v>
      </c>
      <c r="AB64" s="33">
        <v>27.214326772178399</v>
      </c>
      <c r="AC64" s="33">
        <v>27.1045889775259</v>
      </c>
      <c r="AD64" s="33">
        <v>27.170088271114601</v>
      </c>
      <c r="AE64" s="15">
        <v>4.5788981022724402E-3</v>
      </c>
      <c r="AF64" s="15">
        <v>5.3839241716208499E-4</v>
      </c>
      <c r="AG64" s="15">
        <v>2.9520161808279199E-3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1.3150668573031689E-2</v>
      </c>
      <c r="BE64" s="29">
        <f t="shared" si="22"/>
        <v>0</v>
      </c>
      <c r="BF64" s="29">
        <f t="shared" si="23"/>
        <v>1.3150668573031689E-2</v>
      </c>
      <c r="BH64" s="29"/>
    </row>
    <row r="65" spans="1:60" x14ac:dyDescent="0.25">
      <c r="A65" s="1">
        <v>46118</v>
      </c>
      <c r="B65" s="33">
        <v>26.73</v>
      </c>
      <c r="C65" s="33">
        <v>27.14</v>
      </c>
      <c r="D65" s="15">
        <v>-7.4794319118793001E-4</v>
      </c>
      <c r="E65" s="15">
        <v>1.8439983097193601E-3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26.73</v>
      </c>
      <c r="M65" s="33">
        <v>27.14</v>
      </c>
      <c r="N65" s="34">
        <v>1.0153385708941201</v>
      </c>
      <c r="O65" s="34">
        <v>1.01735801017489</v>
      </c>
      <c r="P65" s="34">
        <v>1.01253478523333</v>
      </c>
      <c r="Q65" s="34">
        <v>1.0150462978958299</v>
      </c>
      <c r="R65" s="33">
        <v>27.1939796119749</v>
      </c>
      <c r="S65" s="33">
        <v>27.086190335602801</v>
      </c>
      <c r="T65" s="33">
        <v>27.13708421734</v>
      </c>
      <c r="U65" s="15">
        <v>1.9869566013652499E-3</v>
      </c>
      <c r="V65" s="15">
        <v>-1.98463811402495E-3</v>
      </c>
      <c r="W65" s="15">
        <v>-1.0744065215643E-4</v>
      </c>
      <c r="X65" s="34">
        <v>1.0153385708941201</v>
      </c>
      <c r="Y65" s="34">
        <v>1.01735801017489</v>
      </c>
      <c r="Z65" s="34">
        <v>1.01253478523333</v>
      </c>
      <c r="AA65" s="34">
        <v>1.0150462978958299</v>
      </c>
      <c r="AB65" s="33">
        <v>27.1939796119749</v>
      </c>
      <c r="AC65" s="33">
        <v>27.086190335602801</v>
      </c>
      <c r="AD65" s="33">
        <v>27.13708421734</v>
      </c>
      <c r="AE65" s="15">
        <v>1.9869566013652499E-3</v>
      </c>
      <c r="AF65" s="15">
        <v>-1.98463811402495E-3</v>
      </c>
      <c r="AG65" s="15">
        <v>-1.0744065215643E-4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1.3150668573031689E-2</v>
      </c>
      <c r="BE65" s="29">
        <f t="shared" si="22"/>
        <v>0</v>
      </c>
      <c r="BF65" s="29">
        <f t="shared" si="23"/>
        <v>1.3150668573031689E-2</v>
      </c>
      <c r="BH65" s="29"/>
    </row>
    <row r="66" spans="1:60" x14ac:dyDescent="0.25">
      <c r="A66" s="1">
        <v>46119</v>
      </c>
      <c r="B66" s="33">
        <v>26.55</v>
      </c>
      <c r="C66" s="33">
        <v>26.68</v>
      </c>
      <c r="D66" s="15">
        <v>-6.7567824628797599E-3</v>
      </c>
      <c r="E66" s="15">
        <v>-1.7094433359300099E-2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26.55</v>
      </c>
      <c r="M66" s="33">
        <v>26.68</v>
      </c>
      <c r="N66" s="34">
        <v>1.00489642184557</v>
      </c>
      <c r="O66" s="34">
        <v>1.01735801017489</v>
      </c>
      <c r="P66" s="34">
        <v>1.01110554385923</v>
      </c>
      <c r="Q66" s="34">
        <v>1.0142059099848999</v>
      </c>
      <c r="R66" s="33">
        <v>27.010855170143401</v>
      </c>
      <c r="S66" s="33">
        <v>26.882798547945001</v>
      </c>
      <c r="T66" s="33">
        <v>26.949479209134498</v>
      </c>
      <c r="U66" s="15">
        <v>1.2324607497785601E-2</v>
      </c>
      <c r="V66" s="15">
        <v>7.5724018349464604E-3</v>
      </c>
      <c r="W66" s="15">
        <v>1.0049751784483699E-2</v>
      </c>
      <c r="X66" s="34">
        <v>1.00489642184557</v>
      </c>
      <c r="Y66" s="34">
        <v>1.01735801017489</v>
      </c>
      <c r="Z66" s="34">
        <v>1.01110554385923</v>
      </c>
      <c r="AA66" s="34">
        <v>1.0142059099848999</v>
      </c>
      <c r="AB66" s="33">
        <v>27.010855170143401</v>
      </c>
      <c r="AC66" s="33">
        <v>26.882798547945001</v>
      </c>
      <c r="AD66" s="33">
        <v>26.949479209134498</v>
      </c>
      <c r="AE66" s="15">
        <v>1.2324607497785601E-2</v>
      </c>
      <c r="AF66" s="15">
        <v>7.5724018349464604E-3</v>
      </c>
      <c r="AG66" s="15">
        <v>1.0049751784483699E-2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1.3150668573031689E-2</v>
      </c>
      <c r="BE66" s="29">
        <f t="shared" si="22"/>
        <v>0</v>
      </c>
      <c r="BF66" s="29">
        <f t="shared" si="23"/>
        <v>1.3150668573031689E-2</v>
      </c>
      <c r="BH66" s="29"/>
    </row>
    <row r="67" spans="1:60" x14ac:dyDescent="0.25">
      <c r="A67" s="1">
        <v>46120</v>
      </c>
      <c r="B67" s="33">
        <v>26.85</v>
      </c>
      <c r="C67" s="33">
        <v>27.28</v>
      </c>
      <c r="D67" s="15">
        <v>1.1236073266925901E-2</v>
      </c>
      <c r="E67" s="15">
        <v>2.2239611927838299E-2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26.85</v>
      </c>
      <c r="M67" s="33">
        <v>27.28</v>
      </c>
      <c r="N67" s="34">
        <v>1.0160148975791401</v>
      </c>
      <c r="O67" s="34">
        <v>1.01735801017489</v>
      </c>
      <c r="P67" s="34">
        <v>1.0109526476522299</v>
      </c>
      <c r="Q67" s="34">
        <v>1.01423893832842</v>
      </c>
      <c r="R67" s="33">
        <v>27.3160625731959</v>
      </c>
      <c r="S67" s="33">
        <v>27.148183852620502</v>
      </c>
      <c r="T67" s="33">
        <v>27.231428683094599</v>
      </c>
      <c r="U67" s="15">
        <v>1.3210688368729901E-3</v>
      </c>
      <c r="V67" s="15">
        <v>-4.8436819222433397E-3</v>
      </c>
      <c r="W67" s="15">
        <v>-1.7820604204643699E-3</v>
      </c>
      <c r="X67" s="34">
        <v>1.0160148975791401</v>
      </c>
      <c r="Y67" s="34">
        <v>1.01735801017489</v>
      </c>
      <c r="Z67" s="34">
        <v>1.0109526476522299</v>
      </c>
      <c r="AA67" s="34">
        <v>1.01423893832842</v>
      </c>
      <c r="AB67" s="33">
        <v>27.3160625731959</v>
      </c>
      <c r="AC67" s="33">
        <v>27.148183852620502</v>
      </c>
      <c r="AD67" s="33">
        <v>27.231428683094599</v>
      </c>
      <c r="AE67" s="15">
        <v>1.3210688368729901E-3</v>
      </c>
      <c r="AF67" s="15">
        <v>-4.8436819222433397E-3</v>
      </c>
      <c r="AG67" s="15">
        <v>-1.7820604204643699E-3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1.3150668573031689E-2</v>
      </c>
      <c r="BE67" s="29">
        <f t="shared" si="22"/>
        <v>0</v>
      </c>
      <c r="BF67" s="29">
        <f t="shared" si="23"/>
        <v>1.3150668573031689E-2</v>
      </c>
      <c r="BH67" s="29"/>
    </row>
    <row r="68" spans="1:60" x14ac:dyDescent="0.25">
      <c r="A68" s="1">
        <v>46121</v>
      </c>
      <c r="B68" s="33">
        <v>30.31</v>
      </c>
      <c r="C68" s="33">
        <v>30.4</v>
      </c>
      <c r="D68" s="15">
        <v>0.121211870114838</v>
      </c>
      <c r="E68" s="15">
        <v>0.10828877543691399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30.31</v>
      </c>
      <c r="M68" s="33">
        <v>30.4</v>
      </c>
      <c r="N68" s="34">
        <v>1.0029693170570699</v>
      </c>
      <c r="O68" s="34">
        <v>1.01735801017489</v>
      </c>
      <c r="P68" s="34">
        <v>1.0096318696942601</v>
      </c>
      <c r="Q68" s="34">
        <v>1.0134584198707901</v>
      </c>
      <c r="R68" s="33">
        <v>30.836121288400999</v>
      </c>
      <c r="S68" s="33">
        <v>30.641974750339301</v>
      </c>
      <c r="T68" s="33">
        <v>30.7415822207345</v>
      </c>
      <c r="U68" s="15">
        <v>1.42441635147963E-2</v>
      </c>
      <c r="V68" s="15">
        <v>7.9281844597476597E-3</v>
      </c>
      <c r="W68" s="15">
        <v>1.1173599445075E-2</v>
      </c>
      <c r="X68" s="34">
        <v>1.0029693170570699</v>
      </c>
      <c r="Y68" s="34">
        <v>1.01735801017489</v>
      </c>
      <c r="Z68" s="34">
        <v>1.0096318696942601</v>
      </c>
      <c r="AA68" s="34">
        <v>1.0134584198707901</v>
      </c>
      <c r="AB68" s="33">
        <v>30.836121288400999</v>
      </c>
      <c r="AC68" s="33">
        <v>30.641974750339301</v>
      </c>
      <c r="AD68" s="33">
        <v>30.7415822207345</v>
      </c>
      <c r="AE68" s="15">
        <v>1.42441635147963E-2</v>
      </c>
      <c r="AF68" s="15">
        <v>7.9281844597476597E-3</v>
      </c>
      <c r="AG68" s="15">
        <v>1.1173599445075E-2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1.3150668573031689E-2</v>
      </c>
      <c r="BE68" s="29">
        <f t="shared" si="22"/>
        <v>0</v>
      </c>
      <c r="BF68" s="29">
        <f t="shared" si="23"/>
        <v>1.3150668573031689E-2</v>
      </c>
      <c r="BH68" s="29"/>
    </row>
    <row r="69" spans="1:60" x14ac:dyDescent="0.25">
      <c r="A69" s="1">
        <v>46122</v>
      </c>
      <c r="B69" s="33">
        <v>29.49</v>
      </c>
      <c r="C69" s="33">
        <v>29.7</v>
      </c>
      <c r="D69" s="15">
        <v>-2.74264682425268E-2</v>
      </c>
      <c r="E69" s="15">
        <v>-2.3295562603521999E-2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29.49</v>
      </c>
      <c r="M69" s="33">
        <v>29.7</v>
      </c>
      <c r="N69" s="34">
        <v>1.0071210579857499</v>
      </c>
      <c r="O69" s="34">
        <v>1.01735801017489</v>
      </c>
      <c r="P69" s="34">
        <v>1.00937272452158</v>
      </c>
      <c r="Q69" s="34">
        <v>1.0127091411706</v>
      </c>
      <c r="R69" s="33">
        <v>30.001887720057599</v>
      </c>
      <c r="S69" s="33">
        <v>29.774043837283699</v>
      </c>
      <c r="T69" s="33">
        <v>29.886888801989599</v>
      </c>
      <c r="U69" s="15">
        <v>1.0113257875791501E-2</v>
      </c>
      <c r="V69" s="15">
        <v>2.4899559795042402E-3</v>
      </c>
      <c r="W69" s="15">
        <v>6.2728368123457197E-3</v>
      </c>
      <c r="X69" s="34">
        <v>1.0071210579857499</v>
      </c>
      <c r="Y69" s="34">
        <v>1.01735801017489</v>
      </c>
      <c r="Z69" s="34">
        <v>1.00937272452158</v>
      </c>
      <c r="AA69" s="34">
        <v>1.0127091411706</v>
      </c>
      <c r="AB69" s="33">
        <v>30.001887720057599</v>
      </c>
      <c r="AC69" s="33">
        <v>29.774043837283699</v>
      </c>
      <c r="AD69" s="33">
        <v>29.886888801989599</v>
      </c>
      <c r="AE69" s="15">
        <v>1.0113257875791501E-2</v>
      </c>
      <c r="AF69" s="15">
        <v>2.4899559795042402E-3</v>
      </c>
      <c r="AG69" s="15">
        <v>6.2728368123457197E-3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1.3150668573031689E-2</v>
      </c>
      <c r="BE69" s="29">
        <f t="shared" si="22"/>
        <v>0</v>
      </c>
      <c r="BF69" s="29">
        <f t="shared" si="23"/>
        <v>1.3150668573031689E-2</v>
      </c>
      <c r="BH69" s="29"/>
    </row>
    <row r="70" spans="1:60" x14ac:dyDescent="0.25">
      <c r="A70" s="1">
        <v>46125</v>
      </c>
      <c r="B70" s="33">
        <v>29.27</v>
      </c>
      <c r="C70" s="33">
        <v>29.59</v>
      </c>
      <c r="D70" s="15">
        <v>-7.4881221233903499E-3</v>
      </c>
      <c r="E70" s="15">
        <v>-3.7105793965355998E-3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29.27</v>
      </c>
      <c r="M70" s="33">
        <v>29.59</v>
      </c>
      <c r="N70" s="34">
        <v>1.01093269559275</v>
      </c>
      <c r="O70" s="34">
        <v>1.01735801017489</v>
      </c>
      <c r="P70" s="34">
        <v>1.01046599408086</v>
      </c>
      <c r="Q70" s="34">
        <v>1.01248949242533</v>
      </c>
      <c r="R70" s="33">
        <v>29.778068957819102</v>
      </c>
      <c r="S70" s="33">
        <v>29.5443396467467</v>
      </c>
      <c r="T70" s="33">
        <v>29.641996562063401</v>
      </c>
      <c r="U70" s="15">
        <v>6.3357151489369396E-3</v>
      </c>
      <c r="V70" s="15">
        <v>-1.544292625921E-3</v>
      </c>
      <c r="W70" s="15">
        <v>1.75569214066273E-3</v>
      </c>
      <c r="X70" s="34">
        <v>1.01093269559275</v>
      </c>
      <c r="Y70" s="34">
        <v>1.01735801017489</v>
      </c>
      <c r="Z70" s="34">
        <v>1.01046599408086</v>
      </c>
      <c r="AA70" s="34">
        <v>1.01248949242533</v>
      </c>
      <c r="AB70" s="33">
        <v>29.778068957819102</v>
      </c>
      <c r="AC70" s="33">
        <v>29.5443396467467</v>
      </c>
      <c r="AD70" s="33">
        <v>29.641996562063401</v>
      </c>
      <c r="AE70" s="15">
        <v>6.3357151489369396E-3</v>
      </c>
      <c r="AF70" s="15">
        <v>-1.544292625921E-3</v>
      </c>
      <c r="AG70" s="15">
        <v>1.75569214066273E-3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1.3150668573031689E-2</v>
      </c>
      <c r="BE70" s="29">
        <f t="shared" si="22"/>
        <v>0</v>
      </c>
      <c r="BF70" s="29">
        <f t="shared" si="23"/>
        <v>1.3150668573031689E-2</v>
      </c>
      <c r="BH70" s="29"/>
    </row>
    <row r="71" spans="1:60" x14ac:dyDescent="0.25">
      <c r="A71" s="1">
        <v>46126</v>
      </c>
      <c r="B71" s="33">
        <v>29.21</v>
      </c>
      <c r="C71" s="33">
        <v>29.67</v>
      </c>
      <c r="D71" s="15">
        <v>-2.05198430414489E-3</v>
      </c>
      <c r="E71" s="15">
        <v>2.6999678906121402E-3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29.21</v>
      </c>
      <c r="M71" s="33">
        <v>29.67</v>
      </c>
      <c r="N71" s="34">
        <v>1.0157480314960601</v>
      </c>
      <c r="O71" s="34">
        <v>1.01735801017489</v>
      </c>
      <c r="P71" s="34">
        <v>1.01121713568048</v>
      </c>
      <c r="Q71" s="34">
        <v>1.0123670153172899</v>
      </c>
      <c r="R71" s="33">
        <v>29.7170274772086</v>
      </c>
      <c r="S71" s="33">
        <v>29.515711687101899</v>
      </c>
      <c r="T71" s="33">
        <v>29.574818073744002</v>
      </c>
      <c r="U71" s="15">
        <v>1.58376295417984E-3</v>
      </c>
      <c r="V71" s="15">
        <v>-5.2137131749864203E-3</v>
      </c>
      <c r="W71" s="15">
        <v>-3.2131758098960998E-3</v>
      </c>
      <c r="X71" s="34">
        <v>1.0157480314960601</v>
      </c>
      <c r="Y71" s="34">
        <v>1.01735801017489</v>
      </c>
      <c r="Z71" s="34">
        <v>1.01121713568048</v>
      </c>
      <c r="AA71" s="34">
        <v>1.0123670153172899</v>
      </c>
      <c r="AB71" s="33">
        <v>29.7170274772086</v>
      </c>
      <c r="AC71" s="33">
        <v>29.515711687101899</v>
      </c>
      <c r="AD71" s="33">
        <v>29.574818073744002</v>
      </c>
      <c r="AE71" s="15">
        <v>1.58376295417984E-3</v>
      </c>
      <c r="AF71" s="15">
        <v>-5.2137131749864203E-3</v>
      </c>
      <c r="AG71" s="15">
        <v>-3.2131758098960998E-3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1.3150668573031689E-2</v>
      </c>
      <c r="BE71" s="29">
        <f t="shared" si="22"/>
        <v>0</v>
      </c>
      <c r="BF71" s="29">
        <f t="shared" si="23"/>
        <v>1.3150668573031689E-2</v>
      </c>
      <c r="BH71" s="29"/>
    </row>
    <row r="72" spans="1:60" x14ac:dyDescent="0.25">
      <c r="A72" s="1">
        <v>46127</v>
      </c>
      <c r="B72" s="33">
        <v>29.57</v>
      </c>
      <c r="C72" s="33">
        <v>30.08</v>
      </c>
      <c r="D72" s="15">
        <v>1.22492174647361E-2</v>
      </c>
      <c r="E72" s="15">
        <v>1.3724064778908401E-2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29.57</v>
      </c>
      <c r="M72" s="33">
        <v>30.08</v>
      </c>
      <c r="N72" s="34">
        <v>1.01724721001014</v>
      </c>
      <c r="O72" s="34">
        <v>1.01735801017489</v>
      </c>
      <c r="P72" s="34">
        <v>1.01161810479042</v>
      </c>
      <c r="Q72" s="34">
        <v>1.01238704320441</v>
      </c>
      <c r="R72" s="33">
        <v>30.083276360871601</v>
      </c>
      <c r="S72" s="33">
        <v>29.9016907020719</v>
      </c>
      <c r="T72" s="33">
        <v>29.935692642932398</v>
      </c>
      <c r="U72" s="15">
        <v>1.08915640007643E-4</v>
      </c>
      <c r="V72" s="15">
        <v>-5.9454750638208102E-3</v>
      </c>
      <c r="W72" s="15">
        <v>-4.8089967414286497E-3</v>
      </c>
      <c r="X72" s="34">
        <v>1.01724721001014</v>
      </c>
      <c r="Y72" s="34">
        <v>1.01735801017489</v>
      </c>
      <c r="Z72" s="34">
        <v>1.01161810479042</v>
      </c>
      <c r="AA72" s="34">
        <v>1.01238704320441</v>
      </c>
      <c r="AB72" s="33">
        <v>30.083276360871601</v>
      </c>
      <c r="AC72" s="33">
        <v>29.9016907020719</v>
      </c>
      <c r="AD72" s="33">
        <v>29.935692642932398</v>
      </c>
      <c r="AE72" s="15">
        <v>1.08915640007643E-4</v>
      </c>
      <c r="AF72" s="15">
        <v>-5.9454750638208102E-3</v>
      </c>
      <c r="AG72" s="15">
        <v>-4.8089967414286497E-3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1.3150668573031689E-2</v>
      </c>
      <c r="BE72" s="29">
        <f t="shared" si="22"/>
        <v>0</v>
      </c>
      <c r="BF72" s="29">
        <f t="shared" si="23"/>
        <v>1.3150668573031689E-2</v>
      </c>
      <c r="BH72" s="29"/>
    </row>
    <row r="73" spans="1:60" x14ac:dyDescent="0.25">
      <c r="A73" s="1">
        <v>46128</v>
      </c>
      <c r="B73" s="33">
        <v>29.46</v>
      </c>
      <c r="C73" s="33">
        <v>29.78</v>
      </c>
      <c r="D73" s="15">
        <v>-3.7269228299016601E-3</v>
      </c>
      <c r="E73" s="15">
        <v>-1.0023471825776E-2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29.46</v>
      </c>
      <c r="M73" s="33">
        <v>29.78</v>
      </c>
      <c r="N73" s="34">
        <v>1.0108621860149301</v>
      </c>
      <c r="O73" s="34">
        <v>1.01735801017489</v>
      </c>
      <c r="P73" s="34">
        <v>1.0113840668849401</v>
      </c>
      <c r="Q73" s="34">
        <v>1.01231986479809</v>
      </c>
      <c r="R73" s="33">
        <v>29.9713669797524</v>
      </c>
      <c r="S73" s="33">
        <v>29.802269367125898</v>
      </c>
      <c r="T73" s="33">
        <v>29.824922292801901</v>
      </c>
      <c r="U73" s="15">
        <v>6.4054646358818901E-3</v>
      </c>
      <c r="V73" s="15">
        <v>7.4751661524368005E-4</v>
      </c>
      <c r="W73" s="15">
        <v>1.5073352863972001E-3</v>
      </c>
      <c r="X73" s="34">
        <v>1.0108621860149301</v>
      </c>
      <c r="Y73" s="34">
        <v>1.01735801017489</v>
      </c>
      <c r="Z73" s="34">
        <v>1.0113840668849401</v>
      </c>
      <c r="AA73" s="34">
        <v>1.01231986479809</v>
      </c>
      <c r="AB73" s="33">
        <v>29.9713669797524</v>
      </c>
      <c r="AC73" s="33">
        <v>29.802269367125898</v>
      </c>
      <c r="AD73" s="33">
        <v>29.824922292801901</v>
      </c>
      <c r="AE73" s="15">
        <v>6.4054646358818901E-3</v>
      </c>
      <c r="AF73" s="15">
        <v>7.4751661524368005E-4</v>
      </c>
      <c r="AG73" s="15">
        <v>1.5073352863972001E-3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1.3150668573031689E-2</v>
      </c>
      <c r="BE73" s="29">
        <f t="shared" si="22"/>
        <v>0</v>
      </c>
      <c r="BF73" s="29">
        <f t="shared" si="23"/>
        <v>1.3150668573031689E-2</v>
      </c>
      <c r="BH73" s="29"/>
    </row>
    <row r="74" spans="1:60" x14ac:dyDescent="0.25">
      <c r="A74" s="1">
        <v>46129</v>
      </c>
      <c r="B74" s="33">
        <v>29.15</v>
      </c>
      <c r="C74" s="33">
        <v>29.73</v>
      </c>
      <c r="D74" s="15">
        <v>-1.0578498237982899E-2</v>
      </c>
      <c r="E74" s="15">
        <v>-1.6803902458566299E-3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29.15</v>
      </c>
      <c r="M74" s="33">
        <v>29.73</v>
      </c>
      <c r="N74" s="34">
        <v>1.0198970840480199</v>
      </c>
      <c r="O74" s="34">
        <v>1.01735801017489</v>
      </c>
      <c r="P74" s="34">
        <v>1.01210274725236</v>
      </c>
      <c r="Q74" s="34">
        <v>1.01271411839989</v>
      </c>
      <c r="R74" s="33">
        <v>29.655985996598101</v>
      </c>
      <c r="S74" s="33">
        <v>29.481845549696001</v>
      </c>
      <c r="T74" s="33">
        <v>29.509124058864401</v>
      </c>
      <c r="U74" s="15">
        <v>-2.4926433562443102E-3</v>
      </c>
      <c r="V74" s="15">
        <v>-8.3819681987226096E-3</v>
      </c>
      <c r="W74" s="15">
        <v>-7.4571313535650901E-3</v>
      </c>
      <c r="X74" s="34">
        <v>1.0198970840480199</v>
      </c>
      <c r="Y74" s="34">
        <v>1.01735801017489</v>
      </c>
      <c r="Z74" s="34">
        <v>1.01210274725236</v>
      </c>
      <c r="AA74" s="34">
        <v>1.01271411839989</v>
      </c>
      <c r="AB74" s="33">
        <v>29.655985996598101</v>
      </c>
      <c r="AC74" s="33">
        <v>29.481845549696001</v>
      </c>
      <c r="AD74" s="33">
        <v>29.509124058864401</v>
      </c>
      <c r="AE74" s="15">
        <v>-2.4926433562443102E-3</v>
      </c>
      <c r="AF74" s="15">
        <v>-8.3819681987226096E-3</v>
      </c>
      <c r="AG74" s="15">
        <v>-7.4571313535650901E-3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1.3150668573031689E-2</v>
      </c>
      <c r="BE74" s="29">
        <f t="shared" si="22"/>
        <v>0</v>
      </c>
      <c r="BF74" s="29">
        <f t="shared" si="23"/>
        <v>1.3150668573031689E-2</v>
      </c>
      <c r="BH74" s="29"/>
    </row>
    <row r="75" spans="1:60" x14ac:dyDescent="0.25">
      <c r="A75" s="1">
        <v>46132</v>
      </c>
      <c r="B75" s="33">
        <v>29.26</v>
      </c>
      <c r="C75" s="33">
        <v>29.85</v>
      </c>
      <c r="D75" s="15">
        <v>3.76648279547686E-3</v>
      </c>
      <c r="E75" s="15">
        <v>4.0282028286047801E-3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29.26</v>
      </c>
      <c r="M75" s="33">
        <v>29.85</v>
      </c>
      <c r="N75" s="34">
        <v>1.0201640464798301</v>
      </c>
      <c r="O75" s="34">
        <v>1.01735801017489</v>
      </c>
      <c r="P75" s="34">
        <v>1.01258529481093</v>
      </c>
      <c r="Q75" s="34">
        <v>1.01256004002213</v>
      </c>
      <c r="R75" s="33">
        <v>29.767895377717402</v>
      </c>
      <c r="S75" s="33">
        <v>29.614126384603999</v>
      </c>
      <c r="T75" s="33">
        <v>29.632015104380901</v>
      </c>
      <c r="U75" s="15">
        <v>-2.75436338937218E-3</v>
      </c>
      <c r="V75" s="15">
        <v>-7.9333496295747007E-3</v>
      </c>
      <c r="W75" s="15">
        <v>-7.3294716428926798E-3</v>
      </c>
      <c r="X75" s="34">
        <v>1.0201640464798301</v>
      </c>
      <c r="Y75" s="34">
        <v>1.01735801017489</v>
      </c>
      <c r="Z75" s="34">
        <v>1.01258529481093</v>
      </c>
      <c r="AA75" s="34">
        <v>1.01256004002213</v>
      </c>
      <c r="AB75" s="33">
        <v>29.767895377717402</v>
      </c>
      <c r="AC75" s="33">
        <v>29.614126384603999</v>
      </c>
      <c r="AD75" s="33">
        <v>29.632015104380901</v>
      </c>
      <c r="AE75" s="15">
        <v>-2.75436338937218E-3</v>
      </c>
      <c r="AF75" s="15">
        <v>-7.9333496295747007E-3</v>
      </c>
      <c r="AG75" s="15">
        <v>-7.3294716428926798E-3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1.3150668573031689E-2</v>
      </c>
      <c r="BE75" s="29">
        <f t="shared" si="22"/>
        <v>0</v>
      </c>
      <c r="BF75" s="29">
        <f t="shared" si="23"/>
        <v>1.3150668573031689E-2</v>
      </c>
      <c r="BH75" s="29"/>
    </row>
    <row r="76" spans="1:60" x14ac:dyDescent="0.25">
      <c r="A76" s="1">
        <v>46133</v>
      </c>
      <c r="B76" s="33">
        <v>28.75</v>
      </c>
      <c r="C76" s="33">
        <v>29.37</v>
      </c>
      <c r="D76" s="15">
        <v>-1.7583628348618801E-2</v>
      </c>
      <c r="E76" s="15">
        <v>-1.62110946280823E-2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28.75</v>
      </c>
      <c r="M76" s="33">
        <v>29.37</v>
      </c>
      <c r="N76" s="34">
        <v>1.0215652173912999</v>
      </c>
      <c r="O76" s="34">
        <v>1.01735801017489</v>
      </c>
      <c r="P76" s="34">
        <v>1.0142521743655</v>
      </c>
      <c r="Q76" s="34">
        <v>1.0126788591123701</v>
      </c>
      <c r="R76" s="33">
        <v>29.249042792528201</v>
      </c>
      <c r="S76" s="33">
        <v>29.111827225814199</v>
      </c>
      <c r="T76" s="33">
        <v>29.111101150636301</v>
      </c>
      <c r="U76" s="15">
        <v>-4.1268971099085901E-3</v>
      </c>
      <c r="V76" s="15">
        <v>-8.8292197281778003E-3</v>
      </c>
      <c r="W76" s="15">
        <v>-8.8541609394226697E-3</v>
      </c>
      <c r="X76" s="34">
        <v>1.0215652173912999</v>
      </c>
      <c r="Y76" s="34">
        <v>1.01735801017489</v>
      </c>
      <c r="Z76" s="34">
        <v>1.0142521743655</v>
      </c>
      <c r="AA76" s="34">
        <v>1.0126788591123701</v>
      </c>
      <c r="AB76" s="33">
        <v>29.249042792528201</v>
      </c>
      <c r="AC76" s="33">
        <v>29.111827225814199</v>
      </c>
      <c r="AD76" s="33">
        <v>29.111101150636301</v>
      </c>
      <c r="AE76" s="15">
        <v>-4.1268971099085901E-3</v>
      </c>
      <c r="AF76" s="15">
        <v>-8.8292197281778003E-3</v>
      </c>
      <c r="AG76" s="15">
        <v>-8.8541609394226697E-3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1.3150668573031689E-2</v>
      </c>
      <c r="BE76" s="29">
        <f t="shared" si="22"/>
        <v>0</v>
      </c>
      <c r="BF76" s="29">
        <f t="shared" si="23"/>
        <v>1.3150668573031689E-2</v>
      </c>
      <c r="BH76" s="29"/>
    </row>
    <row r="77" spans="1:60" x14ac:dyDescent="0.25">
      <c r="A77" s="1">
        <v>46134</v>
      </c>
      <c r="B77" s="33">
        <v>28.53</v>
      </c>
      <c r="C77" s="33">
        <v>28.98</v>
      </c>
      <c r="D77" s="15">
        <v>-7.6816020179507399E-3</v>
      </c>
      <c r="E77" s="15">
        <v>-1.3367808317992299E-2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28.53</v>
      </c>
      <c r="M77" s="33">
        <v>28.98</v>
      </c>
      <c r="N77" s="34">
        <v>1.01577287066246</v>
      </c>
      <c r="O77" s="34">
        <v>1.01735801017489</v>
      </c>
      <c r="P77" s="34">
        <v>1.0142279716738301</v>
      </c>
      <c r="Q77" s="34">
        <v>1.01259030966303</v>
      </c>
      <c r="R77" s="33">
        <v>29.025224030289699</v>
      </c>
      <c r="S77" s="33">
        <v>28.936614534647799</v>
      </c>
      <c r="T77" s="33">
        <v>28.891727850475899</v>
      </c>
      <c r="U77" s="15">
        <v>1.55930919013311E-3</v>
      </c>
      <c r="V77" s="15">
        <v>-1.4982047488811699E-3</v>
      </c>
      <c r="W77" s="15">
        <v>-3.0506162943355398E-3</v>
      </c>
      <c r="X77" s="34">
        <v>1.01577287066246</v>
      </c>
      <c r="Y77" s="34">
        <v>1.01735801017489</v>
      </c>
      <c r="Z77" s="34">
        <v>1.0142279716738301</v>
      </c>
      <c r="AA77" s="34">
        <v>1.01259030966303</v>
      </c>
      <c r="AB77" s="33">
        <v>29.025224030289699</v>
      </c>
      <c r="AC77" s="33">
        <v>28.936614534647799</v>
      </c>
      <c r="AD77" s="33">
        <v>28.891727850475899</v>
      </c>
      <c r="AE77" s="15">
        <v>1.55930919013311E-3</v>
      </c>
      <c r="AF77" s="15">
        <v>-1.4982047488811699E-3</v>
      </c>
      <c r="AG77" s="15">
        <v>-3.0506162943355398E-3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1.3150668573031689E-2</v>
      </c>
      <c r="BE77" s="29">
        <f t="shared" si="22"/>
        <v>0</v>
      </c>
      <c r="BF77" s="29">
        <f t="shared" si="23"/>
        <v>1.3150668573031689E-2</v>
      </c>
      <c r="BH77" s="29"/>
    </row>
    <row r="78" spans="1:60" x14ac:dyDescent="0.25">
      <c r="A78" s="1">
        <v>46135</v>
      </c>
      <c r="B78" s="33">
        <v>28.4</v>
      </c>
      <c r="C78" s="33">
        <v>28.93</v>
      </c>
      <c r="D78" s="15">
        <v>-4.5670200582483902E-3</v>
      </c>
      <c r="E78" s="15">
        <v>-1.7268179044926601E-3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28.4</v>
      </c>
      <c r="M78" s="33">
        <v>28.93</v>
      </c>
      <c r="N78" s="34">
        <v>1.01866197183098</v>
      </c>
      <c r="O78" s="34">
        <v>1.01735801017489</v>
      </c>
      <c r="P78" s="34">
        <v>1.0157972371512201</v>
      </c>
      <c r="Q78" s="34">
        <v>1.01271455342274</v>
      </c>
      <c r="R78" s="33">
        <v>28.892967488966999</v>
      </c>
      <c r="S78" s="33">
        <v>28.804074395536901</v>
      </c>
      <c r="T78" s="33">
        <v>28.757564794430198</v>
      </c>
      <c r="U78" s="15">
        <v>-1.2808929636226999E-3</v>
      </c>
      <c r="V78" s="15">
        <v>-4.36226978511729E-3</v>
      </c>
      <c r="W78" s="15">
        <v>-5.97826307101346E-3</v>
      </c>
      <c r="X78" s="34">
        <v>1.01866197183098</v>
      </c>
      <c r="Y78" s="34">
        <v>1.01735801017489</v>
      </c>
      <c r="Z78" s="34">
        <v>1.0157972371512201</v>
      </c>
      <c r="AA78" s="34">
        <v>1.01271455342274</v>
      </c>
      <c r="AB78" s="33">
        <v>28.892967488966999</v>
      </c>
      <c r="AC78" s="33">
        <v>28.804074395536901</v>
      </c>
      <c r="AD78" s="33">
        <v>28.757564794430198</v>
      </c>
      <c r="AE78" s="15">
        <v>-1.2808929636226999E-3</v>
      </c>
      <c r="AF78" s="15">
        <v>-4.36226978511729E-3</v>
      </c>
      <c r="AG78" s="15">
        <v>-5.97826307101346E-3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1.3150668573031689E-2</v>
      </c>
      <c r="BE78" s="29">
        <f t="shared" si="22"/>
        <v>0</v>
      </c>
      <c r="BF78" s="29">
        <f t="shared" si="23"/>
        <v>1.3150668573031689E-2</v>
      </c>
      <c r="BH78" s="29"/>
    </row>
    <row r="79" spans="1:60" x14ac:dyDescent="0.25">
      <c r="A79" s="1">
        <v>46136</v>
      </c>
      <c r="B79" s="33">
        <v>28.31</v>
      </c>
      <c r="C79" s="33">
        <v>28.9</v>
      </c>
      <c r="D79" s="15">
        <v>-3.17404604335206E-3</v>
      </c>
      <c r="E79" s="15">
        <v>-1.0375238696572701E-3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28.31</v>
      </c>
      <c r="M79" s="33">
        <v>28.9</v>
      </c>
      <c r="N79" s="34">
        <v>1.0208406923348601</v>
      </c>
      <c r="O79" s="34">
        <v>1.01735801017489</v>
      </c>
      <c r="P79" s="34">
        <v>1.0171692005861299</v>
      </c>
      <c r="Q79" s="34">
        <v>1.0132709625538601</v>
      </c>
      <c r="R79" s="33">
        <v>28.801405268051202</v>
      </c>
      <c r="S79" s="33">
        <v>28.7572197837512</v>
      </c>
      <c r="T79" s="33">
        <v>28.669949007397801</v>
      </c>
      <c r="U79" s="15">
        <v>-3.4174151373175502E-3</v>
      </c>
      <c r="V79" s="15">
        <v>-4.9527364880212598E-3</v>
      </c>
      <c r="W79" s="15">
        <v>-7.9920938295771401E-3</v>
      </c>
      <c r="X79" s="34">
        <v>1.0208406923348601</v>
      </c>
      <c r="Y79" s="34">
        <v>1.01735801017489</v>
      </c>
      <c r="Z79" s="34">
        <v>1.0171692005861299</v>
      </c>
      <c r="AA79" s="34">
        <v>1.0132709625538601</v>
      </c>
      <c r="AB79" s="33">
        <v>28.801405268051202</v>
      </c>
      <c r="AC79" s="33">
        <v>28.7572197837512</v>
      </c>
      <c r="AD79" s="33">
        <v>28.669949007397801</v>
      </c>
      <c r="AE79" s="15">
        <v>-3.4174151373175502E-3</v>
      </c>
      <c r="AF79" s="15">
        <v>-4.9527364880212598E-3</v>
      </c>
      <c r="AG79" s="15">
        <v>-7.9920938295771401E-3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1.3150668573031689E-2</v>
      </c>
      <c r="BE79" s="29">
        <f t="shared" si="22"/>
        <v>0</v>
      </c>
      <c r="BF79" s="29">
        <f t="shared" si="23"/>
        <v>1.3150668573031689E-2</v>
      </c>
      <c r="BH79" s="29"/>
    </row>
    <row r="80" spans="1:60" x14ac:dyDescent="0.25">
      <c r="A80" s="1">
        <v>46139</v>
      </c>
      <c r="B80" s="33">
        <v>27.59</v>
      </c>
      <c r="C80" s="33">
        <v>28.12</v>
      </c>
      <c r="D80" s="15">
        <v>-2.5761710894613501E-2</v>
      </c>
      <c r="E80" s="15">
        <v>-2.7360528175922199E-2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27.59</v>
      </c>
      <c r="M80" s="33">
        <v>28.12</v>
      </c>
      <c r="N80" s="34">
        <v>1.01920985864443</v>
      </c>
      <c r="O80" s="34">
        <v>1.01735801017489</v>
      </c>
      <c r="P80" s="34">
        <v>1.0179969168912999</v>
      </c>
      <c r="Q80" s="34">
        <v>1.0142314554860801</v>
      </c>
      <c r="R80" s="33">
        <v>28.068907500725299</v>
      </c>
      <c r="S80" s="33">
        <v>28.063698244171501</v>
      </c>
      <c r="T80" s="33">
        <v>27.956145856860999</v>
      </c>
      <c r="U80" s="15">
        <v>-1.81859785600882E-3</v>
      </c>
      <c r="V80" s="15">
        <v>-2.00420322741979E-3</v>
      </c>
      <c r="W80" s="15">
        <v>-5.8440039688556497E-3</v>
      </c>
      <c r="X80" s="34">
        <v>1.01920985864443</v>
      </c>
      <c r="Y80" s="34">
        <v>1.01735801017489</v>
      </c>
      <c r="Z80" s="34">
        <v>1.0179969168912999</v>
      </c>
      <c r="AA80" s="34">
        <v>1.0142314554860801</v>
      </c>
      <c r="AB80" s="33">
        <v>28.068907500725299</v>
      </c>
      <c r="AC80" s="33">
        <v>28.063698244171501</v>
      </c>
      <c r="AD80" s="33">
        <v>27.956145856860999</v>
      </c>
      <c r="AE80" s="15">
        <v>-1.81859785600882E-3</v>
      </c>
      <c r="AF80" s="15">
        <v>-2.00420322741979E-3</v>
      </c>
      <c r="AG80" s="15">
        <v>-5.8440039688556497E-3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1.3150668573031689E-2</v>
      </c>
      <c r="BE80" s="29">
        <f t="shared" si="22"/>
        <v>0</v>
      </c>
      <c r="BF80" s="29">
        <f t="shared" si="23"/>
        <v>1.3150668573031689E-2</v>
      </c>
      <c r="BH80" s="29"/>
    </row>
    <row r="81" spans="1:60" x14ac:dyDescent="0.25">
      <c r="A81" s="1">
        <v>46140</v>
      </c>
      <c r="B81" s="33">
        <v>27.73</v>
      </c>
      <c r="C81" s="33">
        <v>28.4</v>
      </c>
      <c r="D81" s="15">
        <v>5.0614713984920004E-3</v>
      </c>
      <c r="E81" s="15">
        <v>9.9080782246960698E-3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27.73</v>
      </c>
      <c r="M81" s="33">
        <v>28.4</v>
      </c>
      <c r="N81" s="34">
        <v>1.02416155787955</v>
      </c>
      <c r="O81" s="34">
        <v>1.01735801017489</v>
      </c>
      <c r="P81" s="34">
        <v>1.0188382695296501</v>
      </c>
      <c r="Q81" s="34">
        <v>1.01502770260507</v>
      </c>
      <c r="R81" s="33">
        <v>28.211337622149799</v>
      </c>
      <c r="S81" s="33">
        <v>28.229054505395901</v>
      </c>
      <c r="T81" s="33">
        <v>28.124638260628998</v>
      </c>
      <c r="U81" s="15">
        <v>-6.6652046822129598E-3</v>
      </c>
      <c r="V81" s="15">
        <v>-6.0373960097311E-3</v>
      </c>
      <c r="W81" s="15">
        <v>-9.7431465695895E-3</v>
      </c>
      <c r="X81" s="34">
        <v>1.02416155787955</v>
      </c>
      <c r="Y81" s="34">
        <v>1.01735801017489</v>
      </c>
      <c r="Z81" s="34">
        <v>1.0188382695296501</v>
      </c>
      <c r="AA81" s="34">
        <v>1.01502770260507</v>
      </c>
      <c r="AB81" s="33">
        <v>28.211337622149799</v>
      </c>
      <c r="AC81" s="33">
        <v>28.229054505395901</v>
      </c>
      <c r="AD81" s="33">
        <v>28.124638260628998</v>
      </c>
      <c r="AE81" s="15">
        <v>-6.6652046822129598E-3</v>
      </c>
      <c r="AF81" s="15">
        <v>-6.0373960097311E-3</v>
      </c>
      <c r="AG81" s="15">
        <v>-9.7431465695895E-3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1.3150668573031689E-2</v>
      </c>
      <c r="BE81" s="29">
        <f t="shared" si="22"/>
        <v>0</v>
      </c>
      <c r="BF81" s="29">
        <f t="shared" si="23"/>
        <v>1.3150668573031689E-2</v>
      </c>
      <c r="BH81" s="29"/>
    </row>
    <row r="82" spans="1:60" x14ac:dyDescent="0.25">
      <c r="A82" s="1">
        <v>46141</v>
      </c>
      <c r="B82" s="33">
        <v>24.87</v>
      </c>
      <c r="C82" s="33">
        <v>25.4</v>
      </c>
      <c r="D82" s="15">
        <v>-0.108852601812373</v>
      </c>
      <c r="E82" s="15">
        <v>-0.11163997114266901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24.87</v>
      </c>
      <c r="M82" s="33">
        <v>25.4</v>
      </c>
      <c r="N82" s="34">
        <v>1.02131081624447</v>
      </c>
      <c r="O82" s="34">
        <v>1.01735801017489</v>
      </c>
      <c r="P82" s="34">
        <v>1.01924463015308</v>
      </c>
      <c r="Q82" s="34">
        <v>1.0154313674717499</v>
      </c>
      <c r="R82" s="33">
        <v>25.301693713049598</v>
      </c>
      <c r="S82" s="33">
        <v>25.3385077632025</v>
      </c>
      <c r="T82" s="33">
        <v>25.243738963788001</v>
      </c>
      <c r="U82" s="15">
        <v>-3.8778353519168902E-3</v>
      </c>
      <c r="V82" s="15">
        <v>-2.42388945261347E-3</v>
      </c>
      <c r="W82" s="15">
        <v>-6.1710108809139401E-3</v>
      </c>
      <c r="X82" s="34">
        <v>1.02131081624447</v>
      </c>
      <c r="Y82" s="34">
        <v>1.01735801017489</v>
      </c>
      <c r="Z82" s="34">
        <v>1.01924463015308</v>
      </c>
      <c r="AA82" s="34">
        <v>1.0154313674717499</v>
      </c>
      <c r="AB82" s="33">
        <v>25.301693713049598</v>
      </c>
      <c r="AC82" s="33">
        <v>25.3385077632025</v>
      </c>
      <c r="AD82" s="33">
        <v>25.243738963788001</v>
      </c>
      <c r="AE82" s="15">
        <v>-3.8778353519168902E-3</v>
      </c>
      <c r="AF82" s="15">
        <v>-2.42388945261347E-3</v>
      </c>
      <c r="AG82" s="15">
        <v>-6.1710108809139401E-3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1.3150668573031689E-2</v>
      </c>
      <c r="BE82" s="29">
        <f t="shared" si="22"/>
        <v>0</v>
      </c>
      <c r="BF82" s="29">
        <f t="shared" si="23"/>
        <v>1.3150668573031689E-2</v>
      </c>
      <c r="BH82" s="29"/>
    </row>
    <row r="83" spans="1:60" x14ac:dyDescent="0.25">
      <c r="A83" s="1">
        <v>46142</v>
      </c>
      <c r="B83" s="33">
        <v>25.77</v>
      </c>
      <c r="C83" s="33">
        <v>26.28</v>
      </c>
      <c r="D83" s="15">
        <v>3.55487668489603E-2</v>
      </c>
      <c r="E83" s="15">
        <v>3.4059019591918802E-2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25.77</v>
      </c>
      <c r="M83" s="33">
        <v>26.28</v>
      </c>
      <c r="N83" s="34">
        <v>1.0197904540162901</v>
      </c>
      <c r="O83" s="34">
        <v>1.01735801017489</v>
      </c>
      <c r="P83" s="34">
        <v>1.02013745695322</v>
      </c>
      <c r="Q83" s="34">
        <v>1.01576076191908</v>
      </c>
      <c r="R83" s="33">
        <v>26.217315922207</v>
      </c>
      <c r="S83" s="33">
        <v>26.265934119044999</v>
      </c>
      <c r="T83" s="33">
        <v>26.1676663397471</v>
      </c>
      <c r="U83" s="15">
        <v>-2.3880880948754101E-3</v>
      </c>
      <c r="V83" s="15">
        <v>-5.3537467843073805E-4</v>
      </c>
      <c r="W83" s="15">
        <v>-4.2836541591426804E-3</v>
      </c>
      <c r="X83" s="34">
        <v>1.0197904540162901</v>
      </c>
      <c r="Y83" s="34">
        <v>1.01735801017489</v>
      </c>
      <c r="Z83" s="34">
        <v>1.02013745695322</v>
      </c>
      <c r="AA83" s="34">
        <v>1.01576076191908</v>
      </c>
      <c r="AB83" s="33">
        <v>26.217315922207</v>
      </c>
      <c r="AC83" s="33">
        <v>26.265934119044999</v>
      </c>
      <c r="AD83" s="33">
        <v>26.1676663397471</v>
      </c>
      <c r="AE83" s="15">
        <v>-2.3880880948754101E-3</v>
      </c>
      <c r="AF83" s="15">
        <v>-5.3537467843073805E-4</v>
      </c>
      <c r="AG83" s="15">
        <v>-4.2836541591426804E-3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1.3150668573031689E-2</v>
      </c>
      <c r="BE83" s="29">
        <f t="shared" si="22"/>
        <v>0</v>
      </c>
      <c r="BF83" s="29">
        <f t="shared" si="23"/>
        <v>1.3150668573031689E-2</v>
      </c>
      <c r="BH83" s="29"/>
    </row>
    <row r="84" spans="1:60" x14ac:dyDescent="0.25">
      <c r="A84" s="1">
        <v>46143</v>
      </c>
      <c r="B84" s="33">
        <v>25.55</v>
      </c>
      <c r="C84" s="33">
        <v>26.18</v>
      </c>
      <c r="D84" s="15">
        <v>-8.5737080145601996E-3</v>
      </c>
      <c r="E84" s="15">
        <v>-3.8124331346559102E-3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25.55</v>
      </c>
      <c r="M84" s="33">
        <v>26.18</v>
      </c>
      <c r="N84" s="34">
        <v>1.02465753424657</v>
      </c>
      <c r="O84" s="34">
        <v>1.01735801017489</v>
      </c>
      <c r="P84" s="34">
        <v>1.02061350197307</v>
      </c>
      <c r="Q84" s="34">
        <v>1.01635812461271</v>
      </c>
      <c r="R84" s="33">
        <v>25.993497159968499</v>
      </c>
      <c r="S84" s="33">
        <v>26.064512025154801</v>
      </c>
      <c r="T84" s="33">
        <v>25.952687467032501</v>
      </c>
      <c r="U84" s="15">
        <v>-7.1493629747797502E-3</v>
      </c>
      <c r="V84" s="15">
        <v>-4.42106389655851E-3</v>
      </c>
      <c r="W84" s="15">
        <v>-8.7205929553775992E-3</v>
      </c>
      <c r="X84" s="34">
        <v>1.02465753424657</v>
      </c>
      <c r="Y84" s="34">
        <v>1.01735801017489</v>
      </c>
      <c r="Z84" s="34">
        <v>1.02061350197307</v>
      </c>
      <c r="AA84" s="34">
        <v>1.01635812461271</v>
      </c>
      <c r="AB84" s="33">
        <v>25.993497159968499</v>
      </c>
      <c r="AC84" s="33">
        <v>26.064512025154801</v>
      </c>
      <c r="AD84" s="33">
        <v>25.952687467032501</v>
      </c>
      <c r="AE84" s="15">
        <v>-7.1493629747797502E-3</v>
      </c>
      <c r="AF84" s="15">
        <v>-4.42106389655851E-3</v>
      </c>
      <c r="AG84" s="15">
        <v>-8.7205929553775992E-3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1.3150668573031689E-2</v>
      </c>
      <c r="BE84" s="29">
        <f t="shared" si="22"/>
        <v>0</v>
      </c>
      <c r="BF84" s="29">
        <f t="shared" si="23"/>
        <v>1.3150668573031689E-2</v>
      </c>
      <c r="BH84" s="29"/>
    </row>
    <row r="85" spans="1:60" x14ac:dyDescent="0.25">
      <c r="A85" s="1">
        <v>46146</v>
      </c>
      <c r="B85" s="33">
        <v>24.66</v>
      </c>
      <c r="C85" s="33">
        <v>25.16</v>
      </c>
      <c r="D85" s="15">
        <v>-3.54548189135152E-2</v>
      </c>
      <c r="E85" s="15">
        <v>-3.9740328649514101E-2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24.66</v>
      </c>
      <c r="M85" s="33">
        <v>25.16</v>
      </c>
      <c r="N85" s="34">
        <v>1.02027575020275</v>
      </c>
      <c r="O85" s="34">
        <v>1.01735801017489</v>
      </c>
      <c r="P85" s="34">
        <v>1.02062467234537</v>
      </c>
      <c r="Q85" s="34">
        <v>1.0166049835781501</v>
      </c>
      <c r="R85" s="33">
        <v>25.0880485309129</v>
      </c>
      <c r="S85" s="33">
        <v>25.168328958656101</v>
      </c>
      <c r="T85" s="33">
        <v>25.063391352949601</v>
      </c>
      <c r="U85" s="15">
        <v>-2.8638532387807699E-3</v>
      </c>
      <c r="V85" s="15">
        <v>3.30984910665152E-4</v>
      </c>
      <c r="W85" s="15">
        <v>-3.8471621929045499E-3</v>
      </c>
      <c r="X85" s="34">
        <v>1.02027575020275</v>
      </c>
      <c r="Y85" s="34">
        <v>1.01735801017489</v>
      </c>
      <c r="Z85" s="34">
        <v>1.02062467234537</v>
      </c>
      <c r="AA85" s="34">
        <v>1.0166049835781501</v>
      </c>
      <c r="AB85" s="33">
        <v>25.0880485309129</v>
      </c>
      <c r="AC85" s="33">
        <v>25.168328958656101</v>
      </c>
      <c r="AD85" s="33">
        <v>25.063391352949601</v>
      </c>
      <c r="AE85" s="15">
        <v>-2.8638532387807699E-3</v>
      </c>
      <c r="AF85" s="15">
        <v>3.30984910665152E-4</v>
      </c>
      <c r="AG85" s="15">
        <v>-3.8471621929045499E-3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1.3150668573031689E-2</v>
      </c>
      <c r="BE85" s="29">
        <f t="shared" si="22"/>
        <v>0</v>
      </c>
      <c r="BF85" s="29">
        <f t="shared" si="23"/>
        <v>1.3150668573031689E-2</v>
      </c>
      <c r="BH85" s="29"/>
    </row>
    <row r="86" spans="1:60" x14ac:dyDescent="0.25">
      <c r="A86" s="1">
        <v>46147</v>
      </c>
      <c r="B86" s="33">
        <v>26.26</v>
      </c>
      <c r="C86" s="33">
        <v>26.85</v>
      </c>
      <c r="D86" s="15">
        <v>6.2864371138451794E-2</v>
      </c>
      <c r="E86" s="15">
        <v>6.5010389122633794E-2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26.26</v>
      </c>
      <c r="M86" s="33">
        <v>26.85</v>
      </c>
      <c r="N86" s="34">
        <v>1.0224676313785199</v>
      </c>
      <c r="O86" s="34">
        <v>1.01735801017489</v>
      </c>
      <c r="P86" s="34">
        <v>1.0207149137440901</v>
      </c>
      <c r="Q86" s="34">
        <v>1.01748354405479</v>
      </c>
      <c r="R86" s="33">
        <v>26.715821347192701</v>
      </c>
      <c r="S86" s="33">
        <v>26.801603895789398</v>
      </c>
      <c r="T86" s="33">
        <v>26.696046868762199</v>
      </c>
      <c r="U86" s="15">
        <v>-5.0098712229628001E-3</v>
      </c>
      <c r="V86" s="15">
        <v>-1.8040883709996699E-3</v>
      </c>
      <c r="W86" s="15">
        <v>-5.7503238599699502E-3</v>
      </c>
      <c r="X86" s="34">
        <v>1.0224676313785199</v>
      </c>
      <c r="Y86" s="34">
        <v>1.01735801017489</v>
      </c>
      <c r="Z86" s="34">
        <v>1.0207149137440901</v>
      </c>
      <c r="AA86" s="34">
        <v>1.01748354405479</v>
      </c>
      <c r="AB86" s="33">
        <v>26.715821347192701</v>
      </c>
      <c r="AC86" s="33">
        <v>26.801603895789398</v>
      </c>
      <c r="AD86" s="33">
        <v>26.696046868762199</v>
      </c>
      <c r="AE86" s="15">
        <v>-5.0098712229628001E-3</v>
      </c>
      <c r="AF86" s="15">
        <v>-1.8040883709996699E-3</v>
      </c>
      <c r="AG86" s="15">
        <v>-5.7503238599699502E-3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1.3150668573031689E-2</v>
      </c>
      <c r="BE86" s="29">
        <f t="shared" si="22"/>
        <v>0</v>
      </c>
      <c r="BF86" s="29">
        <f t="shared" si="23"/>
        <v>1.3150668573031689E-2</v>
      </c>
      <c r="BH86" s="29"/>
    </row>
    <row r="87" spans="1:60" x14ac:dyDescent="0.25">
      <c r="A87" s="1">
        <v>46148</v>
      </c>
      <c r="B87" s="33">
        <v>26.98</v>
      </c>
      <c r="C87" s="33">
        <v>27.55</v>
      </c>
      <c r="D87" s="15">
        <v>2.70489819049596E-2</v>
      </c>
      <c r="E87" s="15">
        <v>2.5736714644049599E-2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26.98</v>
      </c>
      <c r="M87" s="33">
        <v>27.55</v>
      </c>
      <c r="N87" s="34">
        <v>1.02112676056338</v>
      </c>
      <c r="O87" s="34">
        <v>1.01735801017489</v>
      </c>
      <c r="P87" s="34">
        <v>1.0212503027341799</v>
      </c>
      <c r="Q87" s="34">
        <v>1.0177391372040101</v>
      </c>
      <c r="R87" s="33">
        <v>27.448319114518601</v>
      </c>
      <c r="S87" s="33">
        <v>27.538888372815599</v>
      </c>
      <c r="T87" s="33">
        <v>27.451706018598401</v>
      </c>
      <c r="U87" s="15">
        <v>-3.6976039620529601E-3</v>
      </c>
      <c r="V87" s="15">
        <v>-4.0340720836027797E-4</v>
      </c>
      <c r="W87" s="15">
        <v>-3.5742195346008402E-3</v>
      </c>
      <c r="X87" s="34">
        <v>1.02112676056338</v>
      </c>
      <c r="Y87" s="34">
        <v>1.01735801017489</v>
      </c>
      <c r="Z87" s="34">
        <v>1.0212503027341799</v>
      </c>
      <c r="AA87" s="34">
        <v>1.0177391372040101</v>
      </c>
      <c r="AB87" s="33">
        <v>27.448319114518601</v>
      </c>
      <c r="AC87" s="33">
        <v>27.538888372815599</v>
      </c>
      <c r="AD87" s="33">
        <v>27.451706018598401</v>
      </c>
      <c r="AE87" s="15">
        <v>-3.6976039620529601E-3</v>
      </c>
      <c r="AF87" s="15">
        <v>-4.0340720836027797E-4</v>
      </c>
      <c r="AG87" s="15">
        <v>-3.5742195346008402E-3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1.3150668573031689E-2</v>
      </c>
      <c r="BE87" s="29">
        <f t="shared" ref="BE87:BE150" si="42">AQ87+BB87</f>
        <v>0</v>
      </c>
      <c r="BF87" s="29">
        <f t="shared" ref="BF87:BF150" si="43">BF86+BE87</f>
        <v>1.3150668573031689E-2</v>
      </c>
      <c r="BH87" s="29"/>
    </row>
    <row r="88" spans="1:60" x14ac:dyDescent="0.25">
      <c r="A88" s="1">
        <v>46149</v>
      </c>
      <c r="B88" s="33">
        <v>27.38</v>
      </c>
      <c r="C88" s="33">
        <v>28.2</v>
      </c>
      <c r="D88" s="15">
        <v>1.47169690806929E-2</v>
      </c>
      <c r="E88" s="15">
        <v>2.3319442345144398E-2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27.38</v>
      </c>
      <c r="M88" s="33">
        <v>28.2</v>
      </c>
      <c r="N88" s="34">
        <v>1.0299488677866999</v>
      </c>
      <c r="O88" s="34">
        <v>1.01735801017489</v>
      </c>
      <c r="P88" s="34">
        <v>1.0223789923297499</v>
      </c>
      <c r="Q88" s="34">
        <v>1.01908811474049</v>
      </c>
      <c r="R88" s="33">
        <v>27.855262318588601</v>
      </c>
      <c r="S88" s="33">
        <v>27.9618332888619</v>
      </c>
      <c r="T88" s="33">
        <v>27.8656975766458</v>
      </c>
      <c r="U88" s="15">
        <v>-1.23000772265045E-2</v>
      </c>
      <c r="V88" s="15">
        <v>-8.4814944567914996E-3</v>
      </c>
      <c r="W88" s="15">
        <v>-1.1925523083905799E-2</v>
      </c>
      <c r="X88" s="34">
        <v>1.0299488677866999</v>
      </c>
      <c r="Y88" s="34">
        <v>1.01735801017489</v>
      </c>
      <c r="Z88" s="34">
        <v>1.0223789923297499</v>
      </c>
      <c r="AA88" s="34">
        <v>1.01908811474049</v>
      </c>
      <c r="AB88" s="33">
        <v>27.855262318588601</v>
      </c>
      <c r="AC88" s="33">
        <v>27.9618332888619</v>
      </c>
      <c r="AD88" s="33">
        <v>27.8656975766458</v>
      </c>
      <c r="AE88" s="15">
        <v>-1.23000772265045E-2</v>
      </c>
      <c r="AF88" s="15">
        <v>-8.4814944567914996E-3</v>
      </c>
      <c r="AG88" s="15">
        <v>-1.1925523083905799E-2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1.3150668573031689E-2</v>
      </c>
      <c r="BE88" s="29">
        <f t="shared" si="42"/>
        <v>0</v>
      </c>
      <c r="BF88" s="29">
        <f t="shared" si="43"/>
        <v>1.3150668573031689E-2</v>
      </c>
      <c r="BH88" s="29"/>
    </row>
    <row r="89" spans="1:60" x14ac:dyDescent="0.25">
      <c r="A89" s="1">
        <v>46150</v>
      </c>
      <c r="B89" s="33">
        <v>27.68</v>
      </c>
      <c r="C89" s="33">
        <v>28.36</v>
      </c>
      <c r="D89" s="15">
        <v>1.0897310889166E-2</v>
      </c>
      <c r="E89" s="15">
        <v>5.6577237198588504E-3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27.68</v>
      </c>
      <c r="M89" s="33">
        <v>28.36</v>
      </c>
      <c r="N89" s="34">
        <v>1.0245664739884299</v>
      </c>
      <c r="O89" s="34">
        <v>1.01735801017489</v>
      </c>
      <c r="P89" s="34">
        <v>1.02275157049511</v>
      </c>
      <c r="Q89" s="34">
        <v>1.0199603855406201</v>
      </c>
      <c r="R89" s="33">
        <v>28.1604697216411</v>
      </c>
      <c r="S89" s="33">
        <v>28.299450507687599</v>
      </c>
      <c r="T89" s="33">
        <v>28.2083590160168</v>
      </c>
      <c r="U89" s="15">
        <v>-7.0604900571971897E-3</v>
      </c>
      <c r="V89" s="15">
        <v>-2.1373138927233098E-3</v>
      </c>
      <c r="W89" s="15">
        <v>-5.3613486356046602E-3</v>
      </c>
      <c r="X89" s="34">
        <v>1.0245664739884299</v>
      </c>
      <c r="Y89" s="34">
        <v>1.01735801017489</v>
      </c>
      <c r="Z89" s="34">
        <v>1.02275157049511</v>
      </c>
      <c r="AA89" s="34">
        <v>1.0199603855406201</v>
      </c>
      <c r="AB89" s="33">
        <v>28.1604697216411</v>
      </c>
      <c r="AC89" s="33">
        <v>28.299450507687599</v>
      </c>
      <c r="AD89" s="33">
        <v>28.2083590160168</v>
      </c>
      <c r="AE89" s="15">
        <v>-7.0604900571971897E-3</v>
      </c>
      <c r="AF89" s="15">
        <v>-2.1373138927233098E-3</v>
      </c>
      <c r="AG89" s="15">
        <v>-5.3613486356046602E-3</v>
      </c>
      <c r="AI89" s="12"/>
      <c r="AJ89">
        <f t="shared" si="26"/>
        <v>0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1.0897310889166E-2</v>
      </c>
      <c r="AP89" s="28">
        <f t="shared" si="29"/>
        <v>-5.6577237198588504E-3</v>
      </c>
      <c r="AQ89" s="28">
        <f t="shared" si="36"/>
        <v>5.2395871693071494E-3</v>
      </c>
      <c r="AR89" s="29">
        <f t="shared" si="37"/>
        <v>5.2395871693071494E-3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1.3150668573031689E-2</v>
      </c>
      <c r="BE89" s="29">
        <f t="shared" si="42"/>
        <v>5.2395871693071494E-3</v>
      </c>
      <c r="BF89" s="29">
        <f t="shared" si="43"/>
        <v>1.8390255742338837E-2</v>
      </c>
      <c r="BH89" s="29"/>
    </row>
    <row r="90" spans="1:60" x14ac:dyDescent="0.25">
      <c r="A90" s="1">
        <v>46153</v>
      </c>
      <c r="B90" s="33">
        <v>26.83</v>
      </c>
      <c r="C90" s="33">
        <v>27.46</v>
      </c>
      <c r="D90" s="15">
        <v>-3.1189466311936E-2</v>
      </c>
      <c r="E90" s="15">
        <v>-3.2249301324101698E-2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26.83</v>
      </c>
      <c r="M90" s="33">
        <v>27.46</v>
      </c>
      <c r="N90" s="34">
        <v>1.02348117778606</v>
      </c>
      <c r="O90" s="34">
        <v>1.01735801017489</v>
      </c>
      <c r="P90" s="34">
        <v>1.02317870240927</v>
      </c>
      <c r="Q90" s="34">
        <v>1.0205878096502901</v>
      </c>
      <c r="R90" s="33">
        <v>27.295715412992401</v>
      </c>
      <c r="S90" s="33">
        <v>27.440424636383899</v>
      </c>
      <c r="T90" s="33">
        <v>27.365537144054901</v>
      </c>
      <c r="U90" s="15">
        <v>-6.0006550450317003E-3</v>
      </c>
      <c r="V90" s="15">
        <v>-7.1312251500156804E-4</v>
      </c>
      <c r="W90" s="15">
        <v>-3.44594706558452E-3</v>
      </c>
      <c r="X90" s="34">
        <v>1.02348117778606</v>
      </c>
      <c r="Y90" s="34">
        <v>1.01735801017489</v>
      </c>
      <c r="Z90" s="34">
        <v>1.02317870240927</v>
      </c>
      <c r="AA90" s="34">
        <v>1.0205878096502901</v>
      </c>
      <c r="AB90" s="33">
        <v>27.295715412992401</v>
      </c>
      <c r="AC90" s="33">
        <v>27.440424636383899</v>
      </c>
      <c r="AD90" s="33">
        <v>27.365537144054901</v>
      </c>
      <c r="AE90" s="15">
        <v>-6.0006550450317003E-3</v>
      </c>
      <c r="AF90" s="15">
        <v>-7.1312251500156804E-4</v>
      </c>
      <c r="AG90" s="15">
        <v>-3.44594706558452E-3</v>
      </c>
      <c r="AI90" s="12"/>
      <c r="AJ90">
        <f t="shared" si="26"/>
        <v>0</v>
      </c>
      <c r="AK90">
        <f t="shared" si="27"/>
        <v>1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-3.1189466311936E-2</v>
      </c>
      <c r="AP90" s="28">
        <f t="shared" si="29"/>
        <v>3.2249301324101698E-2</v>
      </c>
      <c r="AQ90" s="28">
        <f t="shared" si="36"/>
        <v>1.0598350121656976E-3</v>
      </c>
      <c r="AR90" s="29">
        <f t="shared" si="37"/>
        <v>6.299422181472847E-3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1.3150668573031689E-2</v>
      </c>
      <c r="BE90" s="29">
        <f t="shared" si="42"/>
        <v>1.0598350121656976E-3</v>
      </c>
      <c r="BF90" s="29">
        <f t="shared" si="43"/>
        <v>1.9450090754504535E-2</v>
      </c>
      <c r="BH90" s="29"/>
    </row>
    <row r="91" spans="1:60" x14ac:dyDescent="0.25">
      <c r="A91" s="1">
        <v>46154</v>
      </c>
      <c r="B91" s="33">
        <v>26.56</v>
      </c>
      <c r="C91" s="33">
        <v>27.35</v>
      </c>
      <c r="D91" s="15">
        <v>-1.0114339829299599E-2</v>
      </c>
      <c r="E91" s="15">
        <v>-4.0138714718347896E-3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26.56</v>
      </c>
      <c r="M91" s="33">
        <v>27.35</v>
      </c>
      <c r="N91" s="34">
        <v>1.02974397590361</v>
      </c>
      <c r="O91" s="34">
        <v>1.01735801017489</v>
      </c>
      <c r="P91" s="34">
        <v>1.0237369442116799</v>
      </c>
      <c r="Q91" s="34">
        <v>1.02128760687066</v>
      </c>
      <c r="R91" s="33">
        <v>27.0210287502452</v>
      </c>
      <c r="S91" s="33">
        <v>27.175626335990302</v>
      </c>
      <c r="T91" s="33">
        <v>27.1068122243117</v>
      </c>
      <c r="U91" s="15">
        <v>-1.21011234024966E-2</v>
      </c>
      <c r="V91" s="15">
        <v>-6.3960478838074597E-3</v>
      </c>
      <c r="W91" s="15">
        <v>-8.9314589805436807E-3</v>
      </c>
      <c r="X91" s="34">
        <v>1.02974397590361</v>
      </c>
      <c r="Y91" s="34">
        <v>1.01735801017489</v>
      </c>
      <c r="Z91" s="34">
        <v>1.0237369442116799</v>
      </c>
      <c r="AA91" s="34">
        <v>1.02128760687066</v>
      </c>
      <c r="AB91" s="33">
        <v>27.0210287502452</v>
      </c>
      <c r="AC91" s="33">
        <v>27.175626335990302</v>
      </c>
      <c r="AD91" s="33">
        <v>27.1068122243117</v>
      </c>
      <c r="AE91" s="15">
        <v>-1.21011234024966E-2</v>
      </c>
      <c r="AF91" s="15">
        <v>-6.3960478838074597E-3</v>
      </c>
      <c r="AG91" s="15">
        <v>-8.9314589805436807E-3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6.299422181472847E-3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1.3150668573031689E-2</v>
      </c>
      <c r="BE91" s="29">
        <f t="shared" si="42"/>
        <v>0</v>
      </c>
      <c r="BF91" s="29">
        <f t="shared" si="43"/>
        <v>1.9450090754504535E-2</v>
      </c>
      <c r="BH91" s="29"/>
    </row>
    <row r="92" spans="1:60" x14ac:dyDescent="0.25">
      <c r="A92" s="1">
        <v>46155</v>
      </c>
      <c r="B92" s="33">
        <v>26.16</v>
      </c>
      <c r="C92" s="33">
        <v>27.02</v>
      </c>
      <c r="D92" s="15">
        <v>-1.5174798019235099E-2</v>
      </c>
      <c r="E92" s="15">
        <v>-1.21391963359375E-2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26.16</v>
      </c>
      <c r="M92" s="33">
        <v>27.02</v>
      </c>
      <c r="N92" s="34">
        <v>1.0328746177370001</v>
      </c>
      <c r="O92" s="34">
        <v>1.01735801017489</v>
      </c>
      <c r="P92" s="34">
        <v>1.0248933243609299</v>
      </c>
      <c r="Q92" s="34">
        <v>1.02206897725701</v>
      </c>
      <c r="R92" s="33">
        <v>26.6140855461752</v>
      </c>
      <c r="S92" s="33">
        <v>26.780958460577601</v>
      </c>
      <c r="T92" s="33">
        <v>26.716883795736599</v>
      </c>
      <c r="U92" s="15">
        <v>-1.5136725085794001E-2</v>
      </c>
      <c r="V92" s="15">
        <v>-8.8862027460132106E-3</v>
      </c>
      <c r="W92" s="15">
        <v>-1.1281615075815101E-2</v>
      </c>
      <c r="X92" s="34">
        <v>1.0328746177370001</v>
      </c>
      <c r="Y92" s="34">
        <v>1.01735801017489</v>
      </c>
      <c r="Z92" s="34">
        <v>1.0248933243609299</v>
      </c>
      <c r="AA92" s="34">
        <v>1.02206897725701</v>
      </c>
      <c r="AB92" s="33">
        <v>26.6140855461752</v>
      </c>
      <c r="AC92" s="33">
        <v>26.780958460577601</v>
      </c>
      <c r="AD92" s="33">
        <v>26.716883795736599</v>
      </c>
      <c r="AE92" s="15">
        <v>-1.5136725085794001E-2</v>
      </c>
      <c r="AF92" s="15">
        <v>-8.8862027460132106E-3</v>
      </c>
      <c r="AG92" s="15">
        <v>-1.1281615075815101E-2</v>
      </c>
      <c r="AI92" s="12"/>
      <c r="AJ92">
        <f t="shared" si="26"/>
        <v>1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6.299422181472847E-3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1.3150668573031689E-2</v>
      </c>
      <c r="BE92" s="29">
        <f t="shared" si="42"/>
        <v>0</v>
      </c>
      <c r="BF92" s="29">
        <f t="shared" si="43"/>
        <v>1.9450090754504535E-2</v>
      </c>
      <c r="BH92" s="29"/>
    </row>
    <row r="93" spans="1:60" x14ac:dyDescent="0.25">
      <c r="A93" s="1">
        <v>46156</v>
      </c>
      <c r="B93" s="33">
        <v>26.09</v>
      </c>
      <c r="C93" s="33">
        <v>26.87</v>
      </c>
      <c r="D93" s="15">
        <v>-2.6794274403609099E-3</v>
      </c>
      <c r="E93" s="15">
        <v>-5.5669099046528302E-3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26.09</v>
      </c>
      <c r="M93" s="33">
        <v>26.87</v>
      </c>
      <c r="N93" s="34">
        <v>1.0298965120735899</v>
      </c>
      <c r="O93" s="34">
        <v>1.01735801017489</v>
      </c>
      <c r="P93" s="34">
        <v>1.0259039301666599</v>
      </c>
      <c r="Q93" s="34">
        <v>1.02302069355994</v>
      </c>
      <c r="R93" s="33">
        <v>26.542870485462998</v>
      </c>
      <c r="S93" s="33">
        <v>26.739466832576799</v>
      </c>
      <c r="T93" s="33">
        <v>26.665779616635401</v>
      </c>
      <c r="U93" s="15">
        <v>-1.22492426215021E-2</v>
      </c>
      <c r="V93" s="15">
        <v>-4.8697900986537299E-3</v>
      </c>
      <c r="W93" s="15">
        <v>-7.6293415510707303E-3</v>
      </c>
      <c r="X93" s="34">
        <v>1.0298965120735899</v>
      </c>
      <c r="Y93" s="34">
        <v>1.01735801017489</v>
      </c>
      <c r="Z93" s="34">
        <v>1.0259039301666599</v>
      </c>
      <c r="AA93" s="34">
        <v>1.02302069355994</v>
      </c>
      <c r="AB93" s="33">
        <v>26.542870485462998</v>
      </c>
      <c r="AC93" s="33">
        <v>26.739466832576799</v>
      </c>
      <c r="AD93" s="33">
        <v>26.665779616635401</v>
      </c>
      <c r="AE93" s="15">
        <v>-1.22492426215021E-2</v>
      </c>
      <c r="AF93" s="15">
        <v>-4.8697900986537299E-3</v>
      </c>
      <c r="AG93" s="15">
        <v>-7.6293415510707303E-3</v>
      </c>
      <c r="AI93" s="12"/>
      <c r="AJ93">
        <f t="shared" si="26"/>
        <v>0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-2.6794274403609099E-3</v>
      </c>
      <c r="AP93" s="28">
        <f t="shared" si="29"/>
        <v>5.5669099046528302E-3</v>
      </c>
      <c r="AQ93" s="28">
        <f t="shared" si="36"/>
        <v>2.8874824642919203E-3</v>
      </c>
      <c r="AR93" s="29">
        <f t="shared" si="37"/>
        <v>9.1869046457647673E-3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1.3150668573031689E-2</v>
      </c>
      <c r="BE93" s="29">
        <f t="shared" si="42"/>
        <v>2.8874824642919203E-3</v>
      </c>
      <c r="BF93" s="29">
        <f t="shared" si="43"/>
        <v>2.2337573218796456E-2</v>
      </c>
      <c r="BH93" s="29"/>
    </row>
    <row r="94" spans="1:60" x14ac:dyDescent="0.25">
      <c r="A94" s="1">
        <v>46157</v>
      </c>
      <c r="B94" s="33">
        <v>26.38</v>
      </c>
      <c r="C94" s="33">
        <v>27.36</v>
      </c>
      <c r="D94" s="15">
        <v>1.1054048140531399E-2</v>
      </c>
      <c r="E94" s="15">
        <v>1.8071670126949799E-2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26.38</v>
      </c>
      <c r="M94" s="33">
        <v>27.36</v>
      </c>
      <c r="N94" s="34">
        <v>1.0371493555724001</v>
      </c>
      <c r="O94" s="34">
        <v>1.01735801017489</v>
      </c>
      <c r="P94" s="34">
        <v>1.0271531122992399</v>
      </c>
      <c r="Q94" s="34">
        <v>1.0238833071361599</v>
      </c>
      <c r="R94" s="33">
        <v>26.837904308413702</v>
      </c>
      <c r="S94" s="33">
        <v>27.063345677796601</v>
      </c>
      <c r="T94" s="33">
        <v>26.987285896111299</v>
      </c>
      <c r="U94" s="15">
        <v>-1.9266864607920601E-2</v>
      </c>
      <c r="V94" s="15">
        <v>-1.09018384158047E-2</v>
      </c>
      <c r="W94" s="15">
        <v>-1.37162303914401E-2</v>
      </c>
      <c r="X94" s="34">
        <v>1.0371493555724001</v>
      </c>
      <c r="Y94" s="34">
        <v>1.01735801017489</v>
      </c>
      <c r="Z94" s="34">
        <v>1.0271531122992399</v>
      </c>
      <c r="AA94" s="34">
        <v>1.0238833071361599</v>
      </c>
      <c r="AB94" s="33">
        <v>26.837904308413702</v>
      </c>
      <c r="AC94" s="33">
        <v>27.063345677796601</v>
      </c>
      <c r="AD94" s="33">
        <v>26.987285896111299</v>
      </c>
      <c r="AE94" s="15">
        <v>-1.9266864607920601E-2</v>
      </c>
      <c r="AF94" s="15">
        <v>-1.09018384158047E-2</v>
      </c>
      <c r="AG94" s="15">
        <v>-1.37162303914401E-2</v>
      </c>
      <c r="AI94" s="12"/>
      <c r="AJ94">
        <f t="shared" si="26"/>
        <v>1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1.1054048140531399E-2</v>
      </c>
      <c r="AP94" s="28">
        <f t="shared" si="29"/>
        <v>-1.8071670126949799E-2</v>
      </c>
      <c r="AQ94" s="28">
        <f t="shared" si="36"/>
        <v>-7.0176219864184E-3</v>
      </c>
      <c r="AR94" s="29">
        <f t="shared" si="37"/>
        <v>2.1692826593463672E-3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1.3150668573031689E-2</v>
      </c>
      <c r="BE94" s="29">
        <f t="shared" si="42"/>
        <v>-7.0176219864184E-3</v>
      </c>
      <c r="BF94" s="29">
        <f t="shared" si="43"/>
        <v>1.5319951232378056E-2</v>
      </c>
      <c r="BH94" s="29"/>
    </row>
    <row r="95" spans="1:60" x14ac:dyDescent="0.25">
      <c r="A95" s="1">
        <v>46160</v>
      </c>
      <c r="B95" s="33">
        <v>26.25</v>
      </c>
      <c r="C95" s="33">
        <v>27.12</v>
      </c>
      <c r="D95" s="15">
        <v>-4.9401582515357697E-3</v>
      </c>
      <c r="E95" s="15">
        <v>-8.8106296821548E-3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26.25</v>
      </c>
      <c r="M95" s="33">
        <v>27.12</v>
      </c>
      <c r="N95" s="34">
        <v>1.03314285714285</v>
      </c>
      <c r="O95" s="34">
        <v>1.01735801017489</v>
      </c>
      <c r="P95" s="34">
        <v>1.0284398229932501</v>
      </c>
      <c r="Q95" s="34">
        <v>1.0245322476693099</v>
      </c>
      <c r="R95" s="33">
        <v>26.705647767091001</v>
      </c>
      <c r="S95" s="33">
        <v>26.962769197855199</v>
      </c>
      <c r="T95" s="33">
        <v>26.8769368123242</v>
      </c>
      <c r="U95" s="15">
        <v>-1.5396393177301499E-2</v>
      </c>
      <c r="V95" s="15">
        <v>-5.8144672489402601E-3</v>
      </c>
      <c r="W95" s="15">
        <v>-9.0029117857787708E-3</v>
      </c>
      <c r="X95" s="34">
        <v>1.03314285714285</v>
      </c>
      <c r="Y95" s="34">
        <v>1.01735801017489</v>
      </c>
      <c r="Z95" s="34">
        <v>1.0284398229932501</v>
      </c>
      <c r="AA95" s="34">
        <v>1.0245322476693099</v>
      </c>
      <c r="AB95" s="33">
        <v>26.705647767091001</v>
      </c>
      <c r="AC95" s="33">
        <v>26.962769197855199</v>
      </c>
      <c r="AD95" s="33">
        <v>26.8769368123242</v>
      </c>
      <c r="AE95" s="15">
        <v>-1.5396393177301499E-2</v>
      </c>
      <c r="AF95" s="15">
        <v>-5.8144672489402601E-3</v>
      </c>
      <c r="AG95" s="15">
        <v>-9.0029117857787708E-3</v>
      </c>
      <c r="AI95" s="12"/>
      <c r="AJ95">
        <f t="shared" si="26"/>
        <v>0</v>
      </c>
      <c r="AK95">
        <f t="shared" si="27"/>
        <v>0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-4.9401582515357697E-3</v>
      </c>
      <c r="AP95" s="28">
        <f t="shared" si="29"/>
        <v>8.8106296821548E-3</v>
      </c>
      <c r="AQ95" s="28">
        <f t="shared" si="36"/>
        <v>3.8704714306190303E-3</v>
      </c>
      <c r="AR95" s="29">
        <f t="shared" si="37"/>
        <v>6.0397540899653976E-3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1.3150668573031689E-2</v>
      </c>
      <c r="BE95" s="29">
        <f t="shared" si="42"/>
        <v>3.8704714306190303E-3</v>
      </c>
      <c r="BF95" s="29">
        <f t="shared" si="43"/>
        <v>1.9190422662997086E-2</v>
      </c>
      <c r="BH95" s="29"/>
    </row>
    <row r="96" spans="1:60" x14ac:dyDescent="0.25">
      <c r="A96" s="1">
        <v>46161</v>
      </c>
      <c r="B96" s="33">
        <v>25.92</v>
      </c>
      <c r="C96" s="33">
        <v>26.69</v>
      </c>
      <c r="D96" s="15">
        <v>-1.26511175535586E-2</v>
      </c>
      <c r="E96" s="15">
        <v>-1.5982499655762001E-2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25.92</v>
      </c>
      <c r="M96" s="33">
        <v>26.69</v>
      </c>
      <c r="N96" s="34">
        <v>1.02970679012345</v>
      </c>
      <c r="O96" s="34">
        <v>1.01735801017489</v>
      </c>
      <c r="P96" s="34">
        <v>1.0291637388677499</v>
      </c>
      <c r="Q96" s="34">
        <v>1.0249393263059201</v>
      </c>
      <c r="R96" s="33">
        <v>26.3699196237332</v>
      </c>
      <c r="S96" s="33">
        <v>26.6571602119852</v>
      </c>
      <c r="T96" s="33">
        <v>26.5558758595886</v>
      </c>
      <c r="U96" s="15">
        <v>-1.20650110750981E-2</v>
      </c>
      <c r="V96" s="15">
        <v>-1.2311730196112999E-3</v>
      </c>
      <c r="W96" s="15">
        <v>-5.03792723573374E-3</v>
      </c>
      <c r="X96" s="34">
        <v>1.02970679012345</v>
      </c>
      <c r="Y96" s="34">
        <v>1.01735801017489</v>
      </c>
      <c r="Z96" s="34">
        <v>1.0291637388677499</v>
      </c>
      <c r="AA96" s="34">
        <v>1.0249393263059201</v>
      </c>
      <c r="AB96" s="33">
        <v>26.3699196237332</v>
      </c>
      <c r="AC96" s="33">
        <v>26.6571602119852</v>
      </c>
      <c r="AD96" s="33">
        <v>26.5558758595886</v>
      </c>
      <c r="AE96" s="15">
        <v>-1.20650110750981E-2</v>
      </c>
      <c r="AF96" s="15">
        <v>-1.2311730196112999E-3</v>
      </c>
      <c r="AG96" s="15">
        <v>-5.03792723573374E-3</v>
      </c>
      <c r="AI96" s="12"/>
      <c r="AJ96">
        <f t="shared" si="26"/>
        <v>0</v>
      </c>
      <c r="AK96">
        <f t="shared" si="27"/>
        <v>0</v>
      </c>
      <c r="AL96">
        <f t="shared" si="34"/>
        <v>1</v>
      </c>
      <c r="AM96">
        <f t="shared" si="24"/>
        <v>1</v>
      </c>
      <c r="AN96">
        <f t="shared" si="35"/>
        <v>1</v>
      </c>
      <c r="AO96" s="28">
        <f t="shared" si="28"/>
        <v>-1.26511175535586E-2</v>
      </c>
      <c r="AP96" s="28">
        <f t="shared" si="29"/>
        <v>1.5982499655762001E-2</v>
      </c>
      <c r="AQ96" s="28">
        <f t="shared" si="36"/>
        <v>3.331382102203401E-3</v>
      </c>
      <c r="AR96" s="29">
        <f t="shared" si="37"/>
        <v>9.3711361921687986E-3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1.3150668573031689E-2</v>
      </c>
      <c r="BE96" s="29">
        <f t="shared" si="42"/>
        <v>3.331382102203401E-3</v>
      </c>
      <c r="BF96" s="29">
        <f t="shared" si="43"/>
        <v>2.2521804765200486E-2</v>
      </c>
      <c r="BH96" s="29"/>
    </row>
    <row r="97" spans="1:60" x14ac:dyDescent="0.25">
      <c r="A97" s="1">
        <v>46162</v>
      </c>
      <c r="B97" s="33">
        <v>25.64</v>
      </c>
      <c r="C97" s="33">
        <v>26.43</v>
      </c>
      <c r="D97" s="15">
        <v>-1.08612394316047E-2</v>
      </c>
      <c r="E97" s="15">
        <v>-9.7892348002349902E-3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25.64</v>
      </c>
      <c r="M97" s="33">
        <v>26.43</v>
      </c>
      <c r="N97" s="34">
        <v>1.03081123244929</v>
      </c>
      <c r="O97" s="34">
        <v>1.01735801017489</v>
      </c>
      <c r="P97" s="34">
        <v>1.0301321860563399</v>
      </c>
      <c r="Q97" s="34">
        <v>1.0256912443952599</v>
      </c>
      <c r="R97" s="33">
        <v>26.085059380884299</v>
      </c>
      <c r="S97" s="33">
        <v>26.387758264569101</v>
      </c>
      <c r="T97" s="33">
        <v>26.279444326483802</v>
      </c>
      <c r="U97" s="15">
        <v>-1.3137015706467799E-2</v>
      </c>
      <c r="V97" s="15">
        <v>-1.5995281066462201E-3</v>
      </c>
      <c r="W97" s="15">
        <v>-5.7126795732631496E-3</v>
      </c>
      <c r="X97" s="34">
        <v>1.03081123244929</v>
      </c>
      <c r="Y97" s="34">
        <v>1.01735801017489</v>
      </c>
      <c r="Z97" s="34">
        <v>1.0301321860563399</v>
      </c>
      <c r="AA97" s="34">
        <v>1.0256912443952599</v>
      </c>
      <c r="AB97" s="33">
        <v>26.085059380884299</v>
      </c>
      <c r="AC97" s="33">
        <v>26.387758264569101</v>
      </c>
      <c r="AD97" s="33">
        <v>26.279444326483802</v>
      </c>
      <c r="AE97" s="15">
        <v>-1.3137015706467799E-2</v>
      </c>
      <c r="AF97" s="15">
        <v>-1.5995281066462201E-3</v>
      </c>
      <c r="AG97" s="15">
        <v>-5.7126795732631496E-3</v>
      </c>
      <c r="AI97" s="12"/>
      <c r="AJ97">
        <f t="shared" si="26"/>
        <v>0</v>
      </c>
      <c r="AK97">
        <f t="shared" si="27"/>
        <v>0</v>
      </c>
      <c r="AL97">
        <f t="shared" si="34"/>
        <v>1</v>
      </c>
      <c r="AM97">
        <f t="shared" si="24"/>
        <v>1</v>
      </c>
      <c r="AN97">
        <f t="shared" si="35"/>
        <v>1</v>
      </c>
      <c r="AO97" s="28">
        <f t="shared" si="28"/>
        <v>-1.08612394316047E-2</v>
      </c>
      <c r="AP97" s="28">
        <f t="shared" si="29"/>
        <v>9.7892348002349902E-3</v>
      </c>
      <c r="AQ97" s="28">
        <f t="shared" si="36"/>
        <v>-1.0720046313697097E-3</v>
      </c>
      <c r="AR97" s="29">
        <f t="shared" si="37"/>
        <v>8.299131560799089E-3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1.3150668573031689E-2</v>
      </c>
      <c r="BE97" s="29">
        <f t="shared" si="42"/>
        <v>-1.0720046313697097E-3</v>
      </c>
      <c r="BF97" s="29">
        <f t="shared" si="43"/>
        <v>2.1449800133830778E-2</v>
      </c>
      <c r="BH97" s="29"/>
    </row>
    <row r="98" spans="1:60" x14ac:dyDescent="0.25">
      <c r="A98" s="1">
        <v>46163</v>
      </c>
      <c r="B98" s="33">
        <v>26.04</v>
      </c>
      <c r="C98" s="33">
        <v>26.85</v>
      </c>
      <c r="D98" s="15">
        <v>1.5480185287899E-2</v>
      </c>
      <c r="E98" s="15">
        <v>1.5766092338675999E-2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26.04</v>
      </c>
      <c r="M98" s="33">
        <v>26.85</v>
      </c>
      <c r="N98" s="34">
        <v>1.0311059907834099</v>
      </c>
      <c r="O98" s="34">
        <v>1.01735801017489</v>
      </c>
      <c r="P98" s="34">
        <v>1.0302478983560099</v>
      </c>
      <c r="Q98" s="34">
        <v>1.0263134453428799</v>
      </c>
      <c r="R98" s="33">
        <v>26.4920025849542</v>
      </c>
      <c r="S98" s="33">
        <v>26.824642124907101</v>
      </c>
      <c r="T98" s="33">
        <v>26.709000004052601</v>
      </c>
      <c r="U98" s="15">
        <v>-1.34229227572445E-2</v>
      </c>
      <c r="V98" s="15">
        <v>-9.4487363028591704E-4</v>
      </c>
      <c r="W98" s="15">
        <v>-5.2652335434958501E-3</v>
      </c>
      <c r="X98" s="34">
        <v>1.0311059907834099</v>
      </c>
      <c r="Y98" s="34">
        <v>1.01735801017489</v>
      </c>
      <c r="Z98" s="34">
        <v>1.0302478983560099</v>
      </c>
      <c r="AA98" s="34">
        <v>1.0263134453428799</v>
      </c>
      <c r="AB98" s="33">
        <v>26.4920025849542</v>
      </c>
      <c r="AC98" s="33">
        <v>26.824642124907101</v>
      </c>
      <c r="AD98" s="33">
        <v>26.709000004052601</v>
      </c>
      <c r="AE98" s="15">
        <v>-1.34229227572445E-2</v>
      </c>
      <c r="AF98" s="15">
        <v>-9.4487363028591704E-4</v>
      </c>
      <c r="AG98" s="15">
        <v>-5.2652335434958501E-3</v>
      </c>
      <c r="AI98" s="12"/>
      <c r="AJ98">
        <f t="shared" si="26"/>
        <v>0</v>
      </c>
      <c r="AK98">
        <f t="shared" si="27"/>
        <v>0</v>
      </c>
      <c r="AL98">
        <f t="shared" si="34"/>
        <v>1</v>
      </c>
      <c r="AM98">
        <f t="shared" si="24"/>
        <v>1</v>
      </c>
      <c r="AN98">
        <f t="shared" si="35"/>
        <v>1</v>
      </c>
      <c r="AO98" s="28">
        <f t="shared" si="28"/>
        <v>1.5480185287899E-2</v>
      </c>
      <c r="AP98" s="28">
        <f t="shared" si="29"/>
        <v>-1.5766092338675999E-2</v>
      </c>
      <c r="AQ98" s="28">
        <f t="shared" si="36"/>
        <v>-2.859070507769991E-4</v>
      </c>
      <c r="AR98" s="29">
        <f t="shared" si="37"/>
        <v>8.0132245100220899E-3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1.3150668573031689E-2</v>
      </c>
      <c r="BE98" s="29">
        <f t="shared" si="42"/>
        <v>-2.859070507769991E-4</v>
      </c>
      <c r="BF98" s="29">
        <f t="shared" si="43"/>
        <v>2.1163893083053779E-2</v>
      </c>
      <c r="BH98" s="29"/>
    </row>
    <row r="99" spans="1:60" x14ac:dyDescent="0.25">
      <c r="A99" s="1">
        <v>46164</v>
      </c>
      <c r="B99" s="33">
        <v>26.2</v>
      </c>
      <c r="C99" s="33">
        <v>26.99</v>
      </c>
      <c r="D99" s="15">
        <v>6.1255934266825698E-3</v>
      </c>
      <c r="E99" s="15">
        <v>5.2006060750394703E-3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26.2</v>
      </c>
      <c r="M99" s="33">
        <v>26.99</v>
      </c>
      <c r="N99" s="34">
        <v>1.0301526717557199</v>
      </c>
      <c r="O99" s="34">
        <v>1.01735801017489</v>
      </c>
      <c r="P99" s="34">
        <v>1.0308065181327399</v>
      </c>
      <c r="Q99" s="34">
        <v>1.02677904431392</v>
      </c>
      <c r="R99" s="33">
        <v>26.654779866582199</v>
      </c>
      <c r="S99" s="33">
        <v>26.9924949369275</v>
      </c>
      <c r="T99" s="33">
        <v>26.889412267983499</v>
      </c>
      <c r="U99" s="15">
        <v>-1.24979354056015E-2</v>
      </c>
      <c r="V99" s="15">
        <v>9.2435035921809898E-5</v>
      </c>
      <c r="W99" s="15">
        <v>-3.73381388709131E-3</v>
      </c>
      <c r="X99" s="34">
        <v>1.0301526717557199</v>
      </c>
      <c r="Y99" s="34">
        <v>1.01735801017489</v>
      </c>
      <c r="Z99" s="34">
        <v>1.0308065181327399</v>
      </c>
      <c r="AA99" s="34">
        <v>1.02677904431392</v>
      </c>
      <c r="AB99" s="33">
        <v>26.654779866582199</v>
      </c>
      <c r="AC99" s="33">
        <v>26.9924949369275</v>
      </c>
      <c r="AD99" s="33">
        <v>26.889412267983499</v>
      </c>
      <c r="AE99" s="15">
        <v>-1.24979354056015E-2</v>
      </c>
      <c r="AF99" s="15">
        <v>9.2435035921809898E-5</v>
      </c>
      <c r="AG99" s="15">
        <v>-3.73381388709131E-3</v>
      </c>
      <c r="AI99" s="12"/>
      <c r="AJ99">
        <f t="shared" si="26"/>
        <v>0</v>
      </c>
      <c r="AK99">
        <f t="shared" si="27"/>
        <v>1</v>
      </c>
      <c r="AL99">
        <f t="shared" si="34"/>
        <v>1</v>
      </c>
      <c r="AM99">
        <f t="shared" si="24"/>
        <v>1</v>
      </c>
      <c r="AN99">
        <f t="shared" si="35"/>
        <v>1</v>
      </c>
      <c r="AO99" s="28">
        <f t="shared" si="28"/>
        <v>6.1255934266825698E-3</v>
      </c>
      <c r="AP99" s="28">
        <f t="shared" si="29"/>
        <v>-5.2006060750394703E-3</v>
      </c>
      <c r="AQ99" s="28">
        <f t="shared" si="36"/>
        <v>9.2498735164309957E-4</v>
      </c>
      <c r="AR99" s="29">
        <f t="shared" si="37"/>
        <v>8.9382118616651886E-3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1.3150668573031689E-2</v>
      </c>
      <c r="BE99" s="29">
        <f t="shared" si="42"/>
        <v>9.2498735164309957E-4</v>
      </c>
      <c r="BF99" s="29">
        <f t="shared" si="43"/>
        <v>2.2088880434696877E-2</v>
      </c>
      <c r="BH99" s="29"/>
    </row>
    <row r="100" spans="1:60" x14ac:dyDescent="0.25">
      <c r="A100" s="1">
        <v>46168</v>
      </c>
      <c r="B100" s="33">
        <v>25.38</v>
      </c>
      <c r="C100" s="33">
        <v>26.14</v>
      </c>
      <c r="D100" s="15">
        <v>-3.1797948480809503E-2</v>
      </c>
      <c r="E100" s="15">
        <v>-3.1999718833837301E-2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25.38</v>
      </c>
      <c r="M100" s="33">
        <v>26.14</v>
      </c>
      <c r="N100" s="34">
        <v>1.0299448384554699</v>
      </c>
      <c r="O100" s="34">
        <v>1.01735801017489</v>
      </c>
      <c r="P100" s="34">
        <v>1.03145288419968</v>
      </c>
      <c r="Q100" s="34">
        <v>1.0273157933044801</v>
      </c>
      <c r="R100" s="33">
        <v>25.820546298238799</v>
      </c>
      <c r="S100" s="33">
        <v>26.161869430208899</v>
      </c>
      <c r="T100" s="33">
        <v>26.059652144687401</v>
      </c>
      <c r="U100" s="15">
        <v>-1.22961650525736E-2</v>
      </c>
      <c r="V100" s="15">
        <v>8.3627723910439E-4</v>
      </c>
      <c r="W100" s="15">
        <v>-3.0784848353001401E-3</v>
      </c>
      <c r="X100" s="34">
        <v>1.0299448384554699</v>
      </c>
      <c r="Y100" s="34">
        <v>1.01735801017489</v>
      </c>
      <c r="Z100" s="34">
        <v>1.03145288419968</v>
      </c>
      <c r="AA100" s="34">
        <v>1.0273157933044801</v>
      </c>
      <c r="AB100" s="33">
        <v>25.820546298238799</v>
      </c>
      <c r="AC100" s="33">
        <v>26.161869430208899</v>
      </c>
      <c r="AD100" s="33">
        <v>26.059652144687401</v>
      </c>
      <c r="AE100" s="15">
        <v>-1.22961650525736E-2</v>
      </c>
      <c r="AF100" s="15">
        <v>8.3627723910439E-4</v>
      </c>
      <c r="AG100" s="15">
        <v>-3.0784848353001401E-3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8.9382118616651886E-3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1.3150668573031689E-2</v>
      </c>
      <c r="BE100" s="29">
        <f t="shared" si="42"/>
        <v>0</v>
      </c>
      <c r="BF100" s="29">
        <f t="shared" si="43"/>
        <v>2.2088880434696877E-2</v>
      </c>
      <c r="BH100" s="29"/>
    </row>
    <row r="101" spans="1:60" x14ac:dyDescent="0.25">
      <c r="A101" s="1">
        <v>46169</v>
      </c>
      <c r="B101" s="33">
        <v>25.94</v>
      </c>
      <c r="C101" s="33">
        <v>26.72</v>
      </c>
      <c r="D101" s="15">
        <v>2.1824716602056201E-2</v>
      </c>
      <c r="E101" s="15">
        <v>2.19456404723689E-2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25.94</v>
      </c>
      <c r="M101" s="33">
        <v>26.72</v>
      </c>
      <c r="N101" s="34">
        <v>1.0300693909020799</v>
      </c>
      <c r="O101" s="34">
        <v>1.01735801017489</v>
      </c>
      <c r="P101" s="34">
        <v>1.0314854256995301</v>
      </c>
      <c r="Q101" s="34">
        <v>1.0276111849556</v>
      </c>
      <c r="R101" s="33">
        <v>26.390266783936699</v>
      </c>
      <c r="S101" s="33">
        <v>26.755887816139701</v>
      </c>
      <c r="T101" s="33">
        <v>26.648571678318199</v>
      </c>
      <c r="U101" s="15">
        <v>-1.24170889228863E-2</v>
      </c>
      <c r="V101" s="15">
        <v>1.34220573021206E-3</v>
      </c>
      <c r="W101" s="15">
        <v>-2.6767950531767998E-3</v>
      </c>
      <c r="X101" s="34">
        <v>1.0300693909020799</v>
      </c>
      <c r="Y101" s="34">
        <v>1.01735801017489</v>
      </c>
      <c r="Z101" s="34">
        <v>1.0314854256995301</v>
      </c>
      <c r="AA101" s="34">
        <v>1.0276111849556</v>
      </c>
      <c r="AB101" s="33">
        <v>26.390266783936699</v>
      </c>
      <c r="AC101" s="33">
        <v>26.755887816139701</v>
      </c>
      <c r="AD101" s="33">
        <v>26.648571678318199</v>
      </c>
      <c r="AE101" s="15">
        <v>-1.24170889228863E-2</v>
      </c>
      <c r="AF101" s="15">
        <v>1.34220573021206E-3</v>
      </c>
      <c r="AG101" s="15">
        <v>-2.6767950531767998E-3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8.9382118616651886E-3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1.3150668573031689E-2</v>
      </c>
      <c r="BE101" s="29">
        <f t="shared" si="42"/>
        <v>0</v>
      </c>
      <c r="BF101" s="29">
        <f t="shared" si="43"/>
        <v>2.2088880434696877E-2</v>
      </c>
      <c r="BH101" s="29"/>
    </row>
    <row r="102" spans="1:60" x14ac:dyDescent="0.25">
      <c r="A102" s="1">
        <v>46170</v>
      </c>
      <c r="B102" s="33">
        <v>25.96</v>
      </c>
      <c r="C102" s="33">
        <v>26.74</v>
      </c>
      <c r="D102" s="15">
        <v>7.7071294759130198E-4</v>
      </c>
      <c r="E102" s="15">
        <v>7.48223005352134E-4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25.96</v>
      </c>
      <c r="M102" s="33">
        <v>26.74</v>
      </c>
      <c r="N102" s="34">
        <v>1.0300462249614699</v>
      </c>
      <c r="O102" s="34">
        <v>1.01735801017489</v>
      </c>
      <c r="P102" s="34">
        <v>1.03120258642197</v>
      </c>
      <c r="Q102" s="34">
        <v>1.0280479553914501</v>
      </c>
      <c r="R102" s="33">
        <v>26.410613944140199</v>
      </c>
      <c r="S102" s="33">
        <v>26.777361651159801</v>
      </c>
      <c r="T102" s="33">
        <v>26.676786361447501</v>
      </c>
      <c r="U102" s="15">
        <v>-1.23945989806471E-2</v>
      </c>
      <c r="V102" s="15">
        <v>1.39624436170997E-3</v>
      </c>
      <c r="W102" s="15">
        <v>-2.3668091013119498E-3</v>
      </c>
      <c r="X102" s="34">
        <v>1.0300462249614699</v>
      </c>
      <c r="Y102" s="34">
        <v>1.01735801017489</v>
      </c>
      <c r="Z102" s="34">
        <v>1.03120258642197</v>
      </c>
      <c r="AA102" s="34">
        <v>1.0280479553914501</v>
      </c>
      <c r="AB102" s="33">
        <v>26.410613944140199</v>
      </c>
      <c r="AC102" s="33">
        <v>26.777361651159801</v>
      </c>
      <c r="AD102" s="33">
        <v>26.676786361447501</v>
      </c>
      <c r="AE102" s="15">
        <v>-1.23945989806471E-2</v>
      </c>
      <c r="AF102" s="15">
        <v>1.39624436170997E-3</v>
      </c>
      <c r="AG102" s="15">
        <v>-2.3668091013119498E-3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8.9382118616651886E-3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1.3150668573031689E-2</v>
      </c>
      <c r="BE102" s="29">
        <f t="shared" si="42"/>
        <v>0</v>
      </c>
      <c r="BF102" s="29">
        <f t="shared" si="43"/>
        <v>2.2088880434696877E-2</v>
      </c>
      <c r="BH102" s="29"/>
    </row>
    <row r="103" spans="1:60" x14ac:dyDescent="0.25">
      <c r="A103" s="1">
        <v>46171</v>
      </c>
      <c r="B103" s="33">
        <v>25.72</v>
      </c>
      <c r="C103" s="33">
        <v>26.73</v>
      </c>
      <c r="D103" s="15">
        <v>-9.2879924664707094E-3</v>
      </c>
      <c r="E103" s="15">
        <v>-3.74041522969419E-4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25.72</v>
      </c>
      <c r="M103" s="33">
        <v>26.73</v>
      </c>
      <c r="N103" s="34">
        <v>1.03926905132192</v>
      </c>
      <c r="O103" s="34">
        <v>1.01735801017489</v>
      </c>
      <c r="P103" s="34">
        <v>1.0321398403468101</v>
      </c>
      <c r="Q103" s="34">
        <v>1.0290218852567301</v>
      </c>
      <c r="R103" s="33">
        <v>26.166448021698301</v>
      </c>
      <c r="S103" s="33">
        <v>26.522530522773199</v>
      </c>
      <c r="T103" s="33">
        <v>26.441393412668202</v>
      </c>
      <c r="U103" s="15">
        <v>-2.1308549924148299E-2</v>
      </c>
      <c r="V103" s="15">
        <v>-7.79194997455136E-3</v>
      </c>
      <c r="W103" s="15">
        <v>-1.08558156229971E-2</v>
      </c>
      <c r="X103" s="34">
        <v>1.03926905132192</v>
      </c>
      <c r="Y103" s="34">
        <v>1.01735801017489</v>
      </c>
      <c r="Z103" s="34">
        <v>1.0321398403468101</v>
      </c>
      <c r="AA103" s="34">
        <v>1.0290218852567301</v>
      </c>
      <c r="AB103" s="33">
        <v>26.166448021698301</v>
      </c>
      <c r="AC103" s="33">
        <v>26.522530522773199</v>
      </c>
      <c r="AD103" s="33">
        <v>26.441393412668202</v>
      </c>
      <c r="AE103" s="15">
        <v>-2.1308549924148299E-2</v>
      </c>
      <c r="AF103" s="15">
        <v>-7.79194997455136E-3</v>
      </c>
      <c r="AG103" s="15">
        <v>-1.08558156229971E-2</v>
      </c>
      <c r="AI103" s="12"/>
      <c r="AJ103">
        <f t="shared" si="26"/>
        <v>1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8.9382118616651886E-3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1.3150668573031689E-2</v>
      </c>
      <c r="BE103" s="29">
        <f t="shared" si="42"/>
        <v>0</v>
      </c>
      <c r="BF103" s="29">
        <f t="shared" si="43"/>
        <v>2.2088880434696877E-2</v>
      </c>
      <c r="BH103" s="29"/>
    </row>
    <row r="104" spans="1:60" x14ac:dyDescent="0.25">
      <c r="A104" s="1">
        <v>46174</v>
      </c>
      <c r="B104" s="33">
        <v>25.16</v>
      </c>
      <c r="C104" s="33">
        <v>25.88</v>
      </c>
      <c r="D104" s="15">
        <v>-2.20134675371788E-2</v>
      </c>
      <c r="E104" s="15">
        <v>-3.2316060518127798E-2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25.16</v>
      </c>
      <c r="M104" s="33">
        <v>25.88</v>
      </c>
      <c r="N104" s="34">
        <v>1.02861685214626</v>
      </c>
      <c r="O104" s="34">
        <v>1.01735801017489</v>
      </c>
      <c r="P104" s="34">
        <v>1.0312865900041901</v>
      </c>
      <c r="Q104" s="34">
        <v>1.0292198511517201</v>
      </c>
      <c r="R104" s="33">
        <v>25.596727536000301</v>
      </c>
      <c r="S104" s="33">
        <v>25.9686383831257</v>
      </c>
      <c r="T104" s="33">
        <v>25.8901906330595</v>
      </c>
      <c r="U104" s="15">
        <v>-1.10059569431992E-2</v>
      </c>
      <c r="V104" s="15">
        <v>3.4191242910713801E-3</v>
      </c>
      <c r="W104" s="15">
        <v>3.9368729635897099E-4</v>
      </c>
      <c r="X104" s="34">
        <v>1.02861685214626</v>
      </c>
      <c r="Y104" s="34">
        <v>1.01735801017489</v>
      </c>
      <c r="Z104" s="34">
        <v>1.0312865900041901</v>
      </c>
      <c r="AA104" s="34">
        <v>1.0292198511517201</v>
      </c>
      <c r="AB104" s="33">
        <v>25.596727536000301</v>
      </c>
      <c r="AC104" s="33">
        <v>25.9686383831257</v>
      </c>
      <c r="AD104" s="33">
        <v>25.8901906330595</v>
      </c>
      <c r="AE104" s="15">
        <v>-1.10059569431992E-2</v>
      </c>
      <c r="AF104" s="15">
        <v>3.4191242910713801E-3</v>
      </c>
      <c r="AG104" s="15">
        <v>3.9368729635897099E-4</v>
      </c>
      <c r="AI104" s="12"/>
      <c r="AJ104">
        <f t="shared" si="26"/>
        <v>0</v>
      </c>
      <c r="AK104">
        <f t="shared" si="27"/>
        <v>1</v>
      </c>
      <c r="AL104">
        <f t="shared" si="34"/>
        <v>1</v>
      </c>
      <c r="AM104">
        <f t="shared" si="24"/>
        <v>1</v>
      </c>
      <c r="AN104">
        <f t="shared" si="35"/>
        <v>1</v>
      </c>
      <c r="AO104" s="28">
        <f t="shared" si="28"/>
        <v>-2.20134675371788E-2</v>
      </c>
      <c r="AP104" s="28">
        <f t="shared" si="29"/>
        <v>3.2316060518127798E-2</v>
      </c>
      <c r="AQ104" s="28">
        <f t="shared" si="36"/>
        <v>1.0302592980948998E-2</v>
      </c>
      <c r="AR104" s="29">
        <f t="shared" si="37"/>
        <v>1.9240804842614187E-2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1.3150668573031689E-2</v>
      </c>
      <c r="BE104" s="29">
        <f t="shared" si="42"/>
        <v>1.0302592980948998E-2</v>
      </c>
      <c r="BF104" s="29">
        <f t="shared" si="43"/>
        <v>3.2391473415645876E-2</v>
      </c>
      <c r="BH104" s="29"/>
    </row>
    <row r="105" spans="1:60" x14ac:dyDescent="0.25">
      <c r="A105" s="1">
        <v>46175</v>
      </c>
      <c r="B105" s="33">
        <v>24.94</v>
      </c>
      <c r="C105" s="33">
        <v>25.79</v>
      </c>
      <c r="D105" s="15">
        <v>-8.7824915803493397E-3</v>
      </c>
      <c r="E105" s="15">
        <v>-3.4836497394463502E-3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24.94</v>
      </c>
      <c r="M105" s="33">
        <v>25.79</v>
      </c>
      <c r="N105" s="34">
        <v>1.0340817963111399</v>
      </c>
      <c r="O105" s="34">
        <v>1.01735801017489</v>
      </c>
      <c r="P105" s="34">
        <v>1.0313804839210201</v>
      </c>
      <c r="Q105" s="34">
        <v>1.02991015345714</v>
      </c>
      <c r="R105" s="33">
        <v>25.3729087737618</v>
      </c>
      <c r="S105" s="33">
        <v>25.720287554704601</v>
      </c>
      <c r="T105" s="33">
        <v>25.6687430877239</v>
      </c>
      <c r="U105" s="15">
        <v>-1.6304798784102199E-2</v>
      </c>
      <c r="V105" s="15">
        <v>-2.70674038786112E-3</v>
      </c>
      <c r="W105" s="15">
        <v>-4.7127904581560302E-3</v>
      </c>
      <c r="X105" s="34">
        <v>1.0340817963111399</v>
      </c>
      <c r="Y105" s="34">
        <v>1.01735801017489</v>
      </c>
      <c r="Z105" s="34">
        <v>1.0313804839210201</v>
      </c>
      <c r="AA105" s="34">
        <v>1.02991015345714</v>
      </c>
      <c r="AB105" s="33">
        <v>25.3729087737618</v>
      </c>
      <c r="AC105" s="33">
        <v>25.720287554704601</v>
      </c>
      <c r="AD105" s="33">
        <v>25.6687430877239</v>
      </c>
      <c r="AE105" s="15">
        <v>-1.6304798784102199E-2</v>
      </c>
      <c r="AF105" s="15">
        <v>-2.70674038786112E-3</v>
      </c>
      <c r="AG105" s="15">
        <v>-4.7127904581560302E-3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1.9240804842614187E-2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1.3150668573031689E-2</v>
      </c>
      <c r="BE105" s="29">
        <f t="shared" si="42"/>
        <v>0</v>
      </c>
      <c r="BF105" s="29">
        <f t="shared" si="43"/>
        <v>3.2391473415645876E-2</v>
      </c>
      <c r="BH105" s="29"/>
    </row>
    <row r="106" spans="1:60" x14ac:dyDescent="0.25">
      <c r="A106" s="1">
        <v>46176</v>
      </c>
      <c r="B106" s="33">
        <v>24.76</v>
      </c>
      <c r="C106" s="33">
        <v>25.54</v>
      </c>
      <c r="D106" s="15">
        <v>-7.2434924354950201E-3</v>
      </c>
      <c r="E106" s="15">
        <v>-9.7409692888601705E-3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24.76</v>
      </c>
      <c r="M106" s="33">
        <v>25.54</v>
      </c>
      <c r="N106" s="34">
        <v>1.0315024232633201</v>
      </c>
      <c r="O106" s="34">
        <v>1.01735801017489</v>
      </c>
      <c r="P106" s="34">
        <v>1.0315600472350099</v>
      </c>
      <c r="Q106" s="34">
        <v>1.03036189305138</v>
      </c>
      <c r="R106" s="33">
        <v>25.189784331930401</v>
      </c>
      <c r="S106" s="33">
        <v>25.536980781884601</v>
      </c>
      <c r="T106" s="33">
        <v>25.500575399598802</v>
      </c>
      <c r="U106" s="15">
        <v>-1.3807321930737099E-2</v>
      </c>
      <c r="V106" s="15">
        <v>-1.18222262658123E-4</v>
      </c>
      <c r="W106" s="15">
        <v>-1.5448340044407901E-3</v>
      </c>
      <c r="X106" s="34">
        <v>1.0315024232633201</v>
      </c>
      <c r="Y106" s="34">
        <v>1.01735801017489</v>
      </c>
      <c r="Z106" s="34">
        <v>1.0315600472350099</v>
      </c>
      <c r="AA106" s="34">
        <v>1.03036189305138</v>
      </c>
      <c r="AB106" s="33">
        <v>25.189784331930401</v>
      </c>
      <c r="AC106" s="33">
        <v>25.536980781884601</v>
      </c>
      <c r="AD106" s="33">
        <v>25.500575399598802</v>
      </c>
      <c r="AE106" s="15">
        <v>-1.3807321930737099E-2</v>
      </c>
      <c r="AF106" s="15">
        <v>-1.18222262658123E-4</v>
      </c>
      <c r="AG106" s="15">
        <v>-1.5448340044407901E-3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1.9240804842614187E-2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1.3150668573031689E-2</v>
      </c>
      <c r="BE106" s="29">
        <f t="shared" si="42"/>
        <v>0</v>
      </c>
      <c r="BF106" s="29">
        <f t="shared" si="43"/>
        <v>3.2391473415645876E-2</v>
      </c>
      <c r="BH106" s="29"/>
    </row>
    <row r="107" spans="1:60" x14ac:dyDescent="0.25">
      <c r="A107" s="1">
        <v>46177</v>
      </c>
      <c r="B107" s="33">
        <v>25.46</v>
      </c>
      <c r="C107" s="33">
        <v>26.3</v>
      </c>
      <c r="D107" s="15">
        <v>2.7879145312865099E-2</v>
      </c>
      <c r="E107" s="15">
        <v>2.9323088579325699E-2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25.46</v>
      </c>
      <c r="M107" s="33">
        <v>26.3</v>
      </c>
      <c r="N107" s="34">
        <v>1.03299293008641</v>
      </c>
      <c r="O107" s="34">
        <v>1.01735801017489</v>
      </c>
      <c r="P107" s="34">
        <v>1.03177821699872</v>
      </c>
      <c r="Q107" s="34">
        <v>1.0309552015275301</v>
      </c>
      <c r="R107" s="33">
        <v>25.901934939052801</v>
      </c>
      <c r="S107" s="33">
        <v>26.2635188026034</v>
      </c>
      <c r="T107" s="33">
        <v>26.233013797088098</v>
      </c>
      <c r="U107" s="15">
        <v>-1.5251265197197701E-2</v>
      </c>
      <c r="V107" s="15">
        <v>-1.3880807101639601E-3</v>
      </c>
      <c r="W107" s="15">
        <v>-2.5502530456710899E-3</v>
      </c>
      <c r="X107" s="34">
        <v>1.03299293008641</v>
      </c>
      <c r="Y107" s="34">
        <v>1.01735801017489</v>
      </c>
      <c r="Z107" s="34">
        <v>1.03177821699872</v>
      </c>
      <c r="AA107" s="34">
        <v>1.0309552015275301</v>
      </c>
      <c r="AB107" s="33">
        <v>25.901934939052801</v>
      </c>
      <c r="AC107" s="33">
        <v>26.2635188026034</v>
      </c>
      <c r="AD107" s="33">
        <v>26.233013797088098</v>
      </c>
      <c r="AE107" s="15">
        <v>-1.5251265197197701E-2</v>
      </c>
      <c r="AF107" s="15">
        <v>-1.3880807101639601E-3</v>
      </c>
      <c r="AG107" s="15">
        <v>-2.5502530456710899E-3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1.9240804842614187E-2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1.3150668573031689E-2</v>
      </c>
      <c r="BE107" s="29">
        <f t="shared" si="42"/>
        <v>0</v>
      </c>
      <c r="BF107" s="29">
        <f t="shared" si="43"/>
        <v>3.2391473415645876E-2</v>
      </c>
      <c r="BH107" s="29"/>
    </row>
    <row r="108" spans="1:60" x14ac:dyDescent="0.25">
      <c r="A108" s="1">
        <v>46178</v>
      </c>
      <c r="B108" s="33">
        <v>26.16</v>
      </c>
      <c r="C108" s="33">
        <v>26.69</v>
      </c>
      <c r="D108" s="15">
        <v>2.71229334597375E-2</v>
      </c>
      <c r="E108" s="15">
        <v>1.47200242327138E-2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26.16</v>
      </c>
      <c r="M108" s="33">
        <v>26.69</v>
      </c>
      <c r="N108" s="34">
        <v>1.0202599388379201</v>
      </c>
      <c r="O108" s="34">
        <v>1.01735801017489</v>
      </c>
      <c r="P108" s="34">
        <v>1.0306936118041701</v>
      </c>
      <c r="Q108" s="34">
        <v>1.03047075508009</v>
      </c>
      <c r="R108" s="33">
        <v>26.6140855461752</v>
      </c>
      <c r="S108" s="33">
        <v>26.991318156686599</v>
      </c>
      <c r="T108" s="33">
        <v>26.969788071960199</v>
      </c>
      <c r="U108" s="15">
        <v>-2.8483559701740898E-3</v>
      </c>
      <c r="V108" s="15">
        <v>1.12263011273435E-2</v>
      </c>
      <c r="W108" s="15">
        <v>1.0428315786656501E-2</v>
      </c>
      <c r="X108" s="34">
        <v>1.0202599388379201</v>
      </c>
      <c r="Y108" s="34">
        <v>1.01735801017489</v>
      </c>
      <c r="Z108" s="34">
        <v>1.0306936118041701</v>
      </c>
      <c r="AA108" s="34">
        <v>1.03047075508009</v>
      </c>
      <c r="AB108" s="33">
        <v>26.6140855461752</v>
      </c>
      <c r="AC108" s="33">
        <v>26.991318156686599</v>
      </c>
      <c r="AD108" s="33">
        <v>26.969788071960199</v>
      </c>
      <c r="AE108" s="15">
        <v>-2.8483559701740898E-3</v>
      </c>
      <c r="AF108" s="15">
        <v>1.12263011273435E-2</v>
      </c>
      <c r="AG108" s="15">
        <v>1.0428315786656501E-2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1.9240804842614187E-2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1.3150668573031689E-2</v>
      </c>
      <c r="BE108" s="29">
        <f t="shared" si="42"/>
        <v>0</v>
      </c>
      <c r="BF108" s="29">
        <f t="shared" si="43"/>
        <v>3.2391473415645876E-2</v>
      </c>
      <c r="BH108" s="29"/>
    </row>
    <row r="109" spans="1:60" x14ac:dyDescent="0.25">
      <c r="A109" s="1">
        <v>46181</v>
      </c>
      <c r="B109" s="33">
        <v>26.44</v>
      </c>
      <c r="C109" s="33">
        <v>26.96</v>
      </c>
      <c r="D109" s="15">
        <v>1.06464883944877E-2</v>
      </c>
      <c r="E109" s="15">
        <v>1.00653226276735E-2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26.44</v>
      </c>
      <c r="M109" s="33">
        <v>26.96</v>
      </c>
      <c r="N109" s="34">
        <v>1.0196671709531</v>
      </c>
      <c r="O109" s="34">
        <v>1.01735801017489</v>
      </c>
      <c r="P109" s="34">
        <v>1.0296450617239099</v>
      </c>
      <c r="Q109" s="34">
        <v>1.03022578992832</v>
      </c>
      <c r="R109" s="33">
        <v>26.8989457890242</v>
      </c>
      <c r="S109" s="33">
        <v>27.251539096102402</v>
      </c>
      <c r="T109" s="33">
        <v>27.245646764317701</v>
      </c>
      <c r="U109" s="15">
        <v>-2.2671902033600398E-3</v>
      </c>
      <c r="V109" s="15">
        <v>1.0755714061092599E-2</v>
      </c>
      <c r="W109" s="15">
        <v>1.05394705353162E-2</v>
      </c>
      <c r="X109" s="34">
        <v>1.0196671709531</v>
      </c>
      <c r="Y109" s="34">
        <v>1.01735801017489</v>
      </c>
      <c r="Z109" s="34">
        <v>1.0296450617239099</v>
      </c>
      <c r="AA109" s="34">
        <v>1.03022578992832</v>
      </c>
      <c r="AB109" s="33">
        <v>26.8989457890242</v>
      </c>
      <c r="AC109" s="33">
        <v>27.251539096102402</v>
      </c>
      <c r="AD109" s="33">
        <v>27.245646764317701</v>
      </c>
      <c r="AE109" s="15">
        <v>-2.2671902033600398E-3</v>
      </c>
      <c r="AF109" s="15">
        <v>1.0755714061092599E-2</v>
      </c>
      <c r="AG109" s="15">
        <v>1.05394705353162E-2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1.9240804842614187E-2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1.3150668573031689E-2</v>
      </c>
      <c r="BE109" s="29">
        <f t="shared" si="42"/>
        <v>0</v>
      </c>
      <c r="BF109" s="29">
        <f t="shared" si="43"/>
        <v>3.2391473415645876E-2</v>
      </c>
      <c r="BH109" s="29"/>
    </row>
    <row r="110" spans="1:60" x14ac:dyDescent="0.25">
      <c r="A110" s="1">
        <v>46182</v>
      </c>
      <c r="B110" s="33">
        <v>26.73</v>
      </c>
      <c r="C110" s="33">
        <v>27.12</v>
      </c>
      <c r="D110" s="15">
        <v>1.09085151673419E-2</v>
      </c>
      <c r="E110" s="15">
        <v>5.9171770280885098E-3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26.73</v>
      </c>
      <c r="M110" s="33">
        <v>27.12</v>
      </c>
      <c r="N110" s="34">
        <v>1.01459034792368</v>
      </c>
      <c r="O110" s="34">
        <v>1.01735801017489</v>
      </c>
      <c r="P110" s="34">
        <v>1.0281096126707301</v>
      </c>
      <c r="Q110" s="34">
        <v>1.0297812484352</v>
      </c>
      <c r="R110" s="33">
        <v>27.1939796119749</v>
      </c>
      <c r="S110" s="33">
        <v>27.5224124998802</v>
      </c>
      <c r="T110" s="33">
        <v>27.5379353647842</v>
      </c>
      <c r="U110" s="15">
        <v>2.7241479358935099E-3</v>
      </c>
      <c r="V110" s="15">
        <v>1.4729209663816099E-2</v>
      </c>
      <c r="W110" s="15">
        <v>1.52930588190521E-2</v>
      </c>
      <c r="X110" s="34">
        <v>1.01459034792368</v>
      </c>
      <c r="Y110" s="34">
        <v>1.01735801017489</v>
      </c>
      <c r="Z110" s="34">
        <v>1.0281096126707301</v>
      </c>
      <c r="AA110" s="34">
        <v>1.0297812484352</v>
      </c>
      <c r="AB110" s="33">
        <v>27.1939796119749</v>
      </c>
      <c r="AC110" s="33">
        <v>27.5224124998802</v>
      </c>
      <c r="AD110" s="33">
        <v>27.5379353647842</v>
      </c>
      <c r="AE110" s="15">
        <v>2.7241479358935099E-3</v>
      </c>
      <c r="AF110" s="15">
        <v>1.4729209663816099E-2</v>
      </c>
      <c r="AG110" s="15">
        <v>1.52930588190521E-2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1.9240804842614187E-2</v>
      </c>
      <c r="AT110" s="12"/>
      <c r="AU110">
        <f t="shared" si="30"/>
        <v>1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1.3150668573031689E-2</v>
      </c>
      <c r="BE110" s="29">
        <f t="shared" si="42"/>
        <v>0</v>
      </c>
      <c r="BF110" s="29">
        <f t="shared" si="43"/>
        <v>3.2391473415645876E-2</v>
      </c>
      <c r="BH110" s="29"/>
    </row>
    <row r="111" spans="1:60" x14ac:dyDescent="0.25">
      <c r="A111" s="1">
        <v>46183</v>
      </c>
      <c r="B111" s="33">
        <v>26.53</v>
      </c>
      <c r="C111" s="33">
        <v>26.85</v>
      </c>
      <c r="D111" s="15">
        <v>-7.5103620011793097E-3</v>
      </c>
      <c r="E111" s="15">
        <v>-1.0005642117321E-2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26.53</v>
      </c>
      <c r="M111" s="33">
        <v>26.85</v>
      </c>
      <c r="N111" s="34">
        <v>1.0120618168111499</v>
      </c>
      <c r="O111" s="34">
        <v>1.01735801017489</v>
      </c>
      <c r="P111" s="34">
        <v>1.02630885526164</v>
      </c>
      <c r="Q111" s="34">
        <v>1.02889714048058</v>
      </c>
      <c r="R111" s="33">
        <v>26.990508009939902</v>
      </c>
      <c r="S111" s="33">
        <v>27.275748024154499</v>
      </c>
      <c r="T111" s="33">
        <v>27.320096520985999</v>
      </c>
      <c r="U111" s="15">
        <v>5.2194280520353204E-3</v>
      </c>
      <c r="V111" s="15">
        <v>1.57321356550905E-2</v>
      </c>
      <c r="W111" s="15">
        <v>1.7356746720467501E-2</v>
      </c>
      <c r="X111" s="34">
        <v>1.0120618168111499</v>
      </c>
      <c r="Y111" s="34">
        <v>1.01735801017489</v>
      </c>
      <c r="Z111" s="34">
        <v>1.02630885526164</v>
      </c>
      <c r="AA111" s="34">
        <v>1.02889714048058</v>
      </c>
      <c r="AB111" s="33">
        <v>26.990508009939902</v>
      </c>
      <c r="AC111" s="33">
        <v>27.275748024154499</v>
      </c>
      <c r="AD111" s="33">
        <v>27.320096520985999</v>
      </c>
      <c r="AE111" s="15">
        <v>5.2194280520353204E-3</v>
      </c>
      <c r="AF111" s="15">
        <v>1.57321356550905E-2</v>
      </c>
      <c r="AG111" s="15">
        <v>1.7356746720467501E-2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1.9240804842614187E-2</v>
      </c>
      <c r="AT111" s="12"/>
      <c r="AU111">
        <f t="shared" si="30"/>
        <v>1</v>
      </c>
      <c r="AV111">
        <f t="shared" si="31"/>
        <v>0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7.5103620011793097E-3</v>
      </c>
      <c r="BA111" s="28">
        <f t="shared" si="33"/>
        <v>-1.0005642117321E-2</v>
      </c>
      <c r="BB111" s="28">
        <f t="shared" si="40"/>
        <v>-2.4952801161416908E-3</v>
      </c>
      <c r="BC111" s="29">
        <f t="shared" si="41"/>
        <v>1.0655388456889998E-2</v>
      </c>
      <c r="BE111" s="29">
        <f t="shared" si="42"/>
        <v>-2.4952801161416908E-3</v>
      </c>
      <c r="BF111" s="29">
        <f t="shared" si="43"/>
        <v>2.9896193299504187E-2</v>
      </c>
      <c r="BH111" s="29"/>
    </row>
    <row r="112" spans="1:60" x14ac:dyDescent="0.25">
      <c r="A112" s="1">
        <v>46184</v>
      </c>
      <c r="B112" s="33">
        <v>26.68</v>
      </c>
      <c r="C112" s="33">
        <v>27.26</v>
      </c>
      <c r="D112" s="15">
        <v>5.6380528977746803E-3</v>
      </c>
      <c r="E112" s="15">
        <v>1.51546053135127E-2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26.68</v>
      </c>
      <c r="M112" s="33">
        <v>27.26</v>
      </c>
      <c r="N112" s="34">
        <v>1.02173913043478</v>
      </c>
      <c r="O112" s="34">
        <v>1.01735801017489</v>
      </c>
      <c r="P112" s="34">
        <v>1.0254781458089699</v>
      </c>
      <c r="Q112" s="34">
        <v>1.02834036611547</v>
      </c>
      <c r="R112" s="33">
        <v>27.143111711466201</v>
      </c>
      <c r="S112" s="33">
        <v>27.3819202583806</v>
      </c>
      <c r="T112" s="33">
        <v>27.450975708022</v>
      </c>
      <c r="U112" s="15">
        <v>-4.2971243637029196E-3</v>
      </c>
      <c r="V112" s="15">
        <v>4.4625247477385801E-3</v>
      </c>
      <c r="W112" s="15">
        <v>6.9812859742828899E-3</v>
      </c>
      <c r="X112" s="34">
        <v>1.02173913043478</v>
      </c>
      <c r="Y112" s="34">
        <v>1.01735801017489</v>
      </c>
      <c r="Z112" s="34">
        <v>1.0254781458089699</v>
      </c>
      <c r="AA112" s="34">
        <v>1.02834036611547</v>
      </c>
      <c r="AB112" s="33">
        <v>27.143111711466201</v>
      </c>
      <c r="AC112" s="33">
        <v>27.3819202583806</v>
      </c>
      <c r="AD112" s="33">
        <v>27.450975708022</v>
      </c>
      <c r="AE112" s="15">
        <v>-4.2971243637029196E-3</v>
      </c>
      <c r="AF112" s="15">
        <v>4.4625247477385801E-3</v>
      </c>
      <c r="AG112" s="15">
        <v>6.9812859742828899E-3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1.9240804842614187E-2</v>
      </c>
      <c r="AT112" s="12"/>
      <c r="AU112">
        <f t="shared" si="30"/>
        <v>0</v>
      </c>
      <c r="AV112">
        <f t="shared" si="31"/>
        <v>1</v>
      </c>
      <c r="AW112">
        <f t="shared" si="38"/>
        <v>1</v>
      </c>
      <c r="AX112">
        <f t="shared" si="25"/>
        <v>1</v>
      </c>
      <c r="AY112">
        <f t="shared" si="39"/>
        <v>1</v>
      </c>
      <c r="AZ112" s="28">
        <f t="shared" si="32"/>
        <v>-5.6380528977746803E-3</v>
      </c>
      <c r="BA112" s="28">
        <f t="shared" si="33"/>
        <v>1.51546053135127E-2</v>
      </c>
      <c r="BB112" s="28">
        <f t="shared" si="40"/>
        <v>9.5165524157380197E-3</v>
      </c>
      <c r="BC112" s="29">
        <f t="shared" si="41"/>
        <v>2.0171940872628018E-2</v>
      </c>
      <c r="BE112" s="29">
        <f t="shared" si="42"/>
        <v>9.5165524157380197E-3</v>
      </c>
      <c r="BF112" s="29">
        <f t="shared" si="43"/>
        <v>3.9412745715242205E-2</v>
      </c>
      <c r="BH112" s="29"/>
    </row>
    <row r="113" spans="1:60" x14ac:dyDescent="0.25">
      <c r="A113" s="1">
        <v>46185</v>
      </c>
      <c r="B113" s="33">
        <v>27.01</v>
      </c>
      <c r="C113" s="33">
        <v>27.4</v>
      </c>
      <c r="D113" s="15">
        <v>1.22929467571012E-2</v>
      </c>
      <c r="E113" s="15">
        <v>5.1225871256379198E-3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27.01</v>
      </c>
      <c r="M113" s="33">
        <v>27.4</v>
      </c>
      <c r="N113" s="34">
        <v>1.0144390966308701</v>
      </c>
      <c r="O113" s="34">
        <v>1.01735801017489</v>
      </c>
      <c r="P113" s="34">
        <v>1.02299515033986</v>
      </c>
      <c r="Q113" s="34">
        <v>1.02756749534333</v>
      </c>
      <c r="R113" s="33">
        <v>27.478839854823899</v>
      </c>
      <c r="S113" s="33">
        <v>27.698164718300301</v>
      </c>
      <c r="T113" s="33">
        <v>27.775473288778901</v>
      </c>
      <c r="U113" s="15">
        <v>2.8732352677604601E-3</v>
      </c>
      <c r="V113" s="15">
        <v>1.0823141947237699E-2</v>
      </c>
      <c r="W113" s="15">
        <v>1.36103620865417E-2</v>
      </c>
      <c r="X113" s="34">
        <v>1.0144390966308701</v>
      </c>
      <c r="Y113" s="34">
        <v>1.01735801017489</v>
      </c>
      <c r="Z113" s="34">
        <v>1.02299515033986</v>
      </c>
      <c r="AA113" s="34">
        <v>1.02756749534333</v>
      </c>
      <c r="AB113" s="33">
        <v>27.478839854823899</v>
      </c>
      <c r="AC113" s="33">
        <v>27.698164718300301</v>
      </c>
      <c r="AD113" s="33">
        <v>27.775473288778901</v>
      </c>
      <c r="AE113" s="15">
        <v>2.8732352677604601E-3</v>
      </c>
      <c r="AF113" s="15">
        <v>1.0823141947237699E-2</v>
      </c>
      <c r="AG113" s="15">
        <v>1.36103620865417E-2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1.9240804842614187E-2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2.0171940872628018E-2</v>
      </c>
      <c r="BE113" s="29">
        <f t="shared" si="42"/>
        <v>0</v>
      </c>
      <c r="BF113" s="29">
        <f t="shared" si="43"/>
        <v>3.9412745715242205E-2</v>
      </c>
      <c r="BH113" s="29"/>
    </row>
    <row r="114" spans="1:60" x14ac:dyDescent="0.25">
      <c r="A114" s="1">
        <v>46188</v>
      </c>
      <c r="B114" s="33">
        <v>26.94</v>
      </c>
      <c r="C114" s="33">
        <v>27.15</v>
      </c>
      <c r="D114" s="15">
        <v>-2.5949968223063099E-3</v>
      </c>
      <c r="E114" s="15">
        <v>-9.1659670140800502E-3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26.94</v>
      </c>
      <c r="M114" s="33">
        <v>27.15</v>
      </c>
      <c r="N114" s="34">
        <v>1.0077951002227099</v>
      </c>
      <c r="O114" s="34">
        <v>1.01735801017489</v>
      </c>
      <c r="P114" s="34">
        <v>1.0209129751475099</v>
      </c>
      <c r="Q114" s="34">
        <v>1.02609978257585</v>
      </c>
      <c r="R114" s="33">
        <v>27.407624794111602</v>
      </c>
      <c r="S114" s="33">
        <v>27.559489350155999</v>
      </c>
      <c r="T114" s="33">
        <v>27.6826683245495</v>
      </c>
      <c r="U114" s="15">
        <v>9.4442054595342498E-3</v>
      </c>
      <c r="V114" s="15">
        <v>1.49698709347849E-2</v>
      </c>
      <c r="W114" s="15">
        <v>1.9429478731731901E-2</v>
      </c>
      <c r="X114" s="34">
        <v>1.0077951002227099</v>
      </c>
      <c r="Y114" s="34">
        <v>1.01735801017489</v>
      </c>
      <c r="Z114" s="34">
        <v>1.0209129751475099</v>
      </c>
      <c r="AA114" s="34">
        <v>1.02609978257585</v>
      </c>
      <c r="AB114" s="33">
        <v>27.407624794111602</v>
      </c>
      <c r="AC114" s="33">
        <v>27.559489350155999</v>
      </c>
      <c r="AD114" s="33">
        <v>27.6826683245495</v>
      </c>
      <c r="AE114" s="15">
        <v>9.4442054595342498E-3</v>
      </c>
      <c r="AF114" s="15">
        <v>1.49698709347849E-2</v>
      </c>
      <c r="AG114" s="15">
        <v>1.9429478731731901E-2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1.9240804842614187E-2</v>
      </c>
      <c r="AT114" s="12"/>
      <c r="AU114">
        <f t="shared" si="30"/>
        <v>1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2.0171940872628018E-2</v>
      </c>
      <c r="BE114" s="29">
        <f t="shared" si="42"/>
        <v>0</v>
      </c>
      <c r="BF114" s="29">
        <f t="shared" si="43"/>
        <v>3.9412745715242205E-2</v>
      </c>
      <c r="BH114" s="29"/>
    </row>
    <row r="115" spans="1:60" x14ac:dyDescent="0.25">
      <c r="A115" s="1">
        <v>46189</v>
      </c>
      <c r="B115" s="33">
        <v>26.61</v>
      </c>
      <c r="C115" s="33">
        <v>26.7</v>
      </c>
      <c r="D115" s="15">
        <v>-1.2325085992620201E-2</v>
      </c>
      <c r="E115" s="15">
        <v>-1.6713480973740501E-2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26.61</v>
      </c>
      <c r="M115" s="33">
        <v>26.7</v>
      </c>
      <c r="N115" s="34">
        <v>1.00338218714768</v>
      </c>
      <c r="O115" s="34">
        <v>1.01735801017489</v>
      </c>
      <c r="P115" s="34">
        <v>1.0178430142311601</v>
      </c>
      <c r="Q115" s="34">
        <v>1.02461174907609</v>
      </c>
      <c r="R115" s="33">
        <v>27.071896650753899</v>
      </c>
      <c r="S115" s="33">
        <v>27.166494268675301</v>
      </c>
      <c r="T115" s="33">
        <v>27.3045152143434</v>
      </c>
      <c r="U115" s="15">
        <v>1.3832600440654499E-2</v>
      </c>
      <c r="V115" s="15">
        <v>1.7320820214035498E-2</v>
      </c>
      <c r="W115" s="15">
        <v>2.23885155756787E-2</v>
      </c>
      <c r="X115" s="34">
        <v>1.00338218714768</v>
      </c>
      <c r="Y115" s="34">
        <v>1.01735801017489</v>
      </c>
      <c r="Z115" s="34">
        <v>1.0178430142311601</v>
      </c>
      <c r="AA115" s="34">
        <v>1.02461174907609</v>
      </c>
      <c r="AB115" s="33">
        <v>27.071896650753899</v>
      </c>
      <c r="AC115" s="33">
        <v>27.166494268675301</v>
      </c>
      <c r="AD115" s="33">
        <v>27.3045152143434</v>
      </c>
      <c r="AE115" s="15">
        <v>1.3832600440654499E-2</v>
      </c>
      <c r="AF115" s="15">
        <v>1.7320820214035498E-2</v>
      </c>
      <c r="AG115" s="15">
        <v>2.23885155756787E-2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1.9240804842614187E-2</v>
      </c>
      <c r="AT115" s="12"/>
      <c r="AU115">
        <f t="shared" si="30"/>
        <v>1</v>
      </c>
      <c r="AV115">
        <f t="shared" si="31"/>
        <v>0</v>
      </c>
      <c r="AW115">
        <f t="shared" si="38"/>
        <v>1</v>
      </c>
      <c r="AX115">
        <f t="shared" si="25"/>
        <v>1</v>
      </c>
      <c r="AY115">
        <f t="shared" si="39"/>
        <v>1</v>
      </c>
      <c r="AZ115" s="28">
        <f t="shared" si="32"/>
        <v>1.2325085992620201E-2</v>
      </c>
      <c r="BA115" s="28">
        <f t="shared" si="33"/>
        <v>-1.6713480973740501E-2</v>
      </c>
      <c r="BB115" s="28">
        <f t="shared" si="40"/>
        <v>-4.3883949811202999E-3</v>
      </c>
      <c r="BC115" s="29">
        <f t="shared" si="41"/>
        <v>1.5783545891507718E-2</v>
      </c>
      <c r="BE115" s="29">
        <f t="shared" si="42"/>
        <v>-4.3883949811202999E-3</v>
      </c>
      <c r="BF115" s="29">
        <f t="shared" si="43"/>
        <v>3.5024350734121905E-2</v>
      </c>
      <c r="BH115" s="29"/>
    </row>
    <row r="116" spans="1:60" x14ac:dyDescent="0.25">
      <c r="A116" s="1">
        <v>46190</v>
      </c>
      <c r="B116" s="33">
        <v>25.51</v>
      </c>
      <c r="C116" s="33">
        <v>25.52</v>
      </c>
      <c r="D116" s="15">
        <v>-4.2216552835877601E-2</v>
      </c>
      <c r="E116" s="15">
        <v>-4.5201106929614703E-2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25.51</v>
      </c>
      <c r="M116" s="33">
        <v>25.52</v>
      </c>
      <c r="N116" s="34">
        <v>1.0003920031360201</v>
      </c>
      <c r="O116" s="34">
        <v>1.01735801017489</v>
      </c>
      <c r="P116" s="34">
        <v>1.01473197221843</v>
      </c>
      <c r="Q116" s="34">
        <v>1.02314600972672</v>
      </c>
      <c r="R116" s="33">
        <v>25.9528028395615</v>
      </c>
      <c r="S116" s="33">
        <v>25.965175293036999</v>
      </c>
      <c r="T116" s="33">
        <v>26.137845718931199</v>
      </c>
      <c r="U116" s="15">
        <v>1.6817154534391501E-2</v>
      </c>
      <c r="V116" s="15">
        <v>1.7293769924848101E-2</v>
      </c>
      <c r="W116" s="15">
        <v>2.3921833122537602E-2</v>
      </c>
      <c r="X116" s="34">
        <v>1.0003920031360201</v>
      </c>
      <c r="Y116" s="34">
        <v>1.01735801017489</v>
      </c>
      <c r="Z116" s="34">
        <v>1.01473197221843</v>
      </c>
      <c r="AA116" s="34">
        <v>1.02314600972672</v>
      </c>
      <c r="AB116" s="33">
        <v>25.9528028395615</v>
      </c>
      <c r="AC116" s="33">
        <v>25.965175293036999</v>
      </c>
      <c r="AD116" s="33">
        <v>26.137845718931199</v>
      </c>
      <c r="AE116" s="15">
        <v>1.6817154534391501E-2</v>
      </c>
      <c r="AF116" s="15">
        <v>1.7293769924848101E-2</v>
      </c>
      <c r="AG116" s="15">
        <v>2.3921833122537602E-2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1.9240804842614187E-2</v>
      </c>
      <c r="AT116" s="12"/>
      <c r="AU116">
        <f t="shared" si="30"/>
        <v>1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4.2216552835877601E-2</v>
      </c>
      <c r="BA116" s="28">
        <f t="shared" si="33"/>
        <v>-4.5201106929614703E-2</v>
      </c>
      <c r="BB116" s="28">
        <f t="shared" si="40"/>
        <v>-2.9845540937371018E-3</v>
      </c>
      <c r="BC116" s="29">
        <f t="shared" si="41"/>
        <v>1.2798991797770616E-2</v>
      </c>
      <c r="BE116" s="29">
        <f t="shared" si="42"/>
        <v>-2.9845540937371018E-3</v>
      </c>
      <c r="BF116" s="29">
        <f t="shared" si="43"/>
        <v>3.2039796640384803E-2</v>
      </c>
      <c r="BH116" s="29"/>
    </row>
    <row r="117" spans="1:60" x14ac:dyDescent="0.25">
      <c r="A117" s="1">
        <v>46191</v>
      </c>
      <c r="B117" s="33">
        <v>26.64</v>
      </c>
      <c r="C117" s="33">
        <v>26.64</v>
      </c>
      <c r="D117" s="15">
        <v>4.3343313518468402E-2</v>
      </c>
      <c r="E117" s="15">
        <v>4.2951387195599197E-2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26.64</v>
      </c>
      <c r="M117" s="33">
        <v>26.64</v>
      </c>
      <c r="N117" s="34">
        <v>1</v>
      </c>
      <c r="O117" s="34">
        <v>1.01735801017489</v>
      </c>
      <c r="P117" s="34">
        <v>1.0114326792097901</v>
      </c>
      <c r="Q117" s="34">
        <v>1.02160544810426</v>
      </c>
      <c r="R117" s="33">
        <v>27.102417391059198</v>
      </c>
      <c r="S117" s="33">
        <v>27.0324597398991</v>
      </c>
      <c r="T117" s="33">
        <v>27.256609699119899</v>
      </c>
      <c r="U117" s="15">
        <v>1.7209080857260601E-2</v>
      </c>
      <c r="V117" s="15">
        <v>1.46245108421136E-2</v>
      </c>
      <c r="W117" s="15">
        <v>2.2882203790555802E-2</v>
      </c>
      <c r="X117" s="34">
        <v>1</v>
      </c>
      <c r="Y117" s="34">
        <v>1.01735801017489</v>
      </c>
      <c r="Z117" s="34">
        <v>1.0114326792097901</v>
      </c>
      <c r="AA117" s="34">
        <v>1.02160544810426</v>
      </c>
      <c r="AB117" s="33">
        <v>27.102417391059198</v>
      </c>
      <c r="AC117" s="33">
        <v>27.0324597398991</v>
      </c>
      <c r="AD117" s="33">
        <v>27.256609699119899</v>
      </c>
      <c r="AE117" s="15">
        <v>1.7209080857260601E-2</v>
      </c>
      <c r="AF117" s="15">
        <v>1.46245108421136E-2</v>
      </c>
      <c r="AG117" s="15">
        <v>2.2882203790555802E-2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1.9240804842614187E-2</v>
      </c>
      <c r="AT117" s="12"/>
      <c r="AU117">
        <f t="shared" si="30"/>
        <v>1</v>
      </c>
      <c r="AV117">
        <f t="shared" si="31"/>
        <v>0</v>
      </c>
      <c r="AW117">
        <f t="shared" si="38"/>
        <v>1</v>
      </c>
      <c r="AX117">
        <f t="shared" si="25"/>
        <v>1</v>
      </c>
      <c r="AY117">
        <f t="shared" si="39"/>
        <v>1</v>
      </c>
      <c r="AZ117" s="28">
        <f t="shared" si="32"/>
        <v>-4.3343313518468402E-2</v>
      </c>
      <c r="BA117" s="28">
        <f t="shared" si="33"/>
        <v>4.2951387195599197E-2</v>
      </c>
      <c r="BB117" s="28">
        <f t="shared" si="40"/>
        <v>-3.9192632286920437E-4</v>
      </c>
      <c r="BC117" s="29">
        <f t="shared" si="41"/>
        <v>1.2407065474901412E-2</v>
      </c>
      <c r="BE117" s="29">
        <f t="shared" si="42"/>
        <v>-3.9192632286920437E-4</v>
      </c>
      <c r="BF117" s="29">
        <f t="shared" si="43"/>
        <v>3.1647870317515599E-2</v>
      </c>
      <c r="BH117" s="29"/>
    </row>
    <row r="118" spans="1:60" x14ac:dyDescent="0.25">
      <c r="A118" s="1">
        <v>46195</v>
      </c>
      <c r="B118" s="33">
        <v>27.26</v>
      </c>
      <c r="C118" s="33">
        <v>27.29</v>
      </c>
      <c r="D118" s="15">
        <v>2.30065805961981E-2</v>
      </c>
      <c r="E118" s="15">
        <v>2.4106489048058701E-2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27.26</v>
      </c>
      <c r="M118" s="33">
        <v>27.29</v>
      </c>
      <c r="N118" s="34">
        <v>1.001100513573</v>
      </c>
      <c r="O118" s="34">
        <v>1.01735801017489</v>
      </c>
      <c r="P118" s="34">
        <v>1.0095167366833</v>
      </c>
      <c r="Q118" s="34">
        <v>1.0201051742437299</v>
      </c>
      <c r="R118" s="33">
        <v>27.7331793573676</v>
      </c>
      <c r="S118" s="33">
        <v>27.571654835259</v>
      </c>
      <c r="T118" s="33">
        <v>27.848964515322098</v>
      </c>
      <c r="U118" s="15">
        <v>1.6109172405400201E-2</v>
      </c>
      <c r="V118" s="15">
        <v>1.0267911555824001E-2</v>
      </c>
      <c r="W118" s="15">
        <v>2.0275450183444101E-2</v>
      </c>
      <c r="X118" s="34">
        <v>1.001100513573</v>
      </c>
      <c r="Y118" s="34">
        <v>1.01735801017489</v>
      </c>
      <c r="Z118" s="34">
        <v>1.0095167366833</v>
      </c>
      <c r="AA118" s="34">
        <v>1.0201051742437299</v>
      </c>
      <c r="AB118" s="33">
        <v>27.7331793573676</v>
      </c>
      <c r="AC118" s="33">
        <v>27.571654835259</v>
      </c>
      <c r="AD118" s="33">
        <v>27.848964515322098</v>
      </c>
      <c r="AE118" s="15">
        <v>1.6109172405400201E-2</v>
      </c>
      <c r="AF118" s="15">
        <v>1.0267911555824001E-2</v>
      </c>
      <c r="AG118" s="15">
        <v>2.0275450183444101E-2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1.9240804842614187E-2</v>
      </c>
      <c r="AT118" s="12"/>
      <c r="AU118">
        <f t="shared" si="30"/>
        <v>1</v>
      </c>
      <c r="AV118">
        <f t="shared" si="31"/>
        <v>0</v>
      </c>
      <c r="AW118">
        <f t="shared" si="38"/>
        <v>1</v>
      </c>
      <c r="AX118">
        <f t="shared" si="25"/>
        <v>1</v>
      </c>
      <c r="AY118">
        <f t="shared" si="39"/>
        <v>1</v>
      </c>
      <c r="AZ118" s="28">
        <f t="shared" si="32"/>
        <v>-2.30065805961981E-2</v>
      </c>
      <c r="BA118" s="28">
        <f t="shared" si="33"/>
        <v>2.4106489048058701E-2</v>
      </c>
      <c r="BB118" s="28">
        <f t="shared" si="40"/>
        <v>1.0999084518606012E-3</v>
      </c>
      <c r="BC118" s="29">
        <f t="shared" si="41"/>
        <v>1.3506973926762013E-2</v>
      </c>
      <c r="BE118" s="29">
        <f t="shared" si="42"/>
        <v>1.0999084518606012E-3</v>
      </c>
      <c r="BF118" s="29">
        <f t="shared" si="43"/>
        <v>3.27477787693762E-2</v>
      </c>
      <c r="BH118" s="29"/>
    </row>
    <row r="119" spans="1:60" x14ac:dyDescent="0.25">
      <c r="A119" s="1">
        <v>46196</v>
      </c>
      <c r="B119" s="33">
        <v>27.24</v>
      </c>
      <c r="C119" s="33">
        <v>27.25</v>
      </c>
      <c r="D119" s="15">
        <v>-7.3394498707500804E-4</v>
      </c>
      <c r="E119" s="15">
        <v>-1.4668136109940401E-3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27.24</v>
      </c>
      <c r="M119" s="33">
        <v>27.25</v>
      </c>
      <c r="N119" s="34">
        <v>1.0003671071953</v>
      </c>
      <c r="O119" s="34">
        <v>1.01735801017489</v>
      </c>
      <c r="P119" s="34">
        <v>1.0075867303075201</v>
      </c>
      <c r="Q119" s="34">
        <v>1.0186158960157099</v>
      </c>
      <c r="R119" s="33">
        <v>27.712832197164101</v>
      </c>
      <c r="S119" s="33">
        <v>27.499235907253102</v>
      </c>
      <c r="T119" s="33">
        <v>27.787664946399399</v>
      </c>
      <c r="U119" s="15">
        <v>1.6842041029319101E-2</v>
      </c>
      <c r="V119" s="15">
        <v>9.1046979864633695E-3</v>
      </c>
      <c r="W119" s="15">
        <v>1.9538694156227301E-2</v>
      </c>
      <c r="X119" s="34">
        <v>1.0003671071953</v>
      </c>
      <c r="Y119" s="34">
        <v>1.01735801017489</v>
      </c>
      <c r="Z119" s="34">
        <v>1.0075867303075201</v>
      </c>
      <c r="AA119" s="34">
        <v>1.0186158960157099</v>
      </c>
      <c r="AB119" s="33">
        <v>27.712832197164101</v>
      </c>
      <c r="AC119" s="33">
        <v>27.499235907253102</v>
      </c>
      <c r="AD119" s="33">
        <v>27.787664946399399</v>
      </c>
      <c r="AE119" s="15">
        <v>1.6842041029319101E-2</v>
      </c>
      <c r="AF119" s="15">
        <v>9.1046979864633695E-3</v>
      </c>
      <c r="AG119" s="15">
        <v>1.9538694156227301E-2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1.9240804842614187E-2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8">
        <f t="shared" si="32"/>
        <v>7.3394498707500804E-4</v>
      </c>
      <c r="BA119" s="28">
        <f t="shared" si="33"/>
        <v>-1.4668136109940401E-3</v>
      </c>
      <c r="BB119" s="28">
        <f t="shared" si="40"/>
        <v>-7.3286862391903202E-4</v>
      </c>
      <c r="BC119" s="29">
        <f t="shared" si="41"/>
        <v>1.2774105302842981E-2</v>
      </c>
      <c r="BE119" s="29">
        <f t="shared" si="42"/>
        <v>-7.3286862391903202E-4</v>
      </c>
      <c r="BF119" s="29">
        <f t="shared" si="43"/>
        <v>3.2014910145457168E-2</v>
      </c>
      <c r="BH119" s="29"/>
    </row>
    <row r="120" spans="1:60" x14ac:dyDescent="0.25">
      <c r="A120" s="1">
        <v>46197</v>
      </c>
      <c r="B120" s="33">
        <v>27.8</v>
      </c>
      <c r="C120" s="33">
        <v>28.07</v>
      </c>
      <c r="D120" s="15">
        <v>2.0349539415279901E-2</v>
      </c>
      <c r="E120" s="15">
        <v>2.9647869264537899E-2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27.8</v>
      </c>
      <c r="M120" s="33">
        <v>28.07</v>
      </c>
      <c r="N120" s="34">
        <v>1.0097122302158199</v>
      </c>
      <c r="O120" s="34">
        <v>1.01735801017489</v>
      </c>
      <c r="P120" s="34">
        <v>1.0070989185367301</v>
      </c>
      <c r="Q120" s="34">
        <v>1.0176042656037301</v>
      </c>
      <c r="R120" s="33">
        <v>28.282552682862001</v>
      </c>
      <c r="S120" s="33">
        <v>28.010911102549102</v>
      </c>
      <c r="T120" s="33">
        <v>28.317521909236898</v>
      </c>
      <c r="U120" s="15">
        <v>7.5437111800610501E-3</v>
      </c>
      <c r="V120" s="15">
        <v>-2.1072738710919601E-3</v>
      </c>
      <c r="W120" s="15">
        <v>8.7793714181901104E-3</v>
      </c>
      <c r="X120" s="34">
        <v>1.0097122302158199</v>
      </c>
      <c r="Y120" s="34">
        <v>1.01735801017489</v>
      </c>
      <c r="Z120" s="34">
        <v>1.0070989185367301</v>
      </c>
      <c r="AA120" s="34">
        <v>1.0176042656037301</v>
      </c>
      <c r="AB120" s="33">
        <v>28.282552682862001</v>
      </c>
      <c r="AC120" s="33">
        <v>28.010911102549102</v>
      </c>
      <c r="AD120" s="33">
        <v>28.317521909236898</v>
      </c>
      <c r="AE120" s="15">
        <v>7.5437111800610501E-3</v>
      </c>
      <c r="AF120" s="15">
        <v>-2.1072738710919601E-3</v>
      </c>
      <c r="AG120" s="15">
        <v>8.7793714181901104E-3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1.9240804842614187E-2</v>
      </c>
      <c r="AT120" s="12"/>
      <c r="AU120">
        <f t="shared" si="30"/>
        <v>0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28">
        <f t="shared" si="32"/>
        <v>-2.0349539415279901E-2</v>
      </c>
      <c r="BA120" s="28">
        <f t="shared" si="33"/>
        <v>2.9647869264537899E-2</v>
      </c>
      <c r="BB120" s="28">
        <f t="shared" si="40"/>
        <v>9.2983298492579983E-3</v>
      </c>
      <c r="BC120" s="29">
        <f t="shared" si="41"/>
        <v>2.2072435152100979E-2</v>
      </c>
      <c r="BE120" s="29">
        <f t="shared" si="42"/>
        <v>9.2983298492579983E-3</v>
      </c>
      <c r="BF120" s="29">
        <f t="shared" si="43"/>
        <v>4.1313239994715166E-2</v>
      </c>
      <c r="BH120" s="29"/>
    </row>
    <row r="121" spans="1:60" x14ac:dyDescent="0.25">
      <c r="A121" s="1">
        <v>46198</v>
      </c>
      <c r="B121" s="33">
        <v>27.68</v>
      </c>
      <c r="C121" s="33">
        <v>28.14</v>
      </c>
      <c r="D121" s="15">
        <v>-4.3258899471226003E-3</v>
      </c>
      <c r="E121" s="15">
        <v>2.49066131245183E-3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27.68</v>
      </c>
      <c r="M121" s="33">
        <v>28.14</v>
      </c>
      <c r="N121" s="34">
        <v>1.01661849710982</v>
      </c>
      <c r="O121" s="34">
        <v>1.01735801017489</v>
      </c>
      <c r="P121" s="34">
        <v>1.0075545865666</v>
      </c>
      <c r="Q121" s="34">
        <v>1.01693172091412</v>
      </c>
      <c r="R121" s="33">
        <v>28.1604697216411</v>
      </c>
      <c r="S121" s="33">
        <v>27.8764980650969</v>
      </c>
      <c r="T121" s="33">
        <v>28.167286071911398</v>
      </c>
      <c r="U121" s="15">
        <v>7.2715992048644402E-4</v>
      </c>
      <c r="V121" s="15">
        <v>-9.40808110439415E-3</v>
      </c>
      <c r="W121" s="15">
        <v>9.6918448573146004E-4</v>
      </c>
      <c r="X121" s="34">
        <v>1.01661849710982</v>
      </c>
      <c r="Y121" s="34">
        <v>1.01735801017489</v>
      </c>
      <c r="Z121" s="34">
        <v>1.0075545865666</v>
      </c>
      <c r="AA121" s="34">
        <v>1.01693172091412</v>
      </c>
      <c r="AB121" s="33">
        <v>28.1604697216411</v>
      </c>
      <c r="AC121" s="33">
        <v>27.8764980650969</v>
      </c>
      <c r="AD121" s="33">
        <v>28.167286071911398</v>
      </c>
      <c r="AE121" s="15">
        <v>7.2715992048644402E-4</v>
      </c>
      <c r="AF121" s="15">
        <v>-9.40808110439415E-3</v>
      </c>
      <c r="AG121" s="15">
        <v>9.6918448573146004E-4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1.9240804842614187E-2</v>
      </c>
      <c r="AT121" s="12"/>
      <c r="AU121">
        <f t="shared" si="30"/>
        <v>0</v>
      </c>
      <c r="AV121">
        <f t="shared" si="31"/>
        <v>1</v>
      </c>
      <c r="AW121">
        <f t="shared" si="38"/>
        <v>1</v>
      </c>
      <c r="AX121">
        <f t="shared" si="25"/>
        <v>1</v>
      </c>
      <c r="AY121">
        <f t="shared" si="39"/>
        <v>1</v>
      </c>
      <c r="AZ121" s="28">
        <f t="shared" si="32"/>
        <v>4.3258899471226003E-3</v>
      </c>
      <c r="BA121" s="28">
        <f t="shared" si="33"/>
        <v>2.49066131245183E-3</v>
      </c>
      <c r="BB121" s="28">
        <f t="shared" si="40"/>
        <v>6.8165512595744302E-3</v>
      </c>
      <c r="BC121" s="29">
        <f t="shared" si="41"/>
        <v>2.8888986411675407E-2</v>
      </c>
      <c r="BE121" s="29">
        <f t="shared" si="42"/>
        <v>6.8165512595744302E-3</v>
      </c>
      <c r="BF121" s="29">
        <f t="shared" si="43"/>
        <v>4.8129791254289594E-2</v>
      </c>
      <c r="BH121" s="29"/>
    </row>
    <row r="122" spans="1:60" x14ac:dyDescent="0.25">
      <c r="A122" s="1">
        <v>46199</v>
      </c>
      <c r="B122" s="33">
        <v>27.96</v>
      </c>
      <c r="C122" s="33">
        <v>28.62</v>
      </c>
      <c r="D122" s="15">
        <v>1.0064786616140801E-2</v>
      </c>
      <c r="E122" s="15">
        <v>1.6913722442061799E-2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27.96</v>
      </c>
      <c r="M122" s="33">
        <v>28.62</v>
      </c>
      <c r="N122" s="34">
        <v>1.02360515021459</v>
      </c>
      <c r="O122" s="34">
        <v>1.01735801017489</v>
      </c>
      <c r="P122" s="34">
        <v>1.0077411885445799</v>
      </c>
      <c r="Q122" s="34">
        <v>1.0166096671767699</v>
      </c>
      <c r="R122" s="33">
        <v>28.44532996449</v>
      </c>
      <c r="S122" s="33">
        <v>28.171226240402198</v>
      </c>
      <c r="T122" s="33">
        <v>28.433410916758799</v>
      </c>
      <c r="U122" s="15">
        <v>-6.1217759054346798E-3</v>
      </c>
      <c r="V122" s="15">
        <v>-1.58046631766968E-2</v>
      </c>
      <c r="W122" s="15">
        <v>-6.54087969433671E-3</v>
      </c>
      <c r="X122" s="34">
        <v>1.02360515021459</v>
      </c>
      <c r="Y122" s="34">
        <v>1.01735801017489</v>
      </c>
      <c r="Z122" s="34">
        <v>1.0077411885445799</v>
      </c>
      <c r="AA122" s="34">
        <v>1.0166096671767699</v>
      </c>
      <c r="AB122" s="33">
        <v>28.44532996449</v>
      </c>
      <c r="AC122" s="33">
        <v>28.171226240402198</v>
      </c>
      <c r="AD122" s="33">
        <v>28.433410916758799</v>
      </c>
      <c r="AE122" s="15">
        <v>-6.1217759054346798E-3</v>
      </c>
      <c r="AF122" s="15">
        <v>-1.58046631766968E-2</v>
      </c>
      <c r="AG122" s="15">
        <v>-6.54087969433671E-3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1.9240804842614187E-2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2.8888986411675407E-2</v>
      </c>
      <c r="BE122" s="29">
        <f t="shared" si="42"/>
        <v>0</v>
      </c>
      <c r="BF122" s="29">
        <f t="shared" si="43"/>
        <v>4.8129791254289594E-2</v>
      </c>
      <c r="BH122" s="29"/>
    </row>
    <row r="123" spans="1:60" x14ac:dyDescent="0.25">
      <c r="A123" s="1">
        <v>46202</v>
      </c>
      <c r="B123" s="33">
        <v>27.72</v>
      </c>
      <c r="C123" s="33">
        <v>28.25</v>
      </c>
      <c r="D123" s="15">
        <v>-8.6207430439070795E-3</v>
      </c>
      <c r="E123" s="15">
        <v>-1.30123165358549E-2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27.72</v>
      </c>
      <c r="M123" s="33">
        <v>28.25</v>
      </c>
      <c r="N123" s="34">
        <v>1.01911976911976</v>
      </c>
      <c r="O123" s="34">
        <v>1.01735801017489</v>
      </c>
      <c r="P123" s="34">
        <v>1.0082092557934701</v>
      </c>
      <c r="Q123" s="34">
        <v>1.01560220306667</v>
      </c>
      <c r="R123" s="33">
        <v>28.201164042048099</v>
      </c>
      <c r="S123" s="33">
        <v>27.934585746455902</v>
      </c>
      <c r="T123" s="33">
        <v>28.1804199741403</v>
      </c>
      <c r="U123" s="15">
        <v>-1.73020241348683E-3</v>
      </c>
      <c r="V123" s="15">
        <v>-1.1227903985638599E-2</v>
      </c>
      <c r="W123" s="15">
        <v>-2.4660479632624302E-3</v>
      </c>
      <c r="X123" s="34">
        <v>1.01911976911976</v>
      </c>
      <c r="Y123" s="34">
        <v>1.01735801017489</v>
      </c>
      <c r="Z123" s="34">
        <v>1.0082092557934701</v>
      </c>
      <c r="AA123" s="34">
        <v>1.01560220306667</v>
      </c>
      <c r="AB123" s="33">
        <v>28.201164042048099</v>
      </c>
      <c r="AC123" s="33">
        <v>27.934585746455902</v>
      </c>
      <c r="AD123" s="33">
        <v>28.1804199741403</v>
      </c>
      <c r="AE123" s="15">
        <v>-1.73020241348683E-3</v>
      </c>
      <c r="AF123" s="15">
        <v>-1.1227903985638599E-2</v>
      </c>
      <c r="AG123" s="15">
        <v>-2.4660479632624302E-3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1.9240804842614187E-2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2.8888986411675407E-2</v>
      </c>
      <c r="BE123" s="29">
        <f t="shared" si="42"/>
        <v>0</v>
      </c>
      <c r="BF123" s="29">
        <f t="shared" si="43"/>
        <v>4.8129791254289594E-2</v>
      </c>
      <c r="BH123" s="29"/>
    </row>
    <row r="124" spans="1:60" x14ac:dyDescent="0.25">
      <c r="A124" s="1">
        <v>46203</v>
      </c>
      <c r="B124" s="33">
        <v>26.65</v>
      </c>
      <c r="C124" s="33">
        <v>27.36</v>
      </c>
      <c r="D124" s="15">
        <v>-3.9365023709848901E-2</v>
      </c>
      <c r="E124" s="15">
        <v>-3.2011364838100201E-2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26.65</v>
      </c>
      <c r="M124" s="33">
        <v>27.36</v>
      </c>
      <c r="N124" s="34">
        <v>1.0266416510318901</v>
      </c>
      <c r="O124" s="34">
        <v>1.01735801017489</v>
      </c>
      <c r="P124" s="34">
        <v>1.01009391087439</v>
      </c>
      <c r="Q124" s="34">
        <v>1.01550344301095</v>
      </c>
      <c r="R124" s="33">
        <v>27.112590971160898</v>
      </c>
      <c r="S124" s="33">
        <v>26.8687766668961</v>
      </c>
      <c r="T124" s="33">
        <v>27.0657987117267</v>
      </c>
      <c r="U124" s="15">
        <v>-9.0838612852355994E-3</v>
      </c>
      <c r="V124" s="15">
        <v>-1.8117199004977401E-2</v>
      </c>
      <c r="W124" s="15">
        <v>-1.08112020697288E-2</v>
      </c>
      <c r="X124" s="34">
        <v>1.0266416510318901</v>
      </c>
      <c r="Y124" s="34">
        <v>1.01735801017489</v>
      </c>
      <c r="Z124" s="34">
        <v>1.01009391087439</v>
      </c>
      <c r="AA124" s="34">
        <v>1.01550344301095</v>
      </c>
      <c r="AB124" s="33">
        <v>27.112590971160898</v>
      </c>
      <c r="AC124" s="33">
        <v>26.8687766668961</v>
      </c>
      <c r="AD124" s="33">
        <v>27.0657987117267</v>
      </c>
      <c r="AE124" s="15">
        <v>-9.0838612852355994E-3</v>
      </c>
      <c r="AF124" s="15">
        <v>-1.8117199004977401E-2</v>
      </c>
      <c r="AG124" s="15">
        <v>-1.08112020697288E-2</v>
      </c>
      <c r="AI124" s="12"/>
      <c r="AJ124">
        <f t="shared" si="26"/>
        <v>1</v>
      </c>
      <c r="AK124">
        <f t="shared" si="27"/>
        <v>0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1.9240804842614187E-2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2.8888986411675407E-2</v>
      </c>
      <c r="BE124" s="29">
        <f t="shared" si="42"/>
        <v>0</v>
      </c>
      <c r="BF124" s="29">
        <f t="shared" si="43"/>
        <v>4.8129791254289594E-2</v>
      </c>
      <c r="BH124" s="29"/>
    </row>
    <row r="125" spans="1:60" x14ac:dyDescent="0.25">
      <c r="A125" s="1">
        <v>46204</v>
      </c>
      <c r="B125" s="33">
        <v>25.83</v>
      </c>
      <c r="C125" s="33">
        <v>26.52</v>
      </c>
      <c r="D125" s="15">
        <v>-3.1252543504104398E-2</v>
      </c>
      <c r="E125" s="15">
        <v>-3.11829274366879E-2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25.83</v>
      </c>
      <c r="M125" s="33">
        <v>26.52</v>
      </c>
      <c r="N125" s="34">
        <v>1.0267131242740899</v>
      </c>
      <c r="O125" s="34">
        <v>1.01735801017489</v>
      </c>
      <c r="P125" s="34">
        <v>1.0124270045870301</v>
      </c>
      <c r="Q125" s="34">
        <v>1.0151350094091001</v>
      </c>
      <c r="R125" s="33">
        <v>26.278357402817502</v>
      </c>
      <c r="S125" s="33">
        <v>26.090725717885501</v>
      </c>
      <c r="T125" s="33">
        <v>26.2304539329729</v>
      </c>
      <c r="U125" s="15">
        <v>-9.1534773526520206E-3</v>
      </c>
      <c r="V125" s="15">
        <v>-1.6319250615460499E-2</v>
      </c>
      <c r="W125" s="15">
        <v>-1.0978065718517499E-2</v>
      </c>
      <c r="X125" s="34">
        <v>1.0267131242740899</v>
      </c>
      <c r="Y125" s="34">
        <v>1.01735801017489</v>
      </c>
      <c r="Z125" s="34">
        <v>1.0124270045870301</v>
      </c>
      <c r="AA125" s="34">
        <v>1.0151350094091001</v>
      </c>
      <c r="AB125" s="33">
        <v>26.278357402817502</v>
      </c>
      <c r="AC125" s="33">
        <v>26.090725717885501</v>
      </c>
      <c r="AD125" s="33">
        <v>26.2304539329729</v>
      </c>
      <c r="AE125" s="15">
        <v>-9.1534773526520206E-3</v>
      </c>
      <c r="AF125" s="15">
        <v>-1.6319250615460499E-2</v>
      </c>
      <c r="AG125" s="15">
        <v>-1.0978065718517499E-2</v>
      </c>
      <c r="AI125" s="12"/>
      <c r="AJ125">
        <f t="shared" si="26"/>
        <v>1</v>
      </c>
      <c r="AK125">
        <f t="shared" si="27"/>
        <v>0</v>
      </c>
      <c r="AL125">
        <f t="shared" si="34"/>
        <v>1</v>
      </c>
      <c r="AM125">
        <f t="shared" si="24"/>
        <v>1</v>
      </c>
      <c r="AN125">
        <f t="shared" si="35"/>
        <v>1</v>
      </c>
      <c r="AO125" s="28">
        <f t="shared" si="28"/>
        <v>-3.1252543504104398E-2</v>
      </c>
      <c r="AP125" s="28">
        <f t="shared" si="29"/>
        <v>3.11829274366879E-2</v>
      </c>
      <c r="AQ125" s="28">
        <f t="shared" si="36"/>
        <v>-6.9616067416497507E-5</v>
      </c>
      <c r="AR125" s="29">
        <f t="shared" si="37"/>
        <v>1.9171188775197689E-2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2.8888986411675407E-2</v>
      </c>
      <c r="BE125" s="29">
        <f t="shared" si="42"/>
        <v>-6.9616067416497507E-5</v>
      </c>
      <c r="BF125" s="29">
        <f t="shared" si="43"/>
        <v>4.8060175186873097E-2</v>
      </c>
      <c r="BH125" s="29"/>
    </row>
    <row r="126" spans="1:60" x14ac:dyDescent="0.25">
      <c r="A126" s="1">
        <v>46205</v>
      </c>
      <c r="B126" s="33">
        <v>26.16</v>
      </c>
      <c r="C126" s="33">
        <v>26.76</v>
      </c>
      <c r="D126" s="15">
        <v>1.2694919481248901E-2</v>
      </c>
      <c r="E126" s="15">
        <v>9.0090699423659108E-3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26.16</v>
      </c>
      <c r="M126" s="33">
        <v>26.76</v>
      </c>
      <c r="N126" s="34">
        <v>1.02293577981651</v>
      </c>
      <c r="O126" s="34">
        <v>1.01735801017489</v>
      </c>
      <c r="P126" s="34">
        <v>1.01468138225508</v>
      </c>
      <c r="Q126" s="34">
        <v>1.0147066772367499</v>
      </c>
      <c r="R126" s="33">
        <v>26.6140855461752</v>
      </c>
      <c r="S126" s="33">
        <v>26.485090439996799</v>
      </c>
      <c r="T126" s="33">
        <v>26.555931846141998</v>
      </c>
      <c r="U126" s="15">
        <v>-5.46762781376906E-3</v>
      </c>
      <c r="V126" s="15">
        <v>-1.03262855064154E-2</v>
      </c>
      <c r="W126" s="15">
        <v>-7.6550908267252497E-3</v>
      </c>
      <c r="X126" s="34">
        <v>1.02293577981651</v>
      </c>
      <c r="Y126" s="34">
        <v>1.01735801017489</v>
      </c>
      <c r="Z126" s="34">
        <v>1.01468138225508</v>
      </c>
      <c r="AA126" s="34">
        <v>1.0147066772367499</v>
      </c>
      <c r="AB126" s="33">
        <v>26.6140855461752</v>
      </c>
      <c r="AC126" s="33">
        <v>26.485090439996799</v>
      </c>
      <c r="AD126" s="33">
        <v>26.555931846141998</v>
      </c>
      <c r="AE126" s="15">
        <v>-5.46762781376906E-3</v>
      </c>
      <c r="AF126" s="15">
        <v>-1.03262855064154E-2</v>
      </c>
      <c r="AG126" s="15">
        <v>-7.6550908267252497E-3</v>
      </c>
      <c r="AI126" s="12"/>
      <c r="AJ126">
        <f t="shared" si="26"/>
        <v>0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1.2694919481248901E-2</v>
      </c>
      <c r="AP126" s="28">
        <f t="shared" si="29"/>
        <v>-9.0090699423659108E-3</v>
      </c>
      <c r="AQ126" s="28">
        <f t="shared" si="36"/>
        <v>3.68584953888299E-3</v>
      </c>
      <c r="AR126" s="29">
        <f t="shared" si="37"/>
        <v>2.2857038314080681E-2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2.8888986411675407E-2</v>
      </c>
      <c r="BE126" s="29">
        <f t="shared" si="42"/>
        <v>3.68584953888299E-3</v>
      </c>
      <c r="BF126" s="29">
        <f t="shared" si="43"/>
        <v>5.1746024725756089E-2</v>
      </c>
      <c r="BH126" s="29"/>
    </row>
    <row r="127" spans="1:60" x14ac:dyDescent="0.25">
      <c r="A127" s="1">
        <v>46209</v>
      </c>
      <c r="B127" s="33">
        <v>25.75</v>
      </c>
      <c r="C127" s="33">
        <v>26.46</v>
      </c>
      <c r="D127" s="15">
        <v>-1.57968994792527E-2</v>
      </c>
      <c r="E127" s="15">
        <v>-1.1274076573218101E-2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25.75</v>
      </c>
      <c r="M127" s="33">
        <v>26.46</v>
      </c>
      <c r="N127" s="34">
        <v>1.0275728155339801</v>
      </c>
      <c r="O127" s="34">
        <v>1.01735801017489</v>
      </c>
      <c r="P127" s="34">
        <v>1.01743866380848</v>
      </c>
      <c r="Q127" s="34">
        <v>1.0144356715091301</v>
      </c>
      <c r="R127" s="33">
        <v>26.1969687620035</v>
      </c>
      <c r="S127" s="33">
        <v>26.1280455930683</v>
      </c>
      <c r="T127" s="33">
        <v>26.128696938846499</v>
      </c>
      <c r="U127" s="15">
        <v>-9.9904507198037805E-3</v>
      </c>
      <c r="V127" s="15">
        <v>-1.2624877471383999E-2</v>
      </c>
      <c r="W127" s="15">
        <v>-1.25999487924557E-2</v>
      </c>
      <c r="X127" s="34">
        <v>1.0275728155339801</v>
      </c>
      <c r="Y127" s="34">
        <v>1.01735801017489</v>
      </c>
      <c r="Z127" s="34">
        <v>1.01743866380848</v>
      </c>
      <c r="AA127" s="34">
        <v>1.0144356715091301</v>
      </c>
      <c r="AB127" s="33">
        <v>26.1969687620035</v>
      </c>
      <c r="AC127" s="33">
        <v>26.1280455930683</v>
      </c>
      <c r="AD127" s="33">
        <v>26.128696938846499</v>
      </c>
      <c r="AE127" s="15">
        <v>-9.9904507198037805E-3</v>
      </c>
      <c r="AF127" s="15">
        <v>-1.2624877471383999E-2</v>
      </c>
      <c r="AG127" s="15">
        <v>-1.25999487924557E-2</v>
      </c>
      <c r="AI127" s="12"/>
      <c r="AJ127">
        <f t="shared" si="26"/>
        <v>1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-1.57968994792527E-2</v>
      </c>
      <c r="AP127" s="28">
        <f t="shared" si="29"/>
        <v>1.1274076573218101E-2</v>
      </c>
      <c r="AQ127" s="28">
        <f t="shared" si="36"/>
        <v>-4.522822906034599E-3</v>
      </c>
      <c r="AR127" s="29">
        <f t="shared" si="37"/>
        <v>1.8334215408046084E-2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2.8888986411675407E-2</v>
      </c>
      <c r="BE127" s="29">
        <f t="shared" si="42"/>
        <v>-4.522822906034599E-3</v>
      </c>
      <c r="BF127" s="29">
        <f t="shared" si="43"/>
        <v>4.7223201819721491E-2</v>
      </c>
      <c r="BH127" s="29"/>
    </row>
    <row r="128" spans="1:60" x14ac:dyDescent="0.25">
      <c r="A128" s="1">
        <v>46210</v>
      </c>
      <c r="B128" s="33">
        <v>25.91</v>
      </c>
      <c r="C128" s="33">
        <v>26.51</v>
      </c>
      <c r="D128" s="15">
        <v>6.1943674642735104E-3</v>
      </c>
      <c r="E128" s="15">
        <v>1.88786161412448E-3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25.91</v>
      </c>
      <c r="M128" s="33">
        <v>26.51</v>
      </c>
      <c r="N128" s="34">
        <v>1.0231570822076399</v>
      </c>
      <c r="O128" s="34">
        <v>1.01735801017489</v>
      </c>
      <c r="P128" s="34">
        <v>1.0196443206719401</v>
      </c>
      <c r="Q128" s="34">
        <v>1.0145805286776199</v>
      </c>
      <c r="R128" s="33">
        <v>26.3597460436315</v>
      </c>
      <c r="S128" s="33">
        <v>26.361835779277701</v>
      </c>
      <c r="T128" s="33">
        <v>26.2840282488017</v>
      </c>
      <c r="U128" s="15">
        <v>-5.6839448696549798E-3</v>
      </c>
      <c r="V128" s="15">
        <v>-5.6046704785978497E-3</v>
      </c>
      <c r="W128" s="15">
        <v>-8.5605565131221199E-3</v>
      </c>
      <c r="X128" s="34">
        <v>1.0231570822076399</v>
      </c>
      <c r="Y128" s="34">
        <v>1.01735801017489</v>
      </c>
      <c r="Z128" s="34">
        <v>1.0196443206719401</v>
      </c>
      <c r="AA128" s="34">
        <v>1.0145805286776199</v>
      </c>
      <c r="AB128" s="33">
        <v>26.3597460436315</v>
      </c>
      <c r="AC128" s="33">
        <v>26.361835779277701</v>
      </c>
      <c r="AD128" s="33">
        <v>26.2840282488017</v>
      </c>
      <c r="AE128" s="15">
        <v>-5.6839448696549798E-3</v>
      </c>
      <c r="AF128" s="15">
        <v>-5.6046704785978497E-3</v>
      </c>
      <c r="AG128" s="15">
        <v>-8.5605565131221199E-3</v>
      </c>
      <c r="AI128" s="12"/>
      <c r="AJ128">
        <f t="shared" si="26"/>
        <v>0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6.1943674642735104E-3</v>
      </c>
      <c r="AP128" s="28">
        <f t="shared" si="29"/>
        <v>-1.88786161412448E-3</v>
      </c>
      <c r="AQ128" s="28">
        <f t="shared" si="36"/>
        <v>4.3065058501490306E-3</v>
      </c>
      <c r="AR128" s="29">
        <f t="shared" si="37"/>
        <v>2.2640721258195114E-2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2.8888986411675407E-2</v>
      </c>
      <c r="BE128" s="29">
        <f t="shared" si="42"/>
        <v>4.3065058501490306E-3</v>
      </c>
      <c r="BF128" s="29">
        <f t="shared" si="43"/>
        <v>5.1529707669870521E-2</v>
      </c>
      <c r="BH128" s="29"/>
    </row>
    <row r="129" spans="1:60" x14ac:dyDescent="0.25">
      <c r="A129" s="1">
        <v>46211</v>
      </c>
      <c r="B129" s="33">
        <v>25.78</v>
      </c>
      <c r="C129" s="33">
        <v>26.36</v>
      </c>
      <c r="D129" s="15">
        <v>-5.0299970629772801E-3</v>
      </c>
      <c r="E129" s="15">
        <v>-5.6743106666278199E-3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25.78</v>
      </c>
      <c r="M129" s="33">
        <v>26.36</v>
      </c>
      <c r="N129" s="34">
        <v>1.02249806051202</v>
      </c>
      <c r="O129" s="34">
        <v>1.01735801017489</v>
      </c>
      <c r="P129" s="34">
        <v>1.02185741600361</v>
      </c>
      <c r="Q129" s="34">
        <v>1.0147220731555699</v>
      </c>
      <c r="R129" s="33">
        <v>26.227489502308799</v>
      </c>
      <c r="S129" s="33">
        <v>26.286430586922702</v>
      </c>
      <c r="T129" s="33">
        <v>26.155886029309102</v>
      </c>
      <c r="U129" s="15">
        <v>-5.03963126600444E-3</v>
      </c>
      <c r="V129" s="15">
        <v>-2.7948508624727501E-3</v>
      </c>
      <c r="W129" s="15">
        <v>-7.7734572888155896E-3</v>
      </c>
      <c r="X129" s="34">
        <v>1.02249806051202</v>
      </c>
      <c r="Y129" s="34">
        <v>1.01735801017489</v>
      </c>
      <c r="Z129" s="34">
        <v>1.02185741600361</v>
      </c>
      <c r="AA129" s="34">
        <v>1.0147220731555699</v>
      </c>
      <c r="AB129" s="33">
        <v>26.227489502308799</v>
      </c>
      <c r="AC129" s="33">
        <v>26.286430586922702</v>
      </c>
      <c r="AD129" s="33">
        <v>26.155886029309102</v>
      </c>
      <c r="AE129" s="15">
        <v>-5.03963126600444E-3</v>
      </c>
      <c r="AF129" s="15">
        <v>-2.7948508624727501E-3</v>
      </c>
      <c r="AG129" s="15">
        <v>-7.7734572888155896E-3</v>
      </c>
      <c r="AI129" s="12"/>
      <c r="AJ129">
        <f t="shared" si="26"/>
        <v>0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-5.0299970629772801E-3</v>
      </c>
      <c r="AP129" s="28">
        <f t="shared" si="29"/>
        <v>5.6743106666278199E-3</v>
      </c>
      <c r="AQ129" s="28">
        <f t="shared" si="36"/>
        <v>6.443136036505398E-4</v>
      </c>
      <c r="AR129" s="29">
        <f t="shared" si="37"/>
        <v>2.3285034861845653E-2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2.8888986411675407E-2</v>
      </c>
      <c r="BE129" s="29">
        <f t="shared" si="42"/>
        <v>6.443136036505398E-4</v>
      </c>
      <c r="BF129" s="29">
        <f t="shared" si="43"/>
        <v>5.2174021273521061E-2</v>
      </c>
      <c r="BH129" s="29"/>
    </row>
    <row r="130" spans="1:60" x14ac:dyDescent="0.25">
      <c r="A130" s="1">
        <v>46212</v>
      </c>
      <c r="B130" s="33">
        <v>25.22</v>
      </c>
      <c r="C130" s="33">
        <v>25.69</v>
      </c>
      <c r="D130" s="15">
        <v>-2.19616669742679E-2</v>
      </c>
      <c r="E130" s="15">
        <v>-2.57458985125141E-2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25.22</v>
      </c>
      <c r="M130" s="33">
        <v>25.69</v>
      </c>
      <c r="N130" s="34">
        <v>1.01863600317208</v>
      </c>
      <c r="O130" s="34">
        <v>1.01735801017489</v>
      </c>
      <c r="P130" s="34">
        <v>1.02274979329924</v>
      </c>
      <c r="Q130" s="34">
        <v>1.0149243559179899</v>
      </c>
      <c r="R130" s="33">
        <v>25.6577690166108</v>
      </c>
      <c r="S130" s="33">
        <v>25.7712440316112</v>
      </c>
      <c r="T130" s="33">
        <v>25.591290684983399</v>
      </c>
      <c r="U130" s="15">
        <v>-1.2553997277580801E-3</v>
      </c>
      <c r="V130" s="15">
        <v>3.1574867898518798E-3</v>
      </c>
      <c r="W130" s="15">
        <v>-3.8497251378488101E-3</v>
      </c>
      <c r="X130" s="34">
        <v>1.01863600317208</v>
      </c>
      <c r="Y130" s="34">
        <v>1.01735801017489</v>
      </c>
      <c r="Z130" s="34">
        <v>1.02274979329924</v>
      </c>
      <c r="AA130" s="34">
        <v>1.0149243559179899</v>
      </c>
      <c r="AB130" s="33">
        <v>25.6577690166108</v>
      </c>
      <c r="AC130" s="33">
        <v>25.7712440316112</v>
      </c>
      <c r="AD130" s="33">
        <v>25.591290684983399</v>
      </c>
      <c r="AE130" s="15">
        <v>-1.2553997277580801E-3</v>
      </c>
      <c r="AF130" s="15">
        <v>3.1574867898518798E-3</v>
      </c>
      <c r="AG130" s="15">
        <v>-3.8497251378488101E-3</v>
      </c>
      <c r="AI130" s="12"/>
      <c r="AJ130">
        <f t="shared" si="26"/>
        <v>0</v>
      </c>
      <c r="AK130">
        <f t="shared" si="27"/>
        <v>1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-2.19616669742679E-2</v>
      </c>
      <c r="AP130" s="28">
        <f t="shared" si="29"/>
        <v>2.57458985125141E-2</v>
      </c>
      <c r="AQ130" s="28">
        <f t="shared" si="36"/>
        <v>3.7842315382462001E-3</v>
      </c>
      <c r="AR130" s="29">
        <f t="shared" si="37"/>
        <v>2.7069266400091854E-2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2.8888986411675407E-2</v>
      </c>
      <c r="BE130" s="29">
        <f t="shared" si="42"/>
        <v>3.7842315382462001E-3</v>
      </c>
      <c r="BF130" s="29">
        <f t="shared" si="43"/>
        <v>5.5958252811767265E-2</v>
      </c>
      <c r="BH130" s="29"/>
    </row>
    <row r="131" spans="1:60" x14ac:dyDescent="0.25">
      <c r="A131" s="1">
        <v>46213</v>
      </c>
      <c r="B131" s="33">
        <v>26.17</v>
      </c>
      <c r="C131" s="33">
        <v>26.6</v>
      </c>
      <c r="D131" s="15">
        <v>3.6976386005280998E-2</v>
      </c>
      <c r="E131" s="15">
        <v>3.4809404665861098E-2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26.17</v>
      </c>
      <c r="M131" s="33">
        <v>26.6</v>
      </c>
      <c r="N131" s="34">
        <v>1.0164310278945301</v>
      </c>
      <c r="O131" s="34">
        <v>1.01735801017489</v>
      </c>
      <c r="P131" s="34">
        <v>1.02273104637771</v>
      </c>
      <c r="Q131" s="34">
        <v>1.0151428164721501</v>
      </c>
      <c r="R131" s="33">
        <v>26.624259126277</v>
      </c>
      <c r="S131" s="33">
        <v>26.765362090641101</v>
      </c>
      <c r="T131" s="33">
        <v>26.560570394373801</v>
      </c>
      <c r="U131" s="15">
        <v>9.1158161166171798E-4</v>
      </c>
      <c r="V131" s="15">
        <v>6.1973764788360898E-3</v>
      </c>
      <c r="W131" s="15">
        <v>-1.48341571823474E-3</v>
      </c>
      <c r="X131" s="34">
        <v>1.0164310278945301</v>
      </c>
      <c r="Y131" s="34">
        <v>1.01735801017489</v>
      </c>
      <c r="Z131" s="34">
        <v>1.02273104637771</v>
      </c>
      <c r="AA131" s="34">
        <v>1.0151428164721501</v>
      </c>
      <c r="AB131" s="33">
        <v>26.624259126277</v>
      </c>
      <c r="AC131" s="33">
        <v>26.765362090641101</v>
      </c>
      <c r="AD131" s="33">
        <v>26.560570394373801</v>
      </c>
      <c r="AE131" s="15">
        <v>9.1158161166171798E-4</v>
      </c>
      <c r="AF131" s="15">
        <v>6.1973764788360898E-3</v>
      </c>
      <c r="AG131" s="15">
        <v>-1.48341571823474E-3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2.7069266400091854E-2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2.8888986411675407E-2</v>
      </c>
      <c r="BE131" s="29">
        <f t="shared" si="42"/>
        <v>0</v>
      </c>
      <c r="BF131" s="29">
        <f t="shared" si="43"/>
        <v>5.5958252811767265E-2</v>
      </c>
      <c r="BH131" s="29"/>
    </row>
    <row r="132" spans="1:60" x14ac:dyDescent="0.25">
      <c r="A132" s="1">
        <v>46216</v>
      </c>
      <c r="B132" s="33">
        <v>26.25</v>
      </c>
      <c r="C132" s="33">
        <v>26.67</v>
      </c>
      <c r="D132" s="15">
        <v>3.0522724955782199E-3</v>
      </c>
      <c r="E132" s="15">
        <v>2.62812240626963E-3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26.25</v>
      </c>
      <c r="M132" s="33">
        <v>26.67</v>
      </c>
      <c r="N132" s="34">
        <v>1.016</v>
      </c>
      <c r="O132" s="34">
        <v>1.01735801017489</v>
      </c>
      <c r="P132" s="34">
        <v>1.0219705313562499</v>
      </c>
      <c r="Q132" s="34">
        <v>1.01485585995042</v>
      </c>
      <c r="R132" s="33">
        <v>26.705647767091001</v>
      </c>
      <c r="S132" s="33">
        <v>26.8466899674149</v>
      </c>
      <c r="T132" s="33">
        <v>26.6474989323941</v>
      </c>
      <c r="U132" s="15">
        <v>1.3357317009703199E-3</v>
      </c>
      <c r="V132" s="15">
        <v>6.6031964805036798E-3</v>
      </c>
      <c r="W132" s="15">
        <v>-8.4404067678332004E-4</v>
      </c>
      <c r="X132" s="34">
        <v>1.016</v>
      </c>
      <c r="Y132" s="34">
        <v>1.01735801017489</v>
      </c>
      <c r="Z132" s="34">
        <v>1.0219705313562499</v>
      </c>
      <c r="AA132" s="34">
        <v>1.01485585995042</v>
      </c>
      <c r="AB132" s="33">
        <v>26.705647767091001</v>
      </c>
      <c r="AC132" s="33">
        <v>26.8466899674149</v>
      </c>
      <c r="AD132" s="33">
        <v>26.6474989323941</v>
      </c>
      <c r="AE132" s="15">
        <v>1.3357317009703199E-3</v>
      </c>
      <c r="AF132" s="15">
        <v>6.6031964805036798E-3</v>
      </c>
      <c r="AG132" s="15">
        <v>-8.4404067678332004E-4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2.7069266400091854E-2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2.8888986411675407E-2</v>
      </c>
      <c r="BE132" s="29">
        <f t="shared" si="42"/>
        <v>0</v>
      </c>
      <c r="BF132" s="29">
        <f t="shared" si="43"/>
        <v>5.5958252811767265E-2</v>
      </c>
      <c r="BH132" s="29"/>
    </row>
    <row r="133" spans="1:60" x14ac:dyDescent="0.25">
      <c r="A133" s="1">
        <v>46217</v>
      </c>
      <c r="B133" s="33">
        <v>25.1</v>
      </c>
      <c r="C133" s="33">
        <v>25.71</v>
      </c>
      <c r="D133" s="15">
        <v>-4.4798142899894401E-2</v>
      </c>
      <c r="E133" s="15">
        <v>-3.6659316916124798E-2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25.1</v>
      </c>
      <c r="M133" s="33">
        <v>25.71</v>
      </c>
      <c r="N133" s="34">
        <v>1.0243027888446199</v>
      </c>
      <c r="O133" s="34">
        <v>1.01735801017489</v>
      </c>
      <c r="P133" s="34">
        <v>1.0224888333287301</v>
      </c>
      <c r="Q133" s="34">
        <v>1.0153490445611</v>
      </c>
      <c r="R133" s="33">
        <v>25.5356860553898</v>
      </c>
      <c r="S133" s="33">
        <v>25.6514603370419</v>
      </c>
      <c r="T133" s="33">
        <v>25.472882084755501</v>
      </c>
      <c r="U133" s="15">
        <v>-6.8030942827992796E-3</v>
      </c>
      <c r="V133" s="15">
        <v>-2.2795180636422398E-3</v>
      </c>
      <c r="W133" s="15">
        <v>-9.2655826317337101E-3</v>
      </c>
      <c r="X133" s="34">
        <v>1.0243027888446199</v>
      </c>
      <c r="Y133" s="34">
        <v>1.01735801017489</v>
      </c>
      <c r="Z133" s="34">
        <v>1.0224888333287301</v>
      </c>
      <c r="AA133" s="34">
        <v>1.0153490445611</v>
      </c>
      <c r="AB133" s="33">
        <v>25.5356860553898</v>
      </c>
      <c r="AC133" s="33">
        <v>25.6514603370419</v>
      </c>
      <c r="AD133" s="33">
        <v>25.472882084755501</v>
      </c>
      <c r="AE133" s="15">
        <v>-6.8030942827992796E-3</v>
      </c>
      <c r="AF133" s="15">
        <v>-2.2795180636422398E-3</v>
      </c>
      <c r="AG133" s="15">
        <v>-9.2655826317337101E-3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2.7069266400091854E-2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2.8888986411675407E-2</v>
      </c>
      <c r="BE133" s="29">
        <f t="shared" si="42"/>
        <v>0</v>
      </c>
      <c r="BF133" s="29">
        <f t="shared" si="43"/>
        <v>5.5958252811767265E-2</v>
      </c>
      <c r="BH133" s="29"/>
    </row>
    <row r="134" spans="1:60" x14ac:dyDescent="0.25">
      <c r="A134" s="1">
        <v>46218</v>
      </c>
      <c r="B134" s="33">
        <v>25.07</v>
      </c>
      <c r="C134" s="33">
        <v>25.47</v>
      </c>
      <c r="D134" s="15">
        <v>-1.19593396753626E-3</v>
      </c>
      <c r="E134" s="15">
        <v>-9.3787322864325798E-3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25.07</v>
      </c>
      <c r="M134" s="33">
        <v>25.47</v>
      </c>
      <c r="N134" s="34">
        <v>1.01595532508974</v>
      </c>
      <c r="O134" s="34">
        <v>1.01735801017489</v>
      </c>
      <c r="P134" s="34">
        <v>1.0214202007345199</v>
      </c>
      <c r="Q134" s="34">
        <v>1.01575705580445</v>
      </c>
      <c r="R134" s="33">
        <v>25.5051653150846</v>
      </c>
      <c r="S134" s="33">
        <v>25.633795051551498</v>
      </c>
      <c r="T134" s="33">
        <v>25.454800547146899</v>
      </c>
      <c r="U134" s="15">
        <v>1.3797040360971401E-3</v>
      </c>
      <c r="V134" s="15">
        <v>6.4103111041344304E-3</v>
      </c>
      <c r="W134" s="15">
        <v>-5.9693717564224095E-4</v>
      </c>
      <c r="X134" s="34">
        <v>1.01595532508974</v>
      </c>
      <c r="Y134" s="34">
        <v>1.01735801017489</v>
      </c>
      <c r="Z134" s="34">
        <v>1.0214202007345199</v>
      </c>
      <c r="AA134" s="34">
        <v>1.01575705580445</v>
      </c>
      <c r="AB134" s="33">
        <v>25.5051653150846</v>
      </c>
      <c r="AC134" s="33">
        <v>25.633795051551498</v>
      </c>
      <c r="AD134" s="33">
        <v>25.454800547146899</v>
      </c>
      <c r="AE134" s="15">
        <v>1.3797040360971401E-3</v>
      </c>
      <c r="AF134" s="15">
        <v>6.4103111041344304E-3</v>
      </c>
      <c r="AG134" s="15">
        <v>-5.9693717564224095E-4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2.7069266400091854E-2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2.8888986411675407E-2</v>
      </c>
      <c r="BE134" s="29">
        <f t="shared" si="42"/>
        <v>0</v>
      </c>
      <c r="BF134" s="29">
        <f t="shared" si="43"/>
        <v>5.5958252811767265E-2</v>
      </c>
      <c r="BH134" s="29"/>
    </row>
    <row r="135" spans="1:60" x14ac:dyDescent="0.25">
      <c r="A135" s="1">
        <v>46219</v>
      </c>
      <c r="B135" s="33">
        <v>25.96</v>
      </c>
      <c r="C135" s="33">
        <v>26.38</v>
      </c>
      <c r="D135" s="15">
        <v>3.48849796656873E-2</v>
      </c>
      <c r="E135" s="15">
        <v>3.5104858297802799E-2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25.96</v>
      </c>
      <c r="M135" s="33">
        <v>26.38</v>
      </c>
      <c r="N135" s="34">
        <v>1.01617873651771</v>
      </c>
      <c r="O135" s="34">
        <v>1.01735801017489</v>
      </c>
      <c r="P135" s="34">
        <v>1.0203667619588801</v>
      </c>
      <c r="Q135" s="34">
        <v>1.01639688327296</v>
      </c>
      <c r="R135" s="33">
        <v>26.410613944140199</v>
      </c>
      <c r="S135" s="33">
        <v>26.516068411068201</v>
      </c>
      <c r="T135" s="33">
        <v>26.369053168683699</v>
      </c>
      <c r="U135" s="15">
        <v>1.1598254039813299E-3</v>
      </c>
      <c r="V135" s="15">
        <v>5.1447570786636596E-3</v>
      </c>
      <c r="W135" s="15">
        <v>-4.1505319302631501E-4</v>
      </c>
      <c r="X135" s="34">
        <v>1.01617873651771</v>
      </c>
      <c r="Y135" s="34">
        <v>1.01735801017489</v>
      </c>
      <c r="Z135" s="34">
        <v>1.0203667619588801</v>
      </c>
      <c r="AA135" s="34">
        <v>1.01639688327296</v>
      </c>
      <c r="AB135" s="33">
        <v>26.410613944140199</v>
      </c>
      <c r="AC135" s="33">
        <v>26.516068411068201</v>
      </c>
      <c r="AD135" s="33">
        <v>26.369053168683699</v>
      </c>
      <c r="AE135" s="15">
        <v>1.1598254039813299E-3</v>
      </c>
      <c r="AF135" s="15">
        <v>5.1447570786636596E-3</v>
      </c>
      <c r="AG135" s="15">
        <v>-4.1505319302631501E-4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2.7069266400091854E-2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2.8888986411675407E-2</v>
      </c>
      <c r="BE135" s="29">
        <f t="shared" si="42"/>
        <v>0</v>
      </c>
      <c r="BF135" s="29">
        <f t="shared" si="43"/>
        <v>5.5958252811767265E-2</v>
      </c>
      <c r="BH135" s="29"/>
    </row>
    <row r="136" spans="1:60" x14ac:dyDescent="0.25">
      <c r="A136" s="1">
        <v>46220</v>
      </c>
      <c r="B136" s="33">
        <v>25.58</v>
      </c>
      <c r="C136" s="33">
        <v>26.13</v>
      </c>
      <c r="D136" s="15">
        <v>-1.47460956851927E-2</v>
      </c>
      <c r="E136" s="15">
        <v>-9.5220677566474499E-3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25.58</v>
      </c>
      <c r="M136" s="33">
        <v>26.13</v>
      </c>
      <c r="N136" s="34">
        <v>1.02150117279124</v>
      </c>
      <c r="O136" s="34">
        <v>1.01735801017489</v>
      </c>
      <c r="P136" s="34">
        <v>1.02022330125636</v>
      </c>
      <c r="Q136" s="34">
        <v>1.01745234175572</v>
      </c>
      <c r="R136" s="33">
        <v>26.024017900273801</v>
      </c>
      <c r="S136" s="33">
        <v>26.100981770908302</v>
      </c>
      <c r="T136" s="33">
        <v>25.999432274122299</v>
      </c>
      <c r="U136" s="15">
        <v>-4.0642025245637798E-3</v>
      </c>
      <c r="V136" s="15">
        <v>-1.1111501677133399E-3</v>
      </c>
      <c r="W136" s="15">
        <v>-5.0093773601191799E-3</v>
      </c>
      <c r="X136" s="34">
        <v>1.02150117279124</v>
      </c>
      <c r="Y136" s="34">
        <v>1.01735801017489</v>
      </c>
      <c r="Z136" s="34">
        <v>1.02022330125636</v>
      </c>
      <c r="AA136" s="34">
        <v>1.01745234175572</v>
      </c>
      <c r="AB136" s="33">
        <v>26.024017900273801</v>
      </c>
      <c r="AC136" s="33">
        <v>26.100981770908302</v>
      </c>
      <c r="AD136" s="33">
        <v>25.999432274122299</v>
      </c>
      <c r="AE136" s="15">
        <v>-4.0642025245637798E-3</v>
      </c>
      <c r="AF136" s="15">
        <v>-1.1111501677133399E-3</v>
      </c>
      <c r="AG136" s="15">
        <v>-5.0093773601191799E-3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2.7069266400091854E-2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2.8888986411675407E-2</v>
      </c>
      <c r="BE136" s="29">
        <f t="shared" si="42"/>
        <v>0</v>
      </c>
      <c r="BF136" s="29">
        <f t="shared" si="43"/>
        <v>5.5958252811767265E-2</v>
      </c>
      <c r="BH136" s="29"/>
    </row>
    <row r="137" spans="1:60" x14ac:dyDescent="0.25">
      <c r="A137" s="1">
        <v>46223</v>
      </c>
      <c r="B137" s="33">
        <v>26.41</v>
      </c>
      <c r="C137" s="33">
        <v>27.03</v>
      </c>
      <c r="D137" s="15">
        <v>3.1931930158344203E-2</v>
      </c>
      <c r="E137" s="15">
        <v>3.3863280755835098E-2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26.41</v>
      </c>
      <c r="M137" s="33">
        <v>27.03</v>
      </c>
      <c r="N137" s="34">
        <v>1.02347595607724</v>
      </c>
      <c r="O137" s="34">
        <v>1.01735801017489</v>
      </c>
      <c r="P137" s="34">
        <v>1.01981361531068</v>
      </c>
      <c r="Q137" s="34">
        <v>1.0186261395595799</v>
      </c>
      <c r="R137" s="33">
        <v>26.868425048718901</v>
      </c>
      <c r="S137" s="33">
        <v>26.944097386180399</v>
      </c>
      <c r="T137" s="33">
        <v>26.870916345768599</v>
      </c>
      <c r="U137" s="15">
        <v>-5.9955531220548001E-3</v>
      </c>
      <c r="V137" s="15">
        <v>-3.1831078428819601E-3</v>
      </c>
      <c r="W137" s="15">
        <v>-5.9028353109779096E-3</v>
      </c>
      <c r="X137" s="34">
        <v>1.02347595607724</v>
      </c>
      <c r="Y137" s="34">
        <v>1.01735801017489</v>
      </c>
      <c r="Z137" s="34">
        <v>1.01981361531068</v>
      </c>
      <c r="AA137" s="34">
        <v>1.0186261395595799</v>
      </c>
      <c r="AB137" s="33">
        <v>26.868425048718901</v>
      </c>
      <c r="AC137" s="33">
        <v>26.944097386180399</v>
      </c>
      <c r="AD137" s="33">
        <v>26.870916345768599</v>
      </c>
      <c r="AE137" s="15">
        <v>-5.9955531220548001E-3</v>
      </c>
      <c r="AF137" s="15">
        <v>-3.1831078428819601E-3</v>
      </c>
      <c r="AG137" s="15">
        <v>-5.9028353109779096E-3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2.7069266400091854E-2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2.8888986411675407E-2</v>
      </c>
      <c r="BE137" s="29">
        <f t="shared" si="42"/>
        <v>0</v>
      </c>
      <c r="BF137" s="29">
        <f t="shared" si="43"/>
        <v>5.5958252811767265E-2</v>
      </c>
      <c r="BH137" s="29"/>
    </row>
    <row r="138" spans="1:60" x14ac:dyDescent="0.25">
      <c r="A138" s="1">
        <v>46224</v>
      </c>
      <c r="B138" s="33">
        <v>26.29</v>
      </c>
      <c r="C138" s="33">
        <v>26.75</v>
      </c>
      <c r="D138" s="15">
        <v>-4.55408756725107E-3</v>
      </c>
      <c r="E138" s="15">
        <v>-1.04128869463407E-2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26.29</v>
      </c>
      <c r="M138" s="33">
        <v>26.75</v>
      </c>
      <c r="N138" s="34">
        <v>1.01749714720426</v>
      </c>
      <c r="O138" s="34">
        <v>1.01735801017489</v>
      </c>
      <c r="P138" s="34">
        <v>1.0192476218103399</v>
      </c>
      <c r="Q138" s="34">
        <v>1.0194459712411399</v>
      </c>
      <c r="R138" s="33">
        <v>26.746342087497901</v>
      </c>
      <c r="S138" s="33">
        <v>26.8108999465179</v>
      </c>
      <c r="T138" s="33">
        <v>26.779681209021401</v>
      </c>
      <c r="U138" s="15">
        <v>-1.36753742965123E-4</v>
      </c>
      <c r="V138" s="15">
        <v>2.2740459112151E-3</v>
      </c>
      <c r="W138" s="15">
        <v>1.10896278075608E-3</v>
      </c>
      <c r="X138" s="34">
        <v>1.01749714720426</v>
      </c>
      <c r="Y138" s="34">
        <v>1.01735801017489</v>
      </c>
      <c r="Z138" s="34">
        <v>1.0192476218103399</v>
      </c>
      <c r="AA138" s="34">
        <v>1.0194459712411399</v>
      </c>
      <c r="AB138" s="33">
        <v>26.746342087497901</v>
      </c>
      <c r="AC138" s="33">
        <v>26.8108999465179</v>
      </c>
      <c r="AD138" s="33">
        <v>26.779681209021401</v>
      </c>
      <c r="AE138" s="15">
        <v>-1.36753742965123E-4</v>
      </c>
      <c r="AF138" s="15">
        <v>2.2740459112151E-3</v>
      </c>
      <c r="AG138" s="15">
        <v>1.10896278075608E-3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2.7069266400091854E-2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2.8888986411675407E-2</v>
      </c>
      <c r="BE138" s="29">
        <f t="shared" si="42"/>
        <v>0</v>
      </c>
      <c r="BF138" s="29">
        <f t="shared" si="43"/>
        <v>5.5958252811767265E-2</v>
      </c>
      <c r="BH138" s="29"/>
    </row>
    <row r="139" spans="1:60" x14ac:dyDescent="0.25">
      <c r="A139" s="1">
        <v>46225</v>
      </c>
      <c r="B139" s="33">
        <v>26.41</v>
      </c>
      <c r="C139" s="33">
        <v>26.9</v>
      </c>
      <c r="D139" s="15">
        <v>4.5540875672509503E-3</v>
      </c>
      <c r="E139" s="15">
        <v>5.5918132657777099E-3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26.41</v>
      </c>
      <c r="M139" s="33">
        <v>26.9</v>
      </c>
      <c r="N139" s="34">
        <v>1.0185535781900701</v>
      </c>
      <c r="O139" s="34">
        <v>1.01735801017489</v>
      </c>
      <c r="P139" s="34">
        <v>1.0188531735781501</v>
      </c>
      <c r="Q139" s="34">
        <v>1.0203552947908801</v>
      </c>
      <c r="R139" s="33">
        <v>26.868425048718901</v>
      </c>
      <c r="S139" s="33">
        <v>26.918329692011199</v>
      </c>
      <c r="T139" s="33">
        <v>26.923568100478601</v>
      </c>
      <c r="U139" s="15">
        <v>-1.1744794414918899E-3</v>
      </c>
      <c r="V139" s="15">
        <v>6.8116914162631595E-4</v>
      </c>
      <c r="W139" s="15">
        <v>8.7575397977959996E-4</v>
      </c>
      <c r="X139" s="34">
        <v>1.0185535781900701</v>
      </c>
      <c r="Y139" s="34">
        <v>1.01735801017489</v>
      </c>
      <c r="Z139" s="34">
        <v>1.0188531735781501</v>
      </c>
      <c r="AA139" s="34">
        <v>1.0203552947908801</v>
      </c>
      <c r="AB139" s="33">
        <v>26.868425048718901</v>
      </c>
      <c r="AC139" s="33">
        <v>26.918329692011199</v>
      </c>
      <c r="AD139" s="33">
        <v>26.923568100478601</v>
      </c>
      <c r="AE139" s="15">
        <v>-1.1744794414918899E-3</v>
      </c>
      <c r="AF139" s="15">
        <v>6.8116914162631595E-4</v>
      </c>
      <c r="AG139" s="15">
        <v>8.7575397977959996E-4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2.7069266400091854E-2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2.8888986411675407E-2</v>
      </c>
      <c r="BE139" s="29">
        <f t="shared" si="42"/>
        <v>0</v>
      </c>
      <c r="BF139" s="29">
        <f t="shared" si="43"/>
        <v>5.5958252811767265E-2</v>
      </c>
      <c r="BH139" s="29"/>
    </row>
    <row r="140" spans="1:60" x14ac:dyDescent="0.25">
      <c r="A140" s="1">
        <v>46226</v>
      </c>
      <c r="B140" s="33">
        <v>25.7</v>
      </c>
      <c r="C140" s="33">
        <v>26.25</v>
      </c>
      <c r="D140" s="15">
        <v>-2.7251734407866698E-2</v>
      </c>
      <c r="E140" s="15">
        <v>-2.4460297570160501E-2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25.7</v>
      </c>
      <c r="M140" s="33">
        <v>26.25</v>
      </c>
      <c r="N140" s="34">
        <v>1.02140077821011</v>
      </c>
      <c r="O140" s="34">
        <v>1.01735801017489</v>
      </c>
      <c r="P140" s="34">
        <v>1.0191296510819501</v>
      </c>
      <c r="Q140" s="34">
        <v>1.02093972219059</v>
      </c>
      <c r="R140" s="33">
        <v>26.146100861494801</v>
      </c>
      <c r="S140" s="33">
        <v>26.184526560958499</v>
      </c>
      <c r="T140" s="33">
        <v>26.2231310761257</v>
      </c>
      <c r="U140" s="15">
        <v>-3.9659162791979997E-3</v>
      </c>
      <c r="V140" s="15">
        <v>-2.4973420135148698E-3</v>
      </c>
      <c r="W140" s="15">
        <v>-1.02410226611316E-3</v>
      </c>
      <c r="X140" s="34">
        <v>1.02140077821011</v>
      </c>
      <c r="Y140" s="34">
        <v>1.01735801017489</v>
      </c>
      <c r="Z140" s="34">
        <v>1.0191296510819501</v>
      </c>
      <c r="AA140" s="34">
        <v>1.02093972219059</v>
      </c>
      <c r="AB140" s="33">
        <v>26.146100861494801</v>
      </c>
      <c r="AC140" s="33">
        <v>26.184526560958499</v>
      </c>
      <c r="AD140" s="33">
        <v>26.2231310761257</v>
      </c>
      <c r="AE140" s="15">
        <v>-3.9659162791979997E-3</v>
      </c>
      <c r="AF140" s="15">
        <v>-2.4973420135148698E-3</v>
      </c>
      <c r="AG140" s="15">
        <v>-1.02410226611316E-3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2.7069266400091854E-2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2.8888986411675407E-2</v>
      </c>
      <c r="BE140" s="29">
        <f t="shared" si="42"/>
        <v>0</v>
      </c>
      <c r="BF140" s="29">
        <f t="shared" si="43"/>
        <v>5.5958252811767265E-2</v>
      </c>
      <c r="BH140" s="29"/>
    </row>
    <row r="141" spans="1:60" x14ac:dyDescent="0.25">
      <c r="A141" s="1">
        <v>46227</v>
      </c>
      <c r="B141" s="33">
        <v>26.08</v>
      </c>
      <c r="C141" s="33">
        <v>26.71</v>
      </c>
      <c r="D141" s="15">
        <v>1.4677745157278E-2</v>
      </c>
      <c r="E141" s="15">
        <v>1.73720380842367E-2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26.08</v>
      </c>
      <c r="M141" s="33">
        <v>26.71</v>
      </c>
      <c r="N141" s="34">
        <v>1.02415644171779</v>
      </c>
      <c r="O141" s="34">
        <v>1.01735801017489</v>
      </c>
      <c r="P141" s="34">
        <v>1.0199021924642799</v>
      </c>
      <c r="Q141" s="34">
        <v>1.0213166194209899</v>
      </c>
      <c r="R141" s="33">
        <v>26.532696905361199</v>
      </c>
      <c r="S141" s="33">
        <v>26.578901300217399</v>
      </c>
      <c r="T141" s="33">
        <v>26.626107954730799</v>
      </c>
      <c r="U141" s="15">
        <v>-6.6602092061566996E-3</v>
      </c>
      <c r="V141" s="15">
        <v>-4.9203102735983903E-3</v>
      </c>
      <c r="W141" s="15">
        <v>-3.1457906348666201E-3</v>
      </c>
      <c r="X141" s="34">
        <v>1.02415644171779</v>
      </c>
      <c r="Y141" s="34">
        <v>1.01735801017489</v>
      </c>
      <c r="Z141" s="34">
        <v>1.0199021924642799</v>
      </c>
      <c r="AA141" s="34">
        <v>1.0213166194209899</v>
      </c>
      <c r="AB141" s="33">
        <v>26.532696905361199</v>
      </c>
      <c r="AC141" s="33">
        <v>26.578901300217399</v>
      </c>
      <c r="AD141" s="33">
        <v>26.626107954730799</v>
      </c>
      <c r="AE141" s="15">
        <v>-6.6602092061566996E-3</v>
      </c>
      <c r="AF141" s="15">
        <v>-4.9203102735983903E-3</v>
      </c>
      <c r="AG141" s="15">
        <v>-3.1457906348666201E-3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2.7069266400091854E-2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2.8888986411675407E-2</v>
      </c>
      <c r="BE141" s="29">
        <f t="shared" si="42"/>
        <v>0</v>
      </c>
      <c r="BF141" s="29">
        <f t="shared" si="43"/>
        <v>5.5958252811767265E-2</v>
      </c>
      <c r="BH141" s="29"/>
    </row>
    <row r="142" spans="1:60" x14ac:dyDescent="0.25">
      <c r="A142" s="1">
        <v>46230</v>
      </c>
      <c r="B142" s="33">
        <v>27.4</v>
      </c>
      <c r="C142" s="33">
        <v>27.93</v>
      </c>
      <c r="D142" s="15">
        <v>4.9374276335572301E-2</v>
      </c>
      <c r="E142" s="15">
        <v>4.4663352835215699E-2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27.4</v>
      </c>
      <c r="M142" s="33">
        <v>27.93</v>
      </c>
      <c r="N142" s="34">
        <v>1.0193430656934299</v>
      </c>
      <c r="O142" s="34">
        <v>1.01735801017489</v>
      </c>
      <c r="P142" s="34">
        <v>1.0202364990336199</v>
      </c>
      <c r="Q142" s="34">
        <v>1.0211035151949399</v>
      </c>
      <c r="R142" s="33">
        <v>27.8756094787921</v>
      </c>
      <c r="S142" s="33">
        <v>27.945320073521302</v>
      </c>
      <c r="T142" s="33">
        <v>27.984075372135301</v>
      </c>
      <c r="U142" s="15">
        <v>-1.94928570580019E-3</v>
      </c>
      <c r="V142" s="15">
        <v>5.4836639450412696E-4</v>
      </c>
      <c r="W142" s="15">
        <v>1.9342317165966399E-3</v>
      </c>
      <c r="X142" s="34">
        <v>1.0193430656934299</v>
      </c>
      <c r="Y142" s="34">
        <v>1.01735801017489</v>
      </c>
      <c r="Z142" s="34">
        <v>1.0202364990336199</v>
      </c>
      <c r="AA142" s="34">
        <v>1.0211035151949399</v>
      </c>
      <c r="AB142" s="33">
        <v>27.8756094787921</v>
      </c>
      <c r="AC142" s="33">
        <v>27.945320073521302</v>
      </c>
      <c r="AD142" s="33">
        <v>27.984075372135301</v>
      </c>
      <c r="AE142" s="15">
        <v>-1.94928570580019E-3</v>
      </c>
      <c r="AF142" s="15">
        <v>5.4836639450412696E-4</v>
      </c>
      <c r="AG142" s="15">
        <v>1.9342317165966399E-3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2.7069266400091854E-2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2.8888986411675407E-2</v>
      </c>
      <c r="BE142" s="29">
        <f t="shared" si="42"/>
        <v>0</v>
      </c>
      <c r="BF142" s="29">
        <f t="shared" si="43"/>
        <v>5.5958252811767265E-2</v>
      </c>
      <c r="BH142" s="29"/>
    </row>
    <row r="143" spans="1:60" x14ac:dyDescent="0.25">
      <c r="A143" s="1">
        <v>46231</v>
      </c>
      <c r="B143" s="33">
        <v>28.9</v>
      </c>
      <c r="C143" s="33">
        <v>29.3</v>
      </c>
      <c r="D143" s="15">
        <v>5.3298581724361901E-2</v>
      </c>
      <c r="E143" s="15">
        <v>4.78861360659361E-2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28.9</v>
      </c>
      <c r="M143" s="33">
        <v>29.3</v>
      </c>
      <c r="N143" s="34">
        <v>1.0138408304498201</v>
      </c>
      <c r="O143" s="34">
        <v>1.01735801017489</v>
      </c>
      <c r="P143" s="34">
        <v>1.0191903031941401</v>
      </c>
      <c r="Q143" s="34">
        <v>1.02083956826144</v>
      </c>
      <c r="R143" s="33">
        <v>29.4016464940544</v>
      </c>
      <c r="S143" s="33">
        <v>29.484834822071701</v>
      </c>
      <c r="T143" s="33">
        <v>29.509891589133701</v>
      </c>
      <c r="U143" s="15">
        <v>3.4631599526255301E-3</v>
      </c>
      <c r="V143" s="15">
        <v>6.2885413134242301E-3</v>
      </c>
      <c r="W143" s="15">
        <v>7.1379992257819304E-3</v>
      </c>
      <c r="X143" s="34">
        <v>1.0138408304498201</v>
      </c>
      <c r="Y143" s="34">
        <v>1.01735801017489</v>
      </c>
      <c r="Z143" s="34">
        <v>1.0191903031941401</v>
      </c>
      <c r="AA143" s="34">
        <v>1.02083956826144</v>
      </c>
      <c r="AB143" s="33">
        <v>29.4016464940544</v>
      </c>
      <c r="AC143" s="33">
        <v>29.484834822071701</v>
      </c>
      <c r="AD143" s="33">
        <v>29.509891589133701</v>
      </c>
      <c r="AE143" s="15">
        <v>3.4631599526255301E-3</v>
      </c>
      <c r="AF143" s="15">
        <v>6.2885413134242301E-3</v>
      </c>
      <c r="AG143" s="15">
        <v>7.1379992257819304E-3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2.7069266400091854E-2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2.8888986411675407E-2</v>
      </c>
      <c r="BE143" s="29">
        <f t="shared" si="42"/>
        <v>0</v>
      </c>
      <c r="BF143" s="29">
        <f t="shared" si="43"/>
        <v>5.5958252811767265E-2</v>
      </c>
      <c r="BH143" s="29"/>
    </row>
    <row r="144" spans="1:60" x14ac:dyDescent="0.25">
      <c r="A144" s="1">
        <v>46232</v>
      </c>
      <c r="B144" s="33">
        <v>29.52</v>
      </c>
      <c r="C144" s="33">
        <v>29.87</v>
      </c>
      <c r="D144" s="15">
        <v>2.1226404613885301E-2</v>
      </c>
      <c r="E144" s="15">
        <v>1.9267116204996701E-2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29.52</v>
      </c>
      <c r="M144" s="33">
        <v>29.87</v>
      </c>
      <c r="N144" s="34">
        <v>1.0118563685636801</v>
      </c>
      <c r="O144" s="34">
        <v>1.01735801017489</v>
      </c>
      <c r="P144" s="34">
        <v>1.0187804075415301</v>
      </c>
      <c r="Q144" s="34">
        <v>1.0201003041380301</v>
      </c>
      <c r="R144" s="33">
        <v>30.032408460362898</v>
      </c>
      <c r="S144" s="33">
        <v>30.086497750291102</v>
      </c>
      <c r="T144" s="33">
        <v>30.135184055077701</v>
      </c>
      <c r="U144" s="15">
        <v>5.42244836151383E-3</v>
      </c>
      <c r="V144" s="15">
        <v>7.2218591602834399E-3</v>
      </c>
      <c r="W144" s="15">
        <v>8.8387623730158803E-3</v>
      </c>
      <c r="X144" s="34">
        <v>1.0118563685636801</v>
      </c>
      <c r="Y144" s="34">
        <v>1.01735801017489</v>
      </c>
      <c r="Z144" s="34">
        <v>1.0187804075415301</v>
      </c>
      <c r="AA144" s="34">
        <v>1.0201003041380301</v>
      </c>
      <c r="AB144" s="33">
        <v>30.032408460362898</v>
      </c>
      <c r="AC144" s="33">
        <v>30.086497750291102</v>
      </c>
      <c r="AD144" s="33">
        <v>30.135184055077701</v>
      </c>
      <c r="AE144" s="15">
        <v>5.42244836151383E-3</v>
      </c>
      <c r="AF144" s="15">
        <v>7.2218591602834399E-3</v>
      </c>
      <c r="AG144" s="15">
        <v>8.8387623730158803E-3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2.7069266400091854E-2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2.8888986411675407E-2</v>
      </c>
      <c r="BE144" s="29">
        <f t="shared" si="42"/>
        <v>0</v>
      </c>
      <c r="BF144" s="29">
        <f t="shared" si="43"/>
        <v>5.5958252811767265E-2</v>
      </c>
      <c r="BH144" s="29"/>
    </row>
    <row r="145" spans="1:60" x14ac:dyDescent="0.25">
      <c r="A145" s="1">
        <v>46233</v>
      </c>
      <c r="B145" s="33">
        <v>28.83</v>
      </c>
      <c r="C145" s="33">
        <v>29.21</v>
      </c>
      <c r="D145" s="15">
        <v>-2.3651488081960902E-2</v>
      </c>
      <c r="E145" s="15">
        <v>-2.2343515828368798E-2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28.83</v>
      </c>
      <c r="M145" s="33">
        <v>29.21</v>
      </c>
      <c r="N145" s="34">
        <v>1.0131807145334699</v>
      </c>
      <c r="O145" s="34">
        <v>1.01735801017489</v>
      </c>
      <c r="P145" s="34">
        <v>1.0184806053431099</v>
      </c>
      <c r="Q145" s="34">
        <v>1.019423683651</v>
      </c>
      <c r="R145" s="33">
        <v>29.330431433342198</v>
      </c>
      <c r="S145" s="33">
        <v>29.3714391494225</v>
      </c>
      <c r="T145" s="33">
        <v>29.4094917682994</v>
      </c>
      <c r="U145" s="15">
        <v>4.1144761079217303E-3</v>
      </c>
      <c r="V145" s="15">
        <v>5.5116282716930701E-3</v>
      </c>
      <c r="W145" s="15">
        <v>6.8063551022644799E-3</v>
      </c>
      <c r="X145" s="34">
        <v>1.0131807145334699</v>
      </c>
      <c r="Y145" s="34">
        <v>1.01735801017489</v>
      </c>
      <c r="Z145" s="34">
        <v>1.0184806053431099</v>
      </c>
      <c r="AA145" s="34">
        <v>1.019423683651</v>
      </c>
      <c r="AB145" s="33">
        <v>29.330431433342198</v>
      </c>
      <c r="AC145" s="33">
        <v>29.3714391494225</v>
      </c>
      <c r="AD145" s="33">
        <v>29.4094917682994</v>
      </c>
      <c r="AE145" s="15">
        <v>4.1144761079217303E-3</v>
      </c>
      <c r="AF145" s="15">
        <v>5.5116282716930701E-3</v>
      </c>
      <c r="AG145" s="15">
        <v>6.8063551022644799E-3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2.7069266400091854E-2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2.8888986411675407E-2</v>
      </c>
      <c r="BE145" s="29">
        <f t="shared" si="42"/>
        <v>0</v>
      </c>
      <c r="BF145" s="29">
        <f t="shared" si="43"/>
        <v>5.5958252811767265E-2</v>
      </c>
      <c r="BH145" s="29"/>
    </row>
    <row r="146" spans="1:60" x14ac:dyDescent="0.25">
      <c r="A146" s="1">
        <v>46234</v>
      </c>
      <c r="B146" s="33">
        <v>28.73</v>
      </c>
      <c r="C146" s="33">
        <v>29.22</v>
      </c>
      <c r="D146" s="15">
        <v>-3.4746386591125202E-3</v>
      </c>
      <c r="E146" s="15">
        <v>3.4228992290370101E-4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28.73</v>
      </c>
      <c r="M146" s="33">
        <v>29.22</v>
      </c>
      <c r="N146" s="34">
        <v>1.01705534284719</v>
      </c>
      <c r="O146" s="34">
        <v>1.01735801017489</v>
      </c>
      <c r="P146" s="34">
        <v>1.0180360223487099</v>
      </c>
      <c r="Q146" s="34">
        <v>1.0191296618025301</v>
      </c>
      <c r="R146" s="33">
        <v>29.228695632324701</v>
      </c>
      <c r="S146" s="33">
        <v>29.260947791507601</v>
      </c>
      <c r="T146" s="33">
        <v>29.288042431293199</v>
      </c>
      <c r="U146" s="15">
        <v>2.9754752590544002E-4</v>
      </c>
      <c r="V146" s="15">
        <v>1.40038079907528E-3</v>
      </c>
      <c r="W146" s="15">
        <v>2.32591825468683E-3</v>
      </c>
      <c r="X146" s="34">
        <v>1.01705534284719</v>
      </c>
      <c r="Y146" s="34">
        <v>1.01735801017489</v>
      </c>
      <c r="Z146" s="34">
        <v>1.0180360223487099</v>
      </c>
      <c r="AA146" s="34">
        <v>1.0191296618025301</v>
      </c>
      <c r="AB146" s="33">
        <v>29.228695632324701</v>
      </c>
      <c r="AC146" s="33">
        <v>29.260947791507601</v>
      </c>
      <c r="AD146" s="33">
        <v>29.288042431293199</v>
      </c>
      <c r="AE146" s="15">
        <v>2.9754752590544002E-4</v>
      </c>
      <c r="AF146" s="15">
        <v>1.40038079907528E-3</v>
      </c>
      <c r="AG146" s="15">
        <v>2.32591825468683E-3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2.7069266400091854E-2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2.8888986411675407E-2</v>
      </c>
      <c r="BE146" s="29">
        <f t="shared" si="42"/>
        <v>0</v>
      </c>
      <c r="BF146" s="29">
        <f t="shared" si="43"/>
        <v>5.5958252811767265E-2</v>
      </c>
      <c r="BH146" s="29"/>
    </row>
    <row r="147" spans="1:60" x14ac:dyDescent="0.25">
      <c r="A147" s="1">
        <v>46237</v>
      </c>
      <c r="B147" s="33">
        <v>27.81</v>
      </c>
      <c r="C147" s="33">
        <v>28.12</v>
      </c>
      <c r="D147" s="15">
        <v>-3.25462047453247E-2</v>
      </c>
      <c r="E147" s="15">
        <v>-3.8372339380089097E-2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27.81</v>
      </c>
      <c r="M147" s="33">
        <v>28.12</v>
      </c>
      <c r="N147" s="34">
        <v>1.01114706939949</v>
      </c>
      <c r="O147" s="34">
        <v>1.01735801017489</v>
      </c>
      <c r="P147" s="34">
        <v>1.01680313368093</v>
      </c>
      <c r="Q147" s="34">
        <v>1.0183083744958099</v>
      </c>
      <c r="R147" s="33">
        <v>28.2927262629638</v>
      </c>
      <c r="S147" s="33">
        <v>28.311581781517599</v>
      </c>
      <c r="T147" s="33">
        <v>28.341995894728498</v>
      </c>
      <c r="U147" s="15">
        <v>6.1236821606700303E-3</v>
      </c>
      <c r="V147" s="15">
        <v>6.7899042169982E-3</v>
      </c>
      <c r="W147" s="15">
        <v>7.8635916125753703E-3</v>
      </c>
      <c r="X147" s="34">
        <v>1.01114706939949</v>
      </c>
      <c r="Y147" s="34">
        <v>1.01735801017489</v>
      </c>
      <c r="Z147" s="34">
        <v>1.01680313368093</v>
      </c>
      <c r="AA147" s="34">
        <v>1.0183083744958099</v>
      </c>
      <c r="AB147" s="33">
        <v>28.2927262629638</v>
      </c>
      <c r="AC147" s="33">
        <v>28.311581781517599</v>
      </c>
      <c r="AD147" s="33">
        <v>28.341995894728498</v>
      </c>
      <c r="AE147" s="15">
        <v>6.1236821606700303E-3</v>
      </c>
      <c r="AF147" s="15">
        <v>6.7899042169982E-3</v>
      </c>
      <c r="AG147" s="15">
        <v>7.8635916125753703E-3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2.7069266400091854E-2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2.8888986411675407E-2</v>
      </c>
      <c r="BE147" s="29">
        <f t="shared" si="42"/>
        <v>0</v>
      </c>
      <c r="BF147" s="29">
        <f t="shared" si="43"/>
        <v>5.5958252811767265E-2</v>
      </c>
      <c r="BH147" s="29"/>
    </row>
    <row r="148" spans="1:60" x14ac:dyDescent="0.25">
      <c r="A148" s="1">
        <v>46238</v>
      </c>
      <c r="B148" s="33">
        <v>28.47</v>
      </c>
      <c r="C148" s="33">
        <v>28.86</v>
      </c>
      <c r="D148" s="15">
        <v>2.3455233044072699E-2</v>
      </c>
      <c r="E148" s="15">
        <v>2.59754864032605E-2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28.47</v>
      </c>
      <c r="M148" s="33">
        <v>28.86</v>
      </c>
      <c r="N148" s="34">
        <v>1.0136986301369799</v>
      </c>
      <c r="O148" s="34">
        <v>1.01735801017489</v>
      </c>
      <c r="P148" s="34">
        <v>1.0164232819742001</v>
      </c>
      <c r="Q148" s="34">
        <v>1.0178354518922701</v>
      </c>
      <c r="R148" s="33">
        <v>28.964182549679201</v>
      </c>
      <c r="S148" s="33">
        <v>28.948385215896199</v>
      </c>
      <c r="T148" s="33">
        <v>28.991239421895699</v>
      </c>
      <c r="U148" s="15">
        <v>3.6034288014819699E-3</v>
      </c>
      <c r="V148" s="15">
        <v>3.05787073751238E-3</v>
      </c>
      <c r="W148" s="15">
        <v>4.5371421025590204E-3</v>
      </c>
      <c r="X148" s="34">
        <v>1.0136986301369799</v>
      </c>
      <c r="Y148" s="34">
        <v>1.01735801017489</v>
      </c>
      <c r="Z148" s="34">
        <v>1.0164232819742001</v>
      </c>
      <c r="AA148" s="34">
        <v>1.0178354518922701</v>
      </c>
      <c r="AB148" s="33">
        <v>28.964182549679201</v>
      </c>
      <c r="AC148" s="33">
        <v>28.948385215896199</v>
      </c>
      <c r="AD148" s="33">
        <v>28.991239421895699</v>
      </c>
      <c r="AE148" s="15">
        <v>3.6034288014819699E-3</v>
      </c>
      <c r="AF148" s="15">
        <v>3.05787073751238E-3</v>
      </c>
      <c r="AG148" s="15">
        <v>4.5371421025590204E-3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2.7069266400091854E-2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2.8888986411675407E-2</v>
      </c>
      <c r="BE148" s="29">
        <f t="shared" si="42"/>
        <v>0</v>
      </c>
      <c r="BF148" s="29">
        <f t="shared" si="43"/>
        <v>5.5958252811767265E-2</v>
      </c>
      <c r="BH148" s="29"/>
    </row>
    <row r="149" spans="1:60" x14ac:dyDescent="0.25">
      <c r="A149" s="1">
        <v>46239</v>
      </c>
      <c r="B149" s="33">
        <v>28.38</v>
      </c>
      <c r="C149" s="33">
        <v>28.69</v>
      </c>
      <c r="D149" s="15">
        <v>-3.1662295580495402E-3</v>
      </c>
      <c r="E149" s="15">
        <v>-5.9079233524513804E-3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28.38</v>
      </c>
      <c r="M149" s="33">
        <v>28.69</v>
      </c>
      <c r="N149" s="34">
        <v>1.0109231853417899</v>
      </c>
      <c r="O149" s="34">
        <v>1.01735801017489</v>
      </c>
      <c r="P149" s="34">
        <v>1.0156602426893699</v>
      </c>
      <c r="Q149" s="34">
        <v>1.01725670813376</v>
      </c>
      <c r="R149" s="33">
        <v>28.872620328763499</v>
      </c>
      <c r="S149" s="33">
        <v>28.846092742427999</v>
      </c>
      <c r="T149" s="33">
        <v>28.886170124702801</v>
      </c>
      <c r="U149" s="15">
        <v>6.3451225958837997E-3</v>
      </c>
      <c r="V149" s="15">
        <v>5.4259202508624201E-3</v>
      </c>
      <c r="W149" s="15">
        <v>6.8143081893327498E-3</v>
      </c>
      <c r="X149" s="34">
        <v>1.0109231853417899</v>
      </c>
      <c r="Y149" s="34">
        <v>1.01735801017489</v>
      </c>
      <c r="Z149" s="34">
        <v>1.0156602426893699</v>
      </c>
      <c r="AA149" s="34">
        <v>1.01725670813376</v>
      </c>
      <c r="AB149" s="33">
        <v>28.872620328763499</v>
      </c>
      <c r="AC149" s="33">
        <v>28.846092742427999</v>
      </c>
      <c r="AD149" s="33">
        <v>28.886170124702801</v>
      </c>
      <c r="AE149" s="15">
        <v>6.3451225958837997E-3</v>
      </c>
      <c r="AF149" s="15">
        <v>5.4259202508624201E-3</v>
      </c>
      <c r="AG149" s="15">
        <v>6.8143081893327498E-3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2.7069266400091854E-2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2.8888986411675407E-2</v>
      </c>
      <c r="BE149" s="29">
        <f t="shared" si="42"/>
        <v>0</v>
      </c>
      <c r="BF149" s="29">
        <f t="shared" si="43"/>
        <v>5.5958252811767265E-2</v>
      </c>
      <c r="BH149" s="29"/>
    </row>
    <row r="150" spans="1:60" x14ac:dyDescent="0.25">
      <c r="A150" s="1">
        <v>46240</v>
      </c>
      <c r="B150" s="33">
        <v>28.27</v>
      </c>
      <c r="C150" s="33">
        <v>28.62</v>
      </c>
      <c r="D150" s="15">
        <v>-3.88350002639763E-3</v>
      </c>
      <c r="E150" s="15">
        <v>-2.4428558649685398E-3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28.27</v>
      </c>
      <c r="M150" s="33">
        <v>28.62</v>
      </c>
      <c r="N150" s="34">
        <v>1.01238061549345</v>
      </c>
      <c r="O150" s="34">
        <v>1.01735801017489</v>
      </c>
      <c r="P150" s="34">
        <v>1.01475822641771</v>
      </c>
      <c r="Q150" s="34">
        <v>1.01694393874983</v>
      </c>
      <c r="R150" s="33">
        <v>28.760710947644199</v>
      </c>
      <c r="S150" s="33">
        <v>28.7127150608287</v>
      </c>
      <c r="T150" s="33">
        <v>28.7578471389415</v>
      </c>
      <c r="U150" s="15">
        <v>4.9044784344547399E-3</v>
      </c>
      <c r="V150" s="15">
        <v>3.2342840052694099E-3</v>
      </c>
      <c r="W150" s="15">
        <v>4.80489983581302E-3</v>
      </c>
      <c r="X150" s="34">
        <v>1.01238061549345</v>
      </c>
      <c r="Y150" s="34">
        <v>1.01735801017489</v>
      </c>
      <c r="Z150" s="34">
        <v>1.01475822641771</v>
      </c>
      <c r="AA150" s="34">
        <v>1.01694393874983</v>
      </c>
      <c r="AB150" s="33">
        <v>28.760710947644199</v>
      </c>
      <c r="AC150" s="33">
        <v>28.7127150608287</v>
      </c>
      <c r="AD150" s="33">
        <v>28.7578471389415</v>
      </c>
      <c r="AE150" s="15">
        <v>4.9044784344547399E-3</v>
      </c>
      <c r="AF150" s="15">
        <v>3.2342840052694099E-3</v>
      </c>
      <c r="AG150" s="15">
        <v>4.80489983581302E-3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2.7069266400091854E-2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2.8888986411675407E-2</v>
      </c>
      <c r="BE150" s="29">
        <f t="shared" si="42"/>
        <v>0</v>
      </c>
      <c r="BF150" s="29">
        <f t="shared" si="43"/>
        <v>5.5958252811767265E-2</v>
      </c>
      <c r="BH150" s="29"/>
    </row>
    <row r="151" spans="1:60" x14ac:dyDescent="0.25">
      <c r="A151" s="1">
        <v>46241</v>
      </c>
      <c r="B151" s="33">
        <v>28.52</v>
      </c>
      <c r="C151" s="33">
        <v>29.06</v>
      </c>
      <c r="D151" s="15">
        <v>8.80442384059614E-3</v>
      </c>
      <c r="E151" s="15">
        <v>1.5256884013831899E-2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28.52</v>
      </c>
      <c r="M151" s="33">
        <v>29.06</v>
      </c>
      <c r="N151" s="34">
        <v>1.0189340813464201</v>
      </c>
      <c r="O151" s="34">
        <v>1.01735801017489</v>
      </c>
      <c r="P151" s="34">
        <v>1.01423599038057</v>
      </c>
      <c r="Q151" s="34">
        <v>1.0170690914224201</v>
      </c>
      <c r="R151" s="33">
        <v>29.015050450187999</v>
      </c>
      <c r="S151" s="33">
        <v>28.940904617433102</v>
      </c>
      <c r="T151" s="33">
        <v>29.003241133145298</v>
      </c>
      <c r="U151" s="15">
        <v>-1.5479817387809801E-3</v>
      </c>
      <c r="V151" s="15">
        <v>-4.1066790502348096E-3</v>
      </c>
      <c r="W151" s="15">
        <v>-1.9550711887983598E-3</v>
      </c>
      <c r="X151" s="34">
        <v>1.0189340813464201</v>
      </c>
      <c r="Y151" s="34">
        <v>1.01735801017489</v>
      </c>
      <c r="Z151" s="34">
        <v>1.01423599038057</v>
      </c>
      <c r="AA151" s="34">
        <v>1.0170690914224201</v>
      </c>
      <c r="AB151" s="33">
        <v>29.015050450187999</v>
      </c>
      <c r="AC151" s="33">
        <v>28.940904617433102</v>
      </c>
      <c r="AD151" s="33">
        <v>29.003241133145298</v>
      </c>
      <c r="AE151" s="15">
        <v>-1.5479817387809801E-3</v>
      </c>
      <c r="AF151" s="15">
        <v>-4.1066790502348096E-3</v>
      </c>
      <c r="AG151" s="15">
        <v>-1.9550711887983598E-3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2.7069266400091854E-2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2.8888986411675407E-2</v>
      </c>
      <c r="BE151" s="29">
        <f t="shared" ref="BE151:BE176" si="62">AQ151+BB151</f>
        <v>0</v>
      </c>
      <c r="BF151" s="29">
        <f t="shared" ref="BF151:BF176" si="63">BF150+BE151</f>
        <v>5.5958252811767265E-2</v>
      </c>
      <c r="BH151" s="29"/>
    </row>
    <row r="152" spans="1:60" x14ac:dyDescent="0.25">
      <c r="A152" s="1">
        <v>46244</v>
      </c>
      <c r="B152" s="33">
        <v>28.19</v>
      </c>
      <c r="C152" s="33">
        <v>28.68</v>
      </c>
      <c r="D152" s="15">
        <v>-1.16382904200739E-2</v>
      </c>
      <c r="E152" s="15">
        <v>-1.31626424107172E-2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28.19</v>
      </c>
      <c r="M152" s="33">
        <v>28.68</v>
      </c>
      <c r="N152" s="34">
        <v>1.01738205037247</v>
      </c>
      <c r="O152" s="34">
        <v>1.01735801017489</v>
      </c>
      <c r="P152" s="34">
        <v>1.0140398888484801</v>
      </c>
      <c r="Q152" s="34">
        <v>1.01713819394105</v>
      </c>
      <c r="R152" s="33">
        <v>28.679322306830301</v>
      </c>
      <c r="S152" s="33">
        <v>28.5913125688284</v>
      </c>
      <c r="T152" s="33">
        <v>28.671177687198199</v>
      </c>
      <c r="U152" s="15">
        <v>-2.3629748137697399E-5</v>
      </c>
      <c r="V152" s="15">
        <v>-3.09710038358187E-3</v>
      </c>
      <c r="W152" s="15">
        <v>-3.0765934465795301E-4</v>
      </c>
      <c r="X152" s="34">
        <v>1.01738205037247</v>
      </c>
      <c r="Y152" s="34">
        <v>1.01735801017489</v>
      </c>
      <c r="Z152" s="34">
        <v>1.0140398888484801</v>
      </c>
      <c r="AA152" s="34">
        <v>1.01713819394105</v>
      </c>
      <c r="AB152" s="33">
        <v>28.679322306830301</v>
      </c>
      <c r="AC152" s="33">
        <v>28.5913125688284</v>
      </c>
      <c r="AD152" s="33">
        <v>28.671177687198199</v>
      </c>
      <c r="AE152" s="15">
        <v>-2.3629748137697399E-5</v>
      </c>
      <c r="AF152" s="15">
        <v>-3.09710038358187E-3</v>
      </c>
      <c r="AG152" s="15">
        <v>-3.0765934465795301E-4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2.7069266400091854E-2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2.8888986411675407E-2</v>
      </c>
      <c r="BE152" s="29">
        <f t="shared" si="62"/>
        <v>0</v>
      </c>
      <c r="BF152" s="29">
        <f t="shared" si="63"/>
        <v>5.5958252811767265E-2</v>
      </c>
      <c r="BH152" s="29"/>
    </row>
    <row r="153" spans="1:60" x14ac:dyDescent="0.25">
      <c r="A153" s="1">
        <v>46245</v>
      </c>
      <c r="B153" s="33">
        <v>28.03</v>
      </c>
      <c r="C153" s="33">
        <v>28.41</v>
      </c>
      <c r="D153" s="15">
        <v>-5.6919399493243197E-3</v>
      </c>
      <c r="E153" s="15">
        <v>-9.4588198653230496E-3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28.03</v>
      </c>
      <c r="M153" s="33">
        <v>28.41</v>
      </c>
      <c r="N153" s="34">
        <v>1.01355690331787</v>
      </c>
      <c r="O153" s="34">
        <v>1.01735801017489</v>
      </c>
      <c r="P153" s="34">
        <v>1.01401149613528</v>
      </c>
      <c r="Q153" s="34">
        <v>1.01660089966471</v>
      </c>
      <c r="R153" s="33">
        <v>28.516545025202301</v>
      </c>
      <c r="S153" s="33">
        <v>28.423538084422901</v>
      </c>
      <c r="T153" s="33">
        <v>28.510383576167701</v>
      </c>
      <c r="U153" s="15">
        <v>3.7432501678611799E-3</v>
      </c>
      <c r="V153" s="15">
        <v>4.7641182074088898E-4</v>
      </c>
      <c r="W153" s="15">
        <v>3.5271610601468198E-3</v>
      </c>
      <c r="X153" s="34">
        <v>1.01355690331787</v>
      </c>
      <c r="Y153" s="34">
        <v>1.01735801017489</v>
      </c>
      <c r="Z153" s="34">
        <v>1.01401149613528</v>
      </c>
      <c r="AA153" s="34">
        <v>1.01660089966471</v>
      </c>
      <c r="AB153" s="33">
        <v>28.516545025202301</v>
      </c>
      <c r="AC153" s="33">
        <v>28.423538084422901</v>
      </c>
      <c r="AD153" s="33">
        <v>28.510383576167701</v>
      </c>
      <c r="AE153" s="15">
        <v>3.7432501678611799E-3</v>
      </c>
      <c r="AF153" s="15">
        <v>4.7641182074088898E-4</v>
      </c>
      <c r="AG153" s="15">
        <v>3.5271610601468198E-3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2.7069266400091854E-2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2.8888986411675407E-2</v>
      </c>
      <c r="BE153" s="29">
        <f t="shared" si="62"/>
        <v>0</v>
      </c>
      <c r="BF153" s="29">
        <f t="shared" si="63"/>
        <v>5.5958252811767265E-2</v>
      </c>
      <c r="BH153" s="29"/>
    </row>
    <row r="154" spans="1:60" x14ac:dyDescent="0.25">
      <c r="A154" s="1">
        <v>46246</v>
      </c>
      <c r="B154" s="33">
        <v>27.92</v>
      </c>
      <c r="C154" s="33">
        <v>28.4</v>
      </c>
      <c r="D154" s="15">
        <v>-3.9320872825251898E-3</v>
      </c>
      <c r="E154" s="15">
        <v>-3.5205069893621697E-4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27.92</v>
      </c>
      <c r="M154" s="33">
        <v>28.4</v>
      </c>
      <c r="N154" s="34">
        <v>1.0171919770773601</v>
      </c>
      <c r="O154" s="34">
        <v>1.01735801017489</v>
      </c>
      <c r="P154" s="34">
        <v>1.0145450569866501</v>
      </c>
      <c r="Q154" s="34">
        <v>1.01666273226409</v>
      </c>
      <c r="R154" s="33">
        <v>28.404635644083001</v>
      </c>
      <c r="S154" s="33">
        <v>28.311200972097101</v>
      </c>
      <c r="T154" s="33">
        <v>28.3834971186388</v>
      </c>
      <c r="U154" s="15">
        <v>1.6321358427219399E-4</v>
      </c>
      <c r="V154" s="15">
        <v>-3.1316247567410001E-3</v>
      </c>
      <c r="W154" s="15">
        <v>-5.8125626856999398E-4</v>
      </c>
      <c r="X154" s="34">
        <v>1.0171919770773601</v>
      </c>
      <c r="Y154" s="34">
        <v>1.01735801017489</v>
      </c>
      <c r="Z154" s="34">
        <v>1.0145450569866501</v>
      </c>
      <c r="AA154" s="34">
        <v>1.01666273226409</v>
      </c>
      <c r="AB154" s="33">
        <v>28.404635644083001</v>
      </c>
      <c r="AC154" s="33">
        <v>28.311200972097101</v>
      </c>
      <c r="AD154" s="33">
        <v>28.3834971186388</v>
      </c>
      <c r="AE154" s="15">
        <v>1.6321358427219399E-4</v>
      </c>
      <c r="AF154" s="15">
        <v>-3.1316247567410001E-3</v>
      </c>
      <c r="AG154" s="15">
        <v>-5.8125626856999398E-4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2.7069266400091854E-2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2.8888986411675407E-2</v>
      </c>
      <c r="BE154" s="29">
        <f t="shared" si="62"/>
        <v>0</v>
      </c>
      <c r="BF154" s="29">
        <f t="shared" si="63"/>
        <v>5.5958252811767265E-2</v>
      </c>
      <c r="BH154" s="29"/>
    </row>
    <row r="155" spans="1:60" x14ac:dyDescent="0.25">
      <c r="A155" s="1">
        <v>46247</v>
      </c>
      <c r="B155" s="33">
        <v>28.03</v>
      </c>
      <c r="C155" s="33">
        <v>28.55</v>
      </c>
      <c r="D155" s="15">
        <v>3.9320872825251499E-3</v>
      </c>
      <c r="E155" s="15">
        <v>5.2677909348590197E-3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28.03</v>
      </c>
      <c r="M155" s="33">
        <v>28.55</v>
      </c>
      <c r="N155" s="34">
        <v>1.0185515519086601</v>
      </c>
      <c r="O155" s="34">
        <v>1.01735801017489</v>
      </c>
      <c r="P155" s="34">
        <v>1.0150821407241699</v>
      </c>
      <c r="Q155" s="34">
        <v>1.0167813730336399</v>
      </c>
      <c r="R155" s="33">
        <v>28.516545025202301</v>
      </c>
      <c r="S155" s="33">
        <v>28.437697947335799</v>
      </c>
      <c r="T155" s="33">
        <v>28.497056385362601</v>
      </c>
      <c r="U155" s="15">
        <v>-1.1724900680616301E-3</v>
      </c>
      <c r="V155" s="15">
        <v>-3.9412786296383097E-3</v>
      </c>
      <c r="W155" s="15">
        <v>-1.8561388857673399E-3</v>
      </c>
      <c r="X155" s="34">
        <v>1.0185515519086601</v>
      </c>
      <c r="Y155" s="34">
        <v>1.01735801017489</v>
      </c>
      <c r="Z155" s="34">
        <v>1.0150821407241699</v>
      </c>
      <c r="AA155" s="34">
        <v>1.0167813730336399</v>
      </c>
      <c r="AB155" s="33">
        <v>28.516545025202301</v>
      </c>
      <c r="AC155" s="33">
        <v>28.437697947335799</v>
      </c>
      <c r="AD155" s="33">
        <v>28.497056385362601</v>
      </c>
      <c r="AE155" s="15">
        <v>-1.1724900680616301E-3</v>
      </c>
      <c r="AF155" s="15">
        <v>-3.9412786296383097E-3</v>
      </c>
      <c r="AG155" s="15">
        <v>-1.8561388857673399E-3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2.7069266400091854E-2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2.8888986411675407E-2</v>
      </c>
      <c r="BE155" s="29">
        <f t="shared" si="62"/>
        <v>0</v>
      </c>
      <c r="BF155" s="29">
        <f t="shared" si="63"/>
        <v>5.5958252811767265E-2</v>
      </c>
      <c r="BH155" s="29"/>
    </row>
    <row r="156" spans="1:60" x14ac:dyDescent="0.25">
      <c r="A156" s="1">
        <v>46248</v>
      </c>
      <c r="B156" s="33">
        <v>28.42</v>
      </c>
      <c r="C156" s="33">
        <v>28.9</v>
      </c>
      <c r="D156" s="15">
        <v>1.38177574922577E-2</v>
      </c>
      <c r="E156" s="15">
        <v>1.21846590163672E-2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28.42</v>
      </c>
      <c r="M156" s="33">
        <v>28.9</v>
      </c>
      <c r="N156" s="34">
        <v>1.01688951442646</v>
      </c>
      <c r="O156" s="34">
        <v>1.01735801017489</v>
      </c>
      <c r="P156" s="34">
        <v>1.01506555788209</v>
      </c>
      <c r="Q156" s="34">
        <v>1.0165507901154001</v>
      </c>
      <c r="R156" s="33">
        <v>28.913314649170498</v>
      </c>
      <c r="S156" s="33">
        <v>28.848634439380898</v>
      </c>
      <c r="T156" s="33">
        <v>28.8969266216161</v>
      </c>
      <c r="U156" s="15">
        <v>4.60608407828944E-4</v>
      </c>
      <c r="V156" s="15">
        <v>-1.7789364082345699E-3</v>
      </c>
      <c r="W156" s="15">
        <v>-1.06350927856634E-4</v>
      </c>
      <c r="X156" s="34">
        <v>1.01688951442646</v>
      </c>
      <c r="Y156" s="34">
        <v>1.01735801017489</v>
      </c>
      <c r="Z156" s="34">
        <v>1.01506555788209</v>
      </c>
      <c r="AA156" s="34">
        <v>1.0165507901154001</v>
      </c>
      <c r="AB156" s="33">
        <v>28.913314649170498</v>
      </c>
      <c r="AC156" s="33">
        <v>28.848634439380898</v>
      </c>
      <c r="AD156" s="33">
        <v>28.8969266216161</v>
      </c>
      <c r="AE156" s="15">
        <v>4.60608407828944E-4</v>
      </c>
      <c r="AF156" s="15">
        <v>-1.7789364082345699E-3</v>
      </c>
      <c r="AG156" s="15">
        <v>-1.06350927856634E-4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2.7069266400091854E-2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2.8888986411675407E-2</v>
      </c>
      <c r="BE156" s="29">
        <f t="shared" si="62"/>
        <v>0</v>
      </c>
      <c r="BF156" s="29">
        <f t="shared" si="63"/>
        <v>5.5958252811767265E-2</v>
      </c>
      <c r="BH156" s="29"/>
    </row>
    <row r="157" spans="1:60" x14ac:dyDescent="0.25">
      <c r="A157" s="1">
        <v>46251</v>
      </c>
      <c r="B157" s="33">
        <v>27.58</v>
      </c>
      <c r="C157" s="33">
        <v>28.05</v>
      </c>
      <c r="D157" s="15">
        <v>-3.00022503037989E-2</v>
      </c>
      <c r="E157" s="15">
        <v>-2.9852963149681E-2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27.58</v>
      </c>
      <c r="M157" s="33">
        <v>28.05</v>
      </c>
      <c r="N157" s="34">
        <v>1.01704133430021</v>
      </c>
      <c r="O157" s="34">
        <v>1.01735801017489</v>
      </c>
      <c r="P157" s="34">
        <v>1.0156549843721701</v>
      </c>
      <c r="Q157" s="34">
        <v>1.0162290590265499</v>
      </c>
      <c r="R157" s="33">
        <v>28.058733920623599</v>
      </c>
      <c r="S157" s="33">
        <v>27.995508086388199</v>
      </c>
      <c r="T157" s="33">
        <v>28.036470791382801</v>
      </c>
      <c r="U157" s="15">
        <v>3.1132125371104901E-4</v>
      </c>
      <c r="V157" s="15">
        <v>-1.9445601491785501E-3</v>
      </c>
      <c r="W157" s="15">
        <v>-4.8244108387110202E-4</v>
      </c>
      <c r="X157" s="34">
        <v>1.01704133430021</v>
      </c>
      <c r="Y157" s="34">
        <v>1.01735801017489</v>
      </c>
      <c r="Z157" s="34">
        <v>1.0156549843721701</v>
      </c>
      <c r="AA157" s="34">
        <v>1.0162290590265499</v>
      </c>
      <c r="AB157" s="33">
        <v>28.058733920623599</v>
      </c>
      <c r="AC157" s="33">
        <v>27.995508086388199</v>
      </c>
      <c r="AD157" s="33">
        <v>28.036470791382801</v>
      </c>
      <c r="AE157" s="15">
        <v>3.1132125371104901E-4</v>
      </c>
      <c r="AF157" s="15">
        <v>-1.9445601491785501E-3</v>
      </c>
      <c r="AG157" s="15">
        <v>-4.8244108387110202E-4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2.7069266400091854E-2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2.8888986411675407E-2</v>
      </c>
      <c r="BE157" s="29">
        <f t="shared" si="62"/>
        <v>0</v>
      </c>
      <c r="BF157" s="29">
        <f t="shared" si="63"/>
        <v>5.5958252811767265E-2</v>
      </c>
      <c r="BH157" s="29"/>
    </row>
    <row r="158" spans="1:60" x14ac:dyDescent="0.25">
      <c r="A158" s="1">
        <v>46252</v>
      </c>
      <c r="B158" s="33">
        <v>27.15</v>
      </c>
      <c r="C158" s="33">
        <v>27.8</v>
      </c>
      <c r="D158" s="15">
        <v>-1.5713825985211299E-2</v>
      </c>
      <c r="E158" s="15">
        <v>-8.9526112721139296E-3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27.15</v>
      </c>
      <c r="M158" s="33">
        <v>27.8</v>
      </c>
      <c r="N158" s="34">
        <v>1.0239410681399601</v>
      </c>
      <c r="O158" s="34">
        <v>1.01735801017489</v>
      </c>
      <c r="P158" s="34">
        <v>1.0166792281724599</v>
      </c>
      <c r="Q158" s="34">
        <v>1.01655125507333</v>
      </c>
      <c r="R158" s="33">
        <v>27.621269976248399</v>
      </c>
      <c r="S158" s="33">
        <v>27.575032825704401</v>
      </c>
      <c r="T158" s="33">
        <v>27.5906189525709</v>
      </c>
      <c r="U158" s="15">
        <v>-6.44989345938639E-3</v>
      </c>
      <c r="V158" s="15">
        <v>-8.1252651423412304E-3</v>
      </c>
      <c r="W158" s="15">
        <v>-7.5601987730054398E-3</v>
      </c>
      <c r="X158" s="34">
        <v>1.0239410681399601</v>
      </c>
      <c r="Y158" s="34">
        <v>1.01735801017489</v>
      </c>
      <c r="Z158" s="34">
        <v>1.0166792281724599</v>
      </c>
      <c r="AA158" s="34">
        <v>1.01655125507333</v>
      </c>
      <c r="AB158" s="33">
        <v>27.621269976248399</v>
      </c>
      <c r="AC158" s="33">
        <v>27.575032825704401</v>
      </c>
      <c r="AD158" s="33">
        <v>27.5906189525709</v>
      </c>
      <c r="AE158" s="15">
        <v>-6.44989345938639E-3</v>
      </c>
      <c r="AF158" s="15">
        <v>-8.1252651423412304E-3</v>
      </c>
      <c r="AG158" s="15">
        <v>-7.5601987730054398E-3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2.7069266400091854E-2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2.8888986411675407E-2</v>
      </c>
      <c r="BE158" s="29">
        <f t="shared" si="62"/>
        <v>0</v>
      </c>
      <c r="BF158" s="29">
        <f t="shared" si="63"/>
        <v>5.5958252811767265E-2</v>
      </c>
      <c r="BH158" s="29"/>
    </row>
    <row r="159" spans="1:60" x14ac:dyDescent="0.25">
      <c r="A159" s="1">
        <v>46253</v>
      </c>
      <c r="B159" s="33">
        <v>28.43</v>
      </c>
      <c r="C159" s="33">
        <v>29.2</v>
      </c>
      <c r="D159" s="15">
        <v>4.6067879282963901E-2</v>
      </c>
      <c r="E159" s="15">
        <v>4.9132688577644502E-2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28.43</v>
      </c>
      <c r="M159" s="33">
        <v>29.2</v>
      </c>
      <c r="N159" s="34">
        <v>1.0270840661273299</v>
      </c>
      <c r="O159" s="34">
        <v>1.01735801017489</v>
      </c>
      <c r="P159" s="34">
        <v>1.01829531625102</v>
      </c>
      <c r="Q159" s="34">
        <v>1.0169777794702</v>
      </c>
      <c r="R159" s="33">
        <v>28.923488229272198</v>
      </c>
      <c r="S159" s="33">
        <v>28.904190456943201</v>
      </c>
      <c r="T159" s="33">
        <v>28.900552181735002</v>
      </c>
      <c r="U159" s="15">
        <v>-9.5147027540670708E-3</v>
      </c>
      <c r="V159" s="15">
        <v>-1.0182126156968899E-2</v>
      </c>
      <c r="W159" s="15">
        <v>-1.03080077039491E-2</v>
      </c>
      <c r="X159" s="34">
        <v>1.0270840661273299</v>
      </c>
      <c r="Y159" s="34">
        <v>1.01735801017489</v>
      </c>
      <c r="Z159" s="34">
        <v>1.01829531625102</v>
      </c>
      <c r="AA159" s="34">
        <v>1.0169777794702</v>
      </c>
      <c r="AB159" s="33">
        <v>28.923488229272198</v>
      </c>
      <c r="AC159" s="33">
        <v>28.904190456943201</v>
      </c>
      <c r="AD159" s="33">
        <v>28.900552181735002</v>
      </c>
      <c r="AE159" s="15">
        <v>-9.5147027540670708E-3</v>
      </c>
      <c r="AF159" s="15">
        <v>-1.0182126156968899E-2</v>
      </c>
      <c r="AG159" s="15">
        <v>-1.03080077039491E-2</v>
      </c>
      <c r="AI159" s="12"/>
      <c r="AJ159">
        <f t="shared" si="46"/>
        <v>1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2.7069266400091854E-2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2.8888986411675407E-2</v>
      </c>
      <c r="BE159" s="29">
        <f t="shared" si="62"/>
        <v>0</v>
      </c>
      <c r="BF159" s="29">
        <f t="shared" si="63"/>
        <v>5.5958252811767265E-2</v>
      </c>
      <c r="BH159" s="29"/>
    </row>
    <row r="160" spans="1:60" x14ac:dyDescent="0.25">
      <c r="A160" s="1">
        <v>46254</v>
      </c>
      <c r="B160" s="33">
        <v>28.41</v>
      </c>
      <c r="C160" s="33">
        <v>28.96</v>
      </c>
      <c r="D160" s="15">
        <v>-7.0372979681183803E-4</v>
      </c>
      <c r="E160" s="15">
        <v>-8.2531417567204106E-3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28.41</v>
      </c>
      <c r="M160" s="33">
        <v>28.96</v>
      </c>
      <c r="N160" s="34">
        <v>1.01935938049982</v>
      </c>
      <c r="O160" s="34">
        <v>1.01735801017489</v>
      </c>
      <c r="P160" s="34">
        <v>1.01899319275165</v>
      </c>
      <c r="Q160" s="34">
        <v>1.0168757095846801</v>
      </c>
      <c r="R160" s="33">
        <v>28.903141069068699</v>
      </c>
      <c r="S160" s="33">
        <v>28.9297699346915</v>
      </c>
      <c r="T160" s="33">
        <v>28.892338714748401</v>
      </c>
      <c r="U160" s="15">
        <v>-1.9652907941583998E-3</v>
      </c>
      <c r="V160" s="15">
        <v>-1.04440104323736E-3</v>
      </c>
      <c r="W160" s="15">
        <v>-2.3391039188717499E-3</v>
      </c>
      <c r="X160" s="34">
        <v>1.01935938049982</v>
      </c>
      <c r="Y160" s="34">
        <v>1.01735801017489</v>
      </c>
      <c r="Z160" s="34">
        <v>1.01899319275165</v>
      </c>
      <c r="AA160" s="34">
        <v>1.0168757095846801</v>
      </c>
      <c r="AB160" s="33">
        <v>28.903141069068699</v>
      </c>
      <c r="AC160" s="33">
        <v>28.9297699346915</v>
      </c>
      <c r="AD160" s="33">
        <v>28.892338714748401</v>
      </c>
      <c r="AE160" s="15">
        <v>-1.9652907941583998E-3</v>
      </c>
      <c r="AF160" s="15">
        <v>-1.04440104323736E-3</v>
      </c>
      <c r="AG160" s="15">
        <v>-2.3391039188717499E-3</v>
      </c>
      <c r="AI160" s="12"/>
      <c r="AJ160">
        <f t="shared" si="46"/>
        <v>0</v>
      </c>
      <c r="AK160">
        <f t="shared" si="47"/>
        <v>1</v>
      </c>
      <c r="AL160">
        <f t="shared" si="54"/>
        <v>1</v>
      </c>
      <c r="AM160">
        <f t="shared" si="44"/>
        <v>1</v>
      </c>
      <c r="AN160">
        <f t="shared" si="55"/>
        <v>1</v>
      </c>
      <c r="AO160" s="28">
        <f t="shared" si="48"/>
        <v>-7.0372979681183803E-4</v>
      </c>
      <c r="AP160" s="28">
        <f t="shared" si="49"/>
        <v>8.2531417567204106E-3</v>
      </c>
      <c r="AQ160" s="28">
        <f t="shared" si="56"/>
        <v>7.5494119599085726E-3</v>
      </c>
      <c r="AR160" s="29">
        <f t="shared" si="57"/>
        <v>3.4618678360000425E-2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2.8888986411675407E-2</v>
      </c>
      <c r="BE160" s="29">
        <f t="shared" si="62"/>
        <v>7.5494119599085726E-3</v>
      </c>
      <c r="BF160" s="29">
        <f t="shared" si="63"/>
        <v>6.350766477167584E-2</v>
      </c>
      <c r="BH160" s="29"/>
    </row>
    <row r="161" spans="1:60" x14ac:dyDescent="0.25">
      <c r="A161" s="1">
        <v>46255</v>
      </c>
      <c r="B161" s="33">
        <v>28.44</v>
      </c>
      <c r="C161" s="33">
        <v>29.06</v>
      </c>
      <c r="D161" s="15">
        <v>1.05540906894368E-3</v>
      </c>
      <c r="E161" s="15">
        <v>3.44709062462109E-3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28.44</v>
      </c>
      <c r="M161" s="33">
        <v>29.06</v>
      </c>
      <c r="N161" s="34">
        <v>1.02180028129395</v>
      </c>
      <c r="O161" s="34">
        <v>1.01735801017489</v>
      </c>
      <c r="P161" s="34">
        <v>1.01927981274641</v>
      </c>
      <c r="Q161" s="34">
        <v>1.01675790156349</v>
      </c>
      <c r="R161" s="33">
        <v>28.933661809374001</v>
      </c>
      <c r="S161" s="33">
        <v>28.9801664018572</v>
      </c>
      <c r="T161" s="33">
        <v>28.9199451805884</v>
      </c>
      <c r="U161" s="15">
        <v>-4.35697234983591E-3</v>
      </c>
      <c r="V161" s="15">
        <v>-2.7509793110404601E-3</v>
      </c>
      <c r="W161" s="15">
        <v>-4.8311564070179901E-3</v>
      </c>
      <c r="X161" s="34">
        <v>1.02180028129395</v>
      </c>
      <c r="Y161" s="34">
        <v>1.01735801017489</v>
      </c>
      <c r="Z161" s="34">
        <v>1.01927981274641</v>
      </c>
      <c r="AA161" s="34">
        <v>1.01675790156349</v>
      </c>
      <c r="AB161" s="33">
        <v>28.933661809374001</v>
      </c>
      <c r="AC161" s="33">
        <v>28.9801664018572</v>
      </c>
      <c r="AD161" s="33">
        <v>28.9199451805884</v>
      </c>
      <c r="AE161" s="15">
        <v>-4.35697234983591E-3</v>
      </c>
      <c r="AF161" s="15">
        <v>-2.7509793110404601E-3</v>
      </c>
      <c r="AG161" s="15">
        <v>-4.8311564070179901E-3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3.4618678360000425E-2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2.8888986411675407E-2</v>
      </c>
      <c r="BE161" s="29">
        <f t="shared" si="62"/>
        <v>0</v>
      </c>
      <c r="BF161" s="29">
        <f t="shared" si="63"/>
        <v>6.350766477167584E-2</v>
      </c>
      <c r="BH161" s="29"/>
    </row>
    <row r="162" spans="1:60" x14ac:dyDescent="0.25">
      <c r="A162" s="1">
        <v>46258</v>
      </c>
      <c r="B162" s="33">
        <v>28.75</v>
      </c>
      <c r="C162" s="33">
        <v>29.35</v>
      </c>
      <c r="D162" s="15">
        <v>1.08411623083192E-2</v>
      </c>
      <c r="E162" s="15">
        <v>9.9298881319686508E-3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28.75</v>
      </c>
      <c r="M162" s="33">
        <v>29.35</v>
      </c>
      <c r="N162" s="34">
        <v>1.02086956521739</v>
      </c>
      <c r="O162" s="34">
        <v>1.01735801017489</v>
      </c>
      <c r="P162" s="34">
        <v>1.0196285642309</v>
      </c>
      <c r="Q162" s="34">
        <v>1.0168342265396899</v>
      </c>
      <c r="R162" s="33">
        <v>29.249042792528201</v>
      </c>
      <c r="S162" s="33">
        <v>29.304294616459298</v>
      </c>
      <c r="T162" s="33">
        <v>29.231789669950398</v>
      </c>
      <c r="U162" s="15">
        <v>-3.44569817348531E-3</v>
      </c>
      <c r="V162" s="15">
        <v>-1.5584670514017501E-3</v>
      </c>
      <c r="W162" s="15">
        <v>-4.0357418630787801E-3</v>
      </c>
      <c r="X162" s="34">
        <v>1.02086956521739</v>
      </c>
      <c r="Y162" s="34">
        <v>1.01735801017489</v>
      </c>
      <c r="Z162" s="34">
        <v>1.0196285642309</v>
      </c>
      <c r="AA162" s="34">
        <v>1.0168342265396899</v>
      </c>
      <c r="AB162" s="33">
        <v>29.249042792528201</v>
      </c>
      <c r="AC162" s="33">
        <v>29.304294616459298</v>
      </c>
      <c r="AD162" s="33">
        <v>29.231789669950398</v>
      </c>
      <c r="AE162" s="15">
        <v>-3.44569817348531E-3</v>
      </c>
      <c r="AF162" s="15">
        <v>-1.5584670514017501E-3</v>
      </c>
      <c r="AG162" s="15">
        <v>-4.0357418630787801E-3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3.4618678360000425E-2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2.8888986411675407E-2</v>
      </c>
      <c r="BE162" s="29">
        <f t="shared" si="62"/>
        <v>0</v>
      </c>
      <c r="BF162" s="29">
        <f t="shared" si="63"/>
        <v>6.350766477167584E-2</v>
      </c>
      <c r="BH162" s="29"/>
    </row>
    <row r="163" spans="1:60" x14ac:dyDescent="0.25">
      <c r="A163" s="1">
        <v>46259</v>
      </c>
      <c r="B163" s="33">
        <v>28.18</v>
      </c>
      <c r="C163" s="33">
        <v>28.92</v>
      </c>
      <c r="D163" s="15">
        <v>-2.00252607728253E-2</v>
      </c>
      <c r="E163" s="15">
        <v>-1.47591489835415E-2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28.18</v>
      </c>
      <c r="M163" s="33">
        <v>28.92</v>
      </c>
      <c r="N163" s="34">
        <v>1.0262597586941</v>
      </c>
      <c r="O163" s="34">
        <v>1.01735801017489</v>
      </c>
      <c r="P163" s="34">
        <v>1.0208988497685201</v>
      </c>
      <c r="Q163" s="34">
        <v>1.0174551729518999</v>
      </c>
      <c r="R163" s="33">
        <v>28.669148726728501</v>
      </c>
      <c r="S163" s="33">
        <v>28.733132940026799</v>
      </c>
      <c r="T163" s="33">
        <v>28.654388503888502</v>
      </c>
      <c r="U163" s="15">
        <v>-8.7118099627691292E-3</v>
      </c>
      <c r="V163" s="15">
        <v>-6.4824825583501998E-3</v>
      </c>
      <c r="W163" s="15">
        <v>-9.2267894591263697E-3</v>
      </c>
      <c r="X163" s="34">
        <v>1.0262597586941</v>
      </c>
      <c r="Y163" s="34">
        <v>1.01735801017489</v>
      </c>
      <c r="Z163" s="34">
        <v>1.0208988497685201</v>
      </c>
      <c r="AA163" s="34">
        <v>1.0174551729518999</v>
      </c>
      <c r="AB163" s="33">
        <v>28.669148726728501</v>
      </c>
      <c r="AC163" s="33">
        <v>28.733132940026799</v>
      </c>
      <c r="AD163" s="33">
        <v>28.654388503888502</v>
      </c>
      <c r="AE163" s="15">
        <v>-8.7118099627691292E-3</v>
      </c>
      <c r="AF163" s="15">
        <v>-6.4824825583501998E-3</v>
      </c>
      <c r="AG163" s="15">
        <v>-9.2267894591263697E-3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3.4618678360000425E-2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2.8888986411675407E-2</v>
      </c>
      <c r="BE163" s="29">
        <f t="shared" si="62"/>
        <v>0</v>
      </c>
      <c r="BF163" s="29">
        <f t="shared" si="63"/>
        <v>6.350766477167584E-2</v>
      </c>
      <c r="BH163" s="29"/>
    </row>
    <row r="164" spans="1:60" x14ac:dyDescent="0.25">
      <c r="A164" s="1">
        <v>46260</v>
      </c>
      <c r="B164" s="33">
        <v>28.07</v>
      </c>
      <c r="C164" s="33">
        <v>28.72</v>
      </c>
      <c r="D164" s="15">
        <v>-3.91111609674298E-3</v>
      </c>
      <c r="E164" s="15">
        <v>-6.9396531105405902E-3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28.07</v>
      </c>
      <c r="M164" s="33">
        <v>28.72</v>
      </c>
      <c r="N164" s="34">
        <v>1.02315639472746</v>
      </c>
      <c r="O164" s="34">
        <v>1.01735801017489</v>
      </c>
      <c r="P164" s="34">
        <v>1.02149529153353</v>
      </c>
      <c r="Q164" s="34">
        <v>1.0180201742600901</v>
      </c>
      <c r="R164" s="33">
        <v>28.5572393456093</v>
      </c>
      <c r="S164" s="33">
        <v>28.6566307130025</v>
      </c>
      <c r="T164" s="33">
        <v>28.559966704760001</v>
      </c>
      <c r="U164" s="15">
        <v>-5.6832729489715798E-3</v>
      </c>
      <c r="V164" s="15">
        <v>-2.2088892978150902E-3</v>
      </c>
      <c r="W164" s="15">
        <v>-5.5877725090385296E-3</v>
      </c>
      <c r="X164" s="34">
        <v>1.02315639472746</v>
      </c>
      <c r="Y164" s="34">
        <v>1.01735801017489</v>
      </c>
      <c r="Z164" s="34">
        <v>1.02149529153353</v>
      </c>
      <c r="AA164" s="34">
        <v>1.0180201742600901</v>
      </c>
      <c r="AB164" s="33">
        <v>28.5572393456093</v>
      </c>
      <c r="AC164" s="33">
        <v>28.6566307130025</v>
      </c>
      <c r="AD164" s="33">
        <v>28.559966704760001</v>
      </c>
      <c r="AE164" s="15">
        <v>-5.6832729489715798E-3</v>
      </c>
      <c r="AF164" s="15">
        <v>-2.2088892978150902E-3</v>
      </c>
      <c r="AG164" s="15">
        <v>-5.5877725090385296E-3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3.4618678360000425E-2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2.8888986411675407E-2</v>
      </c>
      <c r="BE164" s="29">
        <f t="shared" si="62"/>
        <v>0</v>
      </c>
      <c r="BF164" s="29">
        <f t="shared" si="63"/>
        <v>6.350766477167584E-2</v>
      </c>
      <c r="BH164" s="29"/>
    </row>
    <row r="165" spans="1:60" x14ac:dyDescent="0.25">
      <c r="A165" s="1">
        <v>46261</v>
      </c>
      <c r="B165" s="33">
        <v>27.28</v>
      </c>
      <c r="C165" s="33">
        <v>27.74</v>
      </c>
      <c r="D165" s="15">
        <v>-2.85475573985297E-2</v>
      </c>
      <c r="E165" s="15">
        <v>-3.4718329293337902E-2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27.28</v>
      </c>
      <c r="M165" s="33">
        <v>27.74</v>
      </c>
      <c r="N165" s="34">
        <v>1.0168621700879701</v>
      </c>
      <c r="O165" s="34">
        <v>1.01735801017489</v>
      </c>
      <c r="P165" s="34">
        <v>1.02132635335146</v>
      </c>
      <c r="Q165" s="34">
        <v>1.0182042470378201</v>
      </c>
      <c r="R165" s="33">
        <v>27.7535265175711</v>
      </c>
      <c r="S165" s="33">
        <v>27.866391553034902</v>
      </c>
      <c r="T165" s="33">
        <v>27.771590353815402</v>
      </c>
      <c r="U165" s="15">
        <v>4.87498945836625E-4</v>
      </c>
      <c r="V165" s="15">
        <v>4.54594398838052E-3</v>
      </c>
      <c r="W165" s="15">
        <v>1.13815356484055E-3</v>
      </c>
      <c r="X165" s="34">
        <v>1.0168621700879701</v>
      </c>
      <c r="Y165" s="34">
        <v>1.01735801017489</v>
      </c>
      <c r="Z165" s="34">
        <v>1.02132635335146</v>
      </c>
      <c r="AA165" s="34">
        <v>1.0182042470378201</v>
      </c>
      <c r="AB165" s="33">
        <v>27.7535265175711</v>
      </c>
      <c r="AC165" s="33">
        <v>27.866391553034902</v>
      </c>
      <c r="AD165" s="33">
        <v>27.771590353815402</v>
      </c>
      <c r="AE165" s="15">
        <v>4.87498945836625E-4</v>
      </c>
      <c r="AF165" s="15">
        <v>4.54594398838052E-3</v>
      </c>
      <c r="AG165" s="15">
        <v>1.13815356484055E-3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3.4618678360000425E-2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2.8888986411675407E-2</v>
      </c>
      <c r="BE165" s="29">
        <f t="shared" si="62"/>
        <v>0</v>
      </c>
      <c r="BF165" s="29">
        <f t="shared" si="63"/>
        <v>6.350766477167584E-2</v>
      </c>
      <c r="BH165" s="29"/>
    </row>
    <row r="166" spans="1:60" x14ac:dyDescent="0.25">
      <c r="A166" s="1">
        <v>46262</v>
      </c>
      <c r="B166" s="33">
        <v>27.22</v>
      </c>
      <c r="C166" s="33">
        <v>27.75</v>
      </c>
      <c r="D166" s="15">
        <v>-2.2018357519414402E-3</v>
      </c>
      <c r="E166" s="15">
        <v>3.6042530575806898E-4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27.22</v>
      </c>
      <c r="M166" s="33">
        <v>27.75</v>
      </c>
      <c r="N166" s="34">
        <v>1.01947097722263</v>
      </c>
      <c r="O166" s="34">
        <v>1.01735801017489</v>
      </c>
      <c r="P166" s="34">
        <v>1.0215844996310799</v>
      </c>
      <c r="Q166" s="34">
        <v>1.0183250287565899</v>
      </c>
      <c r="R166" s="33">
        <v>27.692485036960601</v>
      </c>
      <c r="S166" s="33">
        <v>27.8005033382269</v>
      </c>
      <c r="T166" s="33">
        <v>27.715519604369401</v>
      </c>
      <c r="U166" s="15">
        <v>-2.0747621118628302E-3</v>
      </c>
      <c r="V166" s="15">
        <v>1.81828603186017E-3</v>
      </c>
      <c r="W166" s="15">
        <v>-1.2433093683484799E-3</v>
      </c>
      <c r="X166" s="34">
        <v>1.01947097722263</v>
      </c>
      <c r="Y166" s="34">
        <v>1.01735801017489</v>
      </c>
      <c r="Z166" s="34">
        <v>1.0215844996310799</v>
      </c>
      <c r="AA166" s="34">
        <v>1.0183250287565899</v>
      </c>
      <c r="AB166" s="33">
        <v>27.692485036960601</v>
      </c>
      <c r="AC166" s="33">
        <v>27.8005033382269</v>
      </c>
      <c r="AD166" s="33">
        <v>27.715519604369401</v>
      </c>
      <c r="AE166" s="15">
        <v>-2.0747621118628302E-3</v>
      </c>
      <c r="AF166" s="15">
        <v>1.81828603186017E-3</v>
      </c>
      <c r="AG166" s="15">
        <v>-1.2433093683484799E-3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3.4618678360000425E-2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2.8888986411675407E-2</v>
      </c>
      <c r="BE166" s="29">
        <f t="shared" si="62"/>
        <v>0</v>
      </c>
      <c r="BF166" s="29">
        <f t="shared" si="63"/>
        <v>6.350766477167584E-2</v>
      </c>
      <c r="BH166" s="29"/>
    </row>
    <row r="167" spans="1:60" x14ac:dyDescent="0.25">
      <c r="A167" s="1">
        <v>46265</v>
      </c>
      <c r="B167" s="33">
        <v>26.57</v>
      </c>
      <c r="C167" s="33">
        <v>27.24</v>
      </c>
      <c r="D167" s="15">
        <v>-2.41692374515977E-2</v>
      </c>
      <c r="E167" s="15">
        <v>-1.8549358911131901E-2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26.57</v>
      </c>
      <c r="M167" s="33">
        <v>27.24</v>
      </c>
      <c r="N167" s="34">
        <v>1.0252164094843801</v>
      </c>
      <c r="O167" s="34">
        <v>1.01735801017489</v>
      </c>
      <c r="P167" s="34">
        <v>1.0224020071494999</v>
      </c>
      <c r="Q167" s="34">
        <v>1.01902849576083</v>
      </c>
      <c r="R167" s="33">
        <v>27.0312023303469</v>
      </c>
      <c r="S167" s="33">
        <v>27.143500155197898</v>
      </c>
      <c r="T167" s="33">
        <v>27.056896014062598</v>
      </c>
      <c r="U167" s="15">
        <v>-7.6946406523287101E-3</v>
      </c>
      <c r="V167" s="15">
        <v>-3.54886852839474E-3</v>
      </c>
      <c r="W167" s="15">
        <v>-6.7445726545687602E-3</v>
      </c>
      <c r="X167" s="34">
        <v>1.0252164094843801</v>
      </c>
      <c r="Y167" s="34">
        <v>1.01735801017489</v>
      </c>
      <c r="Z167" s="34">
        <v>1.0224020071494999</v>
      </c>
      <c r="AA167" s="34">
        <v>1.01902849576083</v>
      </c>
      <c r="AB167" s="33">
        <v>27.0312023303469</v>
      </c>
      <c r="AC167" s="33">
        <v>27.143500155197898</v>
      </c>
      <c r="AD167" s="33">
        <v>27.056896014062598</v>
      </c>
      <c r="AE167" s="15">
        <v>-7.6946406523287101E-3</v>
      </c>
      <c r="AF167" s="15">
        <v>-3.54886852839474E-3</v>
      </c>
      <c r="AG167" s="15">
        <v>-6.7445726545687602E-3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3.4618678360000425E-2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2.8888986411675407E-2</v>
      </c>
      <c r="BE167" s="29">
        <f t="shared" si="62"/>
        <v>0</v>
      </c>
      <c r="BF167" s="29">
        <f t="shared" si="63"/>
        <v>6.350766477167584E-2</v>
      </c>
      <c r="BH167" s="29"/>
    </row>
    <row r="168" spans="1:60" x14ac:dyDescent="0.25">
      <c r="A168" s="1">
        <v>46266</v>
      </c>
      <c r="B168" s="33">
        <v>26.36</v>
      </c>
      <c r="C168" s="33">
        <v>27.01</v>
      </c>
      <c r="D168" s="15">
        <v>-7.9350501374156508E-3</v>
      </c>
      <c r="E168" s="15">
        <v>-8.4793134767873098E-3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26.36</v>
      </c>
      <c r="M168" s="33">
        <v>27.01</v>
      </c>
      <c r="N168" s="34">
        <v>1.02465857359635</v>
      </c>
      <c r="O168" s="34">
        <v>1.01735801017489</v>
      </c>
      <c r="P168" s="34">
        <v>1.0224737576951399</v>
      </c>
      <c r="Q168" s="34">
        <v>1.0195764929338</v>
      </c>
      <c r="R168" s="33">
        <v>26.817557148210199</v>
      </c>
      <c r="S168" s="33">
        <v>26.950516908460799</v>
      </c>
      <c r="T168" s="33">
        <v>26.861591148255599</v>
      </c>
      <c r="U168" s="15">
        <v>-7.15037731295717E-3</v>
      </c>
      <c r="V168" s="15">
        <v>-2.2046903566156901E-3</v>
      </c>
      <c r="W168" s="15">
        <v>-5.5097398840850496E-3</v>
      </c>
      <c r="X168" s="34">
        <v>1.02465857359635</v>
      </c>
      <c r="Y168" s="34">
        <v>1.01735801017489</v>
      </c>
      <c r="Z168" s="34">
        <v>1.0224737576951399</v>
      </c>
      <c r="AA168" s="34">
        <v>1.0195764929338</v>
      </c>
      <c r="AB168" s="33">
        <v>26.817557148210199</v>
      </c>
      <c r="AC168" s="33">
        <v>26.950516908460799</v>
      </c>
      <c r="AD168" s="33">
        <v>26.861591148255599</v>
      </c>
      <c r="AE168" s="15">
        <v>-7.15037731295717E-3</v>
      </c>
      <c r="AF168" s="15">
        <v>-2.2046903566156901E-3</v>
      </c>
      <c r="AG168" s="15">
        <v>-5.5097398840850496E-3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3.4618678360000425E-2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2.8888986411675407E-2</v>
      </c>
      <c r="BE168" s="29">
        <f t="shared" si="62"/>
        <v>0</v>
      </c>
      <c r="BF168" s="29">
        <f t="shared" si="63"/>
        <v>6.350766477167584E-2</v>
      </c>
      <c r="BH168" s="29"/>
    </row>
    <row r="169" spans="1:60" x14ac:dyDescent="0.25">
      <c r="A169" s="1">
        <v>46267</v>
      </c>
      <c r="B169" s="33">
        <v>27.38</v>
      </c>
      <c r="C169" s="33">
        <v>27.92</v>
      </c>
      <c r="D169" s="15">
        <v>3.7965110225996399E-2</v>
      </c>
      <c r="E169" s="15">
        <v>3.3136110089647501E-2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27.38</v>
      </c>
      <c r="M169" s="33">
        <v>27.92</v>
      </c>
      <c r="N169" s="34">
        <v>1.0197224251278301</v>
      </c>
      <c r="O169" s="34">
        <v>1.01735801017489</v>
      </c>
      <c r="P169" s="34">
        <v>1.02173759359519</v>
      </c>
      <c r="Q169" s="34">
        <v>1.0200164549230999</v>
      </c>
      <c r="R169" s="33">
        <v>27.855262318588601</v>
      </c>
      <c r="S169" s="33">
        <v>27.995331485692901</v>
      </c>
      <c r="T169" s="33">
        <v>27.9160043765275</v>
      </c>
      <c r="U169" s="15">
        <v>-2.3213771766084001E-3</v>
      </c>
      <c r="V169" s="15">
        <v>2.6944857257761401E-3</v>
      </c>
      <c r="W169" s="15">
        <v>-1.4311996439748099E-4</v>
      </c>
      <c r="X169" s="34">
        <v>1.0197224251278301</v>
      </c>
      <c r="Y169" s="34">
        <v>1.01735801017489</v>
      </c>
      <c r="Z169" s="34">
        <v>1.02173759359519</v>
      </c>
      <c r="AA169" s="34">
        <v>1.0200164549230999</v>
      </c>
      <c r="AB169" s="33">
        <v>27.855262318588601</v>
      </c>
      <c r="AC169" s="33">
        <v>27.995331485692901</v>
      </c>
      <c r="AD169" s="33">
        <v>27.9160043765275</v>
      </c>
      <c r="AE169" s="15">
        <v>-2.3213771766084001E-3</v>
      </c>
      <c r="AF169" s="15">
        <v>2.6944857257761401E-3</v>
      </c>
      <c r="AG169" s="15">
        <v>-1.4311996439748099E-4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3.4618678360000425E-2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2.8888986411675407E-2</v>
      </c>
      <c r="BE169" s="29">
        <f t="shared" si="62"/>
        <v>0</v>
      </c>
      <c r="BF169" s="29">
        <f t="shared" si="63"/>
        <v>6.350766477167584E-2</v>
      </c>
      <c r="BH169" s="29"/>
    </row>
    <row r="170" spans="1:60" x14ac:dyDescent="0.25">
      <c r="A170" s="1">
        <v>46268</v>
      </c>
      <c r="B170" s="33">
        <v>27.51</v>
      </c>
      <c r="C170" s="33">
        <v>27.92</v>
      </c>
      <c r="D170" s="15">
        <v>4.7367550761804999E-3</v>
      </c>
      <c r="E170" s="15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27.51</v>
      </c>
      <c r="M170" s="33">
        <v>27.92</v>
      </c>
      <c r="N170" s="34">
        <v>1.0149036713922199</v>
      </c>
      <c r="O170" s="34">
        <v>1.01735801017489</v>
      </c>
      <c r="P170" s="34">
        <v>1.02129202268443</v>
      </c>
      <c r="Q170" s="34">
        <v>1.02014260771804</v>
      </c>
      <c r="R170" s="33">
        <v>27.987518859911301</v>
      </c>
      <c r="S170" s="33">
        <v>28.108001199803699</v>
      </c>
      <c r="T170" s="33">
        <v>28.060652674934602</v>
      </c>
      <c r="U170" s="15">
        <v>2.4153778995721501E-3</v>
      </c>
      <c r="V170" s="15">
        <v>6.7109981212678397E-3</v>
      </c>
      <c r="W170" s="15">
        <v>5.0250564859239798E-3</v>
      </c>
      <c r="X170" s="34">
        <v>1.0149036713922199</v>
      </c>
      <c r="Y170" s="34">
        <v>1.01735801017489</v>
      </c>
      <c r="Z170" s="34">
        <v>1.02129202268443</v>
      </c>
      <c r="AA170" s="34">
        <v>1.02014260771804</v>
      </c>
      <c r="AB170" s="33">
        <v>27.987518859911301</v>
      </c>
      <c r="AC170" s="33">
        <v>28.108001199803699</v>
      </c>
      <c r="AD170" s="33">
        <v>28.060652674934602</v>
      </c>
      <c r="AE170" s="15">
        <v>2.4153778995721501E-3</v>
      </c>
      <c r="AF170" s="15">
        <v>6.7109981212678397E-3</v>
      </c>
      <c r="AG170" s="15">
        <v>5.0250564859239798E-3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3.4618678360000425E-2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2.8888986411675407E-2</v>
      </c>
      <c r="BE170" s="29">
        <f t="shared" si="62"/>
        <v>0</v>
      </c>
      <c r="BF170" s="29">
        <f t="shared" si="63"/>
        <v>6.350766477167584E-2</v>
      </c>
      <c r="BH170" s="29"/>
    </row>
    <row r="171" spans="1:60" x14ac:dyDescent="0.25">
      <c r="A171" s="1">
        <v>46269</v>
      </c>
      <c r="B171" s="33">
        <v>26.73</v>
      </c>
      <c r="C171" s="33">
        <v>27.13</v>
      </c>
      <c r="D171" s="15">
        <v>-2.8763044785655601E-2</v>
      </c>
      <c r="E171" s="15">
        <v>-2.8703151223331402E-2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26.73</v>
      </c>
      <c r="M171" s="33">
        <v>27.13</v>
      </c>
      <c r="N171" s="34">
        <v>1.0149644594089</v>
      </c>
      <c r="O171" s="34">
        <v>1.01735801017489</v>
      </c>
      <c r="P171" s="34">
        <v>1.0206084404959199</v>
      </c>
      <c r="Q171" s="34">
        <v>1.01994412662116</v>
      </c>
      <c r="R171" s="33">
        <v>27.1939796119749</v>
      </c>
      <c r="S171" s="33">
        <v>27.299135766354802</v>
      </c>
      <c r="T171" s="33">
        <v>27.268411904303299</v>
      </c>
      <c r="U171" s="15">
        <v>2.3554843372479099E-3</v>
      </c>
      <c r="V171" s="15">
        <v>6.2149181089048997E-3</v>
      </c>
      <c r="W171" s="15">
        <v>5.0888324917318902E-3</v>
      </c>
      <c r="X171" s="34">
        <v>1.0149644594089</v>
      </c>
      <c r="Y171" s="34">
        <v>1.01735801017489</v>
      </c>
      <c r="Z171" s="34">
        <v>1.0206084404959199</v>
      </c>
      <c r="AA171" s="34">
        <v>1.01994412662116</v>
      </c>
      <c r="AB171" s="33">
        <v>27.1939796119749</v>
      </c>
      <c r="AC171" s="33">
        <v>27.299135766354802</v>
      </c>
      <c r="AD171" s="33">
        <v>27.268411904303299</v>
      </c>
      <c r="AE171" s="15">
        <v>2.3554843372479099E-3</v>
      </c>
      <c r="AF171" s="15">
        <v>6.2149181089048997E-3</v>
      </c>
      <c r="AG171" s="15">
        <v>5.0888324917318902E-3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3.4618678360000425E-2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2.8888986411675407E-2</v>
      </c>
      <c r="BE171" s="29">
        <f t="shared" si="62"/>
        <v>0</v>
      </c>
      <c r="BF171" s="29">
        <f t="shared" si="63"/>
        <v>6.350766477167584E-2</v>
      </c>
      <c r="BH171" s="29"/>
    </row>
    <row r="172" spans="1:60" x14ac:dyDescent="0.25">
      <c r="A172" s="1">
        <v>46273</v>
      </c>
      <c r="B172" s="33">
        <v>26.39</v>
      </c>
      <c r="C172" s="33">
        <v>26.78</v>
      </c>
      <c r="D172" s="15">
        <v>-1.2801379635594801E-2</v>
      </c>
      <c r="E172" s="15">
        <v>-1.29847864078138E-2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26.39</v>
      </c>
      <c r="M172" s="33">
        <v>26.78</v>
      </c>
      <c r="N172" s="34">
        <v>1.0147783251231499</v>
      </c>
      <c r="O172" s="34">
        <v>1.01735801017489</v>
      </c>
      <c r="P172" s="34">
        <v>1.0199993164865</v>
      </c>
      <c r="Q172" s="34">
        <v>1.0198139403587001</v>
      </c>
      <c r="R172" s="33">
        <v>26.848077888515402</v>
      </c>
      <c r="S172" s="33">
        <v>26.9338567446875</v>
      </c>
      <c r="T172" s="33">
        <v>26.916325501532601</v>
      </c>
      <c r="U172" s="15">
        <v>2.5388911094670402E-3</v>
      </c>
      <c r="V172" s="15">
        <v>5.7287699969667399E-3</v>
      </c>
      <c r="W172" s="15">
        <v>5.0776582256436198E-3</v>
      </c>
      <c r="X172" s="34">
        <v>1.0147783251231499</v>
      </c>
      <c r="Y172" s="34">
        <v>1.01735801017489</v>
      </c>
      <c r="Z172" s="34">
        <v>1.0199993164865</v>
      </c>
      <c r="AA172" s="34">
        <v>1.0198139403587001</v>
      </c>
      <c r="AB172" s="33">
        <v>26.848077888515402</v>
      </c>
      <c r="AC172" s="33">
        <v>26.9338567446875</v>
      </c>
      <c r="AD172" s="33">
        <v>26.916325501532601</v>
      </c>
      <c r="AE172" s="15">
        <v>2.5388911094670402E-3</v>
      </c>
      <c r="AF172" s="15">
        <v>5.7287699969667399E-3</v>
      </c>
      <c r="AG172" s="15">
        <v>5.0776582256436198E-3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3.4618678360000425E-2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2.8888986411675407E-2</v>
      </c>
      <c r="BE172" s="29">
        <f t="shared" si="62"/>
        <v>0</v>
      </c>
      <c r="BF172" s="29">
        <f t="shared" si="63"/>
        <v>6.350766477167584E-2</v>
      </c>
      <c r="BH172" s="29"/>
    </row>
    <row r="173" spans="1:60" x14ac:dyDescent="0.25">
      <c r="A173" s="1">
        <v>46274</v>
      </c>
      <c r="B173" s="33">
        <v>26.15</v>
      </c>
      <c r="C173" s="33">
        <v>26.56</v>
      </c>
      <c r="D173" s="15">
        <v>-9.1359600043009106E-3</v>
      </c>
      <c r="E173" s="15">
        <v>-8.2490156547934193E-3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26.15</v>
      </c>
      <c r="M173" s="33">
        <v>26.56</v>
      </c>
      <c r="N173" s="34">
        <v>1.0156787762906301</v>
      </c>
      <c r="O173" s="34">
        <v>1.01735801017489</v>
      </c>
      <c r="P173" s="34">
        <v>1.0189412182461499</v>
      </c>
      <c r="Q173" s="34">
        <v>1.01992003400734</v>
      </c>
      <c r="R173" s="33">
        <v>26.6039119660735</v>
      </c>
      <c r="S173" s="33">
        <v>26.672982126122001</v>
      </c>
      <c r="T173" s="33">
        <v>26.668134540380098</v>
      </c>
      <c r="U173" s="15">
        <v>1.6519467599595101E-3</v>
      </c>
      <c r="V173" s="15">
        <v>4.2448230873822698E-3</v>
      </c>
      <c r="W173" s="15">
        <v>4.0630651468574804E-3</v>
      </c>
      <c r="X173" s="34">
        <v>1.0156787762906301</v>
      </c>
      <c r="Y173" s="34">
        <v>1.01735801017489</v>
      </c>
      <c r="Z173" s="34">
        <v>1.0189412182461499</v>
      </c>
      <c r="AA173" s="34">
        <v>1.01992003400734</v>
      </c>
      <c r="AB173" s="33">
        <v>26.6039119660735</v>
      </c>
      <c r="AC173" s="33">
        <v>26.672982126122001</v>
      </c>
      <c r="AD173" s="33">
        <v>26.668134540380098</v>
      </c>
      <c r="AE173" s="15">
        <v>1.6519467599595101E-3</v>
      </c>
      <c r="AF173" s="15">
        <v>4.2448230873822698E-3</v>
      </c>
      <c r="AG173" s="15">
        <v>4.0630651468574804E-3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3.4618678360000425E-2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2.8888986411675407E-2</v>
      </c>
      <c r="BE173" s="29">
        <f t="shared" si="62"/>
        <v>0</v>
      </c>
      <c r="BF173" s="29">
        <f t="shared" si="63"/>
        <v>6.350766477167584E-2</v>
      </c>
      <c r="BH173" s="29"/>
    </row>
    <row r="174" spans="1:60" x14ac:dyDescent="0.25">
      <c r="A174" s="1">
        <v>46275</v>
      </c>
      <c r="B174" s="33">
        <v>26.59</v>
      </c>
      <c r="C174" s="33">
        <v>26.98</v>
      </c>
      <c r="D174" s="15">
        <v>1.6686014743996402E-2</v>
      </c>
      <c r="E174" s="15">
        <v>1.56895261713768E-2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26.59</v>
      </c>
      <c r="M174" s="33">
        <v>26.98</v>
      </c>
      <c r="N174" s="34">
        <v>1.0146671681083099</v>
      </c>
      <c r="O174" s="34">
        <v>1.01735801017489</v>
      </c>
      <c r="P174" s="34">
        <v>1.01809229558423</v>
      </c>
      <c r="Q174" s="34">
        <v>1.0197937935588799</v>
      </c>
      <c r="R174" s="33">
        <v>27.0515494905504</v>
      </c>
      <c r="S174" s="33">
        <v>27.093646993165201</v>
      </c>
      <c r="T174" s="33">
        <v>27.119673704255199</v>
      </c>
      <c r="U174" s="15">
        <v>2.64843533257938E-3</v>
      </c>
      <c r="V174" s="15">
        <v>4.2034213269525897E-3</v>
      </c>
      <c r="W174" s="15">
        <v>5.1635806661939499E-3</v>
      </c>
      <c r="X174" s="34">
        <v>1.0146671681083099</v>
      </c>
      <c r="Y174" s="34">
        <v>1.01735801017489</v>
      </c>
      <c r="Z174" s="34">
        <v>1.01809229558423</v>
      </c>
      <c r="AA174" s="34">
        <v>1.0197937935588799</v>
      </c>
      <c r="AB174" s="33">
        <v>27.0515494905504</v>
      </c>
      <c r="AC174" s="33">
        <v>27.093646993165201</v>
      </c>
      <c r="AD174" s="33">
        <v>27.119673704255199</v>
      </c>
      <c r="AE174" s="15">
        <v>2.64843533257938E-3</v>
      </c>
      <c r="AF174" s="15">
        <v>4.2034213269525897E-3</v>
      </c>
      <c r="AG174" s="15">
        <v>5.1635806661939499E-3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3.4618678360000425E-2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2.8888986411675407E-2</v>
      </c>
      <c r="BE174" s="29">
        <f t="shared" si="62"/>
        <v>0</v>
      </c>
      <c r="BF174" s="29">
        <f t="shared" si="63"/>
        <v>6.350766477167584E-2</v>
      </c>
      <c r="BH174" s="29"/>
    </row>
    <row r="175" spans="1:60" x14ac:dyDescent="0.25">
      <c r="A175" s="1">
        <v>46276</v>
      </c>
      <c r="B175" s="33">
        <v>26.22</v>
      </c>
      <c r="C175" s="33">
        <v>26.64</v>
      </c>
      <c r="D175" s="15">
        <v>-1.40127269193746E-2</v>
      </c>
      <c r="E175" s="15">
        <v>-1.26820051074214E-2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26.22</v>
      </c>
      <c r="M175" s="33">
        <v>26.64</v>
      </c>
      <c r="N175" s="34">
        <v>1.0160183066361499</v>
      </c>
      <c r="O175" s="34">
        <v>1.01735801017489</v>
      </c>
      <c r="P175" s="34">
        <v>1.0180079092390499</v>
      </c>
      <c r="Q175" s="34">
        <v>1.0196671312952601</v>
      </c>
      <c r="R175" s="33">
        <v>26.675127026785699</v>
      </c>
      <c r="S175" s="33">
        <v>26.6943799902187</v>
      </c>
      <c r="T175" s="33">
        <v>26.738993267114001</v>
      </c>
      <c r="U175" s="15">
        <v>1.3177135206260901E-3</v>
      </c>
      <c r="V175" s="15">
        <v>2.0392103207392599E-3</v>
      </c>
      <c r="W175" s="15">
        <v>3.7090763442554102E-3</v>
      </c>
      <c r="X175" s="34">
        <v>1.0160183066361499</v>
      </c>
      <c r="Y175" s="34">
        <v>1.01735801017489</v>
      </c>
      <c r="Z175" s="34">
        <v>1.0180079092390499</v>
      </c>
      <c r="AA175" s="34">
        <v>1.0196671312952601</v>
      </c>
      <c r="AB175" s="33">
        <v>26.675127026785699</v>
      </c>
      <c r="AC175" s="33">
        <v>26.6943799902187</v>
      </c>
      <c r="AD175" s="33">
        <v>26.738993267114001</v>
      </c>
      <c r="AE175" s="15">
        <v>1.3177135206260901E-3</v>
      </c>
      <c r="AF175" s="15">
        <v>2.0392103207392599E-3</v>
      </c>
      <c r="AG175" s="15">
        <v>3.7090763442554102E-3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3.4618678360000425E-2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2.8888986411675407E-2</v>
      </c>
      <c r="BE175" s="29">
        <f t="shared" si="62"/>
        <v>0</v>
      </c>
      <c r="BF175" s="29">
        <f t="shared" si="63"/>
        <v>6.350766477167584E-2</v>
      </c>
      <c r="BH175" s="29"/>
    </row>
    <row r="176" spans="1:60" x14ac:dyDescent="0.25">
      <c r="A176" s="1">
        <v>46279</v>
      </c>
      <c r="B176" s="33">
        <v>26.24</v>
      </c>
      <c r="C176" s="33">
        <v>26.75</v>
      </c>
      <c r="D176" s="15">
        <v>7.6248574033439495E-4</v>
      </c>
      <c r="E176" s="15">
        <v>4.1206276698272501E-3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26.24</v>
      </c>
      <c r="M176" s="33">
        <v>26.75</v>
      </c>
      <c r="N176" s="34">
        <v>1.01943597560975</v>
      </c>
      <c r="O176" s="34">
        <v>1.01735801017489</v>
      </c>
      <c r="P176" s="34">
        <v>1.01800440907777</v>
      </c>
      <c r="Q176" s="34">
        <v>1.01979445435442</v>
      </c>
      <c r="R176" s="33">
        <v>26.695474186989198</v>
      </c>
      <c r="S176" s="33">
        <v>26.712527538432798</v>
      </c>
      <c r="T176" s="33">
        <v>26.756065525187701</v>
      </c>
      <c r="U176" s="15">
        <v>-2.0404284088667E-3</v>
      </c>
      <c r="V176" s="15">
        <v>-1.4018217779407599E-3</v>
      </c>
      <c r="W176" s="15">
        <v>2.2672290156838901E-4</v>
      </c>
      <c r="X176" s="34">
        <v>1.01943597560975</v>
      </c>
      <c r="Y176" s="34">
        <v>1.01735801017489</v>
      </c>
      <c r="Z176" s="34">
        <v>1.01800440907777</v>
      </c>
      <c r="AA176" s="34">
        <v>1.01979445435442</v>
      </c>
      <c r="AB176" s="33">
        <v>26.695474186989198</v>
      </c>
      <c r="AC176" s="33">
        <v>26.712527538432798</v>
      </c>
      <c r="AD176" s="33">
        <v>26.756065525187701</v>
      </c>
      <c r="AE176" s="15">
        <v>-2.0404284088667E-3</v>
      </c>
      <c r="AF176" s="15">
        <v>-1.4018217779407599E-3</v>
      </c>
      <c r="AG176" s="15">
        <v>2.2672290156838901E-4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3.4618678360000425E-2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2.8888986411675407E-2</v>
      </c>
      <c r="BE176" s="29">
        <f t="shared" si="62"/>
        <v>0</v>
      </c>
      <c r="BF176" s="29">
        <f t="shared" si="63"/>
        <v>6.350766477167584E-2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2026-09-22T19:37:50Z</dcterms:created>
  <dcterms:modified xsi:type="dcterms:W3CDTF">2026-09-22T21:56:02Z</dcterms:modified>
</cp:coreProperties>
</file>