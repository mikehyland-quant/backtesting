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3DD83AB8-D0DC-4C96-BD72-EAD62F3927FF}" xr6:coauthVersionLast="47" xr6:coauthVersionMax="47" xr10:uidLastSave="{00000000-0000-0000-0000-000000000000}"/>
  <bookViews>
    <workbookView xWindow="675" yWindow="375" windowWidth="28395" windowHeight="14880" xr2:uid="{2A1D2918-087B-43F3-A37B-C222D2EC6B6D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N176" i="1" s="1"/>
  <c r="AX174" i="1"/>
  <c r="AV174" i="1"/>
  <c r="AU174" i="1"/>
  <c r="AM174" i="1"/>
  <c r="AK174" i="1"/>
  <c r="AJ174" i="1"/>
  <c r="AN175" i="1" s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N170" i="1" s="1"/>
  <c r="AX168" i="1"/>
  <c r="AV168" i="1"/>
  <c r="AU168" i="1"/>
  <c r="AM168" i="1"/>
  <c r="AK168" i="1"/>
  <c r="AJ168" i="1"/>
  <c r="AX167" i="1"/>
  <c r="AV167" i="1"/>
  <c r="AU167" i="1"/>
  <c r="AM167" i="1"/>
  <c r="AK167" i="1"/>
  <c r="AJ167" i="1"/>
  <c r="AX166" i="1"/>
  <c r="AV166" i="1"/>
  <c r="AU166" i="1"/>
  <c r="AM166" i="1"/>
  <c r="AK166" i="1"/>
  <c r="AJ166" i="1"/>
  <c r="AX165" i="1"/>
  <c r="AV165" i="1"/>
  <c r="AU165" i="1"/>
  <c r="AM165" i="1"/>
  <c r="AK165" i="1"/>
  <c r="AJ165" i="1"/>
  <c r="AX164" i="1"/>
  <c r="AV164" i="1"/>
  <c r="AU164" i="1"/>
  <c r="AM164" i="1"/>
  <c r="AK164" i="1"/>
  <c r="AJ164" i="1"/>
  <c r="AN165" i="1" s="1"/>
  <c r="AX163" i="1"/>
  <c r="AV163" i="1"/>
  <c r="AU163" i="1"/>
  <c r="AY164" i="1" s="1"/>
  <c r="AM163" i="1"/>
  <c r="AK163" i="1"/>
  <c r="AJ163" i="1"/>
  <c r="AX162" i="1"/>
  <c r="AV162" i="1"/>
  <c r="AU162" i="1"/>
  <c r="AY163" i="1" s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M157" i="1"/>
  <c r="AK157" i="1"/>
  <c r="AJ157" i="1"/>
  <c r="AN158" i="1" s="1"/>
  <c r="AX156" i="1"/>
  <c r="AV156" i="1"/>
  <c r="AU156" i="1"/>
  <c r="AM156" i="1"/>
  <c r="AK156" i="1"/>
  <c r="AJ156" i="1"/>
  <c r="AN157" i="1" s="1"/>
  <c r="AX155" i="1"/>
  <c r="AV155" i="1"/>
  <c r="AU155" i="1"/>
  <c r="AM155" i="1"/>
  <c r="AK155" i="1"/>
  <c r="AJ155" i="1"/>
  <c r="AX154" i="1"/>
  <c r="AV154" i="1"/>
  <c r="AU154" i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M149" i="1"/>
  <c r="AK149" i="1"/>
  <c r="AJ149" i="1"/>
  <c r="AX148" i="1"/>
  <c r="AV148" i="1"/>
  <c r="AU148" i="1"/>
  <c r="AM148" i="1"/>
  <c r="AK148" i="1"/>
  <c r="AJ148" i="1"/>
  <c r="AN149" i="1" s="1"/>
  <c r="AX147" i="1"/>
  <c r="AV147" i="1"/>
  <c r="AU147" i="1"/>
  <c r="AY148" i="1" s="1"/>
  <c r="AM147" i="1"/>
  <c r="AK147" i="1"/>
  <c r="AJ147" i="1"/>
  <c r="AN148" i="1" s="1"/>
  <c r="AX146" i="1"/>
  <c r="AV146" i="1"/>
  <c r="AU146" i="1"/>
  <c r="AM146" i="1"/>
  <c r="AK146" i="1"/>
  <c r="AJ146" i="1"/>
  <c r="AN147" i="1" s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M143" i="1"/>
  <c r="AK143" i="1"/>
  <c r="AJ143" i="1"/>
  <c r="AN144" i="1" s="1"/>
  <c r="AX142" i="1"/>
  <c r="AV142" i="1"/>
  <c r="AU142" i="1"/>
  <c r="AM142" i="1"/>
  <c r="AK142" i="1"/>
  <c r="AJ142" i="1"/>
  <c r="AN143" i="1" s="1"/>
  <c r="AX141" i="1"/>
  <c r="AV141" i="1"/>
  <c r="AU141" i="1"/>
  <c r="AY142" i="1" s="1"/>
  <c r="AM141" i="1"/>
  <c r="AK141" i="1"/>
  <c r="AJ141" i="1"/>
  <c r="AX140" i="1"/>
  <c r="AV140" i="1"/>
  <c r="AU140" i="1"/>
  <c r="AM140" i="1"/>
  <c r="AK140" i="1"/>
  <c r="AJ140" i="1"/>
  <c r="AX139" i="1"/>
  <c r="AV139" i="1"/>
  <c r="AU139" i="1"/>
  <c r="AY140" i="1" s="1"/>
  <c r="AM139" i="1"/>
  <c r="AK139" i="1"/>
  <c r="AJ139" i="1"/>
  <c r="AX138" i="1"/>
  <c r="AV138" i="1"/>
  <c r="AU138" i="1"/>
  <c r="AY139" i="1" s="1"/>
  <c r="AM138" i="1"/>
  <c r="AK138" i="1"/>
  <c r="AJ138" i="1"/>
  <c r="AX137" i="1"/>
  <c r="AV137" i="1"/>
  <c r="AU137" i="1"/>
  <c r="AY138" i="1" s="1"/>
  <c r="AM137" i="1"/>
  <c r="AK137" i="1"/>
  <c r="AJ137" i="1"/>
  <c r="AN138" i="1" s="1"/>
  <c r="AX136" i="1"/>
  <c r="AV136" i="1"/>
  <c r="AU136" i="1"/>
  <c r="AM136" i="1"/>
  <c r="AK136" i="1"/>
  <c r="AJ136" i="1"/>
  <c r="AX135" i="1"/>
  <c r="AV135" i="1"/>
  <c r="AU135" i="1"/>
  <c r="AY136" i="1" s="1"/>
  <c r="AM135" i="1"/>
  <c r="AK135" i="1"/>
  <c r="AJ135" i="1"/>
  <c r="AN136" i="1" s="1"/>
  <c r="AX134" i="1"/>
  <c r="AV134" i="1"/>
  <c r="AU134" i="1"/>
  <c r="AM134" i="1"/>
  <c r="AK134" i="1"/>
  <c r="AJ134" i="1"/>
  <c r="AX133" i="1"/>
  <c r="AV133" i="1"/>
  <c r="AU133" i="1"/>
  <c r="AY134" i="1" s="1"/>
  <c r="AM133" i="1"/>
  <c r="AK133" i="1"/>
  <c r="AJ133" i="1"/>
  <c r="AN134" i="1" s="1"/>
  <c r="AX132" i="1"/>
  <c r="AV132" i="1"/>
  <c r="AU132" i="1"/>
  <c r="AY133" i="1" s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Y131" i="1" s="1"/>
  <c r="AM130" i="1"/>
  <c r="AK130" i="1"/>
  <c r="AJ130" i="1"/>
  <c r="AX129" i="1"/>
  <c r="AV129" i="1"/>
  <c r="AU129" i="1"/>
  <c r="AY130" i="1" s="1"/>
  <c r="AM129" i="1"/>
  <c r="AK129" i="1"/>
  <c r="AJ129" i="1"/>
  <c r="AN130" i="1" s="1"/>
  <c r="AX128" i="1"/>
  <c r="AV128" i="1"/>
  <c r="AU128" i="1"/>
  <c r="AY129" i="1" s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Y126" i="1" s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X122" i="1"/>
  <c r="AV122" i="1"/>
  <c r="AU122" i="1"/>
  <c r="AY123" i="1" s="1"/>
  <c r="AM122" i="1"/>
  <c r="AK122" i="1"/>
  <c r="AJ122" i="1"/>
  <c r="AX121" i="1"/>
  <c r="AV121" i="1"/>
  <c r="AU121" i="1"/>
  <c r="AY122" i="1" s="1"/>
  <c r="AM121" i="1"/>
  <c r="AK121" i="1"/>
  <c r="AJ121" i="1"/>
  <c r="AX120" i="1"/>
  <c r="AV120" i="1"/>
  <c r="AU120" i="1"/>
  <c r="AY121" i="1" s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N119" i="1" s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Y112" i="1" s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N108" i="1" s="1"/>
  <c r="AX106" i="1"/>
  <c r="AV106" i="1"/>
  <c r="AU106" i="1"/>
  <c r="AM106" i="1"/>
  <c r="AK106" i="1"/>
  <c r="AJ106" i="1"/>
  <c r="AX105" i="1"/>
  <c r="AV105" i="1"/>
  <c r="AU105" i="1"/>
  <c r="AM105" i="1"/>
  <c r="AK105" i="1"/>
  <c r="AJ105" i="1"/>
  <c r="AX104" i="1"/>
  <c r="AV104" i="1"/>
  <c r="AU104" i="1"/>
  <c r="AM104" i="1"/>
  <c r="AK104" i="1"/>
  <c r="AJ104" i="1"/>
  <c r="AX103" i="1"/>
  <c r="AV103" i="1"/>
  <c r="AU103" i="1"/>
  <c r="AM103" i="1"/>
  <c r="AK103" i="1"/>
  <c r="AJ103" i="1"/>
  <c r="AN104" i="1" s="1"/>
  <c r="AX102" i="1"/>
  <c r="AV102" i="1"/>
  <c r="AU102" i="1"/>
  <c r="AY103" i="1" s="1"/>
  <c r="AM102" i="1"/>
  <c r="AK102" i="1"/>
  <c r="AJ102" i="1"/>
  <c r="AX101" i="1"/>
  <c r="AV101" i="1"/>
  <c r="AU101" i="1"/>
  <c r="AY102" i="1" s="1"/>
  <c r="AM101" i="1"/>
  <c r="AK101" i="1"/>
  <c r="AJ101" i="1"/>
  <c r="AN102" i="1" s="1"/>
  <c r="AX100" i="1"/>
  <c r="AV100" i="1"/>
  <c r="AU100" i="1"/>
  <c r="AY101" i="1" s="1"/>
  <c r="AM100" i="1"/>
  <c r="AK100" i="1"/>
  <c r="AJ100" i="1"/>
  <c r="AN101" i="1" s="1"/>
  <c r="AX99" i="1"/>
  <c r="AV99" i="1"/>
  <c r="AU99" i="1"/>
  <c r="AY100" i="1" s="1"/>
  <c r="AM99" i="1"/>
  <c r="AK99" i="1"/>
  <c r="AJ99" i="1"/>
  <c r="AN100" i="1" s="1"/>
  <c r="AX98" i="1"/>
  <c r="AV98" i="1"/>
  <c r="AU98" i="1"/>
  <c r="AY99" i="1" s="1"/>
  <c r="AM98" i="1"/>
  <c r="AK98" i="1"/>
  <c r="AJ98" i="1"/>
  <c r="AN99" i="1" s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N97" i="1" s="1"/>
  <c r="AX95" i="1"/>
  <c r="AV95" i="1"/>
  <c r="AU95" i="1"/>
  <c r="AM95" i="1"/>
  <c r="AK95" i="1"/>
  <c r="AJ95" i="1"/>
  <c r="AN96" i="1" s="1"/>
  <c r="AX94" i="1"/>
  <c r="AV94" i="1"/>
  <c r="AU94" i="1"/>
  <c r="AY95" i="1" s="1"/>
  <c r="AM94" i="1"/>
  <c r="AK94" i="1"/>
  <c r="AJ94" i="1"/>
  <c r="AX93" i="1"/>
  <c r="AV93" i="1"/>
  <c r="AU93" i="1"/>
  <c r="AM93" i="1"/>
  <c r="AK93" i="1"/>
  <c r="AJ93" i="1"/>
  <c r="AN94" i="1" s="1"/>
  <c r="AX92" i="1"/>
  <c r="AV92" i="1"/>
  <c r="AU92" i="1"/>
  <c r="AY93" i="1" s="1"/>
  <c r="AM92" i="1"/>
  <c r="AK92" i="1"/>
  <c r="AJ92" i="1"/>
  <c r="AX91" i="1"/>
  <c r="AV91" i="1"/>
  <c r="AU91" i="1"/>
  <c r="AM91" i="1"/>
  <c r="AK91" i="1"/>
  <c r="AJ91" i="1"/>
  <c r="AN92" i="1" s="1"/>
  <c r="AX90" i="1"/>
  <c r="AV90" i="1"/>
  <c r="AU90" i="1"/>
  <c r="AM90" i="1"/>
  <c r="AK90" i="1"/>
  <c r="AJ90" i="1"/>
  <c r="AN91" i="1" s="1"/>
  <c r="AX89" i="1"/>
  <c r="AV89" i="1"/>
  <c r="AU89" i="1"/>
  <c r="AM89" i="1"/>
  <c r="AK89" i="1"/>
  <c r="AJ89" i="1"/>
  <c r="AN90" i="1" s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N84" i="1" s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Y78" i="1" s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X72" i="1"/>
  <c r="AV72" i="1"/>
  <c r="AU72" i="1"/>
  <c r="AM72" i="1"/>
  <c r="AK72" i="1"/>
  <c r="AJ72" i="1"/>
  <c r="AX71" i="1"/>
  <c r="AV71" i="1"/>
  <c r="AU71" i="1"/>
  <c r="AY72" i="1" s="1"/>
  <c r="AM71" i="1"/>
  <c r="AK71" i="1"/>
  <c r="AJ71" i="1"/>
  <c r="AX70" i="1"/>
  <c r="AV70" i="1"/>
  <c r="AU70" i="1"/>
  <c r="AY71" i="1" s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M67" i="1"/>
  <c r="AK67" i="1"/>
  <c r="AJ67" i="1"/>
  <c r="AX66" i="1"/>
  <c r="AV66" i="1"/>
  <c r="AU66" i="1"/>
  <c r="AY67" i="1" s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Y62" i="1" s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Y58" i="1" s="1"/>
  <c r="AM57" i="1"/>
  <c r="AK57" i="1"/>
  <c r="AJ57" i="1"/>
  <c r="AN58" i="1" s="1"/>
  <c r="AX56" i="1"/>
  <c r="AV56" i="1"/>
  <c r="AU56" i="1"/>
  <c r="AY57" i="1" s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N53" i="1" s="1"/>
  <c r="AX51" i="1"/>
  <c r="AV51" i="1"/>
  <c r="AU51" i="1"/>
  <c r="AM51" i="1"/>
  <c r="AK51" i="1"/>
  <c r="AJ51" i="1"/>
  <c r="AN52" i="1" s="1"/>
  <c r="AX50" i="1"/>
  <c r="AV50" i="1"/>
  <c r="AU50" i="1"/>
  <c r="AY51" i="1" s="1"/>
  <c r="AM50" i="1"/>
  <c r="AK50" i="1"/>
  <c r="AJ50" i="1"/>
  <c r="AN51" i="1" s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Y46" i="1" s="1"/>
  <c r="AM45" i="1"/>
  <c r="AK45" i="1"/>
  <c r="AJ45" i="1"/>
  <c r="AX44" i="1"/>
  <c r="AV44" i="1"/>
  <c r="AU44" i="1"/>
  <c r="AY45" i="1" s="1"/>
  <c r="AM44" i="1"/>
  <c r="AK44" i="1"/>
  <c r="AJ44" i="1"/>
  <c r="AN45" i="1" s="1"/>
  <c r="AX43" i="1"/>
  <c r="AV43" i="1"/>
  <c r="AU43" i="1"/>
  <c r="AY44" i="1" s="1"/>
  <c r="AM43" i="1"/>
  <c r="AK43" i="1"/>
  <c r="AJ43" i="1"/>
  <c r="AN44" i="1" s="1"/>
  <c r="AX42" i="1"/>
  <c r="AV42" i="1"/>
  <c r="AU42" i="1"/>
  <c r="AY43" i="1" s="1"/>
  <c r="AM42" i="1"/>
  <c r="AK42" i="1"/>
  <c r="AJ42" i="1"/>
  <c r="AX41" i="1"/>
  <c r="AV41" i="1"/>
  <c r="AU41" i="1"/>
  <c r="AY42" i="1" s="1"/>
  <c r="AM41" i="1"/>
  <c r="AK41" i="1"/>
  <c r="AJ41" i="1"/>
  <c r="AX40" i="1"/>
  <c r="AV40" i="1"/>
  <c r="AU40" i="1"/>
  <c r="AM40" i="1"/>
  <c r="AK40" i="1"/>
  <c r="AJ40" i="1"/>
  <c r="AN41" i="1" s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Y38" i="1" s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Y28" i="1" s="1"/>
  <c r="AM27" i="1"/>
  <c r="AK27" i="1"/>
  <c r="AJ27" i="1"/>
  <c r="AX26" i="1"/>
  <c r="AV26" i="1"/>
  <c r="AU26" i="1"/>
  <c r="AM26" i="1"/>
  <c r="AK26" i="1"/>
  <c r="AJ26" i="1"/>
  <c r="AN27" i="1" s="1"/>
  <c r="AX25" i="1"/>
  <c r="AV25" i="1"/>
  <c r="AU25" i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25" i="1" l="1"/>
  <c r="AY97" i="1"/>
  <c r="AY34" i="1"/>
  <c r="AN167" i="1"/>
  <c r="AN117" i="1"/>
  <c r="AN71" i="1"/>
  <c r="AN95" i="1"/>
  <c r="AN68" i="1"/>
  <c r="AN49" i="1"/>
  <c r="AN34" i="1"/>
  <c r="AN137" i="1"/>
  <c r="AN110" i="1"/>
  <c r="AY168" i="1"/>
  <c r="AY165" i="1"/>
  <c r="AY124" i="1"/>
  <c r="AY66" i="1"/>
  <c r="AY55" i="1"/>
  <c r="AY36" i="1"/>
  <c r="AY61" i="1"/>
  <c r="AY32" i="1"/>
  <c r="AY56" i="1"/>
  <c r="AY31" i="1"/>
  <c r="AY50" i="1"/>
  <c r="AY33" i="1"/>
  <c r="AY30" i="1"/>
  <c r="AY54" i="1"/>
  <c r="AY176" i="1"/>
  <c r="AY175" i="1"/>
  <c r="AY169" i="1"/>
  <c r="AY166" i="1"/>
  <c r="AY150" i="1"/>
  <c r="AY132" i="1"/>
  <c r="AY98" i="1"/>
  <c r="AY65" i="1"/>
  <c r="AY53" i="1"/>
  <c r="AY39" i="1"/>
  <c r="AN160" i="1"/>
  <c r="AN156" i="1"/>
  <c r="AN155" i="1"/>
  <c r="AN120" i="1"/>
  <c r="AN118" i="1"/>
  <c r="AN114" i="1"/>
  <c r="AN107" i="1"/>
  <c r="AN83" i="1"/>
  <c r="AN81" i="1"/>
  <c r="AN75" i="1"/>
  <c r="AN67" i="1"/>
  <c r="AN88" i="1"/>
  <c r="AN82" i="1"/>
  <c r="AN72" i="1"/>
  <c r="AN70" i="1"/>
  <c r="AN60" i="1"/>
  <c r="AN48" i="1"/>
  <c r="AN46" i="1"/>
  <c r="AN32" i="1"/>
  <c r="AN26" i="1"/>
  <c r="AN111" i="1"/>
  <c r="AN105" i="1"/>
  <c r="AN59" i="1"/>
  <c r="AN35" i="1"/>
  <c r="AN33" i="1"/>
  <c r="AN85" i="1"/>
  <c r="AN79" i="1"/>
  <c r="AN77" i="1"/>
  <c r="AN74" i="1"/>
  <c r="AN63" i="1"/>
  <c r="AN47" i="1"/>
  <c r="AN42" i="1"/>
  <c r="AN25" i="1"/>
  <c r="AN135" i="1"/>
  <c r="AN113" i="1"/>
  <c r="AN109" i="1"/>
  <c r="AN89" i="1"/>
  <c r="AN86" i="1"/>
  <c r="AN80" i="1"/>
  <c r="AN78" i="1"/>
  <c r="AL78" i="1" s="1"/>
  <c r="AN73" i="1"/>
  <c r="AN145" i="1"/>
  <c r="AN116" i="1"/>
  <c r="AN115" i="1"/>
  <c r="AN106" i="1"/>
  <c r="AN76" i="1"/>
  <c r="AL76" i="1" s="1"/>
  <c r="AN69" i="1"/>
  <c r="AN66" i="1"/>
  <c r="AN64" i="1"/>
  <c r="AN50" i="1"/>
  <c r="AN43" i="1"/>
  <c r="AN40" i="1"/>
  <c r="AN37" i="1"/>
  <c r="AN24" i="1"/>
  <c r="AY141" i="1"/>
  <c r="AY137" i="1"/>
  <c r="AN29" i="1"/>
  <c r="AZ176" i="1"/>
  <c r="BA176" i="1"/>
  <c r="AW176" i="1"/>
  <c r="AO176" i="1"/>
  <c r="AP176" i="1"/>
  <c r="AL176" i="1"/>
  <c r="BA175" i="1"/>
  <c r="AZ175" i="1"/>
  <c r="BB175" i="1" s="1"/>
  <c r="AW175" i="1"/>
  <c r="AO175" i="1"/>
  <c r="AP175" i="1"/>
  <c r="AL175" i="1"/>
  <c r="BA174" i="1"/>
  <c r="AZ174" i="1"/>
  <c r="BB174" i="1" s="1"/>
  <c r="AW174" i="1"/>
  <c r="AO174" i="1"/>
  <c r="AP174" i="1"/>
  <c r="AL174" i="1"/>
  <c r="AZ173" i="1"/>
  <c r="BA173" i="1"/>
  <c r="AW173" i="1"/>
  <c r="AO173" i="1"/>
  <c r="AL173" i="1"/>
  <c r="AP173" i="1"/>
  <c r="AZ172" i="1"/>
  <c r="BA172" i="1"/>
  <c r="AW172" i="1"/>
  <c r="BA171" i="1"/>
  <c r="AW171" i="1"/>
  <c r="AZ171" i="1"/>
  <c r="BB171" i="1" s="1"/>
  <c r="AO171" i="1"/>
  <c r="AL171" i="1"/>
  <c r="AN172" i="1" s="1"/>
  <c r="AP171" i="1"/>
  <c r="BA170" i="1"/>
  <c r="AW170" i="1"/>
  <c r="AZ170" i="1"/>
  <c r="BB170" i="1" s="1"/>
  <c r="AL170" i="1"/>
  <c r="AO170" i="1"/>
  <c r="AP170" i="1"/>
  <c r="AZ169" i="1"/>
  <c r="BA169" i="1"/>
  <c r="AW169" i="1"/>
  <c r="BA168" i="1"/>
  <c r="AZ168" i="1"/>
  <c r="BB168" i="1" s="1"/>
  <c r="AW168" i="1"/>
  <c r="AP167" i="1"/>
  <c r="AL167" i="1"/>
  <c r="AN168" i="1" s="1"/>
  <c r="AO167" i="1"/>
  <c r="AQ167" i="1" s="1"/>
  <c r="AZ166" i="1"/>
  <c r="AW166" i="1"/>
  <c r="AY167" i="1" s="1"/>
  <c r="BA166" i="1"/>
  <c r="AZ165" i="1"/>
  <c r="AW165" i="1"/>
  <c r="BA165" i="1"/>
  <c r="AL165" i="1"/>
  <c r="AN166" i="1" s="1"/>
  <c r="AP165" i="1"/>
  <c r="AO165" i="1"/>
  <c r="AQ165" i="1" s="1"/>
  <c r="BA164" i="1"/>
  <c r="AW164" i="1"/>
  <c r="AZ164" i="1"/>
  <c r="BB164" i="1" s="1"/>
  <c r="BA163" i="1"/>
  <c r="AW163" i="1"/>
  <c r="AZ163" i="1"/>
  <c r="BB163" i="1" s="1"/>
  <c r="BA162" i="1"/>
  <c r="AW162" i="1"/>
  <c r="AZ162" i="1"/>
  <c r="BB162" i="1" s="1"/>
  <c r="BA161" i="1"/>
  <c r="AW161" i="1"/>
  <c r="AZ161" i="1"/>
  <c r="BB161" i="1" s="1"/>
  <c r="AL160" i="1"/>
  <c r="AN161" i="1" s="1"/>
  <c r="AO160" i="1"/>
  <c r="AP160" i="1"/>
  <c r="BA159" i="1"/>
  <c r="AW159" i="1"/>
  <c r="AY160" i="1" s="1"/>
  <c r="AZ159" i="1"/>
  <c r="AO158" i="1"/>
  <c r="AL158" i="1"/>
  <c r="AN159" i="1" s="1"/>
  <c r="AP158" i="1"/>
  <c r="AP157" i="1"/>
  <c r="AL157" i="1"/>
  <c r="AO157" i="1"/>
  <c r="AQ157" i="1" s="1"/>
  <c r="AP156" i="1"/>
  <c r="AO156" i="1"/>
  <c r="AQ156" i="1" s="1"/>
  <c r="AL156" i="1"/>
  <c r="AL155" i="1"/>
  <c r="AO155" i="1"/>
  <c r="AP155" i="1"/>
  <c r="BA154" i="1"/>
  <c r="AZ154" i="1"/>
  <c r="AW154" i="1"/>
  <c r="AY155" i="1" s="1"/>
  <c r="BA153" i="1"/>
  <c r="AW153" i="1"/>
  <c r="AZ153" i="1"/>
  <c r="BB153" i="1" s="1"/>
  <c r="BA152" i="1"/>
  <c r="AW152" i="1"/>
  <c r="AZ152" i="1"/>
  <c r="BB152" i="1" s="1"/>
  <c r="AZ151" i="1"/>
  <c r="AW151" i="1"/>
  <c r="BA151" i="1"/>
  <c r="AL151" i="1"/>
  <c r="AN152" i="1" s="1"/>
  <c r="AO151" i="1"/>
  <c r="AP151" i="1"/>
  <c r="BA150" i="1"/>
  <c r="AW150" i="1"/>
  <c r="AZ150" i="1"/>
  <c r="BB150" i="1" s="1"/>
  <c r="AL149" i="1"/>
  <c r="AN150" i="1" s="1"/>
  <c r="AP149" i="1"/>
  <c r="AO149" i="1"/>
  <c r="AW148" i="1"/>
  <c r="AY149" i="1" s="1"/>
  <c r="AZ148" i="1"/>
  <c r="BA148" i="1"/>
  <c r="AO148" i="1"/>
  <c r="AL148" i="1"/>
  <c r="AP148" i="1"/>
  <c r="AL147" i="1"/>
  <c r="AO147" i="1"/>
  <c r="AP147" i="1"/>
  <c r="BA146" i="1"/>
  <c r="AW146" i="1"/>
  <c r="AY147" i="1" s="1"/>
  <c r="AZ146" i="1"/>
  <c r="BB146" i="1" s="1"/>
  <c r="BA145" i="1"/>
  <c r="AW145" i="1"/>
  <c r="AZ145" i="1"/>
  <c r="BB145" i="1" s="1"/>
  <c r="AP144" i="1"/>
  <c r="AL144" i="1"/>
  <c r="AO144" i="1"/>
  <c r="AQ144" i="1" s="1"/>
  <c r="AO143" i="1"/>
  <c r="AL143" i="1"/>
  <c r="AP143" i="1"/>
  <c r="BA142" i="1"/>
  <c r="AZ142" i="1"/>
  <c r="BB142" i="1" s="1"/>
  <c r="AW142" i="1"/>
  <c r="AY143" i="1" s="1"/>
  <c r="AW141" i="1"/>
  <c r="AZ141" i="1"/>
  <c r="BA141" i="1"/>
  <c r="AW140" i="1"/>
  <c r="AZ140" i="1"/>
  <c r="BA140" i="1"/>
  <c r="BA139" i="1"/>
  <c r="AW139" i="1"/>
  <c r="AZ139" i="1"/>
  <c r="BB139" i="1" s="1"/>
  <c r="BA138" i="1"/>
  <c r="AW138" i="1"/>
  <c r="AZ138" i="1"/>
  <c r="BB138" i="1" s="1"/>
  <c r="AL138" i="1"/>
  <c r="AN139" i="1" s="1"/>
  <c r="AO138" i="1"/>
  <c r="AP138" i="1"/>
  <c r="BA137" i="1"/>
  <c r="AZ137" i="1"/>
  <c r="BB137" i="1" s="1"/>
  <c r="AW137" i="1"/>
  <c r="AO137" i="1"/>
  <c r="AL137" i="1"/>
  <c r="AP137" i="1"/>
  <c r="AZ136" i="1"/>
  <c r="AW136" i="1"/>
  <c r="BA136" i="1"/>
  <c r="AL136" i="1"/>
  <c r="AO136" i="1"/>
  <c r="AP136" i="1"/>
  <c r="AP135" i="1"/>
  <c r="AL135" i="1"/>
  <c r="AO135" i="1"/>
  <c r="AQ135" i="1" s="1"/>
  <c r="AW134" i="1"/>
  <c r="AY135" i="1" s="1"/>
  <c r="BA134" i="1"/>
  <c r="AZ134" i="1"/>
  <c r="BB134" i="1" s="1"/>
  <c r="AP134" i="1"/>
  <c r="AL134" i="1"/>
  <c r="AO134" i="1"/>
  <c r="AQ134" i="1" s="1"/>
  <c r="BA133" i="1"/>
  <c r="AW133" i="1"/>
  <c r="AZ133" i="1"/>
  <c r="BB133" i="1" s="1"/>
  <c r="AW132" i="1"/>
  <c r="BA132" i="1"/>
  <c r="AZ132" i="1"/>
  <c r="BB132" i="1" s="1"/>
  <c r="AZ131" i="1"/>
  <c r="BA131" i="1"/>
  <c r="AW131" i="1"/>
  <c r="AZ130" i="1"/>
  <c r="AW130" i="1"/>
  <c r="BA130" i="1"/>
  <c r="AL130" i="1"/>
  <c r="AN131" i="1" s="1"/>
  <c r="AP130" i="1"/>
  <c r="AO130" i="1"/>
  <c r="AQ130" i="1" s="1"/>
  <c r="AZ129" i="1"/>
  <c r="BA129" i="1"/>
  <c r="AW129" i="1"/>
  <c r="AZ128" i="1"/>
  <c r="AW128" i="1"/>
  <c r="BA128" i="1"/>
  <c r="AZ127" i="1"/>
  <c r="AW127" i="1"/>
  <c r="BA127" i="1"/>
  <c r="AW126" i="1"/>
  <c r="BA126" i="1"/>
  <c r="AZ126" i="1"/>
  <c r="BB126" i="1" s="1"/>
  <c r="BA125" i="1"/>
  <c r="AZ125" i="1"/>
  <c r="BB125" i="1" s="1"/>
  <c r="AW125" i="1"/>
  <c r="AW124" i="1"/>
  <c r="AZ124" i="1"/>
  <c r="BA124" i="1"/>
  <c r="AW123" i="1"/>
  <c r="AZ123" i="1"/>
  <c r="BA123" i="1"/>
  <c r="AW122" i="1"/>
  <c r="BA122" i="1"/>
  <c r="AZ122" i="1"/>
  <c r="BA121" i="1"/>
  <c r="AW121" i="1"/>
  <c r="AZ121" i="1"/>
  <c r="BB121" i="1" s="1"/>
  <c r="AP119" i="1"/>
  <c r="AL119" i="1"/>
  <c r="AO119" i="1"/>
  <c r="AQ119" i="1" s="1"/>
  <c r="AW112" i="1"/>
  <c r="AY113" i="1" s="1"/>
  <c r="BA112" i="1"/>
  <c r="AZ112" i="1"/>
  <c r="BB112" i="1" s="1"/>
  <c r="AL108" i="1"/>
  <c r="AO108" i="1"/>
  <c r="AP108" i="1"/>
  <c r="AO104" i="1"/>
  <c r="AP104" i="1"/>
  <c r="AL104" i="1"/>
  <c r="BA103" i="1"/>
  <c r="AZ103" i="1"/>
  <c r="BB103" i="1" s="1"/>
  <c r="AW103" i="1"/>
  <c r="AY104" i="1" s="1"/>
  <c r="AW102" i="1"/>
  <c r="AZ102" i="1"/>
  <c r="BA102" i="1"/>
  <c r="AL102" i="1"/>
  <c r="AN103" i="1" s="1"/>
  <c r="AP102" i="1"/>
  <c r="AO102" i="1"/>
  <c r="AQ102" i="1" s="1"/>
  <c r="AW101" i="1"/>
  <c r="BA101" i="1"/>
  <c r="AZ101" i="1"/>
  <c r="BB101" i="1" s="1"/>
  <c r="AL101" i="1"/>
  <c r="AO101" i="1"/>
  <c r="AP101" i="1"/>
  <c r="BA100" i="1"/>
  <c r="AW100" i="1"/>
  <c r="AZ100" i="1"/>
  <c r="BB100" i="1" s="1"/>
  <c r="AO100" i="1"/>
  <c r="AL100" i="1"/>
  <c r="AP100" i="1"/>
  <c r="AW99" i="1"/>
  <c r="AZ99" i="1"/>
  <c r="BA99" i="1"/>
  <c r="AP99" i="1"/>
  <c r="AL99" i="1"/>
  <c r="AO99" i="1"/>
  <c r="AQ99" i="1" s="1"/>
  <c r="AW98" i="1"/>
  <c r="BA98" i="1"/>
  <c r="AZ98" i="1"/>
  <c r="BB98" i="1" s="1"/>
  <c r="BA97" i="1"/>
  <c r="AW97" i="1"/>
  <c r="AZ97" i="1"/>
  <c r="BB97" i="1" s="1"/>
  <c r="AP97" i="1"/>
  <c r="AL97" i="1"/>
  <c r="AN98" i="1" s="1"/>
  <c r="AO97" i="1"/>
  <c r="AQ97" i="1" s="1"/>
  <c r="BE97" i="1" s="1"/>
  <c r="AP96" i="1"/>
  <c r="AL96" i="1"/>
  <c r="AO96" i="1"/>
  <c r="AQ96" i="1" s="1"/>
  <c r="BA95" i="1"/>
  <c r="AW95" i="1"/>
  <c r="AY96" i="1" s="1"/>
  <c r="AZ95" i="1"/>
  <c r="BB95" i="1" s="1"/>
  <c r="AL95" i="1"/>
  <c r="AO95" i="1"/>
  <c r="AP95" i="1"/>
  <c r="AL94" i="1"/>
  <c r="AP94" i="1"/>
  <c r="AO94" i="1"/>
  <c r="AQ94" i="1" s="1"/>
  <c r="BA93" i="1"/>
  <c r="AW93" i="1"/>
  <c r="AY94" i="1" s="1"/>
  <c r="AZ93" i="1"/>
  <c r="AL92" i="1"/>
  <c r="AN93" i="1" s="1"/>
  <c r="AP92" i="1"/>
  <c r="AO92" i="1"/>
  <c r="AQ92" i="1" s="1"/>
  <c r="AL91" i="1"/>
  <c r="AO91" i="1"/>
  <c r="AP91" i="1"/>
  <c r="AO90" i="1"/>
  <c r="AL90" i="1"/>
  <c r="AP90" i="1"/>
  <c r="AL88" i="1"/>
  <c r="AO88" i="1"/>
  <c r="AP88" i="1"/>
  <c r="AZ87" i="1"/>
  <c r="BA87" i="1"/>
  <c r="AW87" i="1"/>
  <c r="AY88" i="1" s="1"/>
  <c r="AP85" i="1"/>
  <c r="AL85" i="1"/>
  <c r="AO85" i="1"/>
  <c r="AQ85" i="1" s="1"/>
  <c r="AO84" i="1"/>
  <c r="AL84" i="1"/>
  <c r="AP84" i="1"/>
  <c r="AL83" i="1"/>
  <c r="AP83" i="1"/>
  <c r="AO83" i="1"/>
  <c r="AQ83" i="1" s="1"/>
  <c r="AP82" i="1"/>
  <c r="AL82" i="1"/>
  <c r="AO82" i="1"/>
  <c r="AQ82" i="1" s="1"/>
  <c r="AL81" i="1"/>
  <c r="AO81" i="1"/>
  <c r="AP81" i="1"/>
  <c r="AL79" i="1"/>
  <c r="AO79" i="1"/>
  <c r="AP79" i="1"/>
  <c r="AW78" i="1"/>
  <c r="AY79" i="1" s="1"/>
  <c r="BA78" i="1"/>
  <c r="AZ78" i="1"/>
  <c r="BB78" i="1" s="1"/>
  <c r="AP78" i="1"/>
  <c r="AO78" i="1"/>
  <c r="AQ78" i="1" s="1"/>
  <c r="AO77" i="1"/>
  <c r="AL77" i="1"/>
  <c r="AP77" i="1"/>
  <c r="AP76" i="1"/>
  <c r="AO76" i="1"/>
  <c r="AQ76" i="1" s="1"/>
  <c r="AP75" i="1"/>
  <c r="AO75" i="1"/>
  <c r="AQ75" i="1" s="1"/>
  <c r="AL75" i="1"/>
  <c r="AL74" i="1"/>
  <c r="AP74" i="1"/>
  <c r="AO74" i="1"/>
  <c r="AQ74" i="1" s="1"/>
  <c r="AP73" i="1"/>
  <c r="AL73" i="1"/>
  <c r="AO73" i="1"/>
  <c r="AQ73" i="1" s="1"/>
  <c r="BA72" i="1"/>
  <c r="AZ72" i="1"/>
  <c r="BB72" i="1" s="1"/>
  <c r="AW72" i="1"/>
  <c r="AY73" i="1" s="1"/>
  <c r="AO72" i="1"/>
  <c r="AL72" i="1"/>
  <c r="AP72" i="1"/>
  <c r="AW71" i="1"/>
  <c r="BA71" i="1"/>
  <c r="AZ71" i="1"/>
  <c r="BB71" i="1" s="1"/>
  <c r="AP71" i="1"/>
  <c r="AL71" i="1"/>
  <c r="AO71" i="1"/>
  <c r="AQ71" i="1" s="1"/>
  <c r="AL70" i="1"/>
  <c r="AO70" i="1"/>
  <c r="AP70" i="1"/>
  <c r="AL69" i="1"/>
  <c r="AP69" i="1"/>
  <c r="AO69" i="1"/>
  <c r="AQ69" i="1" s="1"/>
  <c r="AO68" i="1"/>
  <c r="AP68" i="1"/>
  <c r="AL68" i="1"/>
  <c r="BA67" i="1"/>
  <c r="AW67" i="1"/>
  <c r="AY68" i="1" s="1"/>
  <c r="AZ67" i="1"/>
  <c r="BB67" i="1" s="1"/>
  <c r="AL67" i="1"/>
  <c r="AO67" i="1"/>
  <c r="AP67" i="1"/>
  <c r="BA66" i="1"/>
  <c r="AW66" i="1"/>
  <c r="AZ66" i="1"/>
  <c r="BB66" i="1" s="1"/>
  <c r="AL66" i="1"/>
  <c r="AO66" i="1"/>
  <c r="AP66" i="1"/>
  <c r="AW65" i="1"/>
  <c r="BA65" i="1"/>
  <c r="AZ65" i="1"/>
  <c r="AP64" i="1"/>
  <c r="AL64" i="1"/>
  <c r="AN65" i="1" s="1"/>
  <c r="AO64" i="1"/>
  <c r="AQ64" i="1" s="1"/>
  <c r="AL63" i="1"/>
  <c r="AO63" i="1"/>
  <c r="AP63" i="1"/>
  <c r="BA62" i="1"/>
  <c r="AW62" i="1"/>
  <c r="AY63" i="1" s="1"/>
  <c r="AZ62" i="1"/>
  <c r="BB62" i="1" s="1"/>
  <c r="AZ61" i="1"/>
  <c r="BA61" i="1"/>
  <c r="AW61" i="1"/>
  <c r="AZ60" i="1"/>
  <c r="AW60" i="1"/>
  <c r="BA60" i="1"/>
  <c r="AL60" i="1"/>
  <c r="AN61" i="1" s="1"/>
  <c r="AO60" i="1"/>
  <c r="AP60" i="1"/>
  <c r="AO59" i="1"/>
  <c r="AL59" i="1"/>
  <c r="AP59" i="1"/>
  <c r="BA58" i="1"/>
  <c r="AZ58" i="1"/>
  <c r="BB58" i="1" s="1"/>
  <c r="AW58" i="1"/>
  <c r="AY59" i="1" s="1"/>
  <c r="AP58" i="1"/>
  <c r="AL58" i="1"/>
  <c r="AO58" i="1"/>
  <c r="AQ58" i="1" s="1"/>
  <c r="AZ57" i="1"/>
  <c r="BA57" i="1"/>
  <c r="AW57" i="1"/>
  <c r="AW56" i="1"/>
  <c r="AZ56" i="1"/>
  <c r="BA56" i="1"/>
  <c r="AZ55" i="1"/>
  <c r="BA55" i="1"/>
  <c r="AW55" i="1"/>
  <c r="AZ54" i="1"/>
  <c r="AW54" i="1"/>
  <c r="BA54" i="1"/>
  <c r="AW53" i="1"/>
  <c r="BA53" i="1"/>
  <c r="AZ53" i="1"/>
  <c r="BB53" i="1" s="1"/>
  <c r="AL53" i="1"/>
  <c r="AN54" i="1" s="1"/>
  <c r="AP53" i="1"/>
  <c r="AO53" i="1"/>
  <c r="AQ53" i="1" s="1"/>
  <c r="AL52" i="1"/>
  <c r="AO52" i="1"/>
  <c r="AP52" i="1"/>
  <c r="AZ51" i="1"/>
  <c r="BA51" i="1"/>
  <c r="AW51" i="1"/>
  <c r="AY52" i="1" s="1"/>
  <c r="AP51" i="1"/>
  <c r="AL51" i="1"/>
  <c r="AO51" i="1"/>
  <c r="AQ51" i="1" s="1"/>
  <c r="AW50" i="1"/>
  <c r="AZ50" i="1"/>
  <c r="BA50" i="1"/>
  <c r="AO50" i="1"/>
  <c r="AL50" i="1"/>
  <c r="AP50" i="1"/>
  <c r="AL49" i="1"/>
  <c r="AP49" i="1"/>
  <c r="AO49" i="1"/>
  <c r="AQ49" i="1" s="1"/>
  <c r="AP48" i="1"/>
  <c r="AO48" i="1"/>
  <c r="AQ48" i="1" s="1"/>
  <c r="AL48" i="1"/>
  <c r="AW47" i="1"/>
  <c r="AY48" i="1" s="1"/>
  <c r="AZ47" i="1"/>
  <c r="BA47" i="1"/>
  <c r="AP47" i="1"/>
  <c r="AL47" i="1"/>
  <c r="AO47" i="1"/>
  <c r="AQ47" i="1" s="1"/>
  <c r="AW46" i="1"/>
  <c r="BA46" i="1"/>
  <c r="AZ46" i="1"/>
  <c r="BB46" i="1" s="1"/>
  <c r="AL46" i="1"/>
  <c r="AP46" i="1"/>
  <c r="AO46" i="1"/>
  <c r="AQ46" i="1" s="1"/>
  <c r="BA45" i="1"/>
  <c r="AZ45" i="1"/>
  <c r="BB45" i="1" s="1"/>
  <c r="AW45" i="1"/>
  <c r="AO45" i="1"/>
  <c r="AL45" i="1"/>
  <c r="AP45" i="1"/>
  <c r="BA44" i="1"/>
  <c r="AZ44" i="1"/>
  <c r="BB44" i="1" s="1"/>
  <c r="AW44" i="1"/>
  <c r="AO44" i="1"/>
  <c r="AL44" i="1"/>
  <c r="AP44" i="1"/>
  <c r="AZ43" i="1"/>
  <c r="AW43" i="1"/>
  <c r="BA43" i="1"/>
  <c r="AP43" i="1"/>
  <c r="AL43" i="1"/>
  <c r="AO43" i="1"/>
  <c r="AQ43" i="1" s="1"/>
  <c r="BA42" i="1"/>
  <c r="AW42" i="1"/>
  <c r="AZ42" i="1"/>
  <c r="BB42" i="1" s="1"/>
  <c r="AP42" i="1"/>
  <c r="AL42" i="1"/>
  <c r="AO42" i="1"/>
  <c r="AP41" i="1"/>
  <c r="AO41" i="1"/>
  <c r="AL41" i="1"/>
  <c r="AP40" i="1"/>
  <c r="AL40" i="1"/>
  <c r="AO40" i="1"/>
  <c r="AQ40" i="1" s="1"/>
  <c r="AW39" i="1"/>
  <c r="AY40" i="1" s="1"/>
  <c r="BA39" i="1"/>
  <c r="AZ39" i="1"/>
  <c r="BB39" i="1" s="1"/>
  <c r="AZ38" i="1"/>
  <c r="AW38" i="1"/>
  <c r="BA38" i="1"/>
  <c r="AO37" i="1"/>
  <c r="AP37" i="1"/>
  <c r="AL37" i="1"/>
  <c r="AN38" i="1" s="1"/>
  <c r="AW36" i="1"/>
  <c r="AY37" i="1" s="1"/>
  <c r="BA36" i="1"/>
  <c r="AZ36" i="1"/>
  <c r="BB36" i="1" s="1"/>
  <c r="AP35" i="1"/>
  <c r="AO35" i="1"/>
  <c r="AL35" i="1"/>
  <c r="AN36" i="1" s="1"/>
  <c r="AZ34" i="1"/>
  <c r="AW34" i="1"/>
  <c r="AY35" i="1" s="1"/>
  <c r="BA34" i="1"/>
  <c r="AL34" i="1"/>
  <c r="AO34" i="1"/>
  <c r="AP34" i="1"/>
  <c r="BA33" i="1"/>
  <c r="AW33" i="1"/>
  <c r="AZ33" i="1"/>
  <c r="BB33" i="1" s="1"/>
  <c r="AL33" i="1"/>
  <c r="AO33" i="1"/>
  <c r="AP33" i="1"/>
  <c r="AW32" i="1"/>
  <c r="AZ32" i="1"/>
  <c r="BA32" i="1"/>
  <c r="AL32" i="1"/>
  <c r="AO32" i="1"/>
  <c r="AP32" i="1"/>
  <c r="BA31" i="1"/>
  <c r="AW31" i="1"/>
  <c r="AZ31" i="1"/>
  <c r="BB31" i="1" s="1"/>
  <c r="AW30" i="1"/>
  <c r="AZ30" i="1"/>
  <c r="BA30" i="1"/>
  <c r="AO29" i="1"/>
  <c r="AP29" i="1"/>
  <c r="AL29" i="1"/>
  <c r="AN30" i="1" s="1"/>
  <c r="BA28" i="1"/>
  <c r="AW28" i="1"/>
  <c r="AY29" i="1" s="1"/>
  <c r="AZ28" i="1"/>
  <c r="BB28" i="1" s="1"/>
  <c r="AO27" i="1"/>
  <c r="AP27" i="1"/>
  <c r="AL27" i="1"/>
  <c r="AN28" i="1" s="1"/>
  <c r="AO26" i="1"/>
  <c r="AL26" i="1"/>
  <c r="AP26" i="1"/>
  <c r="AL25" i="1"/>
  <c r="AO25" i="1"/>
  <c r="AP25" i="1"/>
  <c r="AO24" i="1"/>
  <c r="AP24" i="1"/>
  <c r="AL24" i="1"/>
  <c r="BA23" i="1"/>
  <c r="AZ23" i="1"/>
  <c r="BB23" i="1" s="1"/>
  <c r="AW23" i="1"/>
  <c r="AY24" i="1" s="1"/>
  <c r="AP23" i="1"/>
  <c r="AL23" i="1"/>
  <c r="AO23" i="1"/>
  <c r="AQ23" i="1" s="1"/>
  <c r="AZ22" i="1"/>
  <c r="BA22" i="1"/>
  <c r="AO22" i="1"/>
  <c r="AP22" i="1"/>
  <c r="BE78" i="1" l="1"/>
  <c r="BB154" i="1"/>
  <c r="BB159" i="1"/>
  <c r="BE71" i="1"/>
  <c r="AQ42" i="1"/>
  <c r="AP117" i="1"/>
  <c r="AO117" i="1"/>
  <c r="AQ117" i="1" s="1"/>
  <c r="AL117" i="1"/>
  <c r="AP110" i="1"/>
  <c r="AO110" i="1"/>
  <c r="AL110" i="1"/>
  <c r="AL120" i="1"/>
  <c r="AN121" i="1" s="1"/>
  <c r="AO120" i="1"/>
  <c r="AP120" i="1"/>
  <c r="AP118" i="1"/>
  <c r="AL118" i="1"/>
  <c r="AO118" i="1"/>
  <c r="AQ118" i="1" s="1"/>
  <c r="AO114" i="1"/>
  <c r="AL114" i="1"/>
  <c r="AP114" i="1"/>
  <c r="AP107" i="1"/>
  <c r="AL107" i="1"/>
  <c r="AO107" i="1"/>
  <c r="AQ107" i="1" s="1"/>
  <c r="AP111" i="1"/>
  <c r="AL111" i="1"/>
  <c r="AN112" i="1" s="1"/>
  <c r="AO111" i="1"/>
  <c r="AL105" i="1"/>
  <c r="AP105" i="1"/>
  <c r="AO105" i="1"/>
  <c r="AQ105" i="1" s="1"/>
  <c r="AP113" i="1"/>
  <c r="AO113" i="1"/>
  <c r="AQ113" i="1" s="1"/>
  <c r="AL113" i="1"/>
  <c r="AO109" i="1"/>
  <c r="AQ109" i="1" s="1"/>
  <c r="AP109" i="1"/>
  <c r="AL109" i="1"/>
  <c r="AO89" i="1"/>
  <c r="AQ89" i="1" s="1"/>
  <c r="AL89" i="1"/>
  <c r="AP89" i="1"/>
  <c r="AP86" i="1"/>
  <c r="AL86" i="1"/>
  <c r="AN87" i="1" s="1"/>
  <c r="AO86" i="1"/>
  <c r="AQ86" i="1" s="1"/>
  <c r="AP80" i="1"/>
  <c r="AO80" i="1"/>
  <c r="AQ80" i="1" s="1"/>
  <c r="AL80" i="1"/>
  <c r="AL145" i="1"/>
  <c r="AN146" i="1" s="1"/>
  <c r="AP145" i="1"/>
  <c r="AO145" i="1"/>
  <c r="AL106" i="1"/>
  <c r="AO106" i="1"/>
  <c r="AQ106" i="1" s="1"/>
  <c r="AP106" i="1"/>
  <c r="AQ35" i="1"/>
  <c r="BE58" i="1"/>
  <c r="BE42" i="1"/>
  <c r="BE53" i="1"/>
  <c r="BE46" i="1"/>
  <c r="BB129" i="1"/>
  <c r="BB65" i="1"/>
  <c r="BB122" i="1"/>
  <c r="BE134" i="1"/>
  <c r="BE23" i="1"/>
  <c r="AZ149" i="1"/>
  <c r="BA149" i="1"/>
  <c r="AW149" i="1"/>
  <c r="AZ143" i="1"/>
  <c r="BA143" i="1"/>
  <c r="AW143" i="1"/>
  <c r="AY144" i="1" s="1"/>
  <c r="BA113" i="1"/>
  <c r="AW113" i="1"/>
  <c r="AY114" i="1" s="1"/>
  <c r="AZ113" i="1"/>
  <c r="BB113" i="1" s="1"/>
  <c r="AW104" i="1"/>
  <c r="AY105" i="1" s="1"/>
  <c r="AZ104" i="1"/>
  <c r="BA104" i="1"/>
  <c r="BA79" i="1"/>
  <c r="AZ79" i="1"/>
  <c r="AW79" i="1"/>
  <c r="AY80" i="1" s="1"/>
  <c r="BA52" i="1"/>
  <c r="AZ52" i="1"/>
  <c r="BB52" i="1" s="1"/>
  <c r="BE52" i="1" s="1"/>
  <c r="AW52" i="1"/>
  <c r="BA37" i="1"/>
  <c r="AW37" i="1"/>
  <c r="AZ37" i="1"/>
  <c r="BB37" i="1" s="1"/>
  <c r="AQ41" i="1"/>
  <c r="AO116" i="1"/>
  <c r="AQ116" i="1" s="1"/>
  <c r="AL116" i="1"/>
  <c r="AP116" i="1"/>
  <c r="AP115" i="1"/>
  <c r="AL115" i="1"/>
  <c r="AO115" i="1"/>
  <c r="AQ115" i="1" s="1"/>
  <c r="AQ111" i="1"/>
  <c r="AQ110" i="1"/>
  <c r="AP166" i="1"/>
  <c r="AO166" i="1"/>
  <c r="AQ166" i="1" s="1"/>
  <c r="BE166" i="1" s="1"/>
  <c r="AL166" i="1"/>
  <c r="AP146" i="1"/>
  <c r="AO146" i="1"/>
  <c r="AQ146" i="1" s="1"/>
  <c r="BE146" i="1" s="1"/>
  <c r="AL146" i="1"/>
  <c r="AP131" i="1"/>
  <c r="AL131" i="1"/>
  <c r="AN132" i="1" s="1"/>
  <c r="AO131" i="1"/>
  <c r="AQ131" i="1" s="1"/>
  <c r="AP103" i="1"/>
  <c r="AL103" i="1"/>
  <c r="AO103" i="1"/>
  <c r="AQ103" i="1" s="1"/>
  <c r="BE103" i="1" s="1"/>
  <c r="AO98" i="1"/>
  <c r="AL98" i="1"/>
  <c r="AP98" i="1"/>
  <c r="AO65" i="1"/>
  <c r="AL65" i="1"/>
  <c r="AP65" i="1"/>
  <c r="AP61" i="1"/>
  <c r="AO61" i="1"/>
  <c r="AL61" i="1"/>
  <c r="AN62" i="1" s="1"/>
  <c r="AL38" i="1"/>
  <c r="AN39" i="1" s="1"/>
  <c r="AO38" i="1"/>
  <c r="AP38" i="1"/>
  <c r="BB136" i="1"/>
  <c r="AQ147" i="1"/>
  <c r="AQ114" i="1"/>
  <c r="AQ104" i="1"/>
  <c r="AQ101" i="1"/>
  <c r="BE101" i="1" s="1"/>
  <c r="AQ100" i="1"/>
  <c r="BE100" i="1" s="1"/>
  <c r="BB93" i="1"/>
  <c r="AQ91" i="1"/>
  <c r="AQ88" i="1"/>
  <c r="BB87" i="1"/>
  <c r="BB127" i="1"/>
  <c r="AQ120" i="1"/>
  <c r="BB169" i="1"/>
  <c r="AQ155" i="1"/>
  <c r="AQ108" i="1"/>
  <c r="BB99" i="1"/>
  <c r="BE99" i="1" s="1"/>
  <c r="AL172" i="1"/>
  <c r="AP172" i="1"/>
  <c r="AO172" i="1"/>
  <c r="AQ172" i="1" s="1"/>
  <c r="AO168" i="1"/>
  <c r="AP168" i="1"/>
  <c r="AL168" i="1"/>
  <c r="AN169" i="1" s="1"/>
  <c r="BA167" i="1"/>
  <c r="AW167" i="1"/>
  <c r="AZ167" i="1"/>
  <c r="BB167" i="1" s="1"/>
  <c r="BE167" i="1" s="1"/>
  <c r="AO161" i="1"/>
  <c r="AP161" i="1"/>
  <c r="AL161" i="1"/>
  <c r="AN162" i="1" s="1"/>
  <c r="AZ160" i="1"/>
  <c r="AW160" i="1"/>
  <c r="BA160" i="1"/>
  <c r="AP159" i="1"/>
  <c r="AL159" i="1"/>
  <c r="AO159" i="1"/>
  <c r="AQ159" i="1" s="1"/>
  <c r="BE159" i="1" s="1"/>
  <c r="AW155" i="1"/>
  <c r="AY156" i="1" s="1"/>
  <c r="BA155" i="1"/>
  <c r="AZ155" i="1"/>
  <c r="BB155" i="1" s="1"/>
  <c r="BE155" i="1" s="1"/>
  <c r="AP152" i="1"/>
  <c r="AO152" i="1"/>
  <c r="AQ152" i="1" s="1"/>
  <c r="BE152" i="1" s="1"/>
  <c r="AL152" i="1"/>
  <c r="AN153" i="1" s="1"/>
  <c r="AL150" i="1"/>
  <c r="AO150" i="1"/>
  <c r="AP150" i="1"/>
  <c r="AZ147" i="1"/>
  <c r="BA147" i="1"/>
  <c r="AW147" i="1"/>
  <c r="AW144" i="1"/>
  <c r="AZ144" i="1"/>
  <c r="BA144" i="1"/>
  <c r="AP139" i="1"/>
  <c r="AL139" i="1"/>
  <c r="AN140" i="1" s="1"/>
  <c r="AO139" i="1"/>
  <c r="AQ139" i="1" s="1"/>
  <c r="BE139" i="1" s="1"/>
  <c r="AW135" i="1"/>
  <c r="BA135" i="1"/>
  <c r="AZ135" i="1"/>
  <c r="BB135" i="1" s="1"/>
  <c r="BE135" i="1" s="1"/>
  <c r="AO121" i="1"/>
  <c r="AP121" i="1"/>
  <c r="AL121" i="1"/>
  <c r="AN122" i="1" s="1"/>
  <c r="AO112" i="1"/>
  <c r="AP112" i="1"/>
  <c r="AL112" i="1"/>
  <c r="AZ105" i="1"/>
  <c r="BA105" i="1"/>
  <c r="AW105" i="1"/>
  <c r="AY106" i="1" s="1"/>
  <c r="BA96" i="1"/>
  <c r="AZ96" i="1"/>
  <c r="BB96" i="1" s="1"/>
  <c r="BE96" i="1" s="1"/>
  <c r="AW96" i="1"/>
  <c r="AW94" i="1"/>
  <c r="AZ94" i="1"/>
  <c r="BA94" i="1"/>
  <c r="AO93" i="1"/>
  <c r="AP93" i="1"/>
  <c r="AL93" i="1"/>
  <c r="AW88" i="1"/>
  <c r="AY89" i="1" s="1"/>
  <c r="BA88" i="1"/>
  <c r="AZ88" i="1"/>
  <c r="BB88" i="1" s="1"/>
  <c r="BE88" i="1" s="1"/>
  <c r="AL87" i="1"/>
  <c r="AP87" i="1"/>
  <c r="AO87" i="1"/>
  <c r="AQ87" i="1" s="1"/>
  <c r="BE87" i="1" s="1"/>
  <c r="AW73" i="1"/>
  <c r="AY74" i="1" s="1"/>
  <c r="AZ73" i="1"/>
  <c r="BA73" i="1"/>
  <c r="AZ68" i="1"/>
  <c r="BA68" i="1"/>
  <c r="AW68" i="1"/>
  <c r="AY69" i="1" s="1"/>
  <c r="BA63" i="1"/>
  <c r="AW63" i="1"/>
  <c r="AY64" i="1" s="1"/>
  <c r="AZ63" i="1"/>
  <c r="BB63" i="1" s="1"/>
  <c r="AO62" i="1"/>
  <c r="AP62" i="1"/>
  <c r="AL62" i="1"/>
  <c r="BA59" i="1"/>
  <c r="AZ59" i="1"/>
  <c r="BB59" i="1" s="1"/>
  <c r="AW59" i="1"/>
  <c r="AL54" i="1"/>
  <c r="AN55" i="1" s="1"/>
  <c r="AO54" i="1"/>
  <c r="AP54" i="1"/>
  <c r="BA48" i="1"/>
  <c r="AZ48" i="1"/>
  <c r="BB48" i="1" s="1"/>
  <c r="BE48" i="1" s="1"/>
  <c r="AW48" i="1"/>
  <c r="AY49" i="1" s="1"/>
  <c r="AZ40" i="1"/>
  <c r="AW40" i="1"/>
  <c r="AY41" i="1" s="1"/>
  <c r="BA40" i="1"/>
  <c r="AP39" i="1"/>
  <c r="AO39" i="1"/>
  <c r="AQ39" i="1" s="1"/>
  <c r="BE39" i="1" s="1"/>
  <c r="AL39" i="1"/>
  <c r="AO36" i="1"/>
  <c r="AP36" i="1"/>
  <c r="AL36" i="1"/>
  <c r="BA35" i="1"/>
  <c r="AW35" i="1"/>
  <c r="AZ35" i="1"/>
  <c r="BB35" i="1" s="1"/>
  <c r="BE35" i="1" s="1"/>
  <c r="AP30" i="1"/>
  <c r="AO30" i="1"/>
  <c r="AQ30" i="1" s="1"/>
  <c r="AL30" i="1"/>
  <c r="AN31" i="1" s="1"/>
  <c r="BA29" i="1"/>
  <c r="AZ29" i="1"/>
  <c r="BB29" i="1" s="1"/>
  <c r="AW29" i="1"/>
  <c r="AO28" i="1"/>
  <c r="AP28" i="1"/>
  <c r="AL28" i="1"/>
  <c r="BA24" i="1"/>
  <c r="AZ24" i="1"/>
  <c r="BB24" i="1" s="1"/>
  <c r="AW24" i="1"/>
  <c r="AY25" i="1" s="1"/>
  <c r="AQ171" i="1"/>
  <c r="BE171" i="1" s="1"/>
  <c r="AQ148" i="1"/>
  <c r="AQ145" i="1"/>
  <c r="BE145" i="1" s="1"/>
  <c r="BB141" i="1"/>
  <c r="AQ136" i="1"/>
  <c r="BE136" i="1" s="1"/>
  <c r="BB124" i="1"/>
  <c r="AQ81" i="1"/>
  <c r="BB79" i="1"/>
  <c r="AQ79" i="1"/>
  <c r="BE79" i="1" s="1"/>
  <c r="AQ77" i="1"/>
  <c r="AQ72" i="1"/>
  <c r="BE72" i="1" s="1"/>
  <c r="AQ70" i="1"/>
  <c r="AQ68" i="1"/>
  <c r="AQ67" i="1"/>
  <c r="BE67" i="1" s="1"/>
  <c r="AQ66" i="1"/>
  <c r="BE66" i="1" s="1"/>
  <c r="AQ63" i="1"/>
  <c r="BB61" i="1"/>
  <c r="AQ61" i="1"/>
  <c r="BE61" i="1" s="1"/>
  <c r="BB60" i="1"/>
  <c r="AQ60" i="1"/>
  <c r="BE60" i="1" s="1"/>
  <c r="AQ59" i="1"/>
  <c r="BB57" i="1"/>
  <c r="BB56" i="1"/>
  <c r="BB55" i="1"/>
  <c r="BB54" i="1"/>
  <c r="AQ52" i="1"/>
  <c r="BB51" i="1"/>
  <c r="BE51" i="1" s="1"/>
  <c r="BB50" i="1"/>
  <c r="AQ50" i="1"/>
  <c r="BB47" i="1"/>
  <c r="BE47" i="1" s="1"/>
  <c r="AQ45" i="1"/>
  <c r="BE45" i="1" s="1"/>
  <c r="AQ44" i="1"/>
  <c r="BE44" i="1" s="1"/>
  <c r="BB43" i="1"/>
  <c r="BE43" i="1" s="1"/>
  <c r="BB38" i="1"/>
  <c r="AQ37" i="1"/>
  <c r="BB34" i="1"/>
  <c r="AQ34" i="1"/>
  <c r="BE34" i="1" s="1"/>
  <c r="AQ33" i="1"/>
  <c r="BE33" i="1" s="1"/>
  <c r="BB32" i="1"/>
  <c r="AQ32" i="1"/>
  <c r="BB30" i="1"/>
  <c r="AQ29" i="1"/>
  <c r="AQ27" i="1"/>
  <c r="AQ26" i="1"/>
  <c r="AQ25" i="1"/>
  <c r="AQ24" i="1"/>
  <c r="BB22" i="1"/>
  <c r="AQ22" i="1"/>
  <c r="AQ84" i="1"/>
  <c r="AQ176" i="1"/>
  <c r="AQ175" i="1"/>
  <c r="BE175" i="1" s="1"/>
  <c r="AQ174" i="1"/>
  <c r="BE174" i="1" s="1"/>
  <c r="BB173" i="1"/>
  <c r="BB172" i="1"/>
  <c r="AQ170" i="1"/>
  <c r="BE170" i="1" s="1"/>
  <c r="BB166" i="1"/>
  <c r="AQ160" i="1"/>
  <c r="BB151" i="1"/>
  <c r="BB148" i="1"/>
  <c r="BB140" i="1"/>
  <c r="AQ138" i="1"/>
  <c r="BE138" i="1" s="1"/>
  <c r="AQ137" i="1"/>
  <c r="BE137" i="1" s="1"/>
  <c r="BB176" i="1"/>
  <c r="BB165" i="1"/>
  <c r="BE165" i="1" s="1"/>
  <c r="AQ158" i="1"/>
  <c r="BB130" i="1"/>
  <c r="BE130" i="1" s="1"/>
  <c r="BB123" i="1"/>
  <c r="BB102" i="1"/>
  <c r="BE102" i="1" s="1"/>
  <c r="AQ95" i="1"/>
  <c r="BE95" i="1" s="1"/>
  <c r="AQ90" i="1"/>
  <c r="AQ173" i="1"/>
  <c r="BE173" i="1" s="1"/>
  <c r="AQ151" i="1"/>
  <c r="BE151" i="1" s="1"/>
  <c r="AQ149" i="1"/>
  <c r="AQ143" i="1"/>
  <c r="BB131" i="1"/>
  <c r="BB128" i="1"/>
  <c r="BE63" i="1" l="1"/>
  <c r="BE59" i="1"/>
  <c r="BE37" i="1"/>
  <c r="BE29" i="1"/>
  <c r="BE24" i="1"/>
  <c r="BE113" i="1"/>
  <c r="BE131" i="1"/>
  <c r="AW114" i="1"/>
  <c r="AY115" i="1" s="1"/>
  <c r="AZ114" i="1"/>
  <c r="BA114" i="1"/>
  <c r="BA80" i="1"/>
  <c r="AW80" i="1"/>
  <c r="AY81" i="1" s="1"/>
  <c r="AZ80" i="1"/>
  <c r="BB80" i="1" s="1"/>
  <c r="BE80" i="1" s="1"/>
  <c r="BB149" i="1"/>
  <c r="BE149" i="1" s="1"/>
  <c r="BB143" i="1"/>
  <c r="BE143" i="1" s="1"/>
  <c r="BB104" i="1"/>
  <c r="BE104" i="1" s="1"/>
  <c r="BE50" i="1"/>
  <c r="BE32" i="1"/>
  <c r="AZ89" i="1"/>
  <c r="BA89" i="1"/>
  <c r="AW89" i="1"/>
  <c r="AY90" i="1" s="1"/>
  <c r="BA64" i="1"/>
  <c r="AW64" i="1"/>
  <c r="AZ64" i="1"/>
  <c r="BB64" i="1" s="1"/>
  <c r="BE64" i="1" s="1"/>
  <c r="AZ41" i="1"/>
  <c r="BA41" i="1"/>
  <c r="AW41" i="1"/>
  <c r="AW25" i="1"/>
  <c r="AY26" i="1" s="1"/>
  <c r="BA25" i="1"/>
  <c r="AZ25" i="1"/>
  <c r="AQ38" i="1"/>
  <c r="BE38" i="1" s="1"/>
  <c r="AO132" i="1"/>
  <c r="AL132" i="1"/>
  <c r="AN133" i="1" s="1"/>
  <c r="AP132" i="1"/>
  <c r="AQ98" i="1"/>
  <c r="BE98" i="1" s="1"/>
  <c r="AQ65" i="1"/>
  <c r="BE65" i="1" s="1"/>
  <c r="AO169" i="1"/>
  <c r="AP169" i="1"/>
  <c r="AL169" i="1"/>
  <c r="AO122" i="1"/>
  <c r="AP122" i="1"/>
  <c r="AL122" i="1"/>
  <c r="AN123" i="1" s="1"/>
  <c r="BB144" i="1"/>
  <c r="BE144" i="1" s="1"/>
  <c r="AQ112" i="1"/>
  <c r="BE112" i="1" s="1"/>
  <c r="AQ93" i="1"/>
  <c r="BE93" i="1" s="1"/>
  <c r="BB73" i="1"/>
  <c r="BE73" i="1" s="1"/>
  <c r="AP162" i="1"/>
  <c r="AO162" i="1"/>
  <c r="AQ162" i="1" s="1"/>
  <c r="BE162" i="1" s="1"/>
  <c r="AL162" i="1"/>
  <c r="AN163" i="1" s="1"/>
  <c r="AZ156" i="1"/>
  <c r="BA156" i="1"/>
  <c r="AW156" i="1"/>
  <c r="AY157" i="1" s="1"/>
  <c r="AO153" i="1"/>
  <c r="AP153" i="1"/>
  <c r="AL153" i="1"/>
  <c r="AN154" i="1" s="1"/>
  <c r="AL140" i="1"/>
  <c r="AN141" i="1" s="1"/>
  <c r="AP140" i="1"/>
  <c r="AO140" i="1"/>
  <c r="AQ140" i="1" s="1"/>
  <c r="BE140" i="1" s="1"/>
  <c r="AZ106" i="1"/>
  <c r="BA106" i="1"/>
  <c r="AW106" i="1"/>
  <c r="AY107" i="1" s="1"/>
  <c r="AW74" i="1"/>
  <c r="AY75" i="1" s="1"/>
  <c r="AZ74" i="1"/>
  <c r="BA74" i="1"/>
  <c r="BA69" i="1"/>
  <c r="AW69" i="1"/>
  <c r="AY70" i="1" s="1"/>
  <c r="AZ69" i="1"/>
  <c r="BB69" i="1" s="1"/>
  <c r="BE69" i="1" s="1"/>
  <c r="AP55" i="1"/>
  <c r="AO55" i="1"/>
  <c r="AQ55" i="1" s="1"/>
  <c r="BE55" i="1" s="1"/>
  <c r="AL55" i="1"/>
  <c r="AN56" i="1" s="1"/>
  <c r="AZ49" i="1"/>
  <c r="AW49" i="1"/>
  <c r="BA49" i="1"/>
  <c r="AO31" i="1"/>
  <c r="AL31" i="1"/>
  <c r="AP31" i="1"/>
  <c r="BC22" i="1"/>
  <c r="BC23" i="1" s="1"/>
  <c r="BC24" i="1" s="1"/>
  <c r="AR22" i="1"/>
  <c r="AR23" i="1" s="1"/>
  <c r="AR24" i="1" s="1"/>
  <c r="AR25" i="1" s="1"/>
  <c r="AR26" i="1" s="1"/>
  <c r="AR27" i="1" s="1"/>
  <c r="BE22" i="1"/>
  <c r="BB105" i="1"/>
  <c r="BE105" i="1" s="1"/>
  <c r="BB94" i="1"/>
  <c r="BE94" i="1" s="1"/>
  <c r="AQ54" i="1"/>
  <c r="BE54" i="1" s="1"/>
  <c r="AQ28" i="1"/>
  <c r="BE172" i="1"/>
  <c r="AQ168" i="1"/>
  <c r="BE168" i="1" s="1"/>
  <c r="AQ161" i="1"/>
  <c r="BE161" i="1" s="1"/>
  <c r="BB160" i="1"/>
  <c r="BE160" i="1" s="1"/>
  <c r="AQ150" i="1"/>
  <c r="BE150" i="1" s="1"/>
  <c r="BB147" i="1"/>
  <c r="BE147" i="1" s="1"/>
  <c r="AQ121" i="1"/>
  <c r="BE121" i="1" s="1"/>
  <c r="BB68" i="1"/>
  <c r="BE68" i="1" s="1"/>
  <c r="AQ62" i="1"/>
  <c r="BE62" i="1" s="1"/>
  <c r="BB40" i="1"/>
  <c r="AQ36" i="1"/>
  <c r="BE36" i="1" s="1"/>
  <c r="BE30" i="1"/>
  <c r="BE148" i="1"/>
  <c r="BE176" i="1"/>
  <c r="BB25" i="1" l="1"/>
  <c r="BA115" i="1"/>
  <c r="AZ115" i="1"/>
  <c r="AW115" i="1"/>
  <c r="AY116" i="1" s="1"/>
  <c r="AW81" i="1"/>
  <c r="AY82" i="1" s="1"/>
  <c r="BA81" i="1"/>
  <c r="AZ81" i="1"/>
  <c r="AZ90" i="1"/>
  <c r="BA90" i="1"/>
  <c r="AW90" i="1"/>
  <c r="AY91" i="1" s="1"/>
  <c r="AZ26" i="1"/>
  <c r="AW26" i="1"/>
  <c r="AY27" i="1" s="1"/>
  <c r="BA26" i="1"/>
  <c r="BB114" i="1"/>
  <c r="BE114" i="1" s="1"/>
  <c r="BB89" i="1"/>
  <c r="BE89" i="1" s="1"/>
  <c r="BB41" i="1"/>
  <c r="BE41" i="1" s="1"/>
  <c r="BA157" i="1"/>
  <c r="AW157" i="1"/>
  <c r="AY158" i="1" s="1"/>
  <c r="AZ157" i="1"/>
  <c r="BB157" i="1" s="1"/>
  <c r="BE157" i="1" s="1"/>
  <c r="AW70" i="1"/>
  <c r="BA70" i="1"/>
  <c r="AZ70" i="1"/>
  <c r="BB70" i="1" s="1"/>
  <c r="BE70" i="1" s="1"/>
  <c r="AQ169" i="1"/>
  <c r="BE169" i="1" s="1"/>
  <c r="AL133" i="1"/>
  <c r="AP133" i="1"/>
  <c r="AO133" i="1"/>
  <c r="AQ133" i="1" s="1"/>
  <c r="BE133" i="1" s="1"/>
  <c r="AL123" i="1"/>
  <c r="AN124" i="1" s="1"/>
  <c r="AO123" i="1"/>
  <c r="AP123" i="1"/>
  <c r="AQ132" i="1"/>
  <c r="BE132" i="1" s="1"/>
  <c r="AQ122" i="1"/>
  <c r="BE122" i="1" s="1"/>
  <c r="AR28" i="1"/>
  <c r="AR29" i="1" s="1"/>
  <c r="AR30" i="1" s="1"/>
  <c r="AP163" i="1"/>
  <c r="AL163" i="1"/>
  <c r="AN164" i="1" s="1"/>
  <c r="AO163" i="1"/>
  <c r="AP154" i="1"/>
  <c r="AO154" i="1"/>
  <c r="AQ154" i="1" s="1"/>
  <c r="BE154" i="1" s="1"/>
  <c r="AL154" i="1"/>
  <c r="AL141" i="1"/>
  <c r="AN142" i="1" s="1"/>
  <c r="AP141" i="1"/>
  <c r="AO141" i="1"/>
  <c r="AW107" i="1"/>
  <c r="AY108" i="1" s="1"/>
  <c r="BA107" i="1"/>
  <c r="AZ107" i="1"/>
  <c r="BB107" i="1" s="1"/>
  <c r="BE107" i="1" s="1"/>
  <c r="BA75" i="1"/>
  <c r="AW75" i="1"/>
  <c r="AY76" i="1" s="1"/>
  <c r="AZ75" i="1"/>
  <c r="BB75" i="1" s="1"/>
  <c r="BE75" i="1" s="1"/>
  <c r="AO56" i="1"/>
  <c r="AP56" i="1"/>
  <c r="AL56" i="1"/>
  <c r="AN57" i="1" s="1"/>
  <c r="BF22" i="1"/>
  <c r="BF23" i="1" s="1"/>
  <c r="BF24" i="1" s="1"/>
  <c r="BB156" i="1"/>
  <c r="BE156" i="1" s="1"/>
  <c r="AQ153" i="1"/>
  <c r="BE153" i="1" s="1"/>
  <c r="BB106" i="1"/>
  <c r="BE106" i="1" s="1"/>
  <c r="BB74" i="1"/>
  <c r="BE74" i="1" s="1"/>
  <c r="BB49" i="1"/>
  <c r="AQ31" i="1"/>
  <c r="BE28" i="1"/>
  <c r="BE40" i="1"/>
  <c r="BB81" i="1" l="1"/>
  <c r="BE81" i="1" s="1"/>
  <c r="BC25" i="1"/>
  <c r="BE25" i="1"/>
  <c r="BF25" i="1" s="1"/>
  <c r="BB115" i="1"/>
  <c r="BE115" i="1" s="1"/>
  <c r="AW116" i="1"/>
  <c r="AY117" i="1" s="1"/>
  <c r="BA116" i="1"/>
  <c r="AZ116" i="1"/>
  <c r="AZ82" i="1"/>
  <c r="AW82" i="1"/>
  <c r="AY83" i="1" s="1"/>
  <c r="BA82" i="1"/>
  <c r="BA91" i="1"/>
  <c r="AW91" i="1"/>
  <c r="AY92" i="1" s="1"/>
  <c r="AZ91" i="1"/>
  <c r="BB91" i="1" s="1"/>
  <c r="BE91" i="1" s="1"/>
  <c r="BA27" i="1"/>
  <c r="AW27" i="1"/>
  <c r="AZ27" i="1"/>
  <c r="BB27" i="1" s="1"/>
  <c r="BE27" i="1" s="1"/>
  <c r="BA158" i="1"/>
  <c r="AZ158" i="1"/>
  <c r="BB158" i="1" s="1"/>
  <c r="BE158" i="1" s="1"/>
  <c r="AW158" i="1"/>
  <c r="BB26" i="1"/>
  <c r="BB90" i="1"/>
  <c r="BE90" i="1" s="1"/>
  <c r="AW108" i="1"/>
  <c r="AY109" i="1" s="1"/>
  <c r="AZ108" i="1"/>
  <c r="BA108" i="1"/>
  <c r="AQ163" i="1"/>
  <c r="BE163" i="1" s="1"/>
  <c r="AQ141" i="1"/>
  <c r="BE141" i="1" s="1"/>
  <c r="AO124" i="1"/>
  <c r="AP124" i="1"/>
  <c r="AL124" i="1"/>
  <c r="AN125" i="1" s="1"/>
  <c r="AQ123" i="1"/>
  <c r="BE123" i="1" s="1"/>
  <c r="AO164" i="1"/>
  <c r="AP164" i="1"/>
  <c r="AL164" i="1"/>
  <c r="AP142" i="1"/>
  <c r="AL142" i="1"/>
  <c r="AO142" i="1"/>
  <c r="BA76" i="1"/>
  <c r="AZ76" i="1"/>
  <c r="BB76" i="1" s="1"/>
  <c r="AW76" i="1"/>
  <c r="AY77" i="1" s="1"/>
  <c r="AP57" i="1"/>
  <c r="AL57" i="1"/>
  <c r="AO57" i="1"/>
  <c r="AQ57" i="1" s="1"/>
  <c r="BE57" i="1" s="1"/>
  <c r="BE49" i="1"/>
  <c r="AR31" i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BE31" i="1"/>
  <c r="AQ56" i="1"/>
  <c r="BB108" i="1" l="1"/>
  <c r="BE108" i="1" s="1"/>
  <c r="AZ117" i="1"/>
  <c r="AW117" i="1"/>
  <c r="AY118" i="1" s="1"/>
  <c r="BA117" i="1"/>
  <c r="BA83" i="1"/>
  <c r="AW83" i="1"/>
  <c r="AY84" i="1" s="1"/>
  <c r="AZ83" i="1"/>
  <c r="BB83" i="1" s="1"/>
  <c r="BE83" i="1" s="1"/>
  <c r="AZ92" i="1"/>
  <c r="BA92" i="1"/>
  <c r="AW92" i="1"/>
  <c r="BE26" i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C26" i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AZ109" i="1"/>
  <c r="BA109" i="1"/>
  <c r="AW109" i="1"/>
  <c r="AY110" i="1" s="1"/>
  <c r="BB116" i="1"/>
  <c r="BE116" i="1" s="1"/>
  <c r="BB82" i="1"/>
  <c r="BE82" i="1" s="1"/>
  <c r="AW77" i="1"/>
  <c r="BA77" i="1"/>
  <c r="AZ77" i="1"/>
  <c r="BB77" i="1" s="1"/>
  <c r="AP125" i="1"/>
  <c r="AO125" i="1"/>
  <c r="AQ125" i="1" s="1"/>
  <c r="BE125" i="1" s="1"/>
  <c r="AL125" i="1"/>
  <c r="AN126" i="1" s="1"/>
  <c r="AQ124" i="1"/>
  <c r="BE124" i="1" s="1"/>
  <c r="AQ164" i="1"/>
  <c r="BE164" i="1" s="1"/>
  <c r="AR56" i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Q142" i="1"/>
  <c r="BE76" i="1"/>
  <c r="BE56" i="1"/>
  <c r="BA118" i="1" l="1"/>
  <c r="AW118" i="1"/>
  <c r="AY119" i="1" s="1"/>
  <c r="AZ118" i="1"/>
  <c r="BB118" i="1" s="1"/>
  <c r="BE118" i="1" s="1"/>
  <c r="BA84" i="1"/>
  <c r="AW84" i="1"/>
  <c r="AY85" i="1" s="1"/>
  <c r="AZ84" i="1"/>
  <c r="BB84" i="1" s="1"/>
  <c r="AZ110" i="1"/>
  <c r="BA110" i="1"/>
  <c r="AW110" i="1"/>
  <c r="AY111" i="1" s="1"/>
  <c r="BE77" i="1"/>
  <c r="BB117" i="1"/>
  <c r="BE117" i="1" s="1"/>
  <c r="BB92" i="1"/>
  <c r="BE92" i="1" s="1"/>
  <c r="BC77" i="1"/>
  <c r="BC78" i="1" s="1"/>
  <c r="BC79" i="1" s="1"/>
  <c r="BC80" i="1" s="1"/>
  <c r="BC81" i="1" s="1"/>
  <c r="BC82" i="1" s="1"/>
  <c r="BC83" i="1" s="1"/>
  <c r="BC84" i="1" s="1"/>
  <c r="BB109" i="1"/>
  <c r="BE109" i="1" s="1"/>
  <c r="AL126" i="1"/>
  <c r="AN127" i="1" s="1"/>
  <c r="AO126" i="1"/>
  <c r="AP126" i="1"/>
  <c r="BE142" i="1"/>
  <c r="BF56" i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A119" i="1" l="1"/>
  <c r="AZ119" i="1"/>
  <c r="BB119" i="1" s="1"/>
  <c r="BE119" i="1" s="1"/>
  <c r="AW119" i="1"/>
  <c r="AY120" i="1" s="1"/>
  <c r="BA85" i="1"/>
  <c r="AW85" i="1"/>
  <c r="AY86" i="1" s="1"/>
  <c r="AZ85" i="1"/>
  <c r="BB85" i="1" s="1"/>
  <c r="BE84" i="1"/>
  <c r="AW111" i="1"/>
  <c r="AZ111" i="1"/>
  <c r="BA111" i="1"/>
  <c r="BF77" i="1"/>
  <c r="BF78" i="1" s="1"/>
  <c r="BF79" i="1" s="1"/>
  <c r="BF80" i="1" s="1"/>
  <c r="BF81" i="1" s="1"/>
  <c r="BF82" i="1" s="1"/>
  <c r="BF83" i="1" s="1"/>
  <c r="BF84" i="1" s="1"/>
  <c r="BB110" i="1"/>
  <c r="BE110" i="1" s="1"/>
  <c r="AP127" i="1"/>
  <c r="AO127" i="1"/>
  <c r="AQ127" i="1" s="1"/>
  <c r="BE127" i="1" s="1"/>
  <c r="AL127" i="1"/>
  <c r="AN128" i="1" s="1"/>
  <c r="AQ126" i="1"/>
  <c r="AZ120" i="1" l="1"/>
  <c r="AW120" i="1"/>
  <c r="BA120" i="1"/>
  <c r="AZ86" i="1"/>
  <c r="AW86" i="1"/>
  <c r="BA86" i="1"/>
  <c r="BC85" i="1"/>
  <c r="BE85" i="1"/>
  <c r="BF85" i="1" s="1"/>
  <c r="BB111" i="1"/>
  <c r="BE111" i="1" s="1"/>
  <c r="AO128" i="1"/>
  <c r="AP128" i="1"/>
  <c r="AL128" i="1"/>
  <c r="AN129" i="1" s="1"/>
  <c r="BE126" i="1"/>
  <c r="AR126" i="1"/>
  <c r="AR127" i="1" s="1"/>
  <c r="BB120" i="1" l="1"/>
  <c r="BE120" i="1" s="1"/>
  <c r="BB86" i="1"/>
  <c r="AP129" i="1"/>
  <c r="AL129" i="1"/>
  <c r="AO129" i="1"/>
  <c r="AQ128" i="1"/>
  <c r="BE86" i="1" l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B15" i="1"/>
  <c r="BB16" i="1" s="1"/>
  <c r="AT1" i="1" s="1"/>
  <c r="BB19" i="1"/>
  <c r="BB14" i="1"/>
  <c r="BC86" i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AQ129" i="1"/>
  <c r="BE129" i="1" s="1"/>
  <c r="AQ19" i="1"/>
  <c r="AQ14" i="1"/>
  <c r="AQ15" i="1"/>
  <c r="AR128" i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128" i="1"/>
  <c r="BF128" i="1" l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8" i="1"/>
  <c r="BE14" i="1"/>
  <c r="BE15" i="1"/>
  <c r="AQ16" i="1"/>
  <c r="AI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<sst xmlns="http://schemas.openxmlformats.org/spreadsheetml/2006/main" count="74" uniqueCount="53">
  <si>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</si>
  <si>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BSMV</t>
  </si>
  <si>
    <t>IBMT</t>
  </si>
  <si>
    <t>BSMV log rtn</t>
  </si>
  <si>
    <t>IBMT log rtn</t>
  </si>
  <si>
    <t>BSMV div</t>
  </si>
  <si>
    <t>BSMV div cumsum</t>
  </si>
  <si>
    <t>IBMT div</t>
  </si>
  <si>
    <t>IBMT div cumsum</t>
  </si>
  <si>
    <t>BSMV div adjustment</t>
  </si>
  <si>
    <t>IBMT div adjustment</t>
  </si>
  <si>
    <t>BSMV*</t>
  </si>
  <si>
    <t>IBMT*</t>
  </si>
  <si>
    <t>IBMT/BSMV</t>
  </si>
  <si>
    <t>IBMT/BSMV avg</t>
  </si>
  <si>
    <t>IBMT/BSMV 10 dma</t>
  </si>
  <si>
    <t>IBMT/BSMV 20 dma</t>
  </si>
  <si>
    <t>BSMV x avg</t>
  </si>
  <si>
    <t>BSMV x 10 dma</t>
  </si>
  <si>
    <t>BSMV x 20 dma</t>
  </si>
  <si>
    <t>log diff BSMV x avg / IBMT</t>
  </si>
  <si>
    <t>log diff BSMV x 10 dma / IBMT</t>
  </si>
  <si>
    <t>log diff BSMV x 20 dma / IBMT</t>
  </si>
  <si>
    <t>IBMT*/BSMV*</t>
  </si>
  <si>
    <t>IBMT*/BSMV* avg</t>
  </si>
  <si>
    <t>IBMT*/BSMV* 10 dma</t>
  </si>
  <si>
    <t>IBMT*/BSMV* 20 dma</t>
  </si>
  <si>
    <t>BSMV* x avg</t>
  </si>
  <si>
    <t>BSMV* x 10 dma</t>
  </si>
  <si>
    <t>BSMV* x 20 dma</t>
  </si>
  <si>
    <t>log diff BSMV* x avg / IBMT*</t>
  </si>
  <si>
    <t>log diff BSMV* x 10 dma / IBMT*</t>
  </si>
  <si>
    <t>log diff BSMV* x 20 dma / IBMT*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</si>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</sst>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IBMT/BSMV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1.2284375966208501</c:v>
                </c:pt>
                <c:pt idx="1">
                  <c:v>1.2284375966208501</c:v>
                </c:pt>
                <c:pt idx="2">
                  <c:v>1.2284375966208501</c:v>
                </c:pt>
                <c:pt idx="3">
                  <c:v>1.2284375966208501</c:v>
                </c:pt>
                <c:pt idx="4">
                  <c:v>1.2284375966208501</c:v>
                </c:pt>
                <c:pt idx="5">
                  <c:v>1.2284375966208501</c:v>
                </c:pt>
                <c:pt idx="6">
                  <c:v>1.2284375966208501</c:v>
                </c:pt>
                <c:pt idx="7">
                  <c:v>1.2284375966208501</c:v>
                </c:pt>
                <c:pt idx="8">
                  <c:v>1.2284375966208501</c:v>
                </c:pt>
                <c:pt idx="9">
                  <c:v>1.2284375966208501</c:v>
                </c:pt>
                <c:pt idx="10">
                  <c:v>1.2284375966208501</c:v>
                </c:pt>
                <c:pt idx="11">
                  <c:v>1.2284375966208501</c:v>
                </c:pt>
                <c:pt idx="12">
                  <c:v>1.2284375966208501</c:v>
                </c:pt>
                <c:pt idx="13">
                  <c:v>1.2284375966208501</c:v>
                </c:pt>
                <c:pt idx="14">
                  <c:v>1.2284375966208501</c:v>
                </c:pt>
                <c:pt idx="15">
                  <c:v>1.2284375966208501</c:v>
                </c:pt>
                <c:pt idx="16">
                  <c:v>1.2284375966208501</c:v>
                </c:pt>
                <c:pt idx="17">
                  <c:v>1.2284375966208501</c:v>
                </c:pt>
                <c:pt idx="18">
                  <c:v>1.2284375966208501</c:v>
                </c:pt>
                <c:pt idx="19">
                  <c:v>1.2284375966208501</c:v>
                </c:pt>
                <c:pt idx="20">
                  <c:v>1.2284375966208501</c:v>
                </c:pt>
                <c:pt idx="21">
                  <c:v>1.2284375966208501</c:v>
                </c:pt>
                <c:pt idx="22">
                  <c:v>1.2284375966208501</c:v>
                </c:pt>
                <c:pt idx="23">
                  <c:v>1.2284375966208501</c:v>
                </c:pt>
                <c:pt idx="24">
                  <c:v>1.2284375966208501</c:v>
                </c:pt>
                <c:pt idx="25">
                  <c:v>1.2284375966208501</c:v>
                </c:pt>
                <c:pt idx="26">
                  <c:v>1.2284375966208501</c:v>
                </c:pt>
                <c:pt idx="27">
                  <c:v>1.2284375966208501</c:v>
                </c:pt>
                <c:pt idx="28">
                  <c:v>1.2284375966208501</c:v>
                </c:pt>
                <c:pt idx="29">
                  <c:v>1.2284375966208501</c:v>
                </c:pt>
                <c:pt idx="30">
                  <c:v>1.2284375966208501</c:v>
                </c:pt>
                <c:pt idx="31">
                  <c:v>1.2284375966208501</c:v>
                </c:pt>
                <c:pt idx="32">
                  <c:v>1.2284375966208501</c:v>
                </c:pt>
                <c:pt idx="33">
                  <c:v>1.2284375966208501</c:v>
                </c:pt>
                <c:pt idx="34">
                  <c:v>1.2284375966208501</c:v>
                </c:pt>
                <c:pt idx="35">
                  <c:v>1.2284375966208501</c:v>
                </c:pt>
                <c:pt idx="36">
                  <c:v>1.2284375966208501</c:v>
                </c:pt>
                <c:pt idx="37">
                  <c:v>1.2284375966208501</c:v>
                </c:pt>
                <c:pt idx="38">
                  <c:v>1.2284375966208501</c:v>
                </c:pt>
                <c:pt idx="39">
                  <c:v>1.2284375966208501</c:v>
                </c:pt>
                <c:pt idx="40">
                  <c:v>1.2284375966208501</c:v>
                </c:pt>
                <c:pt idx="41">
                  <c:v>1.2284375966208501</c:v>
                </c:pt>
                <c:pt idx="42">
                  <c:v>1.2284375966208501</c:v>
                </c:pt>
                <c:pt idx="43">
                  <c:v>1.2284375966208501</c:v>
                </c:pt>
                <c:pt idx="44">
                  <c:v>1.2284375966208501</c:v>
                </c:pt>
                <c:pt idx="45">
                  <c:v>1.2284375966208501</c:v>
                </c:pt>
                <c:pt idx="46">
                  <c:v>1.2284375966208501</c:v>
                </c:pt>
                <c:pt idx="47">
                  <c:v>1.2284375966208501</c:v>
                </c:pt>
                <c:pt idx="48">
                  <c:v>1.2284375966208501</c:v>
                </c:pt>
                <c:pt idx="49">
                  <c:v>1.2284375966208501</c:v>
                </c:pt>
                <c:pt idx="50">
                  <c:v>1.2284375966208501</c:v>
                </c:pt>
                <c:pt idx="51">
                  <c:v>1.2284375966208501</c:v>
                </c:pt>
                <c:pt idx="52">
                  <c:v>1.2284375966208501</c:v>
                </c:pt>
                <c:pt idx="53">
                  <c:v>1.2284375966208501</c:v>
                </c:pt>
                <c:pt idx="54">
                  <c:v>1.2284375966208501</c:v>
                </c:pt>
                <c:pt idx="55">
                  <c:v>1.2284375966208501</c:v>
                </c:pt>
                <c:pt idx="56">
                  <c:v>1.2284375966208501</c:v>
                </c:pt>
                <c:pt idx="57">
                  <c:v>1.2284375966208501</c:v>
                </c:pt>
                <c:pt idx="58">
                  <c:v>1.2284375966208501</c:v>
                </c:pt>
                <c:pt idx="59">
                  <c:v>1.2284375966208501</c:v>
                </c:pt>
                <c:pt idx="60">
                  <c:v>1.2284375966208501</c:v>
                </c:pt>
                <c:pt idx="61">
                  <c:v>1.2284375966208501</c:v>
                </c:pt>
                <c:pt idx="62">
                  <c:v>1.2284375966208501</c:v>
                </c:pt>
                <c:pt idx="63">
                  <c:v>1.2284375966208501</c:v>
                </c:pt>
                <c:pt idx="64">
                  <c:v>1.2284375966208501</c:v>
                </c:pt>
                <c:pt idx="65">
                  <c:v>1.2284375966208501</c:v>
                </c:pt>
                <c:pt idx="66">
                  <c:v>1.2284375966208501</c:v>
                </c:pt>
                <c:pt idx="67">
                  <c:v>1.2284375966208501</c:v>
                </c:pt>
                <c:pt idx="68">
                  <c:v>1.2284375966208501</c:v>
                </c:pt>
                <c:pt idx="69">
                  <c:v>1.2284375966208501</c:v>
                </c:pt>
                <c:pt idx="70">
                  <c:v>1.2284375966208501</c:v>
                </c:pt>
                <c:pt idx="71">
                  <c:v>1.2284375966208501</c:v>
                </c:pt>
                <c:pt idx="72">
                  <c:v>1.2284375966208501</c:v>
                </c:pt>
                <c:pt idx="73">
                  <c:v>1.2284375966208501</c:v>
                </c:pt>
                <c:pt idx="74">
                  <c:v>1.2284375966208501</c:v>
                </c:pt>
                <c:pt idx="75">
                  <c:v>1.2284375966208501</c:v>
                </c:pt>
                <c:pt idx="76">
                  <c:v>1.2284375966208501</c:v>
                </c:pt>
                <c:pt idx="77">
                  <c:v>1.2284375966208501</c:v>
                </c:pt>
                <c:pt idx="78">
                  <c:v>1.2284375966208501</c:v>
                </c:pt>
                <c:pt idx="79">
                  <c:v>1.2284375966208501</c:v>
                </c:pt>
                <c:pt idx="80">
                  <c:v>1.2284375966208501</c:v>
                </c:pt>
                <c:pt idx="81">
                  <c:v>1.2284375966208501</c:v>
                </c:pt>
                <c:pt idx="82">
                  <c:v>1.2284375966208501</c:v>
                </c:pt>
                <c:pt idx="83">
                  <c:v>1.2284375966208501</c:v>
                </c:pt>
                <c:pt idx="84">
                  <c:v>1.2284375966208501</c:v>
                </c:pt>
                <c:pt idx="85">
                  <c:v>1.2284375966208501</c:v>
                </c:pt>
                <c:pt idx="86">
                  <c:v>1.2284375966208501</c:v>
                </c:pt>
                <c:pt idx="87">
                  <c:v>1.2284375966208501</c:v>
                </c:pt>
                <c:pt idx="88">
                  <c:v>1.2284375966208501</c:v>
                </c:pt>
                <c:pt idx="89">
                  <c:v>1.2284375966208501</c:v>
                </c:pt>
                <c:pt idx="90">
                  <c:v>1.2284375966208501</c:v>
                </c:pt>
                <c:pt idx="91">
                  <c:v>1.2284375966208501</c:v>
                </c:pt>
                <c:pt idx="92">
                  <c:v>1.2284375966208501</c:v>
                </c:pt>
                <c:pt idx="93">
                  <c:v>1.2284375966208501</c:v>
                </c:pt>
                <c:pt idx="94">
                  <c:v>1.2284375966208501</c:v>
                </c:pt>
                <c:pt idx="95">
                  <c:v>1.2284375966208501</c:v>
                </c:pt>
                <c:pt idx="96">
                  <c:v>1.2284375966208501</c:v>
                </c:pt>
                <c:pt idx="97">
                  <c:v>1.2284375966208501</c:v>
                </c:pt>
                <c:pt idx="98">
                  <c:v>1.2284375966208501</c:v>
                </c:pt>
                <c:pt idx="99">
                  <c:v>1.2284375966208501</c:v>
                </c:pt>
                <c:pt idx="100">
                  <c:v>1.2284375966208501</c:v>
                </c:pt>
                <c:pt idx="101">
                  <c:v>1.2284375966208501</c:v>
                </c:pt>
                <c:pt idx="102">
                  <c:v>1.2284375966208501</c:v>
                </c:pt>
                <c:pt idx="103">
                  <c:v>1.2284375966208501</c:v>
                </c:pt>
                <c:pt idx="104">
                  <c:v>1.2284375966208501</c:v>
                </c:pt>
                <c:pt idx="105">
                  <c:v>1.2284375966208501</c:v>
                </c:pt>
                <c:pt idx="106">
                  <c:v>1.2284375966208501</c:v>
                </c:pt>
                <c:pt idx="107">
                  <c:v>1.2284375966208501</c:v>
                </c:pt>
                <c:pt idx="108">
                  <c:v>1.2284375966208501</c:v>
                </c:pt>
                <c:pt idx="109">
                  <c:v>1.2284375966208501</c:v>
                </c:pt>
                <c:pt idx="110">
                  <c:v>1.2284375966208501</c:v>
                </c:pt>
                <c:pt idx="111">
                  <c:v>1.2284375966208501</c:v>
                </c:pt>
                <c:pt idx="112">
                  <c:v>1.2284375966208501</c:v>
                </c:pt>
                <c:pt idx="113">
                  <c:v>1.2284375966208501</c:v>
                </c:pt>
                <c:pt idx="114">
                  <c:v>1.2284375966208501</c:v>
                </c:pt>
                <c:pt idx="115">
                  <c:v>1.2284375966208501</c:v>
                </c:pt>
                <c:pt idx="116">
                  <c:v>1.2284375966208501</c:v>
                </c:pt>
                <c:pt idx="117">
                  <c:v>1.2284375966208501</c:v>
                </c:pt>
                <c:pt idx="118">
                  <c:v>1.2284375966208501</c:v>
                </c:pt>
                <c:pt idx="119">
                  <c:v>1.2284375966208501</c:v>
                </c:pt>
                <c:pt idx="120">
                  <c:v>1.2284375966208501</c:v>
                </c:pt>
                <c:pt idx="121">
                  <c:v>1.2284375966208501</c:v>
                </c:pt>
                <c:pt idx="122">
                  <c:v>1.2284375966208501</c:v>
                </c:pt>
                <c:pt idx="123">
                  <c:v>1.2284375966208501</c:v>
                </c:pt>
                <c:pt idx="124">
                  <c:v>1.2284375966208501</c:v>
                </c:pt>
                <c:pt idx="125">
                  <c:v>1.2284375966208501</c:v>
                </c:pt>
                <c:pt idx="126">
                  <c:v>1.2284375966208501</c:v>
                </c:pt>
                <c:pt idx="127">
                  <c:v>1.2284375966208501</c:v>
                </c:pt>
                <c:pt idx="128">
                  <c:v>1.2284375966208501</c:v>
                </c:pt>
                <c:pt idx="129">
                  <c:v>1.2284375966208501</c:v>
                </c:pt>
                <c:pt idx="130">
                  <c:v>1.2284375966208501</c:v>
                </c:pt>
                <c:pt idx="131">
                  <c:v>1.2284375966208501</c:v>
                </c:pt>
                <c:pt idx="132">
                  <c:v>1.2284375966208501</c:v>
                </c:pt>
                <c:pt idx="133">
                  <c:v>1.2284375966208501</c:v>
                </c:pt>
                <c:pt idx="134">
                  <c:v>1.2284375966208501</c:v>
                </c:pt>
                <c:pt idx="135">
                  <c:v>1.2284375966208501</c:v>
                </c:pt>
                <c:pt idx="136">
                  <c:v>1.2284375966208501</c:v>
                </c:pt>
                <c:pt idx="137">
                  <c:v>1.2284375966208501</c:v>
                </c:pt>
                <c:pt idx="138">
                  <c:v>1.2284375966208501</c:v>
                </c:pt>
                <c:pt idx="139">
                  <c:v>1.2284375966208501</c:v>
                </c:pt>
                <c:pt idx="140">
                  <c:v>1.2284375966208501</c:v>
                </c:pt>
                <c:pt idx="141">
                  <c:v>1.2284375966208501</c:v>
                </c:pt>
                <c:pt idx="142">
                  <c:v>1.2284375966208501</c:v>
                </c:pt>
                <c:pt idx="143">
                  <c:v>1.2284375966208501</c:v>
                </c:pt>
                <c:pt idx="144">
                  <c:v>1.2284375966208501</c:v>
                </c:pt>
                <c:pt idx="145">
                  <c:v>1.2284375966208501</c:v>
                </c:pt>
                <c:pt idx="146">
                  <c:v>1.2284375966208501</c:v>
                </c:pt>
                <c:pt idx="147">
                  <c:v>1.2284375966208501</c:v>
                </c:pt>
                <c:pt idx="148">
                  <c:v>1.2284375966208501</c:v>
                </c:pt>
                <c:pt idx="149">
                  <c:v>1.2284375966208501</c:v>
                </c:pt>
                <c:pt idx="150">
                  <c:v>1.2284375966208501</c:v>
                </c:pt>
                <c:pt idx="151">
                  <c:v>1.2284375966208501</c:v>
                </c:pt>
                <c:pt idx="152">
                  <c:v>1.2284375966208501</c:v>
                </c:pt>
                <c:pt idx="153">
                  <c:v>1.2284375966208501</c:v>
                </c:pt>
                <c:pt idx="154">
                  <c:v>1.2284375966208501</c:v>
                </c:pt>
                <c:pt idx="155">
                  <c:v>1.2284375966208501</c:v>
                </c:pt>
                <c:pt idx="156">
                  <c:v>1.2284375966208501</c:v>
                </c:pt>
                <c:pt idx="157">
                  <c:v>1.2284375966208501</c:v>
                </c:pt>
                <c:pt idx="158">
                  <c:v>1.2284375966208501</c:v>
                </c:pt>
                <c:pt idx="159">
                  <c:v>1.2284375966208501</c:v>
                </c:pt>
                <c:pt idx="160">
                  <c:v>1.2284375966208501</c:v>
                </c:pt>
                <c:pt idx="161">
                  <c:v>1.2284375966208501</c:v>
                </c:pt>
                <c:pt idx="162">
                  <c:v>1.2284375966208501</c:v>
                </c:pt>
                <c:pt idx="163">
                  <c:v>1.2284375966208501</c:v>
                </c:pt>
                <c:pt idx="164">
                  <c:v>1.2284375966208501</c:v>
                </c:pt>
                <c:pt idx="165">
                  <c:v>1.2284375966208501</c:v>
                </c:pt>
                <c:pt idx="166">
                  <c:v>1.2284375966208501</c:v>
                </c:pt>
                <c:pt idx="167">
                  <c:v>1.2284375966208501</c:v>
                </c:pt>
                <c:pt idx="168">
                  <c:v>1.2284375966208501</c:v>
                </c:pt>
                <c:pt idx="169">
                  <c:v>1.2284375966208501</c:v>
                </c:pt>
                <c:pt idx="170">
                  <c:v>1.2284375966208501</c:v>
                </c:pt>
                <c:pt idx="171">
                  <c:v>1.2284375966208501</c:v>
                </c:pt>
                <c:pt idx="172">
                  <c:v>1.2284375966208501</c:v>
                </c:pt>
                <c:pt idx="173">
                  <c:v>1.2284375966208501</c:v>
                </c:pt>
                <c:pt idx="174">
                  <c:v>1.2284375966208501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7-4BF8-83BC-874081C41785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IBMT/BSMV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1.2311162097005199</c:v>
                </c:pt>
                <c:pt idx="10">
                  <c:v>1.23124816209807</c:v>
                </c:pt>
                <c:pt idx="11">
                  <c:v>1.2313461576040099</c:v>
                </c:pt>
                <c:pt idx="12">
                  <c:v>1.2314548107194201</c:v>
                </c:pt>
                <c:pt idx="13">
                  <c:v>1.2316179728535499</c:v>
                </c:pt>
                <c:pt idx="14">
                  <c:v>1.2317375612033801</c:v>
                </c:pt>
                <c:pt idx="15">
                  <c:v>1.23148032255662</c:v>
                </c:pt>
                <c:pt idx="16">
                  <c:v>1.23131720155693</c:v>
                </c:pt>
                <c:pt idx="17">
                  <c:v>1.2313097420815799</c:v>
                </c:pt>
                <c:pt idx="18">
                  <c:v>1.2312774333686201</c:v>
                </c:pt>
                <c:pt idx="19">
                  <c:v>1.2308721693145199</c:v>
                </c:pt>
                <c:pt idx="20">
                  <c:v>1.23082517683332</c:v>
                </c:pt>
                <c:pt idx="21">
                  <c:v>1.2305755975968899</c:v>
                </c:pt>
                <c:pt idx="22">
                  <c:v>1.2301270985792101</c:v>
                </c:pt>
                <c:pt idx="23">
                  <c:v>1.22988131287652</c:v>
                </c:pt>
                <c:pt idx="24">
                  <c:v>1.2295173610366501</c:v>
                </c:pt>
                <c:pt idx="25">
                  <c:v>1.2295498724018601</c:v>
                </c:pt>
                <c:pt idx="26">
                  <c:v>1.2293048321136499</c:v>
                </c:pt>
                <c:pt idx="27">
                  <c:v>1.2291496997786</c:v>
                </c:pt>
                <c:pt idx="28">
                  <c:v>1.22929098450607</c:v>
                </c:pt>
                <c:pt idx="29">
                  <c:v>1.2292919922636101</c:v>
                </c:pt>
                <c:pt idx="30">
                  <c:v>1.22934371685481</c:v>
                </c:pt>
                <c:pt idx="31">
                  <c:v>1.2293340381357301</c:v>
                </c:pt>
                <c:pt idx="32">
                  <c:v>1.22929947245569</c:v>
                </c:pt>
                <c:pt idx="33">
                  <c:v>1.2292964139775899</c:v>
                </c:pt>
                <c:pt idx="34">
                  <c:v>1.22954500751337</c:v>
                </c:pt>
                <c:pt idx="35">
                  <c:v>1.2297464696253</c:v>
                </c:pt>
                <c:pt idx="36">
                  <c:v>1.23007372535228</c:v>
                </c:pt>
                <c:pt idx="37">
                  <c:v>1.2302066881126601</c:v>
                </c:pt>
                <c:pt idx="38">
                  <c:v>1.2301278262333599</c:v>
                </c:pt>
                <c:pt idx="39">
                  <c:v>1.22977557196515</c:v>
                </c:pt>
                <c:pt idx="40">
                  <c:v>1.2294206686525</c:v>
                </c:pt>
                <c:pt idx="41">
                  <c:v>1.2286895821288</c:v>
                </c:pt>
                <c:pt idx="42">
                  <c:v>1.2282501673605399</c:v>
                </c:pt>
                <c:pt idx="43">
                  <c:v>1.2278435826370999</c:v>
                </c:pt>
                <c:pt idx="44">
                  <c:v>1.2273362977596101</c:v>
                </c:pt>
                <c:pt idx="45">
                  <c:v>1.2267472219023801</c:v>
                </c:pt>
                <c:pt idx="46">
                  <c:v>1.2262479143437399</c:v>
                </c:pt>
                <c:pt idx="47">
                  <c:v>1.2258882004437299</c:v>
                </c:pt>
                <c:pt idx="48">
                  <c:v>1.22569351398953</c:v>
                </c:pt>
                <c:pt idx="49">
                  <c:v>1.2257237544386199</c:v>
                </c:pt>
                <c:pt idx="50">
                  <c:v>1.2258731638123199</c:v>
                </c:pt>
                <c:pt idx="51">
                  <c:v>1.22652510063</c:v>
                </c:pt>
                <c:pt idx="52">
                  <c:v>1.2269636971212301</c:v>
                </c:pt>
                <c:pt idx="53">
                  <c:v>1.22718015423843</c:v>
                </c:pt>
                <c:pt idx="54">
                  <c:v>1.2277886618897</c:v>
                </c:pt>
                <c:pt idx="55">
                  <c:v>1.2280806200490699</c:v>
                </c:pt>
                <c:pt idx="56">
                  <c:v>1.22820054483051</c:v>
                </c:pt>
                <c:pt idx="57">
                  <c:v>1.2279895827186</c:v>
                </c:pt>
                <c:pt idx="58">
                  <c:v>1.2283726311148899</c:v>
                </c:pt>
                <c:pt idx="59">
                  <c:v>1.22876748396803</c:v>
                </c:pt>
                <c:pt idx="60">
                  <c:v>1.2289286352764299</c:v>
                </c:pt>
                <c:pt idx="61">
                  <c:v>1.22864725774756</c:v>
                </c:pt>
                <c:pt idx="62">
                  <c:v>1.22870011586128</c:v>
                </c:pt>
                <c:pt idx="63">
                  <c:v>1.2286849571898799</c:v>
                </c:pt>
                <c:pt idx="64">
                  <c:v>1.22795828609003</c:v>
                </c:pt>
                <c:pt idx="65">
                  <c:v>1.2276552804254901</c:v>
                </c:pt>
                <c:pt idx="66">
                  <c:v>1.2274185542064899</c:v>
                </c:pt>
                <c:pt idx="67">
                  <c:v>1.22737262367026</c:v>
                </c:pt>
                <c:pt idx="68">
                  <c:v>1.22661179744625</c:v>
                </c:pt>
                <c:pt idx="69">
                  <c:v>1.22604995538298</c:v>
                </c:pt>
                <c:pt idx="70">
                  <c:v>1.2257808092209499</c:v>
                </c:pt>
                <c:pt idx="71">
                  <c:v>1.22581626268023</c:v>
                </c:pt>
                <c:pt idx="72">
                  <c:v>1.2254789095451699</c:v>
                </c:pt>
                <c:pt idx="73">
                  <c:v>1.22558679092332</c:v>
                </c:pt>
                <c:pt idx="74">
                  <c:v>1.2259294679035599</c:v>
                </c:pt>
                <c:pt idx="75">
                  <c:v>1.2258603684039</c:v>
                </c:pt>
                <c:pt idx="76">
                  <c:v>1.22586489492933</c:v>
                </c:pt>
                <c:pt idx="77">
                  <c:v>1.22605500899778</c:v>
                </c:pt>
                <c:pt idx="78">
                  <c:v>1.2263400446272299</c:v>
                </c:pt>
                <c:pt idx="79">
                  <c:v>1.2266574891603199</c:v>
                </c:pt>
                <c:pt idx="80">
                  <c:v>1.2266897931690901</c:v>
                </c:pt>
                <c:pt idx="81">
                  <c:v>1.2267480794485099</c:v>
                </c:pt>
                <c:pt idx="82">
                  <c:v>1.22665412835456</c:v>
                </c:pt>
                <c:pt idx="83">
                  <c:v>1.2262323434886</c:v>
                </c:pt>
                <c:pt idx="84">
                  <c:v>1.2260589935301001</c:v>
                </c:pt>
                <c:pt idx="85">
                  <c:v>1.22587954682261</c:v>
                </c:pt>
                <c:pt idx="86">
                  <c:v>1.2256049978802099</c:v>
                </c:pt>
                <c:pt idx="87">
                  <c:v>1.2252141576753799</c:v>
                </c:pt>
                <c:pt idx="88">
                  <c:v>1.2247866042311999</c:v>
                </c:pt>
                <c:pt idx="89">
                  <c:v>1.2244273092287099</c:v>
                </c:pt>
                <c:pt idx="90">
                  <c:v>1.2242905150449099</c:v>
                </c:pt>
                <c:pt idx="91">
                  <c:v>1.22405847103134</c:v>
                </c:pt>
                <c:pt idx="92">
                  <c:v>1.22408083306376</c:v>
                </c:pt>
                <c:pt idx="93">
                  <c:v>1.2243489986793299</c:v>
                </c:pt>
                <c:pt idx="94">
                  <c:v>1.2245069401623501</c:v>
                </c:pt>
                <c:pt idx="95">
                  <c:v>1.22493643117802</c:v>
                </c:pt>
                <c:pt idx="96">
                  <c:v>1.22556817520669</c:v>
                </c:pt>
                <c:pt idx="97">
                  <c:v>1.22626923038667</c:v>
                </c:pt>
                <c:pt idx="98">
                  <c:v>1.2272130347825601</c:v>
                </c:pt>
                <c:pt idx="99">
                  <c:v>1.2279274345817699</c:v>
                </c:pt>
                <c:pt idx="100">
                  <c:v>1.2283419387632899</c:v>
                </c:pt>
                <c:pt idx="101">
                  <c:v>1.2284956832973299</c:v>
                </c:pt>
                <c:pt idx="102">
                  <c:v>1.2285423666142301</c:v>
                </c:pt>
                <c:pt idx="103">
                  <c:v>1.2283480082570499</c:v>
                </c:pt>
                <c:pt idx="104">
                  <c:v>1.2280889129908199</c:v>
                </c:pt>
                <c:pt idx="105">
                  <c:v>1.2275905914502701</c:v>
                </c:pt>
                <c:pt idx="106">
                  <c:v>1.22695884742159</c:v>
                </c:pt>
                <c:pt idx="107">
                  <c:v>1.2264323799547101</c:v>
                </c:pt>
                <c:pt idx="108">
                  <c:v>1.2257581751483899</c:v>
                </c:pt>
                <c:pt idx="109">
                  <c:v>1.2253034330730901</c:v>
                </c:pt>
                <c:pt idx="110">
                  <c:v>1.22471887012421</c:v>
                </c:pt>
                <c:pt idx="111">
                  <c:v>1.22449617103026</c:v>
                </c:pt>
                <c:pt idx="112">
                  <c:v>1.2244533592000499</c:v>
                </c:pt>
                <c:pt idx="113">
                  <c:v>1.2244426590675299</c:v>
                </c:pt>
                <c:pt idx="114">
                  <c:v>1.22440576283891</c:v>
                </c:pt>
                <c:pt idx="115">
                  <c:v>1.22434765491065</c:v>
                </c:pt>
                <c:pt idx="116">
                  <c:v>1.22473456869807</c:v>
                </c:pt>
                <c:pt idx="117">
                  <c:v>1.2249204645582901</c:v>
                </c:pt>
                <c:pt idx="118">
                  <c:v>1.2253188492301099</c:v>
                </c:pt>
                <c:pt idx="119">
                  <c:v>1.2256267124076901</c:v>
                </c:pt>
                <c:pt idx="120">
                  <c:v>1.2261089550797599</c:v>
                </c:pt>
                <c:pt idx="121">
                  <c:v>1.22658514555595</c:v>
                </c:pt>
                <c:pt idx="122">
                  <c:v>1.22710460180943</c:v>
                </c:pt>
                <c:pt idx="123">
                  <c:v>1.22725353335984</c:v>
                </c:pt>
                <c:pt idx="124">
                  <c:v>1.22762990558331</c:v>
                </c:pt>
                <c:pt idx="125">
                  <c:v>1.22794704850625</c:v>
                </c:pt>
                <c:pt idx="126">
                  <c:v>1.2278777761834101</c:v>
                </c:pt>
                <c:pt idx="127">
                  <c:v>1.22819284931675</c:v>
                </c:pt>
                <c:pt idx="128">
                  <c:v>1.2281410343327399</c:v>
                </c:pt>
                <c:pt idx="129">
                  <c:v>1.2279350359666801</c:v>
                </c:pt>
                <c:pt idx="130">
                  <c:v>1.2278462430089001</c:v>
                </c:pt>
                <c:pt idx="131">
                  <c:v>1.22765122301617</c:v>
                </c:pt>
                <c:pt idx="132">
                  <c:v>1.22725452744749</c:v>
                </c:pt>
                <c:pt idx="133">
                  <c:v>1.22700055218749</c:v>
                </c:pt>
                <c:pt idx="134">
                  <c:v>1.2268593613932799</c:v>
                </c:pt>
                <c:pt idx="135">
                  <c:v>1.22744618333263</c:v>
                </c:pt>
                <c:pt idx="136">
                  <c:v>1.22780836281981</c:v>
                </c:pt>
                <c:pt idx="137">
                  <c:v>1.22784115971759</c:v>
                </c:pt>
                <c:pt idx="138">
                  <c:v>1.2281026764591101</c:v>
                </c:pt>
                <c:pt idx="139">
                  <c:v>1.228470666659</c:v>
                </c:pt>
                <c:pt idx="140">
                  <c:v>1.22856739985464</c:v>
                </c:pt>
                <c:pt idx="141">
                  <c:v>1.22885549970226</c:v>
                </c:pt>
                <c:pt idx="142">
                  <c:v>1.22931028559081</c:v>
                </c:pt>
                <c:pt idx="143">
                  <c:v>1.2301344824674101</c:v>
                </c:pt>
                <c:pt idx="144">
                  <c:v>1.2304872389119099</c:v>
                </c:pt>
                <c:pt idx="145">
                  <c:v>1.23002404070703</c:v>
                </c:pt>
                <c:pt idx="146">
                  <c:v>1.22954327147626</c:v>
                </c:pt>
                <c:pt idx="147">
                  <c:v>1.22939174228256</c:v>
                </c:pt>
                <c:pt idx="148">
                  <c:v>1.2290587879783901</c:v>
                </c:pt>
                <c:pt idx="149">
                  <c:v>1.2287410291960801</c:v>
                </c:pt>
                <c:pt idx="150">
                  <c:v>1.2286945274180301</c:v>
                </c:pt>
                <c:pt idx="151">
                  <c:v>1.2286326147325</c:v>
                </c:pt>
                <c:pt idx="152">
                  <c:v>1.2282752392421801</c:v>
                </c:pt>
                <c:pt idx="153">
                  <c:v>1.22775468995249</c:v>
                </c:pt>
                <c:pt idx="154">
                  <c:v>1.2273061939196801</c:v>
                </c:pt>
                <c:pt idx="155">
                  <c:v>1.2271969906776301</c:v>
                </c:pt>
                <c:pt idx="156">
                  <c:v>1.2274854522161001</c:v>
                </c:pt>
                <c:pt idx="157">
                  <c:v>1.22729757387563</c:v>
                </c:pt>
                <c:pt idx="158">
                  <c:v>1.22733466440838</c:v>
                </c:pt>
                <c:pt idx="159">
                  <c:v>1.22737849653594</c:v>
                </c:pt>
                <c:pt idx="160">
                  <c:v>1.2276960453776999</c:v>
                </c:pt>
                <c:pt idx="161">
                  <c:v>1.2280619023044499</c:v>
                </c:pt>
                <c:pt idx="162">
                  <c:v>1.2284971814495</c:v>
                </c:pt>
                <c:pt idx="163">
                  <c:v>1.22905822559755</c:v>
                </c:pt>
                <c:pt idx="164">
                  <c:v>1.2295699220610301</c:v>
                </c:pt>
                <c:pt idx="165">
                  <c:v>1.2301207830015799</c:v>
                </c:pt>
                <c:pt idx="166">
                  <c:v>1.2303574389171601</c:v>
                </c:pt>
                <c:pt idx="167">
                  <c:v>1.2308645853681599</c:v>
                </c:pt>
                <c:pt idx="168">
                  <c:v>1.23127641745381</c:v>
                </c:pt>
                <c:pt idx="169">
                  <c:v>1.2314161271745301</c:v>
                </c:pt>
                <c:pt idx="170">
                  <c:v>1.2315662126314</c:v>
                </c:pt>
                <c:pt idx="171">
                  <c:v>1.23182007528295</c:v>
                </c:pt>
                <c:pt idx="172">
                  <c:v>1.23191884856649</c:v>
                </c:pt>
                <c:pt idx="173">
                  <c:v>1.2324255151002801</c:v>
                </c:pt>
                <c:pt idx="174">
                  <c:v>1.23330803228701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7-4BF8-83BC-874081C41785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IBMT/BSMV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1.23099418950752</c:v>
                </c:pt>
                <c:pt idx="20">
                  <c:v>1.23103666946569</c:v>
                </c:pt>
                <c:pt idx="21">
                  <c:v>1.2309608776004499</c:v>
                </c:pt>
                <c:pt idx="22">
                  <c:v>1.2307909546493101</c:v>
                </c:pt>
                <c:pt idx="23">
                  <c:v>1.23074964286503</c:v>
                </c:pt>
                <c:pt idx="24">
                  <c:v>1.2306274611200201</c:v>
                </c:pt>
                <c:pt idx="25">
                  <c:v>1.23051509747924</c:v>
                </c:pt>
                <c:pt idx="26">
                  <c:v>1.23031101683529</c:v>
                </c:pt>
                <c:pt idx="27">
                  <c:v>1.2302297209300901</c:v>
                </c:pt>
                <c:pt idx="28">
                  <c:v>1.23028420893734</c:v>
                </c:pt>
                <c:pt idx="29">
                  <c:v>1.23008208078907</c:v>
                </c:pt>
                <c:pt idx="30">
                  <c:v>1.2300844468440599</c:v>
                </c:pt>
                <c:pt idx="31">
                  <c:v>1.22995481786631</c:v>
                </c:pt>
                <c:pt idx="32">
                  <c:v>1.22971328551745</c:v>
                </c:pt>
                <c:pt idx="33">
                  <c:v>1.22958886342705</c:v>
                </c:pt>
                <c:pt idx="34">
                  <c:v>1.2295311842750101</c:v>
                </c:pt>
                <c:pt idx="35">
                  <c:v>1.22964817101358</c:v>
                </c:pt>
                <c:pt idx="36">
                  <c:v>1.2296892787329601</c:v>
                </c:pt>
                <c:pt idx="37">
                  <c:v>1.22967819394563</c:v>
                </c:pt>
                <c:pt idx="38">
                  <c:v>1.22970940536972</c:v>
                </c:pt>
                <c:pt idx="39">
                  <c:v>1.2295337821143799</c:v>
                </c:pt>
                <c:pt idx="40">
                  <c:v>1.2293821927536599</c:v>
                </c:pt>
                <c:pt idx="41">
                  <c:v>1.22901181013227</c:v>
                </c:pt>
                <c:pt idx="42">
                  <c:v>1.2287748199081101</c:v>
                </c:pt>
                <c:pt idx="43">
                  <c:v>1.2285699983073399</c:v>
                </c:pt>
                <c:pt idx="44">
                  <c:v>1.2284406526364899</c:v>
                </c:pt>
                <c:pt idx="45">
                  <c:v>1.22824684576384</c:v>
                </c:pt>
                <c:pt idx="46">
                  <c:v>1.2281608198480101</c:v>
                </c:pt>
                <c:pt idx="47">
                  <c:v>1.2280474442781999</c:v>
                </c:pt>
                <c:pt idx="48">
                  <c:v>1.2279106701114499</c:v>
                </c:pt>
                <c:pt idx="49">
                  <c:v>1.2277496632018901</c:v>
                </c:pt>
                <c:pt idx="50">
                  <c:v>1.22764691623241</c:v>
                </c:pt>
                <c:pt idx="51">
                  <c:v>1.2276073413794</c:v>
                </c:pt>
                <c:pt idx="52">
                  <c:v>1.22760693224088</c:v>
                </c:pt>
                <c:pt idx="53">
                  <c:v>1.2275118684377599</c:v>
                </c:pt>
                <c:pt idx="54">
                  <c:v>1.22756247982466</c:v>
                </c:pt>
                <c:pt idx="55">
                  <c:v>1.22741392097573</c:v>
                </c:pt>
                <c:pt idx="56">
                  <c:v>1.2272242295871301</c:v>
                </c:pt>
                <c:pt idx="57">
                  <c:v>1.2269388915811601</c:v>
                </c:pt>
                <c:pt idx="58">
                  <c:v>1.2270330725522101</c:v>
                </c:pt>
                <c:pt idx="59">
                  <c:v>1.2272456192033301</c:v>
                </c:pt>
                <c:pt idx="60">
                  <c:v>1.2274008995443799</c:v>
                </c:pt>
                <c:pt idx="61">
                  <c:v>1.2275861791887801</c:v>
                </c:pt>
                <c:pt idx="62">
                  <c:v>1.22783190649126</c:v>
                </c:pt>
                <c:pt idx="63">
                  <c:v>1.22793255571416</c:v>
                </c:pt>
                <c:pt idx="64">
                  <c:v>1.22787347398986</c:v>
                </c:pt>
                <c:pt idx="65">
                  <c:v>1.22786795023728</c:v>
                </c:pt>
                <c:pt idx="66">
                  <c:v>1.2278095495185</c:v>
                </c:pt>
                <c:pt idx="67">
                  <c:v>1.2276811031944299</c:v>
                </c:pt>
                <c:pt idx="68">
                  <c:v>1.22749221428057</c:v>
                </c:pt>
                <c:pt idx="69">
                  <c:v>1.2274087196755099</c:v>
                </c:pt>
                <c:pt idx="70">
                  <c:v>1.22735472224869</c:v>
                </c:pt>
                <c:pt idx="71">
                  <c:v>1.2272317602139</c:v>
                </c:pt>
                <c:pt idx="72">
                  <c:v>1.22708951270323</c:v>
                </c:pt>
                <c:pt idx="73">
                  <c:v>1.2271358740566001</c:v>
                </c:pt>
                <c:pt idx="74">
                  <c:v>1.22694387699679</c:v>
                </c:pt>
                <c:pt idx="75">
                  <c:v>1.2267578244146899</c:v>
                </c:pt>
                <c:pt idx="76">
                  <c:v>1.22664172456791</c:v>
                </c:pt>
                <c:pt idx="77">
                  <c:v>1.2267138163340201</c:v>
                </c:pt>
                <c:pt idx="78">
                  <c:v>1.22647592103674</c:v>
                </c:pt>
                <c:pt idx="79">
                  <c:v>1.2263537222716501</c:v>
                </c:pt>
                <c:pt idx="80">
                  <c:v>1.22623530119502</c:v>
                </c:pt>
                <c:pt idx="81">
                  <c:v>1.2262821710643701</c:v>
                </c:pt>
                <c:pt idx="82">
                  <c:v>1.2260665189498701</c:v>
                </c:pt>
                <c:pt idx="83">
                  <c:v>1.2259095672059599</c:v>
                </c:pt>
                <c:pt idx="84">
                  <c:v>1.2259942307168299</c:v>
                </c:pt>
                <c:pt idx="85">
                  <c:v>1.2258699576132499</c:v>
                </c:pt>
                <c:pt idx="86">
                  <c:v>1.22573494640477</c:v>
                </c:pt>
                <c:pt idx="87">
                  <c:v>1.22563458333658</c:v>
                </c:pt>
                <c:pt idx="88">
                  <c:v>1.2255633244292099</c:v>
                </c:pt>
                <c:pt idx="89">
                  <c:v>1.22554239919451</c:v>
                </c:pt>
                <c:pt idx="90">
                  <c:v>1.225490154107</c:v>
                </c:pt>
                <c:pt idx="91">
                  <c:v>1.22540327523993</c:v>
                </c:pt>
                <c:pt idx="92">
                  <c:v>1.2253674807091599</c:v>
                </c:pt>
                <c:pt idx="93">
                  <c:v>1.2252906710839699</c:v>
                </c:pt>
                <c:pt idx="94">
                  <c:v>1.22528296684622</c:v>
                </c:pt>
                <c:pt idx="95">
                  <c:v>1.22540798900031</c:v>
                </c:pt>
                <c:pt idx="96">
                  <c:v>1.2255865865434501</c:v>
                </c:pt>
                <c:pt idx="97">
                  <c:v>1.22574169403102</c:v>
                </c:pt>
                <c:pt idx="98">
                  <c:v>1.22599981950688</c:v>
                </c:pt>
                <c:pt idx="99">
                  <c:v>1.22617737190524</c:v>
                </c:pt>
                <c:pt idx="100">
                  <c:v>1.2263162269040999</c:v>
                </c:pt>
                <c:pt idx="101">
                  <c:v>1.2262770771643401</c:v>
                </c:pt>
                <c:pt idx="102">
                  <c:v>1.22631159983899</c:v>
                </c:pt>
                <c:pt idx="103">
                  <c:v>1.22634850346819</c:v>
                </c:pt>
                <c:pt idx="104">
                  <c:v>1.2262979265765801</c:v>
                </c:pt>
                <c:pt idx="105">
                  <c:v>1.22626351131414</c:v>
                </c:pt>
                <c:pt idx="106">
                  <c:v>1.22626351131414</c:v>
                </c:pt>
                <c:pt idx="107">
                  <c:v>1.22635080517069</c:v>
                </c:pt>
                <c:pt idx="108">
                  <c:v>1.22648560496548</c:v>
                </c:pt>
                <c:pt idx="109">
                  <c:v>1.22661543382743</c:v>
                </c:pt>
                <c:pt idx="110">
                  <c:v>1.2265304044437499</c:v>
                </c:pt>
                <c:pt idx="111">
                  <c:v>1.2264959271638001</c:v>
                </c:pt>
                <c:pt idx="112">
                  <c:v>1.2264978629071399</c:v>
                </c:pt>
                <c:pt idx="113">
                  <c:v>1.2263953336622899</c:v>
                </c:pt>
                <c:pt idx="114">
                  <c:v>1.22624733791486</c:v>
                </c:pt>
                <c:pt idx="115">
                  <c:v>1.2259691231804599</c:v>
                </c:pt>
                <c:pt idx="116">
                  <c:v>1.2258467080598301</c:v>
                </c:pt>
                <c:pt idx="117">
                  <c:v>1.2256764222565</c:v>
                </c:pt>
                <c:pt idx="118">
                  <c:v>1.2255385121892499</c:v>
                </c:pt>
                <c:pt idx="119">
                  <c:v>1.22546507274039</c:v>
                </c:pt>
                <c:pt idx="120">
                  <c:v>1.2254139126019801</c:v>
                </c:pt>
                <c:pt idx="121">
                  <c:v>1.2255406582931101</c:v>
                </c:pt>
                <c:pt idx="122">
                  <c:v>1.2257789805047401</c:v>
                </c:pt>
                <c:pt idx="123">
                  <c:v>1.22584809621369</c:v>
                </c:pt>
                <c:pt idx="124">
                  <c:v>1.2260178342111101</c:v>
                </c:pt>
                <c:pt idx="125">
                  <c:v>1.22614735170845</c:v>
                </c:pt>
                <c:pt idx="126">
                  <c:v>1.22630617244074</c:v>
                </c:pt>
                <c:pt idx="127">
                  <c:v>1.2265566569375199</c:v>
                </c:pt>
                <c:pt idx="128">
                  <c:v>1.2267299417814199</c:v>
                </c:pt>
                <c:pt idx="129">
                  <c:v>1.22678087418718</c:v>
                </c:pt>
                <c:pt idx="130">
                  <c:v>1.2269775990443299</c:v>
                </c:pt>
                <c:pt idx="131">
                  <c:v>1.2271181842860599</c:v>
                </c:pt>
                <c:pt idx="132">
                  <c:v>1.22717956462846</c:v>
                </c:pt>
                <c:pt idx="133">
                  <c:v>1.22712704277367</c:v>
                </c:pt>
                <c:pt idx="134">
                  <c:v>1.22724463348829</c:v>
                </c:pt>
                <c:pt idx="135">
                  <c:v>1.22769661591944</c:v>
                </c:pt>
                <c:pt idx="136">
                  <c:v>1.22784306950161</c:v>
                </c:pt>
                <c:pt idx="137">
                  <c:v>1.2280170045171701</c:v>
                </c:pt>
                <c:pt idx="138">
                  <c:v>1.2281218553959199</c:v>
                </c:pt>
                <c:pt idx="139">
                  <c:v>1.22820285131284</c:v>
                </c:pt>
                <c:pt idx="140">
                  <c:v>1.2282068214317701</c:v>
                </c:pt>
                <c:pt idx="141">
                  <c:v>1.2282533613592199</c:v>
                </c:pt>
                <c:pt idx="142">
                  <c:v>1.22828240651915</c:v>
                </c:pt>
                <c:pt idx="143">
                  <c:v>1.22856751732745</c:v>
                </c:pt>
                <c:pt idx="144">
                  <c:v>1.22867330015259</c:v>
                </c:pt>
                <c:pt idx="145">
                  <c:v>1.22873511201983</c:v>
                </c:pt>
                <c:pt idx="146">
                  <c:v>1.2286758171480401</c:v>
                </c:pt>
                <c:pt idx="147">
                  <c:v>1.2286164510000701</c:v>
                </c:pt>
                <c:pt idx="148">
                  <c:v>1.2285807322187501</c:v>
                </c:pt>
                <c:pt idx="149">
                  <c:v>1.2286058479275399</c:v>
                </c:pt>
                <c:pt idx="150">
                  <c:v>1.22863096363633</c:v>
                </c:pt>
                <c:pt idx="151">
                  <c:v>1.22874405721738</c:v>
                </c:pt>
                <c:pt idx="152">
                  <c:v>1.22879276241649</c:v>
                </c:pt>
                <c:pt idx="153">
                  <c:v>1.22894458620995</c:v>
                </c:pt>
                <c:pt idx="154">
                  <c:v>1.22889671641579</c:v>
                </c:pt>
                <c:pt idx="155">
                  <c:v>1.2286105156923299</c:v>
                </c:pt>
                <c:pt idx="156">
                  <c:v>1.22851436184618</c:v>
                </c:pt>
                <c:pt idx="157">
                  <c:v>1.22834465807909</c:v>
                </c:pt>
                <c:pt idx="158">
                  <c:v>1.2281967261933799</c:v>
                </c:pt>
                <c:pt idx="159">
                  <c:v>1.2280597628660099</c:v>
                </c:pt>
                <c:pt idx="160">
                  <c:v>1.22819528639787</c:v>
                </c:pt>
                <c:pt idx="161">
                  <c:v>1.22834725851848</c:v>
                </c:pt>
                <c:pt idx="162">
                  <c:v>1.2283862103458401</c:v>
                </c:pt>
                <c:pt idx="163">
                  <c:v>1.22840645777502</c:v>
                </c:pt>
                <c:pt idx="164">
                  <c:v>1.22843805799035</c:v>
                </c:pt>
                <c:pt idx="165">
                  <c:v>1.22865888683961</c:v>
                </c:pt>
                <c:pt idx="166">
                  <c:v>1.22892144556663</c:v>
                </c:pt>
                <c:pt idx="167">
                  <c:v>1.2290810796218901</c:v>
                </c:pt>
                <c:pt idx="168">
                  <c:v>1.2293055409311</c:v>
                </c:pt>
                <c:pt idx="169">
                  <c:v>1.2293973118552399</c:v>
                </c:pt>
                <c:pt idx="170">
                  <c:v>1.2296311290045501</c:v>
                </c:pt>
                <c:pt idx="171">
                  <c:v>1.2299409887937001</c:v>
                </c:pt>
                <c:pt idx="172">
                  <c:v>1.2302080150079999</c:v>
                </c:pt>
                <c:pt idx="173">
                  <c:v>1.2307418703489199</c:v>
                </c:pt>
                <c:pt idx="174">
                  <c:v>1.23143897717402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E7-4BF8-83BC-874081C41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BSMV* x 10 dma / IBMT*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1.45738331228189E-3</c:v>
                </c:pt>
                <c:pt idx="11">
                  <c:v>1.92574701328692E-3</c:v>
                </c:pt>
                <c:pt idx="12">
                  <c:v>7.2379192103604105E-4</c:v>
                </c:pt>
                <c:pt idx="13">
                  <c:v>1.35571959408268E-3</c:v>
                </c:pt>
                <c:pt idx="14">
                  <c:v>1.91217026284408E-3</c:v>
                </c:pt>
                <c:pt idx="15">
                  <c:v>2.2581277686406498E-3</c:v>
                </c:pt>
                <c:pt idx="16">
                  <c:v>1.06380485938312E-3</c:v>
                </c:pt>
                <c:pt idx="17">
                  <c:v>5.9055231886888599E-4</c:v>
                </c:pt>
                <c:pt idx="18">
                  <c:v>2.6555529823934199E-3</c:v>
                </c:pt>
                <c:pt idx="19">
                  <c:v>2.1997327081486502E-3</c:v>
                </c:pt>
                <c:pt idx="20">
                  <c:v>9.1072789765513402E-5</c:v>
                </c:pt>
                <c:pt idx="21">
                  <c:v>-1.9823414121626699E-4</c:v>
                </c:pt>
                <c:pt idx="22">
                  <c:v>3.3176332060919197E-4</c:v>
                </c:pt>
                <c:pt idx="23">
                  <c:v>-7.3639748065619504E-4</c:v>
                </c:pt>
                <c:pt idx="24">
                  <c:v>8.5018224877981803E-4</c:v>
                </c:pt>
                <c:pt idx="25">
                  <c:v>-2.0172334720600601E-3</c:v>
                </c:pt>
                <c:pt idx="26">
                  <c:v>-3.2579125623862399E-4</c:v>
                </c:pt>
                <c:pt idx="27">
                  <c:v>-1.19390779204544E-3</c:v>
                </c:pt>
                <c:pt idx="28">
                  <c:v>-1.2610521785169501E-3</c:v>
                </c:pt>
                <c:pt idx="29">
                  <c:v>-3.7734497531326598E-5</c:v>
                </c:pt>
                <c:pt idx="30">
                  <c:v>-6.5749136486114494E-5</c:v>
                </c:pt>
                <c:pt idx="31">
                  <c:v>2.6870618469677601E-4</c:v>
                </c:pt>
                <c:pt idx="32">
                  <c:v>1.0191024592667299E-3</c:v>
                </c:pt>
                <c:pt idx="33">
                  <c:v>-1.4546185563926899E-4</c:v>
                </c:pt>
                <c:pt idx="34">
                  <c:v>1.7009817485712001E-3</c:v>
                </c:pt>
                <c:pt idx="35">
                  <c:v>-6.8608945468008901E-4</c:v>
                </c:pt>
                <c:pt idx="36">
                  <c:v>-2.8574232988659598E-4</c:v>
                </c:pt>
                <c:pt idx="37">
                  <c:v>4.7588296601755399E-4</c:v>
                </c:pt>
                <c:pt idx="38">
                  <c:v>1.9558088825989599E-3</c:v>
                </c:pt>
                <c:pt idx="39">
                  <c:v>2.77249727939356E-3</c:v>
                </c:pt>
                <c:pt idx="40">
                  <c:v>2.2830785077264399E-3</c:v>
                </c:pt>
                <c:pt idx="41">
                  <c:v>5.3264474698990899E-3</c:v>
                </c:pt>
                <c:pt idx="42">
                  <c:v>3.09340220708313E-3</c:v>
                </c:pt>
                <c:pt idx="43">
                  <c:v>1.30853621230171E-3</c:v>
                </c:pt>
                <c:pt idx="44">
                  <c:v>1.33688613076455E-3</c:v>
                </c:pt>
                <c:pt idx="45">
                  <c:v>-5.7299540145996897E-4</c:v>
                </c:pt>
                <c:pt idx="46">
                  <c:v>-1.10668241923084E-3</c:v>
                </c:pt>
                <c:pt idx="47">
                  <c:v>-1.7071684194699601E-3</c:v>
                </c:pt>
                <c:pt idx="48">
                  <c:v>-1.5343015171711599E-3</c:v>
                </c:pt>
                <c:pt idx="49">
                  <c:v>-1.63444537912267E-4</c:v>
                </c:pt>
                <c:pt idx="50">
                  <c:v>-1.29104224626723E-3</c:v>
                </c:pt>
                <c:pt idx="51">
                  <c:v>-1.9022578341890499E-3</c:v>
                </c:pt>
                <c:pt idx="52">
                  <c:v>-1.25092180993092E-3</c:v>
                </c:pt>
                <c:pt idx="53">
                  <c:v>-4.9053290025787705E-4</c:v>
                </c:pt>
                <c:pt idx="54">
                  <c:v>-6.9059813870936805E-4</c:v>
                </c:pt>
                <c:pt idx="55">
                  <c:v>4.4343570723555799E-4</c:v>
                </c:pt>
                <c:pt idx="56">
                  <c:v>1.56320620949988E-3</c:v>
                </c:pt>
                <c:pt idx="57">
                  <c:v>3.7075798493342599E-3</c:v>
                </c:pt>
                <c:pt idx="58">
                  <c:v>-1.2570987180883801E-3</c:v>
                </c:pt>
                <c:pt idx="59">
                  <c:v>2.69372013038735E-5</c:v>
                </c:pt>
                <c:pt idx="60">
                  <c:v>8.4176339142335698E-4</c:v>
                </c:pt>
                <c:pt idx="61">
                  <c:v>1.5839439349395099E-3</c:v>
                </c:pt>
                <c:pt idx="62">
                  <c:v>-1.2730811568467399E-3</c:v>
                </c:pt>
                <c:pt idx="63">
                  <c:v>-3.2474892813361302E-4</c:v>
                </c:pt>
                <c:pt idx="64">
                  <c:v>2.5911708209098399E-3</c:v>
                </c:pt>
                <c:pt idx="65">
                  <c:v>-3.7146109099591101E-4</c:v>
                </c:pt>
                <c:pt idx="66">
                  <c:v>1.8183466555037701E-4</c:v>
                </c:pt>
                <c:pt idx="67">
                  <c:v>9.2253463116370596E-4</c:v>
                </c:pt>
                <c:pt idx="68">
                  <c:v>2.3300689981313101E-3</c:v>
                </c:pt>
                <c:pt idx="69">
                  <c:v>1.52934716996845E-3</c:v>
                </c:pt>
                <c:pt idx="70">
                  <c:v>-3.5359834600428598E-4</c:v>
                </c:pt>
                <c:pt idx="71">
                  <c:v>1.4099576994927199E-5</c:v>
                </c:pt>
                <c:pt idx="72">
                  <c:v>4.74986709664382E-4</c:v>
                </c:pt>
                <c:pt idx="73">
                  <c:v>-4.9053690762030901E-5</c:v>
                </c:pt>
                <c:pt idx="74">
                  <c:v>8.6668058905637897E-4</c:v>
                </c:pt>
                <c:pt idx="75">
                  <c:v>1.6749865790338101E-3</c:v>
                </c:pt>
                <c:pt idx="76">
                  <c:v>1.37867392968823E-3</c:v>
                </c:pt>
                <c:pt idx="77">
                  <c:v>3.7178020394391898E-4</c:v>
                </c:pt>
                <c:pt idx="78">
                  <c:v>7.5622276693383705E-4</c:v>
                </c:pt>
                <c:pt idx="79">
                  <c:v>1.04676383204338E-4</c:v>
                </c:pt>
                <c:pt idx="80">
                  <c:v>8.06571076952782E-4</c:v>
                </c:pt>
                <c:pt idx="81">
                  <c:v>7.6309518048159602E-4</c:v>
                </c:pt>
                <c:pt idx="82">
                  <c:v>1.6328667998960101E-4</c:v>
                </c:pt>
                <c:pt idx="83">
                  <c:v>5.3714294745547902E-5</c:v>
                </c:pt>
                <c:pt idx="84">
                  <c:v>-1.0249681951764299E-3</c:v>
                </c:pt>
                <c:pt idx="85">
                  <c:v>-1.4249552883380701E-4</c:v>
                </c:pt>
                <c:pt idx="86">
                  <c:v>6.9034062007850602E-4</c:v>
                </c:pt>
                <c:pt idx="87">
                  <c:v>8.4613290103703696E-4</c:v>
                </c:pt>
                <c:pt idx="88">
                  <c:v>1.50780076314396E-3</c:v>
                </c:pt>
                <c:pt idx="89">
                  <c:v>1.7013684961802799E-4</c:v>
                </c:pt>
                <c:pt idx="90">
                  <c:v>-1.0299187304163E-3</c:v>
                </c:pt>
                <c:pt idx="91">
                  <c:v>1.1507951682334501E-5</c:v>
                </c:pt>
                <c:pt idx="92">
                  <c:v>-3.5739751076585102E-4</c:v>
                </c:pt>
                <c:pt idx="93">
                  <c:v>1.9012354119706901E-4</c:v>
                </c:pt>
                <c:pt idx="94">
                  <c:v>1.11491215398003E-4</c:v>
                </c:pt>
                <c:pt idx="95">
                  <c:v>-1.3947383234729799E-3</c:v>
                </c:pt>
                <c:pt idx="96">
                  <c:v>-2.1635699461831398E-3</c:v>
                </c:pt>
                <c:pt idx="97">
                  <c:v>-2.2938511778353801E-3</c:v>
                </c:pt>
                <c:pt idx="98">
                  <c:v>-3.1787116193735601E-3</c:v>
                </c:pt>
                <c:pt idx="99">
                  <c:v>-2.0197290271676501E-3</c:v>
                </c:pt>
                <c:pt idx="100">
                  <c:v>-4.01086812068368E-4</c:v>
                </c:pt>
                <c:pt idx="101">
                  <c:v>2.72731872491372E-3</c:v>
                </c:pt>
                <c:pt idx="102">
                  <c:v>1.1157783272758501E-3</c:v>
                </c:pt>
                <c:pt idx="103">
                  <c:v>1.05780612434443E-3</c:v>
                </c:pt>
                <c:pt idx="104">
                  <c:v>1.5692061250961E-3</c:v>
                </c:pt>
                <c:pt idx="105">
                  <c:v>2.1142765010129798E-3</c:v>
                </c:pt>
                <c:pt idx="106">
                  <c:v>2.12550745887159E-3</c:v>
                </c:pt>
                <c:pt idx="107">
                  <c:v>5.75164930092001E-4</c:v>
                </c:pt>
                <c:pt idx="108">
                  <c:v>3.4905684564120001E-4</c:v>
                </c:pt>
                <c:pt idx="109">
                  <c:v>-1.11017960241135E-3</c:v>
                </c:pt>
                <c:pt idx="110">
                  <c:v>1.07214710203109E-3</c:v>
                </c:pt>
                <c:pt idx="111">
                  <c:v>9.2627429735786396E-4</c:v>
                </c:pt>
                <c:pt idx="112">
                  <c:v>-4.2324983395242499E-5</c:v>
                </c:pt>
                <c:pt idx="113">
                  <c:v>-3.7560357392513199E-4</c:v>
                </c:pt>
                <c:pt idx="114">
                  <c:v>2.9961069087065502E-4</c:v>
                </c:pt>
                <c:pt idx="115">
                  <c:v>9.9462316870156903E-4</c:v>
                </c:pt>
                <c:pt idx="116">
                  <c:v>6.44159478399999E-5</c:v>
                </c:pt>
                <c:pt idx="117">
                  <c:v>5.1182388184397405E-4</c:v>
                </c:pt>
                <c:pt idx="118">
                  <c:v>-1.29689521262913E-3</c:v>
                </c:pt>
                <c:pt idx="119">
                  <c:v>-1.6097719972892801E-3</c:v>
                </c:pt>
                <c:pt idx="120">
                  <c:v>-6.7116331083236897E-4</c:v>
                </c:pt>
                <c:pt idx="121">
                  <c:v>-3.6039007898539498E-4</c:v>
                </c:pt>
                <c:pt idx="122">
                  <c:v>-1.54795102381089E-3</c:v>
                </c:pt>
                <c:pt idx="123">
                  <c:v>-6.0228760188291001E-4</c:v>
                </c:pt>
                <c:pt idx="124">
                  <c:v>-1.69193059807544E-3</c:v>
                </c:pt>
                <c:pt idx="125">
                  <c:v>-2.5021802474896901E-4</c:v>
                </c:pt>
                <c:pt idx="126">
                  <c:v>-3.0898603421709202E-4</c:v>
                </c:pt>
                <c:pt idx="127">
                  <c:v>-2.8711150100086502E-3</c:v>
                </c:pt>
                <c:pt idx="128">
                  <c:v>-1.1869578330500901E-3</c:v>
                </c:pt>
                <c:pt idx="129">
                  <c:v>-1.82233322544606E-4</c:v>
                </c:pt>
                <c:pt idx="130">
                  <c:v>-1.57210511703599E-4</c:v>
                </c:pt>
                <c:pt idx="131">
                  <c:v>9.8899584859423904E-4</c:v>
                </c:pt>
                <c:pt idx="132">
                  <c:v>1.32133097716306E-3</c:v>
                </c:pt>
                <c:pt idx="133">
                  <c:v>2.7330925049772301E-3</c:v>
                </c:pt>
                <c:pt idx="134">
                  <c:v>4.72334814708548E-4</c:v>
                </c:pt>
                <c:pt idx="135">
                  <c:v>-1.7754174683498501E-3</c:v>
                </c:pt>
                <c:pt idx="136">
                  <c:v>-1.3732994773600701E-5</c:v>
                </c:pt>
                <c:pt idx="137">
                  <c:v>-2.2103737537408399E-5</c:v>
                </c:pt>
                <c:pt idx="138">
                  <c:v>-8.1913258336128395E-4</c:v>
                </c:pt>
                <c:pt idx="139">
                  <c:v>-8.6526414413300005E-4</c:v>
                </c:pt>
                <c:pt idx="140">
                  <c:v>1.33660532742564E-3</c:v>
                </c:pt>
                <c:pt idx="141">
                  <c:v>6.4277417247049604E-4</c:v>
                </c:pt>
                <c:pt idx="142">
                  <c:v>-4.1481422217907901E-4</c:v>
                </c:pt>
                <c:pt idx="143">
                  <c:v>-1.7287702575433501E-3</c:v>
                </c:pt>
                <c:pt idx="144">
                  <c:v>4.0484752108984999E-4</c:v>
                </c:pt>
                <c:pt idx="145">
                  <c:v>3.6980998848043002E-4</c:v>
                </c:pt>
                <c:pt idx="146">
                  <c:v>1.87091982728484E-3</c:v>
                </c:pt>
                <c:pt idx="147">
                  <c:v>-1.02444273111334E-3</c:v>
                </c:pt>
                <c:pt idx="148">
                  <c:v>-9.1014542775130701E-5</c:v>
                </c:pt>
                <c:pt idx="149">
                  <c:v>-2.8546365871773201E-4</c:v>
                </c:pt>
                <c:pt idx="150">
                  <c:v>-3.40749255650131E-4</c:v>
                </c:pt>
                <c:pt idx="151">
                  <c:v>-5.6518478873392099E-4</c:v>
                </c:pt>
                <c:pt idx="152">
                  <c:v>9.1099634554595802E-4</c:v>
                </c:pt>
                <c:pt idx="153">
                  <c:v>6.9499379800762198E-4</c:v>
                </c:pt>
                <c:pt idx="154">
                  <c:v>1.6316607806249499E-3</c:v>
                </c:pt>
                <c:pt idx="155">
                  <c:v>6.5673071634241302E-4</c:v>
                </c:pt>
                <c:pt idx="156">
                  <c:v>-9.3245355531414598E-4</c:v>
                </c:pt>
                <c:pt idx="157">
                  <c:v>4.1647533483331399E-4</c:v>
                </c:pt>
                <c:pt idx="158">
                  <c:v>-6.77868035465168E-4</c:v>
                </c:pt>
                <c:pt idx="159">
                  <c:v>-8.2107898293988003E-4</c:v>
                </c:pt>
                <c:pt idx="160">
                  <c:v>-3.7721222789210599E-4</c:v>
                </c:pt>
                <c:pt idx="161">
                  <c:v>-1.15464343801442E-3</c:v>
                </c:pt>
                <c:pt idx="162">
                  <c:v>-3.5124759071797498E-4</c:v>
                </c:pt>
                <c:pt idx="163">
                  <c:v>-1.38175013773944E-3</c:v>
                </c:pt>
                <c:pt idx="164">
                  <c:v>3.5059830457820302E-4</c:v>
                </c:pt>
                <c:pt idx="165">
                  <c:v>-6.2176229471474099E-4</c:v>
                </c:pt>
                <c:pt idx="166">
                  <c:v>-1.52468121610796E-3</c:v>
                </c:pt>
                <c:pt idx="167">
                  <c:v>-2.4270689274349601E-3</c:v>
                </c:pt>
                <c:pt idx="168">
                  <c:v>-2.25121410462986E-3</c:v>
                </c:pt>
                <c:pt idx="169">
                  <c:v>1.5526600349609801E-5</c:v>
                </c:pt>
                <c:pt idx="170">
                  <c:v>-2.1818885865208799E-3</c:v>
                </c:pt>
                <c:pt idx="171">
                  <c:v>-3.43578865753857E-3</c:v>
                </c:pt>
                <c:pt idx="172">
                  <c:v>-1.00880683470461E-3</c:v>
                </c:pt>
                <c:pt idx="173">
                  <c:v>-5.0922996824096997E-3</c:v>
                </c:pt>
                <c:pt idx="174">
                  <c:v>-5.9324053365544796E-3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62-4ABA-A198-DE00E9339364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BSMV* x 20 dma / IBMT*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1.18517768531869E-3</c:v>
                </c:pt>
                <c:pt idx="21">
                  <c:v>9.9061636638400402E-4</c:v>
                </c:pt>
                <c:pt idx="22">
                  <c:v>1.4623203784871501E-3</c:v>
                </c:pt>
                <c:pt idx="23">
                  <c:v>4.2105407733041499E-4</c:v>
                </c:pt>
                <c:pt idx="24">
                  <c:v>1.9743061470050998E-3</c:v>
                </c:pt>
                <c:pt idx="25">
                  <c:v>-8.9572561667427403E-4</c:v>
                </c:pt>
                <c:pt idx="26">
                  <c:v>4.78741821769774E-4</c:v>
                </c:pt>
                <c:pt idx="27">
                  <c:v>-5.5535311649781299E-4</c:v>
                </c:pt>
                <c:pt idx="28">
                  <c:v>-7.6140070958699904E-4</c:v>
                </c:pt>
                <c:pt idx="29">
                  <c:v>1.9269658671443801E-4</c:v>
                </c:pt>
                <c:pt idx="30">
                  <c:v>-1.9910882244688E-4</c:v>
                </c:pt>
                <c:pt idx="31">
                  <c:v>7.3132354257898993E-5</c:v>
                </c:pt>
                <c:pt idx="32">
                  <c:v>8.14697595112229E-4</c:v>
                </c:pt>
                <c:pt idx="33">
                  <c:v>-4.2939040513947398E-4</c:v>
                </c:pt>
                <c:pt idx="34">
                  <c:v>1.4071242436726999E-3</c:v>
                </c:pt>
                <c:pt idx="35">
                  <c:v>-1.0260410135947699E-3</c:v>
                </c:pt>
                <c:pt idx="36">
                  <c:v>-4.9136873749706304E-4</c:v>
                </c:pt>
                <c:pt idx="37">
                  <c:v>2.40753192581585E-4</c:v>
                </c:pt>
                <c:pt idx="38">
                  <c:v>1.806058643364E-3</c:v>
                </c:pt>
                <c:pt idx="39">
                  <c:v>2.9143891433639499E-3</c:v>
                </c:pt>
                <c:pt idx="40">
                  <c:v>2.6683182353047798E-3</c:v>
                </c:pt>
                <c:pt idx="41">
                  <c:v>5.8888149732970298E-3</c:v>
                </c:pt>
                <c:pt idx="42">
                  <c:v>3.9607140637335997E-3</c:v>
                </c:pt>
                <c:pt idx="43">
                  <c:v>2.3523226947212901E-3</c:v>
                </c:pt>
                <c:pt idx="44">
                  <c:v>2.5568589722033E-3</c:v>
                </c:pt>
                <c:pt idx="45">
                  <c:v>7.3766037744392302E-4</c:v>
                </c:pt>
                <c:pt idx="46">
                  <c:v>3.0844369861720699E-4</c:v>
                </c:pt>
                <c:pt idx="47">
                  <c:v>-1.7271510187071899E-4</c:v>
                </c:pt>
                <c:pt idx="48">
                  <c:v>-1.5584785678931001E-5</c:v>
                </c:pt>
                <c:pt idx="49">
                  <c:v>1.1864366056168201E-3</c:v>
                </c:pt>
                <c:pt idx="50">
                  <c:v>-1.0780635818359801E-4</c:v>
                </c:pt>
                <c:pt idx="51">
                  <c:v>-9.3561412115592696E-4</c:v>
                </c:pt>
                <c:pt idx="52">
                  <c:v>-8.5773146166093E-4</c:v>
                </c:pt>
                <c:pt idx="53">
                  <c:v>-4.6541751755293999E-4</c:v>
                </c:pt>
                <c:pt idx="54">
                  <c:v>-9.29992521221134E-4</c:v>
                </c:pt>
                <c:pt idx="55">
                  <c:v>-2.4805916303242501E-5</c:v>
                </c:pt>
                <c:pt idx="56">
                  <c:v>9.6210198660957196E-4</c:v>
                </c:pt>
                <c:pt idx="57">
                  <c:v>3.0792150944639099E-3</c:v>
                </c:pt>
                <c:pt idx="58">
                  <c:v>-1.7222388938821201E-3</c:v>
                </c:pt>
                <c:pt idx="59">
                  <c:v>-4.4811412473724901E-4</c:v>
                </c:pt>
                <c:pt idx="60">
                  <c:v>3.4064471307676802E-4</c:v>
                </c:pt>
                <c:pt idx="61">
                  <c:v>1.1997671037554201E-3</c:v>
                </c:pt>
                <c:pt idx="62">
                  <c:v>-1.25690832014212E-3</c:v>
                </c:pt>
                <c:pt idx="63">
                  <c:v>-1.3026791370676901E-4</c:v>
                </c:pt>
                <c:pt idx="64">
                  <c:v>2.9008345023244899E-3</c:v>
                </c:pt>
                <c:pt idx="65">
                  <c:v>2.5854660652307402E-4</c:v>
                </c:pt>
                <c:pt idx="66">
                  <c:v>8.3011900077400904E-4</c:v>
                </c:pt>
                <c:pt idx="67">
                  <c:v>1.4932010567357101E-3</c:v>
                </c:pt>
                <c:pt idx="68">
                  <c:v>2.6109741370985299E-3</c:v>
                </c:pt>
                <c:pt idx="69">
                  <c:v>2.0504777304944299E-3</c:v>
                </c:pt>
                <c:pt idx="70">
                  <c:v>3.3281583832557999E-4</c:v>
                </c:pt>
                <c:pt idx="71">
                  <c:v>6.5283256474456795E-4</c:v>
                </c:pt>
                <c:pt idx="72">
                  <c:v>9.6312523651068105E-4</c:v>
                </c:pt>
                <c:pt idx="73">
                  <c:v>5.7499524186233498E-4</c:v>
                </c:pt>
                <c:pt idx="74">
                  <c:v>1.53924585530675E-3</c:v>
                </c:pt>
                <c:pt idx="75">
                  <c:v>2.1334974910620199E-3</c:v>
                </c:pt>
                <c:pt idx="76">
                  <c:v>1.9631570086109198E-3</c:v>
                </c:pt>
                <c:pt idx="77">
                  <c:v>1.07886659110497E-3</c:v>
                </c:pt>
                <c:pt idx="78">
                  <c:v>1.5886077519555401E-3</c:v>
                </c:pt>
                <c:pt idx="79">
                  <c:v>7.3398639337339002E-4</c:v>
                </c:pt>
                <c:pt idx="80">
                  <c:v>1.30028082975054E-3</c:v>
                </c:pt>
                <c:pt idx="81">
                  <c:v>1.3554121563483701E-3</c:v>
                </c:pt>
                <c:pt idx="82">
                  <c:v>8.6700550512701998E-4</c:v>
                </c:pt>
                <c:pt idx="83">
                  <c:v>6.7582041918034803E-4</c:v>
                </c:pt>
                <c:pt idx="84">
                  <c:v>-4.1172939136572097E-4</c:v>
                </c:pt>
                <c:pt idx="85">
                  <c:v>4.5640548124979902E-4</c:v>
                </c:pt>
                <c:pt idx="86">
                  <c:v>1.10999831658474E-3</c:v>
                </c:pt>
                <c:pt idx="87">
                  <c:v>1.1550219528257599E-3</c:v>
                </c:pt>
                <c:pt idx="88">
                  <c:v>1.82813140719846E-3</c:v>
                </c:pt>
                <c:pt idx="89">
                  <c:v>5.5553725598809502E-4</c:v>
                </c:pt>
                <c:pt idx="90">
                  <c:v>-5.9435929711610595E-4</c:v>
                </c:pt>
                <c:pt idx="91">
                  <c:v>2.9130207953686799E-4</c:v>
                </c:pt>
                <c:pt idx="92">
                  <c:v>-1.8392319463128801E-4</c:v>
                </c:pt>
                <c:pt idx="93">
                  <c:v>3.0011211128682302E-4</c:v>
                </c:pt>
                <c:pt idx="94">
                  <c:v>1.7191843589843699E-4</c:v>
                </c:pt>
                <c:pt idx="95">
                  <c:v>-1.2380993872695401E-3</c:v>
                </c:pt>
                <c:pt idx="96">
                  <c:v>-2.0229283389471202E-3</c:v>
                </c:pt>
                <c:pt idx="97">
                  <c:v>-2.2894838845747799E-3</c:v>
                </c:pt>
                <c:pt idx="98">
                  <c:v>-3.3855633580233799E-3</c:v>
                </c:pt>
                <c:pt idx="99">
                  <c:v>-2.55112456277154E-3</c:v>
                </c:pt>
                <c:pt idx="100">
                  <c:v>-1.13685504393498E-3</c:v>
                </c:pt>
                <c:pt idx="101">
                  <c:v>1.9976884371855999E-3</c:v>
                </c:pt>
                <c:pt idx="102">
                  <c:v>4.5837373844775199E-4</c:v>
                </c:pt>
                <c:pt idx="103">
                  <c:v>4.1696991644777802E-4</c:v>
                </c:pt>
                <c:pt idx="104">
                  <c:v>8.8988311143990305E-4</c:v>
                </c:pt>
                <c:pt idx="105">
                  <c:v>1.3770154679427001E-3</c:v>
                </c:pt>
                <c:pt idx="106">
                  <c:v>1.5367348502705899E-3</c:v>
                </c:pt>
                <c:pt idx="107">
                  <c:v>2.7048890700791202E-4</c:v>
                </c:pt>
                <c:pt idx="108">
                  <c:v>3.1404110157493502E-4</c:v>
                </c:pt>
                <c:pt idx="109">
                  <c:v>-7.1685460376983497E-4</c:v>
                </c:pt>
                <c:pt idx="110">
                  <c:v>1.71326040402625E-3</c:v>
                </c:pt>
                <c:pt idx="111">
                  <c:v>1.74749240881785E-3</c:v>
                </c:pt>
                <c:pt idx="112">
                  <c:v>7.0820850803911099E-4</c:v>
                </c:pt>
                <c:pt idx="113">
                  <c:v>3.8417228915541598E-4</c:v>
                </c:pt>
                <c:pt idx="114">
                  <c:v>1.0843793176955701E-3</c:v>
                </c:pt>
                <c:pt idx="115">
                  <c:v>1.78944113433569E-3</c:v>
                </c:pt>
                <c:pt idx="116">
                  <c:v>7.8102892359513995E-4</c:v>
                </c:pt>
                <c:pt idx="117">
                  <c:v>1.04141950348117E-3</c:v>
                </c:pt>
                <c:pt idx="118">
                  <c:v>-8.3060485725694195E-4</c:v>
                </c:pt>
                <c:pt idx="119">
                  <c:v>-1.35242448525231E-3</c:v>
                </c:pt>
                <c:pt idx="120">
                  <c:v>-4.9805657754859204E-4</c:v>
                </c:pt>
                <c:pt idx="121">
                  <c:v>-3.9496088143796399E-4</c:v>
                </c:pt>
                <c:pt idx="122">
                  <c:v>-1.6423261889217599E-3</c:v>
                </c:pt>
                <c:pt idx="123">
                  <c:v>-7.9854342374633205E-4</c:v>
                </c:pt>
                <c:pt idx="124">
                  <c:v>-1.9234287630160499E-3</c:v>
                </c:pt>
                <c:pt idx="125">
                  <c:v>-6.1941067240011501E-4</c:v>
                </c:pt>
                <c:pt idx="126">
                  <c:v>-8.0066105565951599E-4</c:v>
                </c:pt>
                <c:pt idx="127">
                  <c:v>-3.3991854361666699E-3</c:v>
                </c:pt>
                <c:pt idx="128">
                  <c:v>-1.9866914393368101E-3</c:v>
                </c:pt>
                <c:pt idx="129">
                  <c:v>-1.02075927420632E-3</c:v>
                </c:pt>
                <c:pt idx="130">
                  <c:v>-1.0089896919563399E-3</c:v>
                </c:pt>
                <c:pt idx="131">
                  <c:v>1.4757045929594299E-4</c:v>
                </c:pt>
                <c:pt idx="132">
                  <c:v>5.3093906074468003E-4</c:v>
                </c:pt>
                <c:pt idx="133">
                  <c:v>2.09171945777872E-3</c:v>
                </c:pt>
                <c:pt idx="134">
                  <c:v>-3.5698489476452801E-5</c:v>
                </c:pt>
                <c:pt idx="135">
                  <c:v>-2.10334838337101E-3</c:v>
                </c:pt>
                <c:pt idx="136">
                  <c:v>-3.5169699812619999E-4</c:v>
                </c:pt>
                <c:pt idx="137">
                  <c:v>-3.11298743565107E-4</c:v>
                </c:pt>
                <c:pt idx="138">
                  <c:v>-7.7263359831135998E-4</c:v>
                </c:pt>
                <c:pt idx="139">
                  <c:v>-7.2115419986262005E-4</c:v>
                </c:pt>
                <c:pt idx="140">
                  <c:v>1.4734712760757799E-3</c:v>
                </c:pt>
                <c:pt idx="141">
                  <c:v>9.2750252467055697E-4</c:v>
                </c:pt>
                <c:pt idx="142">
                  <c:v>-1.02236570045981E-4</c:v>
                </c:pt>
                <c:pt idx="143">
                  <c:v>-1.53612055602529E-3</c:v>
                </c:pt>
                <c:pt idx="144">
                  <c:v>2.9131291592095302E-4</c:v>
                </c:pt>
                <c:pt idx="145">
                  <c:v>1.8415988924590801E-4</c:v>
                </c:pt>
                <c:pt idx="146">
                  <c:v>1.8831222402579701E-3</c:v>
                </c:pt>
                <c:pt idx="147">
                  <c:v>-8.9782208835832602E-4</c:v>
                </c:pt>
                <c:pt idx="148">
                  <c:v>-1.1555154100668E-4</c:v>
                </c:pt>
                <c:pt idx="149">
                  <c:v>-2.9909869807786702E-4</c:v>
                </c:pt>
                <c:pt idx="150">
                  <c:v>-3.0698663600297498E-4</c:v>
                </c:pt>
                <c:pt idx="151">
                  <c:v>-7.0020558509472904E-4</c:v>
                </c:pt>
                <c:pt idx="152">
                  <c:v>6.9095610627256405E-4</c:v>
                </c:pt>
                <c:pt idx="153">
                  <c:v>5.7474537066503197E-4</c:v>
                </c:pt>
                <c:pt idx="154">
                  <c:v>1.8243671521759001E-3</c:v>
                </c:pt>
                <c:pt idx="155">
                  <c:v>9.4472952594683995E-4</c:v>
                </c:pt>
                <c:pt idx="156">
                  <c:v>-6.9008133234008096E-4</c:v>
                </c:pt>
                <c:pt idx="157">
                  <c:v>4.4754944720792699E-4</c:v>
                </c:pt>
                <c:pt idx="158">
                  <c:v>-5.3412133226437804E-4</c:v>
                </c:pt>
                <c:pt idx="159">
                  <c:v>-7.2628278588885895E-4</c:v>
                </c:pt>
                <c:pt idx="160">
                  <c:v>-3.27374592505555E-4</c:v>
                </c:pt>
                <c:pt idx="161">
                  <c:v>-1.0211886395586501E-3</c:v>
                </c:pt>
                <c:pt idx="162">
                  <c:v>-1.6004488960124301E-4</c:v>
                </c:pt>
                <c:pt idx="163">
                  <c:v>-1.2788136508822901E-3</c:v>
                </c:pt>
                <c:pt idx="164">
                  <c:v>2.50739494834745E-4</c:v>
                </c:pt>
                <c:pt idx="165">
                  <c:v>-8.7609646724125603E-4</c:v>
                </c:pt>
                <c:pt idx="166">
                  <c:v>-1.9114358801938999E-3</c:v>
                </c:pt>
                <c:pt idx="167">
                  <c:v>-2.7662933538191198E-3</c:v>
                </c:pt>
                <c:pt idx="168">
                  <c:v>-2.8416975425033099E-3</c:v>
                </c:pt>
                <c:pt idx="169">
                  <c:v>-6.97734551893682E-4</c:v>
                </c:pt>
                <c:pt idx="170">
                  <c:v>-2.9073396968551501E-3</c:v>
                </c:pt>
                <c:pt idx="171">
                  <c:v>-4.3271362841043699E-3</c:v>
                </c:pt>
                <c:pt idx="172">
                  <c:v>-2.0873016970516601E-3</c:v>
                </c:pt>
                <c:pt idx="173">
                  <c:v>-6.2674073227683398E-3</c:v>
                </c:pt>
                <c:pt idx="174">
                  <c:v>-7.3173078595773202E-3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62-4ABA-A198-DE00E9339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IBMT*/BSMV*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1.2253439668366699</c:v>
                </c:pt>
                <c:pt idx="1">
                  <c:v>1.2253439668366699</c:v>
                </c:pt>
                <c:pt idx="2">
                  <c:v>1.2253439668366699</c:v>
                </c:pt>
                <c:pt idx="3">
                  <c:v>1.2253439668366699</c:v>
                </c:pt>
                <c:pt idx="4">
                  <c:v>1.2253439668366699</c:v>
                </c:pt>
                <c:pt idx="5">
                  <c:v>1.2253439668366699</c:v>
                </c:pt>
                <c:pt idx="6">
                  <c:v>1.2253439668366699</c:v>
                </c:pt>
                <c:pt idx="7">
                  <c:v>1.2253439668366699</c:v>
                </c:pt>
                <c:pt idx="8">
                  <c:v>1.2253439668366699</c:v>
                </c:pt>
                <c:pt idx="9">
                  <c:v>1.2253439668366699</c:v>
                </c:pt>
                <c:pt idx="10">
                  <c:v>1.2253439668366699</c:v>
                </c:pt>
                <c:pt idx="11">
                  <c:v>1.2253439668366699</c:v>
                </c:pt>
                <c:pt idx="12">
                  <c:v>1.2253439668366699</c:v>
                </c:pt>
                <c:pt idx="13">
                  <c:v>1.2253439668366699</c:v>
                </c:pt>
                <c:pt idx="14">
                  <c:v>1.2253439668366699</c:v>
                </c:pt>
                <c:pt idx="15">
                  <c:v>1.2253439668366699</c:v>
                </c:pt>
                <c:pt idx="16">
                  <c:v>1.2253439668366699</c:v>
                </c:pt>
                <c:pt idx="17">
                  <c:v>1.2253439668366699</c:v>
                </c:pt>
                <c:pt idx="18">
                  <c:v>1.2253439668366699</c:v>
                </c:pt>
                <c:pt idx="19">
                  <c:v>1.2253439668366699</c:v>
                </c:pt>
                <c:pt idx="20">
                  <c:v>1.2253439668366699</c:v>
                </c:pt>
                <c:pt idx="21">
                  <c:v>1.2253439668366699</c:v>
                </c:pt>
                <c:pt idx="22">
                  <c:v>1.2253439668366699</c:v>
                </c:pt>
                <c:pt idx="23">
                  <c:v>1.2253439668366699</c:v>
                </c:pt>
                <c:pt idx="24">
                  <c:v>1.2253439668366699</c:v>
                </c:pt>
                <c:pt idx="25">
                  <c:v>1.2253439668366699</c:v>
                </c:pt>
                <c:pt idx="26">
                  <c:v>1.2253439668366699</c:v>
                </c:pt>
                <c:pt idx="27">
                  <c:v>1.2253439668366699</c:v>
                </c:pt>
                <c:pt idx="28">
                  <c:v>1.2253439668366699</c:v>
                </c:pt>
                <c:pt idx="29">
                  <c:v>1.2253439668366699</c:v>
                </c:pt>
                <c:pt idx="30">
                  <c:v>1.2253439668366699</c:v>
                </c:pt>
                <c:pt idx="31">
                  <c:v>1.2253439668366699</c:v>
                </c:pt>
                <c:pt idx="32">
                  <c:v>1.2253439668366699</c:v>
                </c:pt>
                <c:pt idx="33">
                  <c:v>1.2253439668366699</c:v>
                </c:pt>
                <c:pt idx="34">
                  <c:v>1.2253439668366699</c:v>
                </c:pt>
                <c:pt idx="35">
                  <c:v>1.2253439668366699</c:v>
                </c:pt>
                <c:pt idx="36">
                  <c:v>1.2253439668366699</c:v>
                </c:pt>
                <c:pt idx="37">
                  <c:v>1.2253439668366699</c:v>
                </c:pt>
                <c:pt idx="38">
                  <c:v>1.2253439668366699</c:v>
                </c:pt>
                <c:pt idx="39">
                  <c:v>1.2253439668366699</c:v>
                </c:pt>
                <c:pt idx="40">
                  <c:v>1.2253439668366699</c:v>
                </c:pt>
                <c:pt idx="41">
                  <c:v>1.2253439668366699</c:v>
                </c:pt>
                <c:pt idx="42">
                  <c:v>1.2253439668366699</c:v>
                </c:pt>
                <c:pt idx="43">
                  <c:v>1.2253439668366699</c:v>
                </c:pt>
                <c:pt idx="44">
                  <c:v>1.2253439668366699</c:v>
                </c:pt>
                <c:pt idx="45">
                  <c:v>1.2253439668366699</c:v>
                </c:pt>
                <c:pt idx="46">
                  <c:v>1.2253439668366699</c:v>
                </c:pt>
                <c:pt idx="47">
                  <c:v>1.2253439668366699</c:v>
                </c:pt>
                <c:pt idx="48">
                  <c:v>1.2253439668366699</c:v>
                </c:pt>
                <c:pt idx="49">
                  <c:v>1.2253439668366699</c:v>
                </c:pt>
                <c:pt idx="50">
                  <c:v>1.2253439668366699</c:v>
                </c:pt>
                <c:pt idx="51">
                  <c:v>1.2253439668366699</c:v>
                </c:pt>
                <c:pt idx="52">
                  <c:v>1.2253439668366699</c:v>
                </c:pt>
                <c:pt idx="53">
                  <c:v>1.2253439668366699</c:v>
                </c:pt>
                <c:pt idx="54">
                  <c:v>1.2253439668366699</c:v>
                </c:pt>
                <c:pt idx="55">
                  <c:v>1.2253439668366699</c:v>
                </c:pt>
                <c:pt idx="56">
                  <c:v>1.2253439668366699</c:v>
                </c:pt>
                <c:pt idx="57">
                  <c:v>1.2253439668366699</c:v>
                </c:pt>
                <c:pt idx="58">
                  <c:v>1.2253439668366699</c:v>
                </c:pt>
                <c:pt idx="59">
                  <c:v>1.2253439668366699</c:v>
                </c:pt>
                <c:pt idx="60">
                  <c:v>1.2253439668366699</c:v>
                </c:pt>
                <c:pt idx="61">
                  <c:v>1.2253439668366699</c:v>
                </c:pt>
                <c:pt idx="62">
                  <c:v>1.2253439668366699</c:v>
                </c:pt>
                <c:pt idx="63">
                  <c:v>1.2253439668366699</c:v>
                </c:pt>
                <c:pt idx="64">
                  <c:v>1.2253439668366699</c:v>
                </c:pt>
                <c:pt idx="65">
                  <c:v>1.2253439668366699</c:v>
                </c:pt>
                <c:pt idx="66">
                  <c:v>1.2253439668366699</c:v>
                </c:pt>
                <c:pt idx="67">
                  <c:v>1.2253439668366699</c:v>
                </c:pt>
                <c:pt idx="68">
                  <c:v>1.2253439668366699</c:v>
                </c:pt>
                <c:pt idx="69">
                  <c:v>1.2253439668366699</c:v>
                </c:pt>
                <c:pt idx="70">
                  <c:v>1.2253439668366699</c:v>
                </c:pt>
                <c:pt idx="71">
                  <c:v>1.2253439668366699</c:v>
                </c:pt>
                <c:pt idx="72">
                  <c:v>1.2253439668366699</c:v>
                </c:pt>
                <c:pt idx="73">
                  <c:v>1.2253439668366699</c:v>
                </c:pt>
                <c:pt idx="74">
                  <c:v>1.2253439668366699</c:v>
                </c:pt>
                <c:pt idx="75">
                  <c:v>1.2253439668366699</c:v>
                </c:pt>
                <c:pt idx="76">
                  <c:v>1.2253439668366699</c:v>
                </c:pt>
                <c:pt idx="77">
                  <c:v>1.2253439668366699</c:v>
                </c:pt>
                <c:pt idx="78">
                  <c:v>1.2253439668366699</c:v>
                </c:pt>
                <c:pt idx="79">
                  <c:v>1.2253439668366699</c:v>
                </c:pt>
                <c:pt idx="80">
                  <c:v>1.2253439668366699</c:v>
                </c:pt>
                <c:pt idx="81">
                  <c:v>1.2253439668366699</c:v>
                </c:pt>
                <c:pt idx="82">
                  <c:v>1.2253439668366699</c:v>
                </c:pt>
                <c:pt idx="83">
                  <c:v>1.2253439668366699</c:v>
                </c:pt>
                <c:pt idx="84">
                  <c:v>1.2253439668366699</c:v>
                </c:pt>
                <c:pt idx="85">
                  <c:v>1.2253439668366699</c:v>
                </c:pt>
                <c:pt idx="86">
                  <c:v>1.2253439668366699</c:v>
                </c:pt>
                <c:pt idx="87">
                  <c:v>1.2253439668366699</c:v>
                </c:pt>
                <c:pt idx="88">
                  <c:v>1.2253439668366699</c:v>
                </c:pt>
                <c:pt idx="89">
                  <c:v>1.2253439668366699</c:v>
                </c:pt>
                <c:pt idx="90">
                  <c:v>1.2253439668366699</c:v>
                </c:pt>
                <c:pt idx="91">
                  <c:v>1.2253439668366699</c:v>
                </c:pt>
                <c:pt idx="92">
                  <c:v>1.2253439668366699</c:v>
                </c:pt>
                <c:pt idx="93">
                  <c:v>1.2253439668366699</c:v>
                </c:pt>
                <c:pt idx="94">
                  <c:v>1.2253439668366699</c:v>
                </c:pt>
                <c:pt idx="95">
                  <c:v>1.2253439668366699</c:v>
                </c:pt>
                <c:pt idx="96">
                  <c:v>1.2253439668366699</c:v>
                </c:pt>
                <c:pt idx="97">
                  <c:v>1.2253439668366699</c:v>
                </c:pt>
                <c:pt idx="98">
                  <c:v>1.2253439668366699</c:v>
                </c:pt>
                <c:pt idx="99">
                  <c:v>1.2253439668366699</c:v>
                </c:pt>
                <c:pt idx="100">
                  <c:v>1.2253439668366699</c:v>
                </c:pt>
                <c:pt idx="101">
                  <c:v>1.2253439668366699</c:v>
                </c:pt>
                <c:pt idx="102">
                  <c:v>1.2253439668366699</c:v>
                </c:pt>
                <c:pt idx="103">
                  <c:v>1.2253439668366699</c:v>
                </c:pt>
                <c:pt idx="104">
                  <c:v>1.2253439668366699</c:v>
                </c:pt>
                <c:pt idx="105">
                  <c:v>1.2253439668366699</c:v>
                </c:pt>
                <c:pt idx="106">
                  <c:v>1.2253439668366699</c:v>
                </c:pt>
                <c:pt idx="107">
                  <c:v>1.2253439668366699</c:v>
                </c:pt>
                <c:pt idx="108">
                  <c:v>1.2253439668366699</c:v>
                </c:pt>
                <c:pt idx="109">
                  <c:v>1.2253439668366699</c:v>
                </c:pt>
                <c:pt idx="110">
                  <c:v>1.2253439668366699</c:v>
                </c:pt>
                <c:pt idx="111">
                  <c:v>1.2253439668366699</c:v>
                </c:pt>
                <c:pt idx="112">
                  <c:v>1.2253439668366699</c:v>
                </c:pt>
                <c:pt idx="113">
                  <c:v>1.2253439668366699</c:v>
                </c:pt>
                <c:pt idx="114">
                  <c:v>1.2253439668366699</c:v>
                </c:pt>
                <c:pt idx="115">
                  <c:v>1.2253439668366699</c:v>
                </c:pt>
                <c:pt idx="116">
                  <c:v>1.2253439668366699</c:v>
                </c:pt>
                <c:pt idx="117">
                  <c:v>1.2253439668366699</c:v>
                </c:pt>
                <c:pt idx="118">
                  <c:v>1.2253439668366699</c:v>
                </c:pt>
                <c:pt idx="119">
                  <c:v>1.2253439668366699</c:v>
                </c:pt>
                <c:pt idx="120">
                  <c:v>1.2253439668366699</c:v>
                </c:pt>
                <c:pt idx="121">
                  <c:v>1.2253439668366699</c:v>
                </c:pt>
                <c:pt idx="122">
                  <c:v>1.2253439668366699</c:v>
                </c:pt>
                <c:pt idx="123">
                  <c:v>1.2253439668366699</c:v>
                </c:pt>
                <c:pt idx="124">
                  <c:v>1.2253439668366699</c:v>
                </c:pt>
                <c:pt idx="125">
                  <c:v>1.2253439668366699</c:v>
                </c:pt>
                <c:pt idx="126">
                  <c:v>1.2253439668366699</c:v>
                </c:pt>
                <c:pt idx="127">
                  <c:v>1.2253439668366699</c:v>
                </c:pt>
                <c:pt idx="128">
                  <c:v>1.2253439668366699</c:v>
                </c:pt>
                <c:pt idx="129">
                  <c:v>1.2253439668366699</c:v>
                </c:pt>
                <c:pt idx="130">
                  <c:v>1.2253439668366699</c:v>
                </c:pt>
                <c:pt idx="131">
                  <c:v>1.2253439668366699</c:v>
                </c:pt>
                <c:pt idx="132">
                  <c:v>1.2253439668366699</c:v>
                </c:pt>
                <c:pt idx="133">
                  <c:v>1.2253439668366699</c:v>
                </c:pt>
                <c:pt idx="134">
                  <c:v>1.2253439668366699</c:v>
                </c:pt>
                <c:pt idx="135">
                  <c:v>1.2253439668366699</c:v>
                </c:pt>
                <c:pt idx="136">
                  <c:v>1.2253439668366699</c:v>
                </c:pt>
                <c:pt idx="137">
                  <c:v>1.2253439668366699</c:v>
                </c:pt>
                <c:pt idx="138">
                  <c:v>1.2253439668366699</c:v>
                </c:pt>
                <c:pt idx="139">
                  <c:v>1.2253439668366699</c:v>
                </c:pt>
                <c:pt idx="140">
                  <c:v>1.2253439668366699</c:v>
                </c:pt>
                <c:pt idx="141">
                  <c:v>1.2253439668366699</c:v>
                </c:pt>
                <c:pt idx="142">
                  <c:v>1.2253439668366699</c:v>
                </c:pt>
                <c:pt idx="143">
                  <c:v>1.2253439668366699</c:v>
                </c:pt>
                <c:pt idx="144">
                  <c:v>1.2253439668366699</c:v>
                </c:pt>
                <c:pt idx="145">
                  <c:v>1.2253439668366699</c:v>
                </c:pt>
                <c:pt idx="146">
                  <c:v>1.2253439668366699</c:v>
                </c:pt>
                <c:pt idx="147">
                  <c:v>1.2253439668366699</c:v>
                </c:pt>
                <c:pt idx="148">
                  <c:v>1.2253439668366699</c:v>
                </c:pt>
                <c:pt idx="149">
                  <c:v>1.2253439668366699</c:v>
                </c:pt>
                <c:pt idx="150">
                  <c:v>1.2253439668366699</c:v>
                </c:pt>
                <c:pt idx="151">
                  <c:v>1.2253439668366699</c:v>
                </c:pt>
                <c:pt idx="152">
                  <c:v>1.2253439668366699</c:v>
                </c:pt>
                <c:pt idx="153">
                  <c:v>1.2253439668366699</c:v>
                </c:pt>
                <c:pt idx="154">
                  <c:v>1.2253439668366699</c:v>
                </c:pt>
                <c:pt idx="155">
                  <c:v>1.2253439668366699</c:v>
                </c:pt>
                <c:pt idx="156">
                  <c:v>1.2253439668366699</c:v>
                </c:pt>
                <c:pt idx="157">
                  <c:v>1.2253439668366699</c:v>
                </c:pt>
                <c:pt idx="158">
                  <c:v>1.2253439668366699</c:v>
                </c:pt>
                <c:pt idx="159">
                  <c:v>1.2253439668366699</c:v>
                </c:pt>
                <c:pt idx="160">
                  <c:v>1.2253439668366699</c:v>
                </c:pt>
                <c:pt idx="161">
                  <c:v>1.2253439668366699</c:v>
                </c:pt>
                <c:pt idx="162">
                  <c:v>1.2253439668366699</c:v>
                </c:pt>
                <c:pt idx="163">
                  <c:v>1.2253439668366699</c:v>
                </c:pt>
                <c:pt idx="164">
                  <c:v>1.2253439668366699</c:v>
                </c:pt>
                <c:pt idx="165">
                  <c:v>1.2253439668366699</c:v>
                </c:pt>
                <c:pt idx="166">
                  <c:v>1.2253439668366699</c:v>
                </c:pt>
                <c:pt idx="167">
                  <c:v>1.2253439668366699</c:v>
                </c:pt>
                <c:pt idx="168">
                  <c:v>1.2253439668366699</c:v>
                </c:pt>
                <c:pt idx="169">
                  <c:v>1.2253439668366699</c:v>
                </c:pt>
                <c:pt idx="170">
                  <c:v>1.2253439668366699</c:v>
                </c:pt>
                <c:pt idx="171">
                  <c:v>1.2253439668366699</c:v>
                </c:pt>
                <c:pt idx="172">
                  <c:v>1.2253439668366699</c:v>
                </c:pt>
                <c:pt idx="173">
                  <c:v>1.2253439668366699</c:v>
                </c:pt>
                <c:pt idx="174">
                  <c:v>1.2253439668366699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3-4893-91CD-8CB3BF458E03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IBMT*/BSMV*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1.2311162097005199</c:v>
                </c:pt>
                <c:pt idx="10">
                  <c:v>1.23124816209807</c:v>
                </c:pt>
                <c:pt idx="11">
                  <c:v>1.23107371736605</c:v>
                </c:pt>
                <c:pt idx="12">
                  <c:v>1.2309097698170099</c:v>
                </c:pt>
                <c:pt idx="13">
                  <c:v>1.2308005397766699</c:v>
                </c:pt>
                <c:pt idx="14">
                  <c:v>1.2306482961276799</c:v>
                </c:pt>
                <c:pt idx="15">
                  <c:v>1.2301194809816101</c:v>
                </c:pt>
                <c:pt idx="16">
                  <c:v>1.2296845757759101</c:v>
                </c:pt>
                <c:pt idx="17">
                  <c:v>1.22940568277583</c:v>
                </c:pt>
                <c:pt idx="18">
                  <c:v>1.22910256190446</c:v>
                </c:pt>
                <c:pt idx="19">
                  <c:v>1.2284266833606601</c:v>
                </c:pt>
                <c:pt idx="20">
                  <c:v>1.2283258337545799</c:v>
                </c:pt>
                <c:pt idx="21">
                  <c:v>1.2282948320347999</c:v>
                </c:pt>
                <c:pt idx="22">
                  <c:v>1.22806527182589</c:v>
                </c:pt>
                <c:pt idx="23">
                  <c:v>1.22803805353136</c:v>
                </c:pt>
                <c:pt idx="24">
                  <c:v>1.22789256880862</c:v>
                </c:pt>
                <c:pt idx="25">
                  <c:v>1.22814252325537</c:v>
                </c:pt>
                <c:pt idx="26">
                  <c:v>1.2281156369384401</c:v>
                </c:pt>
                <c:pt idx="27">
                  <c:v>1.2281780541703999</c:v>
                </c:pt>
                <c:pt idx="28">
                  <c:v>1.22853631075779</c:v>
                </c:pt>
                <c:pt idx="29">
                  <c:v>1.22875439410872</c:v>
                </c:pt>
                <c:pt idx="30">
                  <c:v>1.2288064315182301</c:v>
                </c:pt>
                <c:pt idx="31">
                  <c:v>1.2287971249162799</c:v>
                </c:pt>
                <c:pt idx="32">
                  <c:v>1.2287629345333799</c:v>
                </c:pt>
                <c:pt idx="33">
                  <c:v>1.22876010819459</c:v>
                </c:pt>
                <c:pt idx="34">
                  <c:v>1.22872784271547</c:v>
                </c:pt>
                <c:pt idx="35">
                  <c:v>1.2286477561576099</c:v>
                </c:pt>
                <c:pt idx="36">
                  <c:v>1.22869337380342</c:v>
                </c:pt>
                <c:pt idx="37">
                  <c:v>1.2285459767293201</c:v>
                </c:pt>
                <c:pt idx="38">
                  <c:v>1.22818774633188</c:v>
                </c:pt>
                <c:pt idx="39">
                  <c:v>1.22780821086539</c:v>
                </c:pt>
                <c:pt idx="40">
                  <c:v>1.22742551481854</c:v>
                </c:pt>
                <c:pt idx="41">
                  <c:v>1.2266683938285801</c:v>
                </c:pt>
                <c:pt idx="42">
                  <c:v>1.2262018123806</c:v>
                </c:pt>
                <c:pt idx="43">
                  <c:v>1.2257674770375899</c:v>
                </c:pt>
                <c:pt idx="44">
                  <c:v>1.2255132844491801</c:v>
                </c:pt>
                <c:pt idx="45">
                  <c:v>1.22517773944486</c:v>
                </c:pt>
                <c:pt idx="46">
                  <c:v>1.22493128841072</c:v>
                </c:pt>
                <c:pt idx="47">
                  <c:v>1.22482283238682</c:v>
                </c:pt>
                <c:pt idx="48">
                  <c:v>1.22487863224146</c:v>
                </c:pt>
                <c:pt idx="49">
                  <c:v>1.2249077855571899</c:v>
                </c:pt>
                <c:pt idx="50">
                  <c:v>1.2250559844263</c:v>
                </c:pt>
                <c:pt idx="51">
                  <c:v>1.2257043340835201</c:v>
                </c:pt>
                <c:pt idx="52">
                  <c:v>1.2261402216453401</c:v>
                </c:pt>
                <c:pt idx="53">
                  <c:v>1.2263545715520101</c:v>
                </c:pt>
                <c:pt idx="54">
                  <c:v>1.22666176373687</c:v>
                </c:pt>
                <c:pt idx="55">
                  <c:v>1.2266519876916799</c:v>
                </c:pt>
                <c:pt idx="56">
                  <c:v>1.22647214799035</c:v>
                </c:pt>
                <c:pt idx="57">
                  <c:v>1.2259630565274899</c:v>
                </c:pt>
                <c:pt idx="58">
                  <c:v>1.2260432225167599</c:v>
                </c:pt>
                <c:pt idx="59">
                  <c:v>1.2261363573630899</c:v>
                </c:pt>
                <c:pt idx="60">
                  <c:v>1.2259978034045</c:v>
                </c:pt>
                <c:pt idx="61">
                  <c:v>1.2256646888131999</c:v>
                </c:pt>
                <c:pt idx="62">
                  <c:v>1.2256634387464</c:v>
                </c:pt>
                <c:pt idx="63">
                  <c:v>1.22559540924288</c:v>
                </c:pt>
                <c:pt idx="64">
                  <c:v>1.2251176103239301</c:v>
                </c:pt>
                <c:pt idx="65">
                  <c:v>1.2250630942926</c:v>
                </c:pt>
                <c:pt idx="66">
                  <c:v>1.22507353228932</c:v>
                </c:pt>
                <c:pt idx="67">
                  <c:v>1.22527458797802</c:v>
                </c:pt>
                <c:pt idx="68">
                  <c:v>1.2247663634774999</c:v>
                </c:pt>
                <c:pt idx="69">
                  <c:v>1.2244548140067</c:v>
                </c:pt>
                <c:pt idx="70">
                  <c:v>1.2244331320885899</c:v>
                </c:pt>
                <c:pt idx="71">
                  <c:v>1.22446897603594</c:v>
                </c:pt>
                <c:pt idx="72">
                  <c:v>1.22413512149171</c:v>
                </c:pt>
                <c:pt idx="73">
                  <c:v>1.22394848499556</c:v>
                </c:pt>
                <c:pt idx="74">
                  <c:v>1.2239949229045499</c:v>
                </c:pt>
                <c:pt idx="75">
                  <c:v>1.22363229145495</c:v>
                </c:pt>
                <c:pt idx="76">
                  <c:v>1.2233429022829001</c:v>
                </c:pt>
                <c:pt idx="77">
                  <c:v>1.22323733142917</c:v>
                </c:pt>
                <c:pt idx="78">
                  <c:v>1.2232263018273399</c:v>
                </c:pt>
                <c:pt idx="79">
                  <c:v>1.2232466581816399</c:v>
                </c:pt>
                <c:pt idx="80">
                  <c:v>1.22298391466518</c:v>
                </c:pt>
                <c:pt idx="81">
                  <c:v>1.2227474295954801</c:v>
                </c:pt>
                <c:pt idx="82">
                  <c:v>1.2226134575830101</c:v>
                </c:pt>
                <c:pt idx="83">
                  <c:v>1.2224487192047</c:v>
                </c:pt>
                <c:pt idx="84">
                  <c:v>1.2225301352512099</c:v>
                </c:pt>
                <c:pt idx="85">
                  <c:v>1.2226059241368199</c:v>
                </c:pt>
                <c:pt idx="86">
                  <c:v>1.22258749783495</c:v>
                </c:pt>
                <c:pt idx="87">
                  <c:v>1.22245402700607</c:v>
                </c:pt>
                <c:pt idx="88">
                  <c:v>1.2222839827666101</c:v>
                </c:pt>
                <c:pt idx="89">
                  <c:v>1.2221817606952501</c:v>
                </c:pt>
                <c:pt idx="90">
                  <c:v>1.2222998343365601</c:v>
                </c:pt>
                <c:pt idx="91">
                  <c:v>1.2223233094091699</c:v>
                </c:pt>
                <c:pt idx="92">
                  <c:v>1.22234455493567</c:v>
                </c:pt>
                <c:pt idx="93">
                  <c:v>1.2223009942380501</c:v>
                </c:pt>
                <c:pt idx="94">
                  <c:v>1.22214723357823</c:v>
                </c:pt>
                <c:pt idx="95">
                  <c:v>1.22226209814738</c:v>
                </c:pt>
                <c:pt idx="96">
                  <c:v>1.2225768191086299</c:v>
                </c:pt>
                <c:pt idx="97">
                  <c:v>1.2229599174525501</c:v>
                </c:pt>
                <c:pt idx="98">
                  <c:v>1.2235840515154801</c:v>
                </c:pt>
                <c:pt idx="99">
                  <c:v>1.22398223273539</c:v>
                </c:pt>
                <c:pt idx="100">
                  <c:v>1.22408544246764</c:v>
                </c:pt>
                <c:pt idx="101">
                  <c:v>1.2239320176147399</c:v>
                </c:pt>
                <c:pt idx="102">
                  <c:v>1.2239127075741401</c:v>
                </c:pt>
                <c:pt idx="103">
                  <c:v>1.22396336249164</c:v>
                </c:pt>
                <c:pt idx="104">
                  <c:v>1.2239513116752201</c:v>
                </c:pt>
                <c:pt idx="105">
                  <c:v>1.2237026392202901</c:v>
                </c:pt>
                <c:pt idx="106">
                  <c:v>1.2233221394110201</c:v>
                </c:pt>
                <c:pt idx="107">
                  <c:v>1.2230455676541501</c:v>
                </c:pt>
                <c:pt idx="108">
                  <c:v>1.2226220866843001</c:v>
                </c:pt>
                <c:pt idx="109">
                  <c:v>1.22241431802394</c:v>
                </c:pt>
                <c:pt idx="110">
                  <c:v>1.22207743382943</c:v>
                </c:pt>
                <c:pt idx="111">
                  <c:v>1.2220968797586</c:v>
                </c:pt>
                <c:pt idx="112">
                  <c:v>1.2220550261283301</c:v>
                </c:pt>
                <c:pt idx="113">
                  <c:v>1.22204456521344</c:v>
                </c:pt>
                <c:pt idx="114">
                  <c:v>1.2220079916728399</c:v>
                </c:pt>
                <c:pt idx="115">
                  <c:v>1.22195068013073</c:v>
                </c:pt>
                <c:pt idx="116">
                  <c:v>1.22202743584752</c:v>
                </c:pt>
                <c:pt idx="117">
                  <c:v>1.2219057761807</c:v>
                </c:pt>
                <c:pt idx="118">
                  <c:v>1.2219930520041999</c:v>
                </c:pt>
                <c:pt idx="119">
                  <c:v>1.2219912115902301</c:v>
                </c:pt>
                <c:pt idx="120">
                  <c:v>1.2221619346064001</c:v>
                </c:pt>
                <c:pt idx="121">
                  <c:v>1.2223275836071199</c:v>
                </c:pt>
                <c:pt idx="122">
                  <c:v>1.2225348382026899</c:v>
                </c:pt>
                <c:pt idx="123">
                  <c:v>1.2226105639010401</c:v>
                </c:pt>
                <c:pt idx="124">
                  <c:v>1.22291080436209</c:v>
                </c:pt>
                <c:pt idx="125">
                  <c:v>1.2231531722131901</c:v>
                </c:pt>
                <c:pt idx="126">
                  <c:v>1.2233190920433199</c:v>
                </c:pt>
                <c:pt idx="127">
                  <c:v>1.22386252161489</c:v>
                </c:pt>
                <c:pt idx="128">
                  <c:v>1.22404497854817</c:v>
                </c:pt>
                <c:pt idx="129">
                  <c:v>1.2240756079773401</c:v>
                </c:pt>
                <c:pt idx="130">
                  <c:v>1.2242212497882501</c:v>
                </c:pt>
                <c:pt idx="131">
                  <c:v>1.22426211274329</c:v>
                </c:pt>
                <c:pt idx="132">
                  <c:v>1.2241045500942001</c:v>
                </c:pt>
                <c:pt idx="133">
                  <c:v>1.2238537650246899</c:v>
                </c:pt>
                <c:pt idx="134">
                  <c:v>1.2237132595978399</c:v>
                </c:pt>
                <c:pt idx="135">
                  <c:v>1.22398035502793</c:v>
                </c:pt>
                <c:pt idx="136">
                  <c:v>1.22402695464827</c:v>
                </c:pt>
                <c:pt idx="137">
                  <c:v>1.22374871282271</c:v>
                </c:pt>
                <c:pt idx="138">
                  <c:v>1.22369226068672</c:v>
                </c:pt>
                <c:pt idx="139">
                  <c:v>1.2237406082143401</c:v>
                </c:pt>
                <c:pt idx="140">
                  <c:v>1.2235244064111901</c:v>
                </c:pt>
                <c:pt idx="141">
                  <c:v>1.2234971174765601</c:v>
                </c:pt>
                <c:pt idx="142">
                  <c:v>1.2236330395977799</c:v>
                </c:pt>
                <c:pt idx="143">
                  <c:v>1.2241317118672601</c:v>
                </c:pt>
                <c:pt idx="144">
                  <c:v>1.2241677511372899</c:v>
                </c:pt>
                <c:pt idx="145">
                  <c:v>1.2239504845471501</c:v>
                </c:pt>
                <c:pt idx="146">
                  <c:v>1.2237170393517001</c:v>
                </c:pt>
                <c:pt idx="147">
                  <c:v>1.2238087692731201</c:v>
                </c:pt>
                <c:pt idx="148">
                  <c:v>1.2237256315535101</c:v>
                </c:pt>
                <c:pt idx="149">
                  <c:v>1.22365797902162</c:v>
                </c:pt>
                <c:pt idx="150">
                  <c:v>1.2238548758204999</c:v>
                </c:pt>
                <c:pt idx="151">
                  <c:v>1.2240357324468001</c:v>
                </c:pt>
                <c:pt idx="152">
                  <c:v>1.22392737258436</c:v>
                </c:pt>
                <c:pt idx="153">
                  <c:v>1.2236600522454499</c:v>
                </c:pt>
                <c:pt idx="154">
                  <c:v>1.2234629379100499</c:v>
                </c:pt>
                <c:pt idx="155">
                  <c:v>1.22335739697248</c:v>
                </c:pt>
                <c:pt idx="156">
                  <c:v>1.22364099105482</c:v>
                </c:pt>
                <c:pt idx="157">
                  <c:v>1.22345700816861</c:v>
                </c:pt>
                <c:pt idx="158">
                  <c:v>1.2234936554671501</c:v>
                </c:pt>
                <c:pt idx="159">
                  <c:v>1.2235360196984899</c:v>
                </c:pt>
                <c:pt idx="160">
                  <c:v>1.22352828258755</c:v>
                </c:pt>
                <c:pt idx="161">
                  <c:v>1.22356778877975</c:v>
                </c:pt>
                <c:pt idx="162">
                  <c:v>1.2236754379166801</c:v>
                </c:pt>
                <c:pt idx="163">
                  <c:v>1.22390447532964</c:v>
                </c:pt>
                <c:pt idx="164">
                  <c:v>1.2240855122874701</c:v>
                </c:pt>
                <c:pt idx="165">
                  <c:v>1.22430422460393</c:v>
                </c:pt>
                <c:pt idx="166">
                  <c:v>1.2244715915133799</c:v>
                </c:pt>
                <c:pt idx="167">
                  <c:v>1.22490315121241</c:v>
                </c:pt>
                <c:pt idx="168">
                  <c:v>1.22524086570779</c:v>
                </c:pt>
                <c:pt idx="169">
                  <c:v>1.2253131846180001</c:v>
                </c:pt>
                <c:pt idx="170">
                  <c:v>1.22571238069037</c:v>
                </c:pt>
                <c:pt idx="171">
                  <c:v>1.2262112881721501</c:v>
                </c:pt>
                <c:pt idx="172">
                  <c:v>1.2265564164878799</c:v>
                </c:pt>
                <c:pt idx="173">
                  <c:v>1.22730150841788</c:v>
                </c:pt>
                <c:pt idx="174">
                  <c:v>1.2284143630153801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53-4893-91CD-8CB3BF458E03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IBMT*/BSMV*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1.22977144653059</c:v>
                </c:pt>
                <c:pt idx="20">
                  <c:v>1.2297869979263201</c:v>
                </c:pt>
                <c:pt idx="21">
                  <c:v>1.22968427470043</c:v>
                </c:pt>
                <c:pt idx="22">
                  <c:v>1.22948752082145</c:v>
                </c:pt>
                <c:pt idx="23">
                  <c:v>1.2294192966540101</c:v>
                </c:pt>
                <c:pt idx="24">
                  <c:v>1.22927043246815</c:v>
                </c:pt>
                <c:pt idx="25">
                  <c:v>1.22913100211849</c:v>
                </c:pt>
                <c:pt idx="26">
                  <c:v>1.2289001063571801</c:v>
                </c:pt>
                <c:pt idx="27">
                  <c:v>1.2287918684731101</c:v>
                </c:pt>
                <c:pt idx="28">
                  <c:v>1.22881943633113</c:v>
                </c:pt>
                <c:pt idx="29">
                  <c:v>1.22859053873469</c:v>
                </c:pt>
                <c:pt idx="30">
                  <c:v>1.2285661326364099</c:v>
                </c:pt>
                <c:pt idx="31">
                  <c:v>1.2285459784755399</c:v>
                </c:pt>
                <c:pt idx="32">
                  <c:v>1.2284141031796301</c:v>
                </c:pt>
                <c:pt idx="33">
                  <c:v>1.2283990808629699</c:v>
                </c:pt>
                <c:pt idx="34">
                  <c:v>1.2283102057620501</c:v>
                </c:pt>
                <c:pt idx="35">
                  <c:v>1.2283951397064901</c:v>
                </c:pt>
                <c:pt idx="36">
                  <c:v>1.22840450537093</c:v>
                </c:pt>
                <c:pt idx="37">
                  <c:v>1.22836201544986</c:v>
                </c:pt>
                <c:pt idx="38">
                  <c:v>1.22836202854484</c:v>
                </c:pt>
                <c:pt idx="39">
                  <c:v>1.22828130248705</c:v>
                </c:pt>
                <c:pt idx="40">
                  <c:v>1.2281159731683899</c:v>
                </c:pt>
                <c:pt idx="41">
                  <c:v>1.2277327593724301</c:v>
                </c:pt>
                <c:pt idx="42">
                  <c:v>1.22748237345699</c:v>
                </c:pt>
                <c:pt idx="43">
                  <c:v>1.2272637926160901</c:v>
                </c:pt>
                <c:pt idx="44">
                  <c:v>1.2271205635823299</c:v>
                </c:pt>
                <c:pt idx="45">
                  <c:v>1.2269127478012301</c:v>
                </c:pt>
                <c:pt idx="46">
                  <c:v>1.22681233110707</c:v>
                </c:pt>
                <c:pt idx="47">
                  <c:v>1.22668440455807</c:v>
                </c:pt>
                <c:pt idx="48">
                  <c:v>1.22653318928667</c:v>
                </c:pt>
                <c:pt idx="49">
                  <c:v>1.22635799821129</c:v>
                </c:pt>
                <c:pt idx="50">
                  <c:v>1.2262407496224199</c:v>
                </c:pt>
                <c:pt idx="51">
                  <c:v>1.22618636395605</c:v>
                </c:pt>
                <c:pt idx="52">
                  <c:v>1.22617101701297</c:v>
                </c:pt>
                <c:pt idx="53">
                  <c:v>1.2260610242948</c:v>
                </c:pt>
                <c:pt idx="54">
                  <c:v>1.22608752409302</c:v>
                </c:pt>
                <c:pt idx="55">
                  <c:v>1.22591486356827</c:v>
                </c:pt>
                <c:pt idx="56">
                  <c:v>1.2257017182005301</c:v>
                </c:pt>
                <c:pt idx="57">
                  <c:v>1.2253929444571501</c:v>
                </c:pt>
                <c:pt idx="58">
                  <c:v>1.2254609273791099</c:v>
                </c:pt>
                <c:pt idx="59">
                  <c:v>1.22552207146014</c:v>
                </c:pt>
                <c:pt idx="60">
                  <c:v>1.2255268939154</c:v>
                </c:pt>
                <c:pt idx="61">
                  <c:v>1.2256845114483601</c:v>
                </c:pt>
                <c:pt idx="62">
                  <c:v>1.22590183019587</c:v>
                </c:pt>
                <c:pt idx="63">
                  <c:v>1.2259749903974499</c:v>
                </c:pt>
                <c:pt idx="64">
                  <c:v>1.2258896870303999</c:v>
                </c:pt>
                <c:pt idx="65">
                  <c:v>1.2258575409921399</c:v>
                </c:pt>
                <c:pt idx="66">
                  <c:v>1.22577284013983</c:v>
                </c:pt>
                <c:pt idx="67">
                  <c:v>1.22561882225276</c:v>
                </c:pt>
                <c:pt idx="68">
                  <c:v>1.2254047929971299</c:v>
                </c:pt>
                <c:pt idx="69">
                  <c:v>1.2252955856848999</c:v>
                </c:pt>
                <c:pt idx="70">
                  <c:v>1.2252154677465401</c:v>
                </c:pt>
                <c:pt idx="71">
                  <c:v>1.2250668324245699</c:v>
                </c:pt>
                <c:pt idx="72">
                  <c:v>1.2248992801190599</c:v>
                </c:pt>
                <c:pt idx="73">
                  <c:v>1.22477194711922</c:v>
                </c:pt>
                <c:pt idx="74">
                  <c:v>1.22455626661424</c:v>
                </c:pt>
                <c:pt idx="75">
                  <c:v>1.22434769287377</c:v>
                </c:pt>
                <c:pt idx="76">
                  <c:v>1.22420821728611</c:v>
                </c:pt>
                <c:pt idx="77">
                  <c:v>1.2242559597036</c:v>
                </c:pt>
                <c:pt idx="78">
                  <c:v>1.2239963326524199</c:v>
                </c:pt>
                <c:pt idx="79">
                  <c:v>1.2238507360941699</c:v>
                </c:pt>
                <c:pt idx="80">
                  <c:v>1.2237085233768801</c:v>
                </c:pt>
                <c:pt idx="81">
                  <c:v>1.22360820281571</c:v>
                </c:pt>
                <c:pt idx="82">
                  <c:v>1.22337428953736</c:v>
                </c:pt>
                <c:pt idx="83">
                  <c:v>1.22319860210013</c:v>
                </c:pt>
                <c:pt idx="84">
                  <c:v>1.22326252907788</c:v>
                </c:pt>
                <c:pt idx="85">
                  <c:v>1.2231191077958901</c:v>
                </c:pt>
                <c:pt idx="86">
                  <c:v>1.2229652000589299</c:v>
                </c:pt>
                <c:pt idx="87">
                  <c:v>1.2228456792176201</c:v>
                </c:pt>
                <c:pt idx="88">
                  <c:v>1.22275514229697</c:v>
                </c:pt>
                <c:pt idx="89">
                  <c:v>1.22271420943845</c:v>
                </c:pt>
                <c:pt idx="90">
                  <c:v>1.22264187450087</c:v>
                </c:pt>
                <c:pt idx="91">
                  <c:v>1.22253536950232</c:v>
                </c:pt>
                <c:pt idx="92">
                  <c:v>1.22247900625934</c:v>
                </c:pt>
                <c:pt idx="93">
                  <c:v>1.2223748567213799</c:v>
                </c:pt>
                <c:pt idx="94">
                  <c:v>1.2223386844147199</c:v>
                </c:pt>
                <c:pt idx="95">
                  <c:v>1.2224340111420999</c:v>
                </c:pt>
                <c:pt idx="96">
                  <c:v>1.22258215847179</c:v>
                </c:pt>
                <c:pt idx="97">
                  <c:v>1.22270697222931</c:v>
                </c:pt>
                <c:pt idx="98">
                  <c:v>1.2229340171410401</c:v>
                </c:pt>
                <c:pt idx="99">
                  <c:v>1.2230819967153199</c:v>
                </c:pt>
                <c:pt idx="100">
                  <c:v>1.2231926384020999</c:v>
                </c:pt>
                <c:pt idx="101">
                  <c:v>1.2231276635119599</c:v>
                </c:pt>
                <c:pt idx="102">
                  <c:v>1.2231286312549099</c:v>
                </c:pt>
                <c:pt idx="103">
                  <c:v>1.2231321783648501</c:v>
                </c:pt>
                <c:pt idx="104">
                  <c:v>1.2230492726267199</c:v>
                </c:pt>
                <c:pt idx="105">
                  <c:v>1.2229823686838299</c:v>
                </c:pt>
                <c:pt idx="106">
                  <c:v>1.2229494792598301</c:v>
                </c:pt>
                <c:pt idx="107">
                  <c:v>1.2230027425533501</c:v>
                </c:pt>
                <c:pt idx="108">
                  <c:v>1.2231030690998901</c:v>
                </c:pt>
                <c:pt idx="109">
                  <c:v>1.22319827537966</c:v>
                </c:pt>
                <c:pt idx="110">
                  <c:v>1.22308143814854</c:v>
                </c:pt>
                <c:pt idx="111">
                  <c:v>1.2230144486866701</c:v>
                </c:pt>
                <c:pt idx="112">
                  <c:v>1.2229838668512401</c:v>
                </c:pt>
                <c:pt idx="113">
                  <c:v>1.2230039638525401</c:v>
                </c:pt>
                <c:pt idx="114">
                  <c:v>1.2229796516740301</c:v>
                </c:pt>
                <c:pt idx="115">
                  <c:v>1.22282665967551</c:v>
                </c:pt>
                <c:pt idx="116">
                  <c:v>1.2226747876292701</c:v>
                </c:pt>
                <c:pt idx="117">
                  <c:v>1.2224756719174299</c:v>
                </c:pt>
                <c:pt idx="118">
                  <c:v>1.22230756934425</c:v>
                </c:pt>
                <c:pt idx="119">
                  <c:v>1.2222027648070799</c:v>
                </c:pt>
                <c:pt idx="120">
                  <c:v>1.2221196842179201</c:v>
                </c:pt>
                <c:pt idx="121">
                  <c:v>1.2222122316828601</c:v>
                </c:pt>
                <c:pt idx="122">
                  <c:v>1.2222949321655101</c:v>
                </c:pt>
                <c:pt idx="123">
                  <c:v>1.22232756455724</c:v>
                </c:pt>
                <c:pt idx="124">
                  <c:v>1.2224593980174601</c:v>
                </c:pt>
                <c:pt idx="125">
                  <c:v>1.22255192617196</c:v>
                </c:pt>
                <c:pt idx="126">
                  <c:v>1.2226732639454201</c:v>
                </c:pt>
                <c:pt idx="127">
                  <c:v>1.2228841488977999</c:v>
                </c:pt>
                <c:pt idx="128">
                  <c:v>1.22301901527618</c:v>
                </c:pt>
                <c:pt idx="129">
                  <c:v>1.2230334097837801</c:v>
                </c:pt>
                <c:pt idx="130">
                  <c:v>1.22319159219732</c:v>
                </c:pt>
                <c:pt idx="131">
                  <c:v>1.2232948481752</c:v>
                </c:pt>
                <c:pt idx="132">
                  <c:v>1.2233196941484401</c:v>
                </c:pt>
                <c:pt idx="133">
                  <c:v>1.2232321644628701</c:v>
                </c:pt>
                <c:pt idx="134">
                  <c:v>1.22331203197997</c:v>
                </c:pt>
                <c:pt idx="135">
                  <c:v>1.22356676362056</c:v>
                </c:pt>
                <c:pt idx="136">
                  <c:v>1.22367302334579</c:v>
                </c:pt>
                <c:pt idx="137">
                  <c:v>1.2238056172188001</c:v>
                </c:pt>
                <c:pt idx="138">
                  <c:v>1.22386861961744</c:v>
                </c:pt>
                <c:pt idx="139">
                  <c:v>1.2239081080958401</c:v>
                </c:pt>
                <c:pt idx="140">
                  <c:v>1.22387282809972</c:v>
                </c:pt>
                <c:pt idx="141">
                  <c:v>1.22387961510993</c:v>
                </c:pt>
                <c:pt idx="142">
                  <c:v>1.2238687948459901</c:v>
                </c:pt>
                <c:pt idx="143">
                  <c:v>1.2239927384459699</c:v>
                </c:pt>
                <c:pt idx="144">
                  <c:v>1.22394050536757</c:v>
                </c:pt>
                <c:pt idx="145">
                  <c:v>1.22396541978754</c:v>
                </c:pt>
                <c:pt idx="146">
                  <c:v>1.2238719969999901</c:v>
                </c:pt>
                <c:pt idx="147">
                  <c:v>1.2237787410479199</c:v>
                </c:pt>
                <c:pt idx="148">
                  <c:v>1.22370894612012</c:v>
                </c:pt>
                <c:pt idx="149">
                  <c:v>1.22369929361798</c:v>
                </c:pt>
                <c:pt idx="150">
                  <c:v>1.22368964111584</c:v>
                </c:pt>
                <c:pt idx="151">
                  <c:v>1.22376642496168</c:v>
                </c:pt>
                <c:pt idx="152">
                  <c:v>1.2237802060910701</c:v>
                </c:pt>
                <c:pt idx="153">
                  <c:v>1.2238958820563599</c:v>
                </c:pt>
                <c:pt idx="154">
                  <c:v>1.2238153445236699</c:v>
                </c:pt>
                <c:pt idx="155">
                  <c:v>1.2236539407598099</c:v>
                </c:pt>
                <c:pt idx="156">
                  <c:v>1.2236790152032599</c:v>
                </c:pt>
                <c:pt idx="157">
                  <c:v>1.2236328887208701</c:v>
                </c:pt>
                <c:pt idx="158">
                  <c:v>1.2236096435103301</c:v>
                </c:pt>
                <c:pt idx="159">
                  <c:v>1.2235969993600599</c:v>
                </c:pt>
                <c:pt idx="160">
                  <c:v>1.2236915792040199</c:v>
                </c:pt>
                <c:pt idx="161">
                  <c:v>1.2238017606132701</c:v>
                </c:pt>
                <c:pt idx="162">
                  <c:v>1.2238014052505199</c:v>
                </c:pt>
                <c:pt idx="163">
                  <c:v>1.22378226378755</c:v>
                </c:pt>
                <c:pt idx="164">
                  <c:v>1.22377422509876</c:v>
                </c:pt>
                <c:pt idx="165">
                  <c:v>1.2238308107882101</c:v>
                </c:pt>
                <c:pt idx="166">
                  <c:v>1.2240562912841</c:v>
                </c:pt>
                <c:pt idx="167">
                  <c:v>1.22418007969051</c:v>
                </c:pt>
                <c:pt idx="168">
                  <c:v>1.22436726058747</c:v>
                </c:pt>
                <c:pt idx="169">
                  <c:v>1.2244246021582501</c:v>
                </c:pt>
                <c:pt idx="170">
                  <c:v>1.2246203316389599</c:v>
                </c:pt>
                <c:pt idx="171">
                  <c:v>1.2248895384759499</c:v>
                </c:pt>
                <c:pt idx="172">
                  <c:v>1.22511592720228</c:v>
                </c:pt>
                <c:pt idx="173">
                  <c:v>1.2256029918737601</c:v>
                </c:pt>
                <c:pt idx="174">
                  <c:v>1.22624993765143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53-4893-91CD-8CB3BF458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BSMV x avg / IBMT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-1.7780950627737499E-3</c:v>
                </c:pt>
                <c:pt idx="2">
                  <c:v>-2.7516436878805401E-3</c:v>
                </c:pt>
                <c:pt idx="3">
                  <c:v>-1.5429134055694399E-3</c:v>
                </c:pt>
                <c:pt idx="4">
                  <c:v>-1.2480658553146501E-3</c:v>
                </c:pt>
                <c:pt idx="5">
                  <c:v>-3.83736947909293E-3</c:v>
                </c:pt>
                <c:pt idx="6">
                  <c:v>-3.83736947909293E-3</c:v>
                </c:pt>
                <c:pt idx="7">
                  <c:v>-2.6907995082709E-3</c:v>
                </c:pt>
                <c:pt idx="8">
                  <c:v>-6.01293750308354E-4</c:v>
                </c:pt>
                <c:pt idx="9">
                  <c:v>-3.83736947909293E-3</c:v>
                </c:pt>
                <c:pt idx="10">
                  <c:v>-7.2074682805819404E-4</c:v>
                </c:pt>
                <c:pt idx="11">
                  <c:v>-2.5740857455745902E-3</c:v>
                </c:pt>
                <c:pt idx="12">
                  <c:v>-3.6333066468445599E-3</c:v>
                </c:pt>
                <c:pt idx="13">
                  <c:v>-2.8681956684337801E-3</c:v>
                </c:pt>
                <c:pt idx="14">
                  <c:v>-2.2198788496977599E-3</c:v>
                </c:pt>
                <c:pt idx="15">
                  <c:v>-1.7491798530098899E-3</c:v>
                </c:pt>
                <c:pt idx="16">
                  <c:v>-2.5137058841325499E-3</c:v>
                </c:pt>
                <c:pt idx="17">
                  <c:v>-2.6302375743752801E-3</c:v>
                </c:pt>
                <c:pt idx="18">
                  <c:v>-3.3841074999207E-4</c:v>
                </c:pt>
                <c:pt idx="19">
                  <c:v>-5.4557247887830195E-4</c:v>
                </c:pt>
                <c:pt idx="20">
                  <c:v>-3.3841074999207E-4</c:v>
                </c:pt>
                <c:pt idx="21">
                  <c:v>-5.4557247887830195E-4</c:v>
                </c:pt>
                <c:pt idx="22">
                  <c:v>1.10560655192474E-5</c:v>
                </c:pt>
                <c:pt idx="23">
                  <c:v>-8.7113407550299695E-4</c:v>
                </c:pt>
                <c:pt idx="24">
                  <c:v>7.4065104393649902E-4</c:v>
                </c:pt>
                <c:pt idx="25">
                  <c:v>-2.0133386542800502E-3</c:v>
                </c:pt>
                <c:pt idx="26">
                  <c:v>-5.2200035997942203E-4</c:v>
                </c:pt>
                <c:pt idx="27">
                  <c:v>-1.3699182993236101E-3</c:v>
                </c:pt>
                <c:pt idx="28">
                  <c:v>-1.4874784260473499E-3</c:v>
                </c:pt>
                <c:pt idx="29">
                  <c:v>-5.5377154215330402E-4</c:v>
                </c:pt>
                <c:pt idx="30">
                  <c:v>-7.5923970367331199E-4</c:v>
                </c:pt>
                <c:pt idx="31">
                  <c:v>-4.66823497274075E-4</c:v>
                </c:pt>
                <c:pt idx="32">
                  <c:v>2.9247798187927599E-4</c:v>
                </c:pt>
                <c:pt idx="33">
                  <c:v>-8.4625814420905097E-4</c:v>
                </c:pt>
                <c:pt idx="34">
                  <c:v>-1.28245667039092E-3</c:v>
                </c:pt>
                <c:pt idx="35">
                  <c:v>-3.6486887499111598E-3</c:v>
                </c:pt>
                <c:pt idx="36">
                  <c:v>-3.1810712524960598E-3</c:v>
                </c:pt>
                <c:pt idx="37">
                  <c:v>-2.4502257422510001E-3</c:v>
                </c:pt>
                <c:pt idx="38">
                  <c:v>-8.4625814420905097E-4</c:v>
                </c:pt>
                <c:pt idx="39">
                  <c:v>2.3162538131993099E-3</c:v>
                </c:pt>
                <c:pt idx="40">
                  <c:v>2.1318052918380399E-3</c:v>
                </c:pt>
                <c:pt idx="41">
                  <c:v>5.4995147323239199E-3</c:v>
                </c:pt>
                <c:pt idx="42">
                  <c:v>3.8769624205712201E-3</c:v>
                </c:pt>
                <c:pt idx="43">
                  <c:v>2.46619331755359E-3</c:v>
                </c:pt>
                <c:pt idx="44">
                  <c:v>2.8502916514478701E-3</c:v>
                </c:pt>
                <c:pt idx="45">
                  <c:v>1.1406228032848601E-3</c:v>
                </c:pt>
                <c:pt idx="46">
                  <c:v>8.7882388110376995E-4</c:v>
                </c:pt>
                <c:pt idx="47">
                  <c:v>4.7510566365132403E-4</c:v>
                </c:pt>
                <c:pt idx="48">
                  <c:v>7.3848611768998905E-4</c:v>
                </c:pt>
                <c:pt idx="49">
                  <c:v>2.0695433892968401E-3</c:v>
                </c:pt>
                <c:pt idx="50">
                  <c:v>9.1369660293762396E-4</c:v>
                </c:pt>
                <c:pt idx="51">
                  <c:v>1.77395237259059E-4</c:v>
                </c:pt>
                <c:pt idx="52">
                  <c:v>2.9914107268731E-4</c:v>
                </c:pt>
                <c:pt idx="53">
                  <c:v>7.0134844668470796E-4</c:v>
                </c:pt>
                <c:pt idx="54">
                  <c:v>-2.10505823761057E-3</c:v>
                </c:pt>
                <c:pt idx="55">
                  <c:v>-1.2359259082116299E-3</c:v>
                </c:pt>
                <c:pt idx="56">
                  <c:v>-9.7795675863735605E-5</c:v>
                </c:pt>
                <c:pt idx="57">
                  <c:v>2.1947199977297499E-3</c:v>
                </c:pt>
                <c:pt idx="58">
                  <c:v>-2.3771343280992799E-3</c:v>
                </c:pt>
                <c:pt idx="59">
                  <c:v>-1.14620820331746E-3</c:v>
                </c:pt>
                <c:pt idx="60">
                  <c:v>-3.9848088555626601E-4</c:v>
                </c:pt>
                <c:pt idx="61">
                  <c:v>2.47096154239664E-3</c:v>
                </c:pt>
                <c:pt idx="62">
                  <c:v>-1.3118239375391899E-4</c:v>
                </c:pt>
                <c:pt idx="63">
                  <c:v>8.2484062361232104E-4</c:v>
                </c:pt>
                <c:pt idx="64">
                  <c:v>3.8154031235589601E-3</c:v>
                </c:pt>
                <c:pt idx="65">
                  <c:v>1.2306608430478099E-3</c:v>
                </c:pt>
                <c:pt idx="66">
                  <c:v>1.8309259011739E-3</c:v>
                </c:pt>
                <c:pt idx="67">
                  <c:v>2.5695056459639201E-3</c:v>
                </c:pt>
                <c:pt idx="68">
                  <c:v>3.8207741797335699E-3</c:v>
                </c:pt>
                <c:pt idx="69">
                  <c:v>3.4326507516128299E-3</c:v>
                </c:pt>
                <c:pt idx="70">
                  <c:v>1.79401122943353E-3</c:v>
                </c:pt>
                <c:pt idx="71">
                  <c:v>2.1816832637518001E-3</c:v>
                </c:pt>
                <c:pt idx="72">
                  <c:v>2.6184308637782101E-3</c:v>
                </c:pt>
                <c:pt idx="73">
                  <c:v>-5.3697927824781602E-5</c:v>
                </c:pt>
                <c:pt idx="74">
                  <c:v>1.01911773850875E-3</c:v>
                </c:pt>
                <c:pt idx="75">
                  <c:v>1.79401122943353E-3</c:v>
                </c:pt>
                <c:pt idx="76">
                  <c:v>1.79401122943353E-3</c:v>
                </c:pt>
                <c:pt idx="77">
                  <c:v>1.01911773850875E-3</c:v>
                </c:pt>
                <c:pt idx="78">
                  <c:v>1.4942899973902099E-3</c:v>
                </c:pt>
                <c:pt idx="79">
                  <c:v>8.4298880872931802E-4</c:v>
                </c:pt>
                <c:pt idx="80">
                  <c:v>1.53060548013154E-3</c:v>
                </c:pt>
                <c:pt idx="81">
                  <c:v>1.70628510885124E-3</c:v>
                </c:pt>
                <c:pt idx="82">
                  <c:v>3.3855317331209999E-3</c:v>
                </c:pt>
                <c:pt idx="83">
                  <c:v>3.3855317331209999E-3</c:v>
                </c:pt>
                <c:pt idx="84">
                  <c:v>2.4326969778490299E-3</c:v>
                </c:pt>
                <c:pt idx="85">
                  <c:v>3.25847789235938E-3</c:v>
                </c:pt>
                <c:pt idx="86">
                  <c:v>4.0354787084516701E-3</c:v>
                </c:pt>
                <c:pt idx="87">
                  <c:v>4.2090483061415001E-3</c:v>
                </c:pt>
                <c:pt idx="88">
                  <c:v>4.9860491222337598E-3</c:v>
                </c:pt>
                <c:pt idx="89">
                  <c:v>3.7745611097450898E-3</c:v>
                </c:pt>
                <c:pt idx="90">
                  <c:v>2.6464959185770599E-3</c:v>
                </c:pt>
                <c:pt idx="91">
                  <c:v>3.6002394338867801E-3</c:v>
                </c:pt>
                <c:pt idx="92">
                  <c:v>3.2028947052739698E-3</c:v>
                </c:pt>
                <c:pt idx="93">
                  <c:v>1.19754286956709E-3</c:v>
                </c:pt>
                <c:pt idx="94">
                  <c:v>1.1446850036975001E-3</c:v>
                </c:pt>
                <c:pt idx="95">
                  <c:v>-2.4303361005620499E-4</c:v>
                </c:pt>
                <c:pt idx="96">
                  <c:v>-1.11469415592822E-3</c:v>
                </c:pt>
                <c:pt idx="97">
                  <c:v>-1.50554817692903E-3</c:v>
                </c:pt>
                <c:pt idx="98">
                  <c:v>-2.7056627103868702E-3</c:v>
                </c:pt>
                <c:pt idx="99">
                  <c:v>-2.04597474518669E-3</c:v>
                </c:pt>
                <c:pt idx="100">
                  <c:v>-7.3097454824824499E-4</c:v>
                </c:pt>
                <c:pt idx="101">
                  <c:v>2.34496830015057E-3</c:v>
                </c:pt>
                <c:pt idx="102">
                  <c:v>2.82172635447322E-3</c:v>
                </c:pt>
                <c:pt idx="103">
                  <c:v>2.7828536265560901E-3</c:v>
                </c:pt>
                <c:pt idx="104">
                  <c:v>3.25847789235938E-3</c:v>
                </c:pt>
                <c:pt idx="105">
                  <c:v>3.8207741797335699E-3</c:v>
                </c:pt>
                <c:pt idx="106">
                  <c:v>4.0354787084516701E-3</c:v>
                </c:pt>
                <c:pt idx="107">
                  <c:v>2.7828536265560901E-3</c:v>
                </c:pt>
                <c:pt idx="108">
                  <c:v>2.7828536265560901E-3</c:v>
                </c:pt>
                <c:pt idx="109">
                  <c:v>1.65509196199449E-3</c:v>
                </c:pt>
                <c:pt idx="110">
                  <c:v>4.0354787084516701E-3</c:v>
                </c:pt>
                <c:pt idx="111">
                  <c:v>4.16374188912675E-3</c:v>
                </c:pt>
                <c:pt idx="112">
                  <c:v>3.1712785683206401E-3</c:v>
                </c:pt>
                <c:pt idx="113">
                  <c:v>2.8702037659515999E-3</c:v>
                </c:pt>
                <c:pt idx="114">
                  <c:v>3.55985444264839E-3</c:v>
                </c:pt>
                <c:pt idx="115">
                  <c:v>4.2957207571725602E-3</c:v>
                </c:pt>
                <c:pt idx="116">
                  <c:v>8.7809114590213999E-4</c:v>
                </c:pt>
                <c:pt idx="117">
                  <c:v>1.2665160876666501E-3</c:v>
                </c:pt>
                <c:pt idx="118">
                  <c:v>-4.6392649581544201E-4</c:v>
                </c:pt>
                <c:pt idx="119">
                  <c:v>-8.5204992393619796E-4</c:v>
                </c:pt>
                <c:pt idx="120">
                  <c:v>1.0169359137357E-4</c:v>
                </c:pt>
                <c:pt idx="121">
                  <c:v>2.7873311766578697E-4</c:v>
                </c:pt>
                <c:pt idx="122">
                  <c:v>-1.0617736719245299E-3</c:v>
                </c:pt>
                <c:pt idx="123">
                  <c:v>1.65509196199449E-3</c:v>
                </c:pt>
                <c:pt idx="124">
                  <c:v>4.8981701949421096E-4</c:v>
                </c:pt>
                <c:pt idx="125">
                  <c:v>1.70628510885124E-3</c:v>
                </c:pt>
                <c:pt idx="126">
                  <c:v>1.4426517747662599E-3</c:v>
                </c:pt>
                <c:pt idx="127">
                  <c:v>-1.2982706413801799E-3</c:v>
                </c:pt>
                <c:pt idx="128">
                  <c:v>-4.2237416955734502E-5</c:v>
                </c:pt>
                <c:pt idx="129">
                  <c:v>8.2484062361232104E-4</c:v>
                </c:pt>
                <c:pt idx="130">
                  <c:v>8.2484062361232104E-4</c:v>
                </c:pt>
                <c:pt idx="131">
                  <c:v>1.8679828391635199E-3</c:v>
                </c:pt>
                <c:pt idx="132">
                  <c:v>2.1692828338823701E-3</c:v>
                </c:pt>
                <c:pt idx="133">
                  <c:v>3.7281296031734098E-3</c:v>
                </c:pt>
                <c:pt idx="134">
                  <c:v>1.6403943873824101E-3</c:v>
                </c:pt>
                <c:pt idx="135">
                  <c:v>-3.06743838121128E-3</c:v>
                </c:pt>
                <c:pt idx="136">
                  <c:v>-1.50554817692903E-3</c:v>
                </c:pt>
                <c:pt idx="137">
                  <c:v>-1.5648692891890199E-3</c:v>
                </c:pt>
                <c:pt idx="138">
                  <c:v>-2.16874143121464E-3</c:v>
                </c:pt>
                <c:pt idx="139">
                  <c:v>-2.16874143121464E-3</c:v>
                </c:pt>
                <c:pt idx="140">
                  <c:v>3.7052223067409898E-5</c:v>
                </c:pt>
                <c:pt idx="141">
                  <c:v>-4.7890029914667698E-4</c:v>
                </c:pt>
                <c:pt idx="142">
                  <c:v>-1.53404000897363E-3</c:v>
                </c:pt>
                <c:pt idx="143">
                  <c:v>-2.98366577623816E-3</c:v>
                </c:pt>
                <c:pt idx="144">
                  <c:v>-1.23177757044105E-3</c:v>
                </c:pt>
                <c:pt idx="145">
                  <c:v>6.9872495961692299E-4</c:v>
                </c:pt>
                <c:pt idx="146">
                  <c:v>2.40988360674432E-3</c:v>
                </c:pt>
                <c:pt idx="147">
                  <c:v>-3.3252751456566801E-4</c:v>
                </c:pt>
                <c:pt idx="148">
                  <c:v>5.3943904332564001E-4</c:v>
                </c:pt>
                <c:pt idx="149">
                  <c:v>4.1568200096479498E-4</c:v>
                </c:pt>
                <c:pt idx="150">
                  <c:v>4.1568200096479498E-4</c:v>
                </c:pt>
                <c:pt idx="151">
                  <c:v>2.4980687145295001E-5</c:v>
                </c:pt>
                <c:pt idx="152">
                  <c:v>1.3749146884250399E-3</c:v>
                </c:pt>
                <c:pt idx="153">
                  <c:v>1.25015047999079E-3</c:v>
                </c:pt>
                <c:pt idx="154">
                  <c:v>2.4213393704536098E-3</c:v>
                </c:pt>
                <c:pt idx="155">
                  <c:v>1.58870266332832E-3</c:v>
                </c:pt>
                <c:pt idx="156">
                  <c:v>5.8785345054898202E-5</c:v>
                </c:pt>
                <c:pt idx="157">
                  <c:v>1.19754286956709E-3</c:v>
                </c:pt>
                <c:pt idx="158">
                  <c:v>2.37389171223551E-4</c:v>
                </c:pt>
                <c:pt idx="159">
                  <c:v>5.8785345054898202E-5</c:v>
                </c:pt>
                <c:pt idx="160">
                  <c:v>-2.16703612757817E-3</c:v>
                </c:pt>
                <c:pt idx="161">
                  <c:v>-2.94889699618032E-3</c:v>
                </c:pt>
                <c:pt idx="162">
                  <c:v>-2.16703612757817E-3</c:v>
                </c:pt>
                <c:pt idx="163">
                  <c:v>-3.3122749145291001E-3</c:v>
                </c:pt>
                <c:pt idx="164">
                  <c:v>-1.74549041853569E-3</c:v>
                </c:pt>
                <c:pt idx="165">
                  <c:v>-2.8926113430762499E-3</c:v>
                </c:pt>
                <c:pt idx="166">
                  <c:v>-1.86595334593059E-3</c:v>
                </c:pt>
                <c:pt idx="167">
                  <c:v>-2.9272712032099202E-3</c:v>
                </c:pt>
                <c:pt idx="168">
                  <c:v>-3.1102838756255002E-3</c:v>
                </c:pt>
                <c:pt idx="169">
                  <c:v>-1.07793124053403E-3</c:v>
                </c:pt>
                <c:pt idx="170">
                  <c:v>-3.3854077838439802E-3</c:v>
                </c:pt>
                <c:pt idx="171">
                  <c:v>-5.0072411113685203E-3</c:v>
                </c:pt>
                <c:pt idx="172">
                  <c:v>-2.9690300874187798E-3</c:v>
                </c:pt>
                <c:pt idx="173">
                  <c:v>-7.4146889044884702E-3</c:v>
                </c:pt>
                <c:pt idx="174">
                  <c:v>-8.8914304970019297E-3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E-4932-BDAE-25E9FFBBCB63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BSMV x 10 dma / IBMT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1.45738331228189E-3</c:v>
                </c:pt>
                <c:pt idx="11">
                  <c:v>-2.8878024224795697E-4</c:v>
                </c:pt>
                <c:pt idx="12">
                  <c:v>-1.26841393322808E-3</c:v>
                </c:pt>
                <c:pt idx="13">
                  <c:v>-4.1506755384032102E-4</c:v>
                </c:pt>
                <c:pt idx="14">
                  <c:v>3.65735917708382E-4</c:v>
                </c:pt>
                <c:pt idx="15">
                  <c:v>9.3352877540984298E-4</c:v>
                </c:pt>
                <c:pt idx="16">
                  <c:v>-3.9861156373050498E-5</c:v>
                </c:pt>
                <c:pt idx="17">
                  <c:v>-2.8886090242341599E-4</c:v>
                </c:pt>
                <c:pt idx="18">
                  <c:v>1.9969077771253801E-3</c:v>
                </c:pt>
                <c:pt idx="19">
                  <c:v>1.7635063980997799E-3</c:v>
                </c:pt>
                <c:pt idx="20">
                  <c:v>1.6414728113818E-3</c:v>
                </c:pt>
                <c:pt idx="21">
                  <c:v>1.3961321558438201E-3</c:v>
                </c:pt>
                <c:pt idx="22">
                  <c:v>1.74996622656398E-3</c:v>
                </c:pt>
                <c:pt idx="23">
                  <c:v>5.0324686114650995E-4</c:v>
                </c:pt>
                <c:pt idx="24">
                  <c:v>1.9152068886348799E-3</c:v>
                </c:pt>
                <c:pt idx="25">
                  <c:v>-1.13475096340595E-3</c:v>
                </c:pt>
                <c:pt idx="26">
                  <c:v>3.8302936124007302E-4</c:v>
                </c:pt>
                <c:pt idx="27">
                  <c:v>-6.64201118667486E-4</c:v>
                </c:pt>
                <c:pt idx="28">
                  <c:v>-9.0796438093077904E-4</c:v>
                </c:pt>
                <c:pt idx="29">
                  <c:v>1.40680991025805E-4</c:v>
                </c:pt>
                <c:pt idx="30">
                  <c:v>-6.3967383200873301E-5</c:v>
                </c:pt>
                <c:pt idx="31">
                  <c:v>2.70524671209782E-4</c:v>
                </c:pt>
                <c:pt idx="32">
                  <c:v>1.02195304128153E-3</c:v>
                </c:pt>
                <c:pt idx="33">
                  <c:v>-1.4490088267791001E-4</c:v>
                </c:pt>
                <c:pt idx="34">
                  <c:v>-5.8358739650991203E-4</c:v>
                </c:pt>
                <c:pt idx="35">
                  <c:v>-2.7476156783764099E-3</c:v>
                </c:pt>
                <c:pt idx="36">
                  <c:v>-2.11616065762748E-3</c:v>
                </c:pt>
                <c:pt idx="37">
                  <c:v>-1.11923413091277E-3</c:v>
                </c:pt>
                <c:pt idx="38">
                  <c:v>5.9282095162004999E-4</c:v>
                </c:pt>
                <c:pt idx="39">
                  <c:v>3.6912262772937601E-3</c:v>
                </c:pt>
                <c:pt idx="40">
                  <c:v>3.2203809235390999E-3</c:v>
                </c:pt>
                <c:pt idx="41">
                  <c:v>6.2994567777726598E-3</c:v>
                </c:pt>
                <c:pt idx="42">
                  <c:v>4.08206821323323E-3</c:v>
                </c:pt>
                <c:pt idx="43">
                  <c:v>2.3136063560156598E-3</c:v>
                </c:pt>
                <c:pt idx="44">
                  <c:v>2.3666222732425398E-3</c:v>
                </c:pt>
                <c:pt idx="45">
                  <c:v>2.4371699482475401E-4</c:v>
                </c:pt>
                <c:pt idx="46">
                  <c:v>-4.9816002072667405E-4</c:v>
                </c:pt>
                <c:pt idx="47">
                  <c:v>-1.3089785688358601E-3</c:v>
                </c:pt>
                <c:pt idx="48">
                  <c:v>-1.3389863165574199E-3</c:v>
                </c:pt>
                <c:pt idx="49">
                  <c:v>-1.66754225823273E-4</c:v>
                </c:pt>
                <c:pt idx="50">
                  <c:v>-1.2979292033591099E-3</c:v>
                </c:pt>
                <c:pt idx="51">
                  <c:v>-1.9123431798269599E-3</c:v>
                </c:pt>
                <c:pt idx="52">
                  <c:v>-1.25892445709196E-3</c:v>
                </c:pt>
                <c:pt idx="53">
                  <c:v>-4.9918824799091005E-4</c:v>
                </c:pt>
                <c:pt idx="54">
                  <c:v>-3.1291936038641398E-3</c:v>
                </c:pt>
                <c:pt idx="55">
                  <c:v>-1.76432571991567E-3</c:v>
                </c:pt>
                <c:pt idx="56">
                  <c:v>-3.8843188761150498E-4</c:v>
                </c:pt>
                <c:pt idx="57">
                  <c:v>2.0017312241101298E-3</c:v>
                </c:pt>
                <c:pt idx="58">
                  <c:v>-2.7419030547991001E-3</c:v>
                </c:pt>
                <c:pt idx="59">
                  <c:v>-1.1990942628429999E-3</c:v>
                </c:pt>
                <c:pt idx="60">
                  <c:v>-1.2997472645245999E-4</c:v>
                </c:pt>
                <c:pt idx="61">
                  <c:v>2.87060784317454E-3</c:v>
                </c:pt>
                <c:pt idx="62">
                  <c:v>3.9476040648368202E-5</c:v>
                </c:pt>
                <c:pt idx="63">
                  <c:v>1.03851952333125E-3</c:v>
                </c:pt>
                <c:pt idx="64">
                  <c:v>4.0167447859723697E-3</c:v>
                </c:pt>
                <c:pt idx="65">
                  <c:v>8.40405721485614E-4</c:v>
                </c:pt>
                <c:pt idx="66">
                  <c:v>1.19388466455639E-3</c:v>
                </c:pt>
                <c:pt idx="67">
                  <c:v>1.73961789174527E-3</c:v>
                </c:pt>
                <c:pt idx="68">
                  <c:v>2.9534652903513E-3</c:v>
                </c:pt>
                <c:pt idx="69">
                  <c:v>1.94526763369054E-3</c:v>
                </c:pt>
                <c:pt idx="70">
                  <c:v>-1.51520732250831E-4</c:v>
                </c:pt>
                <c:pt idx="71">
                  <c:v>1.66042052667642E-5</c:v>
                </c:pt>
                <c:pt idx="72">
                  <c:v>4.8227455094825098E-4</c:v>
                </c:pt>
                <c:pt idx="73">
                  <c:v>-2.4650990508350299E-3</c:v>
                </c:pt>
                <c:pt idx="74">
                  <c:v>-1.30425524376429E-3</c:v>
                </c:pt>
                <c:pt idx="75">
                  <c:v>-2.4979845707764599E-4</c:v>
                </c:pt>
                <c:pt idx="76">
                  <c:v>-3.0616503357358598E-4</c:v>
                </c:pt>
                <c:pt idx="77">
                  <c:v>-1.07736600192494E-3</c:v>
                </c:pt>
                <c:pt idx="78">
                  <c:v>-4.4712010583591698E-4</c:v>
                </c:pt>
                <c:pt idx="79">
                  <c:v>-8.6596638857446104E-4</c:v>
                </c:pt>
                <c:pt idx="80">
                  <c:v>8.0472014596856802E-5</c:v>
                </c:pt>
                <c:pt idx="81">
                  <c:v>2.8248628334742298E-4</c:v>
                </c:pt>
                <c:pt idx="82">
                  <c:v>2.0092468716630899E-3</c:v>
                </c:pt>
                <c:pt idx="83">
                  <c:v>1.93265845603509E-3</c:v>
                </c:pt>
                <c:pt idx="84">
                  <c:v>6.3591469807248004E-4</c:v>
                </c:pt>
                <c:pt idx="85">
                  <c:v>1.32031766440067E-3</c:v>
                </c:pt>
                <c:pt idx="86">
                  <c:v>1.9509471870375701E-3</c:v>
                </c:pt>
                <c:pt idx="87">
                  <c:v>1.9005309193988399E-3</c:v>
                </c:pt>
                <c:pt idx="88">
                  <c:v>2.3585851438893599E-3</c:v>
                </c:pt>
                <c:pt idx="89">
                  <c:v>7.9807401665828496E-4</c:v>
                </c:pt>
                <c:pt idx="90">
                  <c:v>-6.2338735611289805E-4</c:v>
                </c:pt>
                <c:pt idx="91">
                  <c:v>2.1862896663830901E-4</c:v>
                </c:pt>
                <c:pt idx="92">
                  <c:v>-3.6826718261174498E-4</c:v>
                </c:pt>
                <c:pt idx="93">
                  <c:v>-2.3553504235715502E-3</c:v>
                </c:pt>
                <c:pt idx="94">
                  <c:v>-2.1891571954133701E-3</c:v>
                </c:pt>
                <c:pt idx="95">
                  <c:v>-3.4478837515070902E-3</c:v>
                </c:pt>
                <c:pt idx="96">
                  <c:v>-3.9688597091179301E-3</c:v>
                </c:pt>
                <c:pt idx="97">
                  <c:v>-3.84411050209266E-3</c:v>
                </c:pt>
                <c:pt idx="98">
                  <c:v>-4.4723639508958196E-3</c:v>
                </c:pt>
                <c:pt idx="99">
                  <c:v>-3.0433168948654499E-3</c:v>
                </c:pt>
                <c:pt idx="100">
                  <c:v>-1.14635421693046E-3</c:v>
                </c:pt>
                <c:pt idx="101">
                  <c:v>2.2670957387479198E-3</c:v>
                </c:pt>
                <c:pt idx="102">
                  <c:v>2.8690102404202002E-3</c:v>
                </c:pt>
                <c:pt idx="103">
                  <c:v>2.86813718198729E-3</c:v>
                </c:pt>
                <c:pt idx="104">
                  <c:v>3.1855465273575999E-3</c:v>
                </c:pt>
                <c:pt idx="105">
                  <c:v>3.5368907117505699E-3</c:v>
                </c:pt>
                <c:pt idx="106">
                  <c:v>3.34574297310906E-3</c:v>
                </c:pt>
                <c:pt idx="107">
                  <c:v>1.5783643216807099E-3</c:v>
                </c:pt>
                <c:pt idx="108">
                  <c:v>1.1491890078643601E-3</c:v>
                </c:pt>
                <c:pt idx="109">
                  <c:v>-5.2845229137943902E-4</c:v>
                </c:pt>
                <c:pt idx="110">
                  <c:v>1.48087721278456E-3</c:v>
                </c:pt>
                <c:pt idx="111">
                  <c:v>1.1319504844399301E-3</c:v>
                </c:pt>
                <c:pt idx="112">
                  <c:v>-4.2366279870013802E-5</c:v>
                </c:pt>
                <c:pt idx="113">
                  <c:v>-3.7840450609945899E-4</c:v>
                </c:pt>
                <c:pt idx="114">
                  <c:v>3.0250743082286998E-4</c:v>
                </c:pt>
                <c:pt idx="115">
                  <c:v>1.0082402113199601E-3</c:v>
                </c:pt>
                <c:pt idx="116">
                  <c:v>-2.45684859110319E-3</c:v>
                </c:pt>
                <c:pt idx="117">
                  <c:v>-1.75245729515821E-3</c:v>
                </c:pt>
                <c:pt idx="118">
                  <c:v>-3.3311267856490599E-3</c:v>
                </c:pt>
                <c:pt idx="119">
                  <c:v>-3.3940699972229201E-3</c:v>
                </c:pt>
                <c:pt idx="120">
                  <c:v>-2.1891065576369701E-3</c:v>
                </c:pt>
                <c:pt idx="121">
                  <c:v>-1.6186782295356699E-3</c:v>
                </c:pt>
                <c:pt idx="122">
                  <c:v>-2.5708850822929799E-3</c:v>
                </c:pt>
                <c:pt idx="123">
                  <c:v>5.6938881813017601E-4</c:v>
                </c:pt>
                <c:pt idx="124">
                  <c:v>-4.7452522885554302E-4</c:v>
                </c:pt>
                <c:pt idx="125">
                  <c:v>1.0485743041333899E-3</c:v>
                </c:pt>
                <c:pt idx="126">
                  <c:v>1.0432451736116801E-3</c:v>
                </c:pt>
                <c:pt idx="127">
                  <c:v>-1.7540919527120401E-3</c:v>
                </c:pt>
                <c:pt idx="128">
                  <c:v>-2.41491891971761E-4</c:v>
                </c:pt>
                <c:pt idx="129">
                  <c:v>5.8339727161151999E-4</c:v>
                </c:pt>
                <c:pt idx="130">
                  <c:v>4.15651354431733E-4</c:v>
                </c:pt>
                <c:pt idx="131">
                  <c:v>1.386480161149E-3</c:v>
                </c:pt>
                <c:pt idx="132">
                  <c:v>1.5289365847884701E-3</c:v>
                </c:pt>
                <c:pt idx="133">
                  <c:v>2.7645973645045899E-3</c:v>
                </c:pt>
                <c:pt idx="134">
                  <c:v>4.69894859121234E-4</c:v>
                </c:pt>
                <c:pt idx="135">
                  <c:v>-4.35301440066755E-3</c:v>
                </c:pt>
                <c:pt idx="136">
                  <c:v>-2.3129262378648401E-3</c:v>
                </c:pt>
                <c:pt idx="137">
                  <c:v>-2.0772233654436198E-3</c:v>
                </c:pt>
                <c:pt idx="138">
                  <c:v>-2.6543841242048899E-3</c:v>
                </c:pt>
                <c:pt idx="139">
                  <c:v>-2.4414177373891801E-3</c:v>
                </c:pt>
                <c:pt idx="140">
                  <c:v>6.3972266152724294E-5</c:v>
                </c:pt>
                <c:pt idx="141">
                  <c:v>-3.7324057595347198E-4</c:v>
                </c:pt>
                <c:pt idx="142">
                  <c:v>-1.19390713181527E-3</c:v>
                </c:pt>
                <c:pt idx="143">
                  <c:v>-2.27351237690327E-3</c:v>
                </c:pt>
                <c:pt idx="144">
                  <c:v>1.4860588907493599E-4</c:v>
                </c:pt>
                <c:pt idx="145">
                  <c:v>2.3658298146661001E-3</c:v>
                </c:pt>
                <c:pt idx="146">
                  <c:v>3.70048280283623E-3</c:v>
                </c:pt>
                <c:pt idx="147">
                  <c:v>5.6713362139594397E-4</c:v>
                </c:pt>
                <c:pt idx="148">
                  <c:v>1.31585235611033E-3</c:v>
                </c:pt>
                <c:pt idx="149">
                  <c:v>9.2123014716838001E-4</c:v>
                </c:pt>
                <c:pt idx="150">
                  <c:v>6.6265841007571904E-4</c:v>
                </c:pt>
                <c:pt idx="151">
                  <c:v>2.3411132005258801E-4</c:v>
                </c:pt>
                <c:pt idx="152">
                  <c:v>1.53365505421543E-3</c:v>
                </c:pt>
                <c:pt idx="153">
                  <c:v>1.11797599338592E-3</c:v>
                </c:pt>
                <c:pt idx="154">
                  <c:v>1.8652699701172E-3</c:v>
                </c:pt>
                <c:pt idx="155">
                  <c:v>6.6726876978903801E-4</c:v>
                </c:pt>
                <c:pt idx="156">
                  <c:v>-9.5163050034997095E-4</c:v>
                </c:pt>
                <c:pt idx="157">
                  <c:v>4.2215664326799901E-4</c:v>
                </c:pt>
                <c:pt idx="158">
                  <c:v>-6.9106829505029103E-4</c:v>
                </c:pt>
                <c:pt idx="159">
                  <c:v>-8.3945127414008895E-4</c:v>
                </c:pt>
                <c:pt idx="160">
                  <c:v>-3.0295601199234602E-3</c:v>
                </c:pt>
                <c:pt idx="161">
                  <c:v>-3.5527332475948099E-3</c:v>
                </c:pt>
                <c:pt idx="162">
                  <c:v>-2.47291391790073E-3</c:v>
                </c:pt>
                <c:pt idx="163">
                  <c:v>-3.2637715279546699E-3</c:v>
                </c:pt>
                <c:pt idx="164">
                  <c:v>-1.24039984276631E-3</c:v>
                </c:pt>
                <c:pt idx="165">
                  <c:v>-1.97127525140564E-3</c:v>
                </c:pt>
                <c:pt idx="166">
                  <c:v>-4.96706507903748E-4</c:v>
                </c:pt>
                <c:pt idx="167">
                  <c:v>-1.36565857693613E-3</c:v>
                </c:pt>
                <c:pt idx="168">
                  <c:v>-1.1365617743239E-3</c:v>
                </c:pt>
                <c:pt idx="169">
                  <c:v>1.23032254601473E-3</c:v>
                </c:pt>
                <c:pt idx="170">
                  <c:v>-9.6369304483104605E-4</c:v>
                </c:pt>
                <c:pt idx="171">
                  <c:v>-2.4636534261882402E-3</c:v>
                </c:pt>
                <c:pt idx="172">
                  <c:v>-2.19333718678864E-4</c:v>
                </c:pt>
                <c:pt idx="173">
                  <c:v>-4.5848109202077797E-3</c:v>
                </c:pt>
                <c:pt idx="174">
                  <c:v>-5.6503546717067699E-3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E-4932-BDAE-25E9FFBBCB63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BSMV x 20 dma / IBMT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1.7406010135782299E-3</c:v>
                </c:pt>
                <c:pt idx="21">
                  <c:v>1.56794734784066E-3</c:v>
                </c:pt>
                <c:pt idx="22">
                  <c:v>2.0630064846184201E-3</c:v>
                </c:pt>
                <c:pt idx="23">
                  <c:v>1.04276591204545E-3</c:v>
                </c:pt>
                <c:pt idx="24">
                  <c:v>2.6209852358784601E-3</c:v>
                </c:pt>
                <c:pt idx="25">
                  <c:v>-2.32283638143578E-4</c:v>
                </c:pt>
                <c:pt idx="26">
                  <c:v>1.1677445120439999E-3</c:v>
                </c:pt>
                <c:pt idx="27">
                  <c:v>1.53963049689414E-4</c:v>
                </c:pt>
                <c:pt idx="28">
                  <c:v>-2.9676783807467801E-5</c:v>
                </c:pt>
                <c:pt idx="29">
                  <c:v>9.4832004016848605E-4</c:v>
                </c:pt>
                <c:pt idx="30">
                  <c:v>5.78544515490749E-4</c:v>
                </c:pt>
                <c:pt idx="31">
                  <c:v>8.7288421363025703E-4</c:v>
                </c:pt>
                <c:pt idx="32">
                  <c:v>1.5267979620003601E-3</c:v>
                </c:pt>
                <c:pt idx="33">
                  <c:v>1.9166757498876699E-4</c:v>
                </c:pt>
                <c:pt idx="34">
                  <c:v>-3.4571582638724099E-4</c:v>
                </c:pt>
                <c:pt idx="35">
                  <c:v>-2.75885830550743E-3</c:v>
                </c:pt>
                <c:pt idx="36">
                  <c:v>-2.19609789921514E-3</c:v>
                </c:pt>
                <c:pt idx="37">
                  <c:v>-1.4318224752402401E-3</c:v>
                </c:pt>
                <c:pt idx="38">
                  <c:v>1.63130782770463E-4</c:v>
                </c:pt>
                <c:pt idx="39">
                  <c:v>3.35102420025715E-3</c:v>
                </c:pt>
                <c:pt idx="40">
                  <c:v>3.0237486038616301E-3</c:v>
                </c:pt>
                <c:pt idx="41">
                  <c:v>6.2681603290393201E-3</c:v>
                </c:pt>
                <c:pt idx="42">
                  <c:v>4.3442872169940404E-3</c:v>
                </c:pt>
                <c:pt idx="43">
                  <c:v>2.7406696201395498E-3</c:v>
                </c:pt>
                <c:pt idx="44">
                  <c:v>2.9580663989834501E-3</c:v>
                </c:pt>
                <c:pt idx="45">
                  <c:v>1.1431105257743599E-3</c:v>
                </c:pt>
                <c:pt idx="46">
                  <c:v>7.2353258352921305E-4</c:v>
                </c:pt>
                <c:pt idx="47">
                  <c:v>2.4977231477559599E-4</c:v>
                </c:pt>
                <c:pt idx="48">
                  <c:v>4.2083521451722098E-4</c:v>
                </c:pt>
                <c:pt idx="49">
                  <c:v>1.64051097184647E-3</c:v>
                </c:pt>
                <c:pt idx="50">
                  <c:v>3.5353293121337203E-4</c:v>
                </c:pt>
                <c:pt idx="51">
                  <c:v>-4.6645916727583301E-4</c:v>
                </c:pt>
                <c:pt idx="52">
                  <c:v>-3.7695019928261198E-4</c:v>
                </c:pt>
                <c:pt idx="53">
                  <c:v>2.4923893402316199E-5</c:v>
                </c:pt>
                <c:pt idx="54">
                  <c:v>-2.8589240969047898E-3</c:v>
                </c:pt>
                <c:pt idx="55">
                  <c:v>-1.94856174371016E-3</c:v>
                </c:pt>
                <c:pt idx="56">
                  <c:v>-9.3145821374710403E-4</c:v>
                </c:pt>
                <c:pt idx="57">
                  <c:v>1.2064999427379901E-3</c:v>
                </c:pt>
                <c:pt idx="58">
                  <c:v>-3.59788823936898E-3</c:v>
                </c:pt>
                <c:pt idx="59">
                  <c:v>-2.2902041300061301E-3</c:v>
                </c:pt>
                <c:pt idx="60">
                  <c:v>-1.3692718275291E-3</c:v>
                </c:pt>
                <c:pt idx="61">
                  <c:v>1.6266901135767501E-3</c:v>
                </c:pt>
                <c:pt idx="62">
                  <c:v>-8.2451238067111205E-4</c:v>
                </c:pt>
                <c:pt idx="63">
                  <c:v>3.3166172683139202E-4</c:v>
                </c:pt>
                <c:pt idx="64">
                  <c:v>3.4041939958707199E-3</c:v>
                </c:pt>
                <c:pt idx="65">
                  <c:v>7.7133576190919096E-4</c:v>
                </c:pt>
                <c:pt idx="66">
                  <c:v>1.3671021765462399E-3</c:v>
                </c:pt>
                <c:pt idx="67">
                  <c:v>2.0581180870829002E-3</c:v>
                </c:pt>
                <c:pt idx="68">
                  <c:v>3.2047669400193401E-3</c:v>
                </c:pt>
                <c:pt idx="69">
                  <c:v>2.6627733855933201E-3</c:v>
                </c:pt>
                <c:pt idx="70">
                  <c:v>9.5611107361803999E-4</c:v>
                </c:pt>
                <c:pt idx="71">
                  <c:v>1.2997891116938701E-3</c:v>
                </c:pt>
                <c:pt idx="72">
                  <c:v>1.63634709870154E-3</c:v>
                </c:pt>
                <c:pt idx="73">
                  <c:v>-1.15169765907707E-3</c:v>
                </c:pt>
                <c:pt idx="74">
                  <c:v>-4.1101148628266302E-5</c:v>
                </c:pt>
                <c:pt idx="75">
                  <c:v>5.7732060569541503E-4</c:v>
                </c:pt>
                <c:pt idx="76">
                  <c:v>4.2567007511027998E-4</c:v>
                </c:pt>
                <c:pt idx="77">
                  <c:v>-4.4386747565671602E-4</c:v>
                </c:pt>
                <c:pt idx="78">
                  <c:v>9.0074712756461604E-5</c:v>
                </c:pt>
                <c:pt idx="79">
                  <c:v>-7.5517421211040796E-4</c:v>
                </c:pt>
                <c:pt idx="80">
                  <c:v>-1.6719655601968899E-4</c:v>
                </c:pt>
                <c:pt idx="81">
                  <c:v>-8.8085146097021194E-5</c:v>
                </c:pt>
                <c:pt idx="82">
                  <c:v>1.62938332155325E-3</c:v>
                </c:pt>
                <c:pt idx="83">
                  <c:v>1.45350938002248E-3</c:v>
                </c:pt>
                <c:pt idx="84">
                  <c:v>3.7265400904467699E-4</c:v>
                </c:pt>
                <c:pt idx="85">
                  <c:v>1.2674943303506701E-3</c:v>
                </c:pt>
                <c:pt idx="86">
                  <c:v>1.9431248468361501E-3</c:v>
                </c:pt>
                <c:pt idx="87">
                  <c:v>2.00655336233637E-3</c:v>
                </c:pt>
                <c:pt idx="88">
                  <c:v>2.70167091518722E-3</c:v>
                </c:pt>
                <c:pt idx="89">
                  <c:v>1.43204079417447E-3</c:v>
                </c:pt>
                <c:pt idx="90">
                  <c:v>2.86901484578909E-4</c:v>
                </c:pt>
                <c:pt idx="91">
                  <c:v>1.19801391573728E-3</c:v>
                </c:pt>
                <c:pt idx="92">
                  <c:v>7.2977351612641198E-4</c:v>
                </c:pt>
                <c:pt idx="93">
                  <c:v>-1.30478915513788E-3</c:v>
                </c:pt>
                <c:pt idx="94">
                  <c:v>-1.4203319166257E-3</c:v>
                </c:pt>
                <c:pt idx="95">
                  <c:v>-2.8143382318572998E-3</c:v>
                </c:pt>
                <c:pt idx="96">
                  <c:v>-3.5839686511639499E-3</c:v>
                </c:pt>
                <c:pt idx="97">
                  <c:v>-3.8290879200446599E-3</c:v>
                </c:pt>
                <c:pt idx="98">
                  <c:v>-4.9026527057549497E-3</c:v>
                </c:pt>
                <c:pt idx="99">
                  <c:v>-4.0323997398112503E-3</c:v>
                </c:pt>
                <c:pt idx="100">
                  <c:v>-2.5725874964256002E-3</c:v>
                </c:pt>
                <c:pt idx="101">
                  <c:v>6.1659112072344902E-4</c:v>
                </c:pt>
                <c:pt idx="102">
                  <c:v>1.0614239963384099E-3</c:v>
                </c:pt>
                <c:pt idx="103">
                  <c:v>1.05070329813739E-3</c:v>
                </c:pt>
                <c:pt idx="104">
                  <c:v>1.55642030214771E-3</c:v>
                </c:pt>
                <c:pt idx="105">
                  <c:v>2.07747388042589E-3</c:v>
                </c:pt>
                <c:pt idx="106">
                  <c:v>2.2641136586255902E-3</c:v>
                </c:pt>
                <c:pt idx="107">
                  <c:v>1.01148857673017E-3</c:v>
                </c:pt>
                <c:pt idx="108">
                  <c:v>1.0826729092984499E-3</c:v>
                </c:pt>
                <c:pt idx="109">
                  <c:v>6.48246448867677E-5</c:v>
                </c:pt>
                <c:pt idx="110">
                  <c:v>2.55106015992101E-3</c:v>
                </c:pt>
                <c:pt idx="111">
                  <c:v>2.6100006102520402E-3</c:v>
                </c:pt>
                <c:pt idx="112">
                  <c:v>1.5894272936360101E-3</c:v>
                </c:pt>
                <c:pt idx="113">
                  <c:v>1.28993076133795E-3</c:v>
                </c:pt>
                <c:pt idx="114">
                  <c:v>1.8959828165755401E-3</c:v>
                </c:pt>
                <c:pt idx="115">
                  <c:v>2.5111664492567902E-3</c:v>
                </c:pt>
                <c:pt idx="116">
                  <c:v>-1.1333719525004201E-3</c:v>
                </c:pt>
                <c:pt idx="117">
                  <c:v>-8.4480371218110205E-4</c:v>
                </c:pt>
                <c:pt idx="118">
                  <c:v>-2.7141687488085198E-3</c:v>
                </c:pt>
                <c:pt idx="119">
                  <c:v>-3.2148160241522099E-3</c:v>
                </c:pt>
                <c:pt idx="120">
                  <c:v>-2.3209985320713799E-3</c:v>
                </c:pt>
                <c:pt idx="121">
                  <c:v>-2.1857074060229E-3</c:v>
                </c:pt>
                <c:pt idx="122">
                  <c:v>-3.4227886219678799E-3</c:v>
                </c:pt>
                <c:pt idx="123">
                  <c:v>-5.1147897625313204E-4</c:v>
                </c:pt>
                <c:pt idx="124">
                  <c:v>-1.6203703768816601E-3</c:v>
                </c:pt>
                <c:pt idx="125">
                  <c:v>-2.6544610557174603E-4</c:v>
                </c:pt>
                <c:pt idx="126">
                  <c:v>-4.2344422535152198E-4</c:v>
                </c:pt>
                <c:pt idx="127">
                  <c:v>-3.0348467701158698E-3</c:v>
                </c:pt>
                <c:pt idx="128">
                  <c:v>-1.57457505778551E-3</c:v>
                </c:pt>
                <c:pt idx="129">
                  <c:v>-5.6622950752121604E-4</c:v>
                </c:pt>
                <c:pt idx="130">
                  <c:v>-5.2471152811063202E-4</c:v>
                </c:pt>
                <c:pt idx="131">
                  <c:v>6.7877642620439097E-4</c:v>
                </c:pt>
                <c:pt idx="132">
                  <c:v>1.0946483482615901E-3</c:v>
                </c:pt>
                <c:pt idx="133">
                  <c:v>2.70351377762304E-3</c:v>
                </c:pt>
                <c:pt idx="134">
                  <c:v>5.7297881167993098E-4</c:v>
                </c:pt>
                <c:pt idx="135">
                  <c:v>-4.0390325164583298E-3</c:v>
                </c:pt>
                <c:pt idx="136">
                  <c:v>-2.1089197028853301E-3</c:v>
                </c:pt>
                <c:pt idx="137">
                  <c:v>-2.0489565834881001E-3</c:v>
                </c:pt>
                <c:pt idx="138">
                  <c:v>-2.5111797629414501E-3</c:v>
                </c:pt>
                <c:pt idx="139">
                  <c:v>-2.4258011383651201E-3</c:v>
                </c:pt>
                <c:pt idx="140">
                  <c:v>-1.54058616063907E-4</c:v>
                </c:pt>
                <c:pt idx="141">
                  <c:v>-6.6677868159726401E-4</c:v>
                </c:pt>
                <c:pt idx="142">
                  <c:v>-1.68402652753164E-3</c:v>
                </c:pt>
                <c:pt idx="143">
                  <c:v>-3.1100050429943098E-3</c:v>
                </c:pt>
                <c:pt idx="144">
                  <c:v>-1.1260222295316599E-3</c:v>
                </c:pt>
                <c:pt idx="145">
                  <c:v>8.9057916756068902E-4</c:v>
                </c:pt>
                <c:pt idx="146">
                  <c:v>2.6520443627930301E-3</c:v>
                </c:pt>
                <c:pt idx="147">
                  <c:v>-1.38624761362786E-4</c:v>
                </c:pt>
                <c:pt idx="148">
                  <c:v>6.8502345137981795E-4</c:v>
                </c:pt>
                <c:pt idx="149">
                  <c:v>5.3219362513974805E-4</c:v>
                </c:pt>
                <c:pt idx="150">
                  <c:v>5.5263628016350298E-4</c:v>
                </c:pt>
                <c:pt idx="151">
                  <c:v>1.8237720347399799E-4</c:v>
                </c:pt>
                <c:pt idx="152">
                  <c:v>1.6243554228047899E-3</c:v>
                </c:pt>
                <c:pt idx="153">
                  <c:v>1.53922862588645E-3</c:v>
                </c:pt>
                <c:pt idx="154">
                  <c:v>2.8339651311798798E-3</c:v>
                </c:pt>
                <c:pt idx="155">
                  <c:v>1.96237571045608E-3</c:v>
                </c:pt>
                <c:pt idx="156">
                  <c:v>1.9953885403018999E-4</c:v>
                </c:pt>
                <c:pt idx="157">
                  <c:v>1.26003104731526E-3</c:v>
                </c:pt>
                <c:pt idx="158">
                  <c:v>1.6173041748179299E-4</c:v>
                </c:pt>
                <c:pt idx="159">
                  <c:v>-1.37312565002585E-4</c:v>
                </c:pt>
                <c:pt idx="160">
                  <c:v>-2.4746560453104902E-3</c:v>
                </c:pt>
                <c:pt idx="161">
                  <c:v>-3.1461671910420798E-3</c:v>
                </c:pt>
                <c:pt idx="162">
                  <c:v>-2.24057785609061E-3</c:v>
                </c:pt>
                <c:pt idx="163">
                  <c:v>-3.3541063839825302E-3</c:v>
                </c:pt>
                <c:pt idx="164">
                  <c:v>-1.77083907326394E-3</c:v>
                </c:pt>
                <c:pt idx="165">
                  <c:v>-2.89223576891831E-3</c:v>
                </c:pt>
                <c:pt idx="166">
                  <c:v>-1.6858300004757101E-3</c:v>
                </c:pt>
                <c:pt idx="167">
                  <c:v>-2.53347530792329E-3</c:v>
                </c:pt>
                <c:pt idx="168">
                  <c:v>-2.5865987277007801E-3</c:v>
                </c:pt>
                <c:pt idx="169">
                  <c:v>-3.71637459817514E-4</c:v>
                </c:pt>
                <c:pt idx="170">
                  <c:v>-2.6044641331104301E-3</c:v>
                </c:pt>
                <c:pt idx="171">
                  <c:v>-4.03612711031713E-3</c:v>
                </c:pt>
                <c:pt idx="172">
                  <c:v>-1.7459537319840001E-3</c:v>
                </c:pt>
                <c:pt idx="173">
                  <c:v>-5.9745312137910499E-3</c:v>
                </c:pt>
                <c:pt idx="174">
                  <c:v>-7.0174115948506803E-3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FE-4932-BDAE-25E9FFBBC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4.6761749741509997E-4</c:v>
                </c:pt>
                <c:pt idx="17">
                  <c:v>1.1984630076602399E-3</c:v>
                </c:pt>
                <c:pt idx="18">
                  <c:v>1.1984630076602399E-3</c:v>
                </c:pt>
                <c:pt idx="19">
                  <c:v>1.1984630076602399E-3</c:v>
                </c:pt>
                <c:pt idx="20">
                  <c:v>1.1984630076602399E-3</c:v>
                </c:pt>
                <c:pt idx="21">
                  <c:v>1.1984630076602399E-3</c:v>
                </c:pt>
                <c:pt idx="22">
                  <c:v>1.1984630076602399E-3</c:v>
                </c:pt>
                <c:pt idx="23">
                  <c:v>1.1984630076602399E-3</c:v>
                </c:pt>
                <c:pt idx="24">
                  <c:v>1.1984630076602399E-3</c:v>
                </c:pt>
                <c:pt idx="25">
                  <c:v>1.1984630076602399E-3</c:v>
                </c:pt>
                <c:pt idx="26">
                  <c:v>1.1984630076602399E-3</c:v>
                </c:pt>
                <c:pt idx="27">
                  <c:v>1.1984630076602399E-3</c:v>
                </c:pt>
                <c:pt idx="28">
                  <c:v>1.1984630076602399E-3</c:v>
                </c:pt>
                <c:pt idx="29">
                  <c:v>1.1984630076602399E-3</c:v>
                </c:pt>
                <c:pt idx="30">
                  <c:v>1.1984630076602399E-3</c:v>
                </c:pt>
                <c:pt idx="31">
                  <c:v>1.1984630076602399E-3</c:v>
                </c:pt>
                <c:pt idx="32">
                  <c:v>1.1984630076602399E-3</c:v>
                </c:pt>
                <c:pt idx="33">
                  <c:v>1.1984630076602399E-3</c:v>
                </c:pt>
                <c:pt idx="34">
                  <c:v>1.1984630076602399E-3</c:v>
                </c:pt>
                <c:pt idx="35">
                  <c:v>1.1984630076602399E-3</c:v>
                </c:pt>
                <c:pt idx="36">
                  <c:v>1.1984630076602399E-3</c:v>
                </c:pt>
                <c:pt idx="37">
                  <c:v>1.1984630076602399E-3</c:v>
                </c:pt>
                <c:pt idx="38">
                  <c:v>1.1984630076602399E-3</c:v>
                </c:pt>
                <c:pt idx="39">
                  <c:v>2.42938913244208E-3</c:v>
                </c:pt>
                <c:pt idx="40">
                  <c:v>3.1771164502031601E-3</c:v>
                </c:pt>
                <c:pt idx="41">
                  <c:v>3.1771164502031601E-3</c:v>
                </c:pt>
                <c:pt idx="42">
                  <c:v>3.1771164502031601E-3</c:v>
                </c:pt>
                <c:pt idx="43">
                  <c:v>4.133139467569334E-3</c:v>
                </c:pt>
                <c:pt idx="44">
                  <c:v>4.133139467569334E-3</c:v>
                </c:pt>
                <c:pt idx="45">
                  <c:v>4.133139467569334E-3</c:v>
                </c:pt>
                <c:pt idx="46">
                  <c:v>4.133139467569334E-3</c:v>
                </c:pt>
                <c:pt idx="47">
                  <c:v>4.133139467569334E-3</c:v>
                </c:pt>
                <c:pt idx="48">
                  <c:v>4.133139467569334E-3</c:v>
                </c:pt>
                <c:pt idx="49">
                  <c:v>4.133139467569334E-3</c:v>
                </c:pt>
                <c:pt idx="50">
                  <c:v>4.133139467569334E-3</c:v>
                </c:pt>
                <c:pt idx="51">
                  <c:v>4.133139467569334E-3</c:v>
                </c:pt>
                <c:pt idx="52">
                  <c:v>4.133139467569334E-3</c:v>
                </c:pt>
                <c:pt idx="53">
                  <c:v>4.133139467569334E-3</c:v>
                </c:pt>
                <c:pt idx="54">
                  <c:v>4.133139467569334E-3</c:v>
                </c:pt>
                <c:pt idx="55">
                  <c:v>4.133139467569334E-3</c:v>
                </c:pt>
                <c:pt idx="56">
                  <c:v>4.133139467569334E-3</c:v>
                </c:pt>
                <c:pt idx="57">
                  <c:v>4.133139467569334E-3</c:v>
                </c:pt>
                <c:pt idx="58">
                  <c:v>4.133139467569334E-3</c:v>
                </c:pt>
                <c:pt idx="59">
                  <c:v>4.133139467569334E-3</c:v>
                </c:pt>
                <c:pt idx="60">
                  <c:v>4.133139467569334E-3</c:v>
                </c:pt>
                <c:pt idx="61">
                  <c:v>4.133139467569334E-3</c:v>
                </c:pt>
                <c:pt idx="62">
                  <c:v>4.133139467569334E-3</c:v>
                </c:pt>
                <c:pt idx="63">
                  <c:v>4.133139467569334E-3</c:v>
                </c:pt>
                <c:pt idx="64">
                  <c:v>4.133139467569334E-3</c:v>
                </c:pt>
                <c:pt idx="65">
                  <c:v>4.133139467569334E-3</c:v>
                </c:pt>
                <c:pt idx="66">
                  <c:v>4.133139467569334E-3</c:v>
                </c:pt>
                <c:pt idx="67">
                  <c:v>4.133139467569334E-3</c:v>
                </c:pt>
                <c:pt idx="68">
                  <c:v>4.133139467569334E-3</c:v>
                </c:pt>
                <c:pt idx="69">
                  <c:v>4.133139467569334E-3</c:v>
                </c:pt>
                <c:pt idx="70">
                  <c:v>4.133139467569334E-3</c:v>
                </c:pt>
                <c:pt idx="71">
                  <c:v>4.133139467569334E-3</c:v>
                </c:pt>
                <c:pt idx="72">
                  <c:v>4.133139467569334E-3</c:v>
                </c:pt>
                <c:pt idx="73">
                  <c:v>4.133139467569334E-3</c:v>
                </c:pt>
                <c:pt idx="74">
                  <c:v>4.133139467569334E-3</c:v>
                </c:pt>
                <c:pt idx="75">
                  <c:v>4.133139467569334E-3</c:v>
                </c:pt>
                <c:pt idx="76">
                  <c:v>3.2614789216973269E-3</c:v>
                </c:pt>
                <c:pt idx="77">
                  <c:v>2.8706249006964419E-3</c:v>
                </c:pt>
                <c:pt idx="78">
                  <c:v>1.670510367238612E-3</c:v>
                </c:pt>
                <c:pt idx="79">
                  <c:v>2.3301983324386759E-3</c:v>
                </c:pt>
                <c:pt idx="80">
                  <c:v>3.6451985293771859E-3</c:v>
                </c:pt>
                <c:pt idx="81">
                  <c:v>6.7211413777760456E-3</c:v>
                </c:pt>
                <c:pt idx="82">
                  <c:v>6.7211413777760456E-3</c:v>
                </c:pt>
                <c:pt idx="83">
                  <c:v>6.7211413777760456E-3</c:v>
                </c:pt>
                <c:pt idx="84">
                  <c:v>6.7211413777760456E-3</c:v>
                </c:pt>
                <c:pt idx="85">
                  <c:v>6.7211413777760456E-3</c:v>
                </c:pt>
                <c:pt idx="86">
                  <c:v>6.7211413777760456E-3</c:v>
                </c:pt>
                <c:pt idx="87">
                  <c:v>6.7211413777760456E-3</c:v>
                </c:pt>
                <c:pt idx="88">
                  <c:v>6.7211413777760456E-3</c:v>
                </c:pt>
                <c:pt idx="89">
                  <c:v>6.7211413777760456E-3</c:v>
                </c:pt>
                <c:pt idx="90">
                  <c:v>6.7211413777760456E-3</c:v>
                </c:pt>
                <c:pt idx="91">
                  <c:v>6.7211413777760456E-3</c:v>
                </c:pt>
                <c:pt idx="92">
                  <c:v>6.7211413777760456E-3</c:v>
                </c:pt>
                <c:pt idx="93">
                  <c:v>6.7211413777760456E-3</c:v>
                </c:pt>
                <c:pt idx="94">
                  <c:v>6.7211413777760456E-3</c:v>
                </c:pt>
                <c:pt idx="95">
                  <c:v>6.7211413777760456E-3</c:v>
                </c:pt>
                <c:pt idx="96">
                  <c:v>6.7211413777760456E-3</c:v>
                </c:pt>
                <c:pt idx="97">
                  <c:v>6.7211413777760456E-3</c:v>
                </c:pt>
                <c:pt idx="98">
                  <c:v>6.7211413777760456E-3</c:v>
                </c:pt>
                <c:pt idx="99">
                  <c:v>6.7211413777760456E-3</c:v>
                </c:pt>
                <c:pt idx="100">
                  <c:v>7.6748848930856808E-3</c:v>
                </c:pt>
                <c:pt idx="101">
                  <c:v>7.8519244193777354E-3</c:v>
                </c:pt>
                <c:pt idx="102">
                  <c:v>6.5114176297874898E-3</c:v>
                </c:pt>
                <c:pt idx="103">
                  <c:v>6.5114176297874898E-3</c:v>
                </c:pt>
                <c:pt idx="104">
                  <c:v>6.5114176297874898E-3</c:v>
                </c:pt>
                <c:pt idx="105">
                  <c:v>7.7278857191445099E-3</c:v>
                </c:pt>
                <c:pt idx="106">
                  <c:v>7.4642523850594602E-3</c:v>
                </c:pt>
                <c:pt idx="107">
                  <c:v>4.7233299689130401E-3</c:v>
                </c:pt>
                <c:pt idx="108">
                  <c:v>5.9793631933374516E-3</c:v>
                </c:pt>
                <c:pt idx="109">
                  <c:v>6.8464412339054523E-3</c:v>
                </c:pt>
                <c:pt idx="110">
                  <c:v>6.8464412339054523E-3</c:v>
                </c:pt>
                <c:pt idx="111">
                  <c:v>7.8895834494566355E-3</c:v>
                </c:pt>
                <c:pt idx="112">
                  <c:v>7.8895834494566355E-3</c:v>
                </c:pt>
                <c:pt idx="113">
                  <c:v>7.8895834494566355E-3</c:v>
                </c:pt>
                <c:pt idx="114">
                  <c:v>7.8895834494566355E-3</c:v>
                </c:pt>
                <c:pt idx="115">
                  <c:v>7.8895834494566355E-3</c:v>
                </c:pt>
                <c:pt idx="116">
                  <c:v>9.4514736537389052E-3</c:v>
                </c:pt>
                <c:pt idx="117">
                  <c:v>9.3921525414788244E-3</c:v>
                </c:pt>
                <c:pt idx="118">
                  <c:v>8.7882803994533045E-3</c:v>
                </c:pt>
                <c:pt idx="119">
                  <c:v>8.7882803994533045E-3</c:v>
                </c:pt>
                <c:pt idx="120">
                  <c:v>1.0994074053735464E-2</c:v>
                </c:pt>
                <c:pt idx="121">
                  <c:v>1.0994074053735464E-2</c:v>
                </c:pt>
                <c:pt idx="122">
                  <c:v>1.0994074053735464E-2</c:v>
                </c:pt>
                <c:pt idx="123">
                  <c:v>1.0994074053735464E-2</c:v>
                </c:pt>
                <c:pt idx="124">
                  <c:v>1.2745962259532524E-2</c:v>
                </c:pt>
                <c:pt idx="125">
                  <c:v>1.2745962259532524E-2</c:v>
                </c:pt>
                <c:pt idx="126">
                  <c:v>1.2745962259532524E-2</c:v>
                </c:pt>
                <c:pt idx="127">
                  <c:v>1.2745962259532524E-2</c:v>
                </c:pt>
                <c:pt idx="128">
                  <c:v>1.2745962259532524E-2</c:v>
                </c:pt>
                <c:pt idx="129">
                  <c:v>1.2745962259532524E-2</c:v>
                </c:pt>
                <c:pt idx="130">
                  <c:v>1.2745962259532524E-2</c:v>
                </c:pt>
                <c:pt idx="131">
                  <c:v>1.2745962259532524E-2</c:v>
                </c:pt>
                <c:pt idx="132">
                  <c:v>1.2745962259532524E-2</c:v>
                </c:pt>
                <c:pt idx="133">
                  <c:v>1.2745962259532524E-2</c:v>
                </c:pt>
                <c:pt idx="134">
                  <c:v>1.2745962259532524E-2</c:v>
                </c:pt>
                <c:pt idx="135">
                  <c:v>1.2745962259532524E-2</c:v>
                </c:pt>
                <c:pt idx="136">
                  <c:v>1.2745962259532524E-2</c:v>
                </c:pt>
                <c:pt idx="137">
                  <c:v>1.2745962259532524E-2</c:v>
                </c:pt>
                <c:pt idx="138">
                  <c:v>1.2745962259532524E-2</c:v>
                </c:pt>
                <c:pt idx="139">
                  <c:v>1.2745962259532524E-2</c:v>
                </c:pt>
                <c:pt idx="140">
                  <c:v>1.2745962259532524E-2</c:v>
                </c:pt>
                <c:pt idx="141">
                  <c:v>1.2745962259532524E-2</c:v>
                </c:pt>
                <c:pt idx="142">
                  <c:v>1.3527823128134685E-2</c:v>
                </c:pt>
                <c:pt idx="143">
                  <c:v>1.3527823128134685E-2</c:v>
                </c:pt>
                <c:pt idx="144">
                  <c:v>1.5094607624128075E-2</c:v>
                </c:pt>
                <c:pt idx="145">
                  <c:v>1.5094607624128075E-2</c:v>
                </c:pt>
                <c:pt idx="146">
                  <c:v>1.5094607624128075E-2</c:v>
                </c:pt>
                <c:pt idx="147">
                  <c:v>1.4033289766848599E-2</c:v>
                </c:pt>
                <c:pt idx="148">
                  <c:v>1.3850277094433025E-2</c:v>
                </c:pt>
                <c:pt idx="149">
                  <c:v>1.5882629729524565E-2</c:v>
                </c:pt>
                <c:pt idx="150">
                  <c:v>1.3575153186214595E-2</c:v>
                </c:pt>
                <c:pt idx="151">
                  <c:v>1.1953319858690047E-2</c:v>
                </c:pt>
                <c:pt idx="152">
                  <c:v>1.3991530882639807E-2</c:v>
                </c:pt>
                <c:pt idx="153">
                  <c:v>9.5458720655700359E-3</c:v>
                </c:pt>
                <c:pt idx="154">
                  <c:v>8.0691304730565253E-3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9-48C3-811C-C92BF46B2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1.8444852136118017E-4</c:v>
                </c:pt>
                <c:pt idx="21">
                  <c:v>-3.1832609191245909E-3</c:v>
                </c:pt>
                <c:pt idx="22">
                  <c:v>-1.5607086073719781E-3</c:v>
                </c:pt>
                <c:pt idx="23">
                  <c:v>-1.4993950435415802E-4</c:v>
                </c:pt>
                <c:pt idx="24">
                  <c:v>-5.3403783824859598E-4</c:v>
                </c:pt>
                <c:pt idx="25">
                  <c:v>1.175631009914473E-3</c:v>
                </c:pt>
                <c:pt idx="26">
                  <c:v>1.4374299320957431E-3</c:v>
                </c:pt>
                <c:pt idx="27">
                  <c:v>1.4374299320957431E-3</c:v>
                </c:pt>
                <c:pt idx="28">
                  <c:v>1.4374299320957431E-3</c:v>
                </c:pt>
                <c:pt idx="29">
                  <c:v>1.4374299320957431E-3</c:v>
                </c:pt>
                <c:pt idx="30">
                  <c:v>1.4374299320957431E-3</c:v>
                </c:pt>
                <c:pt idx="31">
                  <c:v>1.4374299320957431E-3</c:v>
                </c:pt>
                <c:pt idx="32">
                  <c:v>1.4374299320957431E-3</c:v>
                </c:pt>
                <c:pt idx="33">
                  <c:v>1.4374299320957431E-3</c:v>
                </c:pt>
                <c:pt idx="34">
                  <c:v>1.4374299320957431E-3</c:v>
                </c:pt>
                <c:pt idx="35">
                  <c:v>1.4374299320957431E-3</c:v>
                </c:pt>
                <c:pt idx="36">
                  <c:v>1.4374299320957431E-3</c:v>
                </c:pt>
                <c:pt idx="37">
                  <c:v>1.4374299320957431E-3</c:v>
                </c:pt>
                <c:pt idx="38">
                  <c:v>6.0092842579248127E-3</c:v>
                </c:pt>
                <c:pt idx="39">
                  <c:v>6.0092842579248127E-3</c:v>
                </c:pt>
                <c:pt idx="40">
                  <c:v>6.0092842579248127E-3</c:v>
                </c:pt>
                <c:pt idx="41">
                  <c:v>6.0092842579248127E-3</c:v>
                </c:pt>
                <c:pt idx="42">
                  <c:v>6.0092842579248127E-3</c:v>
                </c:pt>
                <c:pt idx="43">
                  <c:v>6.0092842579248127E-3</c:v>
                </c:pt>
                <c:pt idx="44">
                  <c:v>6.0092842579248127E-3</c:v>
                </c:pt>
                <c:pt idx="45">
                  <c:v>8.5940265384360729E-3</c:v>
                </c:pt>
                <c:pt idx="46">
                  <c:v>8.5940265384360729E-3</c:v>
                </c:pt>
                <c:pt idx="47">
                  <c:v>8.5940265384360729E-3</c:v>
                </c:pt>
                <c:pt idx="48">
                  <c:v>8.5940265384360729E-3</c:v>
                </c:pt>
                <c:pt idx="49">
                  <c:v>8.9821499665567843E-3</c:v>
                </c:pt>
                <c:pt idx="50">
                  <c:v>1.0620789488736205E-2</c:v>
                </c:pt>
                <c:pt idx="51">
                  <c:v>1.0620789488736205E-2</c:v>
                </c:pt>
                <c:pt idx="52">
                  <c:v>1.0620789488736205E-2</c:v>
                </c:pt>
                <c:pt idx="53">
                  <c:v>1.0620789488736205E-2</c:v>
                </c:pt>
                <c:pt idx="54">
                  <c:v>1.0620789488736205E-2</c:v>
                </c:pt>
                <c:pt idx="55">
                  <c:v>1.0620789488736205E-2</c:v>
                </c:pt>
                <c:pt idx="56">
                  <c:v>1.0620789488736205E-2</c:v>
                </c:pt>
                <c:pt idx="57">
                  <c:v>1.1395682979660995E-2</c:v>
                </c:pt>
                <c:pt idx="58">
                  <c:v>1.0920510720779609E-2</c:v>
                </c:pt>
                <c:pt idx="59">
                  <c:v>1.1571811909440372E-2</c:v>
                </c:pt>
                <c:pt idx="60">
                  <c:v>1.0884195238038272E-2</c:v>
                </c:pt>
                <c:pt idx="61">
                  <c:v>1.0708515609318648E-2</c:v>
                </c:pt>
                <c:pt idx="62">
                  <c:v>1.0708515609318648E-2</c:v>
                </c:pt>
                <c:pt idx="63">
                  <c:v>1.0708515609318648E-2</c:v>
                </c:pt>
                <c:pt idx="64">
                  <c:v>1.0708515609318648E-2</c:v>
                </c:pt>
                <c:pt idx="65">
                  <c:v>1.0708515609318648E-2</c:v>
                </c:pt>
                <c:pt idx="66">
                  <c:v>1.0708515609318648E-2</c:v>
                </c:pt>
                <c:pt idx="67">
                  <c:v>1.0708515609318648E-2</c:v>
                </c:pt>
                <c:pt idx="68">
                  <c:v>1.0708515609318648E-2</c:v>
                </c:pt>
                <c:pt idx="69">
                  <c:v>1.0708515609318648E-2</c:v>
                </c:pt>
                <c:pt idx="70">
                  <c:v>1.0708515609318648E-2</c:v>
                </c:pt>
                <c:pt idx="71">
                  <c:v>1.0708515609318648E-2</c:v>
                </c:pt>
                <c:pt idx="72">
                  <c:v>1.0708515609318648E-2</c:v>
                </c:pt>
                <c:pt idx="73">
                  <c:v>1.0708515609318648E-2</c:v>
                </c:pt>
                <c:pt idx="74">
                  <c:v>1.0708515609318648E-2</c:v>
                </c:pt>
                <c:pt idx="75">
                  <c:v>1.0708515609318648E-2</c:v>
                </c:pt>
                <c:pt idx="76">
                  <c:v>1.0708515609318648E-2</c:v>
                </c:pt>
                <c:pt idx="77">
                  <c:v>1.0708515609318648E-2</c:v>
                </c:pt>
                <c:pt idx="78">
                  <c:v>1.0708515609318648E-2</c:v>
                </c:pt>
                <c:pt idx="79">
                  <c:v>1.0708515609318648E-2</c:v>
                </c:pt>
                <c:pt idx="80">
                  <c:v>1.0708515609318648E-2</c:v>
                </c:pt>
                <c:pt idx="81">
                  <c:v>1.0708515609318648E-2</c:v>
                </c:pt>
                <c:pt idx="82">
                  <c:v>1.0708515609318648E-2</c:v>
                </c:pt>
                <c:pt idx="83">
                  <c:v>1.0708515609318648E-2</c:v>
                </c:pt>
                <c:pt idx="84">
                  <c:v>1.0708515609318648E-2</c:v>
                </c:pt>
                <c:pt idx="85">
                  <c:v>1.0708515609318648E-2</c:v>
                </c:pt>
                <c:pt idx="86">
                  <c:v>1.0708515609318648E-2</c:v>
                </c:pt>
                <c:pt idx="87">
                  <c:v>1.0708515609318648E-2</c:v>
                </c:pt>
                <c:pt idx="88">
                  <c:v>1.0708515609318648E-2</c:v>
                </c:pt>
                <c:pt idx="89">
                  <c:v>1.0708515609318648E-2</c:v>
                </c:pt>
                <c:pt idx="90">
                  <c:v>1.0708515609318648E-2</c:v>
                </c:pt>
                <c:pt idx="91">
                  <c:v>1.0708515609318648E-2</c:v>
                </c:pt>
                <c:pt idx="92">
                  <c:v>1.0708515609318648E-2</c:v>
                </c:pt>
                <c:pt idx="93">
                  <c:v>1.0708515609318648E-2</c:v>
                </c:pt>
                <c:pt idx="94">
                  <c:v>1.0708515609318648E-2</c:v>
                </c:pt>
                <c:pt idx="95">
                  <c:v>1.0708515609318648E-2</c:v>
                </c:pt>
                <c:pt idx="96">
                  <c:v>1.0708515609318648E-2</c:v>
                </c:pt>
                <c:pt idx="97">
                  <c:v>1.0708515609318648E-2</c:v>
                </c:pt>
                <c:pt idx="98">
                  <c:v>1.0708515609318648E-2</c:v>
                </c:pt>
                <c:pt idx="99">
                  <c:v>1.0708515609318648E-2</c:v>
                </c:pt>
                <c:pt idx="100">
                  <c:v>1.0708515609318648E-2</c:v>
                </c:pt>
                <c:pt idx="101">
                  <c:v>1.0708515609318648E-2</c:v>
                </c:pt>
                <c:pt idx="102">
                  <c:v>1.0708515609318648E-2</c:v>
                </c:pt>
                <c:pt idx="103">
                  <c:v>1.0708515609318648E-2</c:v>
                </c:pt>
                <c:pt idx="104">
                  <c:v>1.0708515609318648E-2</c:v>
                </c:pt>
                <c:pt idx="105">
                  <c:v>1.0708515609318648E-2</c:v>
                </c:pt>
                <c:pt idx="106">
                  <c:v>1.0708515609318648E-2</c:v>
                </c:pt>
                <c:pt idx="107">
                  <c:v>1.0708515609318648E-2</c:v>
                </c:pt>
                <c:pt idx="108">
                  <c:v>1.0708515609318648E-2</c:v>
                </c:pt>
                <c:pt idx="109">
                  <c:v>1.0708515609318648E-2</c:v>
                </c:pt>
                <c:pt idx="110">
                  <c:v>1.0708515609318648E-2</c:v>
                </c:pt>
                <c:pt idx="111">
                  <c:v>1.0708515609318648E-2</c:v>
                </c:pt>
                <c:pt idx="112">
                  <c:v>1.0708515609318648E-2</c:v>
                </c:pt>
                <c:pt idx="113">
                  <c:v>1.0708515609318648E-2</c:v>
                </c:pt>
                <c:pt idx="114">
                  <c:v>1.2796250825109802E-2</c:v>
                </c:pt>
                <c:pt idx="115">
                  <c:v>1.2796250825109802E-2</c:v>
                </c:pt>
                <c:pt idx="116">
                  <c:v>1.2796250825109802E-2</c:v>
                </c:pt>
                <c:pt idx="117">
                  <c:v>1.2796250825109802E-2</c:v>
                </c:pt>
                <c:pt idx="118">
                  <c:v>1.2796250825109802E-2</c:v>
                </c:pt>
                <c:pt idx="119">
                  <c:v>1.2796250825109802E-2</c:v>
                </c:pt>
                <c:pt idx="120">
                  <c:v>1.2796250825109802E-2</c:v>
                </c:pt>
                <c:pt idx="121">
                  <c:v>1.2796250825109802E-2</c:v>
                </c:pt>
                <c:pt idx="122">
                  <c:v>1.2796250825109802E-2</c:v>
                </c:pt>
                <c:pt idx="123">
                  <c:v>1.2796250825109802E-2</c:v>
                </c:pt>
                <c:pt idx="124">
                  <c:v>1.2796250825109802E-2</c:v>
                </c:pt>
                <c:pt idx="125">
                  <c:v>1.2796250825109802E-2</c:v>
                </c:pt>
                <c:pt idx="126">
                  <c:v>1.2796250825109802E-2</c:v>
                </c:pt>
                <c:pt idx="127">
                  <c:v>1.2796250825109802E-2</c:v>
                </c:pt>
                <c:pt idx="128">
                  <c:v>1.2796250825109802E-2</c:v>
                </c:pt>
                <c:pt idx="129">
                  <c:v>1.2796250825109802E-2</c:v>
                </c:pt>
                <c:pt idx="130">
                  <c:v>1.2796250825109802E-2</c:v>
                </c:pt>
                <c:pt idx="131">
                  <c:v>1.2796250825109802E-2</c:v>
                </c:pt>
                <c:pt idx="132">
                  <c:v>1.2796250825109802E-2</c:v>
                </c:pt>
                <c:pt idx="133">
                  <c:v>1.2796250825109802E-2</c:v>
                </c:pt>
                <c:pt idx="134">
                  <c:v>1.2796250825109802E-2</c:v>
                </c:pt>
                <c:pt idx="135">
                  <c:v>1.2796250825109802E-2</c:v>
                </c:pt>
                <c:pt idx="136">
                  <c:v>1.2796250825109802E-2</c:v>
                </c:pt>
                <c:pt idx="137">
                  <c:v>1.2796250825109802E-2</c:v>
                </c:pt>
                <c:pt idx="138">
                  <c:v>1.2796250825109802E-2</c:v>
                </c:pt>
                <c:pt idx="139">
                  <c:v>1.2796250825109802E-2</c:v>
                </c:pt>
                <c:pt idx="140">
                  <c:v>1.2796250825109802E-2</c:v>
                </c:pt>
                <c:pt idx="141">
                  <c:v>1.2796250825109802E-2</c:v>
                </c:pt>
                <c:pt idx="142">
                  <c:v>1.2796250825109802E-2</c:v>
                </c:pt>
                <c:pt idx="143">
                  <c:v>1.2796250825109802E-2</c:v>
                </c:pt>
                <c:pt idx="144">
                  <c:v>1.2796250825109802E-2</c:v>
                </c:pt>
                <c:pt idx="145">
                  <c:v>1.2796250825109802E-2</c:v>
                </c:pt>
                <c:pt idx="146">
                  <c:v>1.2796250825109802E-2</c:v>
                </c:pt>
                <c:pt idx="147">
                  <c:v>1.2796250825109802E-2</c:v>
                </c:pt>
                <c:pt idx="148">
                  <c:v>1.2796250825109802E-2</c:v>
                </c:pt>
                <c:pt idx="149">
                  <c:v>1.2796250825109802E-2</c:v>
                </c:pt>
                <c:pt idx="150">
                  <c:v>1.2796250825109802E-2</c:v>
                </c:pt>
                <c:pt idx="151">
                  <c:v>1.2796250825109802E-2</c:v>
                </c:pt>
                <c:pt idx="152">
                  <c:v>1.2796250825109802E-2</c:v>
                </c:pt>
                <c:pt idx="153">
                  <c:v>1.2796250825109802E-2</c:v>
                </c:pt>
                <c:pt idx="154">
                  <c:v>1.2796250825109802E-2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9D-4649-8366-9CA3C00E0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4.6761749741509997E-4</c:v>
                </c:pt>
                <c:pt idx="17">
                  <c:v>1.1984630076602399E-3</c:v>
                </c:pt>
                <c:pt idx="18">
                  <c:v>1.1984630076602399E-3</c:v>
                </c:pt>
                <c:pt idx="19">
                  <c:v>1.1984630076602399E-3</c:v>
                </c:pt>
                <c:pt idx="20">
                  <c:v>1.3829115290214201E-3</c:v>
                </c:pt>
                <c:pt idx="21">
                  <c:v>-1.984797911464351E-3</c:v>
                </c:pt>
                <c:pt idx="22">
                  <c:v>-3.6224559971173814E-4</c:v>
                </c:pt>
                <c:pt idx="23">
                  <c:v>1.0485235033060819E-3</c:v>
                </c:pt>
                <c:pt idx="24">
                  <c:v>6.6442516941164396E-4</c:v>
                </c:pt>
                <c:pt idx="25">
                  <c:v>2.3740940175747127E-3</c:v>
                </c:pt>
                <c:pt idx="26">
                  <c:v>2.635892939755983E-3</c:v>
                </c:pt>
                <c:pt idx="27">
                  <c:v>2.635892939755983E-3</c:v>
                </c:pt>
                <c:pt idx="28">
                  <c:v>2.635892939755983E-3</c:v>
                </c:pt>
                <c:pt idx="29">
                  <c:v>2.635892939755983E-3</c:v>
                </c:pt>
                <c:pt idx="30">
                  <c:v>2.635892939755983E-3</c:v>
                </c:pt>
                <c:pt idx="31">
                  <c:v>2.635892939755983E-3</c:v>
                </c:pt>
                <c:pt idx="32">
                  <c:v>2.635892939755983E-3</c:v>
                </c:pt>
                <c:pt idx="33">
                  <c:v>2.635892939755983E-3</c:v>
                </c:pt>
                <c:pt idx="34">
                  <c:v>2.635892939755983E-3</c:v>
                </c:pt>
                <c:pt idx="35">
                  <c:v>2.635892939755983E-3</c:v>
                </c:pt>
                <c:pt idx="36">
                  <c:v>2.635892939755983E-3</c:v>
                </c:pt>
                <c:pt idx="37">
                  <c:v>2.635892939755983E-3</c:v>
                </c:pt>
                <c:pt idx="38">
                  <c:v>7.2077472655850527E-3</c:v>
                </c:pt>
                <c:pt idx="39">
                  <c:v>8.4386733903668923E-3</c:v>
                </c:pt>
                <c:pt idx="40">
                  <c:v>9.186400708127972E-3</c:v>
                </c:pt>
                <c:pt idx="41">
                  <c:v>9.186400708127972E-3</c:v>
                </c:pt>
                <c:pt idx="42">
                  <c:v>9.186400708127972E-3</c:v>
                </c:pt>
                <c:pt idx="43">
                  <c:v>1.0142423725494147E-2</c:v>
                </c:pt>
                <c:pt idx="44">
                  <c:v>1.0142423725494147E-2</c:v>
                </c:pt>
                <c:pt idx="45">
                  <c:v>1.2727166006005406E-2</c:v>
                </c:pt>
                <c:pt idx="46">
                  <c:v>1.2727166006005406E-2</c:v>
                </c:pt>
                <c:pt idx="47">
                  <c:v>1.2727166006005406E-2</c:v>
                </c:pt>
                <c:pt idx="48">
                  <c:v>1.2727166006005406E-2</c:v>
                </c:pt>
                <c:pt idx="49">
                  <c:v>1.3115289434126117E-2</c:v>
                </c:pt>
                <c:pt idx="50">
                  <c:v>1.4753928956305538E-2</c:v>
                </c:pt>
                <c:pt idx="51">
                  <c:v>1.4753928956305538E-2</c:v>
                </c:pt>
                <c:pt idx="52">
                  <c:v>1.4753928956305538E-2</c:v>
                </c:pt>
                <c:pt idx="53">
                  <c:v>1.4753928956305538E-2</c:v>
                </c:pt>
                <c:pt idx="54">
                  <c:v>1.4753928956305538E-2</c:v>
                </c:pt>
                <c:pt idx="55">
                  <c:v>1.4753928956305538E-2</c:v>
                </c:pt>
                <c:pt idx="56">
                  <c:v>1.4753928956305538E-2</c:v>
                </c:pt>
                <c:pt idx="57">
                  <c:v>1.5528822447230327E-2</c:v>
                </c:pt>
                <c:pt idx="58">
                  <c:v>1.5053650188348941E-2</c:v>
                </c:pt>
                <c:pt idx="59">
                  <c:v>1.5704951377009703E-2</c:v>
                </c:pt>
                <c:pt idx="60">
                  <c:v>1.5017334705607604E-2</c:v>
                </c:pt>
                <c:pt idx="61">
                  <c:v>1.4841655076887979E-2</c:v>
                </c:pt>
                <c:pt idx="62">
                  <c:v>1.4841655076887979E-2</c:v>
                </c:pt>
                <c:pt idx="63">
                  <c:v>1.4841655076887979E-2</c:v>
                </c:pt>
                <c:pt idx="64">
                  <c:v>1.4841655076887979E-2</c:v>
                </c:pt>
                <c:pt idx="65">
                  <c:v>1.4841655076887979E-2</c:v>
                </c:pt>
                <c:pt idx="66">
                  <c:v>1.4841655076887979E-2</c:v>
                </c:pt>
                <c:pt idx="67">
                  <c:v>1.4841655076887979E-2</c:v>
                </c:pt>
                <c:pt idx="68">
                  <c:v>1.4841655076887979E-2</c:v>
                </c:pt>
                <c:pt idx="69">
                  <c:v>1.4841655076887979E-2</c:v>
                </c:pt>
                <c:pt idx="70">
                  <c:v>1.4841655076887979E-2</c:v>
                </c:pt>
                <c:pt idx="71">
                  <c:v>1.4841655076887979E-2</c:v>
                </c:pt>
                <c:pt idx="72">
                  <c:v>1.4841655076887979E-2</c:v>
                </c:pt>
                <c:pt idx="73">
                  <c:v>1.4841655076887979E-2</c:v>
                </c:pt>
                <c:pt idx="74">
                  <c:v>1.4841655076887979E-2</c:v>
                </c:pt>
                <c:pt idx="75">
                  <c:v>1.4841655076887979E-2</c:v>
                </c:pt>
                <c:pt idx="76">
                  <c:v>1.3969994531015972E-2</c:v>
                </c:pt>
                <c:pt idx="77">
                  <c:v>1.3579140510015087E-2</c:v>
                </c:pt>
                <c:pt idx="78">
                  <c:v>1.2379025976557257E-2</c:v>
                </c:pt>
                <c:pt idx="79">
                  <c:v>1.3038713941757322E-2</c:v>
                </c:pt>
                <c:pt idx="80">
                  <c:v>1.4353714138695833E-2</c:v>
                </c:pt>
                <c:pt idx="81">
                  <c:v>1.7429656987094692E-2</c:v>
                </c:pt>
                <c:pt idx="82">
                  <c:v>1.7429656987094692E-2</c:v>
                </c:pt>
                <c:pt idx="83">
                  <c:v>1.7429656987094692E-2</c:v>
                </c:pt>
                <c:pt idx="84">
                  <c:v>1.7429656987094692E-2</c:v>
                </c:pt>
                <c:pt idx="85">
                  <c:v>1.7429656987094692E-2</c:v>
                </c:pt>
                <c:pt idx="86">
                  <c:v>1.7429656987094692E-2</c:v>
                </c:pt>
                <c:pt idx="87">
                  <c:v>1.7429656987094692E-2</c:v>
                </c:pt>
                <c:pt idx="88">
                  <c:v>1.7429656987094692E-2</c:v>
                </c:pt>
                <c:pt idx="89">
                  <c:v>1.7429656987094692E-2</c:v>
                </c:pt>
                <c:pt idx="90">
                  <c:v>1.7429656987094692E-2</c:v>
                </c:pt>
                <c:pt idx="91">
                  <c:v>1.7429656987094692E-2</c:v>
                </c:pt>
                <c:pt idx="92">
                  <c:v>1.7429656987094692E-2</c:v>
                </c:pt>
                <c:pt idx="93">
                  <c:v>1.7429656987094692E-2</c:v>
                </c:pt>
                <c:pt idx="94">
                  <c:v>1.7429656987094692E-2</c:v>
                </c:pt>
                <c:pt idx="95">
                  <c:v>1.7429656987094692E-2</c:v>
                </c:pt>
                <c:pt idx="96">
                  <c:v>1.7429656987094692E-2</c:v>
                </c:pt>
                <c:pt idx="97">
                  <c:v>1.7429656987094692E-2</c:v>
                </c:pt>
                <c:pt idx="98">
                  <c:v>1.7429656987094692E-2</c:v>
                </c:pt>
                <c:pt idx="99">
                  <c:v>1.7429656987094692E-2</c:v>
                </c:pt>
                <c:pt idx="100">
                  <c:v>1.8383400502404328E-2</c:v>
                </c:pt>
                <c:pt idx="101">
                  <c:v>1.8560440028696383E-2</c:v>
                </c:pt>
                <c:pt idx="102">
                  <c:v>1.7219933239106137E-2</c:v>
                </c:pt>
                <c:pt idx="103">
                  <c:v>1.7219933239106137E-2</c:v>
                </c:pt>
                <c:pt idx="104">
                  <c:v>1.7219933239106137E-2</c:v>
                </c:pt>
                <c:pt idx="105">
                  <c:v>1.8436401328463158E-2</c:v>
                </c:pt>
                <c:pt idx="106">
                  <c:v>1.8172767994378107E-2</c:v>
                </c:pt>
                <c:pt idx="107">
                  <c:v>1.5431845578231688E-2</c:v>
                </c:pt>
                <c:pt idx="108">
                  <c:v>1.6687878802656101E-2</c:v>
                </c:pt>
                <c:pt idx="109">
                  <c:v>1.7554956843224102E-2</c:v>
                </c:pt>
                <c:pt idx="110">
                  <c:v>1.7554956843224102E-2</c:v>
                </c:pt>
                <c:pt idx="111">
                  <c:v>1.8598099058775283E-2</c:v>
                </c:pt>
                <c:pt idx="112">
                  <c:v>1.8598099058775283E-2</c:v>
                </c:pt>
                <c:pt idx="113">
                  <c:v>1.8598099058775283E-2</c:v>
                </c:pt>
                <c:pt idx="114">
                  <c:v>2.0685834274566436E-2</c:v>
                </c:pt>
                <c:pt idx="115">
                  <c:v>2.0685834274566436E-2</c:v>
                </c:pt>
                <c:pt idx="116">
                  <c:v>2.2247724478848707E-2</c:v>
                </c:pt>
                <c:pt idx="117">
                  <c:v>2.2188403366588626E-2</c:v>
                </c:pt>
                <c:pt idx="118">
                  <c:v>2.1584531224563108E-2</c:v>
                </c:pt>
                <c:pt idx="119">
                  <c:v>2.1584531224563108E-2</c:v>
                </c:pt>
                <c:pt idx="120">
                  <c:v>2.3790324878845269E-2</c:v>
                </c:pt>
                <c:pt idx="121">
                  <c:v>2.3790324878845269E-2</c:v>
                </c:pt>
                <c:pt idx="122">
                  <c:v>2.3790324878845269E-2</c:v>
                </c:pt>
                <c:pt idx="123">
                  <c:v>2.3790324878845269E-2</c:v>
                </c:pt>
                <c:pt idx="124">
                  <c:v>2.5542213084642329E-2</c:v>
                </c:pt>
                <c:pt idx="125">
                  <c:v>2.5542213084642329E-2</c:v>
                </c:pt>
                <c:pt idx="126">
                  <c:v>2.5542213084642329E-2</c:v>
                </c:pt>
                <c:pt idx="127">
                  <c:v>2.5542213084642329E-2</c:v>
                </c:pt>
                <c:pt idx="128">
                  <c:v>2.5542213084642329E-2</c:v>
                </c:pt>
                <c:pt idx="129">
                  <c:v>2.5542213084642329E-2</c:v>
                </c:pt>
                <c:pt idx="130">
                  <c:v>2.5542213084642329E-2</c:v>
                </c:pt>
                <c:pt idx="131">
                  <c:v>2.5542213084642329E-2</c:v>
                </c:pt>
                <c:pt idx="132">
                  <c:v>2.5542213084642329E-2</c:v>
                </c:pt>
                <c:pt idx="133">
                  <c:v>2.5542213084642329E-2</c:v>
                </c:pt>
                <c:pt idx="134">
                  <c:v>2.5542213084642329E-2</c:v>
                </c:pt>
                <c:pt idx="135">
                  <c:v>2.5542213084642329E-2</c:v>
                </c:pt>
                <c:pt idx="136">
                  <c:v>2.5542213084642329E-2</c:v>
                </c:pt>
                <c:pt idx="137">
                  <c:v>2.5542213084642329E-2</c:v>
                </c:pt>
                <c:pt idx="138">
                  <c:v>2.5542213084642329E-2</c:v>
                </c:pt>
                <c:pt idx="139">
                  <c:v>2.5542213084642329E-2</c:v>
                </c:pt>
                <c:pt idx="140">
                  <c:v>2.5542213084642329E-2</c:v>
                </c:pt>
                <c:pt idx="141">
                  <c:v>2.5542213084642329E-2</c:v>
                </c:pt>
                <c:pt idx="142">
                  <c:v>2.632407395324449E-2</c:v>
                </c:pt>
                <c:pt idx="143">
                  <c:v>2.632407395324449E-2</c:v>
                </c:pt>
                <c:pt idx="144">
                  <c:v>2.7890858449237881E-2</c:v>
                </c:pt>
                <c:pt idx="145">
                  <c:v>2.7890858449237881E-2</c:v>
                </c:pt>
                <c:pt idx="146">
                  <c:v>2.7890858449237881E-2</c:v>
                </c:pt>
                <c:pt idx="147">
                  <c:v>2.6829540591958405E-2</c:v>
                </c:pt>
                <c:pt idx="148">
                  <c:v>2.664652791954283E-2</c:v>
                </c:pt>
                <c:pt idx="149">
                  <c:v>2.867888055463437E-2</c:v>
                </c:pt>
                <c:pt idx="150">
                  <c:v>2.6371404011324401E-2</c:v>
                </c:pt>
                <c:pt idx="151">
                  <c:v>2.4749570683799852E-2</c:v>
                </c:pt>
                <c:pt idx="152">
                  <c:v>2.6787781707749612E-2</c:v>
                </c:pt>
                <c:pt idx="153">
                  <c:v>2.2342122890679841E-2</c:v>
                </c:pt>
                <c:pt idx="154">
                  <c:v>2.0865381298166331E-2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3B-4EEF-9EE7-C51DB3DCE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68227-C2DE-4899-87D4-00EE9D455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5F961D-FF24-4EC3-B7A9-A3571900F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0BE33E-013D-40AD-98FF-CD2AC4589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A5BAA2-D014-450F-9019-D056CD235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E4656D-C2DF-489F-B500-304C44C28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68FB91-E9D6-489D-9928-F41C7FB2B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3D3521-9B84-4F45-A07A-211BAC00E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BSCS_IBDT_2.xlsx" TargetMode="External"/><Relationship Id="rId1" Type="http://schemas.openxmlformats.org/officeDocument/2006/relationships/externalLinkPath" Target="BSCS_IBD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IBDT/BSCS avg</v>
          </cell>
          <cell r="P1" t="str">
            <v>IBDT/BSCS 10 dma</v>
          </cell>
          <cell r="Q1" t="str">
            <v>IBDT/BSCS 20 dma</v>
          </cell>
          <cell r="U1" t="str">
            <v>log diff BSCS x avg / IBDT</v>
          </cell>
          <cell r="V1" t="str">
            <v>log diff BSCS x 10 dma / IBDT</v>
          </cell>
          <cell r="W1" t="str">
            <v>log diff BSCS x 20 dma / IBDT</v>
          </cell>
          <cell r="Y1" t="str">
            <v>IBDT*/BSCS* avg</v>
          </cell>
          <cell r="Z1" t="str">
            <v>IBDT*/BSCS* 10 dma</v>
          </cell>
          <cell r="AA1" t="str">
            <v>IBDT*/BSCS* 20 dma</v>
          </cell>
          <cell r="AF1" t="str">
            <v>log diff BSCS* x 10 dma / IBDT*</v>
          </cell>
          <cell r="AG1" t="str">
            <v>log diff BSCS* x 20 dma / IBDT*</v>
          </cell>
        </row>
        <row r="2">
          <cell r="O2">
            <v>1.2371344131525399</v>
          </cell>
          <cell r="Y2">
            <v>1.2358474847357901</v>
          </cell>
        </row>
        <row r="3">
          <cell r="O3">
            <v>1.2371344131525399</v>
          </cell>
          <cell r="U3">
            <v>1.5579376968590901E-3</v>
          </cell>
          <cell r="Y3">
            <v>1.2358474847357901</v>
          </cell>
        </row>
        <row r="4">
          <cell r="O4">
            <v>1.2371344131525399</v>
          </cell>
          <cell r="U4">
            <v>1.1653959842618899E-3</v>
          </cell>
          <cell r="Y4">
            <v>1.2358474847357901</v>
          </cell>
        </row>
        <row r="5">
          <cell r="O5">
            <v>1.2371344131525399</v>
          </cell>
          <cell r="U5">
            <v>1.9506335589641701E-3</v>
          </cell>
          <cell r="Y5">
            <v>1.2358474847357901</v>
          </cell>
        </row>
        <row r="6">
          <cell r="O6">
            <v>1.2371344131525399</v>
          </cell>
          <cell r="U6">
            <v>1.37308089841439E-3</v>
          </cell>
          <cell r="Y6">
            <v>1.2358474847357901</v>
          </cell>
        </row>
        <row r="7">
          <cell r="O7">
            <v>1.2371344131525399</v>
          </cell>
          <cell r="U7">
            <v>1.2805306671871599E-3</v>
          </cell>
          <cell r="Y7">
            <v>1.2358474847357901</v>
          </cell>
        </row>
        <row r="8">
          <cell r="O8">
            <v>1.2371344131525399</v>
          </cell>
          <cell r="U8">
            <v>8.8752614257695103E-4</v>
          </cell>
          <cell r="Y8">
            <v>1.2358474847357901</v>
          </cell>
        </row>
        <row r="9">
          <cell r="O9">
            <v>1.2371344131525399</v>
          </cell>
          <cell r="U9">
            <v>1.0728540104126801E-3</v>
          </cell>
          <cell r="Y9">
            <v>1.2358474847357901</v>
          </cell>
        </row>
        <row r="10">
          <cell r="O10">
            <v>1.2371344131525399</v>
          </cell>
          <cell r="U10">
            <v>1.5579376968590901E-3</v>
          </cell>
          <cell r="Y10">
            <v>1.2358474847357901</v>
          </cell>
        </row>
        <row r="11">
          <cell r="O11">
            <v>1.2371344131525399</v>
          </cell>
          <cell r="P11">
            <v>1.23550266146885</v>
          </cell>
          <cell r="U11">
            <v>8.8752614257695103E-4</v>
          </cell>
          <cell r="Y11">
            <v>1.2358474847357901</v>
          </cell>
          <cell r="Z11">
            <v>1.23550266146885</v>
          </cell>
        </row>
        <row r="12">
          <cell r="O12">
            <v>1.2371344131525399</v>
          </cell>
          <cell r="P12">
            <v>1.23550266146885</v>
          </cell>
          <cell r="U12">
            <v>1.4655498725178501E-3</v>
          </cell>
          <cell r="V12">
            <v>1.45702380690385E-4</v>
          </cell>
          <cell r="Y12">
            <v>1.2358474847357901</v>
          </cell>
          <cell r="Z12">
            <v>1.23550266146885</v>
          </cell>
          <cell r="AF12">
            <v>1.45702380690385E-4</v>
          </cell>
        </row>
        <row r="13">
          <cell r="O13">
            <v>1.2371344131525399</v>
          </cell>
          <cell r="P13">
            <v>1.23594673730024</v>
          </cell>
          <cell r="U13">
            <v>-2.0307638662788799E-3</v>
          </cell>
          <cell r="V13">
            <v>-3.3506113581065E-3</v>
          </cell>
          <cell r="Y13">
            <v>1.2358474847357901</v>
          </cell>
          <cell r="Z13">
            <v>1.2354978560362699</v>
          </cell>
          <cell r="AF13">
            <v>2.7699477791069303E-4</v>
          </cell>
        </row>
        <row r="14">
          <cell r="O14">
            <v>1.2371344131525399</v>
          </cell>
          <cell r="P14">
            <v>1.23647670555787</v>
          </cell>
          <cell r="U14">
            <v>-3.1142657882012401E-3</v>
          </cell>
          <cell r="V14">
            <v>-4.0747485797849601E-3</v>
          </cell>
          <cell r="Y14">
            <v>1.2358474847357901</v>
          </cell>
          <cell r="Z14">
            <v>1.2355786743877899</v>
          </cell>
          <cell r="AF14">
            <v>-8.1215952695356305E-4</v>
          </cell>
        </row>
        <row r="15">
          <cell r="O15">
            <v>1.2371344131525399</v>
          </cell>
          <cell r="P15">
            <v>1.2370432780632501</v>
          </cell>
          <cell r="U15">
            <v>-2.62752934636979E-3</v>
          </cell>
          <cell r="V15">
            <v>-3.1593086589650201E-3</v>
          </cell>
          <cell r="Y15">
            <v>1.2358474847357901</v>
          </cell>
          <cell r="Z15">
            <v>1.23569653321928</v>
          </cell>
          <cell r="AF15">
            <v>-2.6177284072075502E-4</v>
          </cell>
        </row>
        <row r="16">
          <cell r="O16">
            <v>1.2371344131525399</v>
          </cell>
          <cell r="P16">
            <v>1.2375989071459701</v>
          </cell>
          <cell r="U16">
            <v>-3.1142657882012401E-3</v>
          </cell>
          <cell r="V16">
            <v>-3.18793478106207E-3</v>
          </cell>
          <cell r="Y16">
            <v>1.2358474847357901</v>
          </cell>
          <cell r="Z16">
            <v>1.2358030123958901</v>
          </cell>
          <cell r="AF16">
            <v>-6.5136506716179305E-4</v>
          </cell>
        </row>
        <row r="17">
          <cell r="O17">
            <v>1.2371344131525399</v>
          </cell>
          <cell r="P17">
            <v>1.23813137454032</v>
          </cell>
          <cell r="U17">
            <v>-3.0197631227262402E-3</v>
          </cell>
          <cell r="V17">
            <v>-2.6443739888115398E-3</v>
          </cell>
          <cell r="Y17">
            <v>1.2358474847357901</v>
          </cell>
          <cell r="Z17">
            <v>1.23588659008117</v>
          </cell>
          <cell r="AF17">
            <v>-4.7245796360962202E-4</v>
          </cell>
        </row>
        <row r="18">
          <cell r="O18">
            <v>1.2371344131525399</v>
          </cell>
          <cell r="P18">
            <v>1.23854324006401</v>
          </cell>
          <cell r="U18">
            <v>-2.43908038944373E-3</v>
          </cell>
          <cell r="V18">
            <v>-1.6335414880059599E-3</v>
          </cell>
          <cell r="Y18">
            <v>1.2358474847357901</v>
          </cell>
          <cell r="Z18">
            <v>1.2358502611037001</v>
          </cell>
          <cell r="AF18">
            <v>1.7233546126199599E-4</v>
          </cell>
        </row>
        <row r="19">
          <cell r="O19">
            <v>1.2371344131525399</v>
          </cell>
          <cell r="P19">
            <v>1.2389177504420801</v>
          </cell>
          <cell r="U19">
            <v>-1.95305364840602E-3</v>
          </cell>
          <cell r="V19">
            <v>-8.1491915685314299E-4</v>
          </cell>
          <cell r="Y19">
            <v>1.2358474847357901</v>
          </cell>
          <cell r="Z19">
            <v>1.23577701165166</v>
          </cell>
          <cell r="AF19">
            <v>6.2721061216547403E-4</v>
          </cell>
        </row>
        <row r="20">
          <cell r="O20">
            <v>1.2371344131525399</v>
          </cell>
          <cell r="P20">
            <v>1.2393405588736599</v>
          </cell>
          <cell r="U20">
            <v>-1.8591893374804299E-3</v>
          </cell>
          <cell r="V20">
            <v>-4.1872081736928101E-4</v>
          </cell>
          <cell r="Y20">
            <v>1.2358474847357901</v>
          </cell>
          <cell r="Z20">
            <v>1.23575231893903</v>
          </cell>
          <cell r="AF20">
            <v>6.6004829366683899E-4</v>
          </cell>
        </row>
        <row r="21">
          <cell r="O21">
            <v>1.2371344131525399</v>
          </cell>
          <cell r="P21">
            <v>1.23971745028574</v>
          </cell>
          <cell r="Q21">
            <v>1.23761005587729</v>
          </cell>
          <cell r="U21">
            <v>-2.1570267094470599E-3</v>
          </cell>
          <cell r="V21">
            <v>-3.7534401154702002E-4</v>
          </cell>
          <cell r="Y21">
            <v>1.2358474847357901</v>
          </cell>
          <cell r="Z21">
            <v>1.2356817924185699</v>
          </cell>
          <cell r="AA21">
            <v>1.2355922269437101</v>
          </cell>
          <cell r="AF21">
            <v>3.40476512893816E-4</v>
          </cell>
        </row>
        <row r="22">
          <cell r="O22">
            <v>1.2371344131525399</v>
          </cell>
          <cell r="P22">
            <v>1.23974030824193</v>
          </cell>
          <cell r="Q22">
            <v>1.2376214848553899</v>
          </cell>
          <cell r="U22">
            <v>1.2805306671871599E-3</v>
          </cell>
          <cell r="V22">
            <v>3.3662735472956801E-3</v>
          </cell>
          <cell r="W22">
            <v>1.6649281163499099E-3</v>
          </cell>
          <cell r="Y22">
            <v>1.2358474847357901</v>
          </cell>
          <cell r="Z22">
            <v>1.23571102127698</v>
          </cell>
          <cell r="AA22">
            <v>1.23560684137291</v>
          </cell>
          <cell r="AF22">
            <v>5.4097049536139297E-5</v>
          </cell>
          <cell r="AG22">
            <v>-1.83882145029226E-5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1.2371344131525399</v>
          </cell>
          <cell r="P23">
            <v>1.2393419483552099</v>
          </cell>
          <cell r="Q23">
            <v>1.2376443428277299</v>
          </cell>
          <cell r="U23">
            <v>1.18789907128589E-3</v>
          </cell>
          <cell r="V23">
            <v>3.2920798183878499E-3</v>
          </cell>
          <cell r="W23">
            <v>1.58153119437977E-3</v>
          </cell>
          <cell r="Y23">
            <v>1.2358474847357901</v>
          </cell>
          <cell r="Z23">
            <v>1.23576787529623</v>
          </cell>
          <cell r="AA23">
            <v>1.2356328656662501</v>
          </cell>
          <cell r="AF23">
            <v>-1.4566400194726E-5</v>
          </cell>
          <cell r="AG23">
            <v>-9.8877613821869495E-5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1.2371344131525399</v>
          </cell>
          <cell r="P24">
            <v>1.2388463210642899</v>
          </cell>
          <cell r="Q24">
            <v>1.23766151331108</v>
          </cell>
          <cell r="U24">
            <v>8.8752614257695103E-4</v>
          </cell>
          <cell r="V24">
            <v>2.6703299857194201E-3</v>
          </cell>
          <cell r="W24">
            <v>1.29962737075664E-3</v>
          </cell>
          <cell r="Y24">
            <v>1.2358474847357901</v>
          </cell>
          <cell r="Z24">
            <v>1.2357275934605301</v>
          </cell>
          <cell r="AA24">
            <v>1.2356531339241601</v>
          </cell>
          <cell r="AF24">
            <v>-2.6780676574755802E-4</v>
          </cell>
          <cell r="AG24">
            <v>-3.77064344153697E-4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1.2371344131525399</v>
          </cell>
          <cell r="P25">
            <v>1.2383767417693901</v>
          </cell>
          <cell r="Q25">
            <v>1.2377100099163201</v>
          </cell>
          <cell r="U25">
            <v>1.1653959842618899E-3</v>
          </cell>
          <cell r="V25">
            <v>2.5482081854054199E-3</v>
          </cell>
          <cell r="W25">
            <v>1.59137063604929E-3</v>
          </cell>
          <cell r="Y25">
            <v>1.2358474847357901</v>
          </cell>
          <cell r="Z25">
            <v>1.23571303821626</v>
          </cell>
          <cell r="AA25">
            <v>1.2357047857177701</v>
          </cell>
          <cell r="AF25">
            <v>-2.34771978753548E-5</v>
          </cell>
          <cell r="AG25">
            <v>-8.3734636618434301E-5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1.2371344131525399</v>
          </cell>
          <cell r="P26">
            <v>1.2378353487177001</v>
          </cell>
          <cell r="Q26">
            <v>1.23771712793184</v>
          </cell>
          <cell r="U26">
            <v>1.2578567945471201E-3</v>
          </cell>
          <cell r="V26">
            <v>2.2615515011308799E-3</v>
          </cell>
          <cell r="W26">
            <v>1.7230147404689799E-3</v>
          </cell>
          <cell r="Y26">
            <v>1.2358474847357901</v>
          </cell>
          <cell r="Z26">
            <v>1.23562714356938</v>
          </cell>
          <cell r="AA26">
            <v>1.23571507798264</v>
          </cell>
          <cell r="AF26">
            <v>5.6891618532355801E-5</v>
          </cell>
          <cell r="AG26">
            <v>5.02132670107245E-5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1.2371344131525399</v>
          </cell>
          <cell r="P27">
            <v>1.23735415592569</v>
          </cell>
          <cell r="Q27">
            <v>1.237742765233</v>
          </cell>
          <cell r="U27">
            <v>8.6562301819050795E-4</v>
          </cell>
          <cell r="V27">
            <v>1.4320425314316499E-3</v>
          </cell>
          <cell r="W27">
            <v>1.3365319033442E-3</v>
          </cell>
          <cell r="Y27">
            <v>1.2358474847357901</v>
          </cell>
          <cell r="Z27">
            <v>1.2356010143101199</v>
          </cell>
          <cell r="AA27">
            <v>1.2357438021956499</v>
          </cell>
          <cell r="AF27">
            <v>-4.0342153108595402E-4</v>
          </cell>
          <cell r="AG27">
            <v>-3.3225824781026898E-4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1.2371344131525399</v>
          </cell>
          <cell r="P28">
            <v>1.2368366613053099</v>
          </cell>
          <cell r="Q28">
            <v>1.2376899506846599</v>
          </cell>
          <cell r="U28">
            <v>1.74247032474855E-3</v>
          </cell>
          <cell r="V28">
            <v>1.9200769433207301E-3</v>
          </cell>
          <cell r="W28">
            <v>2.2340923721216998E-3</v>
          </cell>
          <cell r="Y28">
            <v>1.2358474847357901</v>
          </cell>
          <cell r="Z28">
            <v>1.23553827524096</v>
          </cell>
          <cell r="AA28">
            <v>1.23569426817233</v>
          </cell>
          <cell r="AF28">
            <v>4.4909985836431398E-4</v>
          </cell>
          <cell r="AG28">
            <v>5.6465466458250398E-4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1.2371344131525399</v>
          </cell>
          <cell r="P29">
            <v>1.2364392902524699</v>
          </cell>
          <cell r="Q29">
            <v>1.23767852034728</v>
          </cell>
          <cell r="U29">
            <v>1.2578567945471201E-3</v>
          </cell>
          <cell r="V29">
            <v>1.01714917129458E-3</v>
          </cell>
          <cell r="W29">
            <v>1.70680787937577E-3</v>
          </cell>
          <cell r="Y29">
            <v>1.2358474847357901</v>
          </cell>
          <cell r="Z29">
            <v>1.2355950125169299</v>
          </cell>
          <cell r="AA29">
            <v>1.2356860120842901</v>
          </cell>
          <cell r="AF29">
            <v>-8.4545211173387897E-5</v>
          </cell>
          <cell r="AG29">
            <v>4.1701856908027703E-5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1.2371344131525399</v>
          </cell>
          <cell r="P30">
            <v>1.2360421399085399</v>
          </cell>
          <cell r="Q30">
            <v>1.2376913493910999</v>
          </cell>
          <cell r="U30">
            <v>1.3502365483922601E-3</v>
          </cell>
          <cell r="V30">
            <v>7.8819716592796497E-4</v>
          </cell>
          <cell r="W30">
            <v>1.7899523718691601E-3</v>
          </cell>
          <cell r="Y30">
            <v>1.2358474847357901</v>
          </cell>
          <cell r="Z30">
            <v>1.2356517498611801</v>
          </cell>
          <cell r="AA30">
            <v>1.2357020344001</v>
          </cell>
          <cell r="AF30">
            <v>5.3441914206455599E-5</v>
          </cell>
          <cell r="AG30">
            <v>1.27087579351125E-4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1.2371344131525399</v>
          </cell>
          <cell r="P31">
            <v>1.2356336774229899</v>
          </cell>
          <cell r="Q31">
            <v>1.2376755638543699</v>
          </cell>
          <cell r="U31">
            <v>1.1429805375105799E-3</v>
          </cell>
          <cell r="V31">
            <v>2.59684669561714E-4</v>
          </cell>
          <cell r="W31">
            <v>1.59306171606809E-3</v>
          </cell>
          <cell r="Y31">
            <v>1.2358474847357901</v>
          </cell>
          <cell r="Z31">
            <v>1.2356969935443001</v>
          </cell>
          <cell r="AA31">
            <v>1.2356893929814401</v>
          </cell>
          <cell r="AF31">
            <v>-1.07089883378466E-4</v>
          </cell>
          <cell r="AG31">
            <v>-6.6395961487713506E-5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1.2371344131525399</v>
          </cell>
          <cell r="P32">
            <v>1.2356022709046399</v>
          </cell>
          <cell r="Q32">
            <v>1.23767128957328</v>
          </cell>
          <cell r="U32">
            <v>1.5347533143141099E-3</v>
          </cell>
          <cell r="V32">
            <v>3.2094283243088199E-4</v>
          </cell>
          <cell r="W32">
            <v>1.9720803943581301E-3</v>
          </cell>
          <cell r="Y32">
            <v>1.2358474847357901</v>
          </cell>
          <cell r="Z32">
            <v>1.23566567852885</v>
          </cell>
          <cell r="AA32">
            <v>1.2356883499029201</v>
          </cell>
          <cell r="AF32">
            <v>3.1986759044605901E-4</v>
          </cell>
          <cell r="AG32">
            <v>3.1371674094331198E-4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1.2371344131525399</v>
          </cell>
          <cell r="P33">
            <v>1.23555941874787</v>
          </cell>
          <cell r="Q33">
            <v>1.23745068355154</v>
          </cell>
          <cell r="U33">
            <v>1.5347533143141099E-3</v>
          </cell>
          <cell r="V33">
            <v>2.9552517178215701E-4</v>
          </cell>
          <cell r="W33">
            <v>1.9686269138235999E-3</v>
          </cell>
          <cell r="Y33">
            <v>1.2358474847357901</v>
          </cell>
          <cell r="Z33">
            <v>1.2356229561352301</v>
          </cell>
          <cell r="AA33">
            <v>1.2356954157157301</v>
          </cell>
          <cell r="AF33">
            <v>2.9452528370888198E-4</v>
          </cell>
          <cell r="AG33">
            <v>3.1287261379823702E-4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1.2371344131525399</v>
          </cell>
          <cell r="P34">
            <v>1.23553926274464</v>
          </cell>
          <cell r="Q34">
            <v>1.2371927919044601</v>
          </cell>
          <cell r="U34">
            <v>1.0506090298632901E-3</v>
          </cell>
          <cell r="V34">
            <v>-2.23300903787572E-4</v>
          </cell>
          <cell r="W34">
            <v>1.30622392154356E-3</v>
          </cell>
          <cell r="Y34">
            <v>1.2358474847357901</v>
          </cell>
          <cell r="Z34">
            <v>1.2356028547581801</v>
          </cell>
          <cell r="AA34">
            <v>1.23566522410936</v>
          </cell>
          <cell r="AF34">
            <v>-2.2245146186229399E-4</v>
          </cell>
          <cell r="AG34">
            <v>-1.6381103628962599E-4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1.2371344131525399</v>
          </cell>
          <cell r="P35">
            <v>1.2355420326378701</v>
          </cell>
          <cell r="Q35">
            <v>1.23695938720363</v>
          </cell>
          <cell r="U35">
            <v>1.1429805375105799E-3</v>
          </cell>
          <cell r="V35">
            <v>-1.47242790164321E-4</v>
          </cell>
          <cell r="W35">
            <v>1.1901681138462899E-3</v>
          </cell>
          <cell r="Y35">
            <v>1.2358474847357901</v>
          </cell>
          <cell r="Z35">
            <v>1.23560560251081</v>
          </cell>
          <cell r="AA35">
            <v>1.23565932036354</v>
          </cell>
          <cell r="AF35">
            <v>-1.46660960280617E-4</v>
          </cell>
          <cell r="AG35">
            <v>-9.6185375116831099E-5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1.2371344131525399</v>
          </cell>
          <cell r="P36">
            <v>1.2360734710552601</v>
          </cell>
          <cell r="Q36">
            <v>1.23695440988648</v>
          </cell>
          <cell r="U36">
            <v>-3.03404751060481E-3</v>
          </cell>
          <cell r="V36">
            <v>-4.3220289911680204E-3</v>
          </cell>
          <cell r="W36">
            <v>-3.17553442527002E-3</v>
          </cell>
          <cell r="Y36">
            <v>1.2358474847357901</v>
          </cell>
          <cell r="Z36">
            <v>1.2357005685881</v>
          </cell>
          <cell r="AA36">
            <v>1.2356638560787401</v>
          </cell>
          <cell r="AF36">
            <v>-7.9831535745572199E-4</v>
          </cell>
          <cell r="AG36">
            <v>-7.5484138407730795E-4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1.2371344131525399</v>
          </cell>
          <cell r="P37">
            <v>1.23651955074051</v>
          </cell>
          <cell r="Q37">
            <v>1.2369368533331</v>
          </cell>
          <cell r="U37">
            <v>-2.7367527480784502E-3</v>
          </cell>
          <cell r="V37">
            <v>-3.5947009772838798E-3</v>
          </cell>
          <cell r="W37">
            <v>-2.8822635031489599E-3</v>
          </cell>
          <cell r="Y37">
            <v>1.2358474847357901</v>
          </cell>
          <cell r="Z37">
            <v>1.2357104050985901</v>
          </cell>
          <cell r="AA37">
            <v>1.2356557097043499</v>
          </cell>
          <cell r="AF37">
            <v>-4.2357217378522199E-4</v>
          </cell>
          <cell r="AG37">
            <v>-4.53282490075833E-4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1.2371344131525399</v>
          </cell>
          <cell r="P38">
            <v>1.2371225577240299</v>
          </cell>
          <cell r="Q38">
            <v>1.2369796095146699</v>
          </cell>
          <cell r="U38">
            <v>-3.1283720990791502E-3</v>
          </cell>
          <cell r="V38">
            <v>-3.6255009891072998E-3</v>
          </cell>
          <cell r="W38">
            <v>-3.2880763263071901E-3</v>
          </cell>
          <cell r="Y38">
            <v>1.2358474847357901</v>
          </cell>
          <cell r="Z38">
            <v>1.23587643652955</v>
          </cell>
          <cell r="AA38">
            <v>1.23570735588526</v>
          </cell>
          <cell r="AF38">
            <v>-8.0580253304792199E-4</v>
          </cell>
          <cell r="AG38">
            <v>-8.5006582039564703E-4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1.2371344131525399</v>
          </cell>
          <cell r="P39">
            <v>1.2377142922365501</v>
          </cell>
          <cell r="Q39">
            <v>1.23707679124451</v>
          </cell>
          <cell r="U39">
            <v>-3.5198381443994099E-3</v>
          </cell>
          <cell r="V39">
            <v>-3.5294211656007801E-3</v>
          </cell>
          <cell r="W39">
            <v>-3.6449767893034402E-3</v>
          </cell>
          <cell r="Y39">
            <v>1.2358474847357901</v>
          </cell>
          <cell r="Z39">
            <v>1.23603106288945</v>
          </cell>
          <cell r="AA39">
            <v>1.23581303770319</v>
          </cell>
          <cell r="AF39">
            <v>-1.06148884968357E-3</v>
          </cell>
          <cell r="AG39">
            <v>-1.19830852383646E-3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1.2371344131525399</v>
          </cell>
          <cell r="P40">
            <v>1.2380766069908</v>
          </cell>
          <cell r="Q40">
            <v>1.23705937344967</v>
          </cell>
          <cell r="U40">
            <v>-1.5780899614889301E-3</v>
          </cell>
          <cell r="V40">
            <v>-1.1094721479150999E-3</v>
          </cell>
          <cell r="W40">
            <v>-1.6246679641579E-3</v>
          </cell>
          <cell r="Y40">
            <v>1.2358474847357901</v>
          </cell>
          <cell r="Z40">
            <v>1.2359587685342599</v>
          </cell>
          <cell r="AA40">
            <v>1.23580525919772</v>
          </cell>
          <cell r="AF40">
            <v>9.9158687753188291E-4</v>
          </cell>
          <cell r="AG40">
            <v>8.1517997001476596E-4</v>
          </cell>
          <cell r="AR40">
            <v>1.9417481829103801E-3</v>
          </cell>
          <cell r="BC40">
            <v>0</v>
          </cell>
          <cell r="BF40">
            <v>1.9417481829103801E-3</v>
          </cell>
        </row>
        <row r="41">
          <cell r="O41">
            <v>1.2371344131525399</v>
          </cell>
          <cell r="P41">
            <v>1.2380110435329399</v>
          </cell>
          <cell r="Q41">
            <v>1.23682236047797</v>
          </cell>
          <cell r="U41">
            <v>1.6736897050803499E-3</v>
          </cell>
          <cell r="V41">
            <v>2.43499359076628E-3</v>
          </cell>
          <cell r="W41">
            <v>1.6130318024544499E-3</v>
          </cell>
          <cell r="Y41">
            <v>1.2358474847357901</v>
          </cell>
          <cell r="Z41">
            <v>1.23590951048824</v>
          </cell>
          <cell r="AA41">
            <v>1.2358032520162701</v>
          </cell>
          <cell r="AF41">
            <v>5.4002321817783999E-4</v>
          </cell>
          <cell r="AG41">
            <v>4.1581286879433898E-4</v>
          </cell>
          <cell r="AR41">
            <v>1.9417481829103801E-3</v>
          </cell>
          <cell r="BC41">
            <v>0</v>
          </cell>
          <cell r="BF41">
            <v>1.9417481829103801E-3</v>
          </cell>
        </row>
        <row r="42">
          <cell r="O42">
            <v>1.2371344131525399</v>
          </cell>
          <cell r="P42">
            <v>1.23810248655462</v>
          </cell>
          <cell r="Q42">
            <v>1.2368523787296299</v>
          </cell>
          <cell r="U42">
            <v>7.9474003339268103E-4</v>
          </cell>
          <cell r="V42">
            <v>1.50308661939729E-3</v>
          </cell>
          <cell r="W42">
            <v>5.4246992135660501E-4</v>
          </cell>
          <cell r="Y42">
            <v>1.2358474847357901</v>
          </cell>
          <cell r="Z42">
            <v>1.23601632421716</v>
          </cell>
          <cell r="AA42">
            <v>1.2358410013730099</v>
          </cell>
          <cell r="AF42">
            <v>-3.7246933409692097E-4</v>
          </cell>
          <cell r="AG42">
            <v>-4.5844896218953798E-4</v>
          </cell>
          <cell r="AR42">
            <v>1.9417481829103801E-3</v>
          </cell>
          <cell r="BC42">
            <v>0</v>
          </cell>
          <cell r="BF42">
            <v>1.9417481829103801E-3</v>
          </cell>
        </row>
        <row r="43">
          <cell r="O43">
            <v>1.2371344131525399</v>
          </cell>
          <cell r="P43">
            <v>1.23821690152217</v>
          </cell>
          <cell r="Q43">
            <v>1.2368881601350199</v>
          </cell>
          <cell r="U43">
            <v>6.08922925066956E-4</v>
          </cell>
          <cell r="V43">
            <v>1.3911296314693599E-3</v>
          </cell>
          <cell r="W43">
            <v>3.8092298177118102E-4</v>
          </cell>
          <cell r="Y43">
            <v>1.2358474847357901</v>
          </cell>
          <cell r="Z43">
            <v>1.2361459676470701</v>
          </cell>
          <cell r="AA43">
            <v>1.23588446189115</v>
          </cell>
          <cell r="AF43">
            <v>-4.7068187343918299E-4</v>
          </cell>
          <cell r="AG43">
            <v>-6.1253702230305298E-4</v>
          </cell>
          <cell r="AR43">
            <v>1.9417481829103801E-3</v>
          </cell>
          <cell r="BC43">
            <v>0</v>
          </cell>
          <cell r="BF43">
            <v>1.9417481829103801E-3</v>
          </cell>
        </row>
        <row r="44">
          <cell r="O44">
            <v>1.2371344131525399</v>
          </cell>
          <cell r="P44">
            <v>1.2381742224443399</v>
          </cell>
          <cell r="Q44">
            <v>1.2368567425944901</v>
          </cell>
          <cell r="U44">
            <v>1.3960146618839701E-3</v>
          </cell>
          <cell r="V44">
            <v>2.2706286467513801E-3</v>
          </cell>
          <cell r="W44">
            <v>1.1969437067600099E-3</v>
          </cell>
          <cell r="Y44">
            <v>1.2358474847357901</v>
          </cell>
          <cell r="Z44">
            <v>1.2361194209031601</v>
          </cell>
          <cell r="AA44">
            <v>1.2358611378306701</v>
          </cell>
          <cell r="AF44">
            <v>4.1555688055631599E-4</v>
          </cell>
          <cell r="AG44">
            <v>2.0398524796525001E-4</v>
          </cell>
          <cell r="AR44">
            <v>1.9417481829103801E-3</v>
          </cell>
          <cell r="BC44">
            <v>0</v>
          </cell>
          <cell r="BF44">
            <v>1.9417481829103801E-3</v>
          </cell>
        </row>
        <row r="45">
          <cell r="O45">
            <v>1.2371344131525399</v>
          </cell>
          <cell r="P45">
            <v>1.23813151417033</v>
          </cell>
          <cell r="Q45">
            <v>1.2368367734040999</v>
          </cell>
          <cell r="U45">
            <v>1.4886544322037299E-3</v>
          </cell>
          <cell r="V45">
            <v>2.3287996472375E-3</v>
          </cell>
          <cell r="W45">
            <v>1.2641826845418099E-3</v>
          </cell>
          <cell r="Y45">
            <v>1.2358474847357901</v>
          </cell>
          <cell r="Z45">
            <v>1.2360928774287601</v>
          </cell>
          <cell r="AA45">
            <v>1.23584923996979</v>
          </cell>
          <cell r="AF45">
            <v>4.8613340114294002E-4</v>
          </cell>
          <cell r="AG45">
            <v>2.77164869802665E-4</v>
          </cell>
          <cell r="AR45">
            <v>1.9417481829103801E-3</v>
          </cell>
          <cell r="BC45">
            <v>0</v>
          </cell>
          <cell r="BF45">
            <v>1.9417481829103801E-3</v>
          </cell>
        </row>
        <row r="46">
          <cell r="O46">
            <v>1.2371344131525399</v>
          </cell>
          <cell r="P46">
            <v>1.23766879114045</v>
          </cell>
          <cell r="Q46">
            <v>1.23687113109785</v>
          </cell>
          <cell r="U46">
            <v>7.0187233024821504E-4</v>
          </cell>
          <cell r="V46">
            <v>1.5075240064680599E-3</v>
          </cell>
          <cell r="W46">
            <v>4.6125534045101101E-4</v>
          </cell>
          <cell r="Y46">
            <v>1.2358474847357901</v>
          </cell>
          <cell r="Z46">
            <v>1.2360820403042301</v>
          </cell>
          <cell r="AA46">
            <v>1.2358913044461699</v>
          </cell>
          <cell r="AF46">
            <v>-3.1639105135781699E-4</v>
          </cell>
          <cell r="AG46">
            <v>-5.1351335292738399E-4</v>
          </cell>
          <cell r="AR46">
            <v>1.9417481829103801E-3</v>
          </cell>
          <cell r="BC46">
            <v>0</v>
          </cell>
          <cell r="BF46">
            <v>1.9417481829103801E-3</v>
          </cell>
        </row>
        <row r="47">
          <cell r="O47">
            <v>1.2371344131525399</v>
          </cell>
          <cell r="P47">
            <v>1.23716862444186</v>
          </cell>
          <cell r="Q47">
            <v>1.2368440875911799</v>
          </cell>
          <cell r="U47">
            <v>1.30329332506713E-3</v>
          </cell>
          <cell r="V47">
            <v>1.7351482663285299E-3</v>
          </cell>
          <cell r="W47">
            <v>1.09045463010795E-3</v>
          </cell>
          <cell r="Y47">
            <v>1.2358474847357901</v>
          </cell>
          <cell r="Z47">
            <v>1.23603425479204</v>
          </cell>
          <cell r="AA47">
            <v>1.23587232994531</v>
          </cell>
          <cell r="AF47">
            <v>2.7170787026942498E-4</v>
          </cell>
          <cell r="AG47">
            <v>1.1738916869671201E-4</v>
          </cell>
          <cell r="AR47">
            <v>1.9417481829103801E-3</v>
          </cell>
          <cell r="BC47">
            <v>0</v>
          </cell>
          <cell r="BF47">
            <v>1.9417481829103801E-3</v>
          </cell>
        </row>
        <row r="48">
          <cell r="O48">
            <v>1.2371344131525399</v>
          </cell>
          <cell r="P48">
            <v>1.23671455690553</v>
          </cell>
          <cell r="Q48">
            <v>1.2369185573147801</v>
          </cell>
          <cell r="U48">
            <v>5.3719061467470404E-4</v>
          </cell>
          <cell r="V48">
            <v>5.6484388818371298E-4</v>
          </cell>
          <cell r="W48">
            <v>3.0248723095486601E-4</v>
          </cell>
          <cell r="Y48">
            <v>1.2358474847357901</v>
          </cell>
          <cell r="Z48">
            <v>1.23603228191449</v>
          </cell>
          <cell r="AA48">
            <v>1.2359543592220199</v>
          </cell>
          <cell r="AF48">
            <v>-5.2780834890259502E-4</v>
          </cell>
          <cell r="AG48">
            <v>-6.5882045749689395E-4</v>
          </cell>
          <cell r="AR48">
            <v>1.9417481829103801E-3</v>
          </cell>
          <cell r="BC48">
            <v>0</v>
          </cell>
          <cell r="BF48">
            <v>1.9417481829103801E-3</v>
          </cell>
        </row>
        <row r="49">
          <cell r="O49">
            <v>1.2371344131525399</v>
          </cell>
          <cell r="P49">
            <v>1.2361230593094299</v>
          </cell>
          <cell r="Q49">
            <v>1.23691867577299</v>
          </cell>
          <cell r="U49">
            <v>1.2559393442344599E-3</v>
          </cell>
          <cell r="V49">
            <v>9.1650370679568398E-4</v>
          </cell>
          <cell r="W49">
            <v>1.08144361525774E-3</v>
          </cell>
          <cell r="Y49">
            <v>1.2358474847357901</v>
          </cell>
          <cell r="Z49">
            <v>1.23589391145059</v>
          </cell>
          <cell r="AA49">
            <v>1.2359624871700201</v>
          </cell>
          <cell r="AF49">
            <v>1.8365644724749699E-4</v>
          </cell>
          <cell r="AG49">
            <v>1.20611856959575E-4</v>
          </cell>
          <cell r="AR49">
            <v>1.9417481829103801E-3</v>
          </cell>
          <cell r="BC49">
            <v>0</v>
          </cell>
          <cell r="BF49">
            <v>1.9417481829103801E-3</v>
          </cell>
        </row>
        <row r="50">
          <cell r="O50">
            <v>1.2371344131525399</v>
          </cell>
          <cell r="P50">
            <v>1.2357839150788601</v>
          </cell>
          <cell r="Q50">
            <v>1.2369302610348301</v>
          </cell>
          <cell r="U50">
            <v>1.1627091881183901E-3</v>
          </cell>
          <cell r="V50">
            <v>3.4487771626814598E-4</v>
          </cell>
          <cell r="W50">
            <v>9.8830922793655802E-4</v>
          </cell>
          <cell r="Y50">
            <v>1.2358474847357901</v>
          </cell>
          <cell r="Z50">
            <v>1.23600528577854</v>
          </cell>
          <cell r="AA50">
            <v>1.2359820271563999</v>
          </cell>
          <cell r="AF50">
            <v>-2.0931994850008698E-5</v>
          </cell>
          <cell r="AG50">
            <v>3.45532020106705E-5</v>
          </cell>
          <cell r="AR50">
            <v>1.9417481829103801E-3</v>
          </cell>
          <cell r="BC50">
            <v>0</v>
          </cell>
          <cell r="BF50">
            <v>1.9417481829103801E-3</v>
          </cell>
        </row>
        <row r="51">
          <cell r="O51">
            <v>1.2371344131525399</v>
          </cell>
          <cell r="P51">
            <v>1.2358843966211599</v>
          </cell>
          <cell r="Q51">
            <v>1.23694772007705</v>
          </cell>
          <cell r="U51">
            <v>8.6044794101740102E-4</v>
          </cell>
          <cell r="V51">
            <v>-2.3178239471081599E-4</v>
          </cell>
          <cell r="W51">
            <v>6.9541416457365602E-4</v>
          </cell>
          <cell r="Y51">
            <v>1.2358474847357901</v>
          </cell>
          <cell r="Z51">
            <v>1.2361051919536901</v>
          </cell>
          <cell r="AA51">
            <v>1.2360073512209699</v>
          </cell>
          <cell r="AF51">
            <v>-2.3078003601031101E-4</v>
          </cell>
          <cell r="AG51">
            <v>-2.49597788041422E-4</v>
          </cell>
          <cell r="AR51">
            <v>1.9417481829103801E-3</v>
          </cell>
          <cell r="BC51">
            <v>0</v>
          </cell>
          <cell r="BF51">
            <v>1.9417481829103801E-3</v>
          </cell>
        </row>
        <row r="52">
          <cell r="O52">
            <v>1.2371344131525399</v>
          </cell>
          <cell r="P52">
            <v>1.2359020487713099</v>
          </cell>
          <cell r="Q52">
            <v>1.2370022676629699</v>
          </cell>
          <cell r="U52">
            <v>6.5195099474222196E-4</v>
          </cell>
          <cell r="V52">
            <v>-3.58972685167853E-4</v>
          </cell>
          <cell r="W52">
            <v>5.0103193402503601E-4</v>
          </cell>
          <cell r="Y52">
            <v>1.2358474847357901</v>
          </cell>
          <cell r="Z52">
            <v>1.23612282395499</v>
          </cell>
          <cell r="AA52">
            <v>1.2360695740860701</v>
          </cell>
          <cell r="AF52">
            <v>-3.5675281839515698E-4</v>
          </cell>
          <cell r="AG52">
            <v>-4.3590838357830799E-4</v>
          </cell>
          <cell r="AR52">
            <v>1.9417481829103801E-3</v>
          </cell>
          <cell r="BC52">
            <v>0</v>
          </cell>
          <cell r="BF52">
            <v>1.9417481829103801E-3</v>
          </cell>
        </row>
        <row r="53">
          <cell r="O53">
            <v>1.2371344131525399</v>
          </cell>
          <cell r="P53">
            <v>1.2357846988716801</v>
          </cell>
          <cell r="Q53">
            <v>1.2370008001969299</v>
          </cell>
          <cell r="U53">
            <v>1.5585136658762099E-3</v>
          </cell>
          <cell r="V53">
            <v>5.6187289473354001E-4</v>
          </cell>
          <cell r="W53">
            <v>1.45169217074732E-3</v>
          </cell>
          <cell r="Y53">
            <v>1.2358474847357901</v>
          </cell>
          <cell r="Z53">
            <v>1.23600642871874</v>
          </cell>
          <cell r="AA53">
            <v>1.2360761981829</v>
          </cell>
          <cell r="AF53">
            <v>5.57174829033794E-4</v>
          </cell>
          <cell r="AG53">
            <v>5.1409576369311103E-4</v>
          </cell>
          <cell r="AR53">
            <v>1.9417481829103801E-3</v>
          </cell>
          <cell r="BC53">
            <v>0</v>
          </cell>
          <cell r="BF53">
            <v>1.9417481829103801E-3</v>
          </cell>
        </row>
        <row r="54">
          <cell r="O54">
            <v>1.2371344131525399</v>
          </cell>
          <cell r="P54">
            <v>1.2357904964800199</v>
          </cell>
          <cell r="Q54">
            <v>1.23698235946218</v>
          </cell>
          <cell r="U54">
            <v>1.3490870907348501E-3</v>
          </cell>
          <cell r="V54">
            <v>2.5749100227162803E-4</v>
          </cell>
          <cell r="W54">
            <v>1.2410792866154E-3</v>
          </cell>
          <cell r="Y54">
            <v>1.2358474847357901</v>
          </cell>
          <cell r="Z54">
            <v>1.23601228263164</v>
          </cell>
          <cell r="AA54">
            <v>1.2360658517673999</v>
          </cell>
          <cell r="AF54">
            <v>2.5529354352463402E-4</v>
          </cell>
          <cell r="AG54">
            <v>3.1173944336998998E-4</v>
          </cell>
          <cell r="AR54">
            <v>1.9417481829103801E-3</v>
          </cell>
          <cell r="BC54">
            <v>0</v>
          </cell>
          <cell r="BF54">
            <v>1.9417481829103801E-3</v>
          </cell>
        </row>
        <row r="55">
          <cell r="O55">
            <v>1.2371344131525399</v>
          </cell>
          <cell r="P55">
            <v>1.23576745102286</v>
          </cell>
          <cell r="Q55">
            <v>1.2369494825965901</v>
          </cell>
          <cell r="U55">
            <v>1.6752302991566101E-3</v>
          </cell>
          <cell r="V55">
            <v>5.8832563853648096E-4</v>
          </cell>
          <cell r="W55">
            <v>1.55231476644476E-3</v>
          </cell>
          <cell r="Y55">
            <v>1.2358474847357901</v>
          </cell>
          <cell r="Z55">
            <v>1.23598956589827</v>
          </cell>
          <cell r="AA55">
            <v>1.2360412216635199</v>
          </cell>
          <cell r="AF55">
            <v>5.8333742037937201E-4</v>
          </cell>
          <cell r="AG55">
            <v>6.2667677525411302E-4</v>
          </cell>
          <cell r="AR55">
            <v>1.9417481829103801E-3</v>
          </cell>
          <cell r="BC55">
            <v>0</v>
          </cell>
          <cell r="BF55">
            <v>1.9417481829103801E-3</v>
          </cell>
        </row>
        <row r="56">
          <cell r="O56">
            <v>1.2371344131525399</v>
          </cell>
          <cell r="P56">
            <v>1.2360858544448601</v>
          </cell>
          <cell r="Q56">
            <v>1.2368773227926499</v>
          </cell>
          <cell r="U56">
            <v>-1.87034102835576E-3</v>
          </cell>
          <cell r="V56">
            <v>-2.9758942156578598E-3</v>
          </cell>
          <cell r="W56">
            <v>-2.01983519596263E-3</v>
          </cell>
          <cell r="Y56">
            <v>1.2358474847357901</v>
          </cell>
          <cell r="Z56">
            <v>1.23586857827701</v>
          </cell>
          <cell r="AA56">
            <v>1.2359753092906201</v>
          </cell>
          <cell r="AF56">
            <v>5.7898644880603105E-4</v>
          </cell>
          <cell r="AG56">
            <v>6.2077861863832004E-4</v>
          </cell>
          <cell r="AR56">
            <v>1.9417481829103801E-3</v>
          </cell>
          <cell r="BC56">
            <v>0</v>
          </cell>
          <cell r="BF56">
            <v>1.9417481829103801E-3</v>
          </cell>
        </row>
        <row r="57">
          <cell r="O57">
            <v>1.2371344131525399</v>
          </cell>
          <cell r="P57">
            <v>1.2365021088246599</v>
          </cell>
          <cell r="Q57">
            <v>1.2368353666332601</v>
          </cell>
          <cell r="U57">
            <v>-2.0600978912796802E-3</v>
          </cell>
          <cell r="V57">
            <v>-2.9080278425601602E-3</v>
          </cell>
          <cell r="W57">
            <v>-2.2679306651318802E-3</v>
          </cell>
          <cell r="Y57">
            <v>1.2358474847357901</v>
          </cell>
          <cell r="Z57">
            <v>1.2358442346479599</v>
          </cell>
          <cell r="AA57">
            <v>1.2359392447199999</v>
          </cell>
          <cell r="AF57">
            <v>2.96015293834172E-4</v>
          </cell>
          <cell r="AG57">
            <v>3.8237270031174199E-4</v>
          </cell>
          <cell r="AR57">
            <v>1.9417481829103801E-3</v>
          </cell>
          <cell r="BC57">
            <v>0</v>
          </cell>
          <cell r="BF57">
            <v>1.9417481829103801E-3</v>
          </cell>
        </row>
        <row r="58">
          <cell r="O58">
            <v>1.2371344131525399</v>
          </cell>
          <cell r="P58">
            <v>1.23686099837816</v>
          </cell>
          <cell r="Q58">
            <v>1.2367877776418501</v>
          </cell>
          <cell r="U58">
            <v>-2.3611385842199199E-3</v>
          </cell>
          <cell r="V58">
            <v>-2.87237322684633E-3</v>
          </cell>
          <cell r="W58">
            <v>-2.6028929687561199E-3</v>
          </cell>
          <cell r="Y58">
            <v>1.2358474847357901</v>
          </cell>
          <cell r="Z58">
            <v>1.23576296238988</v>
          </cell>
          <cell r="AA58">
            <v>1.23589762215219</v>
          </cell>
          <cell r="AF58">
            <v>-2.4160488434059798E-5</v>
          </cell>
          <cell r="AG58">
            <v>5.2715235414712402E-5</v>
          </cell>
          <cell r="AR58">
            <v>1.9417481829103801E-3</v>
          </cell>
          <cell r="BC58">
            <v>0</v>
          </cell>
          <cell r="BF58">
            <v>1.9417481829103801E-3</v>
          </cell>
        </row>
        <row r="59">
          <cell r="O59">
            <v>1.2371344131525399</v>
          </cell>
          <cell r="P59">
            <v>1.2373185841418199</v>
          </cell>
          <cell r="Q59">
            <v>1.23672082172562</v>
          </cell>
          <cell r="U59">
            <v>-2.4406237076858598E-3</v>
          </cell>
          <cell r="V59">
            <v>-2.6616546556159802E-3</v>
          </cell>
          <cell r="W59">
            <v>-2.7208552479113901E-3</v>
          </cell>
          <cell r="Y59">
            <v>1.2358474847357901</v>
          </cell>
          <cell r="Z59">
            <v>1.2357785747866199</v>
          </cell>
          <cell r="AA59">
            <v>1.2358362431186101</v>
          </cell>
          <cell r="AF59">
            <v>-1.6058346988636501E-4</v>
          </cell>
          <cell r="AG59">
            <v>-5.1620480970137399E-5</v>
          </cell>
          <cell r="AR59">
            <v>1.9417481829103801E-3</v>
          </cell>
          <cell r="BC59">
            <v>0</v>
          </cell>
          <cell r="BF59">
            <v>1.9417481829103801E-3</v>
          </cell>
        </row>
        <row r="60">
          <cell r="O60">
            <v>1.2371344131525399</v>
          </cell>
          <cell r="P60">
            <v>1.2378393641337899</v>
          </cell>
          <cell r="Q60">
            <v>1.23681163960632</v>
          </cell>
          <cell r="U60">
            <v>-3.0428989531877202E-3</v>
          </cell>
          <cell r="V60">
            <v>-2.8940410118018802E-3</v>
          </cell>
          <cell r="W60">
            <v>-3.3772689073717698E-3</v>
          </cell>
          <cell r="Y60">
            <v>1.2358474847357901</v>
          </cell>
          <cell r="Z60">
            <v>1.23585706196526</v>
          </cell>
          <cell r="AA60">
            <v>1.2359311738719001</v>
          </cell>
          <cell r="AF60">
            <v>-7.4910800521177997E-4</v>
          </cell>
          <cell r="AG60">
            <v>-7.02443507509388E-4</v>
          </cell>
          <cell r="AR60">
            <v>1.9417481829103801E-3</v>
          </cell>
          <cell r="BC60">
            <v>0</v>
          </cell>
          <cell r="BF60">
            <v>1.9417481829103801E-3</v>
          </cell>
        </row>
        <row r="61">
          <cell r="O61">
            <v>1.2371344131525399</v>
          </cell>
          <cell r="P61">
            <v>1.23827550559845</v>
          </cell>
          <cell r="Q61">
            <v>1.2370799511098101</v>
          </cell>
          <cell r="U61">
            <v>-2.6617933846673301E-3</v>
          </cell>
          <cell r="V61">
            <v>-2.0921299750745101E-3</v>
          </cell>
          <cell r="W61">
            <v>-2.9227316114222301E-3</v>
          </cell>
          <cell r="Y61">
            <v>1.2358474847357901</v>
          </cell>
          <cell r="Z61">
            <v>1.23585250859284</v>
          </cell>
          <cell r="AA61">
            <v>1.23597885027326</v>
          </cell>
          <cell r="AF61">
            <v>-3.1387729075718098E-4</v>
          </cell>
          <cell r="AG61">
            <v>-2.53911064211961E-4</v>
          </cell>
          <cell r="AR61">
            <v>1.9417481829103801E-3</v>
          </cell>
          <cell r="BC61">
            <v>0</v>
          </cell>
          <cell r="BF61">
            <v>1.9417481829103801E-3</v>
          </cell>
        </row>
        <row r="62">
          <cell r="O62">
            <v>1.2371344131525399</v>
          </cell>
          <cell r="P62">
            <v>1.2386270298581199</v>
          </cell>
          <cell r="Q62">
            <v>1.2372645393147099</v>
          </cell>
          <cell r="U62">
            <v>-2.1873070846425298E-3</v>
          </cell>
          <cell r="V62">
            <v>-1.2653648090682301E-3</v>
          </cell>
          <cell r="W62">
            <v>-2.2313307905326299E-3</v>
          </cell>
          <cell r="Y62">
            <v>1.2358474847357901</v>
          </cell>
          <cell r="Z62">
            <v>1.23576518369736</v>
          </cell>
          <cell r="AA62">
            <v>1.23594400382617</v>
          </cell>
          <cell r="AF62">
            <v>1.45256774982269E-4</v>
          </cell>
          <cell r="AG62">
            <v>2.4748193697170901E-4</v>
          </cell>
          <cell r="AR62">
            <v>1.9417481829103801E-3</v>
          </cell>
          <cell r="BC62">
            <v>0</v>
          </cell>
          <cell r="BF62">
            <v>1.9417481829103801E-3</v>
          </cell>
        </row>
        <row r="63">
          <cell r="O63">
            <v>1.2371344131525399</v>
          </cell>
          <cell r="P63">
            <v>1.23869900321338</v>
          </cell>
          <cell r="Q63">
            <v>1.23724185104253</v>
          </cell>
          <cell r="U63">
            <v>9.7600120757245705E-4</v>
          </cell>
          <cell r="V63">
            <v>2.1817853033196302E-3</v>
          </cell>
          <cell r="W63">
            <v>1.0811792041638001E-3</v>
          </cell>
          <cell r="Y63">
            <v>1.2358474847357901</v>
          </cell>
          <cell r="Z63">
            <v>1.2358543254196399</v>
          </cell>
          <cell r="AA63">
            <v>1.2359303770691901</v>
          </cell>
          <cell r="AF63">
            <v>-4.5347265281709499E-4</v>
          </cell>
          <cell r="AG63">
            <v>-3.08779150820202E-4</v>
          </cell>
          <cell r="AR63">
            <v>1.9417481829103801E-3</v>
          </cell>
          <cell r="BC63">
            <v>0</v>
          </cell>
          <cell r="BF63">
            <v>1.9417481829103801E-3</v>
          </cell>
        </row>
        <row r="64">
          <cell r="O64">
            <v>1.2371344131525399</v>
          </cell>
          <cell r="P64">
            <v>1.23867313196999</v>
          </cell>
          <cell r="Q64">
            <v>1.2372318142250101</v>
          </cell>
          <cell r="U64">
            <v>1.5585136658762099E-3</v>
          </cell>
          <cell r="V64">
            <v>2.82240344034099E-3</v>
          </cell>
          <cell r="W64">
            <v>1.6453540479227E-3</v>
          </cell>
          <cell r="Y64">
            <v>1.2358474847357901</v>
          </cell>
          <cell r="Z64">
            <v>1.23584655643675</v>
          </cell>
          <cell r="AA64">
            <v>1.2359294195341901</v>
          </cell>
          <cell r="AF64">
            <v>1.95099236340642E-4</v>
          </cell>
          <cell r="AG64">
            <v>2.5663505658715701E-4</v>
          </cell>
          <cell r="AR64">
            <v>1.9417481829103801E-3</v>
          </cell>
          <cell r="BC64">
            <v>0</v>
          </cell>
          <cell r="BF64">
            <v>1.9417481829103801E-3</v>
          </cell>
        </row>
        <row r="65">
          <cell r="O65">
            <v>1.2371344131525399</v>
          </cell>
          <cell r="P65">
            <v>1.2387105737877599</v>
          </cell>
          <cell r="Q65">
            <v>1.2372390124053101</v>
          </cell>
          <cell r="U65">
            <v>1.37211925592883E-3</v>
          </cell>
          <cell r="V65">
            <v>2.61512299311416E-3</v>
          </cell>
          <cell r="W65">
            <v>1.45084735320068E-3</v>
          </cell>
          <cell r="Y65">
            <v>1.2358474847357901</v>
          </cell>
          <cell r="Z65">
            <v>1.23590155163427</v>
          </cell>
          <cell r="AA65">
            <v>1.23594555876627</v>
          </cell>
          <cell r="AF65">
            <v>4.1459849421008499E-6</v>
          </cell>
          <cell r="AG65">
            <v>7.1193402085981204E-5</v>
          </cell>
          <cell r="AR65">
            <v>1.9417481829103801E-3</v>
          </cell>
          <cell r="BC65">
            <v>0</v>
          </cell>
          <cell r="BF65">
            <v>1.9417481829103801E-3</v>
          </cell>
        </row>
        <row r="66">
          <cell r="O66">
            <v>1.2371344131525399</v>
          </cell>
          <cell r="P66">
            <v>1.2382863120229</v>
          </cell>
          <cell r="Q66">
            <v>1.2371860832338799</v>
          </cell>
          <cell r="U66">
            <v>1.5585136658762099E-3</v>
          </cell>
          <cell r="V66">
            <v>2.83174430548273E-3</v>
          </cell>
          <cell r="W66">
            <v>1.64305971842369E-3</v>
          </cell>
          <cell r="Y66">
            <v>1.2358474847357901</v>
          </cell>
          <cell r="Z66">
            <v>1.2359354599229999</v>
          </cell>
          <cell r="AA66">
            <v>1.2359020191000101</v>
          </cell>
          <cell r="AF66">
            <v>2.3331192155920399E-4</v>
          </cell>
          <cell r="AG66">
            <v>2.6891859951253298E-4</v>
          </cell>
          <cell r="AR66">
            <v>1.9417481829103801E-3</v>
          </cell>
          <cell r="BC66">
            <v>0</v>
          </cell>
          <cell r="BF66">
            <v>1.9417481829103801E-3</v>
          </cell>
        </row>
        <row r="67">
          <cell r="O67">
            <v>1.2371344131525399</v>
          </cell>
          <cell r="P67">
            <v>1.2378759084754201</v>
          </cell>
          <cell r="Q67">
            <v>1.2371890086500399</v>
          </cell>
          <cell r="U67">
            <v>1.2559393442344599E-3</v>
          </cell>
          <cell r="V67">
            <v>2.1866085769750398E-3</v>
          </cell>
          <cell r="W67">
            <v>1.2977044117945299E-3</v>
          </cell>
          <cell r="Y67">
            <v>1.2358474847357901</v>
          </cell>
          <cell r="Z67">
            <v>1.2359834665398599</v>
          </cell>
          <cell r="AA67">
            <v>1.23591385059391</v>
          </cell>
          <cell r="AF67">
            <v>-3.8352936616807402E-5</v>
          </cell>
          <cell r="AG67">
            <v>-6.5410397538538599E-5</v>
          </cell>
          <cell r="AR67">
            <v>1.9417481829103801E-3</v>
          </cell>
          <cell r="BC67">
            <v>0</v>
          </cell>
          <cell r="BF67">
            <v>1.9417481829103801E-3</v>
          </cell>
        </row>
        <row r="68">
          <cell r="O68">
            <v>1.2371344131525399</v>
          </cell>
          <cell r="P68">
            <v>1.23746552307719</v>
          </cell>
          <cell r="Q68">
            <v>1.2371632607276799</v>
          </cell>
          <cell r="U68">
            <v>9.5375203913398499E-4</v>
          </cell>
          <cell r="V68">
            <v>1.5529376979432101E-3</v>
          </cell>
          <cell r="W68">
            <v>9.9788167637320695E-4</v>
          </cell>
          <cell r="Y68">
            <v>1.2358474847357901</v>
          </cell>
          <cell r="Z68">
            <v>1.2360312704956</v>
          </cell>
          <cell r="AA68">
            <v>1.2358971164427399</v>
          </cell>
          <cell r="AF68">
            <v>-2.98233483625919E-4</v>
          </cell>
          <cell r="AG68">
            <v>-3.5455940419286001E-4</v>
          </cell>
          <cell r="AR68">
            <v>1.9417481829103801E-3</v>
          </cell>
          <cell r="BC68">
            <v>0</v>
          </cell>
          <cell r="BF68">
            <v>1.9417481829103801E-3</v>
          </cell>
        </row>
        <row r="69">
          <cell r="O69">
            <v>1.2371344131525399</v>
          </cell>
          <cell r="P69">
            <v>1.23705681316887</v>
          </cell>
          <cell r="Q69">
            <v>1.2371876986553401</v>
          </cell>
          <cell r="U69">
            <v>8.6044794101740102E-4</v>
          </cell>
          <cell r="V69">
            <v>1.1280547745771399E-3</v>
          </cell>
          <cell r="W69">
            <v>8.8376572969202805E-4</v>
          </cell>
          <cell r="Y69">
            <v>1.2358474847357901</v>
          </cell>
          <cell r="Z69">
            <v>1.2360817707446301</v>
          </cell>
          <cell r="AA69">
            <v>1.23593017276563</v>
          </cell>
          <cell r="AF69">
            <v>-3.5199501196764402E-4</v>
          </cell>
          <cell r="AG69">
            <v>-4.6053703422009601E-4</v>
          </cell>
          <cell r="AR69">
            <v>1.9417481829103801E-3</v>
          </cell>
          <cell r="BC69">
            <v>0</v>
          </cell>
          <cell r="BF69">
            <v>1.9417481829103801E-3</v>
          </cell>
        </row>
        <row r="70">
          <cell r="O70">
            <v>1.2371344131525399</v>
          </cell>
          <cell r="P70">
            <v>1.23655033540031</v>
          </cell>
          <cell r="Q70">
            <v>1.23719484976705</v>
          </cell>
          <cell r="U70">
            <v>1.0469737136851601E-3</v>
          </cell>
          <cell r="V70">
            <v>9.8424615821239591E-4</v>
          </cell>
          <cell r="W70">
            <v>1.0900445026946299E-3</v>
          </cell>
          <cell r="Y70">
            <v>1.2358474847357901</v>
          </cell>
          <cell r="Z70">
            <v>1.23603510070539</v>
          </cell>
          <cell r="AA70">
            <v>1.23594608133533</v>
          </cell>
          <cell r="AF70">
            <v>-1.26344577873718E-4</v>
          </cell>
          <cell r="AG70">
            <v>-2.4899607200895899E-4</v>
          </cell>
          <cell r="AR70">
            <v>1.9417481829103801E-3</v>
          </cell>
          <cell r="BC70">
            <v>0</v>
          </cell>
          <cell r="BF70">
            <v>1.9417481829103801E-3</v>
          </cell>
        </row>
        <row r="71">
          <cell r="O71">
            <v>1.2371344131525399</v>
          </cell>
          <cell r="P71">
            <v>1.2360193509344299</v>
          </cell>
          <cell r="Q71">
            <v>1.2371474282664401</v>
          </cell>
          <cell r="U71">
            <v>1.62803696779766E-3</v>
          </cell>
          <cell r="V71">
            <v>1.15580398545881E-3</v>
          </cell>
          <cell r="W71">
            <v>1.6768878749299501E-3</v>
          </cell>
          <cell r="Y71">
            <v>1.2358474847357901</v>
          </cell>
          <cell r="Z71">
            <v>1.23596332717541</v>
          </cell>
          <cell r="AA71">
            <v>1.2359079178841299</v>
          </cell>
          <cell r="AF71">
            <v>4.1091877552360299E-4</v>
          </cell>
          <cell r="AG71">
            <v>3.3889608315776099E-4</v>
          </cell>
          <cell r="AR71">
            <v>1.9417481829103801E-3</v>
          </cell>
          <cell r="BC71">
            <v>0</v>
          </cell>
          <cell r="BF71">
            <v>1.9417481829103801E-3</v>
          </cell>
        </row>
        <row r="72">
          <cell r="O72">
            <v>1.2371344131525399</v>
          </cell>
          <cell r="P72">
            <v>1.2355472092967099</v>
          </cell>
          <cell r="Q72">
            <v>1.23708711957741</v>
          </cell>
          <cell r="U72">
            <v>1.62803696779766E-3</v>
          </cell>
          <cell r="V72">
            <v>7.2630387714860405E-4</v>
          </cell>
          <cell r="W72">
            <v>1.6385572841829199E-3</v>
          </cell>
          <cell r="Y72">
            <v>1.2358474847357901</v>
          </cell>
          <cell r="Z72">
            <v>1.2359487561089599</v>
          </cell>
          <cell r="AA72">
            <v>1.2358569699031601</v>
          </cell>
          <cell r="AF72">
            <v>3.5284953956577902E-4</v>
          </cell>
          <cell r="AG72">
            <v>3.0801768078059802E-4</v>
          </cell>
          <cell r="AR72">
            <v>1.9417481829103801E-3</v>
          </cell>
          <cell r="BC72">
            <v>0</v>
          </cell>
          <cell r="BF72">
            <v>1.9417481829103801E-3</v>
          </cell>
        </row>
        <row r="73">
          <cell r="O73">
            <v>1.2371344131525399</v>
          </cell>
          <cell r="P73">
            <v>1.23541786817951</v>
          </cell>
          <cell r="Q73">
            <v>1.23705843569644</v>
          </cell>
          <cell r="U73">
            <v>2.02305968674058E-3</v>
          </cell>
          <cell r="V73">
            <v>7.3926798512289596E-4</v>
          </cell>
          <cell r="W73">
            <v>1.9848306320614799E-3</v>
          </cell>
          <cell r="Y73">
            <v>1.2358474847357901</v>
          </cell>
          <cell r="Z73">
            <v>1.2358206531801099</v>
          </cell>
          <cell r="AA73">
            <v>1.23583748929988</v>
          </cell>
          <cell r="AF73">
            <v>7.3176151485414005E-4</v>
          </cell>
          <cell r="AG73">
            <v>6.5749499392121996E-4</v>
          </cell>
          <cell r="AR73">
            <v>1.9417481829103801E-3</v>
          </cell>
          <cell r="BC73">
            <v>0</v>
          </cell>
          <cell r="BF73">
            <v>1.9417481829103801E-3</v>
          </cell>
        </row>
        <row r="74">
          <cell r="O74">
            <v>1.2371344131525399</v>
          </cell>
          <cell r="P74">
            <v>1.23537492309467</v>
          </cell>
          <cell r="Q74">
            <v>1.2370240275323301</v>
          </cell>
          <cell r="U74">
            <v>1.9062490930606499E-3</v>
          </cell>
          <cell r="V74">
            <v>5.1776864574035804E-4</v>
          </cell>
          <cell r="W74">
            <v>1.84483313984932E-3</v>
          </cell>
          <cell r="Y74">
            <v>1.2358474847357901</v>
          </cell>
          <cell r="Z74">
            <v>1.2357780069082001</v>
          </cell>
          <cell r="AA74">
            <v>1.2358122816724699</v>
          </cell>
          <cell r="AF74">
            <v>5.1305488047134003E-4</v>
          </cell>
          <cell r="AG74">
            <v>5.26678220588862E-4</v>
          </cell>
          <cell r="AR74">
            <v>1.9417481829103801E-3</v>
          </cell>
          <cell r="BC74">
            <v>0</v>
          </cell>
          <cell r="BF74">
            <v>1.9417481829103801E-3</v>
          </cell>
        </row>
        <row r="75">
          <cell r="O75">
            <v>1.2371344131525399</v>
          </cell>
          <cell r="P75">
            <v>1.2357314082244999</v>
          </cell>
          <cell r="Q75">
            <v>1.23722099100613</v>
          </cell>
          <cell r="U75">
            <v>-1.5092214143010601E-3</v>
          </cell>
          <cell r="V75">
            <v>-2.9324640521151699E-3</v>
          </cell>
          <cell r="W75">
            <v>-1.5984522561621299E-3</v>
          </cell>
          <cell r="Y75">
            <v>1.2358474847357901</v>
          </cell>
          <cell r="Z75">
            <v>1.2356931974796499</v>
          </cell>
          <cell r="AA75">
            <v>1.2357973745569599</v>
          </cell>
          <cell r="AF75">
            <v>6.3516081761535201E-4</v>
          </cell>
          <cell r="AG75">
            <v>6.6289580624719297E-4</v>
          </cell>
          <cell r="AR75">
            <v>1.9417481829103801E-3</v>
          </cell>
          <cell r="BC75">
            <v>0</v>
          </cell>
          <cell r="BF75">
            <v>1.9417481829103801E-3</v>
          </cell>
        </row>
        <row r="76">
          <cell r="O76">
            <v>1.2371344131525399</v>
          </cell>
          <cell r="P76">
            <v>1.23604811970996</v>
          </cell>
          <cell r="Q76">
            <v>1.23716721586643</v>
          </cell>
          <cell r="U76">
            <v>-1.00223880453326E-3</v>
          </cell>
          <cell r="V76">
            <v>-2.1369587448162699E-3</v>
          </cell>
          <cell r="W76">
            <v>-9.3225867679715905E-4</v>
          </cell>
          <cell r="Y76">
            <v>1.2358474847357901</v>
          </cell>
          <cell r="Z76">
            <v>1.2355687163812299</v>
          </cell>
          <cell r="AA76">
            <v>1.23575208815212</v>
          </cell>
          <cell r="AF76">
            <v>1.07266464605068E-3</v>
          </cell>
          <cell r="AG76">
            <v>1.1569676804628901E-3</v>
          </cell>
          <cell r="AR76">
            <v>1.9417481829103801E-3</v>
          </cell>
          <cell r="BC76">
            <v>0</v>
          </cell>
          <cell r="BF76">
            <v>1.9417481829103801E-3</v>
          </cell>
        </row>
        <row r="77">
          <cell r="O77">
            <v>1.2371344131525399</v>
          </cell>
          <cell r="P77">
            <v>1.2364742942017899</v>
          </cell>
          <cell r="Q77">
            <v>1.2371751013386001</v>
          </cell>
          <cell r="U77">
            <v>-2.1873070846425298E-3</v>
          </cell>
          <cell r="V77">
            <v>-3.0657651021993798E-3</v>
          </cell>
          <cell r="W77">
            <v>-2.1607923594303999E-3</v>
          </cell>
          <cell r="Y77">
            <v>1.2358474847357901</v>
          </cell>
          <cell r="Z77">
            <v>1.2355520381310201</v>
          </cell>
          <cell r="AA77">
            <v>1.23576775233544</v>
          </cell>
          <cell r="AF77">
            <v>-2.00182265665813E-4</v>
          </cell>
          <cell r="AG77">
            <v>-5.1782453800778198E-5</v>
          </cell>
          <cell r="AR77">
            <v>1.9417481829103801E-3</v>
          </cell>
          <cell r="BC77">
            <v>1.18506828010929E-3</v>
          </cell>
          <cell r="BF77">
            <v>3.1268164630196701E-3</v>
          </cell>
        </row>
        <row r="78">
          <cell r="O78">
            <v>1.2371344131525399</v>
          </cell>
          <cell r="P78">
            <v>1.2368631253434801</v>
          </cell>
          <cell r="Q78">
            <v>1.2371643242103301</v>
          </cell>
          <cell r="U78">
            <v>-2.1873070846425298E-3</v>
          </cell>
          <cell r="V78">
            <v>-2.7210365823281701E-3</v>
          </cell>
          <cell r="W78">
            <v>-2.1544185669952099E-3</v>
          </cell>
          <cell r="Y78">
            <v>1.2358474847357901</v>
          </cell>
          <cell r="Z78">
            <v>1.23549843282282</v>
          </cell>
          <cell r="AA78">
            <v>1.2357648516592099</v>
          </cell>
          <cell r="AF78">
            <v>-2.13680796785352E-4</v>
          </cell>
          <cell r="AG78">
            <v>-3.9106704192788297E-5</v>
          </cell>
          <cell r="AR78">
            <v>1.9417481829103801E-3</v>
          </cell>
          <cell r="BC78">
            <v>1.18506828010929E-3</v>
          </cell>
          <cell r="BF78">
            <v>3.1268164630196701E-3</v>
          </cell>
        </row>
        <row r="79">
          <cell r="O79">
            <v>1.2371344131525399</v>
          </cell>
          <cell r="P79">
            <v>1.2372658671714101</v>
          </cell>
          <cell r="Q79">
            <v>1.23716134017014</v>
          </cell>
          <cell r="U79">
            <v>-2.3924989808038698E-3</v>
          </cell>
          <cell r="V79">
            <v>-2.6118102823953402E-3</v>
          </cell>
          <cell r="W79">
            <v>-2.3683215786613099E-3</v>
          </cell>
          <cell r="Y79">
            <v>1.2358474847357901</v>
          </cell>
          <cell r="Z79">
            <v>1.2354588703585201</v>
          </cell>
          <cell r="AA79">
            <v>1.23577032055158</v>
          </cell>
          <cell r="AF79">
            <v>-4.6316037267489399E-4</v>
          </cell>
          <cell r="AG79">
            <v>-2.4754689345121001E-4</v>
          </cell>
          <cell r="AR79">
            <v>1.9417481829103801E-3</v>
          </cell>
          <cell r="BC79">
            <v>1.18506828010929E-3</v>
          </cell>
          <cell r="BF79">
            <v>3.1268164630196701E-3</v>
          </cell>
        </row>
        <row r="80">
          <cell r="O80">
            <v>1.2371344131525399</v>
          </cell>
          <cell r="P80">
            <v>1.2377034092151999</v>
          </cell>
          <cell r="Q80">
            <v>1.23712687230775</v>
          </cell>
          <cell r="U80">
            <v>-2.4872166022779198E-3</v>
          </cell>
          <cell r="V80">
            <v>-2.3809653865480701E-3</v>
          </cell>
          <cell r="W80">
            <v>-2.4654512029212098E-3</v>
          </cell>
          <cell r="Y80">
            <v>1.2358474847357901</v>
          </cell>
          <cell r="Z80">
            <v>1.2354535411541701</v>
          </cell>
          <cell r="AA80">
            <v>1.23574432092978</v>
          </cell>
          <cell r="AF80">
            <v>-5.8729379866289799E-4</v>
          </cell>
          <cell r="AG80">
            <v>-3.3523284385483001E-4</v>
          </cell>
          <cell r="AR80">
            <v>1.9417481829103801E-3</v>
          </cell>
          <cell r="BC80">
            <v>1.18506828010929E-3</v>
          </cell>
          <cell r="BF80">
            <v>3.1268164630196701E-3</v>
          </cell>
        </row>
        <row r="81">
          <cell r="O81">
            <v>1.2371344131525399</v>
          </cell>
          <cell r="P81">
            <v>1.2381266032268701</v>
          </cell>
          <cell r="Q81">
            <v>1.2370729770806499</v>
          </cell>
          <cell r="U81">
            <v>-1.7924403470341999E-3</v>
          </cell>
          <cell r="V81">
            <v>-1.3326154101923799E-3</v>
          </cell>
          <cell r="W81">
            <v>-1.7985357782911401E-3</v>
          </cell>
          <cell r="Y81">
            <v>1.2358474847357901</v>
          </cell>
          <cell r="Z81">
            <v>1.23543416444885</v>
          </cell>
          <cell r="AA81">
            <v>1.23569874581213</v>
          </cell>
          <cell r="AF81">
            <v>9.7145717718108895E-5</v>
          </cell>
          <cell r="AG81">
            <v>3.3248080068758098E-4</v>
          </cell>
          <cell r="AR81">
            <v>1.9417481829103801E-3</v>
          </cell>
          <cell r="BC81">
            <v>1.18506828010929E-3</v>
          </cell>
          <cell r="BF81">
            <v>3.1268164630196701E-3</v>
          </cell>
        </row>
        <row r="82">
          <cell r="O82">
            <v>1.2371344131525399</v>
          </cell>
          <cell r="P82">
            <v>1.2385967523913399</v>
          </cell>
          <cell r="Q82">
            <v>1.23707198084402</v>
          </cell>
          <cell r="U82">
            <v>-2.1712365928822199E-3</v>
          </cell>
          <cell r="V82">
            <v>-1.3695513395644201E-3</v>
          </cell>
          <cell r="W82">
            <v>-2.2208978073348499E-3</v>
          </cell>
          <cell r="Y82">
            <v>1.2358474847357901</v>
          </cell>
          <cell r="Z82">
            <v>1.2354602998687001</v>
          </cell>
          <cell r="AA82">
            <v>1.2357045279888299</v>
          </cell>
          <cell r="AF82">
            <v>-2.8689017119491402E-4</v>
          </cell>
          <cell r="AG82">
            <v>-7.2752466827798596E-5</v>
          </cell>
          <cell r="AR82">
            <v>1.9417481829103801E-3</v>
          </cell>
          <cell r="BC82">
            <v>1.18506828010929E-3</v>
          </cell>
          <cell r="BF82">
            <v>3.1268164630196701E-3</v>
          </cell>
        </row>
        <row r="83">
          <cell r="O83">
            <v>1.2371344131525399</v>
          </cell>
          <cell r="P83">
            <v>1.239080448433</v>
          </cell>
          <cell r="Q83">
            <v>1.2372491583062499</v>
          </cell>
          <cell r="U83">
            <v>-1.8870137211024699E-3</v>
          </cell>
          <cell r="V83">
            <v>-7.0567430169088396E-4</v>
          </cell>
          <cell r="W83">
            <v>-1.9374802534675201E-3</v>
          </cell>
          <cell r="Y83">
            <v>1.2358474847357901</v>
          </cell>
          <cell r="Z83">
            <v>1.23550054749644</v>
          </cell>
          <cell r="AA83">
            <v>1.23566060033828</v>
          </cell>
          <cell r="AF83">
            <v>1.0649032952050299E-5</v>
          </cell>
          <cell r="AG83">
            <v>2.0831138082325E-4</v>
          </cell>
          <cell r="AR83">
            <v>1.9417481829103801E-3</v>
          </cell>
          <cell r="BC83">
            <v>1.18506828010929E-3</v>
          </cell>
          <cell r="BF83">
            <v>3.1268164630196701E-3</v>
          </cell>
        </row>
        <row r="84">
          <cell r="O84">
            <v>1.2371344131525399</v>
          </cell>
          <cell r="P84">
            <v>1.23904852399497</v>
          </cell>
          <cell r="Q84">
            <v>1.2372117235448199</v>
          </cell>
          <cell r="U84">
            <v>2.1648263921678801E-3</v>
          </cell>
          <cell r="V84">
            <v>3.7366089634519898E-3</v>
          </cell>
          <cell r="W84">
            <v>2.2575728483924299E-3</v>
          </cell>
          <cell r="Y84">
            <v>1.2358474847357901</v>
          </cell>
          <cell r="Z84">
            <v>1.2354845569069299</v>
          </cell>
          <cell r="AA84">
            <v>1.2356312819075601</v>
          </cell>
          <cell r="AF84">
            <v>3.8346582212881001E-4</v>
          </cell>
          <cell r="AG84">
            <v>5.1300236992042603E-4</v>
          </cell>
          <cell r="AR84">
            <v>1.9417481829103801E-3</v>
          </cell>
          <cell r="BC84">
            <v>1.18506828010929E-3</v>
          </cell>
          <cell r="BF84">
            <v>3.1268164630196701E-3</v>
          </cell>
        </row>
        <row r="85">
          <cell r="O85">
            <v>1.2371344131525399</v>
          </cell>
          <cell r="P85">
            <v>1.2386661141303299</v>
          </cell>
          <cell r="Q85">
            <v>1.23719876117742</v>
          </cell>
          <cell r="U85">
            <v>1.58198372133548E-3</v>
          </cell>
          <cell r="V85">
            <v>3.12800133980008E-3</v>
          </cell>
          <cell r="W85">
            <v>1.64447327456468E-3</v>
          </cell>
          <cell r="Y85">
            <v>1.2358474847357901</v>
          </cell>
          <cell r="Z85">
            <v>1.235558915963</v>
          </cell>
          <cell r="AA85">
            <v>1.23562605672133</v>
          </cell>
          <cell r="AF85">
            <v>-2.0424880314119699E-4</v>
          </cell>
          <cell r="AG85">
            <v>-8.5496781480890195E-5</v>
          </cell>
          <cell r="AR85">
            <v>1.9417481829103801E-3</v>
          </cell>
          <cell r="BC85">
            <v>1.18506828010929E-3</v>
          </cell>
          <cell r="BF85">
            <v>3.1268164630196701E-3</v>
          </cell>
        </row>
        <row r="86">
          <cell r="O86">
            <v>1.2371344131525399</v>
          </cell>
          <cell r="P86">
            <v>1.23839549922968</v>
          </cell>
          <cell r="Q86">
            <v>1.23722180946982</v>
          </cell>
          <cell r="U86">
            <v>1.1853943843906901E-3</v>
          </cell>
          <cell r="V86">
            <v>2.42273249490097E-3</v>
          </cell>
          <cell r="W86">
            <v>1.23740680176371E-3</v>
          </cell>
          <cell r="Y86">
            <v>1.2358474847357901</v>
          </cell>
          <cell r="Z86">
            <v>1.23574406831168</v>
          </cell>
          <cell r="AA86">
            <v>1.2356563923464501</v>
          </cell>
          <cell r="AF86">
            <v>-5.3486278137639999E-4</v>
          </cell>
          <cell r="AG86">
            <v>-4.8052386374629498E-4</v>
          </cell>
          <cell r="AR86">
            <v>1.9417481829103801E-3</v>
          </cell>
          <cell r="BC86">
            <v>1.18506828010929E-3</v>
          </cell>
          <cell r="BF86">
            <v>3.1268164630196701E-3</v>
          </cell>
        </row>
        <row r="87">
          <cell r="O87">
            <v>1.2371344131525399</v>
          </cell>
          <cell r="P87">
            <v>1.2378830451106</v>
          </cell>
          <cell r="Q87">
            <v>1.2371786696561899</v>
          </cell>
          <cell r="U87">
            <v>1.95447486685242E-3</v>
          </cell>
          <cell r="V87">
            <v>2.97331627120739E-3</v>
          </cell>
          <cell r="W87">
            <v>2.0251165283212201E-3</v>
          </cell>
          <cell r="Y87">
            <v>1.2358474847357901</v>
          </cell>
          <cell r="Z87">
            <v>1.23569069492527</v>
          </cell>
          <cell r="AA87">
            <v>1.2356213665281499</v>
          </cell>
          <cell r="AF87">
            <v>3.7370875035766901E-4</v>
          </cell>
          <cell r="AG87">
            <v>3.0275629513410699E-4</v>
          </cell>
          <cell r="AR87">
            <v>1.9417481829103801E-3</v>
          </cell>
          <cell r="BC87">
            <v>1.18506828010929E-3</v>
          </cell>
          <cell r="BF87">
            <v>3.1268164630196701E-3</v>
          </cell>
        </row>
        <row r="88">
          <cell r="O88">
            <v>1.2371344131525399</v>
          </cell>
          <cell r="P88">
            <v>1.2374425164762399</v>
          </cell>
          <cell r="Q88">
            <v>1.2371528209098599</v>
          </cell>
          <cell r="U88">
            <v>1.37211925592883E-3</v>
          </cell>
          <cell r="V88">
            <v>1.9770701247728301E-3</v>
          </cell>
          <cell r="W88">
            <v>1.4078920156213399E-3</v>
          </cell>
          <cell r="Y88">
            <v>1.2358474847357901</v>
          </cell>
          <cell r="Z88">
            <v>1.2357082839501099</v>
          </cell>
          <cell r="AA88">
            <v>1.2356033583864601</v>
          </cell>
          <cell r="AF88">
            <v>-2.4378162548337E-4</v>
          </cell>
          <cell r="AG88">
            <v>-2.9988817570398901E-4</v>
          </cell>
          <cell r="AR88">
            <v>1.9417481829103801E-3</v>
          </cell>
          <cell r="BC88">
            <v>1.18506828010929E-3</v>
          </cell>
          <cell r="BF88">
            <v>3.1268164630196701E-3</v>
          </cell>
        </row>
        <row r="89">
          <cell r="O89">
            <v>1.2371344131525399</v>
          </cell>
          <cell r="P89">
            <v>1.2370024186767301</v>
          </cell>
          <cell r="Q89">
            <v>1.2371341429240701</v>
          </cell>
          <cell r="U89">
            <v>1.1627091881183901E-3</v>
          </cell>
          <cell r="V89">
            <v>1.4117241381896501E-3</v>
          </cell>
          <cell r="W89">
            <v>1.1775884285431101E-3</v>
          </cell>
          <cell r="Y89">
            <v>1.2358474847357901</v>
          </cell>
          <cell r="Z89">
            <v>1.23572585601607</v>
          </cell>
          <cell r="AA89">
            <v>1.23559236318729</v>
          </cell>
          <cell r="AF89">
            <v>-4.3547397633847401E-4</v>
          </cell>
          <cell r="AG89">
            <v>-5.2038885466595302E-4</v>
          </cell>
          <cell r="AR89">
            <v>1.9417481829103801E-3</v>
          </cell>
          <cell r="BC89">
            <v>1.18506828010929E-3</v>
          </cell>
          <cell r="BF89">
            <v>3.1268164630196701E-3</v>
          </cell>
        </row>
        <row r="90">
          <cell r="O90">
            <v>1.2371344131525399</v>
          </cell>
          <cell r="P90">
            <v>1.23652470038325</v>
          </cell>
          <cell r="Q90">
            <v>1.2371140547992201</v>
          </cell>
          <cell r="U90">
            <v>1.37211925592883E-3</v>
          </cell>
          <cell r="V90">
            <v>1.26541984121537E-3</v>
          </cell>
          <cell r="W90">
            <v>1.3719008249333E-3</v>
          </cell>
          <cell r="Y90">
            <v>1.2358474847357901</v>
          </cell>
          <cell r="Z90">
            <v>1.23570658696965</v>
          </cell>
          <cell r="AA90">
            <v>1.2355800640619099</v>
          </cell>
          <cell r="AF90">
            <v>-2.1532742517262399E-4</v>
          </cell>
          <cell r="AG90">
            <v>-3.2336112788786402E-4</v>
          </cell>
          <cell r="AR90">
            <v>1.9417481829103801E-3</v>
          </cell>
          <cell r="BC90">
            <v>1.18506828010929E-3</v>
          </cell>
          <cell r="BF90">
            <v>3.1268164630196701E-3</v>
          </cell>
        </row>
        <row r="91">
          <cell r="O91">
            <v>1.2371344131525399</v>
          </cell>
          <cell r="P91">
            <v>1.23620518582091</v>
          </cell>
          <cell r="Q91">
            <v>1.2371658945238899</v>
          </cell>
          <cell r="U91">
            <v>7.8896226819771299E-4</v>
          </cell>
          <cell r="V91">
            <v>2.9599799651978698E-4</v>
          </cell>
          <cell r="W91">
            <v>7.7250607668481004E-4</v>
          </cell>
          <cell r="Y91">
            <v>1.2358474847357901</v>
          </cell>
          <cell r="Z91">
            <v>1.23584353072246</v>
          </cell>
          <cell r="AA91">
            <v>1.2356388475856499</v>
          </cell>
          <cell r="AF91">
            <v>-8.0599799822679205E-4</v>
          </cell>
          <cell r="AG91">
            <v>-9.0839235850890805E-4</v>
          </cell>
          <cell r="AR91">
            <v>1.9417481829103801E-3</v>
          </cell>
          <cell r="BC91">
            <v>1.18506828010929E-3</v>
          </cell>
          <cell r="BF91">
            <v>3.1268164630196701E-3</v>
          </cell>
        </row>
        <row r="92">
          <cell r="O92">
            <v>1.2371344131525399</v>
          </cell>
          <cell r="P92">
            <v>1.2356572838045501</v>
          </cell>
          <cell r="Q92">
            <v>1.2371270180979399</v>
          </cell>
          <cell r="U92">
            <v>2.2577507819479098E-3</v>
          </cell>
          <cell r="V92">
            <v>1.5063558859635499E-3</v>
          </cell>
          <cell r="W92">
            <v>2.2831974678280799E-3</v>
          </cell>
          <cell r="Y92">
            <v>1.2358474847357901</v>
          </cell>
          <cell r="Z92">
            <v>1.23575601660878</v>
          </cell>
          <cell r="AA92">
            <v>1.2356081582387399</v>
          </cell>
          <cell r="AF92">
            <v>7.5282407306006399E-4</v>
          </cell>
          <cell r="AG92">
            <v>5.8718814615953802E-4</v>
          </cell>
          <cell r="AR92">
            <v>1.9417481829103801E-3</v>
          </cell>
          <cell r="BC92">
            <v>1.18506828010929E-3</v>
          </cell>
          <cell r="BF92">
            <v>3.1268164630196701E-3</v>
          </cell>
        </row>
        <row r="93">
          <cell r="O93">
            <v>1.2371344131525399</v>
          </cell>
          <cell r="P93">
            <v>1.2352655110327599</v>
          </cell>
          <cell r="Q93">
            <v>1.2371729797328801</v>
          </cell>
          <cell r="U93">
            <v>1.2787981829638299E-3</v>
          </cell>
          <cell r="V93">
            <v>8.4092194989267497E-5</v>
          </cell>
          <cell r="W93">
            <v>1.27282059748853E-3</v>
          </cell>
          <cell r="Y93">
            <v>1.2358474847357901</v>
          </cell>
          <cell r="Z93">
            <v>1.2358218926344</v>
          </cell>
          <cell r="AA93">
            <v>1.23566122006542</v>
          </cell>
          <cell r="AF93">
            <v>-2.8309601612703302E-4</v>
          </cell>
          <cell r="AG93">
            <v>-4.0275330639560301E-4</v>
          </cell>
          <cell r="AR93">
            <v>1.9417481829103801E-3</v>
          </cell>
          <cell r="BC93">
            <v>1.18506828010929E-3</v>
          </cell>
          <cell r="BF93">
            <v>3.1268164630196701E-3</v>
          </cell>
        </row>
        <row r="94">
          <cell r="O94">
            <v>1.2371344131525399</v>
          </cell>
          <cell r="P94">
            <v>1.23528848595963</v>
          </cell>
          <cell r="Q94">
            <v>1.2371685049773</v>
          </cell>
          <cell r="U94">
            <v>1.97873040378654E-3</v>
          </cell>
          <cell r="V94">
            <v>4.6691796805606599E-4</v>
          </cell>
          <cell r="W94">
            <v>2.00990404086331E-3</v>
          </cell>
          <cell r="Y94">
            <v>1.2358474847357901</v>
          </cell>
          <cell r="Z94">
            <v>1.2358445970891401</v>
          </cell>
          <cell r="AA94">
            <v>1.2356645769980299</v>
          </cell>
          <cell r="AF94">
            <v>4.5970423640137798E-4</v>
          </cell>
          <cell r="AG94">
            <v>3.2968306135762899E-4</v>
          </cell>
          <cell r="AR94">
            <v>1.9417481829103801E-3</v>
          </cell>
          <cell r="BC94">
            <v>1.18506828010929E-3</v>
          </cell>
          <cell r="BF94">
            <v>3.1268164630196701E-3</v>
          </cell>
        </row>
        <row r="95">
          <cell r="O95">
            <v>1.2371344131525399</v>
          </cell>
          <cell r="P95">
            <v>1.23571357208733</v>
          </cell>
          <cell r="Q95">
            <v>1.23718984310883</v>
          </cell>
          <cell r="U95">
            <v>-1.85360248000396E-3</v>
          </cell>
          <cell r="V95">
            <v>-3.3468159076568602E-3</v>
          </cell>
          <cell r="W95">
            <v>-1.82604576937382E-3</v>
          </cell>
          <cell r="Y95">
            <v>1.2358474847357901</v>
          </cell>
          <cell r="Z95">
            <v>1.23580843653164</v>
          </cell>
          <cell r="AA95">
            <v>1.23568367624732</v>
          </cell>
          <cell r="AF95">
            <v>3.7979116664597798E-4</v>
          </cell>
          <cell r="AG95">
            <v>2.34114918861427E-4</v>
          </cell>
          <cell r="AR95">
            <v>1.9417481829103801E-3</v>
          </cell>
          <cell r="BC95">
            <v>1.18506828010929E-3</v>
          </cell>
          <cell r="BF95">
            <v>3.1268164630196701E-3</v>
          </cell>
        </row>
        <row r="96">
          <cell r="O96">
            <v>1.2371344131525399</v>
          </cell>
          <cell r="P96">
            <v>1.2361624411379299</v>
          </cell>
          <cell r="Q96">
            <v>1.2372789701838001</v>
          </cell>
          <cell r="U96">
            <v>-2.4406237076858598E-3</v>
          </cell>
          <cell r="V96">
            <v>-3.5897774203701499E-3</v>
          </cell>
          <cell r="W96">
            <v>-2.3958195910389899E-3</v>
          </cell>
          <cell r="Y96">
            <v>1.2358474847357901</v>
          </cell>
          <cell r="Z96">
            <v>1.2357950619565099</v>
          </cell>
          <cell r="AA96">
            <v>1.2357695651340901</v>
          </cell>
          <cell r="AF96">
            <v>-2.2473848199138901E-4</v>
          </cell>
          <cell r="AG96">
            <v>-3.2569796616619599E-4</v>
          </cell>
          <cell r="AR96">
            <v>1.9417481829103801E-3</v>
          </cell>
          <cell r="BC96">
            <v>1.18506828010929E-3</v>
          </cell>
          <cell r="BF96">
            <v>3.1268164630196701E-3</v>
          </cell>
        </row>
        <row r="97">
          <cell r="O97">
            <v>1.2371344131525399</v>
          </cell>
          <cell r="P97">
            <v>1.2367318564324501</v>
          </cell>
          <cell r="Q97">
            <v>1.23730745077152</v>
          </cell>
          <cell r="U97">
            <v>-2.6466239331418501E-3</v>
          </cell>
          <cell r="V97">
            <v>-3.4325967636649299E-3</v>
          </cell>
          <cell r="W97">
            <v>-2.5297824769782901E-3</v>
          </cell>
          <cell r="Y97">
            <v>1.2358474847357901</v>
          </cell>
          <cell r="Z97">
            <v>1.23590093505756</v>
          </cell>
          <cell r="AA97">
            <v>1.2357958149914201</v>
          </cell>
          <cell r="AF97">
            <v>-4.4173561040362799E-4</v>
          </cell>
          <cell r="AG97">
            <v>-4.6236774127001801E-4</v>
          </cell>
          <cell r="AR97">
            <v>1.9417481829103801E-3</v>
          </cell>
          <cell r="BC97">
            <v>1.18506828010929E-3</v>
          </cell>
          <cell r="BF97">
            <v>3.1268164630196701E-3</v>
          </cell>
        </row>
        <row r="98">
          <cell r="O98">
            <v>1.2371344131525399</v>
          </cell>
          <cell r="P98">
            <v>1.2372293462422399</v>
          </cell>
          <cell r="Q98">
            <v>1.23733593135924</v>
          </cell>
          <cell r="U98">
            <v>-2.6466239331418501E-3</v>
          </cell>
          <cell r="V98">
            <v>-2.9720713743352002E-3</v>
          </cell>
          <cell r="W98">
            <v>-2.5067640141936401E-3</v>
          </cell>
          <cell r="Y98">
            <v>1.2358474847357901</v>
          </cell>
          <cell r="Z98">
            <v>1.2359358457473799</v>
          </cell>
          <cell r="AA98">
            <v>1.2358220648487399</v>
          </cell>
          <cell r="AF98">
            <v>-3.56067226228313E-4</v>
          </cell>
          <cell r="AG98">
            <v>-4.4112625800810801E-4</v>
          </cell>
          <cell r="AR98">
            <v>1.9417481829103801E-3</v>
          </cell>
          <cell r="BC98">
            <v>1.18506828010929E-3</v>
          </cell>
          <cell r="BF98">
            <v>3.1268164630196701E-3</v>
          </cell>
        </row>
        <row r="99">
          <cell r="O99">
            <v>1.2371344131525399</v>
          </cell>
          <cell r="P99">
            <v>1.2376517978173001</v>
          </cell>
          <cell r="Q99">
            <v>1.2373271082470101</v>
          </cell>
          <cell r="U99">
            <v>-2.2501918169489099E-3</v>
          </cell>
          <cell r="V99">
            <v>-2.1734584834675399E-3</v>
          </cell>
          <cell r="W99">
            <v>-2.0873139650533501E-3</v>
          </cell>
          <cell r="Y99">
            <v>1.2358474847357901</v>
          </cell>
          <cell r="Z99">
            <v>1.2358970137826899</v>
          </cell>
          <cell r="AA99">
            <v>1.2358114348993801</v>
          </cell>
          <cell r="AF99">
            <v>6.2825184701326007E-5</v>
          </cell>
          <cell r="AG99">
            <v>-2.9239574736580599E-5</v>
          </cell>
          <cell r="AR99">
            <v>1.9417481829103801E-3</v>
          </cell>
          <cell r="BC99">
            <v>1.18506828010929E-3</v>
          </cell>
          <cell r="BF99">
            <v>3.1268164630196701E-3</v>
          </cell>
        </row>
        <row r="100">
          <cell r="O100">
            <v>1.2371344131525399</v>
          </cell>
          <cell r="P100">
            <v>1.2380647889065299</v>
          </cell>
          <cell r="Q100">
            <v>1.2372947446448901</v>
          </cell>
          <cell r="U100">
            <v>-1.96517738324372E-3</v>
          </cell>
          <cell r="V100">
            <v>-1.5470526417954501E-3</v>
          </cell>
          <cell r="W100">
            <v>-1.8094302898274499E-3</v>
          </cell>
          <cell r="Y100">
            <v>1.2358474847357901</v>
          </cell>
          <cell r="Z100">
            <v>1.2358495190563099</v>
          </cell>
          <cell r="AA100">
            <v>1.23577805301298</v>
          </cell>
          <cell r="AF100">
            <v>3.07508746946717E-4</v>
          </cell>
          <cell r="AG100">
            <v>2.3826200112387101E-4</v>
          </cell>
          <cell r="AR100">
            <v>1.9417481829103801E-3</v>
          </cell>
          <cell r="BC100">
            <v>1.18506828010929E-3</v>
          </cell>
          <cell r="BF100">
            <v>3.1268164630196701E-3</v>
          </cell>
        </row>
        <row r="101">
          <cell r="O101">
            <v>1.2371344131525399</v>
          </cell>
          <cell r="P101">
            <v>1.23844302620963</v>
          </cell>
          <cell r="Q101">
            <v>1.23732410601527</v>
          </cell>
          <cell r="U101">
            <v>-2.2661455061135302E-3</v>
          </cell>
          <cell r="V101">
            <v>-1.5143871853850999E-3</v>
          </cell>
          <cell r="W101">
            <v>-2.13655481480899E-3</v>
          </cell>
          <cell r="Y101">
            <v>1.2358474847357901</v>
          </cell>
          <cell r="Z101">
            <v>1.23576776876996</v>
          </cell>
          <cell r="AA101">
            <v>1.23580564974621</v>
          </cell>
          <cell r="AF101">
            <v>-2.9083677017156599E-5</v>
          </cell>
          <cell r="AG101">
            <v>-8.6912812891431506E-5</v>
          </cell>
          <cell r="AR101">
            <v>1.9417481829103801E-3</v>
          </cell>
          <cell r="BC101">
            <v>1.18506828010929E-3</v>
          </cell>
          <cell r="BF101">
            <v>3.1268164630196701E-3</v>
          </cell>
        </row>
        <row r="102">
          <cell r="O102">
            <v>1.2371344131525399</v>
          </cell>
          <cell r="P102">
            <v>1.2389909282259799</v>
          </cell>
          <cell r="Q102">
            <v>1.23732410601527</v>
          </cell>
          <cell r="U102">
            <v>-2.1712365928822199E-3</v>
          </cell>
          <cell r="V102">
            <v>-1.11401805617511E-3</v>
          </cell>
          <cell r="W102">
            <v>-2.01791588725817E-3</v>
          </cell>
          <cell r="Y102">
            <v>1.2358474847357901</v>
          </cell>
          <cell r="Z102">
            <v>1.23585360129432</v>
          </cell>
          <cell r="AA102">
            <v>1.2358048089515501</v>
          </cell>
          <cell r="AF102">
            <v>-3.2890844580393402E-6</v>
          </cell>
          <cell r="AG102">
            <v>2.73642442837827E-5</v>
          </cell>
          <cell r="AR102">
            <v>1.9417481829103801E-3</v>
          </cell>
          <cell r="BC102">
            <v>1.18506828010929E-3</v>
          </cell>
          <cell r="BF102">
            <v>3.1268164630196701E-3</v>
          </cell>
        </row>
        <row r="103">
          <cell r="O103">
            <v>1.2371344131525399</v>
          </cell>
          <cell r="P103">
            <v>1.2393944340260299</v>
          </cell>
          <cell r="Q103">
            <v>1.2373299725294</v>
          </cell>
          <cell r="U103">
            <v>-1.9816708123105201E-3</v>
          </cell>
          <cell r="V103">
            <v>-4.8213814302440797E-4</v>
          </cell>
          <cell r="W103">
            <v>-1.82835010668633E-3</v>
          </cell>
          <cell r="Y103">
            <v>1.2358474847357901</v>
          </cell>
          <cell r="Z103">
            <v>1.23579750120196</v>
          </cell>
          <cell r="AA103">
            <v>1.23580969691818</v>
          </cell>
          <cell r="AF103">
            <v>2.4981683973249299E-4</v>
          </cell>
          <cell r="AG103">
            <v>2.10335378562441E-4</v>
          </cell>
          <cell r="AR103">
            <v>1.9417481829103801E-3</v>
          </cell>
          <cell r="BC103">
            <v>1.18506828010929E-3</v>
          </cell>
          <cell r="BF103">
            <v>3.1268164630196701E-3</v>
          </cell>
        </row>
        <row r="104">
          <cell r="O104">
            <v>1.2371344131525399</v>
          </cell>
          <cell r="P104">
            <v>1.2395155413215699</v>
          </cell>
          <cell r="Q104">
            <v>1.2374020136406001</v>
          </cell>
          <cell r="U104">
            <v>9.9833816839695207E-4</v>
          </cell>
          <cell r="V104">
            <v>2.8234907430954902E-3</v>
          </cell>
          <cell r="W104">
            <v>1.1564001541702199E-3</v>
          </cell>
          <cell r="Y104">
            <v>1.2358474847357901</v>
          </cell>
          <cell r="Z104">
            <v>1.2359119066430599</v>
          </cell>
          <cell r="AA104">
            <v>1.2358782518661</v>
          </cell>
          <cell r="AF104">
            <v>-4.8577377140573698E-4</v>
          </cell>
          <cell r="AG104">
            <v>-4.7590511895373899E-4</v>
          </cell>
          <cell r="AR104">
            <v>1.9417481829103801E-3</v>
          </cell>
          <cell r="BC104">
            <v>1.18506828010929E-3</v>
          </cell>
          <cell r="BF104">
            <v>3.1268164630196701E-3</v>
          </cell>
        </row>
        <row r="105">
          <cell r="O105">
            <v>1.2371344131525399</v>
          </cell>
          <cell r="P105">
            <v>1.2391625668990101</v>
          </cell>
          <cell r="Q105">
            <v>1.2374380694931699</v>
          </cell>
          <cell r="U105">
            <v>9.9833816839695207E-4</v>
          </cell>
          <cell r="V105">
            <v>2.9212008631384202E-3</v>
          </cell>
          <cell r="W105">
            <v>1.214621498241E-3</v>
          </cell>
          <cell r="Y105">
            <v>1.2358474847357901</v>
          </cell>
          <cell r="Z105">
            <v>1.23601417081319</v>
          </cell>
          <cell r="AA105">
            <v>1.2359113036724201</v>
          </cell>
          <cell r="AF105">
            <v>-3.9320185270057799E-4</v>
          </cell>
          <cell r="AG105">
            <v>-4.2043294822706299E-4</v>
          </cell>
          <cell r="AR105">
            <v>1.9417481829103801E-3</v>
          </cell>
          <cell r="BC105">
            <v>1.18506828010929E-3</v>
          </cell>
          <cell r="BF105">
            <v>3.1268164630196701E-3</v>
          </cell>
        </row>
        <row r="106">
          <cell r="O106">
            <v>1.2371344131525399</v>
          </cell>
          <cell r="P106">
            <v>1.23868777031431</v>
          </cell>
          <cell r="Q106">
            <v>1.2374251057261201</v>
          </cell>
          <cell r="U106">
            <v>1.39524232125557E-3</v>
          </cell>
          <cell r="V106">
            <v>3.0332964127574402E-3</v>
          </cell>
          <cell r="W106">
            <v>1.6406635762678901E-3</v>
          </cell>
          <cell r="Y106">
            <v>1.2358474847357901</v>
          </cell>
          <cell r="Z106">
            <v>1.2359971757825501</v>
          </cell>
          <cell r="AA106">
            <v>1.2358961188695301</v>
          </cell>
          <cell r="AF106">
            <v>7.9225259816944599E-5</v>
          </cell>
          <cell r="AG106">
            <v>-4.0030914404322698E-6</v>
          </cell>
          <cell r="AR106">
            <v>1.9417481829103801E-3</v>
          </cell>
          <cell r="BC106">
            <v>1.18506828010929E-3</v>
          </cell>
          <cell r="BF106">
            <v>3.1268164630196701E-3</v>
          </cell>
        </row>
        <row r="107">
          <cell r="O107">
            <v>1.2371344131525399</v>
          </cell>
          <cell r="P107">
            <v>1.2382855111236899</v>
          </cell>
          <cell r="Q107">
            <v>1.23750868377807</v>
          </cell>
          <cell r="U107">
            <v>6.0159148594598805E-4</v>
          </cell>
          <cell r="V107">
            <v>1.85641291533871E-3</v>
          </cell>
          <cell r="W107">
            <v>8.3653639044181302E-4</v>
          </cell>
          <cell r="Y107">
            <v>1.2358474847357901</v>
          </cell>
          <cell r="Z107">
            <v>1.2360510359541901</v>
          </cell>
          <cell r="AA107">
            <v>1.2359759855058801</v>
          </cell>
          <cell r="AF107">
            <v>-7.1374617829916603E-4</v>
          </cell>
          <cell r="AG107">
            <v>-7.9551096425892404E-4</v>
          </cell>
          <cell r="AR107">
            <v>1.9417481829103801E-3</v>
          </cell>
          <cell r="BC107">
            <v>1.18506828010929E-3</v>
          </cell>
          <cell r="BF107">
            <v>3.1268164630196701E-3</v>
          </cell>
        </row>
        <row r="108">
          <cell r="O108">
            <v>1.2371344131525399</v>
          </cell>
          <cell r="P108">
            <v>1.2377707357818999</v>
          </cell>
          <cell r="Q108">
            <v>1.23750004101207</v>
          </cell>
          <cell r="U108">
            <v>1.5120432359844701E-3</v>
          </cell>
          <cell r="V108">
            <v>2.4420656881967398E-3</v>
          </cell>
          <cell r="W108">
            <v>1.81452776706262E-3</v>
          </cell>
          <cell r="Y108">
            <v>1.2358474847357901</v>
          </cell>
          <cell r="Z108">
            <v>1.2359944548228099</v>
          </cell>
          <cell r="AA108">
            <v>1.2359651502850899</v>
          </cell>
          <cell r="AF108">
            <v>2.23130596272667E-4</v>
          </cell>
          <cell r="AG108">
            <v>1.6241083254230499E-4</v>
          </cell>
          <cell r="AR108">
            <v>1.9417481829103801E-3</v>
          </cell>
          <cell r="BC108">
            <v>1.18506828010929E-3</v>
          </cell>
          <cell r="BF108">
            <v>3.1268164630196701E-3</v>
          </cell>
        </row>
        <row r="109">
          <cell r="O109">
            <v>1.2371344131525399</v>
          </cell>
          <cell r="P109">
            <v>1.23729357505476</v>
          </cell>
          <cell r="Q109">
            <v>1.2374726864360299</v>
          </cell>
          <cell r="U109">
            <v>1.60554650588533E-3</v>
          </cell>
          <cell r="V109">
            <v>2.1197663285384399E-3</v>
          </cell>
          <cell r="W109">
            <v>1.90104700825591E-3</v>
          </cell>
          <cell r="Y109">
            <v>1.2358474847357901</v>
          </cell>
          <cell r="Z109">
            <v>1.23597479281057</v>
          </cell>
          <cell r="AA109">
            <v>1.2359359032966299</v>
          </cell>
          <cell r="AF109">
            <v>2.6935354584188998E-4</v>
          </cell>
          <cell r="AG109">
            <v>2.4564398549320601E-4</v>
          </cell>
          <cell r="AR109">
            <v>1.9417481829103801E-3</v>
          </cell>
          <cell r="BC109">
            <v>1.18506828010929E-3</v>
          </cell>
          <cell r="BF109">
            <v>3.1268164630196701E-3</v>
          </cell>
        </row>
        <row r="110">
          <cell r="O110">
            <v>1.2371344131525399</v>
          </cell>
          <cell r="P110">
            <v>1.2368777272870199</v>
          </cell>
          <cell r="Q110">
            <v>1.2374712580967699</v>
          </cell>
          <cell r="U110">
            <v>1.39524232125557E-3</v>
          </cell>
          <cell r="V110">
            <v>1.52388773199526E-3</v>
          </cell>
          <cell r="W110">
            <v>1.66863787213475E-3</v>
          </cell>
          <cell r="Y110">
            <v>1.2358474847357901</v>
          </cell>
          <cell r="Z110">
            <v>1.23601471561851</v>
          </cell>
          <cell r="AA110">
            <v>1.23593211733741</v>
          </cell>
          <cell r="AF110">
            <v>4.7365892152459898E-5</v>
          </cell>
          <cell r="AG110">
            <v>1.59007473938713E-5</v>
          </cell>
          <cell r="AR110">
            <v>1.9417481829103801E-3</v>
          </cell>
          <cell r="BC110">
            <v>1.18506828010929E-3</v>
          </cell>
          <cell r="BF110">
            <v>3.1268164630196701E-3</v>
          </cell>
        </row>
        <row r="111">
          <cell r="O111">
            <v>1.2371344131525399</v>
          </cell>
          <cell r="P111">
            <v>1.2363264795617299</v>
          </cell>
          <cell r="Q111">
            <v>1.2373847528856801</v>
          </cell>
          <cell r="U111">
            <v>2.18952353854992E-3</v>
          </cell>
          <cell r="V111">
            <v>1.9820177933321101E-3</v>
          </cell>
          <cell r="W111">
            <v>2.4617648497444601E-3</v>
          </cell>
          <cell r="Y111">
            <v>1.2358474847357901</v>
          </cell>
          <cell r="Z111">
            <v>1.23592145169071</v>
          </cell>
          <cell r="AA111">
            <v>1.23584461023034</v>
          </cell>
          <cell r="AF111">
            <v>8.59495171742511E-4</v>
          </cell>
          <cell r="AG111">
            <v>7.9266664611982098E-4</v>
          </cell>
          <cell r="AR111">
            <v>1.9417481829103801E-3</v>
          </cell>
          <cell r="BC111">
            <v>1.18506828010929E-3</v>
          </cell>
          <cell r="BF111">
            <v>3.1268164630196701E-3</v>
          </cell>
        </row>
        <row r="112">
          <cell r="O112">
            <v>1.2371344131525399</v>
          </cell>
          <cell r="P112">
            <v>1.23580152998638</v>
          </cell>
          <cell r="Q112">
            <v>1.23739622910618</v>
          </cell>
          <cell r="U112">
            <v>2.0718196361017198E-3</v>
          </cell>
          <cell r="V112">
            <v>1.4185377330592601E-3</v>
          </cell>
          <cell r="W112">
            <v>2.2741536793588601E-3</v>
          </cell>
          <cell r="Y112">
            <v>1.2358474847357901</v>
          </cell>
          <cell r="Z112">
            <v>1.23585374755477</v>
          </cell>
          <cell r="AA112">
            <v>1.2358536744245401</v>
          </cell>
          <cell r="AF112">
            <v>6.6908484465771196E-4</v>
          </cell>
          <cell r="AG112">
            <v>6.0690949433994603E-4</v>
          </cell>
          <cell r="AR112">
            <v>1.9417481829103801E-3</v>
          </cell>
          <cell r="BC112">
            <v>1.18506828010929E-3</v>
          </cell>
          <cell r="BF112">
            <v>3.1268164630196701E-3</v>
          </cell>
        </row>
        <row r="113">
          <cell r="O113">
            <v>1.2371344131525399</v>
          </cell>
          <cell r="P113">
            <v>1.2354095652632</v>
          </cell>
          <cell r="Q113">
            <v>1.2374019996446199</v>
          </cell>
          <cell r="U113">
            <v>1.1853943843906901E-3</v>
          </cell>
          <cell r="V113">
            <v>1.07417982349849E-4</v>
          </cell>
          <cell r="W113">
            <v>1.39700296191003E-3</v>
          </cell>
          <cell r="Y113">
            <v>1.2358474847357901</v>
          </cell>
          <cell r="Z113">
            <v>1.23591630046222</v>
          </cell>
          <cell r="AA113">
            <v>1.2358569008320901</v>
          </cell>
          <cell r="AF113">
            <v>-2.5621459369365001E-4</v>
          </cell>
          <cell r="AG113">
            <v>-2.5627376754794101E-4</v>
          </cell>
          <cell r="AR113">
            <v>1.9417481829103801E-3</v>
          </cell>
          <cell r="BC113">
            <v>1.18506828010929E-3</v>
          </cell>
          <cell r="BF113">
            <v>3.1268164630196701E-3</v>
          </cell>
        </row>
        <row r="114">
          <cell r="O114">
            <v>1.2371344131525399</v>
          </cell>
          <cell r="P114">
            <v>1.23531443066684</v>
          </cell>
          <cell r="Q114">
            <v>1.2374149859942001</v>
          </cell>
          <cell r="U114">
            <v>1.7683942759748601E-3</v>
          </cell>
          <cell r="V114">
            <v>3.7319307090886202E-4</v>
          </cell>
          <cell r="W114">
            <v>1.9846662950395301E-3</v>
          </cell>
          <cell r="Y114">
            <v>1.2358474847357901</v>
          </cell>
          <cell r="Z114">
            <v>1.2358227588392401</v>
          </cell>
          <cell r="AA114">
            <v>1.23586733274115</v>
          </cell>
          <cell r="AF114">
            <v>3.6720525426180601E-4</v>
          </cell>
          <cell r="AG114">
            <v>3.1914289149278803E-4</v>
          </cell>
          <cell r="AR114">
            <v>1.9417481829103801E-3</v>
          </cell>
          <cell r="BC114">
            <v>1.18506828010929E-3</v>
          </cell>
          <cell r="BF114">
            <v>3.1268164630196701E-3</v>
          </cell>
        </row>
        <row r="115">
          <cell r="O115">
            <v>1.2371344131525399</v>
          </cell>
          <cell r="P115">
            <v>1.23521929607047</v>
          </cell>
          <cell r="Q115">
            <v>1.23719093148474</v>
          </cell>
          <cell r="U115">
            <v>1.7683942759748601E-3</v>
          </cell>
          <cell r="V115">
            <v>2.9618358172859698E-4</v>
          </cell>
          <cell r="W115">
            <v>1.9951610909451699E-3</v>
          </cell>
          <cell r="Y115">
            <v>1.2358474847357901</v>
          </cell>
          <cell r="Z115">
            <v>1.23572921721625</v>
          </cell>
          <cell r="AA115">
            <v>1.2358716940147201</v>
          </cell>
          <cell r="AF115">
            <v>2.9151633987008099E-4</v>
          </cell>
          <cell r="AG115">
            <v>3.2758388900927402E-4</v>
          </cell>
          <cell r="AR115">
            <v>1.9417481829103801E-3</v>
          </cell>
          <cell r="BC115">
            <v>1.18506828010929E-3</v>
          </cell>
          <cell r="BF115">
            <v>3.1268164630196701E-3</v>
          </cell>
        </row>
        <row r="116">
          <cell r="O116">
            <v>1.2371344131525399</v>
          </cell>
          <cell r="P116">
            <v>1.23524240942486</v>
          </cell>
          <cell r="Q116">
            <v>1.2369650898695801</v>
          </cell>
          <cell r="U116">
            <v>1.2081691909005101E-3</v>
          </cell>
          <cell r="V116">
            <v>-3.4105692344450598E-4</v>
          </cell>
          <cell r="W116">
            <v>1.25385302333024E-3</v>
          </cell>
          <cell r="Y116">
            <v>1.2358474847357901</v>
          </cell>
          <cell r="Z116">
            <v>1.23575196796241</v>
          </cell>
          <cell r="AA116">
            <v>1.23587457187248</v>
          </cell>
          <cell r="AF116">
            <v>-3.35406715137093E-4</v>
          </cell>
          <cell r="AG116">
            <v>-2.20115611316914E-4</v>
          </cell>
          <cell r="AR116">
            <v>1.9417481829103801E-3</v>
          </cell>
          <cell r="BC116">
            <v>1.18506828010929E-3</v>
          </cell>
          <cell r="BF116">
            <v>3.1268164630196701E-3</v>
          </cell>
        </row>
        <row r="117">
          <cell r="O117">
            <v>1.2371344131525399</v>
          </cell>
          <cell r="P117">
            <v>1.2351443221271601</v>
          </cell>
          <cell r="Q117">
            <v>1.2367149166254201</v>
          </cell>
          <cell r="U117">
            <v>1.39524232125557E-3</v>
          </cell>
          <cell r="V117">
            <v>-1.3527202407907299E-4</v>
          </cell>
          <cell r="W117">
            <v>1.25836562489299E-3</v>
          </cell>
          <cell r="Y117">
            <v>1.2358474847357901</v>
          </cell>
          <cell r="Z117">
            <v>1.2356556251825099</v>
          </cell>
          <cell r="AA117">
            <v>1.2358533305683499</v>
          </cell>
          <cell r="AF117">
            <v>-1.3293304080179601E-4</v>
          </cell>
          <cell r="AG117">
            <v>-3.3723950600760802E-5</v>
          </cell>
          <cell r="AR117">
            <v>1.9417481829103801E-3</v>
          </cell>
          <cell r="BC117">
            <v>1.18506828010929E-3</v>
          </cell>
          <cell r="BF117">
            <v>3.1268164630196701E-3</v>
          </cell>
        </row>
        <row r="118">
          <cell r="O118">
            <v>1.2371344131525399</v>
          </cell>
          <cell r="P118">
            <v>1.2356453721581599</v>
          </cell>
          <cell r="Q118">
            <v>1.2367080539700299</v>
          </cell>
          <cell r="U118">
            <v>-2.5359666728150599E-3</v>
          </cell>
          <cell r="V118">
            <v>-4.1458914978885798E-3</v>
          </cell>
          <cell r="W118">
            <v>-2.8751114429410199E-3</v>
          </cell>
          <cell r="Y118">
            <v>1.2358474847357901</v>
          </cell>
          <cell r="Z118">
            <v>1.2356978309957001</v>
          </cell>
          <cell r="AA118">
            <v>1.23584614290925</v>
          </cell>
          <cell r="AF118">
            <v>-4.3829377086770498E-4</v>
          </cell>
          <cell r="AG118">
            <v>-2.7830617640370699E-4</v>
          </cell>
          <cell r="AR118">
            <v>1.9417481829103801E-3</v>
          </cell>
          <cell r="BC118">
            <v>1.18506828010929E-3</v>
          </cell>
          <cell r="BF118">
            <v>3.1268164630196701E-3</v>
          </cell>
        </row>
        <row r="119">
          <cell r="O119">
            <v>1.2371344131525399</v>
          </cell>
          <cell r="P119">
            <v>1.23619535978858</v>
          </cell>
          <cell r="Q119">
            <v>1.2367444674216701</v>
          </cell>
          <cell r="U119">
            <v>-2.8373703901368101E-3</v>
          </cell>
          <cell r="V119">
            <v>-4.0417163518774203E-3</v>
          </cell>
          <cell r="W119">
            <v>-3.1820642761815998E-3</v>
          </cell>
          <cell r="Y119">
            <v>1.2358474847357901</v>
          </cell>
          <cell r="Z119">
            <v>1.2357881894646701</v>
          </cell>
          <cell r="AA119">
            <v>1.2358814911376199</v>
          </cell>
          <cell r="AF119">
            <v>-7.0165180427773802E-4</v>
          </cell>
          <cell r="AG119">
            <v>-5.81636206497596E-4</v>
          </cell>
          <cell r="AR119">
            <v>1.9417481829103801E-3</v>
          </cell>
          <cell r="BC119">
            <v>1.18506828010929E-3</v>
          </cell>
          <cell r="BF119">
            <v>3.1268164630196701E-3</v>
          </cell>
        </row>
        <row r="120">
          <cell r="O120">
            <v>1.2371344131525399</v>
          </cell>
          <cell r="P120">
            <v>1.23664654206844</v>
          </cell>
          <cell r="Q120">
            <v>1.23676213467773</v>
          </cell>
          <cell r="U120">
            <v>-2.2501918169489099E-3</v>
          </cell>
          <cell r="V120">
            <v>-3.0095352893464802E-3</v>
          </cell>
          <cell r="W120">
            <v>-2.5654422822491202E-3</v>
          </cell>
          <cell r="Y120">
            <v>1.2358474847357901</v>
          </cell>
          <cell r="Z120">
            <v>1.2357822044112501</v>
          </cell>
          <cell r="AA120">
            <v>1.2358984600148799</v>
          </cell>
          <cell r="AF120">
            <v>-5.5194949735595297E-5</v>
          </cell>
          <cell r="AG120">
            <v>2.0301928935579E-5</v>
          </cell>
          <cell r="AR120">
            <v>1.9417481829103801E-3</v>
          </cell>
          <cell r="BC120">
            <v>1.18506828010929E-3</v>
          </cell>
          <cell r="BF120">
            <v>3.1268164630196701E-3</v>
          </cell>
        </row>
        <row r="121">
          <cell r="O121">
            <v>1.2371344131525399</v>
          </cell>
          <cell r="P121">
            <v>1.2371840218996899</v>
          </cell>
          <cell r="Q121">
            <v>1.23675525073071</v>
          </cell>
          <cell r="U121">
            <v>-2.1551026649516999E-3</v>
          </cell>
          <cell r="V121">
            <v>-2.5495362055601299E-3</v>
          </cell>
          <cell r="W121">
            <v>-2.4560679401147301E-3</v>
          </cell>
          <cell r="Y121">
            <v>1.2358474847357901</v>
          </cell>
          <cell r="Z121">
            <v>1.2358612198831</v>
          </cell>
          <cell r="AA121">
            <v>1.2358913357869099</v>
          </cell>
          <cell r="AF121">
            <v>3.1742620943974497E-5</v>
          </cell>
          <cell r="AG121">
            <v>1.2581270482661799E-4</v>
          </cell>
          <cell r="AR121">
            <v>1.9417481829103801E-3</v>
          </cell>
          <cell r="BC121">
            <v>1.18506828010929E-3</v>
          </cell>
          <cell r="BF121">
            <v>3.1268164630196701E-3</v>
          </cell>
        </row>
        <row r="122">
          <cell r="O122">
            <v>1.2371344131525399</v>
          </cell>
          <cell r="P122">
            <v>1.23768342640315</v>
          </cell>
          <cell r="Q122">
            <v>1.23674247819477</v>
          </cell>
          <cell r="U122">
            <v>-1.96517738324372E-3</v>
          </cell>
          <cell r="V122">
            <v>-1.9250784643239001E-3</v>
          </cell>
          <cell r="W122">
            <v>-2.2717087781857202E-3</v>
          </cell>
          <cell r="Y122">
            <v>1.2358474847357901</v>
          </cell>
          <cell r="Z122">
            <v>1.23590338667969</v>
          </cell>
          <cell r="AA122">
            <v>1.2358785671172301</v>
          </cell>
          <cell r="AF122">
            <v>2.7900224274277302E-4</v>
          </cell>
          <cell r="AG122">
            <v>3.0337029992439502E-4</v>
          </cell>
          <cell r="AR122">
            <v>1.9417481829103801E-3</v>
          </cell>
          <cell r="BC122">
            <v>1.18506828010929E-3</v>
          </cell>
          <cell r="BF122">
            <v>3.1268164630196701E-3</v>
          </cell>
        </row>
        <row r="123">
          <cell r="O123">
            <v>1.2371344131525399</v>
          </cell>
          <cell r="P123">
            <v>1.2381224384384599</v>
          </cell>
          <cell r="Q123">
            <v>1.23676600185083</v>
          </cell>
          <cell r="U123">
            <v>-2.3611385842199199E-3</v>
          </cell>
          <cell r="V123">
            <v>-1.91745885083332E-3</v>
          </cell>
          <cell r="W123">
            <v>-2.6779974889005699E-3</v>
          </cell>
          <cell r="Y123">
            <v>1.2358474847357901</v>
          </cell>
          <cell r="Z123">
            <v>1.23588603293796</v>
          </cell>
          <cell r="AA123">
            <v>1.2359011667000901</v>
          </cell>
          <cell r="AF123">
            <v>-7.5656604900974602E-5</v>
          </cell>
          <cell r="AG123">
            <v>-9.5738928442116805E-5</v>
          </cell>
          <cell r="AR123">
            <v>1.9417481829103801E-3</v>
          </cell>
          <cell r="BC123">
            <v>1.18506828010929E-3</v>
          </cell>
          <cell r="BF123">
            <v>3.1268164630196701E-3</v>
          </cell>
        </row>
        <row r="124">
          <cell r="O124">
            <v>1.2371344131525399</v>
          </cell>
          <cell r="P124">
            <v>1.2385843771537199</v>
          </cell>
          <cell r="Q124">
            <v>1.23694940391028</v>
          </cell>
          <cell r="U124">
            <v>-1.96517738324372E-3</v>
          </cell>
          <cell r="V124">
            <v>-1.1668559179309099E-3</v>
          </cell>
          <cell r="W124">
            <v>-2.2630158105278902E-3</v>
          </cell>
          <cell r="Y124">
            <v>1.2358474847357901</v>
          </cell>
          <cell r="Z124">
            <v>1.23589142404893</v>
          </cell>
          <cell r="AA124">
            <v>1.2358570914440801</v>
          </cell>
          <cell r="AF124">
            <v>2.99079582633148E-4</v>
          </cell>
          <cell r="AG124">
            <v>3.1132478087136603E-4</v>
          </cell>
          <cell r="AR124">
            <v>1.9417481829103801E-3</v>
          </cell>
          <cell r="BC124">
            <v>1.18506828010929E-3</v>
          </cell>
          <cell r="BF124">
            <v>3.1268164630196701E-3</v>
          </cell>
        </row>
        <row r="125">
          <cell r="O125">
            <v>1.2371344131525399</v>
          </cell>
          <cell r="P125">
            <v>1.23862760019254</v>
          </cell>
          <cell r="Q125">
            <v>1.2369234481314999</v>
          </cell>
          <cell r="U125">
            <v>1.4184568259132601E-3</v>
          </cell>
          <cell r="V125">
            <v>2.5898048583703798E-3</v>
          </cell>
          <cell r="W125">
            <v>1.2688990451070099E-3</v>
          </cell>
          <cell r="Y125">
            <v>1.2358474847357901</v>
          </cell>
          <cell r="Z125">
            <v>1.23592573305689</v>
          </cell>
          <cell r="AA125">
            <v>1.2358274751365701</v>
          </cell>
          <cell r="AF125">
            <v>6.9413968761151303E-5</v>
          </cell>
          <cell r="AG125">
            <v>4.1633954221572403E-5</v>
          </cell>
          <cell r="AR125">
            <v>1.9417481829103801E-3</v>
          </cell>
          <cell r="BC125">
            <v>1.18506828010929E-3</v>
          </cell>
          <cell r="BF125">
            <v>3.1268164630196701E-3</v>
          </cell>
        </row>
        <row r="126">
          <cell r="O126">
            <v>1.2371344131525399</v>
          </cell>
          <cell r="P126">
            <v>1.2386044868381501</v>
          </cell>
          <cell r="Q126">
            <v>1.2369234481314999</v>
          </cell>
          <cell r="U126">
            <v>1.39524232125557E-3</v>
          </cell>
          <cell r="V126">
            <v>2.6014868738467199E-3</v>
          </cell>
          <cell r="W126">
            <v>1.2247006174029901E-3</v>
          </cell>
          <cell r="Y126">
            <v>1.2358474847357901</v>
          </cell>
          <cell r="Z126">
            <v>1.2358946462517</v>
          </cell>
          <cell r="AA126">
            <v>1.2358233071070499</v>
          </cell>
          <cell r="AF126">
            <v>7.5122625761296096E-5</v>
          </cell>
          <cell r="AG126">
            <v>-4.3820109052552303E-6</v>
          </cell>
          <cell r="AR126">
            <v>1.9417481829103801E-3</v>
          </cell>
          <cell r="BC126">
            <v>1.18506828010929E-3</v>
          </cell>
          <cell r="BF126">
            <v>3.1268164630196701E-3</v>
          </cell>
        </row>
        <row r="127">
          <cell r="O127">
            <v>1.2371344131525399</v>
          </cell>
          <cell r="P127">
            <v>1.2386044868381501</v>
          </cell>
          <cell r="Q127">
            <v>1.2368744044826601</v>
          </cell>
          <cell r="U127">
            <v>1.39524232125557E-3</v>
          </cell>
          <cell r="V127">
            <v>2.5828262449036701E-3</v>
          </cell>
          <cell r="W127">
            <v>1.2247006174029901E-3</v>
          </cell>
          <cell r="Y127">
            <v>1.2358474847357901</v>
          </cell>
          <cell r="Z127">
            <v>1.23588631019266</v>
          </cell>
          <cell r="AA127">
            <v>1.2357709676875801</v>
          </cell>
          <cell r="AF127">
            <v>4.9969661201171901E-5</v>
          </cell>
          <cell r="AG127">
            <v>-7.75467952679568E-6</v>
          </cell>
          <cell r="AR127">
            <v>1.9417481829103801E-3</v>
          </cell>
          <cell r="BC127">
            <v>1.18506828010929E-3</v>
          </cell>
          <cell r="BF127">
            <v>3.1268164630196701E-3</v>
          </cell>
        </row>
        <row r="128">
          <cell r="O128">
            <v>1.2371344131525399</v>
          </cell>
          <cell r="P128">
            <v>1.23815255272071</v>
          </cell>
          <cell r="Q128">
            <v>1.23689896243943</v>
          </cell>
          <cell r="U128">
            <v>1.11450794949286E-3</v>
          </cell>
          <cell r="V128">
            <v>2.3020918731408101E-3</v>
          </cell>
          <cell r="W128">
            <v>9.0431575536103299E-4</v>
          </cell>
          <cell r="Y128">
            <v>1.2358474847357901</v>
          </cell>
          <cell r="Z128">
            <v>1.2358838738618401</v>
          </cell>
          <cell r="AA128">
            <v>1.23579085242877</v>
          </cell>
          <cell r="AF128">
            <v>-2.31912359608177E-4</v>
          </cell>
          <cell r="AG128">
            <v>-3.25244478256678E-4</v>
          </cell>
          <cell r="AR128">
            <v>1.9417481829103801E-3</v>
          </cell>
          <cell r="BC128">
            <v>1.18506828010929E-3</v>
          </cell>
          <cell r="BF128">
            <v>3.1268164630196701E-3</v>
          </cell>
        </row>
        <row r="129">
          <cell r="O129">
            <v>1.2371344131525399</v>
          </cell>
          <cell r="P129">
            <v>1.2376141146841</v>
          </cell>
          <cell r="Q129">
            <v>1.23690473723634</v>
          </cell>
          <cell r="U129">
            <v>1.5120432359844701E-3</v>
          </cell>
          <cell r="V129">
            <v>2.3346869452763202E-3</v>
          </cell>
          <cell r="W129">
            <v>1.3217056955626299E-3</v>
          </cell>
          <cell r="Y129">
            <v>1.2358474847357901</v>
          </cell>
          <cell r="Z129">
            <v>1.23579658690314</v>
          </cell>
          <cell r="AA129">
            <v>1.2357923881838999</v>
          </cell>
          <cell r="AF129">
            <v>1.5502544138753E-4</v>
          </cell>
          <cell r="AG129">
            <v>7.9755477970588697E-5</v>
          </cell>
          <cell r="AR129">
            <v>1.9417481829103801E-3</v>
          </cell>
          <cell r="BC129">
            <v>1.18506828010929E-3</v>
          </cell>
          <cell r="BF129">
            <v>3.1268164630196701E-3</v>
          </cell>
        </row>
        <row r="130">
          <cell r="O130">
            <v>1.2371344131525399</v>
          </cell>
          <cell r="P130">
            <v>1.2370763479839499</v>
          </cell>
          <cell r="Q130">
            <v>1.2368614450261901</v>
          </cell>
          <cell r="U130">
            <v>2.0963440617496501E-3</v>
          </cell>
          <cell r="V130">
            <v>2.48402105775684E-3</v>
          </cell>
          <cell r="W130">
            <v>1.9106752805396099E-3</v>
          </cell>
          <cell r="Y130">
            <v>1.2358474847357901</v>
          </cell>
          <cell r="Z130">
            <v>1.23570951991602</v>
          </cell>
          <cell r="AA130">
            <v>1.2357458621636399</v>
          </cell>
          <cell r="AF130">
            <v>6.5635582987105595E-4</v>
          </cell>
          <cell r="AG130">
            <v>6.5295824291262505E-4</v>
          </cell>
          <cell r="AR130">
            <v>1.9417481829103801E-3</v>
          </cell>
          <cell r="BC130">
            <v>1.18506828010929E-3</v>
          </cell>
          <cell r="BF130">
            <v>3.1268164630196701E-3</v>
          </cell>
        </row>
        <row r="131">
          <cell r="O131">
            <v>1.2371344131525399</v>
          </cell>
          <cell r="P131">
            <v>1.2366225265969299</v>
          </cell>
          <cell r="Q131">
            <v>1.2369032742483099</v>
          </cell>
          <cell r="U131">
            <v>1.5120432359844701E-3</v>
          </cell>
          <cell r="V131">
            <v>1.4651069203652899E-3</v>
          </cell>
          <cell r="W131">
            <v>1.2913734021607001E-3</v>
          </cell>
          <cell r="Y131">
            <v>1.2358474847357901</v>
          </cell>
          <cell r="Z131">
            <v>1.23570445163614</v>
          </cell>
          <cell r="AA131">
            <v>1.2357828357596199</v>
          </cell>
          <cell r="AF131">
            <v>1.3939171662285499E-5</v>
          </cell>
          <cell r="AG131">
            <v>4.3348763985548299E-5</v>
          </cell>
          <cell r="AR131">
            <v>1.9417481829103801E-3</v>
          </cell>
          <cell r="BC131">
            <v>1.18506828010929E-3</v>
          </cell>
          <cell r="BF131">
            <v>3.1268164630196701E-3</v>
          </cell>
        </row>
        <row r="132">
          <cell r="O132">
            <v>1.2371344131525399</v>
          </cell>
          <cell r="P132">
            <v>1.2362761553214101</v>
          </cell>
          <cell r="Q132">
            <v>1.2369797908622799</v>
          </cell>
          <cell r="U132">
            <v>8.3302418416493604E-4</v>
          </cell>
          <cell r="V132">
            <v>4.1917062022725602E-4</v>
          </cell>
          <cell r="W132">
            <v>6.4617262076262498E-4</v>
          </cell>
          <cell r="Y132">
            <v>1.2358474847357901</v>
          </cell>
          <cell r="Z132">
            <v>1.2358042069533499</v>
          </cell>
          <cell r="AA132">
            <v>1.23585379681652</v>
          </cell>
          <cell r="AF132">
            <v>-6.5492714665488997E-4</v>
          </cell>
          <cell r="AG132">
            <v>-5.91496414962221E-4</v>
          </cell>
          <cell r="AR132">
            <v>1.9417481829103801E-3</v>
          </cell>
          <cell r="BC132">
            <v>1.18506828010929E-3</v>
          </cell>
          <cell r="BF132">
            <v>3.1268164630196701E-3</v>
          </cell>
        </row>
        <row r="133">
          <cell r="O133">
            <v>1.2371344131525399</v>
          </cell>
          <cell r="P133">
            <v>1.23578523730471</v>
          </cell>
          <cell r="Q133">
            <v>1.2369538378715901</v>
          </cell>
          <cell r="U133">
            <v>1.60554650588533E-3</v>
          </cell>
          <cell r="V133">
            <v>9.1155912140526599E-4</v>
          </cell>
          <cell r="W133">
            <v>1.48055446613866E-3</v>
          </cell>
          <cell r="Y133">
            <v>1.2358474847357901</v>
          </cell>
          <cell r="Z133">
            <v>1.23576242356111</v>
          </cell>
          <cell r="AA133">
            <v>1.23582422824953</v>
          </cell>
          <cell r="AF133">
            <v>1.82202743096571E-4</v>
          </cell>
          <cell r="AG133">
            <v>2.2232954308345899E-4</v>
          </cell>
          <cell r="AR133">
            <v>1.9417481829103801E-3</v>
          </cell>
          <cell r="BC133">
            <v>1.18506828010929E-3</v>
          </cell>
          <cell r="BF133">
            <v>3.1268164630196701E-3</v>
          </cell>
        </row>
        <row r="134">
          <cell r="O134">
            <v>1.2371344131525399</v>
          </cell>
          <cell r="P134">
            <v>1.23536938953697</v>
          </cell>
          <cell r="Q134">
            <v>1.2369768833453501</v>
          </cell>
          <cell r="U134">
            <v>1.39524232125557E-3</v>
          </cell>
          <cell r="V134">
            <v>3.0408193402642998E-4</v>
          </cell>
          <cell r="W134">
            <v>1.2492691279398799E-3</v>
          </cell>
          <cell r="Y134">
            <v>1.2358474847357901</v>
          </cell>
          <cell r="Z134">
            <v>1.23579406662413</v>
          </cell>
          <cell r="AA134">
            <v>1.2358427453365299</v>
          </cell>
          <cell r="AF134">
            <v>-5.7021468217282899E-5</v>
          </cell>
          <cell r="AG134">
            <v>-7.0093123464734402E-6</v>
          </cell>
          <cell r="AR134">
            <v>1.9417481829103801E-3</v>
          </cell>
          <cell r="BC134">
            <v>1.18506828010929E-3</v>
          </cell>
          <cell r="BF134">
            <v>3.1268164630196701E-3</v>
          </cell>
        </row>
        <row r="135">
          <cell r="O135">
            <v>1.2371344131525399</v>
          </cell>
          <cell r="P135">
            <v>1.23537225744567</v>
          </cell>
          <cell r="Q135">
            <v>1.23699992881911</v>
          </cell>
          <cell r="U135">
            <v>1.39524232125557E-3</v>
          </cell>
          <cell r="V135">
            <v>-3.2479580297285198E-5</v>
          </cell>
          <cell r="W135">
            <v>1.2678997820351999E-3</v>
          </cell>
          <cell r="Y135">
            <v>1.2358474847357901</v>
          </cell>
          <cell r="Z135">
            <v>1.23579679179016</v>
          </cell>
          <cell r="AA135">
            <v>1.2358612624235299</v>
          </cell>
          <cell r="AF135">
            <v>-3.1415690520935099E-5</v>
          </cell>
          <cell r="AG135">
            <v>7.9741681918971605E-6</v>
          </cell>
          <cell r="AR135">
            <v>1.9417481829103801E-3</v>
          </cell>
          <cell r="BC135">
            <v>1.18506828010929E-3</v>
          </cell>
          <cell r="BF135">
            <v>3.1268164630196701E-3</v>
          </cell>
        </row>
        <row r="136">
          <cell r="O136">
            <v>1.2371344131525399</v>
          </cell>
          <cell r="P136">
            <v>1.2354213010945201</v>
          </cell>
          <cell r="Q136">
            <v>1.2370128939663401</v>
          </cell>
          <cell r="U136">
            <v>9.9833816839695207E-4</v>
          </cell>
          <cell r="V136">
            <v>-4.2706223693022801E-4</v>
          </cell>
          <cell r="W136">
            <v>8.8962593617728696E-4</v>
          </cell>
          <cell r="Y136">
            <v>1.2358474847357901</v>
          </cell>
          <cell r="Z136">
            <v>1.2358447891253499</v>
          </cell>
          <cell r="AA136">
            <v>1.2358697176885201</v>
          </cell>
          <cell r="AF136">
            <v>-4.1751556282091301E-4</v>
          </cell>
          <cell r="AG136">
            <v>-3.6534763993847398E-4</v>
          </cell>
          <cell r="AR136">
            <v>1.9417481829103801E-3</v>
          </cell>
          <cell r="BC136">
            <v>1.18506828010929E-3</v>
          </cell>
          <cell r="BF136">
            <v>3.1268164630196701E-3</v>
          </cell>
        </row>
        <row r="137">
          <cell r="O137">
            <v>1.2371344131525399</v>
          </cell>
          <cell r="P137">
            <v>1.23587049743099</v>
          </cell>
          <cell r="Q137">
            <v>1.2372374921345699</v>
          </cell>
          <cell r="U137">
            <v>-2.2341750000723398E-3</v>
          </cell>
          <cell r="V137">
            <v>-3.6198767031875002E-3</v>
          </cell>
          <cell r="W137">
            <v>-2.33240616516967E-3</v>
          </cell>
          <cell r="Y137">
            <v>1.2358474847357901</v>
          </cell>
          <cell r="Z137">
            <v>1.2358344405764199</v>
          </cell>
          <cell r="AA137">
            <v>1.2358603753845401</v>
          </cell>
          <cell r="AF137">
            <v>9.3368879668797499E-5</v>
          </cell>
          <cell r="AG137">
            <v>1.13539949674328E-4</v>
          </cell>
          <cell r="AR137">
            <v>1.9417481829103801E-3</v>
          </cell>
          <cell r="BC137">
            <v>1.18506828010929E-3</v>
          </cell>
          <cell r="BF137">
            <v>3.1268164630196701E-3</v>
          </cell>
        </row>
        <row r="138">
          <cell r="O138">
            <v>1.2371344131525399</v>
          </cell>
          <cell r="P138">
            <v>1.2362850067073601</v>
          </cell>
          <cell r="Q138">
            <v>1.2372187797140299</v>
          </cell>
          <cell r="U138">
            <v>-2.2341750000723398E-3</v>
          </cell>
          <cell r="V138">
            <v>-3.2563450945942598E-3</v>
          </cell>
          <cell r="W138">
            <v>-2.15085770903087E-3</v>
          </cell>
          <cell r="Y138">
            <v>1.2358474847357901</v>
          </cell>
          <cell r="Z138">
            <v>1.2357900850092201</v>
          </cell>
          <cell r="AA138">
            <v>1.2358369794355299</v>
          </cell>
          <cell r="AF138">
            <v>8.4995180687222205E-5</v>
          </cell>
          <cell r="AG138">
            <v>1.05980625938197E-4</v>
          </cell>
          <cell r="AR138">
            <v>1.9417481829103801E-3</v>
          </cell>
          <cell r="BC138">
            <v>1.18506828010929E-3</v>
          </cell>
          <cell r="BF138">
            <v>3.1268164630196701E-3</v>
          </cell>
        </row>
        <row r="139">
          <cell r="O139">
            <v>1.2371344131525399</v>
          </cell>
          <cell r="P139">
            <v>1.2367722908201499</v>
          </cell>
          <cell r="Q139">
            <v>1.23719320275213</v>
          </cell>
          <cell r="U139">
            <v>-2.4249697233551101E-3</v>
          </cell>
          <cell r="V139">
            <v>-3.1117974176391198E-3</v>
          </cell>
          <cell r="W139">
            <v>-2.3567769028884499E-3</v>
          </cell>
          <cell r="Y139">
            <v>1.2358474847357901</v>
          </cell>
          <cell r="Z139">
            <v>1.23581646222366</v>
          </cell>
          <cell r="AA139">
            <v>1.2358065245634</v>
          </cell>
          <cell r="AF139">
            <v>-1.34303762673176E-4</v>
          </cell>
          <cell r="AG139">
            <v>-9.6357563598492595E-5</v>
          </cell>
          <cell r="AR139">
            <v>1.9417481829103801E-3</v>
          </cell>
          <cell r="BC139">
            <v>1.18506828010929E-3</v>
          </cell>
          <cell r="BF139">
            <v>3.1268164630196701E-3</v>
          </cell>
        </row>
        <row r="140">
          <cell r="O140">
            <v>1.2371344131525399</v>
          </cell>
          <cell r="P140">
            <v>1.2373673065097099</v>
          </cell>
          <cell r="Q140">
            <v>1.2372218272468301</v>
          </cell>
          <cell r="U140">
            <v>-2.7117999480391702E-3</v>
          </cell>
          <cell r="V140">
            <v>-3.00455337676738E-3</v>
          </cell>
          <cell r="W140">
            <v>-2.6642802912055499E-3</v>
          </cell>
          <cell r="Y140">
            <v>1.2358474847357901</v>
          </cell>
          <cell r="Z140">
            <v>1.2359475770894499</v>
          </cell>
          <cell r="AA140">
            <v>1.2358285485027301</v>
          </cell>
          <cell r="AF140">
            <v>-3.8866922091733799E-4</v>
          </cell>
          <cell r="AG140">
            <v>-3.9671062554370601E-4</v>
          </cell>
          <cell r="AR140">
            <v>1.9417481829103801E-3</v>
          </cell>
          <cell r="BC140">
            <v>1.18506828010929E-3</v>
          </cell>
          <cell r="BF140">
            <v>3.1268164630196701E-3</v>
          </cell>
        </row>
        <row r="141">
          <cell r="O141">
            <v>1.2371344131525399</v>
          </cell>
          <cell r="P141">
            <v>1.2378545906225</v>
          </cell>
          <cell r="Q141">
            <v>1.2372385586097201</v>
          </cell>
          <cell r="U141">
            <v>-2.4249697233551101E-3</v>
          </cell>
          <cell r="V141">
            <v>-2.2367351741484501E-3</v>
          </cell>
          <cell r="W141">
            <v>-2.35431369339436E-3</v>
          </cell>
          <cell r="Y141">
            <v>1.2358474847357901</v>
          </cell>
          <cell r="Z141">
            <v>1.2359739543038799</v>
          </cell>
          <cell r="AA141">
            <v>1.23583920297001</v>
          </cell>
          <cell r="AF141">
            <v>-6.8694618159563096E-6</v>
          </cell>
          <cell r="AG141">
            <v>-1.03179629691166E-4</v>
          </cell>
          <cell r="AR141">
            <v>1.9417481829103801E-3</v>
          </cell>
          <cell r="BC141">
            <v>1.18506828010929E-3</v>
          </cell>
          <cell r="BF141">
            <v>3.1268164630196701E-3</v>
          </cell>
        </row>
        <row r="142">
          <cell r="O142">
            <v>1.2371344131525399</v>
          </cell>
          <cell r="P142">
            <v>1.23820865972492</v>
          </cell>
          <cell r="Q142">
            <v>1.2372424075231601</v>
          </cell>
          <cell r="U142">
            <v>-2.0272763397083402E-3</v>
          </cell>
          <cell r="V142">
            <v>-1.4453121457747599E-3</v>
          </cell>
          <cell r="W142">
            <v>-1.9430970680898499E-3</v>
          </cell>
          <cell r="Y142">
            <v>1.2358474847357901</v>
          </cell>
          <cell r="Z142">
            <v>1.23587008292773</v>
          </cell>
          <cell r="AA142">
            <v>1.2358371449405401</v>
          </cell>
          <cell r="AF142">
            <v>4.0353243886650202E-4</v>
          </cell>
          <cell r="AG142">
            <v>2.9450208306907401E-4</v>
          </cell>
          <cell r="AR142">
            <v>1.9417481829103801E-3</v>
          </cell>
          <cell r="BC142">
            <v>1.18506828010929E-3</v>
          </cell>
          <cell r="BF142">
            <v>3.1268164630196701E-3</v>
          </cell>
        </row>
        <row r="143">
          <cell r="O143">
            <v>1.2371344131525399</v>
          </cell>
          <cell r="P143">
            <v>1.2387330955924001</v>
          </cell>
          <cell r="Q143">
            <v>1.2372591664485599</v>
          </cell>
          <cell r="U143">
            <v>-2.6313944690488701E-3</v>
          </cell>
          <cell r="V143">
            <v>-1.7634366884995199E-3</v>
          </cell>
          <cell r="W143">
            <v>-2.5441043119580199E-3</v>
          </cell>
          <cell r="Y143">
            <v>1.2358474847357901</v>
          </cell>
          <cell r="Z143">
            <v>1.2359331480040501</v>
          </cell>
          <cell r="AA143">
            <v>1.23584778578258</v>
          </cell>
          <cell r="AF143">
            <v>-2.7477137843677702E-4</v>
          </cell>
          <cell r="AG143">
            <v>-3.01423391928778E-4</v>
          </cell>
          <cell r="AR143">
            <v>1.9417481829103801E-3</v>
          </cell>
          <cell r="BC143">
            <v>1.18506828010929E-3</v>
          </cell>
          <cell r="BF143">
            <v>3.1268164630196701E-3</v>
          </cell>
        </row>
        <row r="144">
          <cell r="O144">
            <v>1.2371344131525399</v>
          </cell>
          <cell r="P144">
            <v>1.2392078921771099</v>
          </cell>
          <cell r="Q144">
            <v>1.23728864085704</v>
          </cell>
          <cell r="U144">
            <v>-2.4406237076858598E-3</v>
          </cell>
          <cell r="V144">
            <v>-1.1492115813113699E-3</v>
          </cell>
          <cell r="W144">
            <v>-2.3397882568081401E-3</v>
          </cell>
          <cell r="Y144">
            <v>1.2358474847357901</v>
          </cell>
          <cell r="Z144">
            <v>1.2359481612556</v>
          </cell>
          <cell r="AA144">
            <v>1.2358711139398599</v>
          </cell>
          <cell r="AF144">
            <v>-4.0353366260484403E-5</v>
          </cell>
          <cell r="AG144">
            <v>-1.09422773133591E-4</v>
          </cell>
          <cell r="AR144">
            <v>1.9417481829103801E-3</v>
          </cell>
          <cell r="BC144">
            <v>1.18506828010929E-3</v>
          </cell>
          <cell r="BF144">
            <v>3.1268164630196701E-3</v>
          </cell>
        </row>
        <row r="145">
          <cell r="O145">
            <v>1.2371344131525399</v>
          </cell>
          <cell r="P145">
            <v>1.2397319013602399</v>
          </cell>
          <cell r="Q145">
            <v>1.23755207940296</v>
          </cell>
          <cell r="U145">
            <v>-2.8373703901368101E-3</v>
          </cell>
          <cell r="V145">
            <v>-1.16273962146028E-3</v>
          </cell>
          <cell r="W145">
            <v>-2.7127128830459202E-3</v>
          </cell>
          <cell r="Y145">
            <v>1.2358474847357901</v>
          </cell>
          <cell r="Z145">
            <v>1.23601115903693</v>
          </cell>
          <cell r="AA145">
            <v>1.2359039754135499</v>
          </cell>
          <cell r="AF145">
            <v>-4.1636048124776701E-4</v>
          </cell>
          <cell r="AG145">
            <v>-4.7870105487540099E-4</v>
          </cell>
          <cell r="AR145">
            <v>1.9417481829103801E-3</v>
          </cell>
          <cell r="BC145">
            <v>1.18506828010929E-3</v>
          </cell>
          <cell r="BF145">
            <v>3.1268164630196701E-3</v>
          </cell>
        </row>
        <row r="146">
          <cell r="O146">
            <v>1.2371344131525399</v>
          </cell>
          <cell r="P146">
            <v>1.2401576542960999</v>
          </cell>
          <cell r="Q146">
            <v>1.23778947769531</v>
          </cell>
          <cell r="U146">
            <v>-2.4406237076858598E-3</v>
          </cell>
          <cell r="V146">
            <v>-3.43224147040663E-4</v>
          </cell>
          <cell r="W146">
            <v>-2.10307286587889E-3</v>
          </cell>
          <cell r="Y146">
            <v>1.2358474847357901</v>
          </cell>
          <cell r="Z146">
            <v>1.2359781749532901</v>
          </cell>
          <cell r="AA146">
            <v>1.23591148203932</v>
          </cell>
          <cell r="AF146">
            <v>2.2763778150893899E-5</v>
          </cell>
          <cell r="AG146">
            <v>-6.3957340999653195E-5</v>
          </cell>
          <cell r="AR146">
            <v>1.9417481829103801E-3</v>
          </cell>
          <cell r="BC146">
            <v>1.18506828010929E-3</v>
          </cell>
          <cell r="BF146">
            <v>3.1268164630196701E-3</v>
          </cell>
        </row>
        <row r="147">
          <cell r="O147">
            <v>1.2371344131525399</v>
          </cell>
          <cell r="P147">
            <v>1.23961883394648</v>
          </cell>
          <cell r="Q147">
            <v>1.2377446656887301</v>
          </cell>
          <cell r="U147">
            <v>2.12096555033092E-3</v>
          </cell>
          <cell r="V147">
            <v>4.5617295475681198E-3</v>
          </cell>
          <cell r="W147">
            <v>2.6503269262446402E-3</v>
          </cell>
          <cell r="Y147">
            <v>1.2358474847357901</v>
          </cell>
          <cell r="Z147">
            <v>1.2359000007581</v>
          </cell>
          <cell r="AA147">
            <v>1.2358672206672601</v>
          </cell>
          <cell r="AF147">
            <v>8.3410993591408395E-4</v>
          </cell>
          <cell r="AG147">
            <v>7.80148858972775E-4</v>
          </cell>
          <cell r="AR147">
            <v>1.9417481829103801E-3</v>
          </cell>
          <cell r="BC147">
            <v>1.18506828010929E-3</v>
          </cell>
          <cell r="BF147">
            <v>3.1268164630196701E-3</v>
          </cell>
        </row>
        <row r="148">
          <cell r="O148">
            <v>1.2371344131525399</v>
          </cell>
          <cell r="P148">
            <v>1.23910609284299</v>
          </cell>
          <cell r="Q148">
            <v>1.23769554977518</v>
          </cell>
          <cell r="U148">
            <v>1.90973661963132E-3</v>
          </cell>
          <cell r="V148">
            <v>3.9159289039277199E-3</v>
          </cell>
          <cell r="W148">
            <v>2.4028940864175802E-3</v>
          </cell>
          <cell r="Y148">
            <v>1.2358474847357901</v>
          </cell>
          <cell r="Z148">
            <v>1.2358472146570001</v>
          </cell>
          <cell r="AA148">
            <v>1.2358186498331101</v>
          </cell>
          <cell r="AF148">
            <v>5.65299892727939E-4</v>
          </cell>
          <cell r="AG148">
            <v>5.3877628600881996E-4</v>
          </cell>
          <cell r="AR148">
            <v>1.9417481829103801E-3</v>
          </cell>
          <cell r="BC148">
            <v>1.18506828010929E-3</v>
          </cell>
          <cell r="BF148">
            <v>3.1268164630196701E-3</v>
          </cell>
        </row>
        <row r="149">
          <cell r="O149">
            <v>1.2371344131525399</v>
          </cell>
          <cell r="P149">
            <v>1.23866792464376</v>
          </cell>
          <cell r="Q149">
            <v>1.23772010773196</v>
          </cell>
          <cell r="U149">
            <v>1.11450794949286E-3</v>
          </cell>
          <cell r="V149">
            <v>2.7069866302678702E-3</v>
          </cell>
          <cell r="W149">
            <v>1.56798284729169E-3</v>
          </cell>
          <cell r="Y149">
            <v>1.2358474847357901</v>
          </cell>
          <cell r="Z149">
            <v>1.2358675475326699</v>
          </cell>
          <cell r="AA149">
            <v>1.23584200487816</v>
          </cell>
          <cell r="AF149">
            <v>-2.52573365556622E-4</v>
          </cell>
          <cell r="AG149">
            <v>-2.7568718874631599E-4</v>
          </cell>
          <cell r="AR149">
            <v>1.9417481829103801E-3</v>
          </cell>
          <cell r="BC149">
            <v>1.18506828010929E-3</v>
          </cell>
          <cell r="BF149">
            <v>3.1268164630196701E-3</v>
          </cell>
        </row>
        <row r="150">
          <cell r="O150">
            <v>1.2371344131525399</v>
          </cell>
          <cell r="P150">
            <v>1.2382173619867001</v>
          </cell>
          <cell r="Q150">
            <v>1.23779233424821</v>
          </cell>
          <cell r="U150">
            <v>9.2693555772311404E-4</v>
          </cell>
          <cell r="V150">
            <v>2.1657353309677799E-3</v>
          </cell>
          <cell r="W150">
            <v>1.4002519368539899E-3</v>
          </cell>
          <cell r="Y150">
            <v>1.2358474847357901</v>
          </cell>
          <cell r="Z150">
            <v>1.2358764414751799</v>
          </cell>
          <cell r="AA150">
            <v>1.2359120092823099</v>
          </cell>
          <cell r="AF150">
            <v>-4.1927037730739601E-4</v>
          </cell>
          <cell r="AG150">
            <v>-4.3993838377432798E-4</v>
          </cell>
          <cell r="AR150">
            <v>1.9417481829103801E-3</v>
          </cell>
          <cell r="BC150">
            <v>1.18506828010929E-3</v>
          </cell>
          <cell r="BF150">
            <v>3.1268164630196701E-3</v>
          </cell>
        </row>
        <row r="151">
          <cell r="O151">
            <v>1.2371344131525399</v>
          </cell>
          <cell r="P151">
            <v>1.2377185282801</v>
          </cell>
          <cell r="Q151">
            <v>1.2377865594513</v>
          </cell>
          <cell r="U151">
            <v>1.60554650588533E-3</v>
          </cell>
          <cell r="V151">
            <v>2.4805323678003602E-3</v>
          </cell>
          <cell r="W151">
            <v>2.13721566486581E-3</v>
          </cell>
          <cell r="Y151">
            <v>1.2358474847357901</v>
          </cell>
          <cell r="Z151">
            <v>1.23583759979664</v>
          </cell>
          <cell r="AA151">
            <v>1.2359057770502599</v>
          </cell>
          <cell r="AF151">
            <v>2.4988697890723403E-4</v>
          </cell>
          <cell r="AG151">
            <v>2.7866598475315802E-4</v>
          </cell>
          <cell r="AR151">
            <v>1.9417481829103801E-3</v>
          </cell>
          <cell r="BC151">
            <v>1.18506828010929E-3</v>
          </cell>
          <cell r="BF151">
            <v>3.1268164630196701E-3</v>
          </cell>
        </row>
        <row r="152">
          <cell r="O152">
            <v>1.2371344131525399</v>
          </cell>
          <cell r="P152">
            <v>1.23732966974555</v>
          </cell>
          <cell r="Q152">
            <v>1.23776916473524</v>
          </cell>
          <cell r="U152">
            <v>1.11450794949286E-3</v>
          </cell>
          <cell r="V152">
            <v>1.5865482300495999E-3</v>
          </cell>
          <cell r="W152">
            <v>1.64151169714643E-3</v>
          </cell>
          <cell r="Y152">
            <v>1.2358474847357901</v>
          </cell>
          <cell r="Z152">
            <v>1.23590600947982</v>
          </cell>
          <cell r="AA152">
            <v>1.23588804620377</v>
          </cell>
          <cell r="AF152">
            <v>-2.6035337075870299E-4</v>
          </cell>
          <cell r="AG152">
            <v>-2.0518805361747599E-4</v>
          </cell>
          <cell r="AR152">
            <v>1.9417481829103801E-3</v>
          </cell>
          <cell r="BC152">
            <v>1.18506828010929E-3</v>
          </cell>
          <cell r="BF152">
            <v>3.1268164630196701E-3</v>
          </cell>
        </row>
        <row r="153">
          <cell r="O153">
            <v>1.2371344131525399</v>
          </cell>
          <cell r="P153">
            <v>1.23686589938544</v>
          </cell>
          <cell r="Q153">
            <v>1.2377994974889199</v>
          </cell>
          <cell r="U153">
            <v>1.11450794949286E-3</v>
          </cell>
          <cell r="V153">
            <v>1.27232522780383E-3</v>
          </cell>
          <cell r="W153">
            <v>1.62745851636313E-3</v>
          </cell>
          <cell r="Y153">
            <v>1.2358474847357901</v>
          </cell>
          <cell r="Z153">
            <v>1.23590097796563</v>
          </cell>
          <cell r="AA153">
            <v>1.2359170629848399</v>
          </cell>
          <cell r="AF153">
            <v>-2.04999989492702E-4</v>
          </cell>
          <cell r="AG153">
            <v>-2.1953459524106999E-4</v>
          </cell>
          <cell r="AR153">
            <v>1.9417481829103801E-3</v>
          </cell>
          <cell r="BC153">
            <v>1.18506828010929E-3</v>
          </cell>
          <cell r="BF153">
            <v>3.1268164630196701E-3</v>
          </cell>
        </row>
        <row r="154">
          <cell r="O154">
            <v>1.2371344131525399</v>
          </cell>
          <cell r="P154">
            <v>1.2363535860938799</v>
          </cell>
          <cell r="Q154">
            <v>1.2377807391355</v>
          </cell>
          <cell r="U154">
            <v>1.69896674676484E-3</v>
          </cell>
          <cell r="V154">
            <v>1.4818982469776401E-3</v>
          </cell>
          <cell r="W154">
            <v>2.23642299925621E-3</v>
          </cell>
          <cell r="Y154">
            <v>1.2358474847357901</v>
          </cell>
          <cell r="Z154">
            <v>1.2358481695685899</v>
          </cell>
          <cell r="AA154">
            <v>1.2358981654121</v>
          </cell>
          <cell r="AF154">
            <v>3.6096692053122102E-4</v>
          </cell>
          <cell r="AG154">
            <v>3.7398164810941001E-4</v>
          </cell>
          <cell r="AR154">
            <v>1.9417481829103801E-3</v>
          </cell>
          <cell r="BC154">
            <v>1.18506828010929E-3</v>
          </cell>
          <cell r="BF154">
            <v>3.1268164630196701E-3</v>
          </cell>
        </row>
        <row r="155">
          <cell r="O155">
            <v>1.2371344131525399</v>
          </cell>
          <cell r="P155">
            <v>1.23587862055959</v>
          </cell>
          <cell r="Q155">
            <v>1.2378052609599199</v>
          </cell>
          <cell r="U155">
            <v>9.9833816839695207E-4</v>
          </cell>
          <cell r="V155">
            <v>3.6698108493112599E-4</v>
          </cell>
          <cell r="W155">
            <v>1.52063970835173E-3</v>
          </cell>
          <cell r="Y155">
            <v>1.2358474847357901</v>
          </cell>
          <cell r="Z155">
            <v>1.23583176405648</v>
          </cell>
          <cell r="AA155">
            <v>1.23592146154671</v>
          </cell>
          <cell r="AF155">
            <v>-3.6457677444892299E-4</v>
          </cell>
          <cell r="AG155">
            <v>-3.24122911686992E-4</v>
          </cell>
          <cell r="AR155">
            <v>1.9417481829103801E-3</v>
          </cell>
          <cell r="BC155">
            <v>1.18506828010929E-3</v>
          </cell>
          <cell r="BF155">
            <v>3.1268164630196701E-3</v>
          </cell>
        </row>
        <row r="156">
          <cell r="O156">
            <v>1.2371344131525399</v>
          </cell>
          <cell r="P156">
            <v>1.2354038239748899</v>
          </cell>
          <cell r="Q156">
            <v>1.2377807391355</v>
          </cell>
          <cell r="U156">
            <v>1.39524232125557E-3</v>
          </cell>
          <cell r="V156">
            <v>3.7964500432670399E-4</v>
          </cell>
          <cell r="W156">
            <v>1.9373547863197401E-3</v>
          </cell>
          <cell r="Y156">
            <v>1.2358474847357901</v>
          </cell>
          <cell r="Z156">
            <v>1.23581551918086</v>
          </cell>
          <cell r="AA156">
            <v>1.2358968470670699</v>
          </cell>
          <cell r="AF156">
            <v>9.05446059386267E-6</v>
          </cell>
          <cell r="AG156">
            <v>8.16324909051871E-5</v>
          </cell>
          <cell r="AR156">
            <v>1.9417481829103801E-3</v>
          </cell>
          <cell r="BC156">
            <v>1.18506828010929E-3</v>
          </cell>
          <cell r="BF156">
            <v>3.1268164630196701E-3</v>
          </cell>
        </row>
        <row r="157">
          <cell r="O157">
            <v>1.2371344131525399</v>
          </cell>
          <cell r="P157">
            <v>1.2354934479880499</v>
          </cell>
          <cell r="Q157">
            <v>1.23755614096726</v>
          </cell>
          <cell r="U157">
            <v>1.39524232125557E-3</v>
          </cell>
          <cell r="V157">
            <v>-4.6061698767230202E-6</v>
          </cell>
          <cell r="W157">
            <v>1.91754386121065E-3</v>
          </cell>
          <cell r="Y157">
            <v>1.2358474847357901</v>
          </cell>
          <cell r="Z157">
            <v>1.23590281030089</v>
          </cell>
          <cell r="AA157">
            <v>1.2359014055294999</v>
          </cell>
          <cell r="AF157">
            <v>-4.0905182491951899E-6</v>
          </cell>
          <cell r="AG157">
            <v>6.1716399541950797E-5</v>
          </cell>
          <cell r="AR157">
            <v>1.9417481829103801E-3</v>
          </cell>
          <cell r="BC157">
            <v>1.18506828010929E-3</v>
          </cell>
          <cell r="BF157">
            <v>3.1268164630196701E-3</v>
          </cell>
        </row>
        <row r="158">
          <cell r="O158">
            <v>1.2371344131525399</v>
          </cell>
          <cell r="P158">
            <v>1.23566667918856</v>
          </cell>
          <cell r="Q158">
            <v>1.2373863860157801</v>
          </cell>
          <cell r="U158">
            <v>5.0778137661179796E-4</v>
          </cell>
          <cell r="V158">
            <v>-8.1952341615178399E-4</v>
          </cell>
          <cell r="W158">
            <v>8.4861414708048497E-4</v>
          </cell>
          <cell r="Y158">
            <v>1.2358474847357901</v>
          </cell>
          <cell r="Z158">
            <v>1.23607169013189</v>
          </cell>
          <cell r="AA158">
            <v>1.2359594523944399</v>
          </cell>
          <cell r="AF158">
            <v>-7.9871793412462303E-4</v>
          </cell>
          <cell r="AG158">
            <v>-7.9985457058159403E-4</v>
          </cell>
          <cell r="AR158">
            <v>1.9417481829103801E-3</v>
          </cell>
          <cell r="BC158">
            <v>1.18506828010929E-3</v>
          </cell>
          <cell r="BF158">
            <v>3.1268164630196701E-3</v>
          </cell>
        </row>
        <row r="159">
          <cell r="O159">
            <v>1.2371344131525399</v>
          </cell>
          <cell r="P159">
            <v>1.23568103577732</v>
          </cell>
          <cell r="Q159">
            <v>1.23717448021054</v>
          </cell>
          <cell r="U159">
            <v>9.9833816839695207E-4</v>
          </cell>
          <cell r="V159">
            <v>-1.88764296812804E-4</v>
          </cell>
          <cell r="W159">
            <v>1.2019920347871101E-3</v>
          </cell>
          <cell r="Y159">
            <v>1.2358474847357901</v>
          </cell>
          <cell r="Z159">
            <v>1.2360856318398901</v>
          </cell>
          <cell r="AA159">
            <v>1.23597658968628</v>
          </cell>
          <cell r="AF159">
            <v>-1.83729031326967E-4</v>
          </cell>
          <cell r="AG159">
            <v>-2.7453511834780499E-4</v>
          </cell>
          <cell r="AR159">
            <v>1.9417481829103801E-3</v>
          </cell>
          <cell r="BC159">
            <v>1.18506828010929E-3</v>
          </cell>
          <cell r="BF159">
            <v>3.1268164630196701E-3</v>
          </cell>
        </row>
        <row r="160">
          <cell r="O160">
            <v>1.2371344131525399</v>
          </cell>
          <cell r="P160">
            <v>1.23567221081395</v>
          </cell>
          <cell r="Q160">
            <v>1.23694478640033</v>
          </cell>
          <cell r="U160">
            <v>9.9833816839695207E-4</v>
          </cell>
          <cell r="V160">
            <v>-1.77145867991824E-4</v>
          </cell>
          <cell r="W160">
            <v>1.03072463243731E-3</v>
          </cell>
          <cell r="Y160">
            <v>1.2358474847357901</v>
          </cell>
          <cell r="Z160">
            <v>1.2360769312823101</v>
          </cell>
          <cell r="AA160">
            <v>1.23597668637874</v>
          </cell>
          <cell r="AF160">
            <v>-1.7245005010511501E-4</v>
          </cell>
          <cell r="AG160">
            <v>-2.6066963675919002E-4</v>
          </cell>
          <cell r="AR160">
            <v>1.9417481829103801E-3</v>
          </cell>
          <cell r="BC160">
            <v>1.18506828010929E-3</v>
          </cell>
          <cell r="BF160">
            <v>3.1268164630196701E-3</v>
          </cell>
        </row>
        <row r="161">
          <cell r="O161">
            <v>1.2371344131525399</v>
          </cell>
          <cell r="P161">
            <v>1.23569818926123</v>
          </cell>
          <cell r="Q161">
            <v>1.23670835877067</v>
          </cell>
          <cell r="U161">
            <v>1.39524232125557E-3</v>
          </cell>
          <cell r="V161">
            <v>2.1261647834932001E-4</v>
          </cell>
          <cell r="W161">
            <v>1.24195155140741E-3</v>
          </cell>
          <cell r="Y161">
            <v>1.2358474847357901</v>
          </cell>
          <cell r="Z161">
            <v>1.23610222365123</v>
          </cell>
          <cell r="AA161">
            <v>1.23596991172393</v>
          </cell>
          <cell r="AF161">
            <v>2.0741714858128001E-4</v>
          </cell>
          <cell r="AG161">
            <v>1.2631461673852601E-4</v>
          </cell>
          <cell r="AR161">
            <v>1.9417481829103801E-3</v>
          </cell>
          <cell r="BC161">
            <v>1.18506828010929E-3</v>
          </cell>
          <cell r="BF161">
            <v>3.1268164630196701E-3</v>
          </cell>
        </row>
        <row r="162">
          <cell r="O162">
            <v>1.2371344131525399</v>
          </cell>
          <cell r="P162">
            <v>1.23613829878585</v>
          </cell>
          <cell r="Q162">
            <v>1.2367339842656999</v>
          </cell>
          <cell r="U162">
            <v>-2.4406237076858598E-3</v>
          </cell>
          <cell r="V162">
            <v>-3.6022260348303999E-3</v>
          </cell>
          <cell r="W162">
            <v>-2.7850711324955801E-3</v>
          </cell>
          <cell r="Y162">
            <v>1.2358474847357901</v>
          </cell>
          <cell r="Z162">
            <v>1.23607786447324</v>
          </cell>
          <cell r="AA162">
            <v>1.23599193697653</v>
          </cell>
          <cell r="AF162">
            <v>1.5082354526294801E-4</v>
          </cell>
          <cell r="AG162">
            <v>4.3778183982044497E-5</v>
          </cell>
          <cell r="AR162">
            <v>1.9417481829103801E-3</v>
          </cell>
          <cell r="BC162">
            <v>1.18506828010929E-3</v>
          </cell>
          <cell r="BF162">
            <v>3.1268164630196701E-3</v>
          </cell>
        </row>
        <row r="163">
          <cell r="O163">
            <v>1.2371344131525399</v>
          </cell>
          <cell r="P163">
            <v>1.2365547940056201</v>
          </cell>
          <cell r="Q163">
            <v>1.23671034669553</v>
          </cell>
          <cell r="U163">
            <v>-2.2501918169489099E-3</v>
          </cell>
          <cell r="V163">
            <v>-3.0556949187615198E-3</v>
          </cell>
          <cell r="W163">
            <v>-2.5739187304347801E-3</v>
          </cell>
          <cell r="Y163">
            <v>1.2358474847357901</v>
          </cell>
          <cell r="Z163">
            <v>1.2360309690101601</v>
          </cell>
          <cell r="AA163">
            <v>1.2359659734878901</v>
          </cell>
          <cell r="AF163">
            <v>3.1347835977312298E-4</v>
          </cell>
          <cell r="AG163">
            <v>2.4395969432635601E-4</v>
          </cell>
          <cell r="AR163">
            <v>1.9417481829103801E-3</v>
          </cell>
          <cell r="BC163">
            <v>1.18506828010929E-3</v>
          </cell>
          <cell r="BF163">
            <v>3.1268164630196701E-3</v>
          </cell>
        </row>
        <row r="164">
          <cell r="O164">
            <v>1.2371344131525399</v>
          </cell>
          <cell r="P164">
            <v>1.2371163198955999</v>
          </cell>
          <cell r="Q164">
            <v>1.23673495299474</v>
          </cell>
          <cell r="U164">
            <v>-2.8373703901368101E-3</v>
          </cell>
          <cell r="V164">
            <v>-3.30599769856938E-3</v>
          </cell>
          <cell r="W164">
            <v>-3.1802103840173198E-3</v>
          </cell>
          <cell r="Y164">
            <v>1.2358474847357901</v>
          </cell>
          <cell r="Z164">
            <v>1.23612486461619</v>
          </cell>
          <cell r="AA164">
            <v>1.23598651709239</v>
          </cell>
          <cell r="AF164">
            <v>-2.9357911821578702E-4</v>
          </cell>
          <cell r="AG164">
            <v>-3.4616455727037897E-4</v>
          </cell>
          <cell r="AR164">
            <v>1.9417481829103801E-3</v>
          </cell>
          <cell r="BC164">
            <v>1.18506828010929E-3</v>
          </cell>
          <cell r="BF164">
            <v>3.1268164630196701E-3</v>
          </cell>
        </row>
        <row r="165">
          <cell r="O165">
            <v>1.2371344131525399</v>
          </cell>
          <cell r="P165">
            <v>1.23746929431816</v>
          </cell>
          <cell r="Q165">
            <v>1.2366739574388801</v>
          </cell>
          <cell r="U165">
            <v>-1.85360248000396E-3</v>
          </cell>
          <cell r="V165">
            <v>-1.8682277212502499E-3</v>
          </cell>
          <cell r="W165">
            <v>-2.1765460975900902E-3</v>
          </cell>
          <cell r="Y165">
            <v>1.2358474847357901</v>
          </cell>
          <cell r="Z165">
            <v>1.2360162640382799</v>
          </cell>
          <cell r="AA165">
            <v>1.2359240140473799</v>
          </cell>
          <cell r="AF165">
            <v>7.3810810796299999E-4</v>
          </cell>
          <cell r="AG165">
            <v>6.2618149740220196E-4</v>
          </cell>
          <cell r="AR165">
            <v>1.9417481829103801E-3</v>
          </cell>
          <cell r="BC165">
            <v>1.18506828010929E-3</v>
          </cell>
          <cell r="BF165">
            <v>3.1268164630196701E-3</v>
          </cell>
        </row>
        <row r="166">
          <cell r="O166">
            <v>1.2371344131525399</v>
          </cell>
          <cell r="P166">
            <v>1.2379184906546199</v>
          </cell>
          <cell r="Q166">
            <v>1.2366611573147499</v>
          </cell>
          <cell r="U166">
            <v>-2.2341750000723398E-3</v>
          </cell>
          <cell r="V166">
            <v>-1.9635206188054598E-3</v>
          </cell>
          <cell r="W166">
            <v>-2.60643966248872E-3</v>
          </cell>
          <cell r="Y166">
            <v>1.2358474847357901</v>
          </cell>
          <cell r="Z166">
            <v>1.2360005116342401</v>
          </cell>
          <cell r="AA166">
            <v>1.2359080154075499</v>
          </cell>
          <cell r="AF166">
            <v>2.8580873082707998E-4</v>
          </cell>
          <cell r="AG166">
            <v>2.1117101262683099E-4</v>
          </cell>
          <cell r="AR166">
            <v>1.9417481829103801E-3</v>
          </cell>
          <cell r="BC166">
            <v>1.18506828010929E-3</v>
          </cell>
          <cell r="BF166">
            <v>3.1268164630196701E-3</v>
          </cell>
        </row>
        <row r="167">
          <cell r="O167">
            <v>1.2371344131525399</v>
          </cell>
          <cell r="P167">
            <v>1.2384169480748299</v>
          </cell>
          <cell r="Q167">
            <v>1.2369551980314399</v>
          </cell>
          <cell r="U167">
            <v>-2.6313944690488701E-3</v>
          </cell>
          <cell r="V167">
            <v>-1.99781000941537E-3</v>
          </cell>
          <cell r="W167">
            <v>-3.0140096286915699E-3</v>
          </cell>
          <cell r="Y167">
            <v>1.2358474847357901</v>
          </cell>
          <cell r="Z167">
            <v>1.2360326140654301</v>
          </cell>
          <cell r="AA167">
            <v>1.23596771218316</v>
          </cell>
          <cell r="AF167">
            <v>-1.14141492413948E-4</v>
          </cell>
          <cell r="AG167">
            <v>-1.8897939658652399E-4</v>
          </cell>
          <cell r="AR167">
            <v>1.9417481829103801E-3</v>
          </cell>
          <cell r="BC167">
            <v>1.18506828010929E-3</v>
          </cell>
          <cell r="BF167">
            <v>3.1268164630196701E-3</v>
          </cell>
        </row>
        <row r="168">
          <cell r="O168">
            <v>1.2371344131525399</v>
          </cell>
          <cell r="P168">
            <v>1.2382870202537299</v>
          </cell>
          <cell r="Q168">
            <v>1.23697684972114</v>
          </cell>
          <cell r="U168">
            <v>1.55909929151915E-3</v>
          </cell>
          <cell r="V168">
            <v>2.59526041273402E-3</v>
          </cell>
          <cell r="W168">
            <v>1.41422570197309E-3</v>
          </cell>
          <cell r="Y168">
            <v>1.2358474847357901</v>
          </cell>
          <cell r="Z168">
            <v>1.2359005550539599</v>
          </cell>
          <cell r="AA168">
            <v>1.2359861225929201</v>
          </cell>
          <cell r="AF168">
            <v>3.7454391876871299E-4</v>
          </cell>
          <cell r="AG168">
            <v>3.2203431219825402E-4</v>
          </cell>
          <cell r="AR168">
            <v>1.9417481829103801E-3</v>
          </cell>
          <cell r="BC168">
            <v>1.18506828010929E-3</v>
          </cell>
          <cell r="BF168">
            <v>3.1268164630196701E-3</v>
          </cell>
        </row>
        <row r="169">
          <cell r="O169">
            <v>1.2371344131525399</v>
          </cell>
          <cell r="P169">
            <v>1.2383656642113501</v>
          </cell>
          <cell r="Q169">
            <v>1.2370233499943299</v>
          </cell>
          <cell r="U169">
            <v>3.6221105767319698E-4</v>
          </cell>
          <cell r="V169">
            <v>1.2934522345718E-3</v>
          </cell>
          <cell r="W169">
            <v>2.34841335886154E-4</v>
          </cell>
          <cell r="Y169">
            <v>1.2358474847357901</v>
          </cell>
          <cell r="Z169">
            <v>1.2359713509966801</v>
          </cell>
          <cell r="AA169">
            <v>1.23602849141829</v>
          </cell>
          <cell r="AF169">
            <v>-8.9466975545471805E-4</v>
          </cell>
          <cell r="AG169">
            <v>-8.2543718118535702E-4</v>
          </cell>
          <cell r="AR169">
            <v>1.9417481829103801E-3</v>
          </cell>
          <cell r="BC169">
            <v>1.18506828010929E-3</v>
          </cell>
          <cell r="BF169">
            <v>3.1268164630196701E-3</v>
          </cell>
        </row>
        <row r="170">
          <cell r="O170">
            <v>1.2371344131525399</v>
          </cell>
          <cell r="P170">
            <v>1.2383224671452699</v>
          </cell>
          <cell r="Q170">
            <v>1.2369973389796101</v>
          </cell>
          <cell r="U170">
            <v>1.3479183824323499E-3</v>
          </cell>
          <cell r="V170">
            <v>2.3426678244496801E-3</v>
          </cell>
          <cell r="W170">
            <v>1.25813982429988E-3</v>
          </cell>
          <cell r="Y170">
            <v>1.2358474847357901</v>
          </cell>
          <cell r="Z170">
            <v>1.2359237534288301</v>
          </cell>
          <cell r="AA170">
            <v>1.2360003423555701</v>
          </cell>
          <cell r="AF170">
            <v>1.20166497641378E-4</v>
          </cell>
          <cell r="AG170">
            <v>1.66396615166223E-4</v>
          </cell>
          <cell r="AR170">
            <v>1.9417481829103801E-3</v>
          </cell>
          <cell r="BC170">
            <v>1.18506828010929E-3</v>
          </cell>
          <cell r="BF170">
            <v>3.1268164630196701E-3</v>
          </cell>
        </row>
        <row r="171">
          <cell r="O171">
            <v>1.2371344131525399</v>
          </cell>
          <cell r="P171">
            <v>1.23837757481178</v>
          </cell>
          <cell r="Q171">
            <v>1.23703788203651</v>
          </cell>
          <cell r="U171">
            <v>9.4927376882125605E-4</v>
          </cell>
          <cell r="V171">
            <v>1.90914028348376E-3</v>
          </cell>
          <cell r="W171">
            <v>8.3846788877767295E-4</v>
          </cell>
          <cell r="Y171">
            <v>1.2358474847357901</v>
          </cell>
          <cell r="Z171">
            <v>1.2359718345895001</v>
          </cell>
          <cell r="AA171">
            <v>1.2360370291203699</v>
          </cell>
          <cell r="AF171">
            <v>-3.0550008732997501E-4</v>
          </cell>
          <cell r="AG171">
            <v>-2.4353303349138299E-4</v>
          </cell>
          <cell r="AR171">
            <v>1.9417481829103801E-3</v>
          </cell>
          <cell r="BC171">
            <v>1.18506828010929E-3</v>
          </cell>
          <cell r="BF171">
            <v>3.1268164630196701E-3</v>
          </cell>
        </row>
        <row r="172">
          <cell r="O172">
            <v>1.2371344131525399</v>
          </cell>
          <cell r="P172">
            <v>1.23795788589358</v>
          </cell>
          <cell r="Q172">
            <v>1.23704809233972</v>
          </cell>
          <cell r="U172">
            <v>9.4927376882125605E-4</v>
          </cell>
          <cell r="V172">
            <v>1.9536411641627701E-3</v>
          </cell>
          <cell r="W172">
            <v>8.7124273090998699E-4</v>
          </cell>
          <cell r="Y172">
            <v>1.2358474847357901</v>
          </cell>
          <cell r="Z172">
            <v>1.23601039274288</v>
          </cell>
          <cell r="AA172">
            <v>1.2360441286080599</v>
          </cell>
          <cell r="AF172">
            <v>-2.66597828744542E-4</v>
          </cell>
          <cell r="AG172">
            <v>-2.1385163366800699E-4</v>
          </cell>
          <cell r="AR172">
            <v>1.9417481829103801E-3</v>
          </cell>
          <cell r="BC172">
            <v>1.18506828010929E-3</v>
          </cell>
          <cell r="BF172">
            <v>3.1268164630196701E-3</v>
          </cell>
        </row>
        <row r="173">
          <cell r="O173">
            <v>1.2371344131525399</v>
          </cell>
          <cell r="P173">
            <v>1.23756181128024</v>
          </cell>
          <cell r="Q173">
            <v>1.23705830264293</v>
          </cell>
          <cell r="U173">
            <v>9.4927376882125605E-4</v>
          </cell>
          <cell r="V173">
            <v>1.61468149664288E-3</v>
          </cell>
          <cell r="W173">
            <v>8.7949652913505002E-4</v>
          </cell>
          <cell r="Y173">
            <v>1.2358474847357901</v>
          </cell>
          <cell r="Z173">
            <v>1.2360714871813401</v>
          </cell>
          <cell r="AA173">
            <v>1.2360512280957501</v>
          </cell>
          <cell r="AF173">
            <v>-2.3540168748308201E-4</v>
          </cell>
          <cell r="AG173">
            <v>-2.0810790015789201E-4</v>
          </cell>
          <cell r="AR173">
            <v>1.9417481829103801E-3</v>
          </cell>
          <cell r="BC173">
            <v>1.18506828010929E-3</v>
          </cell>
          <cell r="BF173">
            <v>3.1268164630196701E-3</v>
          </cell>
        </row>
        <row r="174">
          <cell r="O174">
            <v>1.2371344131525399</v>
          </cell>
          <cell r="P174">
            <v>1.23710178892192</v>
          </cell>
          <cell r="Q174">
            <v>1.23710905440876</v>
          </cell>
          <cell r="U174">
            <v>8.7743620827579298E-4</v>
          </cell>
          <cell r="V174">
            <v>1.22285083147506E-3</v>
          </cell>
          <cell r="W174">
            <v>8.1591269869014699E-4</v>
          </cell>
          <cell r="Y174">
            <v>1.2358474847357901</v>
          </cell>
          <cell r="Z174">
            <v>1.23607094307478</v>
          </cell>
          <cell r="AA174">
            <v>1.23609790384548</v>
          </cell>
          <cell r="AF174">
            <v>-2.56398021042346E-4</v>
          </cell>
          <cell r="AG174">
            <v>-2.7278805335413198E-4</v>
          </cell>
          <cell r="AR174">
            <v>1.9417481829103801E-3</v>
          </cell>
          <cell r="BC174">
            <v>1.18506828010929E-3</v>
          </cell>
          <cell r="BF174">
            <v>3.1268164630196701E-3</v>
          </cell>
        </row>
        <row r="175">
          <cell r="O175">
            <v>1.2371344131525399</v>
          </cell>
          <cell r="P175">
            <v>1.23673766270576</v>
          </cell>
          <cell r="Q175">
            <v>1.2371034785119599</v>
          </cell>
          <cell r="U175">
            <v>1.08857441086394E-3</v>
          </cell>
          <cell r="V175">
            <v>1.06220325794605E-3</v>
          </cell>
          <cell r="W175">
            <v>1.0680762310278E-3</v>
          </cell>
          <cell r="Y175">
            <v>1.2358474847357901</v>
          </cell>
          <cell r="Z175">
            <v>1.2361631927621799</v>
          </cell>
          <cell r="AA175">
            <v>1.2360897284002299</v>
          </cell>
          <cell r="AF175">
            <v>-5.2067880895613101E-5</v>
          </cell>
          <cell r="AG175">
            <v>-3.02564494141231E-5</v>
          </cell>
          <cell r="AR175">
            <v>1.9417481829103801E-3</v>
          </cell>
          <cell r="BC175">
            <v>1.18506828010929E-3</v>
          </cell>
          <cell r="BF175">
            <v>3.1268164630196701E-3</v>
          </cell>
        </row>
        <row r="176">
          <cell r="O176">
            <v>1.2371344131525399</v>
          </cell>
          <cell r="P176">
            <v>1.2363757897618499</v>
          </cell>
          <cell r="Q176">
            <v>1.2371471402082399</v>
          </cell>
          <cell r="U176">
            <v>6.8865438953698602E-4</v>
          </cell>
          <cell r="V176">
            <v>3.6790178954959401E-4</v>
          </cell>
          <cell r="W176">
            <v>6.6364900045335902E-4</v>
          </cell>
          <cell r="Y176">
            <v>1.2358474847357901</v>
          </cell>
          <cell r="Z176">
            <v>1.2362584338489999</v>
          </cell>
          <cell r="AA176">
            <v>1.2361294727416201</v>
          </cell>
          <cell r="AF176">
            <v>-3.6579771273589603E-4</v>
          </cell>
          <cell r="AG176">
            <v>-4.2522881814071901E-4</v>
          </cell>
          <cell r="AR176">
            <v>1.9417481829103801E-3</v>
          </cell>
          <cell r="BC176">
            <v>1.18506828010929E-3</v>
          </cell>
          <cell r="BF176">
            <v>3.1268164630196701E-3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15CF-84D8-42C8-BE2E-A9E80E5724C6}">
  <dimension ref="A1:DZ183"/>
  <sheetViews>
    <sheetView tabSelected="1" topLeftCell="AH1" workbookViewId="0">
      <selection activeCell="BA16" sqref="BA16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1.1080061030827202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2.2007275231735792</v>
      </c>
      <c r="AU1" s="4">
        <v>0</v>
      </c>
      <c r="AV1" s="6">
        <f>AU1+$AV12</f>
        <v>5.0000000000000001E-4</v>
      </c>
      <c r="AW1" s="6">
        <f t="shared" ref="AW1:BB1" si="1">AV1+$AV12</f>
        <v>1E-3</v>
      </c>
      <c r="AX1" s="6">
        <f t="shared" si="1"/>
        <v>1.5E-3</v>
      </c>
      <c r="AY1" s="6">
        <f t="shared" si="1"/>
        <v>2E-3</v>
      </c>
      <c r="AZ1" s="6">
        <f t="shared" si="1"/>
        <v>2.5000000000000001E-3</v>
      </c>
      <c r="BA1" s="6">
        <f t="shared" si="1"/>
        <v>3.0000000000000001E-3</v>
      </c>
      <c r="BB1" s="6">
        <f t="shared" si="1"/>
        <v>3.5000000000000001E-3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21.14</v>
      </c>
      <c r="C2" s="33">
        <v>25.96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21.14</v>
      </c>
      <c r="M2" s="33">
        <v>25.96</v>
      </c>
      <c r="N2" s="34">
        <v>1.2280037842951701</v>
      </c>
      <c r="O2" s="34">
        <v>1.2284375966208501</v>
      </c>
      <c r="X2" s="34">
        <v>1.2280037842951701</v>
      </c>
      <c r="Y2" s="34">
        <v>1.2253439668366699</v>
      </c>
      <c r="AI2" s="4">
        <v>0</v>
      </c>
      <c r="AJ2" s="10">
        <f t="dataTable" ref="AJ2:AQ9" dt2D="1" dtr="1" r1="AI21" r2="AI22"/>
        <v>2.2224553643612492</v>
      </c>
      <c r="AK2" s="10">
        <v>2.3035593401785439</v>
      </c>
      <c r="AL2" s="10">
        <v>2.4057943631291829</v>
      </c>
      <c r="AM2" s="10">
        <v>2.2403304237386377</v>
      </c>
      <c r="AN2" s="10">
        <v>1.9180611060660455</v>
      </c>
      <c r="AO2" s="10">
        <v>1.2880055565525916</v>
      </c>
      <c r="AP2" s="10">
        <v>1.1957018650082825</v>
      </c>
      <c r="AQ2" s="10">
        <v>0.66999520790379974</v>
      </c>
      <c r="AR2"/>
      <c r="AT2" s="4">
        <v>0</v>
      </c>
      <c r="AU2" s="10">
        <f t="dataTable" ref="AU2:BB9" dt2D="1" dtr="1" r1="AT21" r2="AT22"/>
        <v>2.5827495328966026</v>
      </c>
      <c r="AV2" s="11">
        <v>2.7843847105632058</v>
      </c>
      <c r="AW2" s="11">
        <v>3.5822619105085756</v>
      </c>
      <c r="AX2" s="11">
        <v>2.9910804490593712</v>
      </c>
      <c r="AY2" s="11">
        <v>1.6326606556449217</v>
      </c>
      <c r="AZ2" s="11">
        <v>1.3392206740197654</v>
      </c>
      <c r="BA2" s="11">
        <v>2.2953813127129532</v>
      </c>
      <c r="BB2" s="11">
        <v>2.2920507595982555</v>
      </c>
      <c r="BC2"/>
    </row>
    <row r="3" spans="1:130" x14ac:dyDescent="0.25">
      <c r="A3" s="1">
        <v>46027</v>
      </c>
      <c r="B3" s="33">
        <v>21.16</v>
      </c>
      <c r="C3" s="33">
        <v>26.04</v>
      </c>
      <c r="D3" s="15">
        <v>9.4562654800703003E-4</v>
      </c>
      <c r="E3" s="15">
        <v>3.0769255044790899E-3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21.16</v>
      </c>
      <c r="M3" s="33">
        <v>26.04</v>
      </c>
      <c r="N3" s="34">
        <v>1.2306238185255101</v>
      </c>
      <c r="O3" s="34">
        <v>1.2284375966208501</v>
      </c>
      <c r="R3" s="33">
        <v>25.993739544497299</v>
      </c>
      <c r="U3" s="15">
        <v>-1.7780950627737499E-3</v>
      </c>
      <c r="X3" s="34">
        <v>1.2306238185255101</v>
      </c>
      <c r="Y3" s="34">
        <v>1.2253439668366699</v>
      </c>
      <c r="AB3" s="33">
        <v>25.928278338263901</v>
      </c>
      <c r="AE3" s="15">
        <v>-4.2996165130788399E-3</v>
      </c>
      <c r="AI3" s="4">
        <f t="shared" ref="AI3:AI9" si="2">AI2-AK$12</f>
        <v>-2.0000000000000001E-4</v>
      </c>
      <c r="AJ3" s="10">
        <v>2.2224553643612492</v>
      </c>
      <c r="AK3" s="10">
        <v>2.0636365852127225</v>
      </c>
      <c r="AL3" s="10">
        <v>2.2224764019984331</v>
      </c>
      <c r="AM3" s="10">
        <v>2.0481214679613493</v>
      </c>
      <c r="AN3" s="10">
        <v>1.5381520825179811</v>
      </c>
      <c r="AO3" s="11">
        <v>1.1080061030827202</v>
      </c>
      <c r="AP3" s="10">
        <v>0.84191377529548173</v>
      </c>
      <c r="AQ3" s="10">
        <v>0.66999520790379974</v>
      </c>
      <c r="AR3"/>
      <c r="AT3" s="4">
        <f>AT2+AV$12</f>
        <v>5.0000000000000001E-4</v>
      </c>
      <c r="AU3" s="10">
        <v>2.5827495328966026</v>
      </c>
      <c r="AV3" s="11">
        <v>3.0651090578840421</v>
      </c>
      <c r="AW3" s="11">
        <v>4.0909448002791597</v>
      </c>
      <c r="AX3" s="11">
        <v>3.5944115566304742</v>
      </c>
      <c r="AY3" s="11">
        <v>2.2007275231735792</v>
      </c>
      <c r="AZ3" s="11">
        <v>1.9317466708119679</v>
      </c>
      <c r="BA3" s="11">
        <v>2.2032685312573155</v>
      </c>
      <c r="BB3" s="11">
        <v>2.1268539735020879</v>
      </c>
      <c r="BC3"/>
    </row>
    <row r="4" spans="1:130" x14ac:dyDescent="0.25">
      <c r="A4" s="1">
        <v>46028</v>
      </c>
      <c r="B4" s="33">
        <v>21.18</v>
      </c>
      <c r="C4" s="33">
        <v>26.09</v>
      </c>
      <c r="D4" s="15">
        <v>9.4473318316166499E-4</v>
      </c>
      <c r="E4" s="15">
        <v>1.9182818082686601E-3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21.18</v>
      </c>
      <c r="M4" s="33">
        <v>26.09</v>
      </c>
      <c r="N4" s="34">
        <v>1.2318224740321</v>
      </c>
      <c r="O4" s="34">
        <v>1.2284375966208501</v>
      </c>
      <c r="R4" s="33">
        <v>26.018308296429701</v>
      </c>
      <c r="U4" s="15">
        <v>-2.7516436878805401E-3</v>
      </c>
      <c r="X4" s="34">
        <v>1.2318224740321</v>
      </c>
      <c r="Y4" s="34">
        <v>1.2253439668366699</v>
      </c>
      <c r="AB4" s="33">
        <v>25.952785217600599</v>
      </c>
      <c r="AE4" s="15">
        <v>-5.2731651381857604E-3</v>
      </c>
      <c r="AG4"/>
      <c r="AI4" s="4">
        <f t="shared" si="2"/>
        <v>-4.0000000000000002E-4</v>
      </c>
      <c r="AJ4" s="10">
        <v>2.2224553643612492</v>
      </c>
      <c r="AK4" s="11">
        <v>2.0636365852127225</v>
      </c>
      <c r="AL4" s="11">
        <v>2.5092325309306038</v>
      </c>
      <c r="AM4" s="11">
        <v>2.3341914465847484</v>
      </c>
      <c r="AN4" s="10">
        <v>1.5739211110127818</v>
      </c>
      <c r="AO4" s="11">
        <v>1.1273629980190498</v>
      </c>
      <c r="AP4" s="11">
        <v>0.85002388952873642</v>
      </c>
      <c r="AQ4" s="11">
        <v>0.46323561295991295</v>
      </c>
      <c r="AR4"/>
      <c r="AT4" s="4">
        <f t="shared" ref="AT4:AT9" si="3">AT3+AV$12</f>
        <v>1E-3</v>
      </c>
      <c r="AU4" s="10">
        <v>2.5827495328966026</v>
      </c>
      <c r="AV4" s="11">
        <v>3.0651090578840421</v>
      </c>
      <c r="AW4" s="11">
        <v>3.7868173226632167</v>
      </c>
      <c r="AX4" s="11">
        <v>3.3295495211589001</v>
      </c>
      <c r="AY4" s="11">
        <v>2.3185230315223251</v>
      </c>
      <c r="AZ4" s="11">
        <v>1.8847687604323207</v>
      </c>
      <c r="BA4" s="11">
        <v>2.1419656730365237</v>
      </c>
      <c r="BB4" s="11">
        <v>2.013410377794902</v>
      </c>
      <c r="BC4"/>
      <c r="BE4" s="8"/>
      <c r="BF4" s="8"/>
    </row>
    <row r="5" spans="1:130" x14ac:dyDescent="0.25">
      <c r="A5" s="1">
        <v>46029</v>
      </c>
      <c r="B5" s="33">
        <v>21.23</v>
      </c>
      <c r="C5" s="33">
        <v>26.12</v>
      </c>
      <c r="D5" s="15">
        <v>2.3579355419043801E-3</v>
      </c>
      <c r="E5" s="15">
        <v>1.1492052595933101E-3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21.23</v>
      </c>
      <c r="M5" s="33">
        <v>26.12</v>
      </c>
      <c r="N5" s="34">
        <v>1.23033443240697</v>
      </c>
      <c r="O5" s="34">
        <v>1.2284375966208501</v>
      </c>
      <c r="R5" s="33">
        <v>26.0797301762607</v>
      </c>
      <c r="U5" s="15">
        <v>-1.5429134055694399E-3</v>
      </c>
      <c r="X5" s="34">
        <v>1.23033443240697</v>
      </c>
      <c r="Y5" s="34">
        <v>1.2253439668366699</v>
      </c>
      <c r="AB5" s="33">
        <v>26.014052415942501</v>
      </c>
      <c r="AE5" s="15">
        <v>-4.0644348558747396E-3</v>
      </c>
      <c r="AG5" s="29"/>
      <c r="AI5" s="4">
        <f t="shared" si="2"/>
        <v>-6.0000000000000006E-4</v>
      </c>
      <c r="AJ5" s="10">
        <v>2.2224553643612492</v>
      </c>
      <c r="AK5" s="11">
        <v>2.0636365852127225</v>
      </c>
      <c r="AL5" s="11">
        <v>2.5092325309306038</v>
      </c>
      <c r="AM5" s="11">
        <v>2.128750706774114</v>
      </c>
      <c r="AN5" s="11">
        <v>1.3494071736290212</v>
      </c>
      <c r="AO5" s="11">
        <v>0.89567396809807143</v>
      </c>
      <c r="AP5" s="10">
        <v>0.71893376139295717</v>
      </c>
      <c r="AQ5" s="11">
        <v>0.35297233871412326</v>
      </c>
      <c r="AR5"/>
      <c r="AT5" s="4">
        <f t="shared" si="3"/>
        <v>1.5E-3</v>
      </c>
      <c r="AU5" s="10">
        <v>2.5827495328966026</v>
      </c>
      <c r="AV5" s="11">
        <v>3.0651090578840421</v>
      </c>
      <c r="AW5" s="11">
        <v>3.7868173226632167</v>
      </c>
      <c r="AX5" s="11">
        <v>3.4091445772096058</v>
      </c>
      <c r="AY5" s="11">
        <v>2.3013021254017483</v>
      </c>
      <c r="AZ5" s="11">
        <v>1.8847687604323207</v>
      </c>
      <c r="BA5" s="11">
        <v>2.1419656730365237</v>
      </c>
      <c r="BB5" s="11">
        <v>2.013410377794902</v>
      </c>
      <c r="BC5"/>
    </row>
    <row r="6" spans="1:130" x14ac:dyDescent="0.25">
      <c r="A6" s="1">
        <v>46030</v>
      </c>
      <c r="B6" s="33">
        <v>21.22</v>
      </c>
      <c r="C6" s="33">
        <v>26.1</v>
      </c>
      <c r="D6" s="15">
        <v>-4.7114252932773298E-4</v>
      </c>
      <c r="E6" s="15">
        <v>-7.6599007958253395E-4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21.22</v>
      </c>
      <c r="M6" s="33">
        <v>26.1</v>
      </c>
      <c r="N6" s="34">
        <v>1.22997172478793</v>
      </c>
      <c r="O6" s="34">
        <v>1.2284375966208501</v>
      </c>
      <c r="R6" s="33">
        <v>26.0674458002945</v>
      </c>
      <c r="U6" s="15">
        <v>-1.2480658553146501E-3</v>
      </c>
      <c r="X6" s="34">
        <v>1.22997172478793</v>
      </c>
      <c r="Y6" s="34">
        <v>1.2253439668366699</v>
      </c>
      <c r="AB6" s="33">
        <v>26.001798976274099</v>
      </c>
      <c r="AE6" s="15">
        <v>-3.7695873056197799E-3</v>
      </c>
      <c r="AG6" s="29"/>
      <c r="AI6" s="4">
        <f t="shared" si="2"/>
        <v>-8.0000000000000004E-4</v>
      </c>
      <c r="AJ6" s="10">
        <v>2.2224553643612492</v>
      </c>
      <c r="AK6" s="11">
        <v>2.0636365852127225</v>
      </c>
      <c r="AL6" s="11">
        <v>2.5092325309306038</v>
      </c>
      <c r="AM6" s="11">
        <v>2.128750706774114</v>
      </c>
      <c r="AN6" s="11">
        <v>1.7754763574292227</v>
      </c>
      <c r="AO6" s="11">
        <v>1.8282758407421646</v>
      </c>
      <c r="AP6" s="11">
        <v>1.6384111325613122</v>
      </c>
      <c r="AQ6" s="11">
        <v>1.2713260510759685</v>
      </c>
      <c r="AR6"/>
      <c r="AT6" s="4">
        <f t="shared" si="3"/>
        <v>2E-3</v>
      </c>
      <c r="AU6" s="10">
        <v>2.5827495328966026</v>
      </c>
      <c r="AV6" s="11">
        <v>3.0651090578840421</v>
      </c>
      <c r="AW6" s="11">
        <v>3.7868173226632167</v>
      </c>
      <c r="AX6" s="11">
        <v>3.4091445772096058</v>
      </c>
      <c r="AY6" s="11">
        <v>2.1760832653980589</v>
      </c>
      <c r="AZ6" s="11">
        <v>1.8847687604323207</v>
      </c>
      <c r="BA6" s="11">
        <v>2.1419656730365237</v>
      </c>
      <c r="BB6" s="11">
        <v>2.013410377794902</v>
      </c>
      <c r="BC6"/>
    </row>
    <row r="7" spans="1:130" x14ac:dyDescent="0.25">
      <c r="A7" s="1">
        <v>46031</v>
      </c>
      <c r="B7" s="33">
        <v>21.23</v>
      </c>
      <c r="C7" s="33">
        <v>26.18</v>
      </c>
      <c r="D7" s="15">
        <v>4.7114252932772599E-4</v>
      </c>
      <c r="E7" s="15">
        <v>3.0604461531061199E-3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21.23</v>
      </c>
      <c r="M7" s="33">
        <v>26.18</v>
      </c>
      <c r="N7" s="34">
        <v>1.23316062176165</v>
      </c>
      <c r="O7" s="34">
        <v>1.2284375966208501</v>
      </c>
      <c r="R7" s="33">
        <v>26.0797301762607</v>
      </c>
      <c r="U7" s="15">
        <v>-3.83736947909293E-3</v>
      </c>
      <c r="X7" s="34">
        <v>1.23316062176165</v>
      </c>
      <c r="Y7" s="34">
        <v>1.2253439668366699</v>
      </c>
      <c r="AB7" s="33">
        <v>26.014052415942501</v>
      </c>
      <c r="AE7" s="15">
        <v>-6.3588909293981798E-3</v>
      </c>
      <c r="AG7"/>
      <c r="AI7" s="4">
        <f t="shared" si="2"/>
        <v>-1E-3</v>
      </c>
      <c r="AJ7" s="10">
        <v>2.2224553643612492</v>
      </c>
      <c r="AK7" s="11">
        <v>2.0636365852127225</v>
      </c>
      <c r="AL7" s="11">
        <v>2.5092325309306038</v>
      </c>
      <c r="AM7" s="11">
        <v>2.128750706774114</v>
      </c>
      <c r="AN7" s="11">
        <v>1.7754763574292227</v>
      </c>
      <c r="AO7" s="11">
        <v>1.8282758407421646</v>
      </c>
      <c r="AP7" s="11">
        <v>1.6384111325613122</v>
      </c>
      <c r="AQ7" s="11">
        <v>1.2713260510759685</v>
      </c>
      <c r="AR7"/>
      <c r="AT7" s="4">
        <f t="shared" si="3"/>
        <v>2.5000000000000001E-3</v>
      </c>
      <c r="AU7" s="10">
        <v>2.5827495328966026</v>
      </c>
      <c r="AV7" s="11">
        <v>3.0651090578840421</v>
      </c>
      <c r="AW7" s="11">
        <v>3.7868173226632167</v>
      </c>
      <c r="AX7" s="11">
        <v>3.4091445772096058</v>
      </c>
      <c r="AY7" s="11">
        <v>2.1760832653980589</v>
      </c>
      <c r="AZ7" s="11">
        <v>1.7038758422736191</v>
      </c>
      <c r="BA7" s="11">
        <v>1.9273251711692931</v>
      </c>
      <c r="BB7" s="11">
        <v>1.8046556391811761</v>
      </c>
      <c r="BC7"/>
    </row>
    <row r="8" spans="1:130" x14ac:dyDescent="0.25">
      <c r="A8" s="1">
        <v>46034</v>
      </c>
      <c r="B8" s="33">
        <v>21.23</v>
      </c>
      <c r="C8" s="33">
        <v>26.18</v>
      </c>
      <c r="D8" s="15">
        <v>0</v>
      </c>
      <c r="E8" s="15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21.23</v>
      </c>
      <c r="M8" s="33">
        <v>26.18</v>
      </c>
      <c r="N8" s="34">
        <v>1.23316062176165</v>
      </c>
      <c r="O8" s="34">
        <v>1.2284375966208501</v>
      </c>
      <c r="R8" s="33">
        <v>26.0797301762607</v>
      </c>
      <c r="U8" s="15">
        <v>-3.83736947909293E-3</v>
      </c>
      <c r="X8" s="34">
        <v>1.23316062176165</v>
      </c>
      <c r="Y8" s="34">
        <v>1.2253439668366699</v>
      </c>
      <c r="AB8" s="33">
        <v>26.014052415942501</v>
      </c>
      <c r="AE8" s="15">
        <v>-6.3588909293981798E-3</v>
      </c>
      <c r="AG8"/>
      <c r="AI8" s="4">
        <f t="shared" si="2"/>
        <v>-1.2000000000000001E-3</v>
      </c>
      <c r="AJ8" s="10">
        <v>2.2224553643612492</v>
      </c>
      <c r="AK8" s="11">
        <v>2.0636365852127225</v>
      </c>
      <c r="AL8" s="11">
        <v>2.5092325309306038</v>
      </c>
      <c r="AM8" s="11">
        <v>2.128750706774114</v>
      </c>
      <c r="AN8" s="11">
        <v>1.7754763574292227</v>
      </c>
      <c r="AO8" s="11">
        <v>1.8282758407421646</v>
      </c>
      <c r="AP8" s="11">
        <v>1.0704412387466882</v>
      </c>
      <c r="AQ8" s="11">
        <v>0.64767594219856284</v>
      </c>
      <c r="AR8"/>
      <c r="AT8" s="4">
        <f t="shared" si="3"/>
        <v>3.0000000000000001E-3</v>
      </c>
      <c r="AU8" s="10">
        <v>2.5827495328966026</v>
      </c>
      <c r="AV8" s="11">
        <v>3.0651090578840421</v>
      </c>
      <c r="AW8" s="11">
        <v>3.7868173226632167</v>
      </c>
      <c r="AX8" s="11">
        <v>3.4091445772096058</v>
      </c>
      <c r="AY8" s="11">
        <v>2.1760832653980589</v>
      </c>
      <c r="AZ8" s="11">
        <v>1.7038758422736191</v>
      </c>
      <c r="BA8" s="11">
        <v>1.9273251711692931</v>
      </c>
      <c r="BB8" s="11">
        <v>1.8046556391811761</v>
      </c>
      <c r="BC8"/>
    </row>
    <row r="9" spans="1:130" x14ac:dyDescent="0.25">
      <c r="A9" s="1">
        <v>46035</v>
      </c>
      <c r="B9" s="33">
        <v>21.23</v>
      </c>
      <c r="C9" s="33">
        <v>26.15</v>
      </c>
      <c r="D9" s="15">
        <v>0</v>
      </c>
      <c r="E9" s="15">
        <v>-1.1465699708219899E-3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21.23</v>
      </c>
      <c r="M9" s="33">
        <v>26.15</v>
      </c>
      <c r="N9" s="34">
        <v>1.2317475270843099</v>
      </c>
      <c r="O9" s="34">
        <v>1.2284375966208501</v>
      </c>
      <c r="R9" s="33">
        <v>26.0797301762607</v>
      </c>
      <c r="U9" s="15">
        <v>-2.6907995082709E-3</v>
      </c>
      <c r="X9" s="34">
        <v>1.2317475270843099</v>
      </c>
      <c r="Y9" s="34">
        <v>1.2253439668366699</v>
      </c>
      <c r="AB9" s="33">
        <v>26.014052415942501</v>
      </c>
      <c r="AE9" s="15">
        <v>-5.2123209585762404E-3</v>
      </c>
      <c r="AF9"/>
      <c r="AI9" s="4">
        <f t="shared" si="2"/>
        <v>-1.4000000000000002E-3</v>
      </c>
      <c r="AJ9" s="10">
        <v>2.2224553643612492</v>
      </c>
      <c r="AK9" s="11">
        <v>2.0636365852127225</v>
      </c>
      <c r="AL9" s="11">
        <v>2.5092325309306038</v>
      </c>
      <c r="AM9" s="11">
        <v>2.128750706774114</v>
      </c>
      <c r="AN9" s="11">
        <v>1.7754763574292227</v>
      </c>
      <c r="AO9" s="11">
        <v>1.8282758407421646</v>
      </c>
      <c r="AP9" s="11">
        <v>1.0704412387466882</v>
      </c>
      <c r="AQ9" s="11">
        <v>0.64767594219856284</v>
      </c>
      <c r="AR9"/>
      <c r="AT9" s="4">
        <f t="shared" si="3"/>
        <v>3.5000000000000001E-3</v>
      </c>
      <c r="AU9" s="10">
        <v>2.5827495328966026</v>
      </c>
      <c r="AV9" s="10">
        <v>3.0651090578840421</v>
      </c>
      <c r="AW9" s="10">
        <v>3.7868173226632167</v>
      </c>
      <c r="AX9" s="10">
        <v>3.4091445772096058</v>
      </c>
      <c r="AY9" s="10">
        <v>2.1760832653980589</v>
      </c>
      <c r="AZ9" s="10">
        <v>1.7038758422736191</v>
      </c>
      <c r="BA9" s="10">
        <v>1.9273251711692931</v>
      </c>
      <c r="BB9" s="10">
        <v>1.8046556391811761</v>
      </c>
      <c r="BC9"/>
    </row>
    <row r="10" spans="1:130" x14ac:dyDescent="0.25">
      <c r="A10" s="1">
        <v>46036</v>
      </c>
      <c r="B10" s="33">
        <v>21.25</v>
      </c>
      <c r="C10" s="33">
        <v>26.12</v>
      </c>
      <c r="D10" s="15">
        <v>9.4161965526105102E-4</v>
      </c>
      <c r="E10" s="15">
        <v>-1.1478861027015401E-3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21.25</v>
      </c>
      <c r="M10" s="33">
        <v>26.12</v>
      </c>
      <c r="N10" s="34">
        <v>1.22917647058823</v>
      </c>
      <c r="O10" s="34">
        <v>1.2284375966208501</v>
      </c>
      <c r="R10" s="33">
        <v>26.104298928193099</v>
      </c>
      <c r="U10" s="15">
        <v>-6.01293750308354E-4</v>
      </c>
      <c r="X10" s="34">
        <v>1.22917647058823</v>
      </c>
      <c r="Y10" s="34">
        <v>1.2253439668366699</v>
      </c>
      <c r="AB10" s="33">
        <v>26.0385592952792</v>
      </c>
      <c r="AE10" s="15">
        <v>-3.1228152006135901E-3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21.23</v>
      </c>
      <c r="C11" s="33">
        <v>26.18</v>
      </c>
      <c r="D11" s="15">
        <v>-9.4161965526109504E-4</v>
      </c>
      <c r="E11" s="15">
        <v>2.2944560735233999E-3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21.23</v>
      </c>
      <c r="M11" s="33">
        <v>26.18</v>
      </c>
      <c r="N11" s="34">
        <v>1.23316062176165</v>
      </c>
      <c r="O11" s="34">
        <v>1.2284375966208501</v>
      </c>
      <c r="P11" s="34">
        <v>1.2311162097005199</v>
      </c>
      <c r="R11" s="33">
        <v>26.0797301762607</v>
      </c>
      <c r="U11" s="15">
        <v>-3.83736947909293E-3</v>
      </c>
      <c r="X11" s="34">
        <v>1.23316062176165</v>
      </c>
      <c r="Y11" s="34">
        <v>1.2253439668366699</v>
      </c>
      <c r="Z11" s="34">
        <v>1.2311162097005199</v>
      </c>
      <c r="AB11" s="33">
        <v>26.014052415942501</v>
      </c>
      <c r="AE11" s="15">
        <v>-6.3588909293981798E-3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21.28</v>
      </c>
      <c r="C12" s="33">
        <v>26.16</v>
      </c>
      <c r="D12" s="15">
        <v>2.3523887582788702E-3</v>
      </c>
      <c r="E12" s="15">
        <v>-7.64233892755906E-4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21.28</v>
      </c>
      <c r="M12" s="33">
        <v>26.16</v>
      </c>
      <c r="N12" s="34">
        <v>1.22932330827067</v>
      </c>
      <c r="O12" s="34">
        <v>1.2284375966208501</v>
      </c>
      <c r="P12" s="34">
        <v>1.23124816209807</v>
      </c>
      <c r="R12" s="33">
        <v>26.141152056091801</v>
      </c>
      <c r="S12" s="33">
        <v>26.1981529424271</v>
      </c>
      <c r="U12" s="15">
        <v>-7.2074682805819404E-4</v>
      </c>
      <c r="V12" s="15">
        <v>1.45738331228189E-3</v>
      </c>
      <c r="X12" s="34">
        <v>1.22932330827067</v>
      </c>
      <c r="Y12" s="34">
        <v>1.2253439668366699</v>
      </c>
      <c r="Z12" s="34">
        <v>1.23124816209807</v>
      </c>
      <c r="AB12" s="33">
        <v>26.0753196142843</v>
      </c>
      <c r="AC12" s="33">
        <v>26.1981529424271</v>
      </c>
      <c r="AE12" s="15">
        <v>-3.2422682783633501E-3</v>
      </c>
      <c r="AF12" s="15">
        <v>1.45738331228189E-3</v>
      </c>
      <c r="AK12" s="17">
        <v>2.0000000000000001E-4</v>
      </c>
      <c r="AL12" s="18" t="s">
        <v>37</v>
      </c>
      <c r="AM12" s="19" t="s">
        <v>38</v>
      </c>
      <c r="AV12" s="17">
        <v>5.0000000000000001E-4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21.2</v>
      </c>
      <c r="C13" s="33">
        <v>26.11</v>
      </c>
      <c r="D13" s="15">
        <v>-3.7664827954770001E-3</v>
      </c>
      <c r="E13" s="15">
        <v>-1.91314387796052E-3</v>
      </c>
      <c r="F13" s="33">
        <v>4.7E-2</v>
      </c>
      <c r="G13" s="33">
        <v>4.7E-2</v>
      </c>
      <c r="H13" s="33">
        <v>0</v>
      </c>
      <c r="I13" s="33">
        <v>0</v>
      </c>
      <c r="J13" s="33">
        <v>4.7E-2</v>
      </c>
      <c r="K13" s="33">
        <v>0</v>
      </c>
      <c r="L13" s="33">
        <v>21.247</v>
      </c>
      <c r="M13" s="33">
        <v>26.11</v>
      </c>
      <c r="N13" s="34">
        <v>1.2316037735848999</v>
      </c>
      <c r="O13" s="34">
        <v>1.2284375966208501</v>
      </c>
      <c r="P13" s="34">
        <v>1.2313461576040099</v>
      </c>
      <c r="R13" s="33">
        <v>26.042877048362101</v>
      </c>
      <c r="S13" s="33">
        <v>26.102461036479099</v>
      </c>
      <c r="U13" s="15">
        <v>-2.5740857455745902E-3</v>
      </c>
      <c r="V13" s="15">
        <v>-2.8878024224795697E-4</v>
      </c>
      <c r="X13" s="34">
        <v>1.2288793712053401</v>
      </c>
      <c r="Y13" s="34">
        <v>1.2253439668366699</v>
      </c>
      <c r="Z13" s="34">
        <v>1.23107371736605</v>
      </c>
      <c r="AB13" s="33">
        <v>26.034883263378699</v>
      </c>
      <c r="AC13" s="33">
        <v>26.160329700097702</v>
      </c>
      <c r="AE13" s="15">
        <v>-2.88107994034489E-3</v>
      </c>
      <c r="AF13" s="15">
        <v>1.92574701328692E-3</v>
      </c>
    </row>
    <row r="14" spans="1:130" x14ac:dyDescent="0.25">
      <c r="A14" s="1">
        <v>46043</v>
      </c>
      <c r="B14" s="33">
        <v>21.21</v>
      </c>
      <c r="C14" s="33">
        <v>26.15</v>
      </c>
      <c r="D14" s="15">
        <v>4.7158689862433799E-4</v>
      </c>
      <c r="E14" s="15">
        <v>1.5308077998943299E-3</v>
      </c>
      <c r="F14" s="33">
        <v>0</v>
      </c>
      <c r="G14" s="33">
        <v>4.7E-2</v>
      </c>
      <c r="H14" s="33">
        <v>0</v>
      </c>
      <c r="I14" s="33">
        <v>0</v>
      </c>
      <c r="J14" s="33">
        <v>4.7E-2</v>
      </c>
      <c r="K14" s="33">
        <v>0</v>
      </c>
      <c r="L14" s="33">
        <v>21.257000000000001</v>
      </c>
      <c r="M14" s="33">
        <v>26.15</v>
      </c>
      <c r="N14" s="34">
        <v>1.2329090051862299</v>
      </c>
      <c r="O14" s="34">
        <v>1.2284375966208501</v>
      </c>
      <c r="P14" s="34">
        <v>1.2314548107194201</v>
      </c>
      <c r="R14" s="33">
        <v>26.055161424328301</v>
      </c>
      <c r="S14" s="33">
        <v>26.116852002780998</v>
      </c>
      <c r="U14" s="15">
        <v>-3.6333066468445599E-3</v>
      </c>
      <c r="V14" s="15">
        <v>-1.26841393322808E-3</v>
      </c>
      <c r="X14" s="34">
        <v>1.2301829985416499</v>
      </c>
      <c r="Y14" s="34">
        <v>1.2253439668366699</v>
      </c>
      <c r="Z14" s="34">
        <v>1.2309097698170099</v>
      </c>
      <c r="AB14" s="33">
        <v>26.047136703047101</v>
      </c>
      <c r="AC14" s="33">
        <v>26.168934010050201</v>
      </c>
      <c r="AE14" s="15">
        <v>-3.9413437827523204E-3</v>
      </c>
      <c r="AF14" s="15">
        <v>7.2379192103604105E-4</v>
      </c>
      <c r="AQ14" s="20">
        <f>AVERAGE(AQ22:AQ176)</f>
        <v>5.2058906277784035E-5</v>
      </c>
      <c r="AR14" s="21" t="s">
        <v>41</v>
      </c>
      <c r="BB14" s="20">
        <f>AVERAGE(BB22:BB176)</f>
        <v>8.2556456936192267E-5</v>
      </c>
      <c r="BC14" s="21" t="s">
        <v>41</v>
      </c>
      <c r="BD14" s="22"/>
      <c r="BE14" s="20">
        <f>AVERAGE(BE22:BE176)</f>
        <v>1.3461536321397632E-4</v>
      </c>
      <c r="BF14" s="21" t="s">
        <v>41</v>
      </c>
    </row>
    <row r="15" spans="1:130" x14ac:dyDescent="0.25">
      <c r="A15" s="1">
        <v>46044</v>
      </c>
      <c r="B15" s="33">
        <v>21.21</v>
      </c>
      <c r="C15" s="33">
        <v>26.13</v>
      </c>
      <c r="D15" s="15">
        <v>0</v>
      </c>
      <c r="E15" s="15">
        <v>-7.6511097841082496E-4</v>
      </c>
      <c r="F15" s="33">
        <v>0</v>
      </c>
      <c r="G15" s="33">
        <v>4.7E-2</v>
      </c>
      <c r="H15" s="33">
        <v>0</v>
      </c>
      <c r="I15" s="33">
        <v>0</v>
      </c>
      <c r="J15" s="33">
        <v>4.7E-2</v>
      </c>
      <c r="K15" s="33">
        <v>0</v>
      </c>
      <c r="L15" s="33">
        <v>21.257000000000001</v>
      </c>
      <c r="M15" s="33">
        <v>26.13</v>
      </c>
      <c r="N15" s="34">
        <v>1.23196605374823</v>
      </c>
      <c r="O15" s="34">
        <v>1.2284375966208501</v>
      </c>
      <c r="P15" s="34">
        <v>1.2316179728535499</v>
      </c>
      <c r="R15" s="33">
        <v>26.055161424328301</v>
      </c>
      <c r="S15" s="33">
        <v>26.119156535359</v>
      </c>
      <c r="U15" s="15">
        <v>-2.8681956684337801E-3</v>
      </c>
      <c r="V15" s="15">
        <v>-4.1506755384032102E-4</v>
      </c>
      <c r="X15" s="34">
        <v>1.22924213200357</v>
      </c>
      <c r="Y15" s="34">
        <v>1.2253439668366699</v>
      </c>
      <c r="Z15" s="34">
        <v>1.2308005397766699</v>
      </c>
      <c r="AB15" s="33">
        <v>26.047136703047101</v>
      </c>
      <c r="AC15" s="33">
        <v>26.165448977000199</v>
      </c>
      <c r="AE15" s="15">
        <v>-3.1762328043415601E-3</v>
      </c>
      <c r="AF15" s="15">
        <v>1.35571959408268E-3</v>
      </c>
      <c r="AQ15" s="20">
        <f>STDEV(AQ22:AQ176)</f>
        <v>7.4585285669723201E-4</v>
      </c>
      <c r="AR15" s="21" t="s">
        <v>42</v>
      </c>
      <c r="BB15" s="20">
        <f>STDEV(BB22:BB176)</f>
        <v>5.9550449169863055E-4</v>
      </c>
      <c r="BC15" s="21" t="s">
        <v>42</v>
      </c>
      <c r="BD15" s="22"/>
      <c r="BE15" s="20">
        <f>STDEV(BE22:BE176)</f>
        <v>9.4987929243593662E-4</v>
      </c>
      <c r="BF15" s="21" t="s">
        <v>42</v>
      </c>
    </row>
    <row r="16" spans="1:130" x14ac:dyDescent="0.25">
      <c r="A16" s="1">
        <v>46045</v>
      </c>
      <c r="B16" s="33">
        <v>21.24</v>
      </c>
      <c r="C16" s="33">
        <v>26.15</v>
      </c>
      <c r="D16" s="15">
        <v>1.4134277971469399E-3</v>
      </c>
      <c r="E16" s="15">
        <v>7.6511097841069897E-4</v>
      </c>
      <c r="F16" s="33">
        <v>0</v>
      </c>
      <c r="G16" s="33">
        <v>4.7E-2</v>
      </c>
      <c r="H16" s="33">
        <v>0</v>
      </c>
      <c r="I16" s="33">
        <v>0</v>
      </c>
      <c r="J16" s="33">
        <v>4.7E-2</v>
      </c>
      <c r="K16" s="33">
        <v>0</v>
      </c>
      <c r="L16" s="33">
        <v>21.286999999999999</v>
      </c>
      <c r="M16" s="33">
        <v>26.15</v>
      </c>
      <c r="N16" s="34">
        <v>1.2311676082862499</v>
      </c>
      <c r="O16" s="34">
        <v>1.2284375966208501</v>
      </c>
      <c r="P16" s="34">
        <v>1.2317375612033801</v>
      </c>
      <c r="R16" s="33">
        <v>26.0920145522269</v>
      </c>
      <c r="S16" s="33">
        <v>26.159565743409399</v>
      </c>
      <c r="U16" s="15">
        <v>-2.2198788496977599E-3</v>
      </c>
      <c r="V16" s="15">
        <v>3.65735917708382E-4</v>
      </c>
      <c r="X16" s="34">
        <v>1.22844928829802</v>
      </c>
      <c r="Y16" s="34">
        <v>1.2253439668366699</v>
      </c>
      <c r="Z16" s="34">
        <v>1.2306482961276799</v>
      </c>
      <c r="AB16" s="33">
        <v>26.083897022052199</v>
      </c>
      <c r="AC16" s="33">
        <v>26.200051090226001</v>
      </c>
      <c r="AE16" s="15">
        <v>-2.53103892320008E-3</v>
      </c>
      <c r="AF16" s="15">
        <v>1.91217026284408E-3</v>
      </c>
      <c r="AQ16" s="23">
        <f>SQRT(252)*AQ14/AQ15</f>
        <v>1.1080061030827202</v>
      </c>
      <c r="AR16" s="21" t="s">
        <v>43</v>
      </c>
      <c r="BB16" s="23">
        <f>SQRT(252)*BB14/BB15</f>
        <v>2.2007275231735792</v>
      </c>
      <c r="BC16" s="21" t="s">
        <v>43</v>
      </c>
      <c r="BD16" s="22"/>
      <c r="BE16" s="23">
        <f>SQRT(252)*BE14/BE15</f>
        <v>2.2497096834238102</v>
      </c>
      <c r="BF16" s="21" t="s">
        <v>43</v>
      </c>
    </row>
    <row r="17" spans="1:124" x14ac:dyDescent="0.25">
      <c r="A17" s="1">
        <v>46048</v>
      </c>
      <c r="B17" s="33">
        <v>21.25</v>
      </c>
      <c r="C17" s="33">
        <v>26.15</v>
      </c>
      <c r="D17" s="15">
        <v>4.7069899668792297E-4</v>
      </c>
      <c r="E17" s="15">
        <v>0</v>
      </c>
      <c r="F17" s="33">
        <v>0</v>
      </c>
      <c r="G17" s="33">
        <v>4.7E-2</v>
      </c>
      <c r="H17" s="33">
        <v>0</v>
      </c>
      <c r="I17" s="33">
        <v>0</v>
      </c>
      <c r="J17" s="33">
        <v>4.7E-2</v>
      </c>
      <c r="K17" s="33">
        <v>0</v>
      </c>
      <c r="L17" s="33">
        <v>21.297000000000001</v>
      </c>
      <c r="M17" s="33">
        <v>26.15</v>
      </c>
      <c r="N17" s="34">
        <v>1.23058823529411</v>
      </c>
      <c r="O17" s="34">
        <v>1.2284375966208501</v>
      </c>
      <c r="P17" s="34">
        <v>1.23148032255662</v>
      </c>
      <c r="R17" s="33">
        <v>26.104298928193099</v>
      </c>
      <c r="S17" s="33">
        <v>26.1744231755718</v>
      </c>
      <c r="U17" s="15">
        <v>-1.7491798530098899E-3</v>
      </c>
      <c r="V17" s="15">
        <v>9.3352877540984298E-4</v>
      </c>
      <c r="X17" s="34">
        <v>1.22787247030098</v>
      </c>
      <c r="Y17" s="34">
        <v>1.2253439668366699</v>
      </c>
      <c r="Z17" s="34">
        <v>1.2301194809816101</v>
      </c>
      <c r="AB17" s="33">
        <v>26.096150461720502</v>
      </c>
      <c r="AC17" s="33">
        <v>26.209116762631201</v>
      </c>
      <c r="AE17" s="15">
        <v>-2.0613789483824299E-3</v>
      </c>
      <c r="AF17" s="15">
        <v>2.2581277686406498E-3</v>
      </c>
    </row>
    <row r="18" spans="1:124" x14ac:dyDescent="0.25">
      <c r="A18" s="1">
        <v>46049</v>
      </c>
      <c r="B18" s="33">
        <v>21.25</v>
      </c>
      <c r="C18" s="33">
        <v>26.17</v>
      </c>
      <c r="D18" s="15">
        <v>0</v>
      </c>
      <c r="E18" s="15">
        <v>7.6452603112261899E-4</v>
      </c>
      <c r="F18" s="33">
        <v>0</v>
      </c>
      <c r="G18" s="33">
        <v>4.7E-2</v>
      </c>
      <c r="H18" s="33">
        <v>0</v>
      </c>
      <c r="I18" s="33">
        <v>0</v>
      </c>
      <c r="J18" s="33">
        <v>4.7E-2</v>
      </c>
      <c r="K18" s="33">
        <v>0</v>
      </c>
      <c r="L18" s="33">
        <v>21.297000000000001</v>
      </c>
      <c r="M18" s="33">
        <v>26.17</v>
      </c>
      <c r="N18" s="34">
        <v>1.2315294117647</v>
      </c>
      <c r="O18" s="34">
        <v>1.2284375966208501</v>
      </c>
      <c r="P18" s="34">
        <v>1.23131720155693</v>
      </c>
      <c r="R18" s="33">
        <v>26.104298928193099</v>
      </c>
      <c r="S18" s="33">
        <v>26.1689568543283</v>
      </c>
      <c r="U18" s="15">
        <v>-2.5137058841325499E-3</v>
      </c>
      <c r="V18" s="15">
        <v>-3.9861156373050498E-5</v>
      </c>
      <c r="X18" s="34">
        <v>1.22881156970465</v>
      </c>
      <c r="Y18" s="34">
        <v>1.2253439668366699</v>
      </c>
      <c r="Z18" s="34">
        <v>1.2296845757759101</v>
      </c>
      <c r="AB18" s="33">
        <v>26.096150461720502</v>
      </c>
      <c r="AC18" s="33">
        <v>26.1978545864654</v>
      </c>
      <c r="AE18" s="15">
        <v>-2.8259049795051E-3</v>
      </c>
      <c r="AF18" s="15">
        <v>1.06380485938312E-3</v>
      </c>
      <c r="BE18" s="24">
        <f>SUM(BE22:BE176)</f>
        <v>2.0865381298166331E-2</v>
      </c>
      <c r="BF18" s="20">
        <f>BF176</f>
        <v>2.0865381298166331E-2</v>
      </c>
    </row>
    <row r="19" spans="1:124" x14ac:dyDescent="0.25">
      <c r="A19" s="1">
        <v>46050</v>
      </c>
      <c r="B19" s="33">
        <v>21.28</v>
      </c>
      <c r="C19" s="33">
        <v>26.21</v>
      </c>
      <c r="D19" s="15">
        <v>1.4107691030178901E-3</v>
      </c>
      <c r="E19" s="15">
        <v>1.52730079326046E-3</v>
      </c>
      <c r="F19" s="33">
        <v>0</v>
      </c>
      <c r="G19" s="33">
        <v>4.7E-2</v>
      </c>
      <c r="H19" s="33">
        <v>0</v>
      </c>
      <c r="I19" s="33">
        <v>0</v>
      </c>
      <c r="J19" s="33">
        <v>4.7E-2</v>
      </c>
      <c r="K19" s="33">
        <v>0</v>
      </c>
      <c r="L19" s="33">
        <v>21.327000000000002</v>
      </c>
      <c r="M19" s="33">
        <v>26.21</v>
      </c>
      <c r="N19" s="34">
        <v>1.23167293233082</v>
      </c>
      <c r="O19" s="34">
        <v>1.2284375966208501</v>
      </c>
      <c r="P19" s="34">
        <v>1.2313097420815799</v>
      </c>
      <c r="R19" s="33">
        <v>26.141152056091801</v>
      </c>
      <c r="S19" s="33">
        <v>26.2024300491315</v>
      </c>
      <c r="U19" s="15">
        <v>-2.6302375743752801E-3</v>
      </c>
      <c r="V19" s="15">
        <v>-2.8886090242341599E-4</v>
      </c>
      <c r="X19" s="34">
        <v>1.2289585970835</v>
      </c>
      <c r="Y19" s="34">
        <v>1.2253439668366699</v>
      </c>
      <c r="Z19" s="34">
        <v>1.22940568277583</v>
      </c>
      <c r="AB19" s="33">
        <v>26.132910780725599</v>
      </c>
      <c r="AC19" s="33">
        <v>26.2254829475728</v>
      </c>
      <c r="AE19" s="15">
        <v>-2.94554788266818E-3</v>
      </c>
      <c r="AF19" s="15">
        <v>5.9055231886888599E-4</v>
      </c>
      <c r="AI19" s="12"/>
      <c r="AJ19"/>
      <c r="AK19"/>
      <c r="AL19"/>
      <c r="AM19"/>
      <c r="AN19"/>
      <c r="AO19"/>
      <c r="AP19"/>
      <c r="AQ19" s="24">
        <f>SUM(AQ22:AQ176)</f>
        <v>8.0691304730565253E-3</v>
      </c>
      <c r="AR19" s="24">
        <f>AR176</f>
        <v>8.0691304730565253E-3</v>
      </c>
      <c r="AU19"/>
      <c r="AV19"/>
      <c r="AW19"/>
      <c r="AX19"/>
      <c r="AY19"/>
      <c r="AZ19"/>
      <c r="BA19"/>
      <c r="BB19" s="24">
        <f>SUM(BB22:BB176)</f>
        <v>1.2796250825109802E-2</v>
      </c>
      <c r="BC19" s="24">
        <f>BC176</f>
        <v>1.2796250825109802E-2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21.28</v>
      </c>
      <c r="C20" s="33">
        <v>26.15</v>
      </c>
      <c r="D20" s="15">
        <v>0</v>
      </c>
      <c r="E20" s="15">
        <v>-2.2918268243831202E-3</v>
      </c>
      <c r="F20" s="33">
        <v>0</v>
      </c>
      <c r="G20" s="33">
        <v>4.7E-2</v>
      </c>
      <c r="H20" s="33">
        <v>0</v>
      </c>
      <c r="I20" s="33">
        <v>0</v>
      </c>
      <c r="J20" s="33">
        <v>4.7E-2</v>
      </c>
      <c r="K20" s="33">
        <v>0</v>
      </c>
      <c r="L20" s="33">
        <v>21.327000000000002</v>
      </c>
      <c r="M20" s="33">
        <v>26.15</v>
      </c>
      <c r="N20" s="34">
        <v>1.2288533834586399</v>
      </c>
      <c r="O20" s="34">
        <v>1.2284375966208501</v>
      </c>
      <c r="P20" s="34">
        <v>1.2312774333686201</v>
      </c>
      <c r="R20" s="33">
        <v>26.141152056091801</v>
      </c>
      <c r="S20" s="33">
        <v>26.202271311496101</v>
      </c>
      <c r="U20" s="15">
        <v>-3.3841074999207E-4</v>
      </c>
      <c r="V20" s="15">
        <v>1.9969077771253801E-3</v>
      </c>
      <c r="X20" s="34">
        <v>1.22614526187461</v>
      </c>
      <c r="Y20" s="34">
        <v>1.2253439668366699</v>
      </c>
      <c r="Z20" s="34">
        <v>1.22910256190446</v>
      </c>
      <c r="AB20" s="33">
        <v>26.132910780725599</v>
      </c>
      <c r="AC20" s="33">
        <v>26.2195349965601</v>
      </c>
      <c r="AE20" s="15">
        <v>-6.5372105828508803E-4</v>
      </c>
      <c r="AF20" s="15">
        <v>2.6555529823934199E-3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BSMV log rtn</v>
      </c>
      <c r="AP20" s="7" t="str">
        <f>E1</f>
        <v>IBMT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BSMV log rtn</v>
      </c>
      <c r="BA20" s="24" t="str">
        <f>E1</f>
        <v>IBMT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21.3</v>
      </c>
      <c r="C21" s="33">
        <v>26.18</v>
      </c>
      <c r="D21" s="15">
        <v>9.3940824193588395E-4</v>
      </c>
      <c r="E21" s="15">
        <v>1.1465699708218999E-3</v>
      </c>
      <c r="F21" s="33">
        <v>0</v>
      </c>
      <c r="G21" s="33">
        <v>4.7E-2</v>
      </c>
      <c r="H21" s="33">
        <v>0</v>
      </c>
      <c r="I21" s="33">
        <v>0</v>
      </c>
      <c r="J21" s="33">
        <v>4.7E-2</v>
      </c>
      <c r="K21" s="33">
        <v>0</v>
      </c>
      <c r="L21" s="33">
        <v>21.347000000000001</v>
      </c>
      <c r="M21" s="33">
        <v>26.18</v>
      </c>
      <c r="N21" s="34">
        <v>1.22910798122065</v>
      </c>
      <c r="O21" s="34">
        <v>1.2284375966208501</v>
      </c>
      <c r="P21" s="34">
        <v>1.2308721693145199</v>
      </c>
      <c r="Q21" s="34">
        <v>1.23099418950752</v>
      </c>
      <c r="R21" s="33">
        <v>26.165720808024201</v>
      </c>
      <c r="S21" s="33">
        <v>26.226209330751701</v>
      </c>
      <c r="U21" s="15">
        <v>-5.4557247887830195E-4</v>
      </c>
      <c r="V21" s="15">
        <v>1.7635063980997799E-3</v>
      </c>
      <c r="X21" s="34">
        <v>1.2264018363236</v>
      </c>
      <c r="Y21" s="34">
        <v>1.2253439668366699</v>
      </c>
      <c r="Z21" s="34">
        <v>1.2284266833606601</v>
      </c>
      <c r="AA21" s="34">
        <v>1.22977144653059</v>
      </c>
      <c r="AB21" s="33">
        <v>26.1574176600624</v>
      </c>
      <c r="AC21" s="33">
        <v>26.237652388974698</v>
      </c>
      <c r="AE21" s="15">
        <v>-8.6295206560051E-4</v>
      </c>
      <c r="AF21" s="15">
        <v>2.1997327081486502E-3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2E-3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21.28</v>
      </c>
      <c r="C22" s="33">
        <v>26.15</v>
      </c>
      <c r="D22" s="15">
        <v>-9.3940824193571796E-4</v>
      </c>
      <c r="E22" s="15">
        <v>-1.1465699708219899E-3</v>
      </c>
      <c r="F22" s="33">
        <v>0</v>
      </c>
      <c r="G22" s="33">
        <v>4.7E-2</v>
      </c>
      <c r="H22" s="33">
        <v>4.6269999999999999E-2</v>
      </c>
      <c r="I22" s="33">
        <v>4.6269999999999999E-2</v>
      </c>
      <c r="J22" s="33">
        <v>4.7E-2</v>
      </c>
      <c r="K22" s="33">
        <v>4.6269999999999999E-2</v>
      </c>
      <c r="L22" s="33">
        <v>21.327000000000002</v>
      </c>
      <c r="M22" s="33">
        <v>26.196269999999998</v>
      </c>
      <c r="N22" s="34">
        <v>1.2288533834586399</v>
      </c>
      <c r="O22" s="34">
        <v>1.2284375966208501</v>
      </c>
      <c r="P22" s="34">
        <v>1.23082517683332</v>
      </c>
      <c r="Q22" s="34">
        <v>1.23103666946569</v>
      </c>
      <c r="R22" s="33">
        <v>26.141152056091801</v>
      </c>
      <c r="S22" s="33">
        <v>26.1929597630131</v>
      </c>
      <c r="T22" s="33">
        <v>26.1955563527201</v>
      </c>
      <c r="U22" s="15">
        <v>-3.3841074999207E-4</v>
      </c>
      <c r="V22" s="15">
        <v>1.6414728113818E-3</v>
      </c>
      <c r="W22" s="15">
        <v>1.7406010135782299E-3</v>
      </c>
      <c r="X22" s="34">
        <v>1.2283148122098699</v>
      </c>
      <c r="Y22" s="34">
        <v>1.2253439668366699</v>
      </c>
      <c r="Z22" s="34">
        <v>1.2283258337545799</v>
      </c>
      <c r="AA22" s="34">
        <v>1.2297869979263201</v>
      </c>
      <c r="AB22" s="33">
        <v>26.132910780725599</v>
      </c>
      <c r="AC22" s="33">
        <v>26.198655876032799</v>
      </c>
      <c r="AD22" s="33">
        <v>26.2273356401579</v>
      </c>
      <c r="AE22" s="15">
        <v>-2.4215647671309501E-3</v>
      </c>
      <c r="AF22" s="15">
        <v>9.1072789765513402E-5</v>
      </c>
      <c r="AG22" s="15">
        <v>1.18517768531869E-3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5.0000000000000001E-4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21.3</v>
      </c>
      <c r="C23" s="33">
        <v>26.18</v>
      </c>
      <c r="D23" s="15">
        <v>9.3940824193588395E-4</v>
      </c>
      <c r="E23" s="15">
        <v>1.1465699708218999E-3</v>
      </c>
      <c r="F23" s="33">
        <v>0</v>
      </c>
      <c r="G23" s="33">
        <v>4.7E-2</v>
      </c>
      <c r="H23" s="33">
        <v>0</v>
      </c>
      <c r="I23" s="33">
        <v>4.6269999999999999E-2</v>
      </c>
      <c r="J23" s="33">
        <v>4.7E-2</v>
      </c>
      <c r="K23" s="33">
        <v>4.6269999999999999E-2</v>
      </c>
      <c r="L23" s="33">
        <v>21.347000000000001</v>
      </c>
      <c r="M23" s="33">
        <v>26.22627</v>
      </c>
      <c r="N23" s="34">
        <v>1.22910798122065</v>
      </c>
      <c r="O23" s="34">
        <v>1.2284375966208501</v>
      </c>
      <c r="P23" s="34">
        <v>1.2305755975968899</v>
      </c>
      <c r="Q23" s="34">
        <v>1.2309608776004499</v>
      </c>
      <c r="R23" s="33">
        <v>26.165720808024201</v>
      </c>
      <c r="S23" s="33">
        <v>26.216576266549701</v>
      </c>
      <c r="T23" s="33">
        <v>26.221081059619301</v>
      </c>
      <c r="U23" s="15">
        <v>-5.4557247887830195E-4</v>
      </c>
      <c r="V23" s="15">
        <v>1.3961321558438201E-3</v>
      </c>
      <c r="W23" s="15">
        <v>1.56794734784066E-3</v>
      </c>
      <c r="X23" s="34">
        <v>1.2285693540075799</v>
      </c>
      <c r="Y23" s="34">
        <v>1.2253439668366699</v>
      </c>
      <c r="Z23" s="34">
        <v>1.2282948320347999</v>
      </c>
      <c r="AA23" s="34">
        <v>1.22968427470043</v>
      </c>
      <c r="AB23" s="33">
        <v>26.1574176600624</v>
      </c>
      <c r="AC23" s="33">
        <v>26.221071573159101</v>
      </c>
      <c r="AD23" s="33">
        <v>26.252263044733301</v>
      </c>
      <c r="AE23" s="15">
        <v>-2.6287717670578701E-3</v>
      </c>
      <c r="AF23" s="15">
        <v>-1.9823414121626699E-4</v>
      </c>
      <c r="AG23" s="15">
        <v>9.9061636638400402E-4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0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21.32</v>
      </c>
      <c r="C24" s="33">
        <v>26.19</v>
      </c>
      <c r="D24" s="15">
        <v>9.3852658226428601E-4</v>
      </c>
      <c r="E24" s="15">
        <v>3.8189803786681698E-4</v>
      </c>
      <c r="F24" s="33">
        <v>0</v>
      </c>
      <c r="G24" s="33">
        <v>4.7E-2</v>
      </c>
      <c r="H24" s="33">
        <v>0</v>
      </c>
      <c r="I24" s="33">
        <v>4.6269999999999999E-2</v>
      </c>
      <c r="J24" s="33">
        <v>4.7E-2</v>
      </c>
      <c r="K24" s="33">
        <v>4.6269999999999999E-2</v>
      </c>
      <c r="L24" s="33">
        <v>21.367000000000001</v>
      </c>
      <c r="M24" s="33">
        <v>26.236270000000001</v>
      </c>
      <c r="N24" s="34">
        <v>1.2284240150093799</v>
      </c>
      <c r="O24" s="34">
        <v>1.2284375966208501</v>
      </c>
      <c r="P24" s="34">
        <v>1.2301270985792101</v>
      </c>
      <c r="Q24" s="34">
        <v>1.2307909546493101</v>
      </c>
      <c r="R24" s="33">
        <v>26.1902895599566</v>
      </c>
      <c r="S24" s="33">
        <v>26.235871740765798</v>
      </c>
      <c r="T24" s="33">
        <v>26.244085910441601</v>
      </c>
      <c r="U24" s="15">
        <v>1.10560655192474E-5</v>
      </c>
      <c r="V24" s="15">
        <v>1.74996622656398E-3</v>
      </c>
      <c r="W24" s="15">
        <v>2.0630064846184201E-3</v>
      </c>
      <c r="X24" s="34">
        <v>1.2278873964524699</v>
      </c>
      <c r="Y24" s="34">
        <v>1.2253439668366699</v>
      </c>
      <c r="Z24" s="34">
        <v>1.22806527182589</v>
      </c>
      <c r="AA24" s="34">
        <v>1.22948752082145</v>
      </c>
      <c r="AB24" s="33">
        <v>26.181924539399098</v>
      </c>
      <c r="AC24" s="33">
        <v>26.244975676087702</v>
      </c>
      <c r="AD24" s="33">
        <v>26.2746638975241</v>
      </c>
      <c r="AE24" s="15">
        <v>-2.07353498342021E-3</v>
      </c>
      <c r="AF24" s="15">
        <v>3.3176332060919197E-4</v>
      </c>
      <c r="AG24" s="15">
        <v>1.4623203784871501E-3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0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21.35</v>
      </c>
      <c r="C25" s="33">
        <v>26.25</v>
      </c>
      <c r="D25" s="15">
        <v>1.4061403769897499E-3</v>
      </c>
      <c r="E25" s="15">
        <v>2.2883305180122098E-3</v>
      </c>
      <c r="F25" s="33">
        <v>0</v>
      </c>
      <c r="G25" s="33">
        <v>4.7E-2</v>
      </c>
      <c r="H25" s="33">
        <v>0</v>
      </c>
      <c r="I25" s="33">
        <v>4.6269999999999999E-2</v>
      </c>
      <c r="J25" s="33">
        <v>4.7E-2</v>
      </c>
      <c r="K25" s="33">
        <v>4.6269999999999999E-2</v>
      </c>
      <c r="L25" s="33">
        <v>21.396999999999998</v>
      </c>
      <c r="M25" s="33">
        <v>26.29627</v>
      </c>
      <c r="N25" s="34">
        <v>1.22950819672131</v>
      </c>
      <c r="O25" s="34">
        <v>1.2284375966208501</v>
      </c>
      <c r="P25" s="34">
        <v>1.22988131287652</v>
      </c>
      <c r="Q25" s="34">
        <v>1.23074964286503</v>
      </c>
      <c r="R25" s="33">
        <v>26.227142687855199</v>
      </c>
      <c r="S25" s="33">
        <v>26.263213554666098</v>
      </c>
      <c r="T25" s="33">
        <v>26.277386881762901</v>
      </c>
      <c r="U25" s="15">
        <v>-8.7113407550299695E-4</v>
      </c>
      <c r="V25" s="15">
        <v>5.0324686114650995E-4</v>
      </c>
      <c r="W25" s="15">
        <v>1.04276591204545E-3</v>
      </c>
      <c r="X25" s="34">
        <v>1.22896994905827</v>
      </c>
      <c r="Y25" s="34">
        <v>1.2253439668366699</v>
      </c>
      <c r="Z25" s="34">
        <v>1.22803805353136</v>
      </c>
      <c r="AA25" s="34">
        <v>1.2294192966540101</v>
      </c>
      <c r="AB25" s="33">
        <v>26.218684858404199</v>
      </c>
      <c r="AC25" s="33">
        <v>26.2769126212585</v>
      </c>
      <c r="AD25" s="33">
        <v>26.3073444830165</v>
      </c>
      <c r="AE25" s="15">
        <v>-2.9547849085272198E-3</v>
      </c>
      <c r="AF25" s="15">
        <v>-7.3639748065619504E-4</v>
      </c>
      <c r="AG25" s="15">
        <v>4.2105407733041499E-4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21.36</v>
      </c>
      <c r="C26" s="33">
        <v>26.22</v>
      </c>
      <c r="D26" s="15">
        <v>4.68274417360396E-4</v>
      </c>
      <c r="E26" s="15">
        <v>-1.14351070207904E-3</v>
      </c>
      <c r="F26" s="33">
        <v>0</v>
      </c>
      <c r="G26" s="33">
        <v>4.7E-2</v>
      </c>
      <c r="H26" s="33">
        <v>0</v>
      </c>
      <c r="I26" s="33">
        <v>4.6269999999999999E-2</v>
      </c>
      <c r="J26" s="33">
        <v>4.7E-2</v>
      </c>
      <c r="K26" s="33">
        <v>4.6269999999999999E-2</v>
      </c>
      <c r="L26" s="33">
        <v>21.407</v>
      </c>
      <c r="M26" s="33">
        <v>26.266269999999999</v>
      </c>
      <c r="N26" s="34">
        <v>1.22752808988764</v>
      </c>
      <c r="O26" s="34">
        <v>1.2284375966208501</v>
      </c>
      <c r="P26" s="34">
        <v>1.2295173610366501</v>
      </c>
      <c r="Q26" s="34">
        <v>1.2306274611200201</v>
      </c>
      <c r="R26" s="33">
        <v>26.239427063821399</v>
      </c>
      <c r="S26" s="33">
        <v>26.270264843042401</v>
      </c>
      <c r="T26" s="33">
        <v>26.2888123715971</v>
      </c>
      <c r="U26" s="15">
        <v>7.4065104393649902E-4</v>
      </c>
      <c r="V26" s="15">
        <v>1.9152068886348799E-3</v>
      </c>
      <c r="W26" s="15">
        <v>2.6209852358784601E-3</v>
      </c>
      <c r="X26" s="34">
        <v>1.2269944410706699</v>
      </c>
      <c r="Y26" s="34">
        <v>1.2253439668366699</v>
      </c>
      <c r="Z26" s="34">
        <v>1.22789256880862</v>
      </c>
      <c r="AA26" s="34">
        <v>1.22927043246815</v>
      </c>
      <c r="AB26" s="33">
        <v>26.230938298072601</v>
      </c>
      <c r="AC26" s="33">
        <v>26.288610611945799</v>
      </c>
      <c r="AD26" s="33">
        <v>26.318178883472498</v>
      </c>
      <c r="AE26" s="15">
        <v>-1.3460413765755E-3</v>
      </c>
      <c r="AF26" s="15">
        <v>8.5018224877981803E-4</v>
      </c>
      <c r="AG26" s="15">
        <v>1.9743061470050998E-3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0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21.35</v>
      </c>
      <c r="C27" s="33">
        <v>26.28</v>
      </c>
      <c r="D27" s="15">
        <v>-4.6827441736039101E-4</v>
      </c>
      <c r="E27" s="15">
        <v>2.2857152808560799E-3</v>
      </c>
      <c r="F27" s="33">
        <v>0</v>
      </c>
      <c r="G27" s="33">
        <v>4.7E-2</v>
      </c>
      <c r="H27" s="33">
        <v>0</v>
      </c>
      <c r="I27" s="33">
        <v>4.6269999999999999E-2</v>
      </c>
      <c r="J27" s="33">
        <v>4.7E-2</v>
      </c>
      <c r="K27" s="33">
        <v>4.6269999999999999E-2</v>
      </c>
      <c r="L27" s="33">
        <v>21.396999999999998</v>
      </c>
      <c r="M27" s="33">
        <v>26.326270000000001</v>
      </c>
      <c r="N27" s="34">
        <v>1.2309133489461299</v>
      </c>
      <c r="O27" s="34">
        <v>1.2284375966208501</v>
      </c>
      <c r="P27" s="34">
        <v>1.2295498724018601</v>
      </c>
      <c r="Q27" s="34">
        <v>1.23051509747924</v>
      </c>
      <c r="R27" s="33">
        <v>26.227142687855199</v>
      </c>
      <c r="S27" s="33">
        <v>26.250195658132601</v>
      </c>
      <c r="T27" s="33">
        <v>26.273896294912401</v>
      </c>
      <c r="U27" s="15">
        <v>-2.0133386542800502E-3</v>
      </c>
      <c r="V27" s="15">
        <v>-1.13475096340595E-3</v>
      </c>
      <c r="W27" s="15">
        <v>-2.32283638143578E-4</v>
      </c>
      <c r="X27" s="34">
        <v>1.2303720147684201</v>
      </c>
      <c r="Y27" s="34">
        <v>1.2253439668366699</v>
      </c>
      <c r="Z27" s="34">
        <v>1.22814252325537</v>
      </c>
      <c r="AA27" s="34">
        <v>1.22913100211849</v>
      </c>
      <c r="AB27" s="33">
        <v>26.218684858404199</v>
      </c>
      <c r="AC27" s="33">
        <v>26.273217294798101</v>
      </c>
      <c r="AD27" s="33">
        <v>26.302699443521</v>
      </c>
      <c r="AE27" s="15">
        <v>-4.0949808492825599E-3</v>
      </c>
      <c r="AF27" s="15">
        <v>-2.0172334720600601E-3</v>
      </c>
      <c r="AG27" s="15">
        <v>-8.9572561667427403E-4</v>
      </c>
      <c r="AI27" s="12"/>
      <c r="AJ27">
        <f t="shared" si="6"/>
        <v>0</v>
      </c>
      <c r="AK27">
        <f t="shared" si="7"/>
        <v>0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21.39</v>
      </c>
      <c r="C28" s="33">
        <v>26.29</v>
      </c>
      <c r="D28" s="15">
        <v>1.8717834196806101E-3</v>
      </c>
      <c r="E28" s="15">
        <v>3.8044512538009398E-4</v>
      </c>
      <c r="F28" s="33">
        <v>0</v>
      </c>
      <c r="G28" s="33">
        <v>4.7E-2</v>
      </c>
      <c r="H28" s="33">
        <v>0</v>
      </c>
      <c r="I28" s="33">
        <v>4.6269999999999999E-2</v>
      </c>
      <c r="J28" s="33">
        <v>4.7E-2</v>
      </c>
      <c r="K28" s="33">
        <v>4.6269999999999999E-2</v>
      </c>
      <c r="L28" s="33">
        <v>21.437000000000001</v>
      </c>
      <c r="M28" s="33">
        <v>26.336269999999999</v>
      </c>
      <c r="N28" s="34">
        <v>1.22907900888265</v>
      </c>
      <c r="O28" s="34">
        <v>1.2284375966208501</v>
      </c>
      <c r="P28" s="34">
        <v>1.2293048321136499</v>
      </c>
      <c r="Q28" s="34">
        <v>1.23031101683529</v>
      </c>
      <c r="R28" s="33">
        <v>26.276280191720101</v>
      </c>
      <c r="S28" s="33">
        <v>26.3000717706758</v>
      </c>
      <c r="T28" s="33">
        <v>26.320717935080999</v>
      </c>
      <c r="U28" s="15">
        <v>-5.2200035997942203E-4</v>
      </c>
      <c r="V28" s="15">
        <v>3.8302936124007302E-4</v>
      </c>
      <c r="W28" s="15">
        <v>1.1677445120439999E-3</v>
      </c>
      <c r="X28" s="34">
        <v>1.22854270653542</v>
      </c>
      <c r="Y28" s="34">
        <v>1.2253439668366699</v>
      </c>
      <c r="Z28" s="34">
        <v>1.2281156369384401</v>
      </c>
      <c r="AA28" s="34">
        <v>1.2289001063571801</v>
      </c>
      <c r="AB28" s="33">
        <v>26.267698617077698</v>
      </c>
      <c r="AC28" s="33">
        <v>26.327691271025301</v>
      </c>
      <c r="AD28" s="33">
        <v>26.348881292414099</v>
      </c>
      <c r="AE28" s="15">
        <v>-2.60708169228395E-3</v>
      </c>
      <c r="AF28" s="15">
        <v>-3.2579125623862399E-4</v>
      </c>
      <c r="AG28" s="15">
        <v>4.78741821769774E-4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21.38</v>
      </c>
      <c r="C29" s="33">
        <v>26.3</v>
      </c>
      <c r="D29" s="15">
        <v>-4.67617497415213E-4</v>
      </c>
      <c r="E29" s="15">
        <v>3.8030044192901999E-4</v>
      </c>
      <c r="F29" s="33">
        <v>0</v>
      </c>
      <c r="G29" s="33">
        <v>4.7E-2</v>
      </c>
      <c r="H29" s="33">
        <v>0</v>
      </c>
      <c r="I29" s="33">
        <v>4.6269999999999999E-2</v>
      </c>
      <c r="J29" s="33">
        <v>4.7E-2</v>
      </c>
      <c r="K29" s="33">
        <v>4.6269999999999999E-2</v>
      </c>
      <c r="L29" s="33">
        <v>21.427</v>
      </c>
      <c r="M29" s="33">
        <v>26.346270000000001</v>
      </c>
      <c r="N29" s="34">
        <v>1.2301216089803499</v>
      </c>
      <c r="O29" s="34">
        <v>1.2284375966208501</v>
      </c>
      <c r="P29" s="34">
        <v>1.2291496997786</v>
      </c>
      <c r="Q29" s="34">
        <v>1.2302297209300901</v>
      </c>
      <c r="R29" s="33">
        <v>26.263995815753798</v>
      </c>
      <c r="S29" s="33">
        <v>26.282537310589898</v>
      </c>
      <c r="T29" s="33">
        <v>26.3040495399385</v>
      </c>
      <c r="U29" s="15">
        <v>-1.3699182993236101E-3</v>
      </c>
      <c r="V29" s="15">
        <v>-6.64201118667486E-4</v>
      </c>
      <c r="W29" s="15">
        <v>1.53963049689414E-4</v>
      </c>
      <c r="X29" s="34">
        <v>1.2295827694030801</v>
      </c>
      <c r="Y29" s="34">
        <v>1.2253439668366699</v>
      </c>
      <c r="Z29" s="34">
        <v>1.2281780541703999</v>
      </c>
      <c r="AA29" s="34">
        <v>1.2287918684731101</v>
      </c>
      <c r="AB29" s="33">
        <v>26.2554451774093</v>
      </c>
      <c r="AC29" s="33">
        <v>26.314833752680101</v>
      </c>
      <c r="AD29" s="33">
        <v>26.331642578915201</v>
      </c>
      <c r="AE29" s="15">
        <v>-3.4533061343691501E-3</v>
      </c>
      <c r="AF29" s="15">
        <v>-1.19390779204544E-3</v>
      </c>
      <c r="AG29" s="15">
        <v>-5.5535311649781299E-4</v>
      </c>
      <c r="AI29" s="12"/>
      <c r="AJ29">
        <f t="shared" si="6"/>
        <v>0</v>
      </c>
      <c r="AK29">
        <f t="shared" si="7"/>
        <v>0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21.41</v>
      </c>
      <c r="C30" s="33">
        <v>26.34</v>
      </c>
      <c r="D30" s="15">
        <v>1.40219700469228E-3</v>
      </c>
      <c r="E30" s="15">
        <v>1.5197571314159899E-3</v>
      </c>
      <c r="F30" s="33">
        <v>0</v>
      </c>
      <c r="G30" s="33">
        <v>4.7E-2</v>
      </c>
      <c r="H30" s="33">
        <v>0</v>
      </c>
      <c r="I30" s="33">
        <v>4.6269999999999999E-2</v>
      </c>
      <c r="J30" s="33">
        <v>4.7E-2</v>
      </c>
      <c r="K30" s="33">
        <v>4.6269999999999999E-2</v>
      </c>
      <c r="L30" s="33">
        <v>21.457000000000001</v>
      </c>
      <c r="M30" s="33">
        <v>26.38627</v>
      </c>
      <c r="N30" s="34">
        <v>1.2302662307333001</v>
      </c>
      <c r="O30" s="34">
        <v>1.2284375966208501</v>
      </c>
      <c r="P30" s="34">
        <v>1.22929098450607</v>
      </c>
      <c r="Q30" s="34">
        <v>1.23028420893734</v>
      </c>
      <c r="R30" s="33">
        <v>26.3008489436525</v>
      </c>
      <c r="S30" s="33">
        <v>26.316095072260001</v>
      </c>
      <c r="T30" s="33">
        <v>26.339218325113301</v>
      </c>
      <c r="U30" s="15">
        <v>-1.4874784260473499E-3</v>
      </c>
      <c r="V30" s="15">
        <v>-9.0796438093077904E-4</v>
      </c>
      <c r="W30" s="15">
        <v>-2.9676783807467801E-5</v>
      </c>
      <c r="X30" s="34">
        <v>1.22972782774852</v>
      </c>
      <c r="Y30" s="34">
        <v>1.2253439668366699</v>
      </c>
      <c r="Z30" s="34">
        <v>1.22853631075779</v>
      </c>
      <c r="AA30" s="34">
        <v>1.22881943633113</v>
      </c>
      <c r="AB30" s="33">
        <v>26.2922054964144</v>
      </c>
      <c r="AC30" s="33">
        <v>26.353016508334399</v>
      </c>
      <c r="AD30" s="33">
        <v>26.3661871218277</v>
      </c>
      <c r="AE30" s="15">
        <v>-3.57127280825472E-3</v>
      </c>
      <c r="AF30" s="15">
        <v>-1.2610521785169501E-3</v>
      </c>
      <c r="AG30" s="15">
        <v>-7.6140070958699904E-4</v>
      </c>
      <c r="AI30" s="12"/>
      <c r="AJ30">
        <f t="shared" si="6"/>
        <v>0</v>
      </c>
      <c r="AK30">
        <f t="shared" si="7"/>
        <v>0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21.43</v>
      </c>
      <c r="C31" s="33">
        <v>26.34</v>
      </c>
      <c r="D31" s="15">
        <v>9.3370688389426699E-4</v>
      </c>
      <c r="E31" s="15">
        <v>0</v>
      </c>
      <c r="F31" s="33">
        <v>0</v>
      </c>
      <c r="G31" s="33">
        <v>4.7E-2</v>
      </c>
      <c r="H31" s="33">
        <v>0</v>
      </c>
      <c r="I31" s="33">
        <v>4.6269999999999999E-2</v>
      </c>
      <c r="J31" s="33">
        <v>4.7E-2</v>
      </c>
      <c r="K31" s="33">
        <v>4.6269999999999999E-2</v>
      </c>
      <c r="L31" s="33">
        <v>21.477</v>
      </c>
      <c r="M31" s="33">
        <v>26.38627</v>
      </c>
      <c r="N31" s="34">
        <v>1.2291180587960799</v>
      </c>
      <c r="O31" s="34">
        <v>1.2284375966208501</v>
      </c>
      <c r="P31" s="34">
        <v>1.2292919922636101</v>
      </c>
      <c r="Q31" s="34">
        <v>1.23008208078907</v>
      </c>
      <c r="R31" s="33">
        <v>26.3254176955849</v>
      </c>
      <c r="S31" s="33">
        <v>26.3437057979651</v>
      </c>
      <c r="T31" s="33">
        <v>26.364990597527399</v>
      </c>
      <c r="U31" s="15">
        <v>-5.5377154215330402E-4</v>
      </c>
      <c r="V31" s="15">
        <v>1.40680991025805E-4</v>
      </c>
      <c r="W31" s="15">
        <v>9.4832004016848605E-4</v>
      </c>
      <c r="X31" s="34">
        <v>1.2285826698328399</v>
      </c>
      <c r="Y31" s="34">
        <v>1.2253439668366699</v>
      </c>
      <c r="Z31" s="34">
        <v>1.22875439410872</v>
      </c>
      <c r="AA31" s="34">
        <v>1.22859053873469</v>
      </c>
      <c r="AB31" s="33">
        <v>26.316712375751099</v>
      </c>
      <c r="AC31" s="33">
        <v>26.385274346145099</v>
      </c>
      <c r="AD31" s="33">
        <v>26.391355034083698</v>
      </c>
      <c r="AE31" s="15">
        <v>-2.63961018904116E-3</v>
      </c>
      <c r="AF31" s="15">
        <v>-3.7734497531326598E-5</v>
      </c>
      <c r="AG31" s="15">
        <v>1.9269658671443801E-4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21.45</v>
      </c>
      <c r="C32" s="33">
        <v>26.37</v>
      </c>
      <c r="D32" s="15">
        <v>9.3283588854032695E-4</v>
      </c>
      <c r="E32" s="15">
        <v>1.1383040500602801E-3</v>
      </c>
      <c r="F32" s="33">
        <v>0</v>
      </c>
      <c r="G32" s="33">
        <v>4.7E-2</v>
      </c>
      <c r="H32" s="33">
        <v>0</v>
      </c>
      <c r="I32" s="33">
        <v>4.6269999999999999E-2</v>
      </c>
      <c r="J32" s="33">
        <v>4.7E-2</v>
      </c>
      <c r="K32" s="33">
        <v>4.6269999999999999E-2</v>
      </c>
      <c r="L32" s="33">
        <v>21.497</v>
      </c>
      <c r="M32" s="33">
        <v>26.416270000000001</v>
      </c>
      <c r="N32" s="34">
        <v>1.2293706293706199</v>
      </c>
      <c r="O32" s="34">
        <v>1.2284375966208501</v>
      </c>
      <c r="P32" s="34">
        <v>1.22934371685481</v>
      </c>
      <c r="Q32" s="34">
        <v>1.2300844468440599</v>
      </c>
      <c r="R32" s="33">
        <v>26.349986447517299</v>
      </c>
      <c r="S32" s="33">
        <v>26.368313234054501</v>
      </c>
      <c r="T32" s="33">
        <v>26.385260632925501</v>
      </c>
      <c r="U32" s="15">
        <v>-7.5923970367331199E-4</v>
      </c>
      <c r="V32" s="15">
        <v>-6.3967383200873301E-5</v>
      </c>
      <c r="W32" s="15">
        <v>5.78544515490749E-4</v>
      </c>
      <c r="X32" s="34">
        <v>1.2288351863050599</v>
      </c>
      <c r="Y32" s="34">
        <v>1.2253439668366699</v>
      </c>
      <c r="Z32" s="34">
        <v>1.2288064315182301</v>
      </c>
      <c r="AA32" s="34">
        <v>1.2285661326364099</v>
      </c>
      <c r="AB32" s="33">
        <v>26.3412192550879</v>
      </c>
      <c r="AC32" s="33">
        <v>26.414533210155099</v>
      </c>
      <c r="AD32" s="33">
        <v>26.411010811179601</v>
      </c>
      <c r="AE32" s="15">
        <v>-2.8451238524822798E-3</v>
      </c>
      <c r="AF32" s="15">
        <v>-6.5749136486114494E-5</v>
      </c>
      <c r="AG32" s="15">
        <v>-1.9910882244688E-4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21.44</v>
      </c>
      <c r="C33" s="33">
        <v>26.35</v>
      </c>
      <c r="D33" s="15">
        <v>-4.6630917142465598E-4</v>
      </c>
      <c r="E33" s="15">
        <v>-7.5872537782402296E-4</v>
      </c>
      <c r="F33" s="33">
        <v>0</v>
      </c>
      <c r="G33" s="33">
        <v>4.7E-2</v>
      </c>
      <c r="H33" s="33">
        <v>0</v>
      </c>
      <c r="I33" s="33">
        <v>4.6269999999999999E-2</v>
      </c>
      <c r="J33" s="33">
        <v>4.7E-2</v>
      </c>
      <c r="K33" s="33">
        <v>4.6269999999999999E-2</v>
      </c>
      <c r="L33" s="33">
        <v>21.486999999999998</v>
      </c>
      <c r="M33" s="33">
        <v>26.396270000000001</v>
      </c>
      <c r="N33" s="34">
        <v>1.22901119402985</v>
      </c>
      <c r="O33" s="34">
        <v>1.2284375966208501</v>
      </c>
      <c r="P33" s="34">
        <v>1.2293340381357301</v>
      </c>
      <c r="Q33" s="34">
        <v>1.22995481786631</v>
      </c>
      <c r="R33" s="33">
        <v>26.337702071551099</v>
      </c>
      <c r="S33" s="33">
        <v>26.357129289367201</v>
      </c>
      <c r="T33" s="33">
        <v>26.3730105403368</v>
      </c>
      <c r="U33" s="15">
        <v>-4.66823497274075E-4</v>
      </c>
      <c r="V33" s="15">
        <v>2.70524671209782E-4</v>
      </c>
      <c r="W33" s="15">
        <v>8.7288421363025703E-4</v>
      </c>
      <c r="X33" s="34">
        <v>1.22847628798808</v>
      </c>
      <c r="Y33" s="34">
        <v>1.2253439668366699</v>
      </c>
      <c r="Z33" s="34">
        <v>1.2287971249162799</v>
      </c>
      <c r="AA33" s="34">
        <v>1.2285459784755399</v>
      </c>
      <c r="AB33" s="33">
        <v>26.328965815419501</v>
      </c>
      <c r="AC33" s="33">
        <v>26.403363794032401</v>
      </c>
      <c r="AD33" s="33">
        <v>26.398200491958502</v>
      </c>
      <c r="AE33" s="15">
        <v>-2.5530173586277801E-3</v>
      </c>
      <c r="AF33" s="15">
        <v>2.6870618469677601E-4</v>
      </c>
      <c r="AG33" s="15">
        <v>7.3132354257898993E-5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21.44</v>
      </c>
      <c r="C34" s="33">
        <v>26.33</v>
      </c>
      <c r="D34" s="15">
        <v>0</v>
      </c>
      <c r="E34" s="15">
        <v>-7.5930147915338503E-4</v>
      </c>
      <c r="F34" s="33">
        <v>0</v>
      </c>
      <c r="G34" s="33">
        <v>4.7E-2</v>
      </c>
      <c r="H34" s="33">
        <v>0</v>
      </c>
      <c r="I34" s="33">
        <v>4.6269999999999999E-2</v>
      </c>
      <c r="J34" s="33">
        <v>4.7E-2</v>
      </c>
      <c r="K34" s="33">
        <v>4.6269999999999999E-2</v>
      </c>
      <c r="L34" s="33">
        <v>21.486999999999998</v>
      </c>
      <c r="M34" s="33">
        <v>26.376269999999899</v>
      </c>
      <c r="N34" s="34">
        <v>1.2280783582089501</v>
      </c>
      <c r="O34" s="34">
        <v>1.2284375966208501</v>
      </c>
      <c r="P34" s="34">
        <v>1.22929947245569</v>
      </c>
      <c r="Q34" s="34">
        <v>1.22971328551745</v>
      </c>
      <c r="R34" s="33">
        <v>26.337702071551099</v>
      </c>
      <c r="S34" s="33">
        <v>26.356921777630099</v>
      </c>
      <c r="T34" s="33">
        <v>26.370231295053799</v>
      </c>
      <c r="U34" s="15">
        <v>2.9247798187927599E-4</v>
      </c>
      <c r="V34" s="15">
        <v>1.02195304128153E-3</v>
      </c>
      <c r="W34" s="15">
        <v>1.5267979620003601E-3</v>
      </c>
      <c r="X34" s="34">
        <v>1.2275454926234399</v>
      </c>
      <c r="Y34" s="34">
        <v>1.2253439668366699</v>
      </c>
      <c r="Z34" s="34">
        <v>1.2287629345333799</v>
      </c>
      <c r="AA34" s="34">
        <v>1.2284141031796301</v>
      </c>
      <c r="AB34" s="33">
        <v>26.328965815419501</v>
      </c>
      <c r="AC34" s="33">
        <v>26.403163823076301</v>
      </c>
      <c r="AD34" s="33">
        <v>26.397767439504101</v>
      </c>
      <c r="AE34" s="15">
        <v>-1.7950473629621199E-3</v>
      </c>
      <c r="AF34" s="15">
        <v>1.0191024592667299E-3</v>
      </c>
      <c r="AG34" s="15">
        <v>8.14697595112229E-4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0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21.44</v>
      </c>
      <c r="C35" s="33">
        <v>26.36</v>
      </c>
      <c r="D35" s="15">
        <v>0</v>
      </c>
      <c r="E35" s="15">
        <v>1.1387361260885699E-3</v>
      </c>
      <c r="F35" s="33">
        <v>0</v>
      </c>
      <c r="G35" s="33">
        <v>4.7E-2</v>
      </c>
      <c r="H35" s="33">
        <v>0</v>
      </c>
      <c r="I35" s="33">
        <v>4.6269999999999999E-2</v>
      </c>
      <c r="J35" s="33">
        <v>4.7E-2</v>
      </c>
      <c r="K35" s="33">
        <v>4.6269999999999999E-2</v>
      </c>
      <c r="L35" s="33">
        <v>21.486999999999998</v>
      </c>
      <c r="M35" s="33">
        <v>26.406269999999999</v>
      </c>
      <c r="N35" s="34">
        <v>1.2294776119402899</v>
      </c>
      <c r="O35" s="34">
        <v>1.2284375966208501</v>
      </c>
      <c r="P35" s="34">
        <v>1.2292964139775899</v>
      </c>
      <c r="Q35" s="34">
        <v>1.22958886342705</v>
      </c>
      <c r="R35" s="33">
        <v>26.337702071551099</v>
      </c>
      <c r="S35" s="33">
        <v>26.356180689449999</v>
      </c>
      <c r="T35" s="33">
        <v>26.365052841494101</v>
      </c>
      <c r="U35" s="15">
        <v>-8.4625814420905097E-4</v>
      </c>
      <c r="V35" s="15">
        <v>-1.4490088267791001E-4</v>
      </c>
      <c r="W35" s="15">
        <v>1.9166757498876699E-4</v>
      </c>
      <c r="X35" s="34">
        <v>1.2289416856704001</v>
      </c>
      <c r="Y35" s="34">
        <v>1.2253439668366699</v>
      </c>
      <c r="Z35" s="34">
        <v>1.22876010819459</v>
      </c>
      <c r="AA35" s="34">
        <v>1.2283990808629699</v>
      </c>
      <c r="AB35" s="33">
        <v>26.328965815419501</v>
      </c>
      <c r="AC35" s="33">
        <v>26.402429174318801</v>
      </c>
      <c r="AD35" s="33">
        <v>26.394933835020801</v>
      </c>
      <c r="AE35" s="15">
        <v>-2.9317870208278398E-3</v>
      </c>
      <c r="AF35" s="15">
        <v>-1.4546185563926899E-4</v>
      </c>
      <c r="AG35" s="15">
        <v>-4.2939040513947398E-4</v>
      </c>
      <c r="AI35" s="12"/>
      <c r="AJ35">
        <f t="shared" si="6"/>
        <v>0</v>
      </c>
      <c r="AK35">
        <f t="shared" si="7"/>
        <v>0</v>
      </c>
      <c r="AL35">
        <f t="shared" si="14"/>
        <v>0</v>
      </c>
      <c r="AM35">
        <f t="shared" si="4"/>
        <v>0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0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21.39</v>
      </c>
      <c r="C36" s="33">
        <v>26.31</v>
      </c>
      <c r="D36" s="15">
        <v>-2.3348131082870198E-3</v>
      </c>
      <c r="E36" s="15">
        <v>-1.8986145821051599E-3</v>
      </c>
      <c r="F36" s="33">
        <v>4.9000000000000002E-2</v>
      </c>
      <c r="G36" s="33">
        <v>9.6000000000000002E-2</v>
      </c>
      <c r="H36" s="33">
        <v>0</v>
      </c>
      <c r="I36" s="33">
        <v>4.6269999999999999E-2</v>
      </c>
      <c r="J36" s="33">
        <v>9.6000000000000002E-2</v>
      </c>
      <c r="K36" s="33">
        <v>4.6269999999999999E-2</v>
      </c>
      <c r="L36" s="33">
        <v>21.486000000000001</v>
      </c>
      <c r="M36" s="33">
        <v>26.356269999999999</v>
      </c>
      <c r="N36" s="34">
        <v>1.2300140252454399</v>
      </c>
      <c r="O36" s="34">
        <v>1.2284375966208501</v>
      </c>
      <c r="P36" s="34">
        <v>1.22954500751337</v>
      </c>
      <c r="Q36" s="34">
        <v>1.2295311842750101</v>
      </c>
      <c r="R36" s="33">
        <v>26.276280191720101</v>
      </c>
      <c r="S36" s="33">
        <v>26.294650294980599</v>
      </c>
      <c r="T36" s="33">
        <v>26.3009057887047</v>
      </c>
      <c r="U36" s="15">
        <v>-1.28245667039092E-3</v>
      </c>
      <c r="V36" s="15">
        <v>-5.8358739650991203E-4</v>
      </c>
      <c r="W36" s="15">
        <v>-3.4571582638724099E-4</v>
      </c>
      <c r="X36" s="34">
        <v>1.2266717862794301</v>
      </c>
      <c r="Y36" s="34">
        <v>1.2253439668366699</v>
      </c>
      <c r="Z36" s="34">
        <v>1.22872784271547</v>
      </c>
      <c r="AA36" s="34">
        <v>1.2283102057620501</v>
      </c>
      <c r="AB36" s="33">
        <v>26.327740471452699</v>
      </c>
      <c r="AC36" s="33">
        <v>26.401139684669101</v>
      </c>
      <c r="AD36" s="33">
        <v>26.393382651421899</v>
      </c>
      <c r="AE36" s="15">
        <v>-1.08304326419712E-3</v>
      </c>
      <c r="AF36" s="15">
        <v>1.7009817485712001E-3</v>
      </c>
      <c r="AG36" s="15">
        <v>1.4071242436726999E-3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21.38</v>
      </c>
      <c r="C37" s="33">
        <v>26.36</v>
      </c>
      <c r="D37" s="15">
        <v>-4.67617497415213E-4</v>
      </c>
      <c r="E37" s="15">
        <v>1.8986145821050301E-3</v>
      </c>
      <c r="F37" s="33">
        <v>0</v>
      </c>
      <c r="G37" s="33">
        <v>9.6000000000000002E-2</v>
      </c>
      <c r="H37" s="33">
        <v>0</v>
      </c>
      <c r="I37" s="33">
        <v>4.6269999999999999E-2</v>
      </c>
      <c r="J37" s="33">
        <v>9.6000000000000002E-2</v>
      </c>
      <c r="K37" s="33">
        <v>4.6269999999999999E-2</v>
      </c>
      <c r="L37" s="33">
        <v>21.475999999999999</v>
      </c>
      <c r="M37" s="33">
        <v>26.406269999999999</v>
      </c>
      <c r="N37" s="34">
        <v>1.2329279700654801</v>
      </c>
      <c r="O37" s="34">
        <v>1.2284375966208501</v>
      </c>
      <c r="P37" s="34">
        <v>1.2297464696253</v>
      </c>
      <c r="Q37" s="34">
        <v>1.22964817101358</v>
      </c>
      <c r="R37" s="33">
        <v>26.263995815753798</v>
      </c>
      <c r="S37" s="33">
        <v>26.287672260635802</v>
      </c>
      <c r="T37" s="33">
        <v>26.287376719799799</v>
      </c>
      <c r="U37" s="15">
        <v>-3.6486887499111598E-3</v>
      </c>
      <c r="V37" s="15">
        <v>-2.7476156783764099E-3</v>
      </c>
      <c r="W37" s="15">
        <v>-2.75885830550743E-3</v>
      </c>
      <c r="X37" s="34">
        <v>1.22957114918979</v>
      </c>
      <c r="Y37" s="34">
        <v>1.2253439668366699</v>
      </c>
      <c r="Z37" s="34">
        <v>1.2286477561576099</v>
      </c>
      <c r="AA37" s="34">
        <v>1.2283951397064901</v>
      </c>
      <c r="AB37" s="33">
        <v>26.315487031784301</v>
      </c>
      <c r="AC37" s="33">
        <v>26.388159150157499</v>
      </c>
      <c r="AD37" s="33">
        <v>26.379189978945799</v>
      </c>
      <c r="AE37" s="15">
        <v>-3.44385555609615E-3</v>
      </c>
      <c r="AF37" s="15">
        <v>-6.8608945468008901E-4</v>
      </c>
      <c r="AG37" s="15">
        <v>-1.0260410135947699E-3</v>
      </c>
      <c r="AI37" s="12"/>
      <c r="AJ37">
        <f t="shared" si="6"/>
        <v>1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21.39</v>
      </c>
      <c r="C38" s="33">
        <v>26.36</v>
      </c>
      <c r="D38" s="15">
        <v>4.6761749741509997E-4</v>
      </c>
      <c r="E38" s="15">
        <v>0</v>
      </c>
      <c r="F38" s="33">
        <v>0</v>
      </c>
      <c r="G38" s="33">
        <v>9.6000000000000002E-2</v>
      </c>
      <c r="H38" s="33">
        <v>0</v>
      </c>
      <c r="I38" s="33">
        <v>4.6269999999999999E-2</v>
      </c>
      <c r="J38" s="33">
        <v>9.6000000000000002E-2</v>
      </c>
      <c r="K38" s="33">
        <v>4.6269999999999999E-2</v>
      </c>
      <c r="L38" s="33">
        <v>21.486000000000001</v>
      </c>
      <c r="M38" s="33">
        <v>26.406269999999999</v>
      </c>
      <c r="N38" s="34">
        <v>1.2323515661524</v>
      </c>
      <c r="O38" s="34">
        <v>1.2284375966208501</v>
      </c>
      <c r="P38" s="34">
        <v>1.23007372535228</v>
      </c>
      <c r="Q38" s="34">
        <v>1.2296892787329601</v>
      </c>
      <c r="R38" s="33">
        <v>26.276280191720101</v>
      </c>
      <c r="S38" s="33">
        <v>26.304276985285199</v>
      </c>
      <c r="T38" s="33">
        <v>26.302174377980499</v>
      </c>
      <c r="U38" s="15">
        <v>-3.1810712524960598E-3</v>
      </c>
      <c r="V38" s="15">
        <v>-2.11616065762748E-3</v>
      </c>
      <c r="W38" s="15">
        <v>-2.19609789921514E-3</v>
      </c>
      <c r="X38" s="34">
        <v>1.2289988829935701</v>
      </c>
      <c r="Y38" s="34">
        <v>1.2253439668366699</v>
      </c>
      <c r="Z38" s="34">
        <v>1.22869337380342</v>
      </c>
      <c r="AA38" s="34">
        <v>1.22840450537093</v>
      </c>
      <c r="AB38" s="33">
        <v>26.327740471452699</v>
      </c>
      <c r="AC38" s="33">
        <v>26.398725688802401</v>
      </c>
      <c r="AD38" s="33">
        <v>26.393297971733599</v>
      </c>
      <c r="AE38" s="15">
        <v>-2.9783278720684498E-3</v>
      </c>
      <c r="AF38" s="15">
        <v>-2.8574232988659598E-4</v>
      </c>
      <c r="AG38" s="15">
        <v>-4.9136873749706304E-4</v>
      </c>
      <c r="AI38" s="12"/>
      <c r="AJ38">
        <f t="shared" si="6"/>
        <v>0</v>
      </c>
      <c r="AK38">
        <f t="shared" si="7"/>
        <v>0</v>
      </c>
      <c r="AL38">
        <f t="shared" si="14"/>
        <v>1</v>
      </c>
      <c r="AM38">
        <f t="shared" si="4"/>
        <v>1</v>
      </c>
      <c r="AN38">
        <f t="shared" si="15"/>
        <v>1</v>
      </c>
      <c r="AO38" s="28">
        <f t="shared" si="8"/>
        <v>4.6761749741509997E-4</v>
      </c>
      <c r="AP38" s="28">
        <f t="shared" si="9"/>
        <v>0</v>
      </c>
      <c r="AQ38" s="28">
        <f t="shared" si="16"/>
        <v>4.6761749741509997E-4</v>
      </c>
      <c r="AR38" s="29">
        <f t="shared" si="17"/>
        <v>4.6761749741509997E-4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4.6761749741509997E-4</v>
      </c>
      <c r="BF38" s="29">
        <f t="shared" si="23"/>
        <v>4.6761749741509997E-4</v>
      </c>
      <c r="BH38" s="29"/>
    </row>
    <row r="39" spans="1:124" x14ac:dyDescent="0.25">
      <c r="A39" s="1">
        <v>46079</v>
      </c>
      <c r="B39" s="33">
        <v>21.43</v>
      </c>
      <c r="C39" s="33">
        <v>26.39</v>
      </c>
      <c r="D39" s="15">
        <v>1.8682863911714199E-3</v>
      </c>
      <c r="E39" s="15">
        <v>1.13744088092628E-3</v>
      </c>
      <c r="F39" s="33">
        <v>0</v>
      </c>
      <c r="G39" s="33">
        <v>9.6000000000000002E-2</v>
      </c>
      <c r="H39" s="33">
        <v>0</v>
      </c>
      <c r="I39" s="33">
        <v>4.6269999999999999E-2</v>
      </c>
      <c r="J39" s="33">
        <v>9.6000000000000002E-2</v>
      </c>
      <c r="K39" s="33">
        <v>4.6269999999999999E-2</v>
      </c>
      <c r="L39" s="33">
        <v>21.526</v>
      </c>
      <c r="M39" s="33">
        <v>26.43627</v>
      </c>
      <c r="N39" s="34">
        <v>1.2314512365842201</v>
      </c>
      <c r="O39" s="34">
        <v>1.2284375966208501</v>
      </c>
      <c r="P39" s="34">
        <v>1.2302066881126601</v>
      </c>
      <c r="Q39" s="34">
        <v>1.22967819394563</v>
      </c>
      <c r="R39" s="33">
        <v>26.3254176955849</v>
      </c>
      <c r="S39" s="33">
        <v>26.360479934299299</v>
      </c>
      <c r="T39" s="33">
        <v>26.352241243247502</v>
      </c>
      <c r="U39" s="15">
        <v>-2.4502257422510001E-3</v>
      </c>
      <c r="V39" s="15">
        <v>-1.11923413091277E-3</v>
      </c>
      <c r="W39" s="15">
        <v>-1.4318224752402401E-3</v>
      </c>
      <c r="X39" s="34">
        <v>1.22810879866208</v>
      </c>
      <c r="Y39" s="34">
        <v>1.2253439668366699</v>
      </c>
      <c r="Z39" s="34">
        <v>1.2285459767293201</v>
      </c>
      <c r="AA39" s="34">
        <v>1.22836201544986</v>
      </c>
      <c r="AB39" s="33">
        <v>26.3767542301261</v>
      </c>
      <c r="AC39" s="33">
        <v>26.448853564492499</v>
      </c>
      <c r="AD39" s="33">
        <v>26.4426353826147</v>
      </c>
      <c r="AE39" s="15">
        <v>-2.2538302221911401E-3</v>
      </c>
      <c r="AF39" s="15">
        <v>4.7588296601755399E-4</v>
      </c>
      <c r="AG39" s="15">
        <v>2.40753192581585E-4</v>
      </c>
      <c r="AI39" s="12"/>
      <c r="AJ39">
        <f t="shared" si="6"/>
        <v>0</v>
      </c>
      <c r="AK39">
        <f t="shared" si="7"/>
        <v>1</v>
      </c>
      <c r="AL39">
        <f t="shared" si="14"/>
        <v>1</v>
      </c>
      <c r="AM39">
        <f t="shared" si="4"/>
        <v>1</v>
      </c>
      <c r="AN39">
        <f t="shared" si="15"/>
        <v>1</v>
      </c>
      <c r="AO39" s="28">
        <f t="shared" si="8"/>
        <v>1.8682863911714199E-3</v>
      </c>
      <c r="AP39" s="28">
        <f t="shared" si="9"/>
        <v>-1.13744088092628E-3</v>
      </c>
      <c r="AQ39" s="28">
        <f t="shared" si="16"/>
        <v>7.3084551024513991E-4</v>
      </c>
      <c r="AR39" s="29">
        <f t="shared" si="17"/>
        <v>1.1984630076602399E-3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7.3084551024513991E-4</v>
      </c>
      <c r="BF39" s="29">
        <f t="shared" si="23"/>
        <v>1.1984630076602399E-3</v>
      </c>
      <c r="BH39" s="29"/>
    </row>
    <row r="40" spans="1:124" x14ac:dyDescent="0.25">
      <c r="A40" s="1">
        <v>46080</v>
      </c>
      <c r="B40" s="33">
        <v>21.44</v>
      </c>
      <c r="C40" s="33">
        <v>26.36</v>
      </c>
      <c r="D40" s="15">
        <v>4.6652671711558798E-4</v>
      </c>
      <c r="E40" s="15">
        <v>-1.13744088092631E-3</v>
      </c>
      <c r="F40" s="33">
        <v>0</v>
      </c>
      <c r="G40" s="33">
        <v>9.6000000000000002E-2</v>
      </c>
      <c r="H40" s="33">
        <v>0</v>
      </c>
      <c r="I40" s="33">
        <v>4.6269999999999999E-2</v>
      </c>
      <c r="J40" s="33">
        <v>9.6000000000000002E-2</v>
      </c>
      <c r="K40" s="33">
        <v>4.6269999999999999E-2</v>
      </c>
      <c r="L40" s="33">
        <v>21.536000000000001</v>
      </c>
      <c r="M40" s="33">
        <v>26.406269999999999</v>
      </c>
      <c r="N40" s="34">
        <v>1.2294776119402899</v>
      </c>
      <c r="O40" s="34">
        <v>1.2284375966208501</v>
      </c>
      <c r="P40" s="34">
        <v>1.2301278262333599</v>
      </c>
      <c r="Q40" s="34">
        <v>1.22970940536972</v>
      </c>
      <c r="R40" s="33">
        <v>26.337702071551099</v>
      </c>
      <c r="S40" s="33">
        <v>26.3756313931355</v>
      </c>
      <c r="T40" s="33">
        <v>26.364300478194401</v>
      </c>
      <c r="U40" s="15">
        <v>-8.4625814420905097E-4</v>
      </c>
      <c r="V40" s="15">
        <v>5.9282095162004999E-4</v>
      </c>
      <c r="W40" s="15">
        <v>1.63130782770463E-4</v>
      </c>
      <c r="X40" s="34">
        <v>1.2261455237741401</v>
      </c>
      <c r="Y40" s="34">
        <v>1.2253439668366699</v>
      </c>
      <c r="Z40" s="34">
        <v>1.22818774633188</v>
      </c>
      <c r="AA40" s="34">
        <v>1.22836202854484</v>
      </c>
      <c r="AB40" s="33">
        <v>26.389007669794498</v>
      </c>
      <c r="AC40" s="33">
        <v>26.457966154842701</v>
      </c>
      <c r="AD40" s="33">
        <v>26.454004364728299</v>
      </c>
      <c r="AE40" s="15">
        <v>-6.5393465410193701E-4</v>
      </c>
      <c r="AF40" s="15">
        <v>1.9558088825989599E-3</v>
      </c>
      <c r="AG40" s="15">
        <v>1.806058643364E-3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1.1984630076602399E-3</v>
      </c>
      <c r="AT40" s="12"/>
      <c r="AU40">
        <f t="shared" si="10"/>
        <v>0</v>
      </c>
      <c r="AV40">
        <f t="shared" si="11"/>
        <v>0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1.1984630076602399E-3</v>
      </c>
      <c r="BH40" s="29"/>
    </row>
    <row r="41" spans="1:124" x14ac:dyDescent="0.25">
      <c r="A41" s="1">
        <v>46083</v>
      </c>
      <c r="B41" s="33">
        <v>21.41</v>
      </c>
      <c r="C41" s="33">
        <v>26.24</v>
      </c>
      <c r="D41" s="15">
        <v>-1.4002336010098301E-3</v>
      </c>
      <c r="E41" s="15">
        <v>-4.5627455584181702E-3</v>
      </c>
      <c r="F41" s="33">
        <v>0</v>
      </c>
      <c r="G41" s="33">
        <v>9.6000000000000002E-2</v>
      </c>
      <c r="H41" s="33">
        <v>5.4005999999999998E-2</v>
      </c>
      <c r="I41" s="33">
        <v>0.100276</v>
      </c>
      <c r="J41" s="33">
        <v>9.6000000000000002E-2</v>
      </c>
      <c r="K41" s="33">
        <v>0.100276</v>
      </c>
      <c r="L41" s="33">
        <v>21.506</v>
      </c>
      <c r="M41" s="33">
        <v>26.340275999999999</v>
      </c>
      <c r="N41" s="34">
        <v>1.22559551611396</v>
      </c>
      <c r="O41" s="34">
        <v>1.2284375966208501</v>
      </c>
      <c r="P41" s="34">
        <v>1.22977557196515</v>
      </c>
      <c r="Q41" s="34">
        <v>1.2295337821143799</v>
      </c>
      <c r="R41" s="33">
        <v>26.3008489436525</v>
      </c>
      <c r="S41" s="33">
        <v>26.3370367596563</v>
      </c>
      <c r="T41" s="33">
        <v>26.328078368965699</v>
      </c>
      <c r="U41" s="15">
        <v>2.3162538131993099E-3</v>
      </c>
      <c r="V41" s="15">
        <v>3.6912262772937601E-3</v>
      </c>
      <c r="W41" s="15">
        <v>3.35102420025715E-3</v>
      </c>
      <c r="X41" s="34">
        <v>1.2247873151678601</v>
      </c>
      <c r="Y41" s="34">
        <v>1.2253439668366699</v>
      </c>
      <c r="Z41" s="34">
        <v>1.22780821086539</v>
      </c>
      <c r="AA41" s="34">
        <v>1.22828130248705</v>
      </c>
      <c r="AB41" s="33">
        <v>26.352247350789401</v>
      </c>
      <c r="AC41" s="33">
        <v>26.4134056726135</v>
      </c>
      <c r="AD41" s="33">
        <v>26.417153785885301</v>
      </c>
      <c r="AE41" s="15">
        <v>4.5438518537926399E-4</v>
      </c>
      <c r="AF41" s="15">
        <v>2.77249727939356E-3</v>
      </c>
      <c r="AG41" s="15">
        <v>2.9143891433639499E-3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1.1984630076602399E-3</v>
      </c>
      <c r="AT41" s="12"/>
      <c r="AU41">
        <f t="shared" si="10"/>
        <v>1</v>
      </c>
      <c r="AV41">
        <f t="shared" si="11"/>
        <v>0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1.1984630076602399E-3</v>
      </c>
      <c r="BH41" s="29"/>
    </row>
    <row r="42" spans="1:124" x14ac:dyDescent="0.25">
      <c r="A42" s="1">
        <v>46084</v>
      </c>
      <c r="B42" s="33">
        <v>21.3</v>
      </c>
      <c r="C42" s="33">
        <v>26.11</v>
      </c>
      <c r="D42" s="15">
        <v>-5.1510298862119204E-3</v>
      </c>
      <c r="E42" s="15">
        <v>-4.9665813648507402E-3</v>
      </c>
      <c r="F42" s="33">
        <v>0</v>
      </c>
      <c r="G42" s="33">
        <v>9.6000000000000002E-2</v>
      </c>
      <c r="H42" s="33">
        <v>0</v>
      </c>
      <c r="I42" s="33">
        <v>0.100276</v>
      </c>
      <c r="J42" s="33">
        <v>9.6000000000000002E-2</v>
      </c>
      <c r="K42" s="33">
        <v>0.100276</v>
      </c>
      <c r="L42" s="33">
        <v>21.396000000000001</v>
      </c>
      <c r="M42" s="33">
        <v>26.210276</v>
      </c>
      <c r="N42" s="34">
        <v>1.2258215962441299</v>
      </c>
      <c r="O42" s="34">
        <v>1.2284375966208501</v>
      </c>
      <c r="P42" s="34">
        <v>1.2294206686525</v>
      </c>
      <c r="Q42" s="34">
        <v>1.2293821927536599</v>
      </c>
      <c r="R42" s="33">
        <v>26.165720808024201</v>
      </c>
      <c r="S42" s="33">
        <v>26.194219682857799</v>
      </c>
      <c r="T42" s="33">
        <v>26.189069559036401</v>
      </c>
      <c r="U42" s="15">
        <v>2.1318052918380399E-3</v>
      </c>
      <c r="V42" s="15">
        <v>3.2203809235390999E-3</v>
      </c>
      <c r="W42" s="15">
        <v>3.0237486038616301E-3</v>
      </c>
      <c r="X42" s="34">
        <v>1.2250082258366</v>
      </c>
      <c r="Y42" s="34">
        <v>1.2253439668366699</v>
      </c>
      <c r="Z42" s="34">
        <v>1.22742551481854</v>
      </c>
      <c r="AA42" s="34">
        <v>1.2281159731683899</v>
      </c>
      <c r="AB42" s="33">
        <v>26.217459514437401</v>
      </c>
      <c r="AC42" s="33">
        <v>26.270184479675802</v>
      </c>
      <c r="AD42" s="33">
        <v>26.280306748013</v>
      </c>
      <c r="AE42" s="15">
        <v>2.7403489438878101E-4</v>
      </c>
      <c r="AF42" s="15">
        <v>2.2830785077264399E-3</v>
      </c>
      <c r="AG42" s="15">
        <v>2.6683182353047798E-3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1.1984630076602399E-3</v>
      </c>
      <c r="AT42" s="12"/>
      <c r="AU42">
        <f t="shared" si="10"/>
        <v>1</v>
      </c>
      <c r="AV42">
        <f t="shared" si="11"/>
        <v>0</v>
      </c>
      <c r="AW42">
        <f t="shared" si="18"/>
        <v>1</v>
      </c>
      <c r="AX42">
        <f t="shared" si="5"/>
        <v>1</v>
      </c>
      <c r="AY42">
        <f t="shared" si="19"/>
        <v>1</v>
      </c>
      <c r="AZ42" s="28">
        <f t="shared" si="12"/>
        <v>5.1510298862119204E-3</v>
      </c>
      <c r="BA42" s="28">
        <f t="shared" si="13"/>
        <v>-4.9665813648507402E-3</v>
      </c>
      <c r="BB42" s="28">
        <f t="shared" si="20"/>
        <v>1.8444852136118017E-4</v>
      </c>
      <c r="BC42" s="29">
        <f t="shared" si="21"/>
        <v>1.8444852136118017E-4</v>
      </c>
      <c r="BE42" s="29">
        <f t="shared" si="22"/>
        <v>1.8444852136118017E-4</v>
      </c>
      <c r="BF42" s="29">
        <f t="shared" si="23"/>
        <v>1.3829115290214201E-3</v>
      </c>
      <c r="BH42" s="29"/>
    </row>
    <row r="43" spans="1:124" x14ac:dyDescent="0.25">
      <c r="A43" s="1">
        <v>46085</v>
      </c>
      <c r="B43" s="33">
        <v>21.29</v>
      </c>
      <c r="C43" s="33">
        <v>26.01</v>
      </c>
      <c r="D43" s="15">
        <v>-4.6959380999139901E-4</v>
      </c>
      <c r="E43" s="15">
        <v>-3.8373032504771701E-3</v>
      </c>
      <c r="F43" s="33">
        <v>0</v>
      </c>
      <c r="G43" s="33">
        <v>9.6000000000000002E-2</v>
      </c>
      <c r="H43" s="33">
        <v>0</v>
      </c>
      <c r="I43" s="33">
        <v>0.100276</v>
      </c>
      <c r="J43" s="33">
        <v>9.6000000000000002E-2</v>
      </c>
      <c r="K43" s="33">
        <v>0.100276</v>
      </c>
      <c r="L43" s="33">
        <v>21.385999999999999</v>
      </c>
      <c r="M43" s="33">
        <v>26.110275999999999</v>
      </c>
      <c r="N43" s="34">
        <v>1.2217003287928601</v>
      </c>
      <c r="O43" s="34">
        <v>1.2284375966208501</v>
      </c>
      <c r="P43" s="34">
        <v>1.2286895821288</v>
      </c>
      <c r="Q43" s="34">
        <v>1.22901181013227</v>
      </c>
      <c r="R43" s="33">
        <v>26.153436432058001</v>
      </c>
      <c r="S43" s="33">
        <v>26.174366035611801</v>
      </c>
      <c r="T43" s="33">
        <v>26.1735468837254</v>
      </c>
      <c r="U43" s="15">
        <v>5.4995147323239199E-3</v>
      </c>
      <c r="V43" s="15">
        <v>6.2994567777726598E-3</v>
      </c>
      <c r="W43" s="15">
        <v>6.2681603290393201E-3</v>
      </c>
      <c r="X43" s="34">
        <v>1.22090507808846</v>
      </c>
      <c r="Y43" s="34">
        <v>1.2253439668366699</v>
      </c>
      <c r="Z43" s="34">
        <v>1.2266683938285801</v>
      </c>
      <c r="AA43" s="34">
        <v>1.2277327593724301</v>
      </c>
      <c r="AB43" s="33">
        <v>26.205206074768999</v>
      </c>
      <c r="AC43" s="33">
        <v>26.249722059909299</v>
      </c>
      <c r="AD43" s="33">
        <v>26.264488202179201</v>
      </c>
      <c r="AE43" s="15">
        <v>3.6291428539058901E-3</v>
      </c>
      <c r="AF43" s="15">
        <v>5.3264474698990899E-3</v>
      </c>
      <c r="AG43" s="15">
        <v>5.8888149732970298E-3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1.1984630076602399E-3</v>
      </c>
      <c r="AT43" s="12"/>
      <c r="AU43">
        <f t="shared" si="10"/>
        <v>1</v>
      </c>
      <c r="AV43">
        <f t="shared" si="11"/>
        <v>0</v>
      </c>
      <c r="AW43">
        <f t="shared" si="18"/>
        <v>1</v>
      </c>
      <c r="AX43">
        <f t="shared" si="5"/>
        <v>1</v>
      </c>
      <c r="AY43">
        <f t="shared" si="19"/>
        <v>1</v>
      </c>
      <c r="AZ43" s="28">
        <f t="shared" si="12"/>
        <v>4.6959380999139901E-4</v>
      </c>
      <c r="BA43" s="28">
        <f t="shared" si="13"/>
        <v>-3.8373032504771701E-3</v>
      </c>
      <c r="BB43" s="28">
        <f t="shared" si="20"/>
        <v>-3.3677094404857711E-3</v>
      </c>
      <c r="BC43" s="29">
        <f t="shared" si="21"/>
        <v>-3.1832609191245909E-3</v>
      </c>
      <c r="BE43" s="29">
        <f t="shared" si="22"/>
        <v>-3.3677094404857711E-3</v>
      </c>
      <c r="BF43" s="29">
        <f t="shared" si="23"/>
        <v>-1.984797911464351E-3</v>
      </c>
      <c r="BH43" s="29"/>
    </row>
    <row r="44" spans="1:124" x14ac:dyDescent="0.25">
      <c r="A44" s="1">
        <v>46086</v>
      </c>
      <c r="B44" s="33">
        <v>21.28</v>
      </c>
      <c r="C44" s="33">
        <v>26.04</v>
      </c>
      <c r="D44" s="15">
        <v>-4.6981443194435299E-4</v>
      </c>
      <c r="E44" s="15">
        <v>1.1527378798082599E-3</v>
      </c>
      <c r="F44" s="33">
        <v>0</v>
      </c>
      <c r="G44" s="33">
        <v>9.6000000000000002E-2</v>
      </c>
      <c r="H44" s="33">
        <v>0</v>
      </c>
      <c r="I44" s="33">
        <v>0.100276</v>
      </c>
      <c r="J44" s="33">
        <v>9.6000000000000002E-2</v>
      </c>
      <c r="K44" s="33">
        <v>0.100276</v>
      </c>
      <c r="L44" s="33">
        <v>21.376000000000001</v>
      </c>
      <c r="M44" s="33">
        <v>26.140276</v>
      </c>
      <c r="N44" s="34">
        <v>1.2236842105263099</v>
      </c>
      <c r="O44" s="34">
        <v>1.2284375966208501</v>
      </c>
      <c r="P44" s="34">
        <v>1.2282501673605399</v>
      </c>
      <c r="Q44" s="34">
        <v>1.2287748199081101</v>
      </c>
      <c r="R44" s="33">
        <v>26.141152056091801</v>
      </c>
      <c r="S44" s="33">
        <v>26.146514307701</v>
      </c>
      <c r="T44" s="33">
        <v>26.153371319614699</v>
      </c>
      <c r="U44" s="15">
        <v>3.8769624205712201E-3</v>
      </c>
      <c r="V44" s="15">
        <v>4.08206821323323E-3</v>
      </c>
      <c r="W44" s="15">
        <v>4.3442872169940404E-3</v>
      </c>
      <c r="X44" s="34">
        <v>1.2228796781437099</v>
      </c>
      <c r="Y44" s="34">
        <v>1.2253439668366699</v>
      </c>
      <c r="Z44" s="34">
        <v>1.2262018123806</v>
      </c>
      <c r="AA44" s="34">
        <v>1.22748237345699</v>
      </c>
      <c r="AB44" s="33">
        <v>26.1929526351006</v>
      </c>
      <c r="AC44" s="33">
        <v>26.221263586479701</v>
      </c>
      <c r="AD44" s="33">
        <v>26.2440154643451</v>
      </c>
      <c r="AE44" s="15">
        <v>2.0131245201042399E-3</v>
      </c>
      <c r="AF44" s="15">
        <v>3.09340220708313E-3</v>
      </c>
      <c r="AG44" s="15">
        <v>3.9607140637335997E-3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1.1984630076602399E-3</v>
      </c>
      <c r="AT44" s="12"/>
      <c r="AU44">
        <f t="shared" si="10"/>
        <v>1</v>
      </c>
      <c r="AV44">
        <f t="shared" si="11"/>
        <v>0</v>
      </c>
      <c r="AW44">
        <f t="shared" si="18"/>
        <v>1</v>
      </c>
      <c r="AX44">
        <f t="shared" si="5"/>
        <v>1</v>
      </c>
      <c r="AY44">
        <f t="shared" si="19"/>
        <v>1</v>
      </c>
      <c r="AZ44" s="28">
        <f t="shared" si="12"/>
        <v>4.6981443194435299E-4</v>
      </c>
      <c r="BA44" s="28">
        <f t="shared" si="13"/>
        <v>1.1527378798082599E-3</v>
      </c>
      <c r="BB44" s="28">
        <f t="shared" si="20"/>
        <v>1.6225523117526129E-3</v>
      </c>
      <c r="BC44" s="29">
        <f t="shared" si="21"/>
        <v>-1.5607086073719781E-3</v>
      </c>
      <c r="BE44" s="29">
        <f t="shared" si="22"/>
        <v>1.6225523117526129E-3</v>
      </c>
      <c r="BF44" s="29">
        <f t="shared" si="23"/>
        <v>-3.6224559971173814E-4</v>
      </c>
      <c r="BH44" s="29"/>
    </row>
    <row r="45" spans="1:124" x14ac:dyDescent="0.25">
      <c r="A45" s="1">
        <v>46087</v>
      </c>
      <c r="B45" s="33">
        <v>21.25</v>
      </c>
      <c r="C45" s="33">
        <v>26.04</v>
      </c>
      <c r="D45" s="15">
        <v>-1.4107691030178201E-3</v>
      </c>
      <c r="E45" s="15">
        <v>0</v>
      </c>
      <c r="F45" s="33">
        <v>0</v>
      </c>
      <c r="G45" s="33">
        <v>9.6000000000000002E-2</v>
      </c>
      <c r="H45" s="33">
        <v>0</v>
      </c>
      <c r="I45" s="33">
        <v>0.100276</v>
      </c>
      <c r="J45" s="33">
        <v>9.6000000000000002E-2</v>
      </c>
      <c r="K45" s="33">
        <v>0.100276</v>
      </c>
      <c r="L45" s="33">
        <v>21.346</v>
      </c>
      <c r="M45" s="33">
        <v>26.140276</v>
      </c>
      <c r="N45" s="34">
        <v>1.22541176470588</v>
      </c>
      <c r="O45" s="34">
        <v>1.2284375966208501</v>
      </c>
      <c r="P45" s="34">
        <v>1.2278435826370999</v>
      </c>
      <c r="Q45" s="34">
        <v>1.2285699983073399</v>
      </c>
      <c r="R45" s="33">
        <v>26.104298928193099</v>
      </c>
      <c r="S45" s="33">
        <v>26.100316056411501</v>
      </c>
      <c r="T45" s="33">
        <v>26.1114649230474</v>
      </c>
      <c r="U45" s="15">
        <v>2.46619331755359E-3</v>
      </c>
      <c r="V45" s="15">
        <v>2.3136063560156598E-3</v>
      </c>
      <c r="W45" s="15">
        <v>2.7406696201395498E-3</v>
      </c>
      <c r="X45" s="34">
        <v>1.2245983322402301</v>
      </c>
      <c r="Y45" s="34">
        <v>1.2253439668366699</v>
      </c>
      <c r="Z45" s="34">
        <v>1.2257674770375899</v>
      </c>
      <c r="AA45" s="34">
        <v>1.2272637926160901</v>
      </c>
      <c r="AB45" s="33">
        <v>26.156192316095499</v>
      </c>
      <c r="AC45" s="33">
        <v>26.174503887076401</v>
      </c>
      <c r="AD45" s="33">
        <v>26.201838743812999</v>
      </c>
      <c r="AE45" s="15">
        <v>6.0869565764210204E-4</v>
      </c>
      <c r="AF45" s="15">
        <v>1.30853621230171E-3</v>
      </c>
      <c r="AG45" s="15">
        <v>2.3523226947212901E-3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1.1984630076602399E-3</v>
      </c>
      <c r="AT45" s="12"/>
      <c r="AU45">
        <f t="shared" si="10"/>
        <v>1</v>
      </c>
      <c r="AV45">
        <f t="shared" si="11"/>
        <v>0</v>
      </c>
      <c r="AW45">
        <f t="shared" si="18"/>
        <v>1</v>
      </c>
      <c r="AX45">
        <f t="shared" si="5"/>
        <v>1</v>
      </c>
      <c r="AY45">
        <f t="shared" si="19"/>
        <v>1</v>
      </c>
      <c r="AZ45" s="28">
        <f t="shared" si="12"/>
        <v>1.4107691030178201E-3</v>
      </c>
      <c r="BA45" s="28">
        <f t="shared" si="13"/>
        <v>0</v>
      </c>
      <c r="BB45" s="28">
        <f t="shared" si="20"/>
        <v>1.4107691030178201E-3</v>
      </c>
      <c r="BC45" s="29">
        <f t="shared" si="21"/>
        <v>-1.4993950435415802E-4</v>
      </c>
      <c r="BE45" s="29">
        <f t="shared" si="22"/>
        <v>1.4107691030178201E-3</v>
      </c>
      <c r="BF45" s="29">
        <f t="shared" si="23"/>
        <v>1.0485235033060819E-3</v>
      </c>
      <c r="BH45" s="29"/>
    </row>
    <row r="46" spans="1:124" x14ac:dyDescent="0.25">
      <c r="A46" s="1">
        <v>46090</v>
      </c>
      <c r="B46" s="33">
        <v>21.25</v>
      </c>
      <c r="C46" s="33">
        <v>26.03</v>
      </c>
      <c r="D46" s="15">
        <v>0</v>
      </c>
      <c r="E46" s="15">
        <v>-3.8409833389443801E-4</v>
      </c>
      <c r="F46" s="33">
        <v>0</v>
      </c>
      <c r="G46" s="33">
        <v>9.6000000000000002E-2</v>
      </c>
      <c r="H46" s="33">
        <v>0</v>
      </c>
      <c r="I46" s="33">
        <v>0.100276</v>
      </c>
      <c r="J46" s="33">
        <v>9.6000000000000002E-2</v>
      </c>
      <c r="K46" s="33">
        <v>0.100276</v>
      </c>
      <c r="L46" s="33">
        <v>21.346</v>
      </c>
      <c r="M46" s="33">
        <v>26.130275999999999</v>
      </c>
      <c r="N46" s="34">
        <v>1.22494117647058</v>
      </c>
      <c r="O46" s="34">
        <v>1.2284375966208501</v>
      </c>
      <c r="P46" s="34">
        <v>1.2273362977596101</v>
      </c>
      <c r="Q46" s="34">
        <v>1.2284406526364899</v>
      </c>
      <c r="R46" s="33">
        <v>26.104298928193099</v>
      </c>
      <c r="S46" s="33">
        <v>26.091676131038401</v>
      </c>
      <c r="T46" s="33">
        <v>26.107112464031101</v>
      </c>
      <c r="U46" s="15">
        <v>2.8502916514478701E-3</v>
      </c>
      <c r="V46" s="15">
        <v>2.3666222732425398E-3</v>
      </c>
      <c r="W46" s="15">
        <v>2.9580663989834501E-3</v>
      </c>
      <c r="X46" s="34">
        <v>1.2241298603953901</v>
      </c>
      <c r="Y46" s="34">
        <v>1.2253439668366699</v>
      </c>
      <c r="Z46" s="34">
        <v>1.2255132844491801</v>
      </c>
      <c r="AA46" s="34">
        <v>1.2271205635823299</v>
      </c>
      <c r="AB46" s="33">
        <v>26.156192316095499</v>
      </c>
      <c r="AC46" s="33">
        <v>26.165232564844398</v>
      </c>
      <c r="AD46" s="33">
        <v>26.197172917183099</v>
      </c>
      <c r="AE46" s="15">
        <v>9.9132028047001089E-4</v>
      </c>
      <c r="AF46" s="15">
        <v>1.33688613076455E-3</v>
      </c>
      <c r="AG46" s="15">
        <v>2.5568589722033E-3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1.1984630076602399E-3</v>
      </c>
      <c r="AT46" s="12"/>
      <c r="AU46">
        <f t="shared" si="10"/>
        <v>1</v>
      </c>
      <c r="AV46">
        <f t="shared" si="11"/>
        <v>0</v>
      </c>
      <c r="AW46">
        <f t="shared" si="18"/>
        <v>1</v>
      </c>
      <c r="AX46">
        <f t="shared" si="5"/>
        <v>1</v>
      </c>
      <c r="AY46">
        <f t="shared" si="19"/>
        <v>1</v>
      </c>
      <c r="AZ46" s="28">
        <f t="shared" si="12"/>
        <v>0</v>
      </c>
      <c r="BA46" s="28">
        <f t="shared" si="13"/>
        <v>-3.8409833389443801E-4</v>
      </c>
      <c r="BB46" s="28">
        <f t="shared" si="20"/>
        <v>-3.8409833389443801E-4</v>
      </c>
      <c r="BC46" s="29">
        <f t="shared" si="21"/>
        <v>-5.3403783824859598E-4</v>
      </c>
      <c r="BE46" s="29">
        <f t="shared" si="22"/>
        <v>-3.8409833389443801E-4</v>
      </c>
      <c r="BF46" s="29">
        <f t="shared" si="23"/>
        <v>6.6442516941164396E-4</v>
      </c>
      <c r="BH46" s="29"/>
    </row>
    <row r="47" spans="1:124" x14ac:dyDescent="0.25">
      <c r="A47" s="1">
        <v>46091</v>
      </c>
      <c r="B47" s="33">
        <v>21.23</v>
      </c>
      <c r="C47" s="33">
        <v>26.05</v>
      </c>
      <c r="D47" s="15">
        <v>-9.4161965526109504E-4</v>
      </c>
      <c r="E47" s="15">
        <v>7.6804919290197405E-4</v>
      </c>
      <c r="F47" s="33">
        <v>0</v>
      </c>
      <c r="G47" s="33">
        <v>9.6000000000000002E-2</v>
      </c>
      <c r="H47" s="33">
        <v>0</v>
      </c>
      <c r="I47" s="33">
        <v>0.100276</v>
      </c>
      <c r="J47" s="33">
        <v>9.6000000000000002E-2</v>
      </c>
      <c r="K47" s="33">
        <v>0.100276</v>
      </c>
      <c r="L47" s="33">
        <v>21.326000000000001</v>
      </c>
      <c r="M47" s="33">
        <v>26.150276000000002</v>
      </c>
      <c r="N47" s="34">
        <v>1.22703721149317</v>
      </c>
      <c r="O47" s="34">
        <v>1.2284375966208501</v>
      </c>
      <c r="P47" s="34">
        <v>1.2267472219023801</v>
      </c>
      <c r="Q47" s="34">
        <v>1.22824684576384</v>
      </c>
      <c r="R47" s="33">
        <v>26.0797301762607</v>
      </c>
      <c r="S47" s="33">
        <v>26.056349601436601</v>
      </c>
      <c r="T47" s="33">
        <v>26.079795055472701</v>
      </c>
      <c r="U47" s="15">
        <v>1.1406228032848601E-3</v>
      </c>
      <c r="V47" s="15">
        <v>2.4371699482475401E-4</v>
      </c>
      <c r="W47" s="15">
        <v>1.1431105257743599E-3</v>
      </c>
      <c r="X47" s="34">
        <v>1.22621569914658</v>
      </c>
      <c r="Y47" s="34">
        <v>1.2253439668366699</v>
      </c>
      <c r="Z47" s="34">
        <v>1.22517773944486</v>
      </c>
      <c r="AA47" s="34">
        <v>1.2269127478012301</v>
      </c>
      <c r="AB47" s="33">
        <v>26.131685436758801</v>
      </c>
      <c r="AC47" s="33">
        <v>26.135296304163301</v>
      </c>
      <c r="AD47" s="33">
        <v>26.1695731389567</v>
      </c>
      <c r="AE47" s="15">
        <v>-7.1116551536279805E-4</v>
      </c>
      <c r="AF47" s="15">
        <v>-5.7299540145996897E-4</v>
      </c>
      <c r="AG47" s="15">
        <v>7.3766037744392302E-4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1.1984630076602399E-3</v>
      </c>
      <c r="AT47" s="12"/>
      <c r="AU47">
        <f t="shared" si="10"/>
        <v>0</v>
      </c>
      <c r="AV47">
        <f t="shared" si="11"/>
        <v>0</v>
      </c>
      <c r="AW47">
        <f t="shared" si="18"/>
        <v>1</v>
      </c>
      <c r="AX47">
        <f t="shared" si="5"/>
        <v>1</v>
      </c>
      <c r="AY47">
        <f t="shared" si="19"/>
        <v>1</v>
      </c>
      <c r="AZ47" s="28">
        <f t="shared" si="12"/>
        <v>9.4161965526109504E-4</v>
      </c>
      <c r="BA47" s="28">
        <f t="shared" si="13"/>
        <v>7.6804919290197405E-4</v>
      </c>
      <c r="BB47" s="28">
        <f t="shared" si="20"/>
        <v>1.709668848163069E-3</v>
      </c>
      <c r="BC47" s="29">
        <f t="shared" si="21"/>
        <v>1.175631009914473E-3</v>
      </c>
      <c r="BE47" s="29">
        <f t="shared" si="22"/>
        <v>1.709668848163069E-3</v>
      </c>
      <c r="BF47" s="29">
        <f t="shared" si="23"/>
        <v>2.3740940175747127E-3</v>
      </c>
      <c r="BH47" s="29"/>
    </row>
    <row r="48" spans="1:124" x14ac:dyDescent="0.25">
      <c r="A48" s="1">
        <v>46092</v>
      </c>
      <c r="B48" s="33">
        <v>21.2</v>
      </c>
      <c r="C48" s="33">
        <v>26.02</v>
      </c>
      <c r="D48" s="15">
        <v>-1.41409403719798E-3</v>
      </c>
      <c r="E48" s="15">
        <v>-1.1522951150167099E-3</v>
      </c>
      <c r="F48" s="33">
        <v>0</v>
      </c>
      <c r="G48" s="33">
        <v>9.6000000000000002E-2</v>
      </c>
      <c r="H48" s="33">
        <v>0</v>
      </c>
      <c r="I48" s="33">
        <v>0.100276</v>
      </c>
      <c r="J48" s="33">
        <v>9.6000000000000002E-2</v>
      </c>
      <c r="K48" s="33">
        <v>0.100276</v>
      </c>
      <c r="L48" s="33">
        <v>21.295999999999999</v>
      </c>
      <c r="M48" s="33">
        <v>26.120276</v>
      </c>
      <c r="N48" s="34">
        <v>1.22735849056603</v>
      </c>
      <c r="O48" s="34">
        <v>1.2284375966208501</v>
      </c>
      <c r="P48" s="34">
        <v>1.2262479143437399</v>
      </c>
      <c r="Q48" s="34">
        <v>1.2281608198480101</v>
      </c>
      <c r="R48" s="33">
        <v>26.042877048362101</v>
      </c>
      <c r="S48" s="33">
        <v>26.007041104330501</v>
      </c>
      <c r="T48" s="33">
        <v>26.038833130193499</v>
      </c>
      <c r="U48" s="15">
        <v>8.7882388110376995E-4</v>
      </c>
      <c r="V48" s="15">
        <v>-4.9816002072667405E-4</v>
      </c>
      <c r="W48" s="15">
        <v>7.2353258352921305E-4</v>
      </c>
      <c r="X48" s="34">
        <v>1.22653437265214</v>
      </c>
      <c r="Y48" s="34">
        <v>1.2253439668366699</v>
      </c>
      <c r="Z48" s="34">
        <v>1.22493128841072</v>
      </c>
      <c r="AA48" s="34">
        <v>1.22681233110707</v>
      </c>
      <c r="AB48" s="33">
        <v>26.0949251177537</v>
      </c>
      <c r="AC48" s="33">
        <v>26.091385139217799</v>
      </c>
      <c r="AD48" s="33">
        <v>26.128333877175098</v>
      </c>
      <c r="AE48" s="15">
        <v>-9.7101547807753198E-4</v>
      </c>
      <c r="AF48" s="15">
        <v>-1.10668241923084E-3</v>
      </c>
      <c r="AG48" s="15">
        <v>3.0844369861720699E-4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1.1984630076602399E-3</v>
      </c>
      <c r="AT48" s="12"/>
      <c r="AU48">
        <f t="shared" si="10"/>
        <v>0</v>
      </c>
      <c r="AV48">
        <f t="shared" si="11"/>
        <v>1</v>
      </c>
      <c r="AW48">
        <f t="shared" si="18"/>
        <v>1</v>
      </c>
      <c r="AX48">
        <f t="shared" si="5"/>
        <v>1</v>
      </c>
      <c r="AY48">
        <f t="shared" si="19"/>
        <v>1</v>
      </c>
      <c r="AZ48" s="28">
        <f t="shared" si="12"/>
        <v>1.41409403719798E-3</v>
      </c>
      <c r="BA48" s="28">
        <f t="shared" si="13"/>
        <v>-1.1522951150167099E-3</v>
      </c>
      <c r="BB48" s="28">
        <f t="shared" si="20"/>
        <v>2.6179892218127008E-4</v>
      </c>
      <c r="BC48" s="29">
        <f t="shared" si="21"/>
        <v>1.4374299320957431E-3</v>
      </c>
      <c r="BE48" s="29">
        <f t="shared" si="22"/>
        <v>2.6179892218127008E-4</v>
      </c>
      <c r="BF48" s="29">
        <f t="shared" si="23"/>
        <v>2.635892939755983E-3</v>
      </c>
      <c r="BH48" s="29"/>
    </row>
    <row r="49" spans="1:60" x14ac:dyDescent="0.25">
      <c r="A49" s="1">
        <v>46093</v>
      </c>
      <c r="B49" s="33">
        <v>21.11</v>
      </c>
      <c r="C49" s="33">
        <v>25.92</v>
      </c>
      <c r="D49" s="15">
        <v>-4.2543198177375499E-3</v>
      </c>
      <c r="E49" s="15">
        <v>-3.8506016002851401E-3</v>
      </c>
      <c r="F49" s="33">
        <v>0</v>
      </c>
      <c r="G49" s="33">
        <v>9.6000000000000002E-2</v>
      </c>
      <c r="H49" s="33">
        <v>0</v>
      </c>
      <c r="I49" s="33">
        <v>0.100276</v>
      </c>
      <c r="J49" s="33">
        <v>9.6000000000000002E-2</v>
      </c>
      <c r="K49" s="33">
        <v>0.100276</v>
      </c>
      <c r="L49" s="33">
        <v>21.206</v>
      </c>
      <c r="M49" s="33">
        <v>26.020275999999999</v>
      </c>
      <c r="N49" s="34">
        <v>1.2278540975840799</v>
      </c>
      <c r="O49" s="34">
        <v>1.2284375966208501</v>
      </c>
      <c r="P49" s="34">
        <v>1.2258882004437299</v>
      </c>
      <c r="Q49" s="34">
        <v>1.2280474442781999</v>
      </c>
      <c r="R49" s="33">
        <v>25.932317664666201</v>
      </c>
      <c r="S49" s="33">
        <v>25.886093471796499</v>
      </c>
      <c r="T49" s="33">
        <v>25.926474906991501</v>
      </c>
      <c r="U49" s="15">
        <v>4.7510566365132403E-4</v>
      </c>
      <c r="V49" s="15">
        <v>-1.3089785688358601E-3</v>
      </c>
      <c r="W49" s="15">
        <v>2.4977231477559599E-4</v>
      </c>
      <c r="X49" s="34">
        <v>1.2270242384230801</v>
      </c>
      <c r="Y49" s="34">
        <v>1.2253439668366699</v>
      </c>
      <c r="Z49" s="34">
        <v>1.22482283238682</v>
      </c>
      <c r="AA49" s="34">
        <v>1.22668440455807</v>
      </c>
      <c r="AB49" s="33">
        <v>25.984644160738402</v>
      </c>
      <c r="AC49" s="33">
        <v>25.9758929020377</v>
      </c>
      <c r="AD49" s="33">
        <v>26.015782293456599</v>
      </c>
      <c r="AE49" s="15">
        <v>-1.370325912517E-3</v>
      </c>
      <c r="AF49" s="15">
        <v>-1.7071684194699601E-3</v>
      </c>
      <c r="AG49" s="15">
        <v>-1.7271510187071899E-4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1.1984630076602399E-3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1.4374299320957431E-3</v>
      </c>
      <c r="BE49" s="29">
        <f t="shared" si="22"/>
        <v>0</v>
      </c>
      <c r="BF49" s="29">
        <f t="shared" si="23"/>
        <v>2.635892939755983E-3</v>
      </c>
      <c r="BH49" s="29"/>
    </row>
    <row r="50" spans="1:60" x14ac:dyDescent="0.25">
      <c r="A50" s="1">
        <v>46094</v>
      </c>
      <c r="B50" s="33">
        <v>21.14</v>
      </c>
      <c r="C50" s="33">
        <v>25.95</v>
      </c>
      <c r="D50" s="15">
        <v>1.42011858186232E-3</v>
      </c>
      <c r="E50" s="15">
        <v>1.1567381278235101E-3</v>
      </c>
      <c r="F50" s="33">
        <v>0</v>
      </c>
      <c r="G50" s="33">
        <v>9.6000000000000002E-2</v>
      </c>
      <c r="H50" s="33">
        <v>0</v>
      </c>
      <c r="I50" s="33">
        <v>0.100276</v>
      </c>
      <c r="J50" s="33">
        <v>9.6000000000000002E-2</v>
      </c>
      <c r="K50" s="33">
        <v>0.100276</v>
      </c>
      <c r="L50" s="33">
        <v>21.236000000000001</v>
      </c>
      <c r="M50" s="33">
        <v>26.050276</v>
      </c>
      <c r="N50" s="34">
        <v>1.2275307473982899</v>
      </c>
      <c r="O50" s="34">
        <v>1.2284375966208501</v>
      </c>
      <c r="P50" s="34">
        <v>1.22569351398953</v>
      </c>
      <c r="Q50" s="34">
        <v>1.2279106701114499</v>
      </c>
      <c r="R50" s="33">
        <v>25.9691707925648</v>
      </c>
      <c r="S50" s="33">
        <v>25.915276557380501</v>
      </c>
      <c r="T50" s="33">
        <v>25.9609229720411</v>
      </c>
      <c r="U50" s="15">
        <v>7.3848611768998905E-4</v>
      </c>
      <c r="V50" s="15">
        <v>-1.3389863165574199E-3</v>
      </c>
      <c r="W50" s="15">
        <v>4.2083521451722098E-4</v>
      </c>
      <c r="X50" s="34">
        <v>1.22670352232058</v>
      </c>
      <c r="Y50" s="34">
        <v>1.2253439668366699</v>
      </c>
      <c r="Z50" s="34">
        <v>1.22487863224146</v>
      </c>
      <c r="AA50" s="34">
        <v>1.22653318928667</v>
      </c>
      <c r="AB50" s="33">
        <v>26.021404479743499</v>
      </c>
      <c r="AC50" s="33">
        <v>26.0103376685665</v>
      </c>
      <c r="AD50" s="33">
        <v>26.0498700151952</v>
      </c>
      <c r="AE50" s="15">
        <v>-1.1089145942301301E-3</v>
      </c>
      <c r="AF50" s="15">
        <v>-1.5343015171711599E-3</v>
      </c>
      <c r="AG50" s="15">
        <v>-1.5584785678931001E-5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1.1984630076602399E-3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1.4374299320957431E-3</v>
      </c>
      <c r="BE50" s="29">
        <f t="shared" si="22"/>
        <v>0</v>
      </c>
      <c r="BF50" s="29">
        <f t="shared" si="23"/>
        <v>2.635892939755983E-3</v>
      </c>
      <c r="BH50" s="29"/>
    </row>
    <row r="51" spans="1:60" x14ac:dyDescent="0.25">
      <c r="A51" s="1">
        <v>46097</v>
      </c>
      <c r="B51" s="33">
        <v>21.16</v>
      </c>
      <c r="C51" s="33">
        <v>25.94</v>
      </c>
      <c r="D51" s="15">
        <v>9.4562654800703003E-4</v>
      </c>
      <c r="E51" s="15">
        <v>-3.8543072359969099E-4</v>
      </c>
      <c r="F51" s="33">
        <v>0</v>
      </c>
      <c r="G51" s="33">
        <v>9.6000000000000002E-2</v>
      </c>
      <c r="H51" s="33">
        <v>0</v>
      </c>
      <c r="I51" s="33">
        <v>0.100276</v>
      </c>
      <c r="J51" s="33">
        <v>9.6000000000000002E-2</v>
      </c>
      <c r="K51" s="33">
        <v>0.100276</v>
      </c>
      <c r="L51" s="33">
        <v>21.256</v>
      </c>
      <c r="M51" s="33">
        <v>26.040275999999999</v>
      </c>
      <c r="N51" s="34">
        <v>1.2258979206049101</v>
      </c>
      <c r="O51" s="34">
        <v>1.2284375966208501</v>
      </c>
      <c r="P51" s="34">
        <v>1.2257237544386199</v>
      </c>
      <c r="Q51" s="34">
        <v>1.2277496632018901</v>
      </c>
      <c r="R51" s="33">
        <v>25.993739544497299</v>
      </c>
      <c r="S51" s="33">
        <v>25.9356747560185</v>
      </c>
      <c r="T51" s="33">
        <v>25.9825897795582</v>
      </c>
      <c r="U51" s="15">
        <v>2.0695433892968401E-3</v>
      </c>
      <c r="V51" s="15">
        <v>-1.66754225823273E-4</v>
      </c>
      <c r="W51" s="15">
        <v>1.64051097184647E-3</v>
      </c>
      <c r="X51" s="34">
        <v>1.22507884832517</v>
      </c>
      <c r="Y51" s="34">
        <v>1.2253439668366699</v>
      </c>
      <c r="Z51" s="34">
        <v>1.2249077855571899</v>
      </c>
      <c r="AA51" s="34">
        <v>1.22635799821129</v>
      </c>
      <c r="AB51" s="33">
        <v>26.0459113590802</v>
      </c>
      <c r="AC51" s="33">
        <v>26.036020206924601</v>
      </c>
      <c r="AD51" s="33">
        <v>26.071189471477599</v>
      </c>
      <c r="AE51" s="15">
        <v>2.16385932163558E-4</v>
      </c>
      <c r="AF51" s="15">
        <v>-1.63444537912267E-4</v>
      </c>
      <c r="AG51" s="15">
        <v>1.1864366056168201E-3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1.1984630076602399E-3</v>
      </c>
      <c r="AT51" s="12"/>
      <c r="AU51">
        <f t="shared" si="10"/>
        <v>0</v>
      </c>
      <c r="AV51">
        <f t="shared" si="11"/>
        <v>0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1.4374299320957431E-3</v>
      </c>
      <c r="BE51" s="29">
        <f t="shared" si="22"/>
        <v>0</v>
      </c>
      <c r="BF51" s="29">
        <f t="shared" si="23"/>
        <v>2.635892939755983E-3</v>
      </c>
      <c r="BH51" s="29"/>
    </row>
    <row r="52" spans="1:60" x14ac:dyDescent="0.25">
      <c r="A52" s="1">
        <v>46098</v>
      </c>
      <c r="B52" s="33">
        <v>21.16</v>
      </c>
      <c r="C52" s="33">
        <v>25.97</v>
      </c>
      <c r="D52" s="15">
        <v>0</v>
      </c>
      <c r="E52" s="15">
        <v>1.15584678635907E-3</v>
      </c>
      <c r="F52" s="33">
        <v>0</v>
      </c>
      <c r="G52" s="33">
        <v>9.6000000000000002E-2</v>
      </c>
      <c r="H52" s="33">
        <v>0</v>
      </c>
      <c r="I52" s="33">
        <v>0.100276</v>
      </c>
      <c r="J52" s="33">
        <v>9.6000000000000002E-2</v>
      </c>
      <c r="K52" s="33">
        <v>0.100276</v>
      </c>
      <c r="L52" s="33">
        <v>21.256</v>
      </c>
      <c r="M52" s="33">
        <v>26.070276</v>
      </c>
      <c r="N52" s="34">
        <v>1.22731568998109</v>
      </c>
      <c r="O52" s="34">
        <v>1.2284375966208501</v>
      </c>
      <c r="P52" s="34">
        <v>1.2258731638123199</v>
      </c>
      <c r="Q52" s="34">
        <v>1.22764691623241</v>
      </c>
      <c r="R52" s="33">
        <v>25.993739544497299</v>
      </c>
      <c r="S52" s="33">
        <v>25.9363146439213</v>
      </c>
      <c r="T52" s="33">
        <v>25.979182873351998</v>
      </c>
      <c r="U52" s="15">
        <v>9.1369660293762396E-4</v>
      </c>
      <c r="V52" s="15">
        <v>-1.2979292033591099E-3</v>
      </c>
      <c r="W52" s="15">
        <v>3.5353293121337203E-4</v>
      </c>
      <c r="X52" s="34">
        <v>1.2264902145276599</v>
      </c>
      <c r="Y52" s="34">
        <v>1.2253439668366699</v>
      </c>
      <c r="Z52" s="34">
        <v>1.2250559844263</v>
      </c>
      <c r="AA52" s="34">
        <v>1.2262407496224199</v>
      </c>
      <c r="AB52" s="33">
        <v>26.0459113590802</v>
      </c>
      <c r="AC52" s="33">
        <v>26.036639889803801</v>
      </c>
      <c r="AD52" s="33">
        <v>26.067465609979202</v>
      </c>
      <c r="AE52" s="15">
        <v>-9.3501247613924699E-4</v>
      </c>
      <c r="AF52" s="15">
        <v>-1.29104224626723E-3</v>
      </c>
      <c r="AG52" s="15">
        <v>-1.0780635818359801E-4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1.1984630076602399E-3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1.4374299320957431E-3</v>
      </c>
      <c r="BE52" s="29">
        <f t="shared" si="22"/>
        <v>0</v>
      </c>
      <c r="BF52" s="29">
        <f t="shared" si="23"/>
        <v>2.635892939755983E-3</v>
      </c>
      <c r="BH52" s="29"/>
    </row>
    <row r="53" spans="1:60" x14ac:dyDescent="0.25">
      <c r="A53" s="1">
        <v>46099</v>
      </c>
      <c r="B53" s="33">
        <v>21.12</v>
      </c>
      <c r="C53" s="33">
        <v>25.94</v>
      </c>
      <c r="D53" s="15">
        <v>-1.89214815203781E-3</v>
      </c>
      <c r="E53" s="15">
        <v>-1.1558467863591599E-3</v>
      </c>
      <c r="F53" s="33">
        <v>0</v>
      </c>
      <c r="G53" s="33">
        <v>9.6000000000000002E-2</v>
      </c>
      <c r="H53" s="33">
        <v>0</v>
      </c>
      <c r="I53" s="33">
        <v>0.100276</v>
      </c>
      <c r="J53" s="33">
        <v>9.6000000000000002E-2</v>
      </c>
      <c r="K53" s="33">
        <v>0.100276</v>
      </c>
      <c r="L53" s="33">
        <v>21.216000000000001</v>
      </c>
      <c r="M53" s="33">
        <v>26.040275999999999</v>
      </c>
      <c r="N53" s="34">
        <v>1.2282196969696899</v>
      </c>
      <c r="O53" s="34">
        <v>1.2284375966208501</v>
      </c>
      <c r="P53" s="34">
        <v>1.22652510063</v>
      </c>
      <c r="Q53" s="34">
        <v>1.2276073413794</v>
      </c>
      <c r="R53" s="33">
        <v>25.9446020406324</v>
      </c>
      <c r="S53" s="33">
        <v>25.890441219716202</v>
      </c>
      <c r="T53" s="33">
        <v>25.9279028708286</v>
      </c>
      <c r="U53" s="15">
        <v>1.77395237259059E-4</v>
      </c>
      <c r="V53" s="15">
        <v>-1.9123431798269599E-3</v>
      </c>
      <c r="W53" s="15">
        <v>-4.6645916727583301E-4</v>
      </c>
      <c r="X53" s="34">
        <v>1.2273885746606299</v>
      </c>
      <c r="Y53" s="34">
        <v>1.2253439668366699</v>
      </c>
      <c r="Z53" s="34">
        <v>1.2257043340835201</v>
      </c>
      <c r="AA53" s="34">
        <v>1.22618636395605</v>
      </c>
      <c r="AB53" s="33">
        <v>25.9968976004068</v>
      </c>
      <c r="AC53" s="33">
        <v>25.990787765588401</v>
      </c>
      <c r="AD53" s="33">
        <v>26.015923743989301</v>
      </c>
      <c r="AE53" s="15">
        <v>-1.66720852189679E-3</v>
      </c>
      <c r="AF53" s="15">
        <v>-1.9022578341890499E-3</v>
      </c>
      <c r="AG53" s="15">
        <v>-9.3561412115592696E-4</v>
      </c>
      <c r="AI53" s="12"/>
      <c r="AJ53">
        <f t="shared" si="6"/>
        <v>0</v>
      </c>
      <c r="AK53">
        <f t="shared" si="7"/>
        <v>0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1.1984630076602399E-3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1.4374299320957431E-3</v>
      </c>
      <c r="BE53" s="29">
        <f t="shared" si="22"/>
        <v>0</v>
      </c>
      <c r="BF53" s="29">
        <f t="shared" si="23"/>
        <v>2.635892939755983E-3</v>
      </c>
      <c r="BH53" s="29"/>
    </row>
    <row r="54" spans="1:60" x14ac:dyDescent="0.25">
      <c r="A54" s="1">
        <v>46100</v>
      </c>
      <c r="B54" s="33">
        <v>21.09</v>
      </c>
      <c r="C54" s="33">
        <v>25.9</v>
      </c>
      <c r="D54" s="15">
        <v>-1.4214643473775301E-3</v>
      </c>
      <c r="E54" s="15">
        <v>-1.54321018280585E-3</v>
      </c>
      <c r="F54" s="33">
        <v>0</v>
      </c>
      <c r="G54" s="33">
        <v>9.6000000000000002E-2</v>
      </c>
      <c r="H54" s="33">
        <v>0</v>
      </c>
      <c r="I54" s="33">
        <v>0.100276</v>
      </c>
      <c r="J54" s="33">
        <v>9.6000000000000002E-2</v>
      </c>
      <c r="K54" s="33">
        <v>0.100276</v>
      </c>
      <c r="L54" s="33">
        <v>21.186</v>
      </c>
      <c r="M54" s="33">
        <v>26.000275999999999</v>
      </c>
      <c r="N54" s="34">
        <v>1.2280701754385901</v>
      </c>
      <c r="O54" s="34">
        <v>1.2284375966208501</v>
      </c>
      <c r="P54" s="34">
        <v>1.2269636971212301</v>
      </c>
      <c r="Q54" s="34">
        <v>1.22760693224088</v>
      </c>
      <c r="R54" s="33">
        <v>25.907748912733801</v>
      </c>
      <c r="S54" s="33">
        <v>25.867414372286799</v>
      </c>
      <c r="T54" s="33">
        <v>25.8902388296917</v>
      </c>
      <c r="U54" s="15">
        <v>2.9914107268731E-4</v>
      </c>
      <c r="V54" s="15">
        <v>-1.25892445709196E-3</v>
      </c>
      <c r="W54" s="15">
        <v>-3.7695019928261198E-4</v>
      </c>
      <c r="X54" s="34">
        <v>1.2272385537619099</v>
      </c>
      <c r="Y54" s="34">
        <v>1.2253439668366699</v>
      </c>
      <c r="Z54" s="34">
        <v>1.2261402216453401</v>
      </c>
      <c r="AA54" s="34">
        <v>1.22617101701297</v>
      </c>
      <c r="AB54" s="33">
        <v>25.9601372814017</v>
      </c>
      <c r="AC54" s="33">
        <v>25.967772021893399</v>
      </c>
      <c r="AD54" s="33">
        <v>25.9779843067729</v>
      </c>
      <c r="AE54" s="15">
        <v>-1.5449733382592399E-3</v>
      </c>
      <c r="AF54" s="15">
        <v>-1.25092180993092E-3</v>
      </c>
      <c r="AG54" s="15">
        <v>-8.5773146166093E-4</v>
      </c>
      <c r="AI54" s="12"/>
      <c r="AJ54">
        <f t="shared" si="6"/>
        <v>0</v>
      </c>
      <c r="AK54">
        <f t="shared" si="7"/>
        <v>0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1.1984630076602399E-3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1.4374299320957431E-3</v>
      </c>
      <c r="BE54" s="29">
        <f t="shared" si="22"/>
        <v>0</v>
      </c>
      <c r="BF54" s="29">
        <f t="shared" si="23"/>
        <v>2.635892939755983E-3</v>
      </c>
      <c r="BH54" s="29"/>
    </row>
    <row r="55" spans="1:60" x14ac:dyDescent="0.25">
      <c r="A55" s="1">
        <v>46101</v>
      </c>
      <c r="B55" s="33">
        <v>20.96</v>
      </c>
      <c r="C55" s="33">
        <v>25.73</v>
      </c>
      <c r="D55" s="15">
        <v>-6.1831350378418201E-3</v>
      </c>
      <c r="E55" s="15">
        <v>-6.58534241183922E-3</v>
      </c>
      <c r="F55" s="33">
        <v>0</v>
      </c>
      <c r="G55" s="33">
        <v>9.6000000000000002E-2</v>
      </c>
      <c r="H55" s="33">
        <v>0</v>
      </c>
      <c r="I55" s="33">
        <v>0.100276</v>
      </c>
      <c r="J55" s="33">
        <v>9.6000000000000002E-2</v>
      </c>
      <c r="K55" s="33">
        <v>0.100276</v>
      </c>
      <c r="L55" s="33">
        <v>21.056000000000001</v>
      </c>
      <c r="M55" s="33">
        <v>25.830276000000001</v>
      </c>
      <c r="N55" s="34">
        <v>1.22757633587786</v>
      </c>
      <c r="O55" s="34">
        <v>1.2284375966208501</v>
      </c>
      <c r="P55" s="34">
        <v>1.22718015423843</v>
      </c>
      <c r="Q55" s="34">
        <v>1.2275118684377599</v>
      </c>
      <c r="R55" s="33">
        <v>25.748052025173099</v>
      </c>
      <c r="S55" s="33">
        <v>25.717159091661099</v>
      </c>
      <c r="T55" s="33">
        <v>25.730641299769001</v>
      </c>
      <c r="U55" s="15">
        <v>7.0134844668470796E-4</v>
      </c>
      <c r="V55" s="15">
        <v>-4.9918824799091005E-4</v>
      </c>
      <c r="W55" s="15">
        <v>2.4923893402316199E-5</v>
      </c>
      <c r="X55" s="34">
        <v>1.22674183130699</v>
      </c>
      <c r="Y55" s="34">
        <v>1.2253439668366699</v>
      </c>
      <c r="Z55" s="34">
        <v>1.2263545715520101</v>
      </c>
      <c r="AA55" s="34">
        <v>1.2260610242948</v>
      </c>
      <c r="AB55" s="33">
        <v>25.800842565712902</v>
      </c>
      <c r="AC55" s="33">
        <v>25.817608506964302</v>
      </c>
      <c r="AD55" s="33">
        <v>25.8182569342252</v>
      </c>
      <c r="AE55" s="15">
        <v>-1.1401433202742201E-3</v>
      </c>
      <c r="AF55" s="15">
        <v>-4.9053290025787705E-4</v>
      </c>
      <c r="AG55" s="15">
        <v>-4.6541751755293999E-4</v>
      </c>
      <c r="AI55" s="12"/>
      <c r="AJ55">
        <f t="shared" si="6"/>
        <v>0</v>
      </c>
      <c r="AK55">
        <f t="shared" si="7"/>
        <v>0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1.1984630076602399E-3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1.4374299320957431E-3</v>
      </c>
      <c r="BE55" s="29">
        <f t="shared" si="22"/>
        <v>0</v>
      </c>
      <c r="BF55" s="29">
        <f t="shared" si="23"/>
        <v>2.635892939755983E-3</v>
      </c>
      <c r="BH55" s="29"/>
    </row>
    <row r="56" spans="1:60" x14ac:dyDescent="0.25">
      <c r="A56" s="1">
        <v>46104</v>
      </c>
      <c r="B56" s="33">
        <v>20.95</v>
      </c>
      <c r="C56" s="33">
        <v>25.79</v>
      </c>
      <c r="D56" s="15">
        <v>-4.7721308469475299E-4</v>
      </c>
      <c r="E56" s="15">
        <v>2.3291935996004498E-3</v>
      </c>
      <c r="F56" s="33">
        <v>5.0999999999999997E-2</v>
      </c>
      <c r="G56" s="33">
        <v>0.14699999999999999</v>
      </c>
      <c r="H56" s="33">
        <v>0</v>
      </c>
      <c r="I56" s="33">
        <v>0.100276</v>
      </c>
      <c r="J56" s="33">
        <v>0.14699999999999999</v>
      </c>
      <c r="K56" s="33">
        <v>0.100276</v>
      </c>
      <c r="L56" s="33">
        <v>21.096999999999898</v>
      </c>
      <c r="M56" s="33">
        <v>25.890276</v>
      </c>
      <c r="N56" s="34">
        <v>1.23102625298329</v>
      </c>
      <c r="O56" s="34">
        <v>1.2284375966208501</v>
      </c>
      <c r="P56" s="34">
        <v>1.2277886618897</v>
      </c>
      <c r="Q56" s="34">
        <v>1.22756247982466</v>
      </c>
      <c r="R56" s="33">
        <v>25.735767649206899</v>
      </c>
      <c r="S56" s="33">
        <v>25.709424231295198</v>
      </c>
      <c r="T56" s="33">
        <v>25.716373643771199</v>
      </c>
      <c r="U56" s="15">
        <v>-2.10505823761057E-3</v>
      </c>
      <c r="V56" s="15">
        <v>-3.1291936038641398E-3</v>
      </c>
      <c r="W56" s="15">
        <v>-2.8589240969047898E-3</v>
      </c>
      <c r="X56" s="34">
        <v>1.2272017822439201</v>
      </c>
      <c r="Y56" s="34">
        <v>1.2253439668366699</v>
      </c>
      <c r="Z56" s="34">
        <v>1.22666176373687</v>
      </c>
      <c r="AA56" s="34">
        <v>1.22608752409302</v>
      </c>
      <c r="AB56" s="33">
        <v>25.851081668353199</v>
      </c>
      <c r="AC56" s="33">
        <v>25.8724023960329</v>
      </c>
      <c r="AD56" s="33">
        <v>25.8662094295474</v>
      </c>
      <c r="AE56" s="15">
        <v>-1.5150100774210501E-3</v>
      </c>
      <c r="AF56" s="15">
        <v>-6.9059813870936805E-4</v>
      </c>
      <c r="AG56" s="15">
        <v>-9.29992521221134E-4</v>
      </c>
      <c r="AI56" s="12"/>
      <c r="AJ56">
        <f t="shared" si="6"/>
        <v>0</v>
      </c>
      <c r="AK56">
        <f t="shared" si="7"/>
        <v>0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1.1984630076602399E-3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1.4374299320957431E-3</v>
      </c>
      <c r="BE56" s="29">
        <f t="shared" si="22"/>
        <v>0</v>
      </c>
      <c r="BF56" s="29">
        <f t="shared" si="23"/>
        <v>2.635892939755983E-3</v>
      </c>
      <c r="BH56" s="29"/>
    </row>
    <row r="57" spans="1:60" x14ac:dyDescent="0.25">
      <c r="A57" s="1">
        <v>46105</v>
      </c>
      <c r="B57" s="33">
        <v>20.83</v>
      </c>
      <c r="C57" s="33">
        <v>25.62</v>
      </c>
      <c r="D57" s="15">
        <v>-5.7443910952661801E-3</v>
      </c>
      <c r="E57" s="15">
        <v>-6.6135234246651603E-3</v>
      </c>
      <c r="F57" s="33">
        <v>0</v>
      </c>
      <c r="G57" s="33">
        <v>0.14699999999999999</v>
      </c>
      <c r="H57" s="33">
        <v>0</v>
      </c>
      <c r="I57" s="33">
        <v>0.100276</v>
      </c>
      <c r="J57" s="33">
        <v>0.14699999999999999</v>
      </c>
      <c r="K57" s="33">
        <v>0.100276</v>
      </c>
      <c r="L57" s="33">
        <v>20.976999999999901</v>
      </c>
      <c r="M57" s="33">
        <v>25.720275999999998</v>
      </c>
      <c r="N57" s="34">
        <v>1.22995679308689</v>
      </c>
      <c r="O57" s="34">
        <v>1.2284375966208501</v>
      </c>
      <c r="P57" s="34">
        <v>1.2280806200490699</v>
      </c>
      <c r="Q57" s="34">
        <v>1.22741392097573</v>
      </c>
      <c r="R57" s="33">
        <v>25.5883551376124</v>
      </c>
      <c r="S57" s="33">
        <v>25.574837827162501</v>
      </c>
      <c r="T57" s="33">
        <v>25.570126454747601</v>
      </c>
      <c r="U57" s="15">
        <v>-1.2359259082116299E-3</v>
      </c>
      <c r="V57" s="15">
        <v>-1.76432571991567E-3</v>
      </c>
      <c r="W57" s="15">
        <v>-1.94856174371016E-3</v>
      </c>
      <c r="X57" s="34">
        <v>1.22611793869476</v>
      </c>
      <c r="Y57" s="34">
        <v>1.2253439668366699</v>
      </c>
      <c r="Z57" s="34">
        <v>1.2266519876916799</v>
      </c>
      <c r="AA57" s="34">
        <v>1.22591486356827</v>
      </c>
      <c r="AB57" s="33">
        <v>25.7040403923328</v>
      </c>
      <c r="AC57" s="33">
        <v>25.731683817908301</v>
      </c>
      <c r="AD57" s="33">
        <v>25.719637992899401</v>
      </c>
      <c r="AE57" s="15">
        <v>-6.3143700667712402E-4</v>
      </c>
      <c r="AF57" s="15">
        <v>4.4343570723555799E-4</v>
      </c>
      <c r="AG57" s="15">
        <v>-2.4805916303242501E-5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1.1984630076602399E-3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1.4374299320957431E-3</v>
      </c>
      <c r="BE57" s="29">
        <f t="shared" si="22"/>
        <v>0</v>
      </c>
      <c r="BF57" s="29">
        <f t="shared" si="23"/>
        <v>2.635892939755983E-3</v>
      </c>
      <c r="BH57" s="29"/>
    </row>
    <row r="58" spans="1:60" x14ac:dyDescent="0.25">
      <c r="A58" s="1">
        <v>46106</v>
      </c>
      <c r="B58" s="33">
        <v>20.87</v>
      </c>
      <c r="C58" s="33">
        <v>25.64</v>
      </c>
      <c r="D58" s="15">
        <v>1.91846581622892E-3</v>
      </c>
      <c r="E58" s="15">
        <v>7.80335583881104E-4</v>
      </c>
      <c r="F58" s="33">
        <v>0</v>
      </c>
      <c r="G58" s="33">
        <v>0.14699999999999999</v>
      </c>
      <c r="H58" s="33">
        <v>0</v>
      </c>
      <c r="I58" s="33">
        <v>0.100276</v>
      </c>
      <c r="J58" s="33">
        <v>0.14699999999999999</v>
      </c>
      <c r="K58" s="33">
        <v>0.100276</v>
      </c>
      <c r="L58" s="33">
        <v>21.016999999999999</v>
      </c>
      <c r="M58" s="33">
        <v>25.740276000000001</v>
      </c>
      <c r="N58" s="34">
        <v>1.22855773838045</v>
      </c>
      <c r="O58" s="34">
        <v>1.2284375966208501</v>
      </c>
      <c r="P58" s="34">
        <v>1.22820054483051</v>
      </c>
      <c r="Q58" s="34">
        <v>1.2272242295871301</v>
      </c>
      <c r="R58" s="33">
        <v>25.637492641477198</v>
      </c>
      <c r="S58" s="33">
        <v>25.630042540424199</v>
      </c>
      <c r="T58" s="33">
        <v>25.6161285307635</v>
      </c>
      <c r="U58" s="15">
        <v>-9.7795675863735605E-5</v>
      </c>
      <c r="V58" s="15">
        <v>-3.8843188761150498E-4</v>
      </c>
      <c r="W58" s="15">
        <v>-9.3145821374710403E-4</v>
      </c>
      <c r="X58" s="34">
        <v>1.2247359756387599</v>
      </c>
      <c r="Y58" s="34">
        <v>1.2253439668366699</v>
      </c>
      <c r="Z58" s="34">
        <v>1.22647214799035</v>
      </c>
      <c r="AA58" s="34">
        <v>1.2257017182005301</v>
      </c>
      <c r="AB58" s="33">
        <v>25.7530541510063</v>
      </c>
      <c r="AC58" s="33">
        <v>25.780544825316198</v>
      </c>
      <c r="AD58" s="33">
        <v>25.7650526876144</v>
      </c>
      <c r="AE58" s="15">
        <v>4.96303161249558E-4</v>
      </c>
      <c r="AF58" s="15">
        <v>1.56320620949988E-3</v>
      </c>
      <c r="AG58" s="15">
        <v>9.6210198660957196E-4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1.1984630076602399E-3</v>
      </c>
      <c r="AT58" s="12"/>
      <c r="AU58">
        <f t="shared" si="10"/>
        <v>0</v>
      </c>
      <c r="AV58">
        <f t="shared" si="11"/>
        <v>0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1.4374299320957431E-3</v>
      </c>
      <c r="BE58" s="29">
        <f t="shared" si="22"/>
        <v>0</v>
      </c>
      <c r="BF58" s="29">
        <f t="shared" si="23"/>
        <v>2.635892939755983E-3</v>
      </c>
      <c r="BH58" s="29"/>
    </row>
    <row r="59" spans="1:60" x14ac:dyDescent="0.25">
      <c r="A59" s="1">
        <v>46107</v>
      </c>
      <c r="B59" s="33">
        <v>20.82</v>
      </c>
      <c r="C59" s="33">
        <v>25.52</v>
      </c>
      <c r="D59" s="15">
        <v>-2.3986579022865699E-3</v>
      </c>
      <c r="E59" s="15">
        <v>-4.6911735758801603E-3</v>
      </c>
      <c r="F59" s="33">
        <v>0</v>
      </c>
      <c r="G59" s="33">
        <v>0.14699999999999999</v>
      </c>
      <c r="H59" s="33">
        <v>0</v>
      </c>
      <c r="I59" s="33">
        <v>0.100276</v>
      </c>
      <c r="J59" s="33">
        <v>0.14699999999999999</v>
      </c>
      <c r="K59" s="33">
        <v>0.100276</v>
      </c>
      <c r="L59" s="33">
        <v>20.966999999999999</v>
      </c>
      <c r="M59" s="33">
        <v>25.620276</v>
      </c>
      <c r="N59" s="34">
        <v>1.2257444764649299</v>
      </c>
      <c r="O59" s="34">
        <v>1.2284375966208501</v>
      </c>
      <c r="P59" s="34">
        <v>1.2279895827186</v>
      </c>
      <c r="Q59" s="34">
        <v>1.2269388915811601</v>
      </c>
      <c r="R59" s="33">
        <v>25.5760707616462</v>
      </c>
      <c r="S59" s="33">
        <v>25.571135343371399</v>
      </c>
      <c r="T59" s="33">
        <v>25.550808460004099</v>
      </c>
      <c r="U59" s="15">
        <v>2.1947199977297499E-3</v>
      </c>
      <c r="V59" s="15">
        <v>2.0017312241101298E-3</v>
      </c>
      <c r="W59" s="15">
        <v>1.2064999427379901E-3</v>
      </c>
      <c r="X59" s="34">
        <v>1.22193332379453</v>
      </c>
      <c r="Y59" s="34">
        <v>1.2253439668366699</v>
      </c>
      <c r="Z59" s="34">
        <v>1.2259630565274899</v>
      </c>
      <c r="AA59" s="34">
        <v>1.2253929444571501</v>
      </c>
      <c r="AB59" s="33">
        <v>25.691786952664401</v>
      </c>
      <c r="AC59" s="33">
        <v>25.715441526913601</v>
      </c>
      <c r="AD59" s="33">
        <v>25.6992879255106</v>
      </c>
      <c r="AE59" s="15">
        <v>2.78729775600727E-3</v>
      </c>
      <c r="AF59" s="15">
        <v>3.7075798493342599E-3</v>
      </c>
      <c r="AG59" s="15">
        <v>3.0792150944639099E-3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1.1984630076602399E-3</v>
      </c>
      <c r="AT59" s="12"/>
      <c r="AU59">
        <f t="shared" si="10"/>
        <v>1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1.4374299320957431E-3</v>
      </c>
      <c r="BE59" s="29">
        <f t="shared" si="22"/>
        <v>0</v>
      </c>
      <c r="BF59" s="29">
        <f t="shared" si="23"/>
        <v>2.635892939755983E-3</v>
      </c>
      <c r="BH59" s="29"/>
    </row>
    <row r="60" spans="1:60" x14ac:dyDescent="0.25">
      <c r="A60" s="1">
        <v>46108</v>
      </c>
      <c r="B60" s="33">
        <v>20.79</v>
      </c>
      <c r="C60" s="33">
        <v>25.6</v>
      </c>
      <c r="D60" s="15">
        <v>-1.44196131690129E-3</v>
      </c>
      <c r="E60" s="15">
        <v>3.1298930089277799E-3</v>
      </c>
      <c r="F60" s="33">
        <v>0</v>
      </c>
      <c r="G60" s="33">
        <v>0.14699999999999999</v>
      </c>
      <c r="H60" s="33">
        <v>0</v>
      </c>
      <c r="I60" s="33">
        <v>0.100276</v>
      </c>
      <c r="J60" s="33">
        <v>0.14699999999999999</v>
      </c>
      <c r="K60" s="33">
        <v>0.100276</v>
      </c>
      <c r="L60" s="33">
        <v>20.936999999999902</v>
      </c>
      <c r="M60" s="33">
        <v>25.700275999999999</v>
      </c>
      <c r="N60" s="34">
        <v>1.2313612313612301</v>
      </c>
      <c r="O60" s="34">
        <v>1.2284375966208501</v>
      </c>
      <c r="P60" s="34">
        <v>1.2283726311148899</v>
      </c>
      <c r="Q60" s="34">
        <v>1.2270330725522101</v>
      </c>
      <c r="R60" s="33">
        <v>25.539217633747501</v>
      </c>
      <c r="S60" s="33">
        <v>25.529903424719699</v>
      </c>
      <c r="T60" s="33">
        <v>25.508059555972402</v>
      </c>
      <c r="U60" s="15">
        <v>-2.3771343280992799E-3</v>
      </c>
      <c r="V60" s="15">
        <v>-2.7419030547991001E-3</v>
      </c>
      <c r="W60" s="15">
        <v>-3.59788823936898E-3</v>
      </c>
      <c r="X60" s="34">
        <v>1.2275051822133001</v>
      </c>
      <c r="Y60" s="34">
        <v>1.2253439668366699</v>
      </c>
      <c r="Z60" s="34">
        <v>1.2260432225167599</v>
      </c>
      <c r="AA60" s="34">
        <v>1.2254609273791099</v>
      </c>
      <c r="AB60" s="33">
        <v>25.6550266336593</v>
      </c>
      <c r="AC60" s="33">
        <v>25.6679885145161</v>
      </c>
      <c r="AD60" s="33">
        <v>25.656052078099499</v>
      </c>
      <c r="AE60" s="15">
        <v>-1.76220860280416E-3</v>
      </c>
      <c r="AF60" s="15">
        <v>-1.2570987180883801E-3</v>
      </c>
      <c r="AG60" s="15">
        <v>-1.7222388938821201E-3</v>
      </c>
      <c r="AI60" s="12"/>
      <c r="AJ60">
        <f t="shared" si="6"/>
        <v>1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1.1984630076602399E-3</v>
      </c>
      <c r="AT60" s="12"/>
      <c r="AU60">
        <f t="shared" si="10"/>
        <v>0</v>
      </c>
      <c r="AV60">
        <f t="shared" si="11"/>
        <v>1</v>
      </c>
      <c r="AW60">
        <f t="shared" si="18"/>
        <v>1</v>
      </c>
      <c r="AX60">
        <f t="shared" si="5"/>
        <v>1</v>
      </c>
      <c r="AY60">
        <f t="shared" si="19"/>
        <v>1</v>
      </c>
      <c r="AZ60" s="28">
        <f t="shared" si="12"/>
        <v>1.44196131690129E-3</v>
      </c>
      <c r="BA60" s="28">
        <f t="shared" si="13"/>
        <v>3.1298930089277799E-3</v>
      </c>
      <c r="BB60" s="28">
        <f t="shared" si="20"/>
        <v>4.5718543258290696E-3</v>
      </c>
      <c r="BC60" s="29">
        <f t="shared" si="21"/>
        <v>6.0092842579248127E-3</v>
      </c>
      <c r="BE60" s="29">
        <f t="shared" si="22"/>
        <v>4.5718543258290696E-3</v>
      </c>
      <c r="BF60" s="29">
        <f t="shared" si="23"/>
        <v>7.2077472655850527E-3</v>
      </c>
      <c r="BH60" s="29"/>
    </row>
    <row r="61" spans="1:60" x14ac:dyDescent="0.25">
      <c r="A61" s="1">
        <v>46111</v>
      </c>
      <c r="B61" s="33">
        <v>20.84</v>
      </c>
      <c r="C61" s="33">
        <v>25.63</v>
      </c>
      <c r="D61" s="15">
        <v>2.4021150152446101E-3</v>
      </c>
      <c r="E61" s="15">
        <v>1.17118889046277E-3</v>
      </c>
      <c r="F61" s="33">
        <v>0</v>
      </c>
      <c r="G61" s="33">
        <v>0.14699999999999999</v>
      </c>
      <c r="H61" s="33">
        <v>0</v>
      </c>
      <c r="I61" s="33">
        <v>0.100276</v>
      </c>
      <c r="J61" s="33">
        <v>0.14699999999999999</v>
      </c>
      <c r="K61" s="33">
        <v>0.100276</v>
      </c>
      <c r="L61" s="33">
        <v>20.986999999999998</v>
      </c>
      <c r="M61" s="33">
        <v>25.730276</v>
      </c>
      <c r="N61" s="34">
        <v>1.2298464491362699</v>
      </c>
      <c r="O61" s="34">
        <v>1.2284375966208501</v>
      </c>
      <c r="P61" s="34">
        <v>1.22876748396803</v>
      </c>
      <c r="Q61" s="34">
        <v>1.2272456192033301</v>
      </c>
      <c r="R61" s="33">
        <v>25.600639513578599</v>
      </c>
      <c r="S61" s="33">
        <v>25.599285632434398</v>
      </c>
      <c r="T61" s="33">
        <v>25.571369231988101</v>
      </c>
      <c r="U61" s="15">
        <v>-1.14620820331746E-3</v>
      </c>
      <c r="V61" s="15">
        <v>-1.1990942628429999E-3</v>
      </c>
      <c r="W61" s="15">
        <v>-2.2902041300061301E-3</v>
      </c>
      <c r="X61" s="34">
        <v>1.22601019678848</v>
      </c>
      <c r="Y61" s="34">
        <v>1.2253439668366699</v>
      </c>
      <c r="Z61" s="34">
        <v>1.2261363573630899</v>
      </c>
      <c r="AA61" s="34">
        <v>1.22552207146014</v>
      </c>
      <c r="AB61" s="33">
        <v>25.716293832001199</v>
      </c>
      <c r="AC61" s="33">
        <v>25.7309691109594</v>
      </c>
      <c r="AD61" s="33">
        <v>25.7187484829055</v>
      </c>
      <c r="AE61" s="15">
        <v>-5.4356076172636201E-4</v>
      </c>
      <c r="AF61" s="15">
        <v>2.69372013038735E-5</v>
      </c>
      <c r="AG61" s="15">
        <v>-4.4811412473724901E-4</v>
      </c>
      <c r="AI61" s="12"/>
      <c r="AJ61">
        <f t="shared" si="6"/>
        <v>0</v>
      </c>
      <c r="AK61">
        <f t="shared" si="7"/>
        <v>0</v>
      </c>
      <c r="AL61">
        <f t="shared" si="14"/>
        <v>1</v>
      </c>
      <c r="AM61">
        <f t="shared" si="4"/>
        <v>1</v>
      </c>
      <c r="AN61">
        <f t="shared" si="15"/>
        <v>1</v>
      </c>
      <c r="AO61" s="28">
        <f t="shared" si="8"/>
        <v>2.4021150152446101E-3</v>
      </c>
      <c r="AP61" s="28">
        <f t="shared" si="9"/>
        <v>-1.17118889046277E-3</v>
      </c>
      <c r="AQ61" s="28">
        <f t="shared" si="16"/>
        <v>1.2309261247818401E-3</v>
      </c>
      <c r="AR61" s="29">
        <f t="shared" si="17"/>
        <v>2.42938913244208E-3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6.0092842579248127E-3</v>
      </c>
      <c r="BE61" s="29">
        <f t="shared" si="22"/>
        <v>1.2309261247818401E-3</v>
      </c>
      <c r="BF61" s="29">
        <f t="shared" si="23"/>
        <v>8.4386733903668923E-3</v>
      </c>
      <c r="BH61" s="29"/>
    </row>
    <row r="62" spans="1:60" x14ac:dyDescent="0.25">
      <c r="A62" s="1">
        <v>46112</v>
      </c>
      <c r="B62" s="33">
        <v>20.88</v>
      </c>
      <c r="C62" s="33">
        <v>25.66</v>
      </c>
      <c r="D62" s="15">
        <v>1.91754612927185E-3</v>
      </c>
      <c r="E62" s="15">
        <v>1.16981881151077E-3</v>
      </c>
      <c r="F62" s="33">
        <v>0</v>
      </c>
      <c r="G62" s="33">
        <v>0.14699999999999999</v>
      </c>
      <c r="H62" s="33">
        <v>0</v>
      </c>
      <c r="I62" s="33">
        <v>0.100276</v>
      </c>
      <c r="J62" s="33">
        <v>0.14699999999999999</v>
      </c>
      <c r="K62" s="33">
        <v>0.100276</v>
      </c>
      <c r="L62" s="33">
        <v>21.026999999999902</v>
      </c>
      <c r="M62" s="33">
        <v>25.760276000000001</v>
      </c>
      <c r="N62" s="34">
        <v>1.2289272030651299</v>
      </c>
      <c r="O62" s="34">
        <v>1.2284375966208501</v>
      </c>
      <c r="P62" s="34">
        <v>1.2289286352764299</v>
      </c>
      <c r="Q62" s="34">
        <v>1.2274008995443799</v>
      </c>
      <c r="R62" s="33">
        <v>25.649777017443402</v>
      </c>
      <c r="S62" s="33">
        <v>25.656665065252501</v>
      </c>
      <c r="T62" s="33">
        <v>25.624888528965499</v>
      </c>
      <c r="U62" s="15">
        <v>-3.9848088555626601E-4</v>
      </c>
      <c r="V62" s="15">
        <v>-1.2997472645245999E-4</v>
      </c>
      <c r="W62" s="15">
        <v>-1.3692718275291E-3</v>
      </c>
      <c r="X62" s="34">
        <v>1.22510467494174</v>
      </c>
      <c r="Y62" s="34">
        <v>1.2253439668366699</v>
      </c>
      <c r="Z62" s="34">
        <v>1.2259978034045</v>
      </c>
      <c r="AA62" s="34">
        <v>1.2255268939154</v>
      </c>
      <c r="AB62" s="33">
        <v>25.765307590674599</v>
      </c>
      <c r="AC62" s="33">
        <v>25.781969186273798</v>
      </c>
      <c r="AD62" s="33">
        <v>25.769052596592498</v>
      </c>
      <c r="AE62" s="15">
        <v>1.9530455901859399E-4</v>
      </c>
      <c r="AF62" s="15">
        <v>8.4176339142335698E-4</v>
      </c>
      <c r="AG62" s="15">
        <v>3.4064471307676802E-4</v>
      </c>
      <c r="AI62" s="12"/>
      <c r="AJ62">
        <f t="shared" si="6"/>
        <v>0</v>
      </c>
      <c r="AK62">
        <f t="shared" si="7"/>
        <v>1</v>
      </c>
      <c r="AL62">
        <f t="shared" si="14"/>
        <v>1</v>
      </c>
      <c r="AM62">
        <f t="shared" si="4"/>
        <v>0</v>
      </c>
      <c r="AN62">
        <f t="shared" si="15"/>
        <v>1</v>
      </c>
      <c r="AO62" s="28">
        <f t="shared" si="8"/>
        <v>1.91754612927185E-3</v>
      </c>
      <c r="AP62" s="28">
        <f t="shared" si="9"/>
        <v>-1.16981881151077E-3</v>
      </c>
      <c r="AQ62" s="28">
        <f t="shared" si="16"/>
        <v>7.4772731776107993E-4</v>
      </c>
      <c r="AR62" s="29">
        <f t="shared" si="17"/>
        <v>3.1771164502031601E-3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6.0092842579248127E-3</v>
      </c>
      <c r="BE62" s="29">
        <f t="shared" si="22"/>
        <v>7.4772731776107993E-4</v>
      </c>
      <c r="BF62" s="29">
        <f t="shared" si="23"/>
        <v>9.186400708127972E-3</v>
      </c>
      <c r="BH62" s="29"/>
    </row>
    <row r="63" spans="1:60" x14ac:dyDescent="0.25">
      <c r="A63" s="1">
        <v>46113</v>
      </c>
      <c r="B63" s="33">
        <v>20.94</v>
      </c>
      <c r="C63" s="33">
        <v>25.66</v>
      </c>
      <c r="D63" s="15">
        <v>2.8694424279529598E-3</v>
      </c>
      <c r="E63" s="15">
        <v>0</v>
      </c>
      <c r="F63" s="33">
        <v>0</v>
      </c>
      <c r="G63" s="33">
        <v>0.14699999999999999</v>
      </c>
      <c r="H63" s="33">
        <v>5.1423000000000003E-2</v>
      </c>
      <c r="I63" s="33">
        <v>0.151699</v>
      </c>
      <c r="J63" s="33">
        <v>0.14699999999999999</v>
      </c>
      <c r="K63" s="33">
        <v>0.151699</v>
      </c>
      <c r="L63" s="33">
        <v>21.087</v>
      </c>
      <c r="M63" s="33">
        <v>25.811699000000001</v>
      </c>
      <c r="N63" s="34">
        <v>1.2254059216809901</v>
      </c>
      <c r="O63" s="34">
        <v>1.2284375966208501</v>
      </c>
      <c r="P63" s="34">
        <v>1.22864725774756</v>
      </c>
      <c r="Q63" s="34">
        <v>1.2275861791887801</v>
      </c>
      <c r="R63" s="33">
        <v>25.723483273240699</v>
      </c>
      <c r="S63" s="33">
        <v>25.733765622688601</v>
      </c>
      <c r="T63" s="33">
        <v>25.7017748364593</v>
      </c>
      <c r="U63" s="15">
        <v>2.47096154239664E-3</v>
      </c>
      <c r="V63" s="15">
        <v>2.87060784317454E-3</v>
      </c>
      <c r="W63" s="15">
        <v>1.6266901135767501E-3</v>
      </c>
      <c r="X63" s="34">
        <v>1.2240574287475601</v>
      </c>
      <c r="Y63" s="34">
        <v>1.2253439668366699</v>
      </c>
      <c r="Z63" s="34">
        <v>1.2256646888131999</v>
      </c>
      <c r="AA63" s="34">
        <v>1.2256845114483601</v>
      </c>
      <c r="AB63" s="33">
        <v>25.8388282286848</v>
      </c>
      <c r="AC63" s="33">
        <v>25.852615680390802</v>
      </c>
      <c r="AD63" s="33">
        <v>25.842685611994099</v>
      </c>
      <c r="AE63" s="15">
        <v>1.0504919363011199E-3</v>
      </c>
      <c r="AF63" s="15">
        <v>1.5839439349395099E-3</v>
      </c>
      <c r="AG63" s="15">
        <v>1.1997671037554201E-3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3.1771164502031601E-3</v>
      </c>
      <c r="AT63" s="12"/>
      <c r="AU63">
        <f t="shared" si="10"/>
        <v>0</v>
      </c>
      <c r="AV63">
        <f t="shared" si="11"/>
        <v>0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6.0092842579248127E-3</v>
      </c>
      <c r="BE63" s="29">
        <f t="shared" si="22"/>
        <v>0</v>
      </c>
      <c r="BF63" s="29">
        <f t="shared" si="23"/>
        <v>9.186400708127972E-3</v>
      </c>
      <c r="BH63" s="29"/>
    </row>
    <row r="64" spans="1:60" x14ac:dyDescent="0.25">
      <c r="A64" s="1">
        <v>46114</v>
      </c>
      <c r="B64" s="33">
        <v>20.91</v>
      </c>
      <c r="C64" s="33">
        <v>25.69</v>
      </c>
      <c r="D64" s="15">
        <v>-1.4336920018486899E-3</v>
      </c>
      <c r="E64" s="15">
        <v>1.1684519343019E-3</v>
      </c>
      <c r="F64" s="33">
        <v>0</v>
      </c>
      <c r="G64" s="33">
        <v>0.14699999999999999</v>
      </c>
      <c r="H64" s="33">
        <v>0</v>
      </c>
      <c r="I64" s="33">
        <v>0.151699</v>
      </c>
      <c r="J64" s="33">
        <v>0.14699999999999999</v>
      </c>
      <c r="K64" s="33">
        <v>0.151699</v>
      </c>
      <c r="L64" s="33">
        <v>21.056999999999999</v>
      </c>
      <c r="M64" s="33">
        <v>25.841698999999998</v>
      </c>
      <c r="N64" s="34">
        <v>1.2285987565758001</v>
      </c>
      <c r="O64" s="34">
        <v>1.2284375966208501</v>
      </c>
      <c r="P64" s="34">
        <v>1.22870011586128</v>
      </c>
      <c r="Q64" s="34">
        <v>1.22783190649126</v>
      </c>
      <c r="R64" s="33">
        <v>25.686630145342001</v>
      </c>
      <c r="S64" s="33">
        <v>25.691014159501599</v>
      </c>
      <c r="T64" s="33">
        <v>25.6688270068375</v>
      </c>
      <c r="U64" s="15">
        <v>-1.3118239375391899E-4</v>
      </c>
      <c r="V64" s="15">
        <v>3.9476040648368202E-5</v>
      </c>
      <c r="W64" s="15">
        <v>-8.2451238067111205E-4</v>
      </c>
      <c r="X64" s="34">
        <v>1.22722605309398</v>
      </c>
      <c r="Y64" s="34">
        <v>1.2253439668366699</v>
      </c>
      <c r="Z64" s="34">
        <v>1.2256634387464</v>
      </c>
      <c r="AA64" s="34">
        <v>1.22590183019587</v>
      </c>
      <c r="AB64" s="33">
        <v>25.8020679096797</v>
      </c>
      <c r="AC64" s="33">
        <v>25.8088213523395</v>
      </c>
      <c r="AD64" s="33">
        <v>25.809238757568099</v>
      </c>
      <c r="AE64" s="15">
        <v>-1.53478727332256E-3</v>
      </c>
      <c r="AF64" s="15">
        <v>-1.2730811568467399E-3</v>
      </c>
      <c r="AG64" s="15">
        <v>-1.25690832014212E-3</v>
      </c>
      <c r="AI64" s="12"/>
      <c r="AJ64">
        <f t="shared" si="6"/>
        <v>1</v>
      </c>
      <c r="AK64">
        <f t="shared" si="7"/>
        <v>0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3.1771164502031601E-3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6.0092842579248127E-3</v>
      </c>
      <c r="BE64" s="29">
        <f t="shared" si="22"/>
        <v>0</v>
      </c>
      <c r="BF64" s="29">
        <f t="shared" si="23"/>
        <v>9.186400708127972E-3</v>
      </c>
      <c r="BH64" s="29"/>
    </row>
    <row r="65" spans="1:60" x14ac:dyDescent="0.25">
      <c r="A65" s="1">
        <v>46118</v>
      </c>
      <c r="B65" s="33">
        <v>20.93</v>
      </c>
      <c r="C65" s="33">
        <v>25.69</v>
      </c>
      <c r="D65" s="15">
        <v>9.56023017366174E-4</v>
      </c>
      <c r="E65" s="15">
        <v>0</v>
      </c>
      <c r="F65" s="33">
        <v>0</v>
      </c>
      <c r="G65" s="33">
        <v>0.14699999999999999</v>
      </c>
      <c r="H65" s="33">
        <v>0</v>
      </c>
      <c r="I65" s="33">
        <v>0.151699</v>
      </c>
      <c r="J65" s="33">
        <v>0.14699999999999999</v>
      </c>
      <c r="K65" s="33">
        <v>0.151699</v>
      </c>
      <c r="L65" s="33">
        <v>21.076999999999899</v>
      </c>
      <c r="M65" s="33">
        <v>25.841698999999998</v>
      </c>
      <c r="N65" s="34">
        <v>1.2274247491638699</v>
      </c>
      <c r="O65" s="34">
        <v>1.2284375966208501</v>
      </c>
      <c r="P65" s="34">
        <v>1.2286849571898799</v>
      </c>
      <c r="Q65" s="34">
        <v>1.22793255571416</v>
      </c>
      <c r="R65" s="33">
        <v>25.7111988972745</v>
      </c>
      <c r="S65" s="33">
        <v>25.7166934249767</v>
      </c>
      <c r="T65" s="33">
        <v>25.6985218028621</v>
      </c>
      <c r="U65" s="15">
        <v>8.2484062361232104E-4</v>
      </c>
      <c r="V65" s="15">
        <v>1.03851952333125E-3</v>
      </c>
      <c r="W65" s="15">
        <v>3.3166172683139202E-4</v>
      </c>
      <c r="X65" s="34">
        <v>1.22606153627176</v>
      </c>
      <c r="Y65" s="34">
        <v>1.2253439668366699</v>
      </c>
      <c r="Z65" s="34">
        <v>1.22559540924288</v>
      </c>
      <c r="AA65" s="34">
        <v>1.2259749903974499</v>
      </c>
      <c r="AB65" s="33">
        <v>25.826574789016501</v>
      </c>
      <c r="AC65" s="33">
        <v>25.833308298458</v>
      </c>
      <c r="AD65" s="33">
        <v>25.8383328750384</v>
      </c>
      <c r="AE65" s="15">
        <v>-5.8543513480655896E-4</v>
      </c>
      <c r="AF65" s="15">
        <v>-3.2474892813361302E-4</v>
      </c>
      <c r="AG65" s="15">
        <v>-1.3026791370676901E-4</v>
      </c>
      <c r="AI65" s="12"/>
      <c r="AJ65">
        <f t="shared" si="6"/>
        <v>0</v>
      </c>
      <c r="AK65">
        <f t="shared" si="7"/>
        <v>1</v>
      </c>
      <c r="AL65">
        <f t="shared" si="14"/>
        <v>1</v>
      </c>
      <c r="AM65">
        <f t="shared" si="4"/>
        <v>1</v>
      </c>
      <c r="AN65">
        <f t="shared" si="15"/>
        <v>1</v>
      </c>
      <c r="AO65" s="28">
        <f t="shared" si="8"/>
        <v>9.56023017366174E-4</v>
      </c>
      <c r="AP65" s="28">
        <f t="shared" si="9"/>
        <v>0</v>
      </c>
      <c r="AQ65" s="28">
        <f t="shared" si="16"/>
        <v>9.56023017366174E-4</v>
      </c>
      <c r="AR65" s="29">
        <f t="shared" si="17"/>
        <v>4.133139467569334E-3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6.0092842579248127E-3</v>
      </c>
      <c r="BE65" s="29">
        <f t="shared" si="22"/>
        <v>9.56023017366174E-4</v>
      </c>
      <c r="BF65" s="29">
        <f t="shared" si="23"/>
        <v>1.0142423725494147E-2</v>
      </c>
      <c r="BH65" s="29"/>
    </row>
    <row r="66" spans="1:60" x14ac:dyDescent="0.25">
      <c r="A66" s="1">
        <v>46119</v>
      </c>
      <c r="B66" s="33">
        <v>20.96</v>
      </c>
      <c r="C66" s="33">
        <v>25.65</v>
      </c>
      <c r="D66" s="15">
        <v>1.4323229949331101E-3</v>
      </c>
      <c r="E66" s="15">
        <v>-1.5582395050137499E-3</v>
      </c>
      <c r="F66" s="33">
        <v>0</v>
      </c>
      <c r="G66" s="33">
        <v>0.14699999999999999</v>
      </c>
      <c r="H66" s="33">
        <v>0</v>
      </c>
      <c r="I66" s="33">
        <v>0.151699</v>
      </c>
      <c r="J66" s="33">
        <v>0.14699999999999999</v>
      </c>
      <c r="K66" s="33">
        <v>0.151699</v>
      </c>
      <c r="L66" s="33">
        <v>21.106999999999999</v>
      </c>
      <c r="M66" s="33">
        <v>25.801698999999999</v>
      </c>
      <c r="N66" s="34">
        <v>1.22375954198473</v>
      </c>
      <c r="O66" s="34">
        <v>1.2284375966208501</v>
      </c>
      <c r="P66" s="34">
        <v>1.22795828609003</v>
      </c>
      <c r="Q66" s="34">
        <v>1.22787347398986</v>
      </c>
      <c r="R66" s="33">
        <v>25.748052025173099</v>
      </c>
      <c r="S66" s="33">
        <v>25.753236702700001</v>
      </c>
      <c r="T66" s="33">
        <v>25.7374663677688</v>
      </c>
      <c r="U66" s="15">
        <v>3.8154031235589601E-3</v>
      </c>
      <c r="V66" s="15">
        <v>4.0167447859723697E-3</v>
      </c>
      <c r="W66" s="15">
        <v>3.4041939958707199E-3</v>
      </c>
      <c r="X66" s="34">
        <v>1.2224237930544299</v>
      </c>
      <c r="Y66" s="34">
        <v>1.2253439668366699</v>
      </c>
      <c r="Z66" s="34">
        <v>1.2251176103239301</v>
      </c>
      <c r="AA66" s="34">
        <v>1.2258896870303999</v>
      </c>
      <c r="AB66" s="33">
        <v>25.863335108021602</v>
      </c>
      <c r="AC66" s="33">
        <v>25.868642302889501</v>
      </c>
      <c r="AD66" s="33">
        <v>25.8766541223189</v>
      </c>
      <c r="AE66" s="15">
        <v>2.3859903831162299E-3</v>
      </c>
      <c r="AF66" s="15">
        <v>2.5911708209098399E-3</v>
      </c>
      <c r="AG66" s="15">
        <v>2.9008345023244899E-3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4.133139467569334E-3</v>
      </c>
      <c r="AT66" s="12"/>
      <c r="AU66">
        <f t="shared" si="10"/>
        <v>1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6.0092842579248127E-3</v>
      </c>
      <c r="BE66" s="29">
        <f t="shared" si="22"/>
        <v>0</v>
      </c>
      <c r="BF66" s="29">
        <f t="shared" si="23"/>
        <v>1.0142423725494147E-2</v>
      </c>
      <c r="BH66" s="29"/>
    </row>
    <row r="67" spans="1:60" x14ac:dyDescent="0.25">
      <c r="A67" s="1">
        <v>46120</v>
      </c>
      <c r="B67" s="33">
        <v>21.02</v>
      </c>
      <c r="C67" s="33">
        <v>25.79</v>
      </c>
      <c r="D67" s="15">
        <v>2.8585059959636699E-3</v>
      </c>
      <c r="E67" s="15">
        <v>5.4432482764749301E-3</v>
      </c>
      <c r="F67" s="33">
        <v>0</v>
      </c>
      <c r="G67" s="33">
        <v>0.14699999999999999</v>
      </c>
      <c r="H67" s="33">
        <v>0</v>
      </c>
      <c r="I67" s="33">
        <v>0.151699</v>
      </c>
      <c r="J67" s="33">
        <v>0.14699999999999999</v>
      </c>
      <c r="K67" s="33">
        <v>0.151699</v>
      </c>
      <c r="L67" s="33">
        <v>21.166999999999899</v>
      </c>
      <c r="M67" s="33">
        <v>25.941699</v>
      </c>
      <c r="N67" s="34">
        <v>1.22692673644148</v>
      </c>
      <c r="O67" s="34">
        <v>1.2284375966208501</v>
      </c>
      <c r="P67" s="34">
        <v>1.2276552804254901</v>
      </c>
      <c r="Q67" s="34">
        <v>1.22786795023728</v>
      </c>
      <c r="R67" s="33">
        <v>25.8217582809703</v>
      </c>
      <c r="S67" s="33">
        <v>25.811683173612401</v>
      </c>
      <c r="T67" s="33">
        <v>25.809900423266999</v>
      </c>
      <c r="U67" s="15">
        <v>1.2306608430478099E-3</v>
      </c>
      <c r="V67" s="15">
        <v>8.40405721485614E-4</v>
      </c>
      <c r="W67" s="15">
        <v>7.7133576190919096E-4</v>
      </c>
      <c r="X67" s="34">
        <v>1.2255727783814401</v>
      </c>
      <c r="Y67" s="34">
        <v>1.2253439668366699</v>
      </c>
      <c r="Z67" s="34">
        <v>1.2250630942926</v>
      </c>
      <c r="AA67" s="34">
        <v>1.2258575409921399</v>
      </c>
      <c r="AB67" s="33">
        <v>25.936855746031799</v>
      </c>
      <c r="AC67" s="33">
        <v>25.9320644577267</v>
      </c>
      <c r="AD67" s="33">
        <v>25.948407005372498</v>
      </c>
      <c r="AE67" s="15">
        <v>-1.86715069683961E-4</v>
      </c>
      <c r="AF67" s="15">
        <v>-3.7146109099591101E-4</v>
      </c>
      <c r="AG67" s="15">
        <v>2.5854660652307402E-4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4.133139467569334E-3</v>
      </c>
      <c r="AT67" s="12"/>
      <c r="AU67">
        <f t="shared" si="10"/>
        <v>0</v>
      </c>
      <c r="AV67">
        <f t="shared" si="11"/>
        <v>1</v>
      </c>
      <c r="AW67">
        <f t="shared" si="18"/>
        <v>1</v>
      </c>
      <c r="AX67">
        <f t="shared" si="5"/>
        <v>1</v>
      </c>
      <c r="AY67">
        <f t="shared" si="19"/>
        <v>1</v>
      </c>
      <c r="AZ67" s="28">
        <f t="shared" si="12"/>
        <v>-2.8585059959636699E-3</v>
      </c>
      <c r="BA67" s="28">
        <f t="shared" si="13"/>
        <v>5.4432482764749301E-3</v>
      </c>
      <c r="BB67" s="28">
        <f t="shared" si="20"/>
        <v>2.5847422805112602E-3</v>
      </c>
      <c r="BC67" s="29">
        <f t="shared" si="21"/>
        <v>8.5940265384360729E-3</v>
      </c>
      <c r="BE67" s="29">
        <f t="shared" si="22"/>
        <v>2.5847422805112602E-3</v>
      </c>
      <c r="BF67" s="29">
        <f t="shared" si="23"/>
        <v>1.2727166006005406E-2</v>
      </c>
      <c r="BH67" s="29"/>
    </row>
    <row r="68" spans="1:60" x14ac:dyDescent="0.25">
      <c r="A68" s="1">
        <v>46121</v>
      </c>
      <c r="B68" s="33">
        <v>21</v>
      </c>
      <c r="C68" s="33">
        <v>25.75</v>
      </c>
      <c r="D68" s="15">
        <v>-9.5192772538206895E-4</v>
      </c>
      <c r="E68" s="15">
        <v>-1.55219278350817E-3</v>
      </c>
      <c r="F68" s="33">
        <v>0</v>
      </c>
      <c r="G68" s="33">
        <v>0.14699999999999999</v>
      </c>
      <c r="H68" s="33">
        <v>0</v>
      </c>
      <c r="I68" s="33">
        <v>0.151699</v>
      </c>
      <c r="J68" s="33">
        <v>0.14699999999999999</v>
      </c>
      <c r="K68" s="33">
        <v>0.151699</v>
      </c>
      <c r="L68" s="33">
        <v>21.146999999999998</v>
      </c>
      <c r="M68" s="33">
        <v>25.901699000000001</v>
      </c>
      <c r="N68" s="34">
        <v>1.2261904761904701</v>
      </c>
      <c r="O68" s="34">
        <v>1.2284375966208501</v>
      </c>
      <c r="P68" s="34">
        <v>1.2274185542064899</v>
      </c>
      <c r="Q68" s="34">
        <v>1.2278095495185</v>
      </c>
      <c r="R68" s="33">
        <v>25.797189529037901</v>
      </c>
      <c r="S68" s="33">
        <v>25.780760888935301</v>
      </c>
      <c r="T68" s="33">
        <v>25.7852269549829</v>
      </c>
      <c r="U68" s="15">
        <v>1.8309259011739E-3</v>
      </c>
      <c r="V68" s="15">
        <v>1.19388466455639E-3</v>
      </c>
      <c r="W68" s="15">
        <v>1.3671021765462399E-3</v>
      </c>
      <c r="X68" s="34">
        <v>1.2248403556059899</v>
      </c>
      <c r="Y68" s="34">
        <v>1.2253439668366699</v>
      </c>
      <c r="Z68" s="34">
        <v>1.22507353228932</v>
      </c>
      <c r="AA68" s="34">
        <v>1.22577284013983</v>
      </c>
      <c r="AB68" s="33">
        <v>25.912348866695002</v>
      </c>
      <c r="AC68" s="33">
        <v>25.906409255005599</v>
      </c>
      <c r="AD68" s="33">
        <v>25.923209419360902</v>
      </c>
      <c r="AE68" s="15">
        <v>4.11080287433155E-4</v>
      </c>
      <c r="AF68" s="15">
        <v>1.8183466555037701E-4</v>
      </c>
      <c r="AG68" s="15">
        <v>8.3011900077400904E-4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4.133139467569334E-3</v>
      </c>
      <c r="AT68" s="12"/>
      <c r="AU68">
        <f t="shared" si="10"/>
        <v>0</v>
      </c>
      <c r="AV68">
        <f t="shared" si="11"/>
        <v>0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8.5940265384360729E-3</v>
      </c>
      <c r="BE68" s="29">
        <f t="shared" si="22"/>
        <v>0</v>
      </c>
      <c r="BF68" s="29">
        <f t="shared" si="23"/>
        <v>1.2727166006005406E-2</v>
      </c>
      <c r="BH68" s="29"/>
    </row>
    <row r="69" spans="1:60" x14ac:dyDescent="0.25">
      <c r="A69" s="1">
        <v>46122</v>
      </c>
      <c r="B69" s="33">
        <v>21.04</v>
      </c>
      <c r="C69" s="33">
        <v>25.78</v>
      </c>
      <c r="D69" s="15">
        <v>1.90295014608606E-3</v>
      </c>
      <c r="E69" s="15">
        <v>1.1643704012962201E-3</v>
      </c>
      <c r="F69" s="33">
        <v>0</v>
      </c>
      <c r="G69" s="33">
        <v>0.14699999999999999</v>
      </c>
      <c r="H69" s="33">
        <v>0</v>
      </c>
      <c r="I69" s="33">
        <v>0.151699</v>
      </c>
      <c r="J69" s="33">
        <v>0.14699999999999999</v>
      </c>
      <c r="K69" s="33">
        <v>0.151699</v>
      </c>
      <c r="L69" s="33">
        <v>21.186999999999902</v>
      </c>
      <c r="M69" s="33">
        <v>25.931698999999998</v>
      </c>
      <c r="N69" s="34">
        <v>1.22528517110266</v>
      </c>
      <c r="O69" s="34">
        <v>1.2284375966208501</v>
      </c>
      <c r="P69" s="34">
        <v>1.22737262367026</v>
      </c>
      <c r="Q69" s="34">
        <v>1.2276811031944299</v>
      </c>
      <c r="R69" s="33">
        <v>25.846327032902799</v>
      </c>
      <c r="S69" s="33">
        <v>25.824886380504601</v>
      </c>
      <c r="T69" s="33">
        <v>25.833112921869301</v>
      </c>
      <c r="U69" s="15">
        <v>2.5695056459639201E-3</v>
      </c>
      <c r="V69" s="15">
        <v>1.73961789174527E-3</v>
      </c>
      <c r="W69" s="15">
        <v>2.0581180870829002E-3</v>
      </c>
      <c r="X69" s="34">
        <v>1.2239438806815499</v>
      </c>
      <c r="Y69" s="34">
        <v>1.2253439668366699</v>
      </c>
      <c r="Z69" s="34">
        <v>1.22527458797802</v>
      </c>
      <c r="AA69" s="34">
        <v>1.22561882225276</v>
      </c>
      <c r="AB69" s="33">
        <v>25.961362625368501</v>
      </c>
      <c r="AC69" s="33">
        <v>25.955632928613898</v>
      </c>
      <c r="AD69" s="33">
        <v>25.970449164042702</v>
      </c>
      <c r="AE69" s="15">
        <v>1.1432599145399E-3</v>
      </c>
      <c r="AF69" s="15">
        <v>9.2253463116370596E-4</v>
      </c>
      <c r="AG69" s="15">
        <v>1.4932010567357101E-3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4.133139467569334E-3</v>
      </c>
      <c r="AT69" s="12"/>
      <c r="AU69">
        <f t="shared" si="10"/>
        <v>0</v>
      </c>
      <c r="AV69">
        <f t="shared" si="11"/>
        <v>0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8.5940265384360729E-3</v>
      </c>
      <c r="BE69" s="29">
        <f t="shared" si="22"/>
        <v>0</v>
      </c>
      <c r="BF69" s="29">
        <f t="shared" si="23"/>
        <v>1.2727166006005406E-2</v>
      </c>
      <c r="BH69" s="29"/>
    </row>
    <row r="70" spans="1:60" x14ac:dyDescent="0.25">
      <c r="A70" s="1">
        <v>46125</v>
      </c>
      <c r="B70" s="33">
        <v>21.05</v>
      </c>
      <c r="C70" s="33">
        <v>25.76</v>
      </c>
      <c r="D70" s="15">
        <v>4.75172258881386E-4</v>
      </c>
      <c r="E70" s="15">
        <v>-7.7609627488840305E-4</v>
      </c>
      <c r="F70" s="33">
        <v>0</v>
      </c>
      <c r="G70" s="33">
        <v>0.14699999999999999</v>
      </c>
      <c r="H70" s="33">
        <v>0</v>
      </c>
      <c r="I70" s="33">
        <v>0.151699</v>
      </c>
      <c r="J70" s="33">
        <v>0.14699999999999999</v>
      </c>
      <c r="K70" s="33">
        <v>0.151699</v>
      </c>
      <c r="L70" s="33">
        <v>21.196999999999999</v>
      </c>
      <c r="M70" s="33">
        <v>25.911698999999999</v>
      </c>
      <c r="N70" s="34">
        <v>1.22375296912114</v>
      </c>
      <c r="O70" s="34">
        <v>1.2284375966208501</v>
      </c>
      <c r="P70" s="34">
        <v>1.22661179744625</v>
      </c>
      <c r="Q70" s="34">
        <v>1.22749221428057</v>
      </c>
      <c r="R70" s="33">
        <v>25.858611408868999</v>
      </c>
      <c r="S70" s="33">
        <v>25.836193728259101</v>
      </c>
      <c r="T70" s="33">
        <v>25.842687222242802</v>
      </c>
      <c r="U70" s="15">
        <v>3.8207741797335699E-3</v>
      </c>
      <c r="V70" s="15">
        <v>2.9534652903513E-3</v>
      </c>
      <c r="W70" s="15">
        <v>3.2047669400193401E-3</v>
      </c>
      <c r="X70" s="34">
        <v>1.2224229372080899</v>
      </c>
      <c r="Y70" s="34">
        <v>1.2253439668366699</v>
      </c>
      <c r="Z70" s="34">
        <v>1.2247663634774999</v>
      </c>
      <c r="AA70" s="34">
        <v>1.2254047929971299</v>
      </c>
      <c r="AB70" s="33">
        <v>25.9736160650369</v>
      </c>
      <c r="AC70" s="33">
        <v>25.972145441370198</v>
      </c>
      <c r="AD70" s="33">
        <v>25.979442175291702</v>
      </c>
      <c r="AE70" s="15">
        <v>2.3866905058116299E-3</v>
      </c>
      <c r="AF70" s="15">
        <v>2.3300689981313101E-3</v>
      </c>
      <c r="AG70" s="15">
        <v>2.6109741370985299E-3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4.133139467569334E-3</v>
      </c>
      <c r="AT70" s="12"/>
      <c r="AU70">
        <f t="shared" si="10"/>
        <v>1</v>
      </c>
      <c r="AV70">
        <f t="shared" si="11"/>
        <v>0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8.5940265384360729E-3</v>
      </c>
      <c r="BE70" s="29">
        <f t="shared" si="22"/>
        <v>0</v>
      </c>
      <c r="BF70" s="29">
        <f t="shared" si="23"/>
        <v>1.2727166006005406E-2</v>
      </c>
      <c r="BH70" s="29"/>
    </row>
    <row r="71" spans="1:60" x14ac:dyDescent="0.25">
      <c r="A71" s="1">
        <v>46126</v>
      </c>
      <c r="B71" s="33">
        <v>21.05</v>
      </c>
      <c r="C71" s="33">
        <v>25.77</v>
      </c>
      <c r="D71" s="15">
        <v>0</v>
      </c>
      <c r="E71" s="15">
        <v>3.8812342812071101E-4</v>
      </c>
      <c r="F71" s="33">
        <v>0</v>
      </c>
      <c r="G71" s="33">
        <v>0.14699999999999999</v>
      </c>
      <c r="H71" s="33">
        <v>0</v>
      </c>
      <c r="I71" s="33">
        <v>0.151699</v>
      </c>
      <c r="J71" s="33">
        <v>0.14699999999999999</v>
      </c>
      <c r="K71" s="33">
        <v>0.151699</v>
      </c>
      <c r="L71" s="33">
        <v>21.196999999999999</v>
      </c>
      <c r="M71" s="33">
        <v>25.921699</v>
      </c>
      <c r="N71" s="34">
        <v>1.2242280285035601</v>
      </c>
      <c r="O71" s="34">
        <v>1.2284375966208501</v>
      </c>
      <c r="P71" s="34">
        <v>1.22604995538298</v>
      </c>
      <c r="Q71" s="34">
        <v>1.2274087196755099</v>
      </c>
      <c r="R71" s="33">
        <v>25.858611408868999</v>
      </c>
      <c r="S71" s="33">
        <v>25.8201783362437</v>
      </c>
      <c r="T71" s="33">
        <v>25.838711110606098</v>
      </c>
      <c r="U71" s="15">
        <v>3.4326507516128299E-3</v>
      </c>
      <c r="V71" s="15">
        <v>1.94526763369054E-3</v>
      </c>
      <c r="W71" s="15">
        <v>2.6627733855933201E-3</v>
      </c>
      <c r="X71" s="34">
        <v>1.2228947020804799</v>
      </c>
      <c r="Y71" s="34">
        <v>1.2253439668366699</v>
      </c>
      <c r="Z71" s="34">
        <v>1.2244548140067</v>
      </c>
      <c r="AA71" s="34">
        <v>1.2252955856848999</v>
      </c>
      <c r="AB71" s="33">
        <v>25.9736160650369</v>
      </c>
      <c r="AC71" s="33">
        <v>25.9613726066327</v>
      </c>
      <c r="AD71" s="33">
        <v>25.974905397160299</v>
      </c>
      <c r="AE71" s="15">
        <v>2.00083889237632E-3</v>
      </c>
      <c r="AF71" s="15">
        <v>1.52934716996845E-3</v>
      </c>
      <c r="AG71" s="15">
        <v>2.0504777304944299E-3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4.133139467569334E-3</v>
      </c>
      <c r="AT71" s="12"/>
      <c r="AU71">
        <f t="shared" si="10"/>
        <v>1</v>
      </c>
      <c r="AV71">
        <f t="shared" si="11"/>
        <v>0</v>
      </c>
      <c r="AW71">
        <f t="shared" si="18"/>
        <v>1</v>
      </c>
      <c r="AX71">
        <f t="shared" si="5"/>
        <v>1</v>
      </c>
      <c r="AY71">
        <f t="shared" si="19"/>
        <v>1</v>
      </c>
      <c r="AZ71" s="28">
        <f t="shared" si="12"/>
        <v>0</v>
      </c>
      <c r="BA71" s="28">
        <f t="shared" si="13"/>
        <v>3.8812342812071101E-4</v>
      </c>
      <c r="BB71" s="28">
        <f t="shared" si="20"/>
        <v>3.8812342812071101E-4</v>
      </c>
      <c r="BC71" s="29">
        <f t="shared" si="21"/>
        <v>8.9821499665567843E-3</v>
      </c>
      <c r="BE71" s="29">
        <f t="shared" si="22"/>
        <v>3.8812342812071101E-4</v>
      </c>
      <c r="BF71" s="29">
        <f t="shared" si="23"/>
        <v>1.3115289434126117E-2</v>
      </c>
      <c r="BH71" s="29"/>
    </row>
    <row r="72" spans="1:60" x14ac:dyDescent="0.25">
      <c r="A72" s="1">
        <v>46127</v>
      </c>
      <c r="B72" s="33">
        <v>21.04</v>
      </c>
      <c r="C72" s="33">
        <v>25.8</v>
      </c>
      <c r="D72" s="15">
        <v>-4.7517225888138101E-4</v>
      </c>
      <c r="E72" s="15">
        <v>1.1634672632980399E-3</v>
      </c>
      <c r="F72" s="33">
        <v>0</v>
      </c>
      <c r="G72" s="33">
        <v>0.14699999999999999</v>
      </c>
      <c r="H72" s="33">
        <v>0</v>
      </c>
      <c r="I72" s="33">
        <v>0.151699</v>
      </c>
      <c r="J72" s="33">
        <v>0.14699999999999999</v>
      </c>
      <c r="K72" s="33">
        <v>0.151699</v>
      </c>
      <c r="L72" s="33">
        <v>21.186999999999902</v>
      </c>
      <c r="M72" s="33">
        <v>25.951699000000001</v>
      </c>
      <c r="N72" s="34">
        <v>1.2262357414448599</v>
      </c>
      <c r="O72" s="34">
        <v>1.2284375966208501</v>
      </c>
      <c r="P72" s="34">
        <v>1.2257808092209499</v>
      </c>
      <c r="Q72" s="34">
        <v>1.22735472224869</v>
      </c>
      <c r="R72" s="33">
        <v>25.846327032902799</v>
      </c>
      <c r="S72" s="33">
        <v>25.796091061258</v>
      </c>
      <c r="T72" s="33">
        <v>25.8246794619727</v>
      </c>
      <c r="U72" s="15">
        <v>1.79401122943353E-3</v>
      </c>
      <c r="V72" s="15">
        <v>-1.51520732250831E-4</v>
      </c>
      <c r="W72" s="15">
        <v>9.5611107361803999E-4</v>
      </c>
      <c r="X72" s="34">
        <v>1.2248878557606</v>
      </c>
      <c r="Y72" s="34">
        <v>1.2253439668366699</v>
      </c>
      <c r="Z72" s="34">
        <v>1.2244331320885899</v>
      </c>
      <c r="AA72" s="34">
        <v>1.2252154677465401</v>
      </c>
      <c r="AB72" s="33">
        <v>25.961362625368501</v>
      </c>
      <c r="AC72" s="33">
        <v>25.94252414436</v>
      </c>
      <c r="AD72" s="33">
        <v>25.960337573905999</v>
      </c>
      <c r="AE72" s="15">
        <v>3.7230034899144002E-4</v>
      </c>
      <c r="AF72" s="15">
        <v>-3.5359834600428598E-4</v>
      </c>
      <c r="AG72" s="15">
        <v>3.3281583832557999E-4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4.133139467569334E-3</v>
      </c>
      <c r="AT72" s="12"/>
      <c r="AU72">
        <f t="shared" si="10"/>
        <v>0</v>
      </c>
      <c r="AV72">
        <f t="shared" si="11"/>
        <v>1</v>
      </c>
      <c r="AW72">
        <f t="shared" si="18"/>
        <v>1</v>
      </c>
      <c r="AX72">
        <f t="shared" si="5"/>
        <v>1</v>
      </c>
      <c r="AY72">
        <f t="shared" si="19"/>
        <v>1</v>
      </c>
      <c r="AZ72" s="28">
        <f t="shared" si="12"/>
        <v>4.7517225888138101E-4</v>
      </c>
      <c r="BA72" s="28">
        <f t="shared" si="13"/>
        <v>1.1634672632980399E-3</v>
      </c>
      <c r="BB72" s="28">
        <f t="shared" si="20"/>
        <v>1.6386395221794209E-3</v>
      </c>
      <c r="BC72" s="29">
        <f t="shared" si="21"/>
        <v>1.0620789488736205E-2</v>
      </c>
      <c r="BE72" s="29">
        <f t="shared" si="22"/>
        <v>1.6386395221794209E-3</v>
      </c>
      <c r="BF72" s="29">
        <f t="shared" si="23"/>
        <v>1.4753928956305538E-2</v>
      </c>
      <c r="BH72" s="29"/>
    </row>
    <row r="73" spans="1:60" x14ac:dyDescent="0.25">
      <c r="A73" s="1">
        <v>46128</v>
      </c>
      <c r="B73" s="33">
        <v>21.04</v>
      </c>
      <c r="C73" s="33">
        <v>25.79</v>
      </c>
      <c r="D73" s="15">
        <v>0</v>
      </c>
      <c r="E73" s="15">
        <v>-3.87672034318375E-4</v>
      </c>
      <c r="F73" s="33">
        <v>0</v>
      </c>
      <c r="G73" s="33">
        <v>0.14699999999999999</v>
      </c>
      <c r="H73" s="33">
        <v>0</v>
      </c>
      <c r="I73" s="33">
        <v>0.151699</v>
      </c>
      <c r="J73" s="33">
        <v>0.14699999999999999</v>
      </c>
      <c r="K73" s="33">
        <v>0.151699</v>
      </c>
      <c r="L73" s="33">
        <v>21.186999999999902</v>
      </c>
      <c r="M73" s="33">
        <v>25.941699</v>
      </c>
      <c r="N73" s="34">
        <v>1.2257604562737601</v>
      </c>
      <c r="O73" s="34">
        <v>1.2284375966208501</v>
      </c>
      <c r="P73" s="34">
        <v>1.22581626268023</v>
      </c>
      <c r="Q73" s="34">
        <v>1.2272317602139</v>
      </c>
      <c r="R73" s="33">
        <v>25.846327032902799</v>
      </c>
      <c r="S73" s="33">
        <v>25.790428226008899</v>
      </c>
      <c r="T73" s="33">
        <v>25.823543356112602</v>
      </c>
      <c r="U73" s="15">
        <v>2.1816832637518001E-3</v>
      </c>
      <c r="V73" s="15">
        <v>1.66042052667642E-5</v>
      </c>
      <c r="W73" s="15">
        <v>1.2997891116938701E-3</v>
      </c>
      <c r="X73" s="34">
        <v>1.22441586822107</v>
      </c>
      <c r="Y73" s="34">
        <v>1.2253439668366699</v>
      </c>
      <c r="Z73" s="34">
        <v>1.22446897603594</v>
      </c>
      <c r="AA73" s="34">
        <v>1.2250668324245699</v>
      </c>
      <c r="AB73" s="33">
        <v>25.961362625368501</v>
      </c>
      <c r="AC73" s="33">
        <v>25.942064769561</v>
      </c>
      <c r="AD73" s="33">
        <v>25.9586401151461</v>
      </c>
      <c r="AE73" s="15">
        <v>7.5770583443613598E-4</v>
      </c>
      <c r="AF73" s="15">
        <v>1.4099576994927199E-5</v>
      </c>
      <c r="AG73" s="15">
        <v>6.5283256474456795E-4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4.133139467569334E-3</v>
      </c>
      <c r="AT73" s="12"/>
      <c r="AU73">
        <f t="shared" si="10"/>
        <v>0</v>
      </c>
      <c r="AV73">
        <f t="shared" si="11"/>
        <v>0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1.0620789488736205E-2</v>
      </c>
      <c r="BE73" s="29">
        <f t="shared" si="22"/>
        <v>0</v>
      </c>
      <c r="BF73" s="29">
        <f t="shared" si="23"/>
        <v>1.4753928956305538E-2</v>
      </c>
      <c r="BH73" s="29"/>
    </row>
    <row r="74" spans="1:60" x14ac:dyDescent="0.25">
      <c r="A74" s="1">
        <v>46129</v>
      </c>
      <c r="B74" s="33">
        <v>21.09</v>
      </c>
      <c r="C74" s="33">
        <v>25.84</v>
      </c>
      <c r="D74" s="15">
        <v>2.3736066211740301E-3</v>
      </c>
      <c r="E74" s="15">
        <v>1.9368590211477699E-3</v>
      </c>
      <c r="F74" s="33">
        <v>0</v>
      </c>
      <c r="G74" s="33">
        <v>0.14699999999999999</v>
      </c>
      <c r="H74" s="33">
        <v>0</v>
      </c>
      <c r="I74" s="33">
        <v>0.151699</v>
      </c>
      <c r="J74" s="33">
        <v>0.14699999999999999</v>
      </c>
      <c r="K74" s="33">
        <v>0.151699</v>
      </c>
      <c r="L74" s="33">
        <v>21.236999999999998</v>
      </c>
      <c r="M74" s="33">
        <v>25.991699000000001</v>
      </c>
      <c r="N74" s="34">
        <v>1.22522522522522</v>
      </c>
      <c r="O74" s="34">
        <v>1.2284375966208501</v>
      </c>
      <c r="P74" s="34">
        <v>1.2254789095451699</v>
      </c>
      <c r="Q74" s="34">
        <v>1.22708951270323</v>
      </c>
      <c r="R74" s="33">
        <v>25.907748912733801</v>
      </c>
      <c r="S74" s="33">
        <v>25.8524649799262</v>
      </c>
      <c r="T74" s="33">
        <v>25.882317822911102</v>
      </c>
      <c r="U74" s="15">
        <v>2.6184308637782101E-3</v>
      </c>
      <c r="V74" s="15">
        <v>4.8227455094825098E-4</v>
      </c>
      <c r="W74" s="15">
        <v>1.63634709870154E-3</v>
      </c>
      <c r="X74" s="34">
        <v>1.2238875076517399</v>
      </c>
      <c r="Y74" s="34">
        <v>1.2253439668366699</v>
      </c>
      <c r="Z74" s="34">
        <v>1.22413512149171</v>
      </c>
      <c r="AA74" s="34">
        <v>1.2248992801190599</v>
      </c>
      <c r="AB74" s="33">
        <v>26.0226298237103</v>
      </c>
      <c r="AC74" s="33">
        <v>26.0040476440753</v>
      </c>
      <c r="AD74" s="33">
        <v>26.016744320200601</v>
      </c>
      <c r="AE74" s="15">
        <v>1.1893194839113601E-3</v>
      </c>
      <c r="AF74" s="15">
        <v>4.74986709664382E-4</v>
      </c>
      <c r="AG74" s="15">
        <v>9.6312523651068105E-4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0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4.133139467569334E-3</v>
      </c>
      <c r="AT74" s="12"/>
      <c r="AU74">
        <f t="shared" si="10"/>
        <v>0</v>
      </c>
      <c r="AV74">
        <f t="shared" si="11"/>
        <v>0</v>
      </c>
      <c r="AW74">
        <f t="shared" si="18"/>
        <v>0</v>
      </c>
      <c r="AX74">
        <f t="shared" si="5"/>
        <v>0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1.0620789488736205E-2</v>
      </c>
      <c r="BE74" s="29">
        <f t="shared" si="22"/>
        <v>0</v>
      </c>
      <c r="BF74" s="29">
        <f t="shared" si="23"/>
        <v>1.4753928956305538E-2</v>
      </c>
      <c r="BH74" s="29"/>
    </row>
    <row r="75" spans="1:60" x14ac:dyDescent="0.25">
      <c r="A75" s="1">
        <v>46132</v>
      </c>
      <c r="B75" s="33">
        <v>21.05</v>
      </c>
      <c r="C75" s="33">
        <v>25.86</v>
      </c>
      <c r="D75" s="15">
        <v>-1.8984343622927299E-3</v>
      </c>
      <c r="E75" s="15">
        <v>7.7369442931032797E-4</v>
      </c>
      <c r="F75" s="33">
        <v>5.0999999999999997E-2</v>
      </c>
      <c r="G75" s="33">
        <v>0.19799999999999901</v>
      </c>
      <c r="H75" s="33">
        <v>0</v>
      </c>
      <c r="I75" s="33">
        <v>0.151699</v>
      </c>
      <c r="J75" s="33">
        <v>0.19799999999999901</v>
      </c>
      <c r="K75" s="33">
        <v>0.151699</v>
      </c>
      <c r="L75" s="33">
        <v>21.248000000000001</v>
      </c>
      <c r="M75" s="33">
        <v>26.011699</v>
      </c>
      <c r="N75" s="34">
        <v>1.22850356294536</v>
      </c>
      <c r="O75" s="34">
        <v>1.2284375966208501</v>
      </c>
      <c r="P75" s="34">
        <v>1.22558679092332</v>
      </c>
      <c r="Q75" s="34">
        <v>1.2271358740566001</v>
      </c>
      <c r="R75" s="33">
        <v>25.858611408868999</v>
      </c>
      <c r="S75" s="33">
        <v>25.796331045925999</v>
      </c>
      <c r="T75" s="33">
        <v>25.830234242403002</v>
      </c>
      <c r="U75" s="15">
        <v>-5.3697927824781602E-5</v>
      </c>
      <c r="V75" s="15">
        <v>-2.4650990508350299E-3</v>
      </c>
      <c r="W75" s="15">
        <v>-1.15169765907707E-3</v>
      </c>
      <c r="X75" s="34">
        <v>1.2241951713102399</v>
      </c>
      <c r="Y75" s="34">
        <v>1.2253439668366699</v>
      </c>
      <c r="Z75" s="34">
        <v>1.22394848499556</v>
      </c>
      <c r="AA75" s="34">
        <v>1.22477194711922</v>
      </c>
      <c r="AB75" s="33">
        <v>26.036108607345501</v>
      </c>
      <c r="AC75" s="33">
        <v>26.010423061455999</v>
      </c>
      <c r="AD75" s="33">
        <v>26.026659903969801</v>
      </c>
      <c r="AE75" s="15">
        <v>9.3796877360680802E-4</v>
      </c>
      <c r="AF75" s="15">
        <v>-4.9053690762030901E-5</v>
      </c>
      <c r="AG75" s="15">
        <v>5.7499524186233498E-4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4.133139467569334E-3</v>
      </c>
      <c r="AT75" s="12"/>
      <c r="AU75">
        <f t="shared" si="10"/>
        <v>0</v>
      </c>
      <c r="AV75">
        <f t="shared" si="11"/>
        <v>0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1.0620789488736205E-2</v>
      </c>
      <c r="BE75" s="29">
        <f t="shared" si="22"/>
        <v>0</v>
      </c>
      <c r="BF75" s="29">
        <f t="shared" si="23"/>
        <v>1.4753928956305538E-2</v>
      </c>
      <c r="BH75" s="29"/>
    </row>
    <row r="76" spans="1:60" x14ac:dyDescent="0.25">
      <c r="A76" s="1">
        <v>46133</v>
      </c>
      <c r="B76" s="33">
        <v>21.04</v>
      </c>
      <c r="C76" s="33">
        <v>25.82</v>
      </c>
      <c r="D76" s="15">
        <v>-4.7517225888138101E-4</v>
      </c>
      <c r="E76" s="15">
        <v>-1.54798792521498E-3</v>
      </c>
      <c r="F76" s="33">
        <v>0</v>
      </c>
      <c r="G76" s="33">
        <v>0.19799999999999901</v>
      </c>
      <c r="H76" s="33">
        <v>0</v>
      </c>
      <c r="I76" s="33">
        <v>0.151699</v>
      </c>
      <c r="J76" s="33">
        <v>0.19799999999999901</v>
      </c>
      <c r="K76" s="33">
        <v>0.151699</v>
      </c>
      <c r="L76" s="33">
        <v>21.238</v>
      </c>
      <c r="M76" s="33">
        <v>25.971699000000001</v>
      </c>
      <c r="N76" s="34">
        <v>1.22718631178707</v>
      </c>
      <c r="O76" s="34">
        <v>1.2284375966208501</v>
      </c>
      <c r="P76" s="34">
        <v>1.2259294679035599</v>
      </c>
      <c r="Q76" s="34">
        <v>1.22694387699679</v>
      </c>
      <c r="R76" s="33">
        <v>25.846327032902799</v>
      </c>
      <c r="S76" s="33">
        <v>25.786346081026799</v>
      </c>
      <c r="T76" s="33">
        <v>25.818938790151002</v>
      </c>
      <c r="U76" s="15">
        <v>1.01911773850875E-3</v>
      </c>
      <c r="V76" s="15">
        <v>-1.30425524376429E-3</v>
      </c>
      <c r="W76" s="15">
        <v>-4.1101148628266302E-5</v>
      </c>
      <c r="X76" s="34">
        <v>1.2228881721442599</v>
      </c>
      <c r="Y76" s="34">
        <v>1.2253439668366699</v>
      </c>
      <c r="Z76" s="34">
        <v>1.2239949229045499</v>
      </c>
      <c r="AA76" s="34">
        <v>1.22455626661424</v>
      </c>
      <c r="AB76" s="33">
        <v>26.023855167677201</v>
      </c>
      <c r="AC76" s="33">
        <v>25.9942179243358</v>
      </c>
      <c r="AD76" s="33">
        <v>26.0117066129181</v>
      </c>
      <c r="AE76" s="15">
        <v>2.0061786437355999E-3</v>
      </c>
      <c r="AF76" s="15">
        <v>8.6668058905637897E-4</v>
      </c>
      <c r="AG76" s="15">
        <v>1.53924585530675E-3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4.133139467569334E-3</v>
      </c>
      <c r="AT76" s="12"/>
      <c r="AU76">
        <f t="shared" si="10"/>
        <v>0</v>
      </c>
      <c r="AV76">
        <f t="shared" si="11"/>
        <v>0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1.0620789488736205E-2</v>
      </c>
      <c r="BE76" s="29">
        <f t="shared" si="22"/>
        <v>0</v>
      </c>
      <c r="BF76" s="29">
        <f t="shared" si="23"/>
        <v>1.4753928956305538E-2</v>
      </c>
      <c r="BH76" s="29"/>
    </row>
    <row r="77" spans="1:60" x14ac:dyDescent="0.25">
      <c r="A77" s="1">
        <v>46134</v>
      </c>
      <c r="B77" s="33">
        <v>21.04</v>
      </c>
      <c r="C77" s="33">
        <v>25.8</v>
      </c>
      <c r="D77" s="15">
        <v>0</v>
      </c>
      <c r="E77" s="15">
        <v>-7.7489349092468699E-4</v>
      </c>
      <c r="F77" s="33">
        <v>0</v>
      </c>
      <c r="G77" s="33">
        <v>0.19799999999999901</v>
      </c>
      <c r="H77" s="33">
        <v>0</v>
      </c>
      <c r="I77" s="33">
        <v>0.151699</v>
      </c>
      <c r="J77" s="33">
        <v>0.19799999999999901</v>
      </c>
      <c r="K77" s="33">
        <v>0.151699</v>
      </c>
      <c r="L77" s="33">
        <v>21.238</v>
      </c>
      <c r="M77" s="33">
        <v>25.951699000000001</v>
      </c>
      <c r="N77" s="34">
        <v>1.2262357414448599</v>
      </c>
      <c r="O77" s="34">
        <v>1.2284375966208501</v>
      </c>
      <c r="P77" s="34">
        <v>1.2258603684039</v>
      </c>
      <c r="Q77" s="34">
        <v>1.2267578244146899</v>
      </c>
      <c r="R77" s="33">
        <v>25.846327032902799</v>
      </c>
      <c r="S77" s="33">
        <v>25.793556004690899</v>
      </c>
      <c r="T77" s="33">
        <v>25.814899172012598</v>
      </c>
      <c r="U77" s="15">
        <v>1.79401122943353E-3</v>
      </c>
      <c r="V77" s="15">
        <v>-2.4979845707764599E-4</v>
      </c>
      <c r="W77" s="15">
        <v>5.7732060569541503E-4</v>
      </c>
      <c r="X77" s="34">
        <v>1.22194646388548</v>
      </c>
      <c r="Y77" s="34">
        <v>1.2253439668366699</v>
      </c>
      <c r="Z77" s="34">
        <v>1.22363229145495</v>
      </c>
      <c r="AA77" s="34">
        <v>1.22434769287377</v>
      </c>
      <c r="AB77" s="33">
        <v>26.023855167677201</v>
      </c>
      <c r="AC77" s="33">
        <v>25.995204172646801</v>
      </c>
      <c r="AD77" s="33">
        <v>26.007125990353199</v>
      </c>
      <c r="AE77" s="15">
        <v>2.7765442884918E-3</v>
      </c>
      <c r="AF77" s="15">
        <v>1.6749865790338101E-3</v>
      </c>
      <c r="AG77" s="15">
        <v>2.1334974910620199E-3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4.133139467569334E-3</v>
      </c>
      <c r="AT77" s="12"/>
      <c r="AU77">
        <f t="shared" si="10"/>
        <v>1</v>
      </c>
      <c r="AV77">
        <f t="shared" si="11"/>
        <v>0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1.0620789488736205E-2</v>
      </c>
      <c r="BE77" s="29">
        <f t="shared" si="22"/>
        <v>0</v>
      </c>
      <c r="BF77" s="29">
        <f t="shared" si="23"/>
        <v>1.4753928956305538E-2</v>
      </c>
      <c r="BH77" s="29"/>
    </row>
    <row r="78" spans="1:60" x14ac:dyDescent="0.25">
      <c r="A78" s="1">
        <v>46135</v>
      </c>
      <c r="B78" s="33">
        <v>21.04</v>
      </c>
      <c r="C78" s="33">
        <v>25.8</v>
      </c>
      <c r="D78" s="15">
        <v>0</v>
      </c>
      <c r="E78" s="15">
        <v>0</v>
      </c>
      <c r="F78" s="33">
        <v>0</v>
      </c>
      <c r="G78" s="33">
        <v>0.19799999999999901</v>
      </c>
      <c r="H78" s="33">
        <v>0</v>
      </c>
      <c r="I78" s="33">
        <v>0.151699</v>
      </c>
      <c r="J78" s="33">
        <v>0.19799999999999901</v>
      </c>
      <c r="K78" s="33">
        <v>0.151699</v>
      </c>
      <c r="L78" s="33">
        <v>21.238</v>
      </c>
      <c r="M78" s="33">
        <v>25.951699000000001</v>
      </c>
      <c r="N78" s="34">
        <v>1.2262357414448599</v>
      </c>
      <c r="O78" s="34">
        <v>1.2284375966208501</v>
      </c>
      <c r="P78" s="34">
        <v>1.22586489492933</v>
      </c>
      <c r="Q78" s="34">
        <v>1.22664172456791</v>
      </c>
      <c r="R78" s="33">
        <v>25.846327032902799</v>
      </c>
      <c r="S78" s="33">
        <v>25.792102151218</v>
      </c>
      <c r="T78" s="33">
        <v>25.810984625685201</v>
      </c>
      <c r="U78" s="15">
        <v>1.79401122943353E-3</v>
      </c>
      <c r="V78" s="15">
        <v>-3.0616503357358598E-4</v>
      </c>
      <c r="W78" s="15">
        <v>4.2567007511027998E-4</v>
      </c>
      <c r="X78" s="34">
        <v>1.22194646388548</v>
      </c>
      <c r="Y78" s="34">
        <v>1.2253439668366699</v>
      </c>
      <c r="Z78" s="34">
        <v>1.2233429022829001</v>
      </c>
      <c r="AA78" s="34">
        <v>1.22420821728611</v>
      </c>
      <c r="AB78" s="33">
        <v>26.023855167677201</v>
      </c>
      <c r="AC78" s="33">
        <v>25.987502605920302</v>
      </c>
      <c r="AD78" s="33">
        <v>26.002696301253302</v>
      </c>
      <c r="AE78" s="15">
        <v>2.7765442884918E-3</v>
      </c>
      <c r="AF78" s="15">
        <v>1.37867392968823E-3</v>
      </c>
      <c r="AG78" s="15">
        <v>1.9631570086109198E-3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4.133139467569334E-3</v>
      </c>
      <c r="AT78" s="12"/>
      <c r="AU78">
        <f t="shared" si="10"/>
        <v>0</v>
      </c>
      <c r="AV78">
        <f t="shared" si="11"/>
        <v>0</v>
      </c>
      <c r="AW78">
        <f t="shared" si="18"/>
        <v>1</v>
      </c>
      <c r="AX78">
        <f t="shared" si="5"/>
        <v>1</v>
      </c>
      <c r="AY78">
        <f t="shared" si="19"/>
        <v>1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1.0620789488736205E-2</v>
      </c>
      <c r="BE78" s="29">
        <f t="shared" si="22"/>
        <v>0</v>
      </c>
      <c r="BF78" s="29">
        <f t="shared" si="23"/>
        <v>1.4753928956305538E-2</v>
      </c>
      <c r="BH78" s="29"/>
    </row>
    <row r="79" spans="1:60" x14ac:dyDescent="0.25">
      <c r="A79" s="1">
        <v>46136</v>
      </c>
      <c r="B79" s="33">
        <v>21.04</v>
      </c>
      <c r="C79" s="33">
        <v>25.82</v>
      </c>
      <c r="D79" s="15">
        <v>0</v>
      </c>
      <c r="E79" s="15">
        <v>7.7489349092478999E-4</v>
      </c>
      <c r="F79" s="33">
        <v>0</v>
      </c>
      <c r="G79" s="33">
        <v>0.19799999999999901</v>
      </c>
      <c r="H79" s="33">
        <v>0</v>
      </c>
      <c r="I79" s="33">
        <v>0.151699</v>
      </c>
      <c r="J79" s="33">
        <v>0.19799999999999901</v>
      </c>
      <c r="K79" s="33">
        <v>0.151699</v>
      </c>
      <c r="L79" s="33">
        <v>21.238</v>
      </c>
      <c r="M79" s="33">
        <v>25.971699000000001</v>
      </c>
      <c r="N79" s="34">
        <v>1.22718631178707</v>
      </c>
      <c r="O79" s="34">
        <v>1.2284375966208501</v>
      </c>
      <c r="P79" s="34">
        <v>1.22605500899778</v>
      </c>
      <c r="Q79" s="34">
        <v>1.2267138163340201</v>
      </c>
      <c r="R79" s="33">
        <v>25.846327032902799</v>
      </c>
      <c r="S79" s="33">
        <v>25.792197389313301</v>
      </c>
      <c r="T79" s="33">
        <v>25.808541884908902</v>
      </c>
      <c r="U79" s="15">
        <v>1.01911773850875E-3</v>
      </c>
      <c r="V79" s="15">
        <v>-1.07736600192494E-3</v>
      </c>
      <c r="W79" s="15">
        <v>-4.4386747565671602E-4</v>
      </c>
      <c r="X79" s="34">
        <v>1.2228881721442599</v>
      </c>
      <c r="Y79" s="34">
        <v>1.2253439668366699</v>
      </c>
      <c r="Z79" s="34">
        <v>1.22323733142917</v>
      </c>
      <c r="AA79" s="34">
        <v>1.2242559597036</v>
      </c>
      <c r="AB79" s="33">
        <v>26.023855167677201</v>
      </c>
      <c r="AC79" s="33">
        <v>25.9813565586843</v>
      </c>
      <c r="AD79" s="33">
        <v>25.9997341187225</v>
      </c>
      <c r="AE79" s="15">
        <v>2.0061786437355999E-3</v>
      </c>
      <c r="AF79" s="15">
        <v>3.7178020394391898E-4</v>
      </c>
      <c r="AG79" s="15">
        <v>1.07886659110497E-3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4.133139467569334E-3</v>
      </c>
      <c r="AT79" s="12"/>
      <c r="AU79">
        <f t="shared" si="10"/>
        <v>0</v>
      </c>
      <c r="AV79">
        <f t="shared" si="11"/>
        <v>0</v>
      </c>
      <c r="AW79">
        <f t="shared" si="18"/>
        <v>1</v>
      </c>
      <c r="AX79">
        <f t="shared" si="5"/>
        <v>1</v>
      </c>
      <c r="AY79">
        <f t="shared" si="19"/>
        <v>1</v>
      </c>
      <c r="AZ79" s="28">
        <f t="shared" si="12"/>
        <v>0</v>
      </c>
      <c r="BA79" s="28">
        <f t="shared" si="13"/>
        <v>7.7489349092478999E-4</v>
      </c>
      <c r="BB79" s="28">
        <f t="shared" si="20"/>
        <v>7.7489349092478999E-4</v>
      </c>
      <c r="BC79" s="29">
        <f t="shared" si="21"/>
        <v>1.1395682979660995E-2</v>
      </c>
      <c r="BE79" s="29">
        <f t="shared" si="22"/>
        <v>7.7489349092478999E-4</v>
      </c>
      <c r="BF79" s="29">
        <f t="shared" si="23"/>
        <v>1.5528822447230327E-2</v>
      </c>
      <c r="BH79" s="29"/>
    </row>
    <row r="80" spans="1:60" x14ac:dyDescent="0.25">
      <c r="A80" s="1">
        <v>46139</v>
      </c>
      <c r="B80" s="33">
        <v>21.05</v>
      </c>
      <c r="C80" s="33">
        <v>25.82</v>
      </c>
      <c r="D80" s="15">
        <v>4.75172258881386E-4</v>
      </c>
      <c r="E80" s="15">
        <v>0</v>
      </c>
      <c r="F80" s="33">
        <v>0</v>
      </c>
      <c r="G80" s="33">
        <v>0.19799999999999901</v>
      </c>
      <c r="H80" s="33">
        <v>0</v>
      </c>
      <c r="I80" s="33">
        <v>0.151699</v>
      </c>
      <c r="J80" s="33">
        <v>0.19799999999999901</v>
      </c>
      <c r="K80" s="33">
        <v>0.151699</v>
      </c>
      <c r="L80" s="33">
        <v>21.248000000000001</v>
      </c>
      <c r="M80" s="33">
        <v>25.971699000000001</v>
      </c>
      <c r="N80" s="34">
        <v>1.2266033254156701</v>
      </c>
      <c r="O80" s="34">
        <v>1.2284375966208501</v>
      </c>
      <c r="P80" s="34">
        <v>1.2263400446272299</v>
      </c>
      <c r="Q80" s="34">
        <v>1.22647592103674</v>
      </c>
      <c r="R80" s="33">
        <v>25.858611408868999</v>
      </c>
      <c r="S80" s="33">
        <v>25.808457939403201</v>
      </c>
      <c r="T80" s="33">
        <v>25.822325833831201</v>
      </c>
      <c r="U80" s="15">
        <v>1.4942899973902099E-3</v>
      </c>
      <c r="V80" s="15">
        <v>-4.4712010583591698E-4</v>
      </c>
      <c r="W80" s="15">
        <v>9.0074712756461604E-5</v>
      </c>
      <c r="X80" s="34">
        <v>1.22231264118975</v>
      </c>
      <c r="Y80" s="34">
        <v>1.2253439668366699</v>
      </c>
      <c r="Z80" s="34">
        <v>1.2232263018273399</v>
      </c>
      <c r="AA80" s="34">
        <v>1.2239963326524199</v>
      </c>
      <c r="AB80" s="33">
        <v>26.036108607345501</v>
      </c>
      <c r="AC80" s="33">
        <v>25.991346818207099</v>
      </c>
      <c r="AD80" s="33">
        <v>26.012990631782099</v>
      </c>
      <c r="AE80" s="15">
        <v>2.4769219561052102E-3</v>
      </c>
      <c r="AF80" s="15">
        <v>7.5622276693383705E-4</v>
      </c>
      <c r="AG80" s="15">
        <v>1.5886077519555401E-3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4.133139467569334E-3</v>
      </c>
      <c r="AT80" s="12"/>
      <c r="AU80">
        <f t="shared" si="10"/>
        <v>0</v>
      </c>
      <c r="AV80">
        <f t="shared" si="11"/>
        <v>0</v>
      </c>
      <c r="AW80">
        <f t="shared" si="18"/>
        <v>1</v>
      </c>
      <c r="AX80">
        <f t="shared" si="5"/>
        <v>1</v>
      </c>
      <c r="AY80">
        <f t="shared" si="19"/>
        <v>1</v>
      </c>
      <c r="AZ80" s="28">
        <f t="shared" si="12"/>
        <v>-4.75172258881386E-4</v>
      </c>
      <c r="BA80" s="28">
        <f t="shared" si="13"/>
        <v>0</v>
      </c>
      <c r="BB80" s="28">
        <f t="shared" si="20"/>
        <v>-4.75172258881386E-4</v>
      </c>
      <c r="BC80" s="29">
        <f t="shared" si="21"/>
        <v>1.0920510720779609E-2</v>
      </c>
      <c r="BE80" s="29">
        <f t="shared" si="22"/>
        <v>-4.75172258881386E-4</v>
      </c>
      <c r="BF80" s="29">
        <f t="shared" si="23"/>
        <v>1.5053650188348941E-2</v>
      </c>
      <c r="BH80" s="29"/>
    </row>
    <row r="81" spans="1:60" x14ac:dyDescent="0.25">
      <c r="A81" s="1">
        <v>46140</v>
      </c>
      <c r="B81" s="33">
        <v>21.02</v>
      </c>
      <c r="C81" s="33">
        <v>25.8</v>
      </c>
      <c r="D81" s="15">
        <v>-1.42619467958545E-3</v>
      </c>
      <c r="E81" s="15">
        <v>-7.7489349092468699E-4</v>
      </c>
      <c r="F81" s="33">
        <v>0</v>
      </c>
      <c r="G81" s="33">
        <v>0.19799999999999901</v>
      </c>
      <c r="H81" s="33">
        <v>0</v>
      </c>
      <c r="I81" s="33">
        <v>0.151699</v>
      </c>
      <c r="J81" s="33">
        <v>0.19799999999999901</v>
      </c>
      <c r="K81" s="33">
        <v>0.151699</v>
      </c>
      <c r="L81" s="33">
        <v>21.218</v>
      </c>
      <c r="M81" s="33">
        <v>25.951699000000001</v>
      </c>
      <c r="N81" s="34">
        <v>1.22740247383444</v>
      </c>
      <c r="O81" s="34">
        <v>1.2284375966208501</v>
      </c>
      <c r="P81" s="34">
        <v>1.2266574891603199</v>
      </c>
      <c r="Q81" s="34">
        <v>1.2263537222716501</v>
      </c>
      <c r="R81" s="33">
        <v>25.8217582809703</v>
      </c>
      <c r="S81" s="33">
        <v>25.777667738064402</v>
      </c>
      <c r="T81" s="33">
        <v>25.7805238601924</v>
      </c>
      <c r="U81" s="15">
        <v>8.4298880872931802E-4</v>
      </c>
      <c r="V81" s="15">
        <v>-8.6596638857446104E-4</v>
      </c>
      <c r="W81" s="15">
        <v>-7.5517421211040796E-4</v>
      </c>
      <c r="X81" s="34">
        <v>1.2230982656235201</v>
      </c>
      <c r="Y81" s="34">
        <v>1.2253439668366699</v>
      </c>
      <c r="Z81" s="34">
        <v>1.2232466581816399</v>
      </c>
      <c r="AA81" s="34">
        <v>1.2238507360941699</v>
      </c>
      <c r="AB81" s="33">
        <v>25.9993482883404</v>
      </c>
      <c r="AC81" s="33">
        <v>25.954415672172502</v>
      </c>
      <c r="AD81" s="33">
        <v>25.9707541862191</v>
      </c>
      <c r="AE81" s="15">
        <v>1.8343923439178499E-3</v>
      </c>
      <c r="AF81" s="15">
        <v>1.04676383204338E-4</v>
      </c>
      <c r="AG81" s="15">
        <v>7.3398639337339002E-4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4.133139467569334E-3</v>
      </c>
      <c r="AT81" s="12"/>
      <c r="AU81">
        <f t="shared" si="10"/>
        <v>0</v>
      </c>
      <c r="AV81">
        <f t="shared" si="11"/>
        <v>0</v>
      </c>
      <c r="AW81">
        <f t="shared" si="18"/>
        <v>1</v>
      </c>
      <c r="AX81">
        <f t="shared" si="5"/>
        <v>1</v>
      </c>
      <c r="AY81">
        <f t="shared" si="19"/>
        <v>1</v>
      </c>
      <c r="AZ81" s="28">
        <f t="shared" si="12"/>
        <v>1.42619467958545E-3</v>
      </c>
      <c r="BA81" s="28">
        <f t="shared" si="13"/>
        <v>-7.7489349092468699E-4</v>
      </c>
      <c r="BB81" s="28">
        <f t="shared" si="20"/>
        <v>6.5130118866076297E-4</v>
      </c>
      <c r="BC81" s="29">
        <f t="shared" si="21"/>
        <v>1.1571811909440372E-2</v>
      </c>
      <c r="BE81" s="29">
        <f t="shared" si="22"/>
        <v>6.5130118866076297E-4</v>
      </c>
      <c r="BF81" s="29">
        <f t="shared" si="23"/>
        <v>1.5704951377009703E-2</v>
      </c>
      <c r="BH81" s="29"/>
    </row>
    <row r="82" spans="1:60" x14ac:dyDescent="0.25">
      <c r="A82" s="1">
        <v>46141</v>
      </c>
      <c r="B82" s="33">
        <v>21.01</v>
      </c>
      <c r="C82" s="33">
        <v>25.77</v>
      </c>
      <c r="D82" s="15">
        <v>-4.75850591895961E-4</v>
      </c>
      <c r="E82" s="15">
        <v>-1.1634672632980601E-3</v>
      </c>
      <c r="F82" s="33">
        <v>0</v>
      </c>
      <c r="G82" s="33">
        <v>0.19799999999999901</v>
      </c>
      <c r="H82" s="33">
        <v>0</v>
      </c>
      <c r="I82" s="33">
        <v>0.151699</v>
      </c>
      <c r="J82" s="33">
        <v>0.19799999999999901</v>
      </c>
      <c r="K82" s="33">
        <v>0.151699</v>
      </c>
      <c r="L82" s="33">
        <v>21.207999999999998</v>
      </c>
      <c r="M82" s="33">
        <v>25.921699</v>
      </c>
      <c r="N82" s="34">
        <v>1.2265587815326</v>
      </c>
      <c r="O82" s="34">
        <v>1.2284375966208501</v>
      </c>
      <c r="P82" s="34">
        <v>1.2266897931690901</v>
      </c>
      <c r="Q82" s="34">
        <v>1.22623530119502</v>
      </c>
      <c r="R82" s="33">
        <v>25.809473905004101</v>
      </c>
      <c r="S82" s="33">
        <v>25.772073847258302</v>
      </c>
      <c r="T82" s="33">
        <v>25.765691704927399</v>
      </c>
      <c r="U82" s="15">
        <v>1.53060548013154E-3</v>
      </c>
      <c r="V82" s="15">
        <v>8.0472014596856802E-5</v>
      </c>
      <c r="W82" s="15">
        <v>-1.6719655601968899E-4</v>
      </c>
      <c r="X82" s="34">
        <v>1.2222604205959999</v>
      </c>
      <c r="Y82" s="34">
        <v>1.2253439668366699</v>
      </c>
      <c r="Z82" s="34">
        <v>1.22298391466518</v>
      </c>
      <c r="AA82" s="34">
        <v>1.2237085233768801</v>
      </c>
      <c r="AB82" s="33">
        <v>25.987094848672101</v>
      </c>
      <c r="AC82" s="33">
        <v>25.942615126716301</v>
      </c>
      <c r="AD82" s="33">
        <v>25.955426411085298</v>
      </c>
      <c r="AE82" s="15">
        <v>2.51964564850113E-3</v>
      </c>
      <c r="AF82" s="15">
        <v>8.06571076952782E-4</v>
      </c>
      <c r="AG82" s="15">
        <v>1.30028082975054E-3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4.133139467569334E-3</v>
      </c>
      <c r="AT82" s="12"/>
      <c r="AU82">
        <f t="shared" si="10"/>
        <v>0</v>
      </c>
      <c r="AV82">
        <f t="shared" si="11"/>
        <v>0</v>
      </c>
      <c r="AW82">
        <f t="shared" si="18"/>
        <v>1</v>
      </c>
      <c r="AX82">
        <f t="shared" si="5"/>
        <v>1</v>
      </c>
      <c r="AY82">
        <f t="shared" si="19"/>
        <v>1</v>
      </c>
      <c r="AZ82" s="28">
        <f t="shared" si="12"/>
        <v>4.75850591895961E-4</v>
      </c>
      <c r="BA82" s="28">
        <f t="shared" si="13"/>
        <v>-1.1634672632980601E-3</v>
      </c>
      <c r="BB82" s="28">
        <f t="shared" si="20"/>
        <v>-6.8761667140209912E-4</v>
      </c>
      <c r="BC82" s="29">
        <f t="shared" si="21"/>
        <v>1.0884195238038272E-2</v>
      </c>
      <c r="BE82" s="29">
        <f t="shared" si="22"/>
        <v>-6.8761667140209912E-4</v>
      </c>
      <c r="BF82" s="29">
        <f t="shared" si="23"/>
        <v>1.5017334705607604E-2</v>
      </c>
      <c r="BH82" s="29"/>
    </row>
    <row r="83" spans="1:60" x14ac:dyDescent="0.25">
      <c r="A83" s="1">
        <v>46142</v>
      </c>
      <c r="B83" s="33">
        <v>21.03</v>
      </c>
      <c r="C83" s="33">
        <v>25.79</v>
      </c>
      <c r="D83" s="15">
        <v>9.5147485769941605E-4</v>
      </c>
      <c r="E83" s="15">
        <v>7.7579522897979099E-4</v>
      </c>
      <c r="F83" s="33">
        <v>0</v>
      </c>
      <c r="G83" s="33">
        <v>0.19799999999999901</v>
      </c>
      <c r="H83" s="33">
        <v>0</v>
      </c>
      <c r="I83" s="33">
        <v>0.151699</v>
      </c>
      <c r="J83" s="33">
        <v>0.19799999999999901</v>
      </c>
      <c r="K83" s="33">
        <v>0.151699</v>
      </c>
      <c r="L83" s="33">
        <v>21.228000000000002</v>
      </c>
      <c r="M83" s="33">
        <v>25.941699</v>
      </c>
      <c r="N83" s="34">
        <v>1.22634331906799</v>
      </c>
      <c r="O83" s="34">
        <v>1.2284375966208501</v>
      </c>
      <c r="P83" s="34">
        <v>1.2267480794485099</v>
      </c>
      <c r="Q83" s="34">
        <v>1.2262821710643701</v>
      </c>
      <c r="R83" s="33">
        <v>25.8340426569366</v>
      </c>
      <c r="S83" s="33">
        <v>25.797286350345999</v>
      </c>
      <c r="T83" s="33">
        <v>25.787728384131398</v>
      </c>
      <c r="U83" s="15">
        <v>1.70628510885124E-3</v>
      </c>
      <c r="V83" s="15">
        <v>2.8248628334742298E-4</v>
      </c>
      <c r="W83" s="15">
        <v>-8.8085146097021194E-5</v>
      </c>
      <c r="X83" s="34">
        <v>1.22205101752402</v>
      </c>
      <c r="Y83" s="34">
        <v>1.2253439668366699</v>
      </c>
      <c r="Z83" s="34">
        <v>1.2227474295954801</v>
      </c>
      <c r="AA83" s="34">
        <v>1.22360820281571</v>
      </c>
      <c r="AB83" s="33">
        <v>26.011601728008799</v>
      </c>
      <c r="AC83" s="33">
        <v>25.961502540512502</v>
      </c>
      <c r="AD83" s="33">
        <v>25.976884534244601</v>
      </c>
      <c r="AE83" s="15">
        <v>2.6909847579314299E-3</v>
      </c>
      <c r="AF83" s="15">
        <v>7.6309518048159602E-4</v>
      </c>
      <c r="AG83" s="15">
        <v>1.3554121563483701E-3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4.133139467569334E-3</v>
      </c>
      <c r="AT83" s="12"/>
      <c r="AU83">
        <f t="shared" si="10"/>
        <v>0</v>
      </c>
      <c r="AV83">
        <f t="shared" si="11"/>
        <v>0</v>
      </c>
      <c r="AW83">
        <f t="shared" si="18"/>
        <v>1</v>
      </c>
      <c r="AX83">
        <f t="shared" si="5"/>
        <v>0</v>
      </c>
      <c r="AY83">
        <f t="shared" si="19"/>
        <v>1</v>
      </c>
      <c r="AZ83" s="28">
        <f t="shared" si="12"/>
        <v>-9.5147485769941605E-4</v>
      </c>
      <c r="BA83" s="28">
        <f t="shared" si="13"/>
        <v>7.7579522897979099E-4</v>
      </c>
      <c r="BB83" s="28">
        <f t="shared" si="20"/>
        <v>-1.7567962871962506E-4</v>
      </c>
      <c r="BC83" s="29">
        <f t="shared" si="21"/>
        <v>1.0708515609318648E-2</v>
      </c>
      <c r="BE83" s="29">
        <f t="shared" si="22"/>
        <v>-1.7567962871962506E-4</v>
      </c>
      <c r="BF83" s="29">
        <f t="shared" si="23"/>
        <v>1.4841655076887979E-2</v>
      </c>
      <c r="BH83" s="29"/>
    </row>
    <row r="84" spans="1:60" x14ac:dyDescent="0.25">
      <c r="A84" s="1">
        <v>46143</v>
      </c>
      <c r="B84" s="33">
        <v>21</v>
      </c>
      <c r="C84" s="33">
        <v>25.71</v>
      </c>
      <c r="D84" s="15">
        <v>-1.4275519911854399E-3</v>
      </c>
      <c r="E84" s="15">
        <v>-3.1067986154552302E-3</v>
      </c>
      <c r="F84" s="33">
        <v>0</v>
      </c>
      <c r="G84" s="33">
        <v>0.19799999999999901</v>
      </c>
      <c r="H84" s="33">
        <v>5.3869E-2</v>
      </c>
      <c r="I84" s="33">
        <v>0.205568</v>
      </c>
      <c r="J84" s="33">
        <v>0.19799999999999901</v>
      </c>
      <c r="K84" s="33">
        <v>0.205568</v>
      </c>
      <c r="L84" s="33">
        <v>21.198</v>
      </c>
      <c r="M84" s="33">
        <v>25.915568</v>
      </c>
      <c r="N84" s="34">
        <v>1.22428571428571</v>
      </c>
      <c r="O84" s="34">
        <v>1.2284375966208501</v>
      </c>
      <c r="P84" s="34">
        <v>1.22665412835456</v>
      </c>
      <c r="Q84" s="34">
        <v>1.2260665189498701</v>
      </c>
      <c r="R84" s="33">
        <v>25.797189529037901</v>
      </c>
      <c r="S84" s="33">
        <v>25.761709668418899</v>
      </c>
      <c r="T84" s="33">
        <v>25.751925592351899</v>
      </c>
      <c r="U84" s="15">
        <v>3.3855317331209999E-3</v>
      </c>
      <c r="V84" s="15">
        <v>2.0092468716630899E-3</v>
      </c>
      <c r="W84" s="15">
        <v>1.62938332155325E-3</v>
      </c>
      <c r="X84" s="34">
        <v>1.22254778752712</v>
      </c>
      <c r="Y84" s="34">
        <v>1.2253439668366699</v>
      </c>
      <c r="Z84" s="34">
        <v>1.2226134575830101</v>
      </c>
      <c r="AA84" s="34">
        <v>1.22337428953736</v>
      </c>
      <c r="AB84" s="33">
        <v>25.974841409003702</v>
      </c>
      <c r="AC84" s="33">
        <v>25.919800012564998</v>
      </c>
      <c r="AD84" s="33">
        <v>25.9380466832874</v>
      </c>
      <c r="AE84" s="15">
        <v>2.2845622325568401E-3</v>
      </c>
      <c r="AF84" s="15">
        <v>1.6328667998960101E-4</v>
      </c>
      <c r="AG84" s="15">
        <v>8.6700550512701998E-4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4.133139467569334E-3</v>
      </c>
      <c r="AT84" s="12"/>
      <c r="AU84">
        <f t="shared" si="10"/>
        <v>0</v>
      </c>
      <c r="AV84">
        <f t="shared" si="11"/>
        <v>0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1.0708515609318648E-2</v>
      </c>
      <c r="BE84" s="29">
        <f t="shared" si="22"/>
        <v>0</v>
      </c>
      <c r="BF84" s="29">
        <f t="shared" si="23"/>
        <v>1.4841655076887979E-2</v>
      </c>
      <c r="BH84" s="29"/>
    </row>
    <row r="85" spans="1:60" x14ac:dyDescent="0.25">
      <c r="A85" s="1">
        <v>46146</v>
      </c>
      <c r="B85" s="33">
        <v>21</v>
      </c>
      <c r="C85" s="33">
        <v>25.71</v>
      </c>
      <c r="D85" s="15">
        <v>0</v>
      </c>
      <c r="E85" s="15">
        <v>0</v>
      </c>
      <c r="F85" s="33">
        <v>0</v>
      </c>
      <c r="G85" s="33">
        <v>0.19799999999999901</v>
      </c>
      <c r="H85" s="33">
        <v>0</v>
      </c>
      <c r="I85" s="33">
        <v>0.205568</v>
      </c>
      <c r="J85" s="33">
        <v>0.19799999999999901</v>
      </c>
      <c r="K85" s="33">
        <v>0.205568</v>
      </c>
      <c r="L85" s="33">
        <v>21.198</v>
      </c>
      <c r="M85" s="33">
        <v>25.915568</v>
      </c>
      <c r="N85" s="34">
        <v>1.22428571428571</v>
      </c>
      <c r="O85" s="34">
        <v>1.2284375966208501</v>
      </c>
      <c r="P85" s="34">
        <v>1.2262323434886</v>
      </c>
      <c r="Q85" s="34">
        <v>1.2259095672059599</v>
      </c>
      <c r="R85" s="33">
        <v>25.797189529037901</v>
      </c>
      <c r="S85" s="33">
        <v>25.759736695445898</v>
      </c>
      <c r="T85" s="33">
        <v>25.747396897947301</v>
      </c>
      <c r="U85" s="15">
        <v>3.3855317331209999E-3</v>
      </c>
      <c r="V85" s="15">
        <v>1.93265845603509E-3</v>
      </c>
      <c r="W85" s="15">
        <v>1.45350938002248E-3</v>
      </c>
      <c r="X85" s="34">
        <v>1.22254778752712</v>
      </c>
      <c r="Y85" s="34">
        <v>1.2253439668366699</v>
      </c>
      <c r="Z85" s="34">
        <v>1.2224487192047</v>
      </c>
      <c r="AA85" s="34">
        <v>1.22319860210013</v>
      </c>
      <c r="AB85" s="33">
        <v>25.974841409003702</v>
      </c>
      <c r="AC85" s="33">
        <v>25.916960073844798</v>
      </c>
      <c r="AD85" s="33">
        <v>25.933088189613098</v>
      </c>
      <c r="AE85" s="15">
        <v>2.2845622325568401E-3</v>
      </c>
      <c r="AF85" s="15">
        <v>5.3714294745547902E-5</v>
      </c>
      <c r="AG85" s="15">
        <v>6.7582041918034803E-4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4.133139467569334E-3</v>
      </c>
      <c r="AT85" s="12"/>
      <c r="AU85">
        <f t="shared" si="10"/>
        <v>0</v>
      </c>
      <c r="AV85">
        <f t="shared" si="11"/>
        <v>0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1.0708515609318648E-2</v>
      </c>
      <c r="BE85" s="29">
        <f t="shared" si="22"/>
        <v>0</v>
      </c>
      <c r="BF85" s="29">
        <f t="shared" si="23"/>
        <v>1.4841655076887979E-2</v>
      </c>
      <c r="BH85" s="29"/>
    </row>
    <row r="86" spans="1:60" x14ac:dyDescent="0.25">
      <c r="A86" s="1">
        <v>46147</v>
      </c>
      <c r="B86" s="33">
        <v>20.98</v>
      </c>
      <c r="C86" s="33">
        <v>25.71</v>
      </c>
      <c r="D86" s="15">
        <v>-9.5283475527185402E-4</v>
      </c>
      <c r="E86" s="15">
        <v>0</v>
      </c>
      <c r="F86" s="33">
        <v>0</v>
      </c>
      <c r="G86" s="33">
        <v>0.19799999999999901</v>
      </c>
      <c r="H86" s="33">
        <v>0</v>
      </c>
      <c r="I86" s="33">
        <v>0.205568</v>
      </c>
      <c r="J86" s="33">
        <v>0.19799999999999901</v>
      </c>
      <c r="K86" s="33">
        <v>0.205568</v>
      </c>
      <c r="L86" s="33">
        <v>21.178000000000001</v>
      </c>
      <c r="M86" s="33">
        <v>25.915568</v>
      </c>
      <c r="N86" s="34">
        <v>1.22545281220209</v>
      </c>
      <c r="O86" s="34">
        <v>1.2284375966208501</v>
      </c>
      <c r="P86" s="34">
        <v>1.2260589935301001</v>
      </c>
      <c r="Q86" s="34">
        <v>1.2259942307168299</v>
      </c>
      <c r="R86" s="33">
        <v>25.772620777105502</v>
      </c>
      <c r="S86" s="33">
        <v>25.7263545663908</v>
      </c>
      <c r="T86" s="33">
        <v>25.719582719981101</v>
      </c>
      <c r="U86" s="15">
        <v>2.4326969778490299E-3</v>
      </c>
      <c r="V86" s="15">
        <v>6.3591469807248004E-4</v>
      </c>
      <c r="W86" s="15">
        <v>3.7265400904467699E-4</v>
      </c>
      <c r="X86" s="34">
        <v>1.2237023326093099</v>
      </c>
      <c r="Y86" s="34">
        <v>1.2253439668366699</v>
      </c>
      <c r="Z86" s="34">
        <v>1.2225301352512099</v>
      </c>
      <c r="AA86" s="34">
        <v>1.22326252907788</v>
      </c>
      <c r="AB86" s="33">
        <v>25.950334529667</v>
      </c>
      <c r="AC86" s="33">
        <v>25.889018975317299</v>
      </c>
      <c r="AD86" s="33">
        <v>25.904899995276701</v>
      </c>
      <c r="AE86" s="15">
        <v>1.3406316357562401E-3</v>
      </c>
      <c r="AF86" s="15">
        <v>-1.0249681951764299E-3</v>
      </c>
      <c r="AG86" s="15">
        <v>-4.1172939136572097E-4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4.133139467569334E-3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1.0708515609318648E-2</v>
      </c>
      <c r="BE86" s="29">
        <f t="shared" si="22"/>
        <v>0</v>
      </c>
      <c r="BF86" s="29">
        <f t="shared" si="23"/>
        <v>1.4841655076887979E-2</v>
      </c>
      <c r="BH86" s="29"/>
    </row>
    <row r="87" spans="1:60" x14ac:dyDescent="0.25">
      <c r="A87" s="1">
        <v>46148</v>
      </c>
      <c r="B87" s="33">
        <v>21.03</v>
      </c>
      <c r="C87" s="33">
        <v>25.75</v>
      </c>
      <c r="D87" s="15">
        <v>2.3803867464574301E-3</v>
      </c>
      <c r="E87" s="15">
        <v>1.55460583194705E-3</v>
      </c>
      <c r="F87" s="33">
        <v>0</v>
      </c>
      <c r="G87" s="33">
        <v>0.19799999999999901</v>
      </c>
      <c r="H87" s="33">
        <v>0</v>
      </c>
      <c r="I87" s="33">
        <v>0.205568</v>
      </c>
      <c r="J87" s="33">
        <v>0.19799999999999901</v>
      </c>
      <c r="K87" s="33">
        <v>0.205568</v>
      </c>
      <c r="L87" s="33">
        <v>21.228000000000002</v>
      </c>
      <c r="M87" s="33">
        <v>25.955568</v>
      </c>
      <c r="N87" s="34">
        <v>1.22444127436994</v>
      </c>
      <c r="O87" s="34">
        <v>1.2284375966208501</v>
      </c>
      <c r="P87" s="34">
        <v>1.22587954682261</v>
      </c>
      <c r="Q87" s="34">
        <v>1.2258699576132499</v>
      </c>
      <c r="R87" s="33">
        <v>25.8340426569366</v>
      </c>
      <c r="S87" s="33">
        <v>25.784020633938098</v>
      </c>
      <c r="T87" s="33">
        <v>25.782658671975</v>
      </c>
      <c r="U87" s="15">
        <v>3.25847789235938E-3</v>
      </c>
      <c r="V87" s="15">
        <v>1.32031766440067E-3</v>
      </c>
      <c r="W87" s="15">
        <v>1.2674943303506701E-3</v>
      </c>
      <c r="X87" s="34">
        <v>1.2227043527416599</v>
      </c>
      <c r="Y87" s="34">
        <v>1.2253439668366699</v>
      </c>
      <c r="Z87" s="34">
        <v>1.2226059241368199</v>
      </c>
      <c r="AA87" s="34">
        <v>1.2231191077958901</v>
      </c>
      <c r="AB87" s="33">
        <v>26.011601728008799</v>
      </c>
      <c r="AC87" s="33">
        <v>25.9518697111127</v>
      </c>
      <c r="AD87" s="33">
        <v>25.967416967265201</v>
      </c>
      <c r="AE87" s="15">
        <v>2.1565057330471902E-3</v>
      </c>
      <c r="AF87" s="15">
        <v>-1.4249552883380701E-4</v>
      </c>
      <c r="AG87" s="15">
        <v>4.5640548124979902E-4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4.133139467569334E-3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1.0708515609318648E-2</v>
      </c>
      <c r="BE87" s="29">
        <f t="shared" ref="BE87:BE150" si="42">AQ87+BB87</f>
        <v>0</v>
      </c>
      <c r="BF87" s="29">
        <f t="shared" ref="BF87:BF150" si="43">BF86+BE87</f>
        <v>1.4841655076887979E-2</v>
      </c>
      <c r="BH87" s="29"/>
    </row>
    <row r="88" spans="1:60" x14ac:dyDescent="0.25">
      <c r="A88" s="1">
        <v>46149</v>
      </c>
      <c r="B88" s="33">
        <v>21.03</v>
      </c>
      <c r="C88" s="33">
        <v>25.73</v>
      </c>
      <c r="D88" s="15">
        <v>0</v>
      </c>
      <c r="E88" s="15">
        <v>-7.7700081609238499E-4</v>
      </c>
      <c r="F88" s="33">
        <v>0</v>
      </c>
      <c r="G88" s="33">
        <v>0.19799999999999901</v>
      </c>
      <c r="H88" s="33">
        <v>0</v>
      </c>
      <c r="I88" s="33">
        <v>0.205568</v>
      </c>
      <c r="J88" s="33">
        <v>0.19799999999999901</v>
      </c>
      <c r="K88" s="33">
        <v>0.205568</v>
      </c>
      <c r="L88" s="33">
        <v>21.228000000000002</v>
      </c>
      <c r="M88" s="33">
        <v>25.935568</v>
      </c>
      <c r="N88" s="34">
        <v>1.2234902520209201</v>
      </c>
      <c r="O88" s="34">
        <v>1.2284375966208501</v>
      </c>
      <c r="P88" s="34">
        <v>1.2256049978802099</v>
      </c>
      <c r="Q88" s="34">
        <v>1.22573494640477</v>
      </c>
      <c r="R88" s="33">
        <v>25.8340426569366</v>
      </c>
      <c r="S88" s="33">
        <v>25.780246869679502</v>
      </c>
      <c r="T88" s="33">
        <v>25.780045208606701</v>
      </c>
      <c r="U88" s="15">
        <v>4.0354787084516701E-3</v>
      </c>
      <c r="V88" s="15">
        <v>1.9509471870375701E-3</v>
      </c>
      <c r="W88" s="15">
        <v>1.9431248468361501E-3</v>
      </c>
      <c r="X88" s="34">
        <v>1.2217622008667699</v>
      </c>
      <c r="Y88" s="34">
        <v>1.2253439668366699</v>
      </c>
      <c r="Z88" s="34">
        <v>1.22258749783495</v>
      </c>
      <c r="AA88" s="34">
        <v>1.2229652000589299</v>
      </c>
      <c r="AB88" s="33">
        <v>26.011601728008799</v>
      </c>
      <c r="AC88" s="33">
        <v>25.953478557576599</v>
      </c>
      <c r="AD88" s="33">
        <v>25.964372420291198</v>
      </c>
      <c r="AE88" s="15">
        <v>2.9273503331859502E-3</v>
      </c>
      <c r="AF88" s="15">
        <v>6.9034062007850602E-4</v>
      </c>
      <c r="AG88" s="15">
        <v>1.10999831658474E-3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4.133139467569334E-3</v>
      </c>
      <c r="AT88" s="12"/>
      <c r="AU88">
        <f t="shared" si="30"/>
        <v>0</v>
      </c>
      <c r="AV88">
        <f t="shared" si="31"/>
        <v>0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1.0708515609318648E-2</v>
      </c>
      <c r="BE88" s="29">
        <f t="shared" si="42"/>
        <v>0</v>
      </c>
      <c r="BF88" s="29">
        <f t="shared" si="43"/>
        <v>1.4841655076887979E-2</v>
      </c>
      <c r="BH88" s="29"/>
    </row>
    <row r="89" spans="1:60" x14ac:dyDescent="0.25">
      <c r="A89" s="1">
        <v>46150</v>
      </c>
      <c r="B89" s="33">
        <v>21.05</v>
      </c>
      <c r="C89" s="33">
        <v>25.75</v>
      </c>
      <c r="D89" s="15">
        <v>9.5057041378202901E-4</v>
      </c>
      <c r="E89" s="15">
        <v>7.7700081609222398E-4</v>
      </c>
      <c r="F89" s="33">
        <v>0</v>
      </c>
      <c r="G89" s="33">
        <v>0.19799999999999901</v>
      </c>
      <c r="H89" s="33">
        <v>0</v>
      </c>
      <c r="I89" s="33">
        <v>0.205568</v>
      </c>
      <c r="J89" s="33">
        <v>0.19799999999999901</v>
      </c>
      <c r="K89" s="33">
        <v>0.205568</v>
      </c>
      <c r="L89" s="33">
        <v>21.248000000000001</v>
      </c>
      <c r="M89" s="33">
        <v>25.955568</v>
      </c>
      <c r="N89" s="34">
        <v>1.2232779097387101</v>
      </c>
      <c r="O89" s="34">
        <v>1.2284375966208501</v>
      </c>
      <c r="P89" s="34">
        <v>1.2252141576753799</v>
      </c>
      <c r="Q89" s="34">
        <v>1.22563458333658</v>
      </c>
      <c r="R89" s="33">
        <v>25.858611408868999</v>
      </c>
      <c r="S89" s="33">
        <v>25.7989852053786</v>
      </c>
      <c r="T89" s="33">
        <v>25.8017206218206</v>
      </c>
      <c r="U89" s="15">
        <v>4.2090483061415001E-3</v>
      </c>
      <c r="V89" s="15">
        <v>1.9005309193988399E-3</v>
      </c>
      <c r="W89" s="15">
        <v>2.00655336233637E-3</v>
      </c>
      <c r="X89" s="34">
        <v>1.22155346385542</v>
      </c>
      <c r="Y89" s="34">
        <v>1.2253439668366699</v>
      </c>
      <c r="Z89" s="34">
        <v>1.22245402700607</v>
      </c>
      <c r="AA89" s="34">
        <v>1.2228456792176201</v>
      </c>
      <c r="AB89" s="33">
        <v>26.036108607345501</v>
      </c>
      <c r="AC89" s="33">
        <v>25.977539153997199</v>
      </c>
      <c r="AD89" s="33">
        <v>25.985564570852102</v>
      </c>
      <c r="AE89" s="15">
        <v>3.0982140614219701E-3</v>
      </c>
      <c r="AF89" s="15">
        <v>8.4613290103703696E-4</v>
      </c>
      <c r="AG89" s="15">
        <v>1.1550219528257599E-3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4.133139467569334E-3</v>
      </c>
      <c r="AT89" s="12"/>
      <c r="AU89">
        <f t="shared" si="30"/>
        <v>0</v>
      </c>
      <c r="AV89">
        <f t="shared" si="31"/>
        <v>0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1.0708515609318648E-2</v>
      </c>
      <c r="BE89" s="29">
        <f t="shared" si="42"/>
        <v>0</v>
      </c>
      <c r="BF89" s="29">
        <f t="shared" si="43"/>
        <v>1.4841655076887979E-2</v>
      </c>
      <c r="BH89" s="29"/>
    </row>
    <row r="90" spans="1:60" x14ac:dyDescent="0.25">
      <c r="A90" s="1">
        <v>46153</v>
      </c>
      <c r="B90" s="33">
        <v>21.05</v>
      </c>
      <c r="C90" s="33">
        <v>25.73</v>
      </c>
      <c r="D90" s="15">
        <v>0</v>
      </c>
      <c r="E90" s="15">
        <v>-7.7700081609238499E-4</v>
      </c>
      <c r="F90" s="33">
        <v>0</v>
      </c>
      <c r="G90" s="33">
        <v>0.19799999999999901</v>
      </c>
      <c r="H90" s="33">
        <v>0</v>
      </c>
      <c r="I90" s="33">
        <v>0.205568</v>
      </c>
      <c r="J90" s="33">
        <v>0.19799999999999901</v>
      </c>
      <c r="K90" s="33">
        <v>0.205568</v>
      </c>
      <c r="L90" s="33">
        <v>21.248000000000001</v>
      </c>
      <c r="M90" s="33">
        <v>25.935568</v>
      </c>
      <c r="N90" s="34">
        <v>1.2223277909738699</v>
      </c>
      <c r="O90" s="34">
        <v>1.2284375966208501</v>
      </c>
      <c r="P90" s="34">
        <v>1.2247866042311999</v>
      </c>
      <c r="Q90" s="34">
        <v>1.2255633244292099</v>
      </c>
      <c r="R90" s="33">
        <v>25.858611408868999</v>
      </c>
      <c r="S90" s="33">
        <v>25.7907580190668</v>
      </c>
      <c r="T90" s="33">
        <v>25.799607979234999</v>
      </c>
      <c r="U90" s="15">
        <v>4.9860491222337598E-3</v>
      </c>
      <c r="V90" s="15">
        <v>2.3585851438893599E-3</v>
      </c>
      <c r="W90" s="15">
        <v>2.70167091518722E-3</v>
      </c>
      <c r="X90" s="34">
        <v>1.2206121987951799</v>
      </c>
      <c r="Y90" s="34">
        <v>1.2253439668366699</v>
      </c>
      <c r="Z90" s="34">
        <v>1.2222839827666101</v>
      </c>
      <c r="AA90" s="34">
        <v>1.22275514229697</v>
      </c>
      <c r="AB90" s="33">
        <v>26.036108607345501</v>
      </c>
      <c r="AC90" s="33">
        <v>25.974703165825002</v>
      </c>
      <c r="AD90" s="33">
        <v>25.983024992016102</v>
      </c>
      <c r="AE90" s="15">
        <v>3.8690586615606798E-3</v>
      </c>
      <c r="AF90" s="15">
        <v>1.50780076314396E-3</v>
      </c>
      <c r="AG90" s="15">
        <v>1.82813140719846E-3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4.133139467569334E-3</v>
      </c>
      <c r="AT90" s="12"/>
      <c r="AU90">
        <f t="shared" si="30"/>
        <v>0</v>
      </c>
      <c r="AV90">
        <f t="shared" si="31"/>
        <v>0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1.0708515609318648E-2</v>
      </c>
      <c r="BE90" s="29">
        <f t="shared" si="42"/>
        <v>0</v>
      </c>
      <c r="BF90" s="29">
        <f t="shared" si="43"/>
        <v>1.4841655076887979E-2</v>
      </c>
      <c r="BH90" s="29"/>
    </row>
    <row r="91" spans="1:60" x14ac:dyDescent="0.25">
      <c r="A91" s="1">
        <v>46154</v>
      </c>
      <c r="B91" s="33">
        <v>21</v>
      </c>
      <c r="C91" s="33">
        <v>25.7</v>
      </c>
      <c r="D91" s="15">
        <v>-2.3781224049674301E-3</v>
      </c>
      <c r="E91" s="15">
        <v>-1.1666343924787101E-3</v>
      </c>
      <c r="F91" s="33">
        <v>0</v>
      </c>
      <c r="G91" s="33">
        <v>0.19799999999999901</v>
      </c>
      <c r="H91" s="33">
        <v>0</v>
      </c>
      <c r="I91" s="33">
        <v>0.205568</v>
      </c>
      <c r="J91" s="33">
        <v>0.19799999999999901</v>
      </c>
      <c r="K91" s="33">
        <v>0.205568</v>
      </c>
      <c r="L91" s="33">
        <v>21.198</v>
      </c>
      <c r="M91" s="33">
        <v>25.905567999999999</v>
      </c>
      <c r="N91" s="34">
        <v>1.2238095238095199</v>
      </c>
      <c r="O91" s="34">
        <v>1.2284375966208501</v>
      </c>
      <c r="P91" s="34">
        <v>1.2244273092287099</v>
      </c>
      <c r="Q91" s="34">
        <v>1.22554239919451</v>
      </c>
      <c r="R91" s="33">
        <v>25.797189529037901</v>
      </c>
      <c r="S91" s="33">
        <v>25.720518688855201</v>
      </c>
      <c r="T91" s="33">
        <v>25.7368298130135</v>
      </c>
      <c r="U91" s="15">
        <v>3.7745611097450898E-3</v>
      </c>
      <c r="V91" s="15">
        <v>7.9807401665828496E-4</v>
      </c>
      <c r="W91" s="15">
        <v>1.43204079417447E-3</v>
      </c>
      <c r="X91" s="34">
        <v>1.22207604490989</v>
      </c>
      <c r="Y91" s="34">
        <v>1.2253439668366699</v>
      </c>
      <c r="Z91" s="34">
        <v>1.2221817606952501</v>
      </c>
      <c r="AA91" s="34">
        <v>1.22271420943845</v>
      </c>
      <c r="AB91" s="33">
        <v>25.974841409003702</v>
      </c>
      <c r="AC91" s="33">
        <v>25.9099758666867</v>
      </c>
      <c r="AD91" s="33">
        <v>25.9199635064113</v>
      </c>
      <c r="AE91" s="15">
        <v>2.67050514681977E-3</v>
      </c>
      <c r="AF91" s="15">
        <v>1.7013684961802799E-4</v>
      </c>
      <c r="AG91" s="15">
        <v>5.5553725598809502E-4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4.133139467569334E-3</v>
      </c>
      <c r="AT91" s="12"/>
      <c r="AU91">
        <f t="shared" si="30"/>
        <v>0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1.0708515609318648E-2</v>
      </c>
      <c r="BE91" s="29">
        <f t="shared" si="42"/>
        <v>0</v>
      </c>
      <c r="BF91" s="29">
        <f t="shared" si="43"/>
        <v>1.4841655076887979E-2</v>
      </c>
      <c r="BH91" s="29"/>
    </row>
    <row r="92" spans="1:60" x14ac:dyDescent="0.25">
      <c r="A92" s="1">
        <v>46155</v>
      </c>
      <c r="B92" s="33">
        <v>20.96</v>
      </c>
      <c r="C92" s="33">
        <v>25.68</v>
      </c>
      <c r="D92" s="15">
        <v>-1.90657827058153E-3</v>
      </c>
      <c r="E92" s="15">
        <v>-7.7851307941368601E-4</v>
      </c>
      <c r="F92" s="33">
        <v>0</v>
      </c>
      <c r="G92" s="33">
        <v>0.19799999999999901</v>
      </c>
      <c r="H92" s="33">
        <v>0</v>
      </c>
      <c r="I92" s="33">
        <v>0.205568</v>
      </c>
      <c r="J92" s="33">
        <v>0.19799999999999901</v>
      </c>
      <c r="K92" s="33">
        <v>0.205568</v>
      </c>
      <c r="L92" s="33">
        <v>21.158000000000001</v>
      </c>
      <c r="M92" s="33">
        <v>25.885567999999999</v>
      </c>
      <c r="N92" s="34">
        <v>1.22519083969465</v>
      </c>
      <c r="O92" s="34">
        <v>1.2284375966208501</v>
      </c>
      <c r="P92" s="34">
        <v>1.2242905150449099</v>
      </c>
      <c r="Q92" s="34">
        <v>1.225490154107</v>
      </c>
      <c r="R92" s="33">
        <v>25.748052025173099</v>
      </c>
      <c r="S92" s="33">
        <v>25.6639964014337</v>
      </c>
      <c r="T92" s="33">
        <v>25.687368687117001</v>
      </c>
      <c r="U92" s="15">
        <v>2.6464959185770599E-3</v>
      </c>
      <c r="V92" s="15">
        <v>-6.2338735611289805E-4</v>
      </c>
      <c r="W92" s="15">
        <v>2.86901484578909E-4</v>
      </c>
      <c r="X92" s="34">
        <v>1.2234411570091599</v>
      </c>
      <c r="Y92" s="34">
        <v>1.2253439668366699</v>
      </c>
      <c r="Z92" s="34">
        <v>1.2222998343365601</v>
      </c>
      <c r="AA92" s="34">
        <v>1.22264187450087</v>
      </c>
      <c r="AB92" s="33">
        <v>25.925827650330199</v>
      </c>
      <c r="AC92" s="33">
        <v>25.858921692790101</v>
      </c>
      <c r="AD92" s="33">
        <v>25.870187243298702</v>
      </c>
      <c r="AE92" s="15">
        <v>1.5540850783043901E-3</v>
      </c>
      <c r="AF92" s="15">
        <v>-1.0299187304163E-3</v>
      </c>
      <c r="AG92" s="15">
        <v>-5.9435929711610595E-4</v>
      </c>
      <c r="AI92" s="12"/>
      <c r="AJ92">
        <f t="shared" si="26"/>
        <v>0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4.133139467569334E-3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1.0708515609318648E-2</v>
      </c>
      <c r="BE92" s="29">
        <f t="shared" si="42"/>
        <v>0</v>
      </c>
      <c r="BF92" s="29">
        <f t="shared" si="43"/>
        <v>1.4841655076887979E-2</v>
      </c>
      <c r="BH92" s="29"/>
    </row>
    <row r="93" spans="1:60" x14ac:dyDescent="0.25">
      <c r="A93" s="1">
        <v>46156</v>
      </c>
      <c r="B93" s="33">
        <v>20.98</v>
      </c>
      <c r="C93" s="33">
        <v>25.68</v>
      </c>
      <c r="D93" s="15">
        <v>9.5374351530963498E-4</v>
      </c>
      <c r="E93" s="15">
        <v>0</v>
      </c>
      <c r="F93" s="33">
        <v>0</v>
      </c>
      <c r="G93" s="33">
        <v>0.19799999999999901</v>
      </c>
      <c r="H93" s="33">
        <v>0</v>
      </c>
      <c r="I93" s="33">
        <v>0.205568</v>
      </c>
      <c r="J93" s="33">
        <v>0.19799999999999901</v>
      </c>
      <c r="K93" s="33">
        <v>0.205568</v>
      </c>
      <c r="L93" s="33">
        <v>21.178000000000001</v>
      </c>
      <c r="M93" s="33">
        <v>25.885567999999999</v>
      </c>
      <c r="N93" s="34">
        <v>1.22402287893231</v>
      </c>
      <c r="O93" s="34">
        <v>1.2284375966208501</v>
      </c>
      <c r="P93" s="34">
        <v>1.22405847103134</v>
      </c>
      <c r="Q93" s="34">
        <v>1.22540327523993</v>
      </c>
      <c r="R93" s="33">
        <v>25.772620777105502</v>
      </c>
      <c r="S93" s="33">
        <v>25.685615005642301</v>
      </c>
      <c r="T93" s="33">
        <v>25.710783433164899</v>
      </c>
      <c r="U93" s="15">
        <v>3.6002394338867801E-3</v>
      </c>
      <c r="V93" s="15">
        <v>2.1862896663830901E-4</v>
      </c>
      <c r="W93" s="15">
        <v>1.19801391573728E-3</v>
      </c>
      <c r="X93" s="34">
        <v>1.2222857682500701</v>
      </c>
      <c r="Y93" s="34">
        <v>1.2253439668366699</v>
      </c>
      <c r="Z93" s="34">
        <v>1.2223233094091699</v>
      </c>
      <c r="AA93" s="34">
        <v>1.22253536950232</v>
      </c>
      <c r="AB93" s="33">
        <v>25.950334529667</v>
      </c>
      <c r="AC93" s="33">
        <v>25.885865891579801</v>
      </c>
      <c r="AD93" s="33">
        <v>25.893109618179501</v>
      </c>
      <c r="AE93" s="15">
        <v>2.49890752198422E-3</v>
      </c>
      <c r="AF93" s="15">
        <v>1.1507951682334501E-5</v>
      </c>
      <c r="AG93" s="15">
        <v>2.9130207953686799E-4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4.133139467569334E-3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1.0708515609318648E-2</v>
      </c>
      <c r="BE93" s="29">
        <f t="shared" si="42"/>
        <v>0</v>
      </c>
      <c r="BF93" s="29">
        <f t="shared" si="43"/>
        <v>1.4841655076887979E-2</v>
      </c>
      <c r="BH93" s="29"/>
    </row>
    <row r="94" spans="1:60" x14ac:dyDescent="0.25">
      <c r="A94" s="1">
        <v>46157</v>
      </c>
      <c r="B94" s="33">
        <v>20.89</v>
      </c>
      <c r="C94" s="33">
        <v>25.58</v>
      </c>
      <c r="D94" s="15">
        <v>-4.2990273996766498E-3</v>
      </c>
      <c r="E94" s="15">
        <v>-3.9016826710638699E-3</v>
      </c>
      <c r="F94" s="33">
        <v>0</v>
      </c>
      <c r="G94" s="33">
        <v>0.19799999999999901</v>
      </c>
      <c r="H94" s="33">
        <v>0</v>
      </c>
      <c r="I94" s="33">
        <v>0.205568</v>
      </c>
      <c r="J94" s="33">
        <v>0.19799999999999901</v>
      </c>
      <c r="K94" s="33">
        <v>0.205568</v>
      </c>
      <c r="L94" s="33">
        <v>21.088000000000001</v>
      </c>
      <c r="M94" s="33">
        <v>25.785567999999898</v>
      </c>
      <c r="N94" s="34">
        <v>1.2245093346098599</v>
      </c>
      <c r="O94" s="34">
        <v>1.2284375966208501</v>
      </c>
      <c r="P94" s="34">
        <v>1.22408083306376</v>
      </c>
      <c r="Q94" s="34">
        <v>1.2253674807091599</v>
      </c>
      <c r="R94" s="33">
        <v>25.662061393409601</v>
      </c>
      <c r="S94" s="33">
        <v>25.570581459844799</v>
      </c>
      <c r="T94" s="33">
        <v>25.598674419762201</v>
      </c>
      <c r="U94" s="15">
        <v>3.2028947052739698E-3</v>
      </c>
      <c r="V94" s="15">
        <v>-3.6826718261174498E-4</v>
      </c>
      <c r="W94" s="15">
        <v>7.2977351612641198E-4</v>
      </c>
      <c r="X94" s="34">
        <v>1.2227602427921</v>
      </c>
      <c r="Y94" s="34">
        <v>1.2253439668366699</v>
      </c>
      <c r="Z94" s="34">
        <v>1.22234455493567</v>
      </c>
      <c r="AA94" s="34">
        <v>1.22247900625934</v>
      </c>
      <c r="AB94" s="33">
        <v>25.840053572651701</v>
      </c>
      <c r="AC94" s="33">
        <v>25.776353948820599</v>
      </c>
      <c r="AD94" s="33">
        <v>25.780825872065002</v>
      </c>
      <c r="AE94" s="15">
        <v>2.1107965859514998E-3</v>
      </c>
      <c r="AF94" s="15">
        <v>-3.5739751076585102E-4</v>
      </c>
      <c r="AG94" s="15">
        <v>-1.8392319463128801E-4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0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4.133139467569334E-3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0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1.0708515609318648E-2</v>
      </c>
      <c r="BE94" s="29">
        <f t="shared" si="42"/>
        <v>0</v>
      </c>
      <c r="BF94" s="29">
        <f t="shared" si="43"/>
        <v>1.4841655076887979E-2</v>
      </c>
      <c r="BH94" s="29"/>
    </row>
    <row r="95" spans="1:60" x14ac:dyDescent="0.25">
      <c r="A95" s="1">
        <v>46160</v>
      </c>
      <c r="B95" s="33">
        <v>20.84</v>
      </c>
      <c r="C95" s="33">
        <v>25.57</v>
      </c>
      <c r="D95" s="15">
        <v>-2.3963586833082298E-3</v>
      </c>
      <c r="E95" s="15">
        <v>-3.9100684760134399E-4</v>
      </c>
      <c r="F95" s="33">
        <v>5.2999999999999999E-2</v>
      </c>
      <c r="G95" s="33">
        <v>0.251</v>
      </c>
      <c r="H95" s="33">
        <v>0</v>
      </c>
      <c r="I95" s="33">
        <v>0.205568</v>
      </c>
      <c r="J95" s="33">
        <v>0.251</v>
      </c>
      <c r="K95" s="33">
        <v>0.205568</v>
      </c>
      <c r="L95" s="33">
        <v>21.091000000000001</v>
      </c>
      <c r="M95" s="33">
        <v>25.775568</v>
      </c>
      <c r="N95" s="34">
        <v>1.2269673704414501</v>
      </c>
      <c r="O95" s="34">
        <v>1.2284375966208501</v>
      </c>
      <c r="P95" s="34">
        <v>1.2243489986793299</v>
      </c>
      <c r="Q95" s="34">
        <v>1.2252906710839699</v>
      </c>
      <c r="R95" s="33">
        <v>25.600639513578599</v>
      </c>
      <c r="S95" s="33">
        <v>25.509844561048801</v>
      </c>
      <c r="T95" s="33">
        <v>25.536658297978999</v>
      </c>
      <c r="U95" s="15">
        <v>1.19754286956709E-3</v>
      </c>
      <c r="V95" s="15">
        <v>-2.3553504235715502E-3</v>
      </c>
      <c r="W95" s="15">
        <v>-1.30478915513788E-3</v>
      </c>
      <c r="X95" s="34">
        <v>1.2221121805509401</v>
      </c>
      <c r="Y95" s="34">
        <v>1.2253439668366699</v>
      </c>
      <c r="Z95" s="34">
        <v>1.2223009942380501</v>
      </c>
      <c r="AA95" s="34">
        <v>1.2223748567213799</v>
      </c>
      <c r="AB95" s="33">
        <v>25.843729604552198</v>
      </c>
      <c r="AC95" s="33">
        <v>25.780469008148199</v>
      </c>
      <c r="AD95" s="33">
        <v>25.783304721015799</v>
      </c>
      <c r="AE95" s="15">
        <v>2.64093652303273E-3</v>
      </c>
      <c r="AF95" s="15">
        <v>1.9012354119706901E-4</v>
      </c>
      <c r="AG95" s="15">
        <v>3.0011211128682302E-4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4.133139467569334E-3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1.0708515609318648E-2</v>
      </c>
      <c r="BE95" s="29">
        <f t="shared" si="42"/>
        <v>0</v>
      </c>
      <c r="BF95" s="29">
        <f t="shared" si="43"/>
        <v>1.4841655076887979E-2</v>
      </c>
      <c r="BH95" s="29"/>
    </row>
    <row r="96" spans="1:60" x14ac:dyDescent="0.25">
      <c r="A96" s="1">
        <v>46161</v>
      </c>
      <c r="B96" s="33">
        <v>20.79</v>
      </c>
      <c r="C96" s="33">
        <v>25.51</v>
      </c>
      <c r="D96" s="15">
        <v>-2.40211501524462E-3</v>
      </c>
      <c r="E96" s="15">
        <v>-2.3492571493752101E-3</v>
      </c>
      <c r="F96" s="33">
        <v>0</v>
      </c>
      <c r="G96" s="33">
        <v>0.251</v>
      </c>
      <c r="H96" s="33">
        <v>0</v>
      </c>
      <c r="I96" s="33">
        <v>0.205568</v>
      </c>
      <c r="J96" s="33">
        <v>0.251</v>
      </c>
      <c r="K96" s="33">
        <v>0.205568</v>
      </c>
      <c r="L96" s="33">
        <v>21.041</v>
      </c>
      <c r="M96" s="33">
        <v>25.715568000000001</v>
      </c>
      <c r="N96" s="34">
        <v>1.22703222703222</v>
      </c>
      <c r="O96" s="34">
        <v>1.2284375966208501</v>
      </c>
      <c r="P96" s="34">
        <v>1.2245069401623501</v>
      </c>
      <c r="Q96" s="34">
        <v>1.22528296684622</v>
      </c>
      <c r="R96" s="33">
        <v>25.539217633747501</v>
      </c>
      <c r="S96" s="33">
        <v>25.454215682543399</v>
      </c>
      <c r="T96" s="33">
        <v>25.473793051835699</v>
      </c>
      <c r="U96" s="15">
        <v>1.1446850036975001E-3</v>
      </c>
      <c r="V96" s="15">
        <v>-2.1891571954133701E-3</v>
      </c>
      <c r="W96" s="15">
        <v>-1.4203319166257E-3</v>
      </c>
      <c r="X96" s="34">
        <v>1.2221647260111199</v>
      </c>
      <c r="Y96" s="34">
        <v>1.2253439668366699</v>
      </c>
      <c r="Z96" s="34">
        <v>1.22214723357823</v>
      </c>
      <c r="AA96" s="34">
        <v>1.2223386844147199</v>
      </c>
      <c r="AB96" s="33">
        <v>25.782462406210399</v>
      </c>
      <c r="AC96" s="33">
        <v>25.718435219762899</v>
      </c>
      <c r="AD96" s="33">
        <v>25.7199893602745</v>
      </c>
      <c r="AE96" s="15">
        <v>2.59794183610322E-3</v>
      </c>
      <c r="AF96" s="15">
        <v>1.11491215398003E-4</v>
      </c>
      <c r="AG96" s="15">
        <v>1.7191843589843699E-4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4.133139467569334E-3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1.0708515609318648E-2</v>
      </c>
      <c r="BE96" s="29">
        <f t="shared" si="42"/>
        <v>0</v>
      </c>
      <c r="BF96" s="29">
        <f t="shared" si="43"/>
        <v>1.4841655076887979E-2</v>
      </c>
      <c r="BH96" s="29"/>
    </row>
    <row r="97" spans="1:60" x14ac:dyDescent="0.25">
      <c r="A97" s="1">
        <v>46162</v>
      </c>
      <c r="B97" s="33">
        <v>20.81</v>
      </c>
      <c r="C97" s="33">
        <v>25.57</v>
      </c>
      <c r="D97" s="15">
        <v>9.6153853562137002E-4</v>
      </c>
      <c r="E97" s="15">
        <v>2.34925714937524E-3</v>
      </c>
      <c r="F97" s="33">
        <v>0</v>
      </c>
      <c r="G97" s="33">
        <v>0.251</v>
      </c>
      <c r="H97" s="33">
        <v>0</v>
      </c>
      <c r="I97" s="33">
        <v>0.205568</v>
      </c>
      <c r="J97" s="33">
        <v>0.251</v>
      </c>
      <c r="K97" s="33">
        <v>0.205568</v>
      </c>
      <c r="L97" s="33">
        <v>21.061</v>
      </c>
      <c r="M97" s="33">
        <v>25.775568</v>
      </c>
      <c r="N97" s="34">
        <v>1.22873618452667</v>
      </c>
      <c r="O97" s="34">
        <v>1.2284375966208501</v>
      </c>
      <c r="P97" s="34">
        <v>1.22493643117802</v>
      </c>
      <c r="Q97" s="34">
        <v>1.22540798900031</v>
      </c>
      <c r="R97" s="33">
        <v>25.56378638568</v>
      </c>
      <c r="S97" s="33">
        <v>25.481989424778501</v>
      </c>
      <c r="T97" s="33">
        <v>25.498138540069998</v>
      </c>
      <c r="U97" s="15">
        <v>-2.4303361005620499E-4</v>
      </c>
      <c r="V97" s="15">
        <v>-3.4478837515070902E-3</v>
      </c>
      <c r="W97" s="15">
        <v>-2.8143382318572998E-3</v>
      </c>
      <c r="X97" s="34">
        <v>1.2238529984331199</v>
      </c>
      <c r="Y97" s="34">
        <v>1.2253439668366699</v>
      </c>
      <c r="Z97" s="34">
        <v>1.22226209814738</v>
      </c>
      <c r="AA97" s="34">
        <v>1.2224340111420999</v>
      </c>
      <c r="AB97" s="33">
        <v>25.806969285547101</v>
      </c>
      <c r="AC97" s="33">
        <v>25.739642886391199</v>
      </c>
      <c r="AD97" s="33">
        <v>25.743675032458398</v>
      </c>
      <c r="AE97" s="15">
        <v>1.21751627890144E-3</v>
      </c>
      <c r="AF97" s="15">
        <v>-1.3947383234729799E-3</v>
      </c>
      <c r="AG97" s="15">
        <v>-1.2380993872695401E-3</v>
      </c>
      <c r="AI97" s="12"/>
      <c r="AJ97">
        <f t="shared" si="26"/>
        <v>1</v>
      </c>
      <c r="AK97">
        <f t="shared" si="27"/>
        <v>0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4.133139467569334E-3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1.0708515609318648E-2</v>
      </c>
      <c r="BE97" s="29">
        <f t="shared" si="42"/>
        <v>0</v>
      </c>
      <c r="BF97" s="29">
        <f t="shared" si="43"/>
        <v>1.4841655076887979E-2</v>
      </c>
      <c r="BH97" s="29"/>
    </row>
    <row r="98" spans="1:60" x14ac:dyDescent="0.25">
      <c r="A98" s="1">
        <v>46163</v>
      </c>
      <c r="B98" s="33">
        <v>20.8</v>
      </c>
      <c r="C98" s="33">
        <v>25.58</v>
      </c>
      <c r="D98" s="15">
        <v>-4.8065369827068497E-4</v>
      </c>
      <c r="E98" s="15">
        <v>3.9100684760132198E-4</v>
      </c>
      <c r="F98" s="33">
        <v>0</v>
      </c>
      <c r="G98" s="33">
        <v>0.251</v>
      </c>
      <c r="H98" s="33">
        <v>0</v>
      </c>
      <c r="I98" s="33">
        <v>0.205568</v>
      </c>
      <c r="J98" s="33">
        <v>0.251</v>
      </c>
      <c r="K98" s="33">
        <v>0.205568</v>
      </c>
      <c r="L98" s="33">
        <v>21.050999999999998</v>
      </c>
      <c r="M98" s="33">
        <v>25.785567999999898</v>
      </c>
      <c r="N98" s="34">
        <v>1.2298076923076899</v>
      </c>
      <c r="O98" s="34">
        <v>1.2284375966208501</v>
      </c>
      <c r="P98" s="34">
        <v>1.22556817520669</v>
      </c>
      <c r="Q98" s="34">
        <v>1.2255865865434501</v>
      </c>
      <c r="R98" s="33">
        <v>25.551502009713801</v>
      </c>
      <c r="S98" s="33">
        <v>25.478677768502799</v>
      </c>
      <c r="T98" s="33">
        <v>25.488486171206599</v>
      </c>
      <c r="U98" s="15">
        <v>-1.11469415592822E-3</v>
      </c>
      <c r="V98" s="15">
        <v>-3.9688597091179301E-3</v>
      </c>
      <c r="W98" s="15">
        <v>-3.5839686511639499E-3</v>
      </c>
      <c r="X98" s="34">
        <v>1.2249094104793099</v>
      </c>
      <c r="Y98" s="34">
        <v>1.2253439668366699</v>
      </c>
      <c r="Z98" s="34">
        <v>1.2225768191086299</v>
      </c>
      <c r="AA98" s="34">
        <v>1.22258215847179</v>
      </c>
      <c r="AB98" s="33">
        <v>25.794715845878699</v>
      </c>
      <c r="AC98" s="33">
        <v>25.729839428100501</v>
      </c>
      <c r="AD98" s="33">
        <v>25.733458368552402</v>
      </c>
      <c r="AE98" s="15">
        <v>3.54703204116458E-4</v>
      </c>
      <c r="AF98" s="15">
        <v>-2.1635699461831398E-3</v>
      </c>
      <c r="AG98" s="15">
        <v>-2.0229283389471202E-3</v>
      </c>
      <c r="AI98" s="12"/>
      <c r="AJ98">
        <f t="shared" si="26"/>
        <v>1</v>
      </c>
      <c r="AK98">
        <f t="shared" si="27"/>
        <v>0</v>
      </c>
      <c r="AL98">
        <f t="shared" si="34"/>
        <v>1</v>
      </c>
      <c r="AM98">
        <f t="shared" si="24"/>
        <v>1</v>
      </c>
      <c r="AN98">
        <f t="shared" si="35"/>
        <v>1</v>
      </c>
      <c r="AO98" s="28">
        <f t="shared" si="28"/>
        <v>-4.8065369827068497E-4</v>
      </c>
      <c r="AP98" s="28">
        <f t="shared" si="29"/>
        <v>-3.9100684760132198E-4</v>
      </c>
      <c r="AQ98" s="28">
        <f t="shared" si="36"/>
        <v>-8.716605458720069E-4</v>
      </c>
      <c r="AR98" s="29">
        <f t="shared" si="37"/>
        <v>3.2614789216973269E-3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1.0708515609318648E-2</v>
      </c>
      <c r="BE98" s="29">
        <f t="shared" si="42"/>
        <v>-8.716605458720069E-4</v>
      </c>
      <c r="BF98" s="29">
        <f t="shared" si="43"/>
        <v>1.3969994531015972E-2</v>
      </c>
      <c r="BH98" s="29"/>
    </row>
    <row r="99" spans="1:60" x14ac:dyDescent="0.25">
      <c r="A99" s="1">
        <v>46164</v>
      </c>
      <c r="B99" s="33">
        <v>20.8</v>
      </c>
      <c r="C99" s="33">
        <v>25.59</v>
      </c>
      <c r="D99" s="15">
        <v>0</v>
      </c>
      <c r="E99" s="15">
        <v>3.90854021000885E-4</v>
      </c>
      <c r="F99" s="33">
        <v>0</v>
      </c>
      <c r="G99" s="33">
        <v>0.251</v>
      </c>
      <c r="H99" s="33">
        <v>0</v>
      </c>
      <c r="I99" s="33">
        <v>0.205568</v>
      </c>
      <c r="J99" s="33">
        <v>0.251</v>
      </c>
      <c r="K99" s="33">
        <v>0.205568</v>
      </c>
      <c r="L99" s="33">
        <v>21.050999999999998</v>
      </c>
      <c r="M99" s="33">
        <v>25.795567999999999</v>
      </c>
      <c r="N99" s="34">
        <v>1.2302884615384599</v>
      </c>
      <c r="O99" s="34">
        <v>1.2284375966208501</v>
      </c>
      <c r="P99" s="34">
        <v>1.22626923038667</v>
      </c>
      <c r="Q99" s="34">
        <v>1.22574169403102</v>
      </c>
      <c r="R99" s="33">
        <v>25.551502009713801</v>
      </c>
      <c r="S99" s="33">
        <v>25.491818044299301</v>
      </c>
      <c r="T99" s="33">
        <v>25.492201000103901</v>
      </c>
      <c r="U99" s="15">
        <v>-1.50554817692903E-3</v>
      </c>
      <c r="V99" s="15">
        <v>-3.84411050209266E-3</v>
      </c>
      <c r="W99" s="15">
        <v>-3.8290879200446599E-3</v>
      </c>
      <c r="X99" s="34">
        <v>1.22538444729466</v>
      </c>
      <c r="Y99" s="34">
        <v>1.2253439668366699</v>
      </c>
      <c r="Z99" s="34">
        <v>1.2229599174525501</v>
      </c>
      <c r="AA99" s="34">
        <v>1.22270697222931</v>
      </c>
      <c r="AB99" s="33">
        <v>25.794715845878699</v>
      </c>
      <c r="AC99" s="33">
        <v>25.736464619055798</v>
      </c>
      <c r="AD99" s="33">
        <v>25.736577017989799</v>
      </c>
      <c r="AE99" s="15">
        <v>-3.3035450002727902E-5</v>
      </c>
      <c r="AF99" s="15">
        <v>-2.2938511778353801E-3</v>
      </c>
      <c r="AG99" s="15">
        <v>-2.2894838845747799E-3</v>
      </c>
      <c r="AI99" s="12"/>
      <c r="AJ99">
        <f t="shared" si="26"/>
        <v>1</v>
      </c>
      <c r="AK99">
        <f t="shared" si="27"/>
        <v>0</v>
      </c>
      <c r="AL99">
        <f t="shared" si="34"/>
        <v>1</v>
      </c>
      <c r="AM99">
        <f t="shared" si="24"/>
        <v>1</v>
      </c>
      <c r="AN99">
        <f t="shared" si="35"/>
        <v>1</v>
      </c>
      <c r="AO99" s="28">
        <f t="shared" si="28"/>
        <v>0</v>
      </c>
      <c r="AP99" s="28">
        <f t="shared" si="29"/>
        <v>-3.90854021000885E-4</v>
      </c>
      <c r="AQ99" s="28">
        <f t="shared" si="36"/>
        <v>-3.90854021000885E-4</v>
      </c>
      <c r="AR99" s="29">
        <f t="shared" si="37"/>
        <v>2.8706249006964419E-3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1.0708515609318648E-2</v>
      </c>
      <c r="BE99" s="29">
        <f t="shared" si="42"/>
        <v>-3.90854021000885E-4</v>
      </c>
      <c r="BF99" s="29">
        <f t="shared" si="43"/>
        <v>1.3579140510015087E-2</v>
      </c>
      <c r="BH99" s="29"/>
    </row>
    <row r="100" spans="1:60" x14ac:dyDescent="0.25">
      <c r="A100" s="1">
        <v>46168</v>
      </c>
      <c r="B100" s="33">
        <v>20.84</v>
      </c>
      <c r="C100" s="33">
        <v>25.67</v>
      </c>
      <c r="D100" s="15">
        <v>1.9212301778938701E-3</v>
      </c>
      <c r="E100" s="15">
        <v>3.1213447113517001E-3</v>
      </c>
      <c r="F100" s="33">
        <v>0</v>
      </c>
      <c r="G100" s="33">
        <v>0.251</v>
      </c>
      <c r="H100" s="33">
        <v>0</v>
      </c>
      <c r="I100" s="33">
        <v>0.205568</v>
      </c>
      <c r="J100" s="33">
        <v>0.251</v>
      </c>
      <c r="K100" s="33">
        <v>0.205568</v>
      </c>
      <c r="L100" s="33">
        <v>21.091000000000001</v>
      </c>
      <c r="M100" s="33">
        <v>25.875568000000001</v>
      </c>
      <c r="N100" s="34">
        <v>1.23176583493282</v>
      </c>
      <c r="O100" s="34">
        <v>1.2284375966208501</v>
      </c>
      <c r="P100" s="34">
        <v>1.2272130347825601</v>
      </c>
      <c r="Q100" s="34">
        <v>1.22599981950688</v>
      </c>
      <c r="R100" s="33">
        <v>25.600639513578599</v>
      </c>
      <c r="S100" s="33">
        <v>25.5554507612582</v>
      </c>
      <c r="T100" s="33">
        <v>25.544456903606601</v>
      </c>
      <c r="U100" s="15">
        <v>-2.7056627103868702E-3</v>
      </c>
      <c r="V100" s="15">
        <v>-4.4723639508958196E-3</v>
      </c>
      <c r="W100" s="15">
        <v>-4.9026527057549497E-3</v>
      </c>
      <c r="X100" s="34">
        <v>1.22685353942439</v>
      </c>
      <c r="Y100" s="34">
        <v>1.2253439668366699</v>
      </c>
      <c r="Z100" s="34">
        <v>1.2235840515154801</v>
      </c>
      <c r="AA100" s="34">
        <v>1.2229340171410401</v>
      </c>
      <c r="AB100" s="33">
        <v>25.843729604552198</v>
      </c>
      <c r="AC100" s="33">
        <v>25.793447618991902</v>
      </c>
      <c r="AD100" s="33">
        <v>25.788112751288502</v>
      </c>
      <c r="AE100" s="15">
        <v>-1.2311999947511899E-3</v>
      </c>
      <c r="AF100" s="15">
        <v>-3.1787116193735601E-3</v>
      </c>
      <c r="AG100" s="15">
        <v>-3.3855633580233799E-3</v>
      </c>
      <c r="AI100" s="12"/>
      <c r="AJ100">
        <f t="shared" si="26"/>
        <v>1</v>
      </c>
      <c r="AK100">
        <f t="shared" si="27"/>
        <v>0</v>
      </c>
      <c r="AL100">
        <f t="shared" si="34"/>
        <v>1</v>
      </c>
      <c r="AM100">
        <f t="shared" si="24"/>
        <v>1</v>
      </c>
      <c r="AN100">
        <f t="shared" si="35"/>
        <v>1</v>
      </c>
      <c r="AO100" s="28">
        <f t="shared" si="28"/>
        <v>1.9212301778938701E-3</v>
      </c>
      <c r="AP100" s="28">
        <f t="shared" si="29"/>
        <v>-3.1213447113517001E-3</v>
      </c>
      <c r="AQ100" s="28">
        <f t="shared" si="36"/>
        <v>-1.2001145334578299E-3</v>
      </c>
      <c r="AR100" s="29">
        <f t="shared" si="37"/>
        <v>1.670510367238612E-3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1.0708515609318648E-2</v>
      </c>
      <c r="BE100" s="29">
        <f t="shared" si="42"/>
        <v>-1.2001145334578299E-3</v>
      </c>
      <c r="BF100" s="29">
        <f t="shared" si="43"/>
        <v>1.2379025976557257E-2</v>
      </c>
      <c r="BH100" s="29"/>
    </row>
    <row r="101" spans="1:60" x14ac:dyDescent="0.25">
      <c r="A101" s="1">
        <v>46169</v>
      </c>
      <c r="B101" s="33">
        <v>20.87</v>
      </c>
      <c r="C101" s="33">
        <v>25.69</v>
      </c>
      <c r="D101" s="15">
        <v>1.4385042039432999E-3</v>
      </c>
      <c r="E101" s="15">
        <v>7.78816238743236E-4</v>
      </c>
      <c r="F101" s="33">
        <v>0</v>
      </c>
      <c r="G101" s="33">
        <v>0.251</v>
      </c>
      <c r="H101" s="33">
        <v>0</v>
      </c>
      <c r="I101" s="33">
        <v>0.205568</v>
      </c>
      <c r="J101" s="33">
        <v>0.251</v>
      </c>
      <c r="K101" s="33">
        <v>0.205568</v>
      </c>
      <c r="L101" s="33">
        <v>21.120999999999999</v>
      </c>
      <c r="M101" s="33">
        <v>25.895568000000001</v>
      </c>
      <c r="N101" s="34">
        <v>1.2309535218016201</v>
      </c>
      <c r="O101" s="34">
        <v>1.2284375966208501</v>
      </c>
      <c r="P101" s="34">
        <v>1.2279274345817699</v>
      </c>
      <c r="Q101" s="34">
        <v>1.22617737190524</v>
      </c>
      <c r="R101" s="33">
        <v>25.637492641477198</v>
      </c>
      <c r="S101" s="33">
        <v>25.611936035912201</v>
      </c>
      <c r="T101" s="33">
        <v>25.5866162331087</v>
      </c>
      <c r="U101" s="15">
        <v>-2.04597474518669E-3</v>
      </c>
      <c r="V101" s="15">
        <v>-3.0433168948654499E-3</v>
      </c>
      <c r="W101" s="15">
        <v>-4.0323997398112503E-3</v>
      </c>
      <c r="X101" s="34">
        <v>1.2260578571090299</v>
      </c>
      <c r="Y101" s="34">
        <v>1.2253439668366699</v>
      </c>
      <c r="Z101" s="34">
        <v>1.22398223273539</v>
      </c>
      <c r="AA101" s="34">
        <v>1.2230819967153199</v>
      </c>
      <c r="AB101" s="33">
        <v>25.880489923557299</v>
      </c>
      <c r="AC101" s="33">
        <v>25.843318752058401</v>
      </c>
      <c r="AD101" s="33">
        <v>25.829589376036001</v>
      </c>
      <c r="AE101" s="15">
        <v>-5.8243433253157004E-4</v>
      </c>
      <c r="AF101" s="15">
        <v>-2.0197290271676501E-3</v>
      </c>
      <c r="AG101" s="15">
        <v>-2.55112456277154E-3</v>
      </c>
      <c r="AI101" s="12"/>
      <c r="AJ101">
        <f t="shared" si="26"/>
        <v>1</v>
      </c>
      <c r="AK101">
        <f t="shared" si="27"/>
        <v>0</v>
      </c>
      <c r="AL101">
        <f t="shared" si="34"/>
        <v>1</v>
      </c>
      <c r="AM101">
        <f t="shared" si="24"/>
        <v>1</v>
      </c>
      <c r="AN101">
        <f t="shared" si="35"/>
        <v>1</v>
      </c>
      <c r="AO101" s="28">
        <f t="shared" si="28"/>
        <v>1.4385042039432999E-3</v>
      </c>
      <c r="AP101" s="28">
        <f t="shared" si="29"/>
        <v>-7.78816238743236E-4</v>
      </c>
      <c r="AQ101" s="28">
        <f t="shared" si="36"/>
        <v>6.5968796520006392E-4</v>
      </c>
      <c r="AR101" s="29">
        <f t="shared" si="37"/>
        <v>2.3301983324386759E-3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1.0708515609318648E-2</v>
      </c>
      <c r="BE101" s="29">
        <f t="shared" si="42"/>
        <v>6.5968796520006392E-4</v>
      </c>
      <c r="BF101" s="29">
        <f t="shared" si="43"/>
        <v>1.3038713941757322E-2</v>
      </c>
      <c r="BH101" s="29"/>
    </row>
    <row r="102" spans="1:60" x14ac:dyDescent="0.25">
      <c r="A102" s="1">
        <v>46170</v>
      </c>
      <c r="B102" s="33">
        <v>20.93</v>
      </c>
      <c r="C102" s="33">
        <v>25.73</v>
      </c>
      <c r="D102" s="15">
        <v>2.8708153687989602E-3</v>
      </c>
      <c r="E102" s="15">
        <v>1.55581517186045E-3</v>
      </c>
      <c r="F102" s="33">
        <v>0</v>
      </c>
      <c r="G102" s="33">
        <v>0.251</v>
      </c>
      <c r="H102" s="33">
        <v>0</v>
      </c>
      <c r="I102" s="33">
        <v>0.205568</v>
      </c>
      <c r="J102" s="33">
        <v>0.251</v>
      </c>
      <c r="K102" s="33">
        <v>0.205568</v>
      </c>
      <c r="L102" s="33">
        <v>21.181000000000001</v>
      </c>
      <c r="M102" s="33">
        <v>25.935568</v>
      </c>
      <c r="N102" s="34">
        <v>1.2293358815097899</v>
      </c>
      <c r="O102" s="34">
        <v>1.2284375966208501</v>
      </c>
      <c r="P102" s="34">
        <v>1.2283419387632899</v>
      </c>
      <c r="Q102" s="34">
        <v>1.2263162269040999</v>
      </c>
      <c r="R102" s="33">
        <v>25.7111988972745</v>
      </c>
      <c r="S102" s="33">
        <v>25.700521205796601</v>
      </c>
      <c r="T102" s="33">
        <v>25.663892393976699</v>
      </c>
      <c r="U102" s="15">
        <v>-7.3097454824824499E-4</v>
      </c>
      <c r="V102" s="15">
        <v>-1.14635421693046E-3</v>
      </c>
      <c r="W102" s="15">
        <v>-2.5725874964256002E-3</v>
      </c>
      <c r="X102" s="34">
        <v>1.2244732543317101</v>
      </c>
      <c r="Y102" s="34">
        <v>1.2253439668366699</v>
      </c>
      <c r="Z102" s="34">
        <v>1.22408544246764</v>
      </c>
      <c r="AA102" s="34">
        <v>1.2231926384020999</v>
      </c>
      <c r="AB102" s="33">
        <v>25.9540105615675</v>
      </c>
      <c r="AC102" s="33">
        <v>25.925167671568399</v>
      </c>
      <c r="AD102" s="33">
        <v>25.906099772427201</v>
      </c>
      <c r="AE102" s="15">
        <v>7.1083877939873597E-4</v>
      </c>
      <c r="AF102" s="15">
        <v>-4.01086812068368E-4</v>
      </c>
      <c r="AG102" s="15">
        <v>-1.13685504393498E-3</v>
      </c>
      <c r="AI102" s="12"/>
      <c r="AJ102">
        <f t="shared" si="26"/>
        <v>1</v>
      </c>
      <c r="AK102">
        <f t="shared" si="27"/>
        <v>0</v>
      </c>
      <c r="AL102">
        <f t="shared" si="34"/>
        <v>1</v>
      </c>
      <c r="AM102">
        <f t="shared" si="24"/>
        <v>1</v>
      </c>
      <c r="AN102">
        <f t="shared" si="35"/>
        <v>1</v>
      </c>
      <c r="AO102" s="28">
        <f t="shared" si="28"/>
        <v>2.8708153687989602E-3</v>
      </c>
      <c r="AP102" s="28">
        <f t="shared" si="29"/>
        <v>-1.55581517186045E-3</v>
      </c>
      <c r="AQ102" s="28">
        <f t="shared" si="36"/>
        <v>1.3150001969385102E-3</v>
      </c>
      <c r="AR102" s="29">
        <f t="shared" si="37"/>
        <v>3.6451985293771859E-3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1.0708515609318648E-2</v>
      </c>
      <c r="BE102" s="29">
        <f t="shared" si="42"/>
        <v>1.3150001969385102E-3</v>
      </c>
      <c r="BF102" s="29">
        <f t="shared" si="43"/>
        <v>1.4353714138695833E-2</v>
      </c>
      <c r="BH102" s="29"/>
    </row>
    <row r="103" spans="1:60" x14ac:dyDescent="0.25">
      <c r="A103" s="1">
        <v>46171</v>
      </c>
      <c r="B103" s="33">
        <v>20.97</v>
      </c>
      <c r="C103" s="33">
        <v>25.7</v>
      </c>
      <c r="D103" s="15">
        <v>1.9093084559201499E-3</v>
      </c>
      <c r="E103" s="15">
        <v>-1.1666343924787101E-3</v>
      </c>
      <c r="F103" s="33">
        <v>0</v>
      </c>
      <c r="G103" s="33">
        <v>0.251</v>
      </c>
      <c r="H103" s="33">
        <v>0</v>
      </c>
      <c r="I103" s="33">
        <v>0.205568</v>
      </c>
      <c r="J103" s="33">
        <v>0.251</v>
      </c>
      <c r="K103" s="33">
        <v>0.205568</v>
      </c>
      <c r="L103" s="33">
        <v>21.221</v>
      </c>
      <c r="M103" s="33">
        <v>25.905567999999999</v>
      </c>
      <c r="N103" s="34">
        <v>1.22556032427277</v>
      </c>
      <c r="O103" s="34">
        <v>1.2284375966208501</v>
      </c>
      <c r="P103" s="34">
        <v>1.2284956832973299</v>
      </c>
      <c r="Q103" s="34">
        <v>1.2262770771643401</v>
      </c>
      <c r="R103" s="33">
        <v>25.760336401139298</v>
      </c>
      <c r="S103" s="33">
        <v>25.758330455866201</v>
      </c>
      <c r="T103" s="33">
        <v>25.715851278178999</v>
      </c>
      <c r="U103" s="15">
        <v>2.34496830015057E-3</v>
      </c>
      <c r="V103" s="15">
        <v>2.2670957387479198E-3</v>
      </c>
      <c r="W103" s="15">
        <v>6.1659112072344902E-4</v>
      </c>
      <c r="X103" s="34">
        <v>1.2207515197210299</v>
      </c>
      <c r="Y103" s="34">
        <v>1.2253439668366699</v>
      </c>
      <c r="Z103" s="34">
        <v>1.2239320176147399</v>
      </c>
      <c r="AA103" s="34">
        <v>1.2231276635119599</v>
      </c>
      <c r="AB103" s="33">
        <v>26.003024320241</v>
      </c>
      <c r="AC103" s="33">
        <v>25.976317174605899</v>
      </c>
      <c r="AD103" s="33">
        <v>25.957370979531099</v>
      </c>
      <c r="AE103" s="15">
        <v>3.75492497066908E-3</v>
      </c>
      <c r="AF103" s="15">
        <v>2.72731872491372E-3</v>
      </c>
      <c r="AG103" s="15">
        <v>1.9976884371855999E-3</v>
      </c>
      <c r="AI103" s="12"/>
      <c r="AJ103">
        <f t="shared" si="26"/>
        <v>0</v>
      </c>
      <c r="AK103">
        <f t="shared" si="27"/>
        <v>1</v>
      </c>
      <c r="AL103">
        <f t="shared" si="34"/>
        <v>1</v>
      </c>
      <c r="AM103">
        <f t="shared" si="24"/>
        <v>0</v>
      </c>
      <c r="AN103">
        <f t="shared" si="35"/>
        <v>1</v>
      </c>
      <c r="AO103" s="28">
        <f t="shared" si="28"/>
        <v>1.9093084559201499E-3</v>
      </c>
      <c r="AP103" s="28">
        <f t="shared" si="29"/>
        <v>1.1666343924787101E-3</v>
      </c>
      <c r="AQ103" s="28">
        <f t="shared" si="36"/>
        <v>3.0759428483988598E-3</v>
      </c>
      <c r="AR103" s="29">
        <f t="shared" si="37"/>
        <v>6.7211413777760456E-3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1.0708515609318648E-2</v>
      </c>
      <c r="BE103" s="29">
        <f t="shared" si="42"/>
        <v>3.0759428483988598E-3</v>
      </c>
      <c r="BF103" s="29">
        <f t="shared" si="43"/>
        <v>1.7429656987094692E-2</v>
      </c>
      <c r="BH103" s="29"/>
    </row>
    <row r="104" spans="1:60" x14ac:dyDescent="0.25">
      <c r="A104" s="1">
        <v>46174</v>
      </c>
      <c r="B104" s="33">
        <v>20.98</v>
      </c>
      <c r="C104" s="33">
        <v>25.7</v>
      </c>
      <c r="D104" s="15">
        <v>4.7675805432252101E-4</v>
      </c>
      <c r="E104" s="15">
        <v>0</v>
      </c>
      <c r="F104" s="33">
        <v>0</v>
      </c>
      <c r="G104" s="33">
        <v>0.251</v>
      </c>
      <c r="H104" s="33">
        <v>5.0755000000000002E-2</v>
      </c>
      <c r="I104" s="33">
        <v>0.25632300000000002</v>
      </c>
      <c r="J104" s="33">
        <v>0.251</v>
      </c>
      <c r="K104" s="33">
        <v>0.25632300000000002</v>
      </c>
      <c r="L104" s="33">
        <v>21.231000000000002</v>
      </c>
      <c r="M104" s="33">
        <v>25.956322999999902</v>
      </c>
      <c r="N104" s="34">
        <v>1.22497616777883</v>
      </c>
      <c r="O104" s="34">
        <v>1.2284375966208501</v>
      </c>
      <c r="P104" s="34">
        <v>1.2285423666142301</v>
      </c>
      <c r="Q104" s="34">
        <v>1.22631159983899</v>
      </c>
      <c r="R104" s="33">
        <v>25.772620777105502</v>
      </c>
      <c r="S104" s="33">
        <v>25.7738394355781</v>
      </c>
      <c r="T104" s="33">
        <v>25.727293078907898</v>
      </c>
      <c r="U104" s="15">
        <v>2.82172635447322E-3</v>
      </c>
      <c r="V104" s="15">
        <v>2.8690102404202002E-3</v>
      </c>
      <c r="W104" s="15">
        <v>1.0614239963384099E-3</v>
      </c>
      <c r="X104" s="34">
        <v>1.22256714238613</v>
      </c>
      <c r="Y104" s="34">
        <v>1.2253439668366699</v>
      </c>
      <c r="Z104" s="34">
        <v>1.2239127075741401</v>
      </c>
      <c r="AA104" s="34">
        <v>1.2231286312549099</v>
      </c>
      <c r="AB104" s="33">
        <v>26.015277759909299</v>
      </c>
      <c r="AC104" s="33">
        <v>25.985300665978599</v>
      </c>
      <c r="AD104" s="33">
        <v>25.968223424022401</v>
      </c>
      <c r="AE104" s="15">
        <v>2.2687307812236501E-3</v>
      </c>
      <c r="AF104" s="15">
        <v>1.1157783272758501E-3</v>
      </c>
      <c r="AG104" s="15">
        <v>4.5837373844775199E-4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6.7211413777760456E-3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1.0708515609318648E-2</v>
      </c>
      <c r="BE104" s="29">
        <f t="shared" si="42"/>
        <v>0</v>
      </c>
      <c r="BF104" s="29">
        <f t="shared" si="43"/>
        <v>1.7429656987094692E-2</v>
      </c>
      <c r="BH104" s="29"/>
    </row>
    <row r="105" spans="1:60" x14ac:dyDescent="0.25">
      <c r="A105" s="1">
        <v>46175</v>
      </c>
      <c r="B105" s="33">
        <v>21.02</v>
      </c>
      <c r="C105" s="33">
        <v>25.75</v>
      </c>
      <c r="D105" s="15">
        <v>1.9047624806538799E-3</v>
      </c>
      <c r="E105" s="15">
        <v>1.94363520857103E-3</v>
      </c>
      <c r="F105" s="33">
        <v>0</v>
      </c>
      <c r="G105" s="33">
        <v>0.251</v>
      </c>
      <c r="H105" s="33">
        <v>0</v>
      </c>
      <c r="I105" s="33">
        <v>0.25632300000000002</v>
      </c>
      <c r="J105" s="33">
        <v>0.251</v>
      </c>
      <c r="K105" s="33">
        <v>0.25632300000000002</v>
      </c>
      <c r="L105" s="33">
        <v>21.271000000000001</v>
      </c>
      <c r="M105" s="33">
        <v>26.006322999999998</v>
      </c>
      <c r="N105" s="34">
        <v>1.2250237868696401</v>
      </c>
      <c r="O105" s="34">
        <v>1.2284375966208501</v>
      </c>
      <c r="P105" s="34">
        <v>1.2283480082570499</v>
      </c>
      <c r="Q105" s="34">
        <v>1.22634850346819</v>
      </c>
      <c r="R105" s="33">
        <v>25.8217582809703</v>
      </c>
      <c r="S105" s="33">
        <v>25.823960546231199</v>
      </c>
      <c r="T105" s="33">
        <v>25.777069828615701</v>
      </c>
      <c r="U105" s="15">
        <v>2.7828536265560901E-3</v>
      </c>
      <c r="V105" s="15">
        <v>2.86813718198729E-3</v>
      </c>
      <c r="W105" s="15">
        <v>1.05070329813739E-3</v>
      </c>
      <c r="X105" s="34">
        <v>1.2226187297259099</v>
      </c>
      <c r="Y105" s="34">
        <v>1.2253439668366699</v>
      </c>
      <c r="Z105" s="34">
        <v>1.22396336249164</v>
      </c>
      <c r="AA105" s="34">
        <v>1.2231321783648501</v>
      </c>
      <c r="AB105" s="33">
        <v>26.064291518582799</v>
      </c>
      <c r="AC105" s="33">
        <v>26.033847202809699</v>
      </c>
      <c r="AD105" s="33">
        <v>26.017169115423101</v>
      </c>
      <c r="AE105" s="15">
        <v>2.2265357559859899E-3</v>
      </c>
      <c r="AF105" s="15">
        <v>1.05780612434443E-3</v>
      </c>
      <c r="AG105" s="15">
        <v>4.1696991644777802E-4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6.7211413777760456E-3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1.0708515609318648E-2</v>
      </c>
      <c r="BE105" s="29">
        <f t="shared" si="42"/>
        <v>0</v>
      </c>
      <c r="BF105" s="29">
        <f t="shared" si="43"/>
        <v>1.7429656987094692E-2</v>
      </c>
      <c r="BH105" s="29"/>
    </row>
    <row r="106" spans="1:60" x14ac:dyDescent="0.25">
      <c r="A106" s="1">
        <v>46176</v>
      </c>
      <c r="B106" s="33">
        <v>21.03</v>
      </c>
      <c r="C106" s="33">
        <v>25.75</v>
      </c>
      <c r="D106" s="15">
        <v>4.75624265803401E-4</v>
      </c>
      <c r="E106" s="15">
        <v>0</v>
      </c>
      <c r="F106" s="33">
        <v>0</v>
      </c>
      <c r="G106" s="33">
        <v>0.251</v>
      </c>
      <c r="H106" s="33">
        <v>0</v>
      </c>
      <c r="I106" s="33">
        <v>0.25632300000000002</v>
      </c>
      <c r="J106" s="33">
        <v>0.251</v>
      </c>
      <c r="K106" s="33">
        <v>0.25632300000000002</v>
      </c>
      <c r="L106" s="33">
        <v>21.280999999999999</v>
      </c>
      <c r="M106" s="33">
        <v>26.006322999999998</v>
      </c>
      <c r="N106" s="34">
        <v>1.22444127436994</v>
      </c>
      <c r="O106" s="34">
        <v>1.2284375966208501</v>
      </c>
      <c r="P106" s="34">
        <v>1.2280889129908199</v>
      </c>
      <c r="Q106" s="34">
        <v>1.2262979265765801</v>
      </c>
      <c r="R106" s="33">
        <v>25.8340426569366</v>
      </c>
      <c r="S106" s="33">
        <v>25.832158613645799</v>
      </c>
      <c r="T106" s="33">
        <v>25.790109027936101</v>
      </c>
      <c r="U106" s="15">
        <v>3.25847789235938E-3</v>
      </c>
      <c r="V106" s="15">
        <v>3.1855465273575999E-3</v>
      </c>
      <c r="W106" s="15">
        <v>1.55642030214771E-3</v>
      </c>
      <c r="X106" s="34">
        <v>1.2220442178469</v>
      </c>
      <c r="Y106" s="34">
        <v>1.2253439668366699</v>
      </c>
      <c r="Z106" s="34">
        <v>1.2239513116752201</v>
      </c>
      <c r="AA106" s="34">
        <v>1.2230492726267199</v>
      </c>
      <c r="AB106" s="33">
        <v>26.076544958251201</v>
      </c>
      <c r="AC106" s="33">
        <v>26.047164317184698</v>
      </c>
      <c r="AD106" s="33">
        <v>26.029475887782301</v>
      </c>
      <c r="AE106" s="15">
        <v>2.69654892500709E-3</v>
      </c>
      <c r="AF106" s="15">
        <v>1.5692061250961E-3</v>
      </c>
      <c r="AG106" s="15">
        <v>8.8988311143990305E-4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6.7211413777760456E-3</v>
      </c>
      <c r="AT106" s="12"/>
      <c r="AU106">
        <f t="shared" si="30"/>
        <v>0</v>
      </c>
      <c r="AV106">
        <f t="shared" si="31"/>
        <v>0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1.0708515609318648E-2</v>
      </c>
      <c r="BE106" s="29">
        <f t="shared" si="42"/>
        <v>0</v>
      </c>
      <c r="BF106" s="29">
        <f t="shared" si="43"/>
        <v>1.7429656987094692E-2</v>
      </c>
      <c r="BH106" s="29"/>
    </row>
    <row r="107" spans="1:60" x14ac:dyDescent="0.25">
      <c r="A107" s="1">
        <v>46177</v>
      </c>
      <c r="B107" s="33">
        <v>21.05</v>
      </c>
      <c r="C107" s="33">
        <v>25.76</v>
      </c>
      <c r="D107" s="15">
        <v>9.5057041378202901E-4</v>
      </c>
      <c r="E107" s="15">
        <v>3.8827412640773099E-4</v>
      </c>
      <c r="F107" s="33">
        <v>0</v>
      </c>
      <c r="G107" s="33">
        <v>0.251</v>
      </c>
      <c r="H107" s="33">
        <v>0</v>
      </c>
      <c r="I107" s="33">
        <v>0.25632300000000002</v>
      </c>
      <c r="J107" s="33">
        <v>0.251</v>
      </c>
      <c r="K107" s="33">
        <v>0.25632300000000002</v>
      </c>
      <c r="L107" s="33">
        <v>21.300999999999998</v>
      </c>
      <c r="M107" s="33">
        <v>26.016323</v>
      </c>
      <c r="N107" s="34">
        <v>1.22375296912114</v>
      </c>
      <c r="O107" s="34">
        <v>1.2284375966208501</v>
      </c>
      <c r="P107" s="34">
        <v>1.2275905914502701</v>
      </c>
      <c r="Q107" s="34">
        <v>1.22626351131414</v>
      </c>
      <c r="R107" s="33">
        <v>25.858611408868999</v>
      </c>
      <c r="S107" s="33">
        <v>25.851271618456899</v>
      </c>
      <c r="T107" s="33">
        <v>25.813571354437101</v>
      </c>
      <c r="U107" s="15">
        <v>3.8207741797335699E-3</v>
      </c>
      <c r="V107" s="15">
        <v>3.5368907117505699E-3</v>
      </c>
      <c r="W107" s="15">
        <v>2.07747388042589E-3</v>
      </c>
      <c r="X107" s="34">
        <v>1.22136627388385</v>
      </c>
      <c r="Y107" s="34">
        <v>1.2253439668366699</v>
      </c>
      <c r="Z107" s="34">
        <v>1.2237026392202901</v>
      </c>
      <c r="AA107" s="34">
        <v>1.2229823686838299</v>
      </c>
      <c r="AB107" s="33">
        <v>26.101051837587899</v>
      </c>
      <c r="AC107" s="33">
        <v>26.071386889993899</v>
      </c>
      <c r="AD107" s="33">
        <v>26.052172556221901</v>
      </c>
      <c r="AE107" s="15">
        <v>3.2514650823547201E-3</v>
      </c>
      <c r="AF107" s="15">
        <v>2.1142765010129798E-3</v>
      </c>
      <c r="AG107" s="15">
        <v>1.3770154679427001E-3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6.7211413777760456E-3</v>
      </c>
      <c r="AT107" s="12"/>
      <c r="AU107">
        <f t="shared" si="30"/>
        <v>0</v>
      </c>
      <c r="AV107">
        <f t="shared" si="31"/>
        <v>0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1.0708515609318648E-2</v>
      </c>
      <c r="BE107" s="29">
        <f t="shared" si="42"/>
        <v>0</v>
      </c>
      <c r="BF107" s="29">
        <f t="shared" si="43"/>
        <v>1.7429656987094692E-2</v>
      </c>
      <c r="BH107" s="29"/>
    </row>
    <row r="108" spans="1:60" x14ac:dyDescent="0.25">
      <c r="A108" s="1">
        <v>46178</v>
      </c>
      <c r="B108" s="33">
        <v>21.03</v>
      </c>
      <c r="C108" s="33">
        <v>25.73</v>
      </c>
      <c r="D108" s="15">
        <v>-9.5057041378203498E-4</v>
      </c>
      <c r="E108" s="15">
        <v>-1.16527494250015E-3</v>
      </c>
      <c r="F108" s="33">
        <v>0</v>
      </c>
      <c r="G108" s="33">
        <v>0.251</v>
      </c>
      <c r="H108" s="33">
        <v>0</v>
      </c>
      <c r="I108" s="33">
        <v>0.25632300000000002</v>
      </c>
      <c r="J108" s="33">
        <v>0.251</v>
      </c>
      <c r="K108" s="33">
        <v>0.25632300000000002</v>
      </c>
      <c r="L108" s="33">
        <v>21.280999999999999</v>
      </c>
      <c r="M108" s="33">
        <v>25.986322999999999</v>
      </c>
      <c r="N108" s="34">
        <v>1.2234902520209201</v>
      </c>
      <c r="O108" s="34">
        <v>1.2284375966208501</v>
      </c>
      <c r="P108" s="34">
        <v>1.22695884742159</v>
      </c>
      <c r="Q108" s="34">
        <v>1.22626351131414</v>
      </c>
      <c r="R108" s="33">
        <v>25.8340426569366</v>
      </c>
      <c r="S108" s="33">
        <v>25.816230138199199</v>
      </c>
      <c r="T108" s="33">
        <v>25.788321642936499</v>
      </c>
      <c r="U108" s="15">
        <v>4.0354787084516701E-3</v>
      </c>
      <c r="V108" s="15">
        <v>3.34574297310906E-3</v>
      </c>
      <c r="W108" s="15">
        <v>2.2641136586255902E-3</v>
      </c>
      <c r="X108" s="34">
        <v>1.2211044123866299</v>
      </c>
      <c r="Y108" s="34">
        <v>1.2253439668366699</v>
      </c>
      <c r="Z108" s="34">
        <v>1.2233221394110201</v>
      </c>
      <c r="AA108" s="34">
        <v>1.2229494792598301</v>
      </c>
      <c r="AB108" s="33">
        <v>26.076544958251201</v>
      </c>
      <c r="AC108" s="33">
        <v>26.041615865247099</v>
      </c>
      <c r="AD108" s="33">
        <v>26.026287787960701</v>
      </c>
      <c r="AE108" s="15">
        <v>3.4658885345539101E-3</v>
      </c>
      <c r="AF108" s="15">
        <v>2.12550745887159E-3</v>
      </c>
      <c r="AG108" s="15">
        <v>1.5367348502705899E-3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6.7211413777760456E-3</v>
      </c>
      <c r="AT108" s="12"/>
      <c r="AU108">
        <f t="shared" si="30"/>
        <v>0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1.0708515609318648E-2</v>
      </c>
      <c r="BE108" s="29">
        <f t="shared" si="42"/>
        <v>0</v>
      </c>
      <c r="BF108" s="29">
        <f t="shared" si="43"/>
        <v>1.7429656987094692E-2</v>
      </c>
      <c r="BH108" s="29"/>
    </row>
    <row r="109" spans="1:60" x14ac:dyDescent="0.25">
      <c r="A109" s="1">
        <v>46181</v>
      </c>
      <c r="B109" s="33">
        <v>21.02</v>
      </c>
      <c r="C109" s="33">
        <v>25.75</v>
      </c>
      <c r="D109" s="15">
        <v>-4.7562426580346698E-4</v>
      </c>
      <c r="E109" s="15">
        <v>7.7700081609222398E-4</v>
      </c>
      <c r="F109" s="33">
        <v>0</v>
      </c>
      <c r="G109" s="33">
        <v>0.251</v>
      </c>
      <c r="H109" s="33">
        <v>0</v>
      </c>
      <c r="I109" s="33">
        <v>0.25632300000000002</v>
      </c>
      <c r="J109" s="33">
        <v>0.251</v>
      </c>
      <c r="K109" s="33">
        <v>0.25632300000000002</v>
      </c>
      <c r="L109" s="33">
        <v>21.271000000000001</v>
      </c>
      <c r="M109" s="33">
        <v>26.006322999999998</v>
      </c>
      <c r="N109" s="34">
        <v>1.2250237868696401</v>
      </c>
      <c r="O109" s="34">
        <v>1.2284375966208501</v>
      </c>
      <c r="P109" s="34">
        <v>1.2264323799547101</v>
      </c>
      <c r="Q109" s="34">
        <v>1.22635080517069</v>
      </c>
      <c r="R109" s="33">
        <v>25.8217582809703</v>
      </c>
      <c r="S109" s="33">
        <v>25.790674972801899</v>
      </c>
      <c r="T109" s="33">
        <v>25.776059007823399</v>
      </c>
      <c r="U109" s="15">
        <v>2.7828536265560901E-3</v>
      </c>
      <c r="V109" s="15">
        <v>1.5783643216807099E-3</v>
      </c>
      <c r="W109" s="15">
        <v>1.01148857673017E-3</v>
      </c>
      <c r="X109" s="34">
        <v>1.2226187297259099</v>
      </c>
      <c r="Y109" s="34">
        <v>1.2253439668366699</v>
      </c>
      <c r="Z109" s="34">
        <v>1.2230455676541501</v>
      </c>
      <c r="AA109" s="34">
        <v>1.2230027425533501</v>
      </c>
      <c r="AB109" s="33">
        <v>26.064291518582799</v>
      </c>
      <c r="AC109" s="33">
        <v>26.021285227412001</v>
      </c>
      <c r="AD109" s="33">
        <v>26.013358373335802</v>
      </c>
      <c r="AE109" s="15">
        <v>2.2265357559859899E-3</v>
      </c>
      <c r="AF109" s="15">
        <v>5.75164930092001E-4</v>
      </c>
      <c r="AG109" s="15">
        <v>2.7048890700791202E-4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6.7211413777760456E-3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1.0708515609318648E-2</v>
      </c>
      <c r="BE109" s="29">
        <f t="shared" si="42"/>
        <v>0</v>
      </c>
      <c r="BF109" s="29">
        <f t="shared" si="43"/>
        <v>1.7429656987094692E-2</v>
      </c>
      <c r="BH109" s="29"/>
    </row>
    <row r="110" spans="1:60" x14ac:dyDescent="0.25">
      <c r="A110" s="1">
        <v>46182</v>
      </c>
      <c r="B110" s="33">
        <v>21.02</v>
      </c>
      <c r="C110" s="33">
        <v>25.75</v>
      </c>
      <c r="D110" s="15">
        <v>0</v>
      </c>
      <c r="E110" s="15">
        <v>0</v>
      </c>
      <c r="F110" s="33">
        <v>0</v>
      </c>
      <c r="G110" s="33">
        <v>0.251</v>
      </c>
      <c r="H110" s="33">
        <v>0</v>
      </c>
      <c r="I110" s="33">
        <v>0.25632300000000002</v>
      </c>
      <c r="J110" s="33">
        <v>0.251</v>
      </c>
      <c r="K110" s="33">
        <v>0.25632300000000002</v>
      </c>
      <c r="L110" s="33">
        <v>21.271000000000001</v>
      </c>
      <c r="M110" s="33">
        <v>26.006322999999998</v>
      </c>
      <c r="N110" s="34">
        <v>1.2250237868696401</v>
      </c>
      <c r="O110" s="34">
        <v>1.2284375966208501</v>
      </c>
      <c r="P110" s="34">
        <v>1.2257581751483899</v>
      </c>
      <c r="Q110" s="34">
        <v>1.22648560496548</v>
      </c>
      <c r="R110" s="33">
        <v>25.8217582809703</v>
      </c>
      <c r="S110" s="33">
        <v>25.779608626648098</v>
      </c>
      <c r="T110" s="33">
        <v>25.777893924688001</v>
      </c>
      <c r="U110" s="15">
        <v>2.7828536265560901E-3</v>
      </c>
      <c r="V110" s="15">
        <v>1.1491890078643601E-3</v>
      </c>
      <c r="W110" s="15">
        <v>1.0826729092984499E-3</v>
      </c>
      <c r="X110" s="34">
        <v>1.2226187297259099</v>
      </c>
      <c r="Y110" s="34">
        <v>1.2253439668366699</v>
      </c>
      <c r="Z110" s="34">
        <v>1.2226220866843001</v>
      </c>
      <c r="AA110" s="34">
        <v>1.2231030690998901</v>
      </c>
      <c r="AB110" s="33">
        <v>26.064291518582799</v>
      </c>
      <c r="AC110" s="33">
        <v>26.015402269571499</v>
      </c>
      <c r="AD110" s="33">
        <v>26.014491336852402</v>
      </c>
      <c r="AE110" s="15">
        <v>2.2265357559859899E-3</v>
      </c>
      <c r="AF110" s="15">
        <v>3.4905684564120001E-4</v>
      </c>
      <c r="AG110" s="15">
        <v>3.1404110157493502E-4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6.7211413777760456E-3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1.0708515609318648E-2</v>
      </c>
      <c r="BE110" s="29">
        <f t="shared" si="42"/>
        <v>0</v>
      </c>
      <c r="BF110" s="29">
        <f t="shared" si="43"/>
        <v>1.7429656987094692E-2</v>
      </c>
      <c r="BH110" s="29"/>
    </row>
    <row r="111" spans="1:60" x14ac:dyDescent="0.25">
      <c r="A111" s="1">
        <v>46183</v>
      </c>
      <c r="B111" s="33">
        <v>20.98</v>
      </c>
      <c r="C111" s="33">
        <v>25.73</v>
      </c>
      <c r="D111" s="15">
        <v>-1.90476248065394E-3</v>
      </c>
      <c r="E111" s="15">
        <v>-7.7700081609238499E-4</v>
      </c>
      <c r="F111" s="33">
        <v>0</v>
      </c>
      <c r="G111" s="33">
        <v>0.251</v>
      </c>
      <c r="H111" s="33">
        <v>0</v>
      </c>
      <c r="I111" s="33">
        <v>0.25632300000000002</v>
      </c>
      <c r="J111" s="33">
        <v>0.251</v>
      </c>
      <c r="K111" s="33">
        <v>0.25632300000000002</v>
      </c>
      <c r="L111" s="33">
        <v>21.231000000000002</v>
      </c>
      <c r="M111" s="33">
        <v>25.986322999999999</v>
      </c>
      <c r="N111" s="34">
        <v>1.22640610104861</v>
      </c>
      <c r="O111" s="34">
        <v>1.2284375966208501</v>
      </c>
      <c r="P111" s="34">
        <v>1.2253034330730901</v>
      </c>
      <c r="Q111" s="34">
        <v>1.22661543382743</v>
      </c>
      <c r="R111" s="33">
        <v>25.772620777105502</v>
      </c>
      <c r="S111" s="33">
        <v>25.7164065146134</v>
      </c>
      <c r="T111" s="33">
        <v>25.731667992175801</v>
      </c>
      <c r="U111" s="15">
        <v>1.65509196199449E-3</v>
      </c>
      <c r="V111" s="15">
        <v>-5.2845229137943902E-4</v>
      </c>
      <c r="W111" s="15">
        <v>6.48246448867677E-5</v>
      </c>
      <c r="X111" s="34">
        <v>1.2239801705053901</v>
      </c>
      <c r="Y111" s="34">
        <v>1.2253439668366699</v>
      </c>
      <c r="Z111" s="34">
        <v>1.22241431802394</v>
      </c>
      <c r="AA111" s="34">
        <v>1.22319827537966</v>
      </c>
      <c r="AB111" s="33">
        <v>26.015277759909299</v>
      </c>
      <c r="AC111" s="33">
        <v>25.9574895223945</v>
      </c>
      <c r="AD111" s="33">
        <v>25.967701260059801</v>
      </c>
      <c r="AE111" s="15">
        <v>1.11361044577676E-3</v>
      </c>
      <c r="AF111" s="15">
        <v>-1.11017960241135E-3</v>
      </c>
      <c r="AG111" s="15">
        <v>-7.1685460376983497E-4</v>
      </c>
      <c r="AI111" s="12"/>
      <c r="AJ111">
        <f t="shared" si="26"/>
        <v>0</v>
      </c>
      <c r="AK111">
        <f t="shared" si="27"/>
        <v>0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6.7211413777760456E-3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1.0708515609318648E-2</v>
      </c>
      <c r="BE111" s="29">
        <f t="shared" si="42"/>
        <v>0</v>
      </c>
      <c r="BF111" s="29">
        <f t="shared" si="43"/>
        <v>1.7429656987094692E-2</v>
      </c>
      <c r="BH111" s="29"/>
    </row>
    <row r="112" spans="1:60" x14ac:dyDescent="0.25">
      <c r="A112" s="1">
        <v>46184</v>
      </c>
      <c r="B112" s="33">
        <v>21.03</v>
      </c>
      <c r="C112" s="33">
        <v>25.73</v>
      </c>
      <c r="D112" s="15">
        <v>2.3803867464574301E-3</v>
      </c>
      <c r="E112" s="15">
        <v>0</v>
      </c>
      <c r="F112" s="33">
        <v>0</v>
      </c>
      <c r="G112" s="33">
        <v>0.251</v>
      </c>
      <c r="H112" s="33">
        <v>0</v>
      </c>
      <c r="I112" s="33">
        <v>0.25632300000000002</v>
      </c>
      <c r="J112" s="33">
        <v>0.251</v>
      </c>
      <c r="K112" s="33">
        <v>0.25632300000000002</v>
      </c>
      <c r="L112" s="33">
        <v>21.280999999999999</v>
      </c>
      <c r="M112" s="33">
        <v>25.986322999999999</v>
      </c>
      <c r="N112" s="34">
        <v>1.2234902520209201</v>
      </c>
      <c r="O112" s="34">
        <v>1.2284375966208501</v>
      </c>
      <c r="P112" s="34">
        <v>1.22471887012421</v>
      </c>
      <c r="Q112" s="34">
        <v>1.2265304044437499</v>
      </c>
      <c r="R112" s="33">
        <v>25.8340426569366</v>
      </c>
      <c r="S112" s="33">
        <v>25.7681311975272</v>
      </c>
      <c r="T112" s="33">
        <v>25.795722573391</v>
      </c>
      <c r="U112" s="15">
        <v>4.0354787084516701E-3</v>
      </c>
      <c r="V112" s="15">
        <v>1.48087721278456E-3</v>
      </c>
      <c r="W112" s="15">
        <v>2.55106015992101E-3</v>
      </c>
      <c r="X112" s="34">
        <v>1.2211044123866299</v>
      </c>
      <c r="Y112" s="34">
        <v>1.2253439668366699</v>
      </c>
      <c r="Z112" s="34">
        <v>1.22207743382943</v>
      </c>
      <c r="AA112" s="34">
        <v>1.22308143814854</v>
      </c>
      <c r="AB112" s="33">
        <v>26.076544958251201</v>
      </c>
      <c r="AC112" s="33">
        <v>26.014199101867501</v>
      </c>
      <c r="AD112" s="33">
        <v>26.0308824983547</v>
      </c>
      <c r="AE112" s="15">
        <v>3.4658885345539101E-3</v>
      </c>
      <c r="AF112" s="15">
        <v>1.07214710203109E-3</v>
      </c>
      <c r="AG112" s="15">
        <v>1.71326040402625E-3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6.7211413777760456E-3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1.0708515609318648E-2</v>
      </c>
      <c r="BE112" s="29">
        <f t="shared" si="42"/>
        <v>0</v>
      </c>
      <c r="BF112" s="29">
        <f t="shared" si="43"/>
        <v>1.7429656987094692E-2</v>
      </c>
      <c r="BH112" s="29"/>
    </row>
    <row r="113" spans="1:60" x14ac:dyDescent="0.25">
      <c r="A113" s="1">
        <v>46185</v>
      </c>
      <c r="B113" s="33">
        <v>21</v>
      </c>
      <c r="C113" s="33">
        <v>25.69</v>
      </c>
      <c r="D113" s="15">
        <v>-1.4275519911854399E-3</v>
      </c>
      <c r="E113" s="15">
        <v>-1.55581517186056E-3</v>
      </c>
      <c r="F113" s="33">
        <v>0</v>
      </c>
      <c r="G113" s="33">
        <v>0.251</v>
      </c>
      <c r="H113" s="33">
        <v>0</v>
      </c>
      <c r="I113" s="33">
        <v>0.25632300000000002</v>
      </c>
      <c r="J113" s="33">
        <v>0.251</v>
      </c>
      <c r="K113" s="33">
        <v>0.25632300000000002</v>
      </c>
      <c r="L113" s="33">
        <v>21.251000000000001</v>
      </c>
      <c r="M113" s="33">
        <v>25.946323</v>
      </c>
      <c r="N113" s="34">
        <v>1.2233333333333301</v>
      </c>
      <c r="O113" s="34">
        <v>1.2284375966208501</v>
      </c>
      <c r="P113" s="34">
        <v>1.22449617103026</v>
      </c>
      <c r="Q113" s="34">
        <v>1.2264959271638001</v>
      </c>
      <c r="R113" s="33">
        <v>25.797189529037901</v>
      </c>
      <c r="S113" s="33">
        <v>25.7190962726084</v>
      </c>
      <c r="T113" s="33">
        <v>25.757138493318699</v>
      </c>
      <c r="U113" s="15">
        <v>4.16374188912675E-3</v>
      </c>
      <c r="V113" s="15">
        <v>1.1319504844399301E-3</v>
      </c>
      <c r="W113" s="15">
        <v>2.6100006102520402E-3</v>
      </c>
      <c r="X113" s="34">
        <v>1.2209459790127499</v>
      </c>
      <c r="Y113" s="34">
        <v>1.2253439668366699</v>
      </c>
      <c r="Z113" s="34">
        <v>1.2220968797586</v>
      </c>
      <c r="AA113" s="34">
        <v>1.2230144486866701</v>
      </c>
      <c r="AB113" s="33">
        <v>26.039784639246101</v>
      </c>
      <c r="AC113" s="33">
        <v>25.970367546309301</v>
      </c>
      <c r="AD113" s="33">
        <v>25.991703642094599</v>
      </c>
      <c r="AE113" s="15">
        <v>3.5956429201831901E-3</v>
      </c>
      <c r="AF113" s="15">
        <v>9.2627429735786396E-4</v>
      </c>
      <c r="AG113" s="15">
        <v>1.74749240881785E-3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6.7211413777760456E-3</v>
      </c>
      <c r="AT113" s="12"/>
      <c r="AU113">
        <f t="shared" si="30"/>
        <v>0</v>
      </c>
      <c r="AV113">
        <f t="shared" si="31"/>
        <v>0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1.0708515609318648E-2</v>
      </c>
      <c r="BE113" s="29">
        <f t="shared" si="42"/>
        <v>0</v>
      </c>
      <c r="BF113" s="29">
        <f t="shared" si="43"/>
        <v>1.7429656987094692E-2</v>
      </c>
      <c r="BH113" s="29"/>
    </row>
    <row r="114" spans="1:60" x14ac:dyDescent="0.25">
      <c r="A114" s="1">
        <v>46188</v>
      </c>
      <c r="B114" s="33">
        <v>21.02</v>
      </c>
      <c r="C114" s="33">
        <v>25.74</v>
      </c>
      <c r="D114" s="15">
        <v>9.5192772538215504E-4</v>
      </c>
      <c r="E114" s="15">
        <v>1.9443910461882799E-3</v>
      </c>
      <c r="F114" s="33">
        <v>0</v>
      </c>
      <c r="G114" s="33">
        <v>0.251</v>
      </c>
      <c r="H114" s="33">
        <v>0</v>
      </c>
      <c r="I114" s="33">
        <v>0.25632300000000002</v>
      </c>
      <c r="J114" s="33">
        <v>0.251</v>
      </c>
      <c r="K114" s="33">
        <v>0.25632300000000002</v>
      </c>
      <c r="L114" s="33">
        <v>21.271000000000001</v>
      </c>
      <c r="M114" s="33">
        <v>25.996322999999901</v>
      </c>
      <c r="N114" s="34">
        <v>1.2245480494766801</v>
      </c>
      <c r="O114" s="34">
        <v>1.2284375966208501</v>
      </c>
      <c r="P114" s="34">
        <v>1.2244533592000499</v>
      </c>
      <c r="Q114" s="34">
        <v>1.2264978629071399</v>
      </c>
      <c r="R114" s="33">
        <v>25.8217582809703</v>
      </c>
      <c r="S114" s="33">
        <v>25.7389095150562</v>
      </c>
      <c r="T114" s="33">
        <v>25.780944388983102</v>
      </c>
      <c r="U114" s="15">
        <v>3.1712785683206401E-3</v>
      </c>
      <c r="V114" s="15">
        <v>-4.2366279870013802E-5</v>
      </c>
      <c r="W114" s="15">
        <v>1.5894272936360101E-3</v>
      </c>
      <c r="X114" s="34">
        <v>1.2221486060833899</v>
      </c>
      <c r="Y114" s="34">
        <v>1.2253439668366699</v>
      </c>
      <c r="Z114" s="34">
        <v>1.2220550261283301</v>
      </c>
      <c r="AA114" s="34">
        <v>1.2229838668512401</v>
      </c>
      <c r="AB114" s="33">
        <v>26.064291518582799</v>
      </c>
      <c r="AC114" s="33">
        <v>25.995222729345301</v>
      </c>
      <c r="AD114" s="33">
        <v>26.014740338014199</v>
      </c>
      <c r="AE114" s="15">
        <v>2.6111315753319202E-3</v>
      </c>
      <c r="AF114" s="15">
        <v>-4.2324983395242499E-5</v>
      </c>
      <c r="AG114" s="15">
        <v>7.0820850803911099E-4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6.7211413777760456E-3</v>
      </c>
      <c r="AT114" s="12"/>
      <c r="AU114">
        <f t="shared" si="30"/>
        <v>0</v>
      </c>
      <c r="AV114">
        <f t="shared" si="31"/>
        <v>0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1.0708515609318648E-2</v>
      </c>
      <c r="BE114" s="29">
        <f t="shared" si="42"/>
        <v>0</v>
      </c>
      <c r="BF114" s="29">
        <f t="shared" si="43"/>
        <v>1.7429656987094692E-2</v>
      </c>
      <c r="BH114" s="29"/>
    </row>
    <row r="115" spans="1:60" x14ac:dyDescent="0.25">
      <c r="A115" s="1">
        <v>46189</v>
      </c>
      <c r="B115" s="33">
        <v>21.03</v>
      </c>
      <c r="C115" s="33">
        <v>25.76</v>
      </c>
      <c r="D115" s="15">
        <v>4.75624265803401E-4</v>
      </c>
      <c r="E115" s="15">
        <v>7.7669906817241904E-4</v>
      </c>
      <c r="F115" s="33">
        <v>0</v>
      </c>
      <c r="G115" s="33">
        <v>0.251</v>
      </c>
      <c r="H115" s="33">
        <v>0</v>
      </c>
      <c r="I115" s="33">
        <v>0.25632300000000002</v>
      </c>
      <c r="J115" s="33">
        <v>0.251</v>
      </c>
      <c r="K115" s="33">
        <v>0.25632300000000002</v>
      </c>
      <c r="L115" s="33">
        <v>21.280999999999999</v>
      </c>
      <c r="M115" s="33">
        <v>26.016323</v>
      </c>
      <c r="N115" s="34">
        <v>1.22491678554446</v>
      </c>
      <c r="O115" s="34">
        <v>1.2284375966208501</v>
      </c>
      <c r="P115" s="34">
        <v>1.2244426590675299</v>
      </c>
      <c r="Q115" s="34">
        <v>1.2263953336622899</v>
      </c>
      <c r="R115" s="33">
        <v>25.8340426569366</v>
      </c>
      <c r="S115" s="33">
        <v>25.750254143976999</v>
      </c>
      <c r="T115" s="33">
        <v>25.7932500569372</v>
      </c>
      <c r="U115" s="15">
        <v>2.8702037659515999E-3</v>
      </c>
      <c r="V115" s="15">
        <v>-3.7840450609945899E-4</v>
      </c>
      <c r="W115" s="15">
        <v>1.28993076133795E-3</v>
      </c>
      <c r="X115" s="34">
        <v>1.22251412057704</v>
      </c>
      <c r="Y115" s="34">
        <v>1.2253439668366699</v>
      </c>
      <c r="Z115" s="34">
        <v>1.22204456521344</v>
      </c>
      <c r="AA115" s="34">
        <v>1.2230039638525401</v>
      </c>
      <c r="AB115" s="33">
        <v>26.076544958251201</v>
      </c>
      <c r="AC115" s="33">
        <v>26.006553011036999</v>
      </c>
      <c r="AD115" s="33">
        <v>26.026319670461199</v>
      </c>
      <c r="AE115" s="15">
        <v>2.3121009627420199E-3</v>
      </c>
      <c r="AF115" s="15">
        <v>-3.7560357392513199E-4</v>
      </c>
      <c r="AG115" s="15">
        <v>3.8417228915541598E-4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6.7211413777760456E-3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1.0708515609318648E-2</v>
      </c>
      <c r="BE115" s="29">
        <f t="shared" si="42"/>
        <v>0</v>
      </c>
      <c r="BF115" s="29">
        <f t="shared" si="43"/>
        <v>1.7429656987094692E-2</v>
      </c>
      <c r="BH115" s="29"/>
    </row>
    <row r="116" spans="1:60" x14ac:dyDescent="0.25">
      <c r="A116" s="1">
        <v>46190</v>
      </c>
      <c r="B116" s="33">
        <v>21.02</v>
      </c>
      <c r="C116" s="33">
        <v>25.73</v>
      </c>
      <c r="D116" s="15">
        <v>-4.7562426580346698E-4</v>
      </c>
      <c r="E116" s="15">
        <v>-1.16527494250015E-3</v>
      </c>
      <c r="F116" s="33">
        <v>0</v>
      </c>
      <c r="G116" s="33">
        <v>0.251</v>
      </c>
      <c r="H116" s="33">
        <v>0</v>
      </c>
      <c r="I116" s="33">
        <v>0.25632300000000002</v>
      </c>
      <c r="J116" s="33">
        <v>0.251</v>
      </c>
      <c r="K116" s="33">
        <v>0.25632300000000002</v>
      </c>
      <c r="L116" s="33">
        <v>21.271000000000001</v>
      </c>
      <c r="M116" s="33">
        <v>25.986322999999999</v>
      </c>
      <c r="N116" s="34">
        <v>1.22407231208372</v>
      </c>
      <c r="O116" s="34">
        <v>1.2284375966208501</v>
      </c>
      <c r="P116" s="34">
        <v>1.22440576283891</v>
      </c>
      <c r="Q116" s="34">
        <v>1.22624733791486</v>
      </c>
      <c r="R116" s="33">
        <v>25.8217582809703</v>
      </c>
      <c r="S116" s="33">
        <v>25.737784693599501</v>
      </c>
      <c r="T116" s="33">
        <v>25.778829913581401</v>
      </c>
      <c r="U116" s="15">
        <v>3.55985444264839E-3</v>
      </c>
      <c r="V116" s="15">
        <v>3.0250743082286998E-4</v>
      </c>
      <c r="W116" s="15">
        <v>1.8959828165755401E-3</v>
      </c>
      <c r="X116" s="34">
        <v>1.22167848244088</v>
      </c>
      <c r="Y116" s="34">
        <v>1.2253439668366699</v>
      </c>
      <c r="Z116" s="34">
        <v>1.2220079916728399</v>
      </c>
      <c r="AA116" s="34">
        <v>1.2229796516740301</v>
      </c>
      <c r="AB116" s="33">
        <v>26.064291518582799</v>
      </c>
      <c r="AC116" s="33">
        <v>25.994109946655101</v>
      </c>
      <c r="AD116" s="33">
        <v>26.014517315107401</v>
      </c>
      <c r="AE116" s="15">
        <v>2.9958753655327502E-3</v>
      </c>
      <c r="AF116" s="15">
        <v>2.9961069087065502E-4</v>
      </c>
      <c r="AG116" s="15">
        <v>1.0843793176955701E-3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6.7211413777760456E-3</v>
      </c>
      <c r="AT116" s="12"/>
      <c r="AU116">
        <f t="shared" si="30"/>
        <v>0</v>
      </c>
      <c r="AV116">
        <f t="shared" si="31"/>
        <v>0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1.0708515609318648E-2</v>
      </c>
      <c r="BE116" s="29">
        <f t="shared" si="42"/>
        <v>0</v>
      </c>
      <c r="BF116" s="29">
        <f t="shared" si="43"/>
        <v>1.7429656987094692E-2</v>
      </c>
      <c r="BH116" s="29"/>
    </row>
    <row r="117" spans="1:60" x14ac:dyDescent="0.25">
      <c r="A117" s="1">
        <v>46191</v>
      </c>
      <c r="B117" s="33">
        <v>21.06</v>
      </c>
      <c r="C117" s="33">
        <v>25.76</v>
      </c>
      <c r="D117" s="15">
        <v>1.90114125702437E-3</v>
      </c>
      <c r="E117" s="15">
        <v>1.1652749425002001E-3</v>
      </c>
      <c r="F117" s="33">
        <v>0</v>
      </c>
      <c r="G117" s="33">
        <v>0.251</v>
      </c>
      <c r="H117" s="33">
        <v>0</v>
      </c>
      <c r="I117" s="33">
        <v>0.25632300000000002</v>
      </c>
      <c r="J117" s="33">
        <v>0.251</v>
      </c>
      <c r="K117" s="33">
        <v>0.25632300000000002</v>
      </c>
      <c r="L117" s="33">
        <v>21.311</v>
      </c>
      <c r="M117" s="33">
        <v>26.016323</v>
      </c>
      <c r="N117" s="34">
        <v>1.22317188983855</v>
      </c>
      <c r="O117" s="34">
        <v>1.2284375966208501</v>
      </c>
      <c r="P117" s="34">
        <v>1.22434765491065</v>
      </c>
      <c r="Q117" s="34">
        <v>1.2259691231804599</v>
      </c>
      <c r="R117" s="33">
        <v>25.870895784835199</v>
      </c>
      <c r="S117" s="33">
        <v>25.7859853653874</v>
      </c>
      <c r="T117" s="33">
        <v>25.8247689364871</v>
      </c>
      <c r="U117" s="15">
        <v>4.2957207571725602E-3</v>
      </c>
      <c r="V117" s="15">
        <v>1.0082402113199601E-3</v>
      </c>
      <c r="W117" s="15">
        <v>2.5111664492567902E-3</v>
      </c>
      <c r="X117" s="34">
        <v>1.22079315846276</v>
      </c>
      <c r="Y117" s="34">
        <v>1.2253439668366699</v>
      </c>
      <c r="Z117" s="34">
        <v>1.22195068013073</v>
      </c>
      <c r="AA117" s="34">
        <v>1.22282665967551</v>
      </c>
      <c r="AB117" s="33">
        <v>26.113305277256298</v>
      </c>
      <c r="AC117" s="33">
        <v>26.042212310539899</v>
      </c>
      <c r="AD117" s="33">
        <v>26.062919356825301</v>
      </c>
      <c r="AE117" s="15">
        <v>3.72081644739637E-3</v>
      </c>
      <c r="AF117" s="15">
        <v>9.9462316870156903E-4</v>
      </c>
      <c r="AG117" s="15">
        <v>1.78944113433569E-3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6.7211413777760456E-3</v>
      </c>
      <c r="AT117" s="12"/>
      <c r="AU117">
        <f t="shared" si="30"/>
        <v>0</v>
      </c>
      <c r="AV117">
        <f t="shared" si="31"/>
        <v>0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1.0708515609318648E-2</v>
      </c>
      <c r="BE117" s="29">
        <f t="shared" si="42"/>
        <v>0</v>
      </c>
      <c r="BF117" s="29">
        <f t="shared" si="43"/>
        <v>1.7429656987094692E-2</v>
      </c>
      <c r="BH117" s="29"/>
    </row>
    <row r="118" spans="1:60" x14ac:dyDescent="0.25">
      <c r="A118" s="1">
        <v>46195</v>
      </c>
      <c r="B118" s="33">
        <v>20.98</v>
      </c>
      <c r="C118" s="33">
        <v>25.75</v>
      </c>
      <c r="D118" s="15">
        <v>-3.8059037376783002E-3</v>
      </c>
      <c r="E118" s="15">
        <v>-3.88274126407818E-4</v>
      </c>
      <c r="F118" s="33">
        <v>5.2999999999999999E-2</v>
      </c>
      <c r="G118" s="33">
        <v>0.30399999999999999</v>
      </c>
      <c r="H118" s="33">
        <v>0</v>
      </c>
      <c r="I118" s="33">
        <v>0.25632300000000002</v>
      </c>
      <c r="J118" s="33">
        <v>0.30399999999999999</v>
      </c>
      <c r="K118" s="33">
        <v>0.25632300000000002</v>
      </c>
      <c r="L118" s="33">
        <v>21.283999999999999</v>
      </c>
      <c r="M118" s="33">
        <v>26.006322999999998</v>
      </c>
      <c r="N118" s="34">
        <v>1.22735938989513</v>
      </c>
      <c r="O118" s="34">
        <v>1.2284375966208501</v>
      </c>
      <c r="P118" s="34">
        <v>1.22473456869807</v>
      </c>
      <c r="Q118" s="34">
        <v>1.2258467080598301</v>
      </c>
      <c r="R118" s="33">
        <v>25.772620777105502</v>
      </c>
      <c r="S118" s="33">
        <v>25.686813800025401</v>
      </c>
      <c r="T118" s="33">
        <v>25.720832204326101</v>
      </c>
      <c r="U118" s="15">
        <v>8.7809114590213999E-4</v>
      </c>
      <c r="V118" s="15">
        <v>-2.45684859110319E-3</v>
      </c>
      <c r="W118" s="15">
        <v>-1.1333719525004201E-3</v>
      </c>
      <c r="X118" s="34">
        <v>1.2218719695545901</v>
      </c>
      <c r="Y118" s="34">
        <v>1.2253439668366699</v>
      </c>
      <c r="Z118" s="34">
        <v>1.22202743584752</v>
      </c>
      <c r="AA118" s="34">
        <v>1.2226747876292701</v>
      </c>
      <c r="AB118" s="33">
        <v>26.080220990151702</v>
      </c>
      <c r="AC118" s="33">
        <v>26.007998275902501</v>
      </c>
      <c r="AD118" s="33">
        <v>26.026642624533601</v>
      </c>
      <c r="AE118" s="15">
        <v>2.8375098085953298E-3</v>
      </c>
      <c r="AF118" s="15">
        <v>6.44159478399999E-5</v>
      </c>
      <c r="AG118" s="15">
        <v>7.8102892359513995E-4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6.7211413777760456E-3</v>
      </c>
      <c r="AT118" s="12"/>
      <c r="AU118">
        <f t="shared" si="30"/>
        <v>0</v>
      </c>
      <c r="AV118">
        <f t="shared" si="31"/>
        <v>0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1.0708515609318648E-2</v>
      </c>
      <c r="BE118" s="29">
        <f t="shared" si="42"/>
        <v>0</v>
      </c>
      <c r="BF118" s="29">
        <f t="shared" si="43"/>
        <v>1.7429656987094692E-2</v>
      </c>
      <c r="BH118" s="29"/>
    </row>
    <row r="119" spans="1:60" x14ac:dyDescent="0.25">
      <c r="A119" s="1">
        <v>46196</v>
      </c>
      <c r="B119" s="33">
        <v>20.98</v>
      </c>
      <c r="C119" s="33">
        <v>25.74</v>
      </c>
      <c r="D119" s="15">
        <v>0</v>
      </c>
      <c r="E119" s="15">
        <v>-3.8842494176456499E-4</v>
      </c>
      <c r="F119" s="33">
        <v>0</v>
      </c>
      <c r="G119" s="33">
        <v>0.30399999999999999</v>
      </c>
      <c r="H119" s="33">
        <v>0</v>
      </c>
      <c r="I119" s="33">
        <v>0.25632300000000002</v>
      </c>
      <c r="J119" s="33">
        <v>0.30399999999999999</v>
      </c>
      <c r="K119" s="33">
        <v>0.25632300000000002</v>
      </c>
      <c r="L119" s="33">
        <v>21.283999999999999</v>
      </c>
      <c r="M119" s="33">
        <v>25.996322999999901</v>
      </c>
      <c r="N119" s="34">
        <v>1.22688274547187</v>
      </c>
      <c r="O119" s="34">
        <v>1.2284375966208501</v>
      </c>
      <c r="P119" s="34">
        <v>1.2249204645582901</v>
      </c>
      <c r="Q119" s="34">
        <v>1.2256764222565</v>
      </c>
      <c r="R119" s="33">
        <v>25.772620777105502</v>
      </c>
      <c r="S119" s="33">
        <v>25.694931251285599</v>
      </c>
      <c r="T119" s="33">
        <v>25.718263935095301</v>
      </c>
      <c r="U119" s="15">
        <v>1.2665160876666501E-3</v>
      </c>
      <c r="V119" s="15">
        <v>-1.75245729515821E-3</v>
      </c>
      <c r="W119" s="15">
        <v>-8.4480371218110205E-4</v>
      </c>
      <c r="X119" s="34">
        <v>1.2214021330576901</v>
      </c>
      <c r="Y119" s="34">
        <v>1.2253439668366699</v>
      </c>
      <c r="Z119" s="34">
        <v>1.2219057761807</v>
      </c>
      <c r="AA119" s="34">
        <v>1.2224756719174299</v>
      </c>
      <c r="AB119" s="33">
        <v>26.080220990151702</v>
      </c>
      <c r="AC119" s="33">
        <v>26.0096319445788</v>
      </c>
      <c r="AD119" s="33">
        <v>26.0234101799015</v>
      </c>
      <c r="AE119" s="15">
        <v>3.2221056279411698E-3</v>
      </c>
      <c r="AF119" s="15">
        <v>5.1182388184397405E-4</v>
      </c>
      <c r="AG119" s="15">
        <v>1.04141950348117E-3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6.7211413777760456E-3</v>
      </c>
      <c r="AT119" s="12"/>
      <c r="AU119">
        <f t="shared" si="30"/>
        <v>0</v>
      </c>
      <c r="AV119">
        <f t="shared" si="31"/>
        <v>0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1.0708515609318648E-2</v>
      </c>
      <c r="BE119" s="29">
        <f t="shared" si="42"/>
        <v>0</v>
      </c>
      <c r="BF119" s="29">
        <f t="shared" si="43"/>
        <v>1.7429656987094692E-2</v>
      </c>
      <c r="BH119" s="29"/>
    </row>
    <row r="120" spans="1:60" x14ac:dyDescent="0.25">
      <c r="A120" s="1">
        <v>46197</v>
      </c>
      <c r="B120" s="33">
        <v>20.96</v>
      </c>
      <c r="C120" s="33">
        <v>25.76</v>
      </c>
      <c r="D120" s="15">
        <v>-9.5374351530966804E-4</v>
      </c>
      <c r="E120" s="15">
        <v>7.7669906817241904E-4</v>
      </c>
      <c r="F120" s="33">
        <v>0</v>
      </c>
      <c r="G120" s="33">
        <v>0.30399999999999999</v>
      </c>
      <c r="H120" s="33">
        <v>0</v>
      </c>
      <c r="I120" s="33">
        <v>0.25632300000000002</v>
      </c>
      <c r="J120" s="33">
        <v>0.30399999999999999</v>
      </c>
      <c r="K120" s="33">
        <v>0.25632300000000002</v>
      </c>
      <c r="L120" s="33">
        <v>21.263999999999999</v>
      </c>
      <c r="M120" s="33">
        <v>26.016323</v>
      </c>
      <c r="N120" s="34">
        <v>1.22900763358778</v>
      </c>
      <c r="O120" s="34">
        <v>1.2284375966208501</v>
      </c>
      <c r="P120" s="34">
        <v>1.2253188492301099</v>
      </c>
      <c r="Q120" s="34">
        <v>1.2255385121892499</v>
      </c>
      <c r="R120" s="33">
        <v>25.748052025173099</v>
      </c>
      <c r="S120" s="33">
        <v>25.674332937141902</v>
      </c>
      <c r="T120" s="33">
        <v>25.690177810496301</v>
      </c>
      <c r="U120" s="15">
        <v>-4.6392649581544201E-4</v>
      </c>
      <c r="V120" s="15">
        <v>-3.3311267856490599E-3</v>
      </c>
      <c r="W120" s="15">
        <v>-2.7141687488085198E-3</v>
      </c>
      <c r="X120" s="34">
        <v>1.22349148796087</v>
      </c>
      <c r="Y120" s="34">
        <v>1.2253439668366699</v>
      </c>
      <c r="Z120" s="34">
        <v>1.2219930520041999</v>
      </c>
      <c r="AA120" s="34">
        <v>1.22230756934425</v>
      </c>
      <c r="AB120" s="33">
        <v>26.0557141108149</v>
      </c>
      <c r="AC120" s="33">
        <v>25.982604424706501</v>
      </c>
      <c r="AD120" s="33">
        <v>25.9947226876522</v>
      </c>
      <c r="AE120" s="15">
        <v>1.5129470830967399E-3</v>
      </c>
      <c r="AF120" s="15">
        <v>-1.29689521262913E-3</v>
      </c>
      <c r="AG120" s="15">
        <v>-8.3060485725694195E-4</v>
      </c>
      <c r="AI120" s="12"/>
      <c r="AJ120">
        <f t="shared" si="26"/>
        <v>0</v>
      </c>
      <c r="AK120">
        <f t="shared" si="27"/>
        <v>0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6.7211413777760456E-3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1.0708515609318648E-2</v>
      </c>
      <c r="BE120" s="29">
        <f t="shared" si="42"/>
        <v>0</v>
      </c>
      <c r="BF120" s="29">
        <f t="shared" si="43"/>
        <v>1.7429656987094692E-2</v>
      </c>
      <c r="BH120" s="29"/>
    </row>
    <row r="121" spans="1:60" x14ac:dyDescent="0.25">
      <c r="A121" s="1">
        <v>46198</v>
      </c>
      <c r="B121" s="33">
        <v>20.96</v>
      </c>
      <c r="C121" s="33">
        <v>25.77</v>
      </c>
      <c r="D121" s="15">
        <v>0</v>
      </c>
      <c r="E121" s="15">
        <v>3.8812342812071101E-4</v>
      </c>
      <c r="F121" s="33">
        <v>0</v>
      </c>
      <c r="G121" s="33">
        <v>0.30399999999999999</v>
      </c>
      <c r="H121" s="33">
        <v>0</v>
      </c>
      <c r="I121" s="33">
        <v>0.25632300000000002</v>
      </c>
      <c r="J121" s="33">
        <v>0.30399999999999999</v>
      </c>
      <c r="K121" s="33">
        <v>0.25632300000000002</v>
      </c>
      <c r="L121" s="33">
        <v>21.263999999999999</v>
      </c>
      <c r="M121" s="33">
        <v>26.026322999999898</v>
      </c>
      <c r="N121" s="34">
        <v>1.2294847328244201</v>
      </c>
      <c r="O121" s="34">
        <v>1.2284375966208501</v>
      </c>
      <c r="P121" s="34">
        <v>1.2256267124076901</v>
      </c>
      <c r="Q121" s="34">
        <v>1.22546507274039</v>
      </c>
      <c r="R121" s="33">
        <v>25.748052025173099</v>
      </c>
      <c r="S121" s="33">
        <v>25.6826830798631</v>
      </c>
      <c r="T121" s="33">
        <v>25.687287215486698</v>
      </c>
      <c r="U121" s="15">
        <v>-8.5204992393619796E-4</v>
      </c>
      <c r="V121" s="15">
        <v>-3.3940699972229201E-3</v>
      </c>
      <c r="W121" s="15">
        <v>-3.2148160241522099E-3</v>
      </c>
      <c r="X121" s="34">
        <v>1.2239617663656801</v>
      </c>
      <c r="Y121" s="34">
        <v>1.2253439668366699</v>
      </c>
      <c r="Z121" s="34">
        <v>1.2219912115902301</v>
      </c>
      <c r="AA121" s="34">
        <v>1.2222027648070799</v>
      </c>
      <c r="AB121" s="33">
        <v>26.0557141108149</v>
      </c>
      <c r="AC121" s="33">
        <v>25.9844602578173</v>
      </c>
      <c r="AD121" s="33">
        <v>25.991148154536202</v>
      </c>
      <c r="AE121" s="15">
        <v>1.12864686426976E-3</v>
      </c>
      <c r="AF121" s="15">
        <v>-1.6097719972892801E-3</v>
      </c>
      <c r="AG121" s="15">
        <v>-1.35242448525231E-3</v>
      </c>
      <c r="AI121" s="12"/>
      <c r="AJ121">
        <f t="shared" si="26"/>
        <v>1</v>
      </c>
      <c r="AK121">
        <f t="shared" si="27"/>
        <v>0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6.7211413777760456E-3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1.0708515609318648E-2</v>
      </c>
      <c r="BE121" s="29">
        <f t="shared" si="42"/>
        <v>0</v>
      </c>
      <c r="BF121" s="29">
        <f t="shared" si="43"/>
        <v>1.7429656987094692E-2</v>
      </c>
      <c r="BH121" s="29"/>
    </row>
    <row r="122" spans="1:60" x14ac:dyDescent="0.25">
      <c r="A122" s="1">
        <v>46199</v>
      </c>
      <c r="B122" s="33">
        <v>20.98</v>
      </c>
      <c r="C122" s="33">
        <v>25.77</v>
      </c>
      <c r="D122" s="15">
        <v>9.5374351530963498E-4</v>
      </c>
      <c r="E122" s="15">
        <v>0</v>
      </c>
      <c r="F122" s="33">
        <v>0</v>
      </c>
      <c r="G122" s="33">
        <v>0.30399999999999999</v>
      </c>
      <c r="H122" s="33">
        <v>0</v>
      </c>
      <c r="I122" s="33">
        <v>0.25632300000000002</v>
      </c>
      <c r="J122" s="33">
        <v>0.30399999999999999</v>
      </c>
      <c r="K122" s="33">
        <v>0.25632300000000002</v>
      </c>
      <c r="L122" s="33">
        <v>21.283999999999999</v>
      </c>
      <c r="M122" s="33">
        <v>26.026322999999898</v>
      </c>
      <c r="N122" s="34">
        <v>1.2283126787416501</v>
      </c>
      <c r="O122" s="34">
        <v>1.2284375966208501</v>
      </c>
      <c r="P122" s="34">
        <v>1.2261089550797599</v>
      </c>
      <c r="Q122" s="34">
        <v>1.2254139126019801</v>
      </c>
      <c r="R122" s="33">
        <v>25.772620777105502</v>
      </c>
      <c r="S122" s="33">
        <v>25.713648426313299</v>
      </c>
      <c r="T122" s="33">
        <v>25.7102572260934</v>
      </c>
      <c r="U122" s="15">
        <v>1.0169359137357E-4</v>
      </c>
      <c r="V122" s="15">
        <v>-2.1891065576369701E-3</v>
      </c>
      <c r="W122" s="15">
        <v>-2.3209985320713799E-3</v>
      </c>
      <c r="X122" s="34">
        <v>1.2228116425483899</v>
      </c>
      <c r="Y122" s="34">
        <v>1.2253439668366699</v>
      </c>
      <c r="Z122" s="34">
        <v>1.2221619346064001</v>
      </c>
      <c r="AA122" s="34">
        <v>1.2221196842179201</v>
      </c>
      <c r="AB122" s="33">
        <v>26.080220990151702</v>
      </c>
      <c r="AC122" s="33">
        <v>26.0088609474865</v>
      </c>
      <c r="AD122" s="33">
        <v>26.013363646154001</v>
      </c>
      <c r="AE122" s="15">
        <v>2.0687616275031902E-3</v>
      </c>
      <c r="AF122" s="15">
        <v>-6.7116331083236897E-4</v>
      </c>
      <c r="AG122" s="15">
        <v>-4.9805657754859204E-4</v>
      </c>
      <c r="AI122" s="12"/>
      <c r="AJ122">
        <f t="shared" si="26"/>
        <v>0</v>
      </c>
      <c r="AK122">
        <f t="shared" si="27"/>
        <v>0</v>
      </c>
      <c r="AL122">
        <f t="shared" si="34"/>
        <v>1</v>
      </c>
      <c r="AM122">
        <f t="shared" si="24"/>
        <v>1</v>
      </c>
      <c r="AN122">
        <f t="shared" si="35"/>
        <v>1</v>
      </c>
      <c r="AO122" s="28">
        <f t="shared" si="28"/>
        <v>9.5374351530963498E-4</v>
      </c>
      <c r="AP122" s="28">
        <f t="shared" si="29"/>
        <v>0</v>
      </c>
      <c r="AQ122" s="28">
        <f t="shared" si="36"/>
        <v>9.5374351530963498E-4</v>
      </c>
      <c r="AR122" s="29">
        <f t="shared" si="37"/>
        <v>7.6748848930856808E-3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1.0708515609318648E-2</v>
      </c>
      <c r="BE122" s="29">
        <f t="shared" si="42"/>
        <v>9.5374351530963498E-4</v>
      </c>
      <c r="BF122" s="29">
        <f t="shared" si="43"/>
        <v>1.8383400502404328E-2</v>
      </c>
      <c r="BH122" s="29"/>
    </row>
    <row r="123" spans="1:60" x14ac:dyDescent="0.25">
      <c r="A123" s="1">
        <v>46202</v>
      </c>
      <c r="B123" s="33">
        <v>21</v>
      </c>
      <c r="C123" s="33">
        <v>25.79</v>
      </c>
      <c r="D123" s="15">
        <v>9.5283475527184502E-4</v>
      </c>
      <c r="E123" s="15">
        <v>7.7579522897979099E-4</v>
      </c>
      <c r="F123" s="33">
        <v>0</v>
      </c>
      <c r="G123" s="33">
        <v>0.30399999999999999</v>
      </c>
      <c r="H123" s="33">
        <v>0</v>
      </c>
      <c r="I123" s="33">
        <v>0.25632300000000002</v>
      </c>
      <c r="J123" s="33">
        <v>0.30399999999999999</v>
      </c>
      <c r="K123" s="33">
        <v>0.25632300000000002</v>
      </c>
      <c r="L123" s="33">
        <v>21.303999999999998</v>
      </c>
      <c r="M123" s="33">
        <v>26.046322999999902</v>
      </c>
      <c r="N123" s="34">
        <v>1.2280952380952299</v>
      </c>
      <c r="O123" s="34">
        <v>1.2284375966208501</v>
      </c>
      <c r="P123" s="34">
        <v>1.22658514555595</v>
      </c>
      <c r="Q123" s="34">
        <v>1.2255406582931101</v>
      </c>
      <c r="R123" s="33">
        <v>25.797189529037901</v>
      </c>
      <c r="S123" s="33">
        <v>25.748288056675001</v>
      </c>
      <c r="T123" s="33">
        <v>25.733692164641699</v>
      </c>
      <c r="U123" s="15">
        <v>2.7873311766578697E-4</v>
      </c>
      <c r="V123" s="15">
        <v>-1.6186782295356699E-3</v>
      </c>
      <c r="W123" s="15">
        <v>-2.1857074060229E-3</v>
      </c>
      <c r="X123" s="34">
        <v>1.2226024690199</v>
      </c>
      <c r="Y123" s="34">
        <v>1.2253439668366699</v>
      </c>
      <c r="Z123" s="34">
        <v>1.2223275836071199</v>
      </c>
      <c r="AA123" s="34">
        <v>1.2222122316828601</v>
      </c>
      <c r="AB123" s="33">
        <v>26.1047278694884</v>
      </c>
      <c r="AC123" s="33">
        <v>26.036937854854902</v>
      </c>
      <c r="AD123" s="33">
        <v>26.036037752578501</v>
      </c>
      <c r="AE123" s="15">
        <v>2.2398357437532299E-3</v>
      </c>
      <c r="AF123" s="15">
        <v>-3.6039007898539498E-4</v>
      </c>
      <c r="AG123" s="15">
        <v>-3.9496088143796399E-4</v>
      </c>
      <c r="AI123" s="12"/>
      <c r="AJ123">
        <f t="shared" si="26"/>
        <v>0</v>
      </c>
      <c r="AK123">
        <f t="shared" si="27"/>
        <v>0</v>
      </c>
      <c r="AL123">
        <f t="shared" si="34"/>
        <v>1</v>
      </c>
      <c r="AM123">
        <f t="shared" si="24"/>
        <v>1</v>
      </c>
      <c r="AN123">
        <f t="shared" si="35"/>
        <v>1</v>
      </c>
      <c r="AO123" s="28">
        <f t="shared" si="28"/>
        <v>9.5283475527184502E-4</v>
      </c>
      <c r="AP123" s="28">
        <f t="shared" si="29"/>
        <v>-7.7579522897979099E-4</v>
      </c>
      <c r="AQ123" s="28">
        <f t="shared" si="36"/>
        <v>1.7703952629205403E-4</v>
      </c>
      <c r="AR123" s="29">
        <f t="shared" si="37"/>
        <v>7.8519244193777354E-3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1.0708515609318648E-2</v>
      </c>
      <c r="BE123" s="29">
        <f t="shared" si="42"/>
        <v>1.7703952629205403E-4</v>
      </c>
      <c r="BF123" s="29">
        <f t="shared" si="43"/>
        <v>1.8560440028696383E-2</v>
      </c>
      <c r="BH123" s="29"/>
    </row>
    <row r="124" spans="1:60" x14ac:dyDescent="0.25">
      <c r="A124" s="1">
        <v>46203</v>
      </c>
      <c r="B124" s="33">
        <v>20.98</v>
      </c>
      <c r="C124" s="33">
        <v>25.8</v>
      </c>
      <c r="D124" s="15">
        <v>-9.5283475527185402E-4</v>
      </c>
      <c r="E124" s="15">
        <v>3.8767203431839202E-4</v>
      </c>
      <c r="F124" s="33">
        <v>0</v>
      </c>
      <c r="G124" s="33">
        <v>0.30399999999999999</v>
      </c>
      <c r="H124" s="33">
        <v>0</v>
      </c>
      <c r="I124" s="33">
        <v>0.25632300000000002</v>
      </c>
      <c r="J124" s="33">
        <v>0.30399999999999999</v>
      </c>
      <c r="K124" s="33">
        <v>0.25632300000000002</v>
      </c>
      <c r="L124" s="33">
        <v>21.283999999999999</v>
      </c>
      <c r="M124" s="33">
        <v>26.056322999999999</v>
      </c>
      <c r="N124" s="34">
        <v>1.2297426120114301</v>
      </c>
      <c r="O124" s="34">
        <v>1.2284375966208501</v>
      </c>
      <c r="P124" s="34">
        <v>1.22710460180943</v>
      </c>
      <c r="Q124" s="34">
        <v>1.2257789805047401</v>
      </c>
      <c r="R124" s="33">
        <v>25.772620777105502</v>
      </c>
      <c r="S124" s="33">
        <v>25.733756353763901</v>
      </c>
      <c r="T124" s="33">
        <v>25.711843010989401</v>
      </c>
      <c r="U124" s="15">
        <v>-1.0617736719245299E-3</v>
      </c>
      <c r="V124" s="15">
        <v>-2.5708850822929799E-3</v>
      </c>
      <c r="W124" s="15">
        <v>-3.4227886219678799E-3</v>
      </c>
      <c r="X124" s="34">
        <v>1.22422115203909</v>
      </c>
      <c r="Y124" s="34">
        <v>1.2253439668366699</v>
      </c>
      <c r="Z124" s="34">
        <v>1.2225348382026899</v>
      </c>
      <c r="AA124" s="34">
        <v>1.2222949321655101</v>
      </c>
      <c r="AB124" s="33">
        <v>26.080220990151702</v>
      </c>
      <c r="AC124" s="33">
        <v>26.016020289494001</v>
      </c>
      <c r="AD124" s="33">
        <v>26.013565139137999</v>
      </c>
      <c r="AE124" s="15">
        <v>9.1674629718181905E-4</v>
      </c>
      <c r="AF124" s="15">
        <v>-1.54795102381089E-3</v>
      </c>
      <c r="AG124" s="15">
        <v>-1.6423261889217599E-3</v>
      </c>
      <c r="AI124" s="12"/>
      <c r="AJ124">
        <f t="shared" si="26"/>
        <v>1</v>
      </c>
      <c r="AK124">
        <f t="shared" si="27"/>
        <v>0</v>
      </c>
      <c r="AL124">
        <f t="shared" si="34"/>
        <v>1</v>
      </c>
      <c r="AM124">
        <f t="shared" si="24"/>
        <v>0</v>
      </c>
      <c r="AN124">
        <f t="shared" si="35"/>
        <v>1</v>
      </c>
      <c r="AO124" s="28">
        <f t="shared" si="28"/>
        <v>-9.5283475527185402E-4</v>
      </c>
      <c r="AP124" s="28">
        <f t="shared" si="29"/>
        <v>-3.8767203431839202E-4</v>
      </c>
      <c r="AQ124" s="28">
        <f t="shared" si="36"/>
        <v>-1.340506789590246E-3</v>
      </c>
      <c r="AR124" s="29">
        <f t="shared" si="37"/>
        <v>6.5114176297874898E-3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1.0708515609318648E-2</v>
      </c>
      <c r="BE124" s="29">
        <f t="shared" si="42"/>
        <v>-1.340506789590246E-3</v>
      </c>
      <c r="BF124" s="29">
        <f t="shared" si="43"/>
        <v>1.7219933239106137E-2</v>
      </c>
      <c r="BH124" s="29"/>
    </row>
    <row r="125" spans="1:60" x14ac:dyDescent="0.25">
      <c r="A125" s="1">
        <v>46204</v>
      </c>
      <c r="B125" s="33">
        <v>20.98</v>
      </c>
      <c r="C125" s="33">
        <v>25.73</v>
      </c>
      <c r="D125" s="15">
        <v>0</v>
      </c>
      <c r="E125" s="15">
        <v>-2.7168656339189201E-3</v>
      </c>
      <c r="F125" s="33">
        <v>0</v>
      </c>
      <c r="G125" s="33">
        <v>0.30399999999999999</v>
      </c>
      <c r="H125" s="33">
        <v>4.9785000000000003E-2</v>
      </c>
      <c r="I125" s="33">
        <v>0.30610799999999999</v>
      </c>
      <c r="J125" s="33">
        <v>0.30399999999999999</v>
      </c>
      <c r="K125" s="33">
        <v>0.30610799999999999</v>
      </c>
      <c r="L125" s="33">
        <v>21.283999999999999</v>
      </c>
      <c r="M125" s="33">
        <v>26.036107999999999</v>
      </c>
      <c r="N125" s="34">
        <v>1.22640610104861</v>
      </c>
      <c r="O125" s="34">
        <v>1.2284375966208501</v>
      </c>
      <c r="P125" s="34">
        <v>1.22725353335984</v>
      </c>
      <c r="Q125" s="34">
        <v>1.22584809621369</v>
      </c>
      <c r="R125" s="33">
        <v>25.772620777105502</v>
      </c>
      <c r="S125" s="33">
        <v>25.744654545961801</v>
      </c>
      <c r="T125" s="33">
        <v>25.7168430109894</v>
      </c>
      <c r="U125" s="15">
        <v>1.65509196199449E-3</v>
      </c>
      <c r="V125" s="15">
        <v>5.6938881813017601E-4</v>
      </c>
      <c r="W125" s="15">
        <v>-5.1147897625313204E-4</v>
      </c>
      <c r="X125" s="34">
        <v>1.2232713775605999</v>
      </c>
      <c r="Y125" s="34">
        <v>1.2253439668366699</v>
      </c>
      <c r="Z125" s="34">
        <v>1.2226105639010401</v>
      </c>
      <c r="AA125" s="34">
        <v>1.22232756455724</v>
      </c>
      <c r="AB125" s="33">
        <v>26.080220990151702</v>
      </c>
      <c r="AC125" s="33">
        <v>26.020431496306099</v>
      </c>
      <c r="AD125" s="33">
        <v>26.015325336210701</v>
      </c>
      <c r="AE125" s="15">
        <v>1.69286676714909E-3</v>
      </c>
      <c r="AF125" s="15">
        <v>-6.0228760188291001E-4</v>
      </c>
      <c r="AG125" s="15">
        <v>-7.9854342374633205E-4</v>
      </c>
      <c r="AI125" s="12"/>
      <c r="AJ125">
        <f t="shared" si="26"/>
        <v>0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6.5114176297874898E-3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1.0708515609318648E-2</v>
      </c>
      <c r="BE125" s="29">
        <f t="shared" si="42"/>
        <v>0</v>
      </c>
      <c r="BF125" s="29">
        <f t="shared" si="43"/>
        <v>1.7219933239106137E-2</v>
      </c>
      <c r="BH125" s="29"/>
    </row>
    <row r="126" spans="1:60" x14ac:dyDescent="0.25">
      <c r="A126" s="1">
        <v>46205</v>
      </c>
      <c r="B126" s="33">
        <v>20.98</v>
      </c>
      <c r="C126" s="33">
        <v>25.76</v>
      </c>
      <c r="D126" s="15">
        <v>0</v>
      </c>
      <c r="E126" s="15">
        <v>1.1652749425002001E-3</v>
      </c>
      <c r="F126" s="33">
        <v>0</v>
      </c>
      <c r="G126" s="33">
        <v>0.30399999999999999</v>
      </c>
      <c r="H126" s="33">
        <v>0</v>
      </c>
      <c r="I126" s="33">
        <v>0.30610799999999999</v>
      </c>
      <c r="J126" s="33">
        <v>0.30399999999999999</v>
      </c>
      <c r="K126" s="33">
        <v>0.30610799999999999</v>
      </c>
      <c r="L126" s="33">
        <v>21.283999999999999</v>
      </c>
      <c r="M126" s="33">
        <v>26.066108</v>
      </c>
      <c r="N126" s="34">
        <v>1.2278360343183901</v>
      </c>
      <c r="O126" s="34">
        <v>1.2284375966208501</v>
      </c>
      <c r="P126" s="34">
        <v>1.22762990558331</v>
      </c>
      <c r="Q126" s="34">
        <v>1.2260178342111101</v>
      </c>
      <c r="R126" s="33">
        <v>25.772620777105502</v>
      </c>
      <c r="S126" s="33">
        <v>25.747779129889501</v>
      </c>
      <c r="T126" s="33">
        <v>25.718293058563201</v>
      </c>
      <c r="U126" s="15">
        <v>4.8981701949421096E-4</v>
      </c>
      <c r="V126" s="15">
        <v>-4.7452522885554302E-4</v>
      </c>
      <c r="W126" s="15">
        <v>-1.6203703768816601E-3</v>
      </c>
      <c r="X126" s="34">
        <v>1.2246808870513</v>
      </c>
      <c r="Y126" s="34">
        <v>1.2253439668366699</v>
      </c>
      <c r="Z126" s="34">
        <v>1.22291080436209</v>
      </c>
      <c r="AA126" s="34">
        <v>1.2224593980174601</v>
      </c>
      <c r="AB126" s="33">
        <v>26.080220990151702</v>
      </c>
      <c r="AC126" s="33">
        <v>26.022043242069898</v>
      </c>
      <c r="AD126" s="33">
        <v>26.0160198840364</v>
      </c>
      <c r="AE126" s="15">
        <v>5.4128414289531998E-4</v>
      </c>
      <c r="AF126" s="15">
        <v>-1.69193059807544E-3</v>
      </c>
      <c r="AG126" s="15">
        <v>-1.9234287630160499E-3</v>
      </c>
      <c r="AI126" s="12"/>
      <c r="AJ126">
        <f t="shared" si="26"/>
        <v>1</v>
      </c>
      <c r="AK126">
        <f t="shared" si="27"/>
        <v>0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6.5114176297874898E-3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1.0708515609318648E-2</v>
      </c>
      <c r="BE126" s="29">
        <f t="shared" si="42"/>
        <v>0</v>
      </c>
      <c r="BF126" s="29">
        <f t="shared" si="43"/>
        <v>1.7219933239106137E-2</v>
      </c>
      <c r="BH126" s="29"/>
    </row>
    <row r="127" spans="1:60" x14ac:dyDescent="0.25">
      <c r="A127" s="1">
        <v>46209</v>
      </c>
      <c r="B127" s="33">
        <v>21.03</v>
      </c>
      <c r="C127" s="33">
        <v>25.79</v>
      </c>
      <c r="D127" s="15">
        <v>2.3803867464574301E-3</v>
      </c>
      <c r="E127" s="15">
        <v>1.16391865710041E-3</v>
      </c>
      <c r="F127" s="33">
        <v>0</v>
      </c>
      <c r="G127" s="33">
        <v>0.30399999999999999</v>
      </c>
      <c r="H127" s="33">
        <v>0</v>
      </c>
      <c r="I127" s="33">
        <v>0.30610799999999999</v>
      </c>
      <c r="J127" s="33">
        <v>0.30399999999999999</v>
      </c>
      <c r="K127" s="33">
        <v>0.30610799999999999</v>
      </c>
      <c r="L127" s="33">
        <v>21.334</v>
      </c>
      <c r="M127" s="33">
        <v>26.096108000000001</v>
      </c>
      <c r="N127" s="34">
        <v>1.22634331906799</v>
      </c>
      <c r="O127" s="34">
        <v>1.2284375966208501</v>
      </c>
      <c r="P127" s="34">
        <v>1.22794704850625</v>
      </c>
      <c r="Q127" s="34">
        <v>1.22614735170845</v>
      </c>
      <c r="R127" s="33">
        <v>25.8340426569366</v>
      </c>
      <c r="S127" s="33">
        <v>25.817056914417002</v>
      </c>
      <c r="T127" s="33">
        <v>25.783155053459598</v>
      </c>
      <c r="U127" s="15">
        <v>1.70628510885124E-3</v>
      </c>
      <c r="V127" s="15">
        <v>1.0485743041333899E-3</v>
      </c>
      <c r="W127" s="15">
        <v>-2.6544610557174603E-4</v>
      </c>
      <c r="X127" s="34">
        <v>1.2232168369738401</v>
      </c>
      <c r="Y127" s="34">
        <v>1.2253439668366699</v>
      </c>
      <c r="Z127" s="34">
        <v>1.2231531722131901</v>
      </c>
      <c r="AA127" s="34">
        <v>1.22255192617196</v>
      </c>
      <c r="AB127" s="33">
        <v>26.141488188493501</v>
      </c>
      <c r="AC127" s="33">
        <v>26.089579100260799</v>
      </c>
      <c r="AD127" s="33">
        <v>26.079948797304599</v>
      </c>
      <c r="AE127" s="15">
        <v>1.7374536050904501E-3</v>
      </c>
      <c r="AF127" s="15">
        <v>-2.5021802474896901E-4</v>
      </c>
      <c r="AG127" s="15">
        <v>-6.1941067240011501E-4</v>
      </c>
      <c r="AI127" s="12"/>
      <c r="AJ127">
        <f t="shared" si="26"/>
        <v>0</v>
      </c>
      <c r="AK127">
        <f t="shared" si="27"/>
        <v>0</v>
      </c>
      <c r="AL127">
        <f t="shared" si="34"/>
        <v>1</v>
      </c>
      <c r="AM127">
        <f t="shared" si="24"/>
        <v>1</v>
      </c>
      <c r="AN127">
        <f t="shared" si="35"/>
        <v>1</v>
      </c>
      <c r="AO127" s="28">
        <f t="shared" si="28"/>
        <v>2.3803867464574301E-3</v>
      </c>
      <c r="AP127" s="28">
        <f t="shared" si="29"/>
        <v>-1.16391865710041E-3</v>
      </c>
      <c r="AQ127" s="28">
        <f t="shared" si="36"/>
        <v>1.2164680893570201E-3</v>
      </c>
      <c r="AR127" s="29">
        <f t="shared" si="37"/>
        <v>7.7278857191445099E-3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1.0708515609318648E-2</v>
      </c>
      <c r="BE127" s="29">
        <f t="shared" si="42"/>
        <v>1.2164680893570201E-3</v>
      </c>
      <c r="BF127" s="29">
        <f t="shared" si="43"/>
        <v>1.8436401328463158E-2</v>
      </c>
      <c r="BH127" s="29"/>
    </row>
    <row r="128" spans="1:60" x14ac:dyDescent="0.25">
      <c r="A128" s="1">
        <v>46210</v>
      </c>
      <c r="B128" s="33">
        <v>21</v>
      </c>
      <c r="C128" s="33">
        <v>25.76</v>
      </c>
      <c r="D128" s="15">
        <v>-1.4275519911854399E-3</v>
      </c>
      <c r="E128" s="15">
        <v>-1.1639186571003901E-3</v>
      </c>
      <c r="F128" s="33">
        <v>0</v>
      </c>
      <c r="G128" s="33">
        <v>0.30399999999999999</v>
      </c>
      <c r="H128" s="33">
        <v>0</v>
      </c>
      <c r="I128" s="33">
        <v>0.30610799999999999</v>
      </c>
      <c r="J128" s="33">
        <v>0.30399999999999999</v>
      </c>
      <c r="K128" s="33">
        <v>0.30610799999999999</v>
      </c>
      <c r="L128" s="33">
        <v>21.303999999999998</v>
      </c>
      <c r="M128" s="33">
        <v>26.066108</v>
      </c>
      <c r="N128" s="34">
        <v>1.2266666666666599</v>
      </c>
      <c r="O128" s="34">
        <v>1.2284375966208501</v>
      </c>
      <c r="P128" s="34">
        <v>1.2278777761834101</v>
      </c>
      <c r="Q128" s="34">
        <v>1.22630617244074</v>
      </c>
      <c r="R128" s="33">
        <v>25.797189529037901</v>
      </c>
      <c r="S128" s="33">
        <v>25.786888018631402</v>
      </c>
      <c r="T128" s="33">
        <v>25.749094385877498</v>
      </c>
      <c r="U128" s="15">
        <v>1.4426517747662599E-3</v>
      </c>
      <c r="V128" s="15">
        <v>1.0432451736116801E-3</v>
      </c>
      <c r="W128" s="15">
        <v>-4.2344422535152198E-4</v>
      </c>
      <c r="X128" s="34">
        <v>1.2235311678558001</v>
      </c>
      <c r="Y128" s="34">
        <v>1.2253439668366699</v>
      </c>
      <c r="Z128" s="34">
        <v>1.2233190920433199</v>
      </c>
      <c r="AA128" s="34">
        <v>1.2226732639454201</v>
      </c>
      <c r="AB128" s="33">
        <v>26.1047278694884</v>
      </c>
      <c r="AC128" s="33">
        <v>26.058055180829999</v>
      </c>
      <c r="AD128" s="33">
        <v>26.0452462351675</v>
      </c>
      <c r="AE128" s="15">
        <v>1.48051592040365E-3</v>
      </c>
      <c r="AF128" s="15">
        <v>-3.0898603421709202E-4</v>
      </c>
      <c r="AG128" s="15">
        <v>-8.0066105565951599E-4</v>
      </c>
      <c r="AI128" s="12"/>
      <c r="AJ128">
        <f t="shared" si="26"/>
        <v>0</v>
      </c>
      <c r="AK128">
        <f t="shared" si="27"/>
        <v>0</v>
      </c>
      <c r="AL128">
        <f t="shared" si="34"/>
        <v>1</v>
      </c>
      <c r="AM128">
        <f t="shared" si="24"/>
        <v>1</v>
      </c>
      <c r="AN128">
        <f t="shared" si="35"/>
        <v>1</v>
      </c>
      <c r="AO128" s="28">
        <f t="shared" si="28"/>
        <v>-1.4275519911854399E-3</v>
      </c>
      <c r="AP128" s="28">
        <f t="shared" si="29"/>
        <v>1.1639186571003901E-3</v>
      </c>
      <c r="AQ128" s="28">
        <f t="shared" si="36"/>
        <v>-2.6363333408504987E-4</v>
      </c>
      <c r="AR128" s="29">
        <f t="shared" si="37"/>
        <v>7.4642523850594602E-3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1.0708515609318648E-2</v>
      </c>
      <c r="BE128" s="29">
        <f t="shared" si="42"/>
        <v>-2.6363333408504987E-4</v>
      </c>
      <c r="BF128" s="29">
        <f t="shared" si="43"/>
        <v>1.8172767994378107E-2</v>
      </c>
      <c r="BH128" s="29"/>
    </row>
    <row r="129" spans="1:60" x14ac:dyDescent="0.25">
      <c r="A129" s="1">
        <v>46211</v>
      </c>
      <c r="B129" s="33">
        <v>20.91</v>
      </c>
      <c r="C129" s="33">
        <v>25.72</v>
      </c>
      <c r="D129" s="15">
        <v>-4.2949242828807296E-3</v>
      </c>
      <c r="E129" s="15">
        <v>-1.5540018667343099E-3</v>
      </c>
      <c r="F129" s="33">
        <v>0</v>
      </c>
      <c r="G129" s="33">
        <v>0.30399999999999999</v>
      </c>
      <c r="H129" s="33">
        <v>0</v>
      </c>
      <c r="I129" s="33">
        <v>0.30610799999999999</v>
      </c>
      <c r="J129" s="33">
        <v>0.30399999999999999</v>
      </c>
      <c r="K129" s="33">
        <v>0.30610799999999999</v>
      </c>
      <c r="L129" s="33">
        <v>21.213999999999999</v>
      </c>
      <c r="M129" s="33">
        <v>26.026108000000001</v>
      </c>
      <c r="N129" s="34">
        <v>1.23003347680535</v>
      </c>
      <c r="O129" s="34">
        <v>1.2284375966208501</v>
      </c>
      <c r="P129" s="34">
        <v>1.22819284931675</v>
      </c>
      <c r="Q129" s="34">
        <v>1.2265566569375199</v>
      </c>
      <c r="R129" s="33">
        <v>25.686630145342001</v>
      </c>
      <c r="S129" s="33">
        <v>25.674924299995102</v>
      </c>
      <c r="T129" s="33">
        <v>25.6420620657359</v>
      </c>
      <c r="U129" s="15">
        <v>-1.2982706413801799E-3</v>
      </c>
      <c r="V129" s="15">
        <v>-1.7540919527120401E-3</v>
      </c>
      <c r="W129" s="15">
        <v>-3.0348467701158698E-3</v>
      </c>
      <c r="X129" s="34">
        <v>1.2268364287734499</v>
      </c>
      <c r="Y129" s="34">
        <v>1.2253439668366699</v>
      </c>
      <c r="Z129" s="34">
        <v>1.22386252161489</v>
      </c>
      <c r="AA129" s="34">
        <v>1.2228841488977999</v>
      </c>
      <c r="AB129" s="33">
        <v>25.994446912473101</v>
      </c>
      <c r="AC129" s="33">
        <v>25.951491218607</v>
      </c>
      <c r="AD129" s="33">
        <v>25.937790621338198</v>
      </c>
      <c r="AE129" s="15">
        <v>-1.21725312194373E-3</v>
      </c>
      <c r="AF129" s="15">
        <v>-2.8711150100086502E-3</v>
      </c>
      <c r="AG129" s="15">
        <v>-3.3991854361666699E-3</v>
      </c>
      <c r="AI129" s="12"/>
      <c r="AJ129">
        <f t="shared" si="26"/>
        <v>1</v>
      </c>
      <c r="AK129">
        <f t="shared" si="27"/>
        <v>0</v>
      </c>
      <c r="AL129">
        <f t="shared" si="34"/>
        <v>1</v>
      </c>
      <c r="AM129">
        <f t="shared" si="24"/>
        <v>1</v>
      </c>
      <c r="AN129">
        <f t="shared" si="35"/>
        <v>1</v>
      </c>
      <c r="AO129" s="28">
        <f t="shared" si="28"/>
        <v>-4.2949242828807296E-3</v>
      </c>
      <c r="AP129" s="28">
        <f t="shared" si="29"/>
        <v>1.5540018667343099E-3</v>
      </c>
      <c r="AQ129" s="28">
        <f t="shared" si="36"/>
        <v>-2.7409224161464196E-3</v>
      </c>
      <c r="AR129" s="29">
        <f t="shared" si="37"/>
        <v>4.7233299689130401E-3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1.0708515609318648E-2</v>
      </c>
      <c r="BE129" s="29">
        <f t="shared" si="42"/>
        <v>-2.7409224161464196E-3</v>
      </c>
      <c r="BF129" s="29">
        <f t="shared" si="43"/>
        <v>1.5431845578231688E-2</v>
      </c>
      <c r="BH129" s="29"/>
    </row>
    <row r="130" spans="1:60" x14ac:dyDescent="0.25">
      <c r="A130" s="1">
        <v>46212</v>
      </c>
      <c r="B130" s="33">
        <v>20.92</v>
      </c>
      <c r="C130" s="33">
        <v>25.7</v>
      </c>
      <c r="D130" s="15">
        <v>4.78125756179953E-4</v>
      </c>
      <c r="E130" s="15">
        <v>-7.7790746824445904E-4</v>
      </c>
      <c r="F130" s="33">
        <v>0</v>
      </c>
      <c r="G130" s="33">
        <v>0.30399999999999999</v>
      </c>
      <c r="H130" s="33">
        <v>0</v>
      </c>
      <c r="I130" s="33">
        <v>0.30610799999999999</v>
      </c>
      <c r="J130" s="33">
        <v>0.30399999999999999</v>
      </c>
      <c r="K130" s="33">
        <v>0.30610799999999999</v>
      </c>
      <c r="L130" s="33">
        <v>21.224</v>
      </c>
      <c r="M130" s="33">
        <v>26.006107999999902</v>
      </c>
      <c r="N130" s="34">
        <v>1.2284894837476099</v>
      </c>
      <c r="O130" s="34">
        <v>1.2284375966208501</v>
      </c>
      <c r="P130" s="34">
        <v>1.2281410343327399</v>
      </c>
      <c r="Q130" s="34">
        <v>1.2267299417814199</v>
      </c>
      <c r="R130" s="33">
        <v>25.6989145213083</v>
      </c>
      <c r="S130" s="33">
        <v>25.693794407706498</v>
      </c>
      <c r="T130" s="33">
        <v>25.659565263133</v>
      </c>
      <c r="U130" s="15">
        <v>-4.2237416955734502E-5</v>
      </c>
      <c r="V130" s="15">
        <v>-2.41491891971761E-4</v>
      </c>
      <c r="W130" s="15">
        <v>-1.57457505778551E-3</v>
      </c>
      <c r="X130" s="34">
        <v>1.2253160572936199</v>
      </c>
      <c r="Y130" s="34">
        <v>1.2253439668366699</v>
      </c>
      <c r="Z130" s="34">
        <v>1.22404497854817</v>
      </c>
      <c r="AA130" s="34">
        <v>1.22301901527618</v>
      </c>
      <c r="AB130" s="33">
        <v>26.0067003521415</v>
      </c>
      <c r="AC130" s="33">
        <v>25.9752581587545</v>
      </c>
      <c r="AD130" s="33">
        <v>25.954493176206899</v>
      </c>
      <c r="AE130" s="15">
        <v>2.2777164329558101E-5</v>
      </c>
      <c r="AF130" s="15">
        <v>-1.1869578330500901E-3</v>
      </c>
      <c r="AG130" s="15">
        <v>-1.9866914393368101E-3</v>
      </c>
      <c r="AI130" s="12"/>
      <c r="AJ130">
        <f t="shared" si="26"/>
        <v>1</v>
      </c>
      <c r="AK130">
        <f t="shared" si="27"/>
        <v>0</v>
      </c>
      <c r="AL130">
        <f t="shared" si="34"/>
        <v>1</v>
      </c>
      <c r="AM130">
        <f t="shared" si="24"/>
        <v>1</v>
      </c>
      <c r="AN130">
        <f t="shared" si="35"/>
        <v>1</v>
      </c>
      <c r="AO130" s="28">
        <f t="shared" si="28"/>
        <v>4.78125756179953E-4</v>
      </c>
      <c r="AP130" s="28">
        <f t="shared" si="29"/>
        <v>7.7790746824445904E-4</v>
      </c>
      <c r="AQ130" s="28">
        <f t="shared" si="36"/>
        <v>1.2560332244244119E-3</v>
      </c>
      <c r="AR130" s="29">
        <f t="shared" si="37"/>
        <v>5.9793631933374516E-3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1.0708515609318648E-2</v>
      </c>
      <c r="BE130" s="29">
        <f t="shared" si="42"/>
        <v>1.2560332244244119E-3</v>
      </c>
      <c r="BF130" s="29">
        <f t="shared" si="43"/>
        <v>1.6687878802656101E-2</v>
      </c>
      <c r="BH130" s="29"/>
    </row>
    <row r="131" spans="1:60" x14ac:dyDescent="0.25">
      <c r="A131" s="1">
        <v>46213</v>
      </c>
      <c r="B131" s="33">
        <v>20.93</v>
      </c>
      <c r="C131" s="33">
        <v>25.69</v>
      </c>
      <c r="D131" s="15">
        <v>4.7789726118620799E-4</v>
      </c>
      <c r="E131" s="15">
        <v>-3.8918077938179297E-4</v>
      </c>
      <c r="F131" s="33">
        <v>0</v>
      </c>
      <c r="G131" s="33">
        <v>0.30399999999999999</v>
      </c>
      <c r="H131" s="33">
        <v>0</v>
      </c>
      <c r="I131" s="33">
        <v>0.30610799999999999</v>
      </c>
      <c r="J131" s="33">
        <v>0.30399999999999999</v>
      </c>
      <c r="K131" s="33">
        <v>0.30610799999999999</v>
      </c>
      <c r="L131" s="33">
        <v>21.233999999999899</v>
      </c>
      <c r="M131" s="33">
        <v>25.996108</v>
      </c>
      <c r="N131" s="34">
        <v>1.2274247491638699</v>
      </c>
      <c r="O131" s="34">
        <v>1.2284375966208501</v>
      </c>
      <c r="P131" s="34">
        <v>1.2279350359666801</v>
      </c>
      <c r="Q131" s="34">
        <v>1.22678087418718</v>
      </c>
      <c r="R131" s="33">
        <v>25.7111988972745</v>
      </c>
      <c r="S131" s="33">
        <v>25.7049918485842</v>
      </c>
      <c r="T131" s="33">
        <v>25.675457681485199</v>
      </c>
      <c r="U131" s="15">
        <v>8.2484062361232104E-4</v>
      </c>
      <c r="V131" s="15">
        <v>5.8339727161151999E-4</v>
      </c>
      <c r="W131" s="15">
        <v>-5.6622950752121604E-4</v>
      </c>
      <c r="X131" s="34">
        <v>1.2242680606574301</v>
      </c>
      <c r="Y131" s="34">
        <v>1.2253439668366699</v>
      </c>
      <c r="Z131" s="34">
        <v>1.2240756079773401</v>
      </c>
      <c r="AA131" s="34">
        <v>1.2230334097837801</v>
      </c>
      <c r="AB131" s="33">
        <v>26.0189537918098</v>
      </c>
      <c r="AC131" s="33">
        <v>25.991371074491799</v>
      </c>
      <c r="AD131" s="33">
        <v>25.969585770374501</v>
      </c>
      <c r="AE131" s="15">
        <v>8.7842991979409702E-4</v>
      </c>
      <c r="AF131" s="15">
        <v>-1.82233322544606E-4</v>
      </c>
      <c r="AG131" s="15">
        <v>-1.02075927420632E-3</v>
      </c>
      <c r="AI131" s="12"/>
      <c r="AJ131">
        <f t="shared" si="26"/>
        <v>1</v>
      </c>
      <c r="AK131">
        <f t="shared" si="27"/>
        <v>0</v>
      </c>
      <c r="AL131">
        <f t="shared" si="34"/>
        <v>1</v>
      </c>
      <c r="AM131">
        <f t="shared" si="24"/>
        <v>1</v>
      </c>
      <c r="AN131">
        <f t="shared" si="35"/>
        <v>1</v>
      </c>
      <c r="AO131" s="28">
        <f t="shared" si="28"/>
        <v>4.7789726118620799E-4</v>
      </c>
      <c r="AP131" s="28">
        <f t="shared" si="29"/>
        <v>3.8918077938179297E-4</v>
      </c>
      <c r="AQ131" s="28">
        <f t="shared" si="36"/>
        <v>8.6707804056800097E-4</v>
      </c>
      <c r="AR131" s="29">
        <f t="shared" si="37"/>
        <v>6.8464412339054523E-3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1.0708515609318648E-2</v>
      </c>
      <c r="BE131" s="29">
        <f t="shared" si="42"/>
        <v>8.6707804056800097E-4</v>
      </c>
      <c r="BF131" s="29">
        <f t="shared" si="43"/>
        <v>1.7554956843224102E-2</v>
      </c>
      <c r="BH131" s="29"/>
    </row>
    <row r="132" spans="1:60" x14ac:dyDescent="0.25">
      <c r="A132" s="1">
        <v>46216</v>
      </c>
      <c r="B132" s="33">
        <v>20.93</v>
      </c>
      <c r="C132" s="33">
        <v>25.69</v>
      </c>
      <c r="D132" s="15">
        <v>0</v>
      </c>
      <c r="E132" s="15">
        <v>0</v>
      </c>
      <c r="F132" s="33">
        <v>0</v>
      </c>
      <c r="G132" s="33">
        <v>0.30399999999999999</v>
      </c>
      <c r="H132" s="33">
        <v>0</v>
      </c>
      <c r="I132" s="33">
        <v>0.30610799999999999</v>
      </c>
      <c r="J132" s="33">
        <v>0.30399999999999999</v>
      </c>
      <c r="K132" s="33">
        <v>0.30610799999999999</v>
      </c>
      <c r="L132" s="33">
        <v>21.233999999999899</v>
      </c>
      <c r="M132" s="33">
        <v>25.996108</v>
      </c>
      <c r="N132" s="34">
        <v>1.2274247491638699</v>
      </c>
      <c r="O132" s="34">
        <v>1.2284375966208501</v>
      </c>
      <c r="P132" s="34">
        <v>1.2278462430089001</v>
      </c>
      <c r="Q132" s="34">
        <v>1.2269775990443299</v>
      </c>
      <c r="R132" s="33">
        <v>25.7111988972745</v>
      </c>
      <c r="S132" s="33">
        <v>25.7006803027827</v>
      </c>
      <c r="T132" s="33">
        <v>25.676523696737799</v>
      </c>
      <c r="U132" s="15">
        <v>8.2484062361232104E-4</v>
      </c>
      <c r="V132" s="15">
        <v>4.15651354431733E-4</v>
      </c>
      <c r="W132" s="15">
        <v>-5.2471152811063202E-4</v>
      </c>
      <c r="X132" s="34">
        <v>1.2242680606574301</v>
      </c>
      <c r="Y132" s="34">
        <v>1.2253439668366699</v>
      </c>
      <c r="Z132" s="34">
        <v>1.2242212497882501</v>
      </c>
      <c r="AA132" s="34">
        <v>1.22319159219732</v>
      </c>
      <c r="AB132" s="33">
        <v>26.0189537918098</v>
      </c>
      <c r="AC132" s="33">
        <v>25.992021459790902</v>
      </c>
      <c r="AD132" s="33">
        <v>25.969891423348901</v>
      </c>
      <c r="AE132" s="15">
        <v>8.7842991979409702E-4</v>
      </c>
      <c r="AF132" s="15">
        <v>-1.57210511703599E-4</v>
      </c>
      <c r="AG132" s="15">
        <v>-1.0089896919563399E-3</v>
      </c>
      <c r="AI132" s="12"/>
      <c r="AJ132">
        <f t="shared" si="26"/>
        <v>1</v>
      </c>
      <c r="AK132">
        <f t="shared" si="27"/>
        <v>0</v>
      </c>
      <c r="AL132">
        <f t="shared" si="34"/>
        <v>1</v>
      </c>
      <c r="AM132">
        <f t="shared" si="24"/>
        <v>1</v>
      </c>
      <c r="AN132">
        <f t="shared" si="35"/>
        <v>1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6.8464412339054523E-3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1.0708515609318648E-2</v>
      </c>
      <c r="BE132" s="29">
        <f t="shared" si="42"/>
        <v>0</v>
      </c>
      <c r="BF132" s="29">
        <f t="shared" si="43"/>
        <v>1.7554956843224102E-2</v>
      </c>
      <c r="BH132" s="29"/>
    </row>
    <row r="133" spans="1:60" x14ac:dyDescent="0.25">
      <c r="A133" s="1">
        <v>46217</v>
      </c>
      <c r="B133" s="33">
        <v>20.96</v>
      </c>
      <c r="C133" s="33">
        <v>25.7</v>
      </c>
      <c r="D133" s="15">
        <v>1.4323229949331101E-3</v>
      </c>
      <c r="E133" s="15">
        <v>3.8918077938192698E-4</v>
      </c>
      <c r="F133" s="33">
        <v>0</v>
      </c>
      <c r="G133" s="33">
        <v>0.30399999999999999</v>
      </c>
      <c r="H133" s="33">
        <v>0</v>
      </c>
      <c r="I133" s="33">
        <v>0.30610799999999999</v>
      </c>
      <c r="J133" s="33">
        <v>0.30399999999999999</v>
      </c>
      <c r="K133" s="33">
        <v>0.30610799999999999</v>
      </c>
      <c r="L133" s="33">
        <v>21.263999999999999</v>
      </c>
      <c r="M133" s="33">
        <v>26.006107999999902</v>
      </c>
      <c r="N133" s="34">
        <v>1.22614503816793</v>
      </c>
      <c r="O133" s="34">
        <v>1.2284375966208501</v>
      </c>
      <c r="P133" s="34">
        <v>1.22765122301617</v>
      </c>
      <c r="Q133" s="34">
        <v>1.2271181842860599</v>
      </c>
      <c r="R133" s="33">
        <v>25.748052025173099</v>
      </c>
      <c r="S133" s="33">
        <v>25.735657253466702</v>
      </c>
      <c r="T133" s="33">
        <v>25.717450475969301</v>
      </c>
      <c r="U133" s="15">
        <v>1.8679828391635199E-3</v>
      </c>
      <c r="V133" s="15">
        <v>1.386480161149E-3</v>
      </c>
      <c r="W133" s="15">
        <v>6.7877642620439097E-4</v>
      </c>
      <c r="X133" s="34">
        <v>1.22301109857035</v>
      </c>
      <c r="Y133" s="34">
        <v>1.2253439668366699</v>
      </c>
      <c r="Z133" s="34">
        <v>1.22426211274329</v>
      </c>
      <c r="AA133" s="34">
        <v>1.2232948481752</v>
      </c>
      <c r="AB133" s="33">
        <v>26.0557141108149</v>
      </c>
      <c r="AC133" s="33">
        <v>26.031840655497302</v>
      </c>
      <c r="AD133" s="33">
        <v>26.009946016484001</v>
      </c>
      <c r="AE133" s="15">
        <v>1.9056622997804301E-3</v>
      </c>
      <c r="AF133" s="15">
        <v>9.8899584859423904E-4</v>
      </c>
      <c r="AG133" s="15">
        <v>1.4757045929594299E-4</v>
      </c>
      <c r="AI133" s="12"/>
      <c r="AJ133">
        <f t="shared" si="26"/>
        <v>0</v>
      </c>
      <c r="AK133">
        <f t="shared" si="27"/>
        <v>1</v>
      </c>
      <c r="AL133">
        <f t="shared" si="34"/>
        <v>1</v>
      </c>
      <c r="AM133">
        <f t="shared" si="24"/>
        <v>1</v>
      </c>
      <c r="AN133">
        <f t="shared" si="35"/>
        <v>1</v>
      </c>
      <c r="AO133" s="28">
        <f t="shared" si="28"/>
        <v>1.4323229949331101E-3</v>
      </c>
      <c r="AP133" s="28">
        <f t="shared" si="29"/>
        <v>-3.8918077938192698E-4</v>
      </c>
      <c r="AQ133" s="28">
        <f t="shared" si="36"/>
        <v>1.0431422155511832E-3</v>
      </c>
      <c r="AR133" s="29">
        <f t="shared" si="37"/>
        <v>7.8895834494566355E-3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1.0708515609318648E-2</v>
      </c>
      <c r="BE133" s="29">
        <f t="shared" si="42"/>
        <v>1.0431422155511832E-3</v>
      </c>
      <c r="BF133" s="29">
        <f t="shared" si="43"/>
        <v>1.8598099058775283E-2</v>
      </c>
      <c r="BH133" s="29"/>
    </row>
    <row r="134" spans="1:60" x14ac:dyDescent="0.25">
      <c r="A134" s="1">
        <v>46218</v>
      </c>
      <c r="B134" s="33">
        <v>20.95</v>
      </c>
      <c r="C134" s="33">
        <v>25.68</v>
      </c>
      <c r="D134" s="15">
        <v>-4.7721308469475299E-4</v>
      </c>
      <c r="E134" s="15">
        <v>-7.7851307941368601E-4</v>
      </c>
      <c r="F134" s="33">
        <v>0</v>
      </c>
      <c r="G134" s="33">
        <v>0.30399999999999999</v>
      </c>
      <c r="H134" s="33">
        <v>0</v>
      </c>
      <c r="I134" s="33">
        <v>0.30610799999999999</v>
      </c>
      <c r="J134" s="33">
        <v>0.30399999999999999</v>
      </c>
      <c r="K134" s="33">
        <v>0.30610799999999999</v>
      </c>
      <c r="L134" s="33">
        <v>21.253999999999898</v>
      </c>
      <c r="M134" s="33">
        <v>25.986108000000002</v>
      </c>
      <c r="N134" s="34">
        <v>1.2257756563245801</v>
      </c>
      <c r="O134" s="34">
        <v>1.2284375966208501</v>
      </c>
      <c r="P134" s="34">
        <v>1.22725452744749</v>
      </c>
      <c r="Q134" s="34">
        <v>1.22717956462846</v>
      </c>
      <c r="R134" s="33">
        <v>25.735767649206899</v>
      </c>
      <c r="S134" s="33">
        <v>25.719293122188901</v>
      </c>
      <c r="T134" s="33">
        <v>25.708125960793101</v>
      </c>
      <c r="U134" s="15">
        <v>2.1692828338823701E-3</v>
      </c>
      <c r="V134" s="15">
        <v>1.5289365847884701E-3</v>
      </c>
      <c r="W134" s="15">
        <v>1.0946483482615901E-3</v>
      </c>
      <c r="X134" s="34">
        <v>1.2226455255481301</v>
      </c>
      <c r="Y134" s="34">
        <v>1.2253439668366699</v>
      </c>
      <c r="Z134" s="34">
        <v>1.2241045500942001</v>
      </c>
      <c r="AA134" s="34">
        <v>1.2233196941484401</v>
      </c>
      <c r="AB134" s="33">
        <v>26.043460671146601</v>
      </c>
      <c r="AC134" s="33">
        <v>26.020466944245999</v>
      </c>
      <c r="AD134" s="33">
        <v>25.999908703115899</v>
      </c>
      <c r="AE134" s="15">
        <v>2.2046192517407499E-3</v>
      </c>
      <c r="AF134" s="15">
        <v>1.32133097716306E-3</v>
      </c>
      <c r="AG134" s="15">
        <v>5.3093906074468003E-4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7.8895834494566355E-3</v>
      </c>
      <c r="AT134" s="12"/>
      <c r="AU134">
        <f t="shared" si="30"/>
        <v>0</v>
      </c>
      <c r="AV134">
        <f t="shared" si="31"/>
        <v>0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1.0708515609318648E-2</v>
      </c>
      <c r="BE134" s="29">
        <f t="shared" si="42"/>
        <v>0</v>
      </c>
      <c r="BF134" s="29">
        <f t="shared" si="43"/>
        <v>1.8598099058775283E-2</v>
      </c>
      <c r="BH134" s="29"/>
    </row>
    <row r="135" spans="1:60" x14ac:dyDescent="0.25">
      <c r="A135" s="1">
        <v>46219</v>
      </c>
      <c r="B135" s="33">
        <v>20.95</v>
      </c>
      <c r="C135" s="33">
        <v>25.64</v>
      </c>
      <c r="D135" s="15">
        <v>0</v>
      </c>
      <c r="E135" s="15">
        <v>-1.5588467692910701E-3</v>
      </c>
      <c r="F135" s="33">
        <v>0</v>
      </c>
      <c r="G135" s="33">
        <v>0.30399999999999999</v>
      </c>
      <c r="H135" s="33">
        <v>0</v>
      </c>
      <c r="I135" s="33">
        <v>0.30610799999999999</v>
      </c>
      <c r="J135" s="33">
        <v>0.30399999999999999</v>
      </c>
      <c r="K135" s="33">
        <v>0.30610799999999999</v>
      </c>
      <c r="L135" s="33">
        <v>21.253999999999898</v>
      </c>
      <c r="M135" s="33">
        <v>25.946107999999999</v>
      </c>
      <c r="N135" s="34">
        <v>1.22386634844868</v>
      </c>
      <c r="O135" s="34">
        <v>1.2284375966208501</v>
      </c>
      <c r="P135" s="34">
        <v>1.22700055218749</v>
      </c>
      <c r="Q135" s="34">
        <v>1.22712704277367</v>
      </c>
      <c r="R135" s="33">
        <v>25.735767649206899</v>
      </c>
      <c r="S135" s="33">
        <v>25.710982350024899</v>
      </c>
      <c r="T135" s="33">
        <v>25.709411878966201</v>
      </c>
      <c r="U135" s="15">
        <v>3.7281296031734098E-3</v>
      </c>
      <c r="V135" s="15">
        <v>2.7645973645045899E-3</v>
      </c>
      <c r="W135" s="15">
        <v>2.70351377762304E-3</v>
      </c>
      <c r="X135" s="34">
        <v>1.2207635268655299</v>
      </c>
      <c r="Y135" s="34">
        <v>1.2253439668366699</v>
      </c>
      <c r="Z135" s="34">
        <v>1.2238537650246899</v>
      </c>
      <c r="AA135" s="34">
        <v>1.2232321644628701</v>
      </c>
      <c r="AB135" s="33">
        <v>26.043460671146601</v>
      </c>
      <c r="AC135" s="33">
        <v>26.0171181077021</v>
      </c>
      <c r="AD135" s="33">
        <v>26.000436779430999</v>
      </c>
      <c r="AE135" s="15">
        <v>3.74508915620839E-3</v>
      </c>
      <c r="AF135" s="15">
        <v>2.7330925049772301E-3</v>
      </c>
      <c r="AG135" s="15">
        <v>2.09171945777872E-3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7.8895834494566355E-3</v>
      </c>
      <c r="AT135" s="12"/>
      <c r="AU135">
        <f t="shared" si="30"/>
        <v>1</v>
      </c>
      <c r="AV135">
        <f t="shared" si="31"/>
        <v>0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1.0708515609318648E-2</v>
      </c>
      <c r="BE135" s="29">
        <f t="shared" si="42"/>
        <v>0</v>
      </c>
      <c r="BF135" s="29">
        <f t="shared" si="43"/>
        <v>1.8598099058775283E-2</v>
      </c>
      <c r="BH135" s="29"/>
    </row>
    <row r="136" spans="1:60" x14ac:dyDescent="0.25">
      <c r="A136" s="1">
        <v>46220</v>
      </c>
      <c r="B136" s="33">
        <v>20.89</v>
      </c>
      <c r="C136" s="33">
        <v>25.62</v>
      </c>
      <c r="D136" s="15">
        <v>-2.8680707996722398E-3</v>
      </c>
      <c r="E136" s="15">
        <v>-7.8033558388108601E-4</v>
      </c>
      <c r="F136" s="33">
        <v>0</v>
      </c>
      <c r="G136" s="33">
        <v>0.30399999999999999</v>
      </c>
      <c r="H136" s="33">
        <v>0</v>
      </c>
      <c r="I136" s="33">
        <v>0.30610799999999999</v>
      </c>
      <c r="J136" s="33">
        <v>0.30399999999999999</v>
      </c>
      <c r="K136" s="33">
        <v>0.30610799999999999</v>
      </c>
      <c r="L136" s="33">
        <v>21.193999999999999</v>
      </c>
      <c r="M136" s="33">
        <v>25.926107999999999</v>
      </c>
      <c r="N136" s="34">
        <v>1.2264241263762501</v>
      </c>
      <c r="O136" s="34">
        <v>1.2284375966208501</v>
      </c>
      <c r="P136" s="34">
        <v>1.2268593613932799</v>
      </c>
      <c r="Q136" s="34">
        <v>1.22724463348829</v>
      </c>
      <c r="R136" s="33">
        <v>25.662061393409601</v>
      </c>
      <c r="S136" s="33">
        <v>25.632041535196802</v>
      </c>
      <c r="T136" s="33">
        <v>25.634683923541999</v>
      </c>
      <c r="U136" s="15">
        <v>1.6403943873824101E-3</v>
      </c>
      <c r="V136" s="15">
        <v>4.69894859121234E-4</v>
      </c>
      <c r="W136" s="15">
        <v>5.7297881167993098E-4</v>
      </c>
      <c r="X136" s="34">
        <v>1.2232758327828599</v>
      </c>
      <c r="Y136" s="34">
        <v>1.2253439668366699</v>
      </c>
      <c r="Z136" s="34">
        <v>1.2237132595978399</v>
      </c>
      <c r="AA136" s="34">
        <v>1.22331203197997</v>
      </c>
      <c r="AB136" s="33">
        <v>25.9699400331364</v>
      </c>
      <c r="AC136" s="33">
        <v>25.938356695933301</v>
      </c>
      <c r="AD136" s="33">
        <v>25.925182493626</v>
      </c>
      <c r="AE136" s="15">
        <v>1.689224718277E-3</v>
      </c>
      <c r="AF136" s="15">
        <v>4.72334814708548E-4</v>
      </c>
      <c r="AG136" s="15">
        <v>-3.5698489476452801E-5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7.8895834494566355E-3</v>
      </c>
      <c r="AT136" s="12"/>
      <c r="AU136">
        <f t="shared" si="30"/>
        <v>0</v>
      </c>
      <c r="AV136">
        <f t="shared" si="31"/>
        <v>1</v>
      </c>
      <c r="AW136">
        <f t="shared" si="38"/>
        <v>1</v>
      </c>
      <c r="AX136">
        <f t="shared" si="25"/>
        <v>0</v>
      </c>
      <c r="AY136">
        <f t="shared" si="39"/>
        <v>1</v>
      </c>
      <c r="AZ136" s="28">
        <f t="shared" si="32"/>
        <v>2.8680707996722398E-3</v>
      </c>
      <c r="BA136" s="28">
        <f t="shared" si="33"/>
        <v>-7.8033558388108601E-4</v>
      </c>
      <c r="BB136" s="28">
        <f t="shared" si="40"/>
        <v>2.0877352157911539E-3</v>
      </c>
      <c r="BC136" s="29">
        <f t="shared" si="41"/>
        <v>1.2796250825109802E-2</v>
      </c>
      <c r="BE136" s="29">
        <f t="shared" si="42"/>
        <v>2.0877352157911539E-3</v>
      </c>
      <c r="BF136" s="29">
        <f t="shared" si="43"/>
        <v>2.0685834274566436E-2</v>
      </c>
      <c r="BH136" s="29"/>
    </row>
    <row r="137" spans="1:60" x14ac:dyDescent="0.25">
      <c r="A137" s="1">
        <v>46223</v>
      </c>
      <c r="B137" s="33">
        <v>20.8</v>
      </c>
      <c r="C137" s="33">
        <v>25.63</v>
      </c>
      <c r="D137" s="15">
        <v>-4.3175888612021303E-3</v>
      </c>
      <c r="E137" s="15">
        <v>3.9024390739144402E-4</v>
      </c>
      <c r="F137" s="33">
        <v>5.2999999999999999E-2</v>
      </c>
      <c r="G137" s="33">
        <v>0.35699999999999998</v>
      </c>
      <c r="H137" s="33">
        <v>0</v>
      </c>
      <c r="I137" s="33">
        <v>0.30610799999999999</v>
      </c>
      <c r="J137" s="33">
        <v>0.35699999999999998</v>
      </c>
      <c r="K137" s="33">
        <v>0.30610799999999999</v>
      </c>
      <c r="L137" s="33">
        <v>21.157</v>
      </c>
      <c r="M137" s="33">
        <v>25.936107999999901</v>
      </c>
      <c r="N137" s="34">
        <v>1.23221153846153</v>
      </c>
      <c r="O137" s="34">
        <v>1.2284375966208501</v>
      </c>
      <c r="P137" s="34">
        <v>1.22744618333263</v>
      </c>
      <c r="Q137" s="34">
        <v>1.22769661591944</v>
      </c>
      <c r="R137" s="33">
        <v>25.551502009713801</v>
      </c>
      <c r="S137" s="33">
        <v>25.5186747169803</v>
      </c>
      <c r="T137" s="33">
        <v>25.526688376556599</v>
      </c>
      <c r="U137" s="15">
        <v>-3.06743838121128E-3</v>
      </c>
      <c r="V137" s="15">
        <v>-4.35301440066755E-3</v>
      </c>
      <c r="W137" s="15">
        <v>-4.0390325164583298E-3</v>
      </c>
      <c r="X137" s="34">
        <v>1.2258877912747499</v>
      </c>
      <c r="Y137" s="34">
        <v>1.2253439668366699</v>
      </c>
      <c r="Z137" s="34">
        <v>1.22398035502793</v>
      </c>
      <c r="AA137" s="34">
        <v>1.22356676362056</v>
      </c>
      <c r="AB137" s="33">
        <v>25.924602306363401</v>
      </c>
      <c r="AC137" s="33">
        <v>25.8901014333116</v>
      </c>
      <c r="AD137" s="33">
        <v>25.881612660600201</v>
      </c>
      <c r="AE137" s="15">
        <v>-4.43715242515829E-4</v>
      </c>
      <c r="AF137" s="15">
        <v>-1.7754174683498501E-3</v>
      </c>
      <c r="AG137" s="15">
        <v>-2.10334838337101E-3</v>
      </c>
      <c r="AI137" s="12"/>
      <c r="AJ137">
        <f t="shared" si="26"/>
        <v>1</v>
      </c>
      <c r="AK137">
        <f t="shared" si="27"/>
        <v>0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7.8895834494566355E-3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1.2796250825109802E-2</v>
      </c>
      <c r="BE137" s="29">
        <f t="shared" si="42"/>
        <v>0</v>
      </c>
      <c r="BF137" s="29">
        <f t="shared" si="43"/>
        <v>2.0685834274566436E-2</v>
      </c>
      <c r="BH137" s="29"/>
    </row>
    <row r="138" spans="1:60" x14ac:dyDescent="0.25">
      <c r="A138" s="1">
        <v>46224</v>
      </c>
      <c r="B138" s="33">
        <v>20.8</v>
      </c>
      <c r="C138" s="33">
        <v>25.59</v>
      </c>
      <c r="D138" s="15">
        <v>0</v>
      </c>
      <c r="E138" s="15">
        <v>-1.5618902042822699E-3</v>
      </c>
      <c r="F138" s="33">
        <v>0</v>
      </c>
      <c r="G138" s="33">
        <v>0.35699999999999998</v>
      </c>
      <c r="H138" s="33">
        <v>0</v>
      </c>
      <c r="I138" s="33">
        <v>0.30610799999999999</v>
      </c>
      <c r="J138" s="33">
        <v>0.35699999999999998</v>
      </c>
      <c r="K138" s="33">
        <v>0.30610799999999999</v>
      </c>
      <c r="L138" s="33">
        <v>21.157</v>
      </c>
      <c r="M138" s="33">
        <v>25.896107999999899</v>
      </c>
      <c r="N138" s="34">
        <v>1.2302884615384599</v>
      </c>
      <c r="O138" s="34">
        <v>1.2284375966208501</v>
      </c>
      <c r="P138" s="34">
        <v>1.22780836281981</v>
      </c>
      <c r="Q138" s="34">
        <v>1.22784306950161</v>
      </c>
      <c r="R138" s="33">
        <v>25.551502009713801</v>
      </c>
      <c r="S138" s="33">
        <v>25.530880613318899</v>
      </c>
      <c r="T138" s="33">
        <v>25.536089611124499</v>
      </c>
      <c r="U138" s="15">
        <v>-1.50554817692903E-3</v>
      </c>
      <c r="V138" s="15">
        <v>-2.3129262378648401E-3</v>
      </c>
      <c r="W138" s="15">
        <v>-2.1089197028853301E-3</v>
      </c>
      <c r="X138" s="34">
        <v>1.22399716405917</v>
      </c>
      <c r="Y138" s="34">
        <v>1.2253439668366699</v>
      </c>
      <c r="Z138" s="34">
        <v>1.22402695464827</v>
      </c>
      <c r="AA138" s="34">
        <v>1.22367302334579</v>
      </c>
      <c r="AB138" s="33">
        <v>25.924602306363401</v>
      </c>
      <c r="AC138" s="33">
        <v>25.8957523713261</v>
      </c>
      <c r="AD138" s="33">
        <v>25.887002017920299</v>
      </c>
      <c r="AE138" s="15">
        <v>1.0997266948578699E-3</v>
      </c>
      <c r="AF138" s="15">
        <v>-1.3732994773600701E-5</v>
      </c>
      <c r="AG138" s="15">
        <v>-3.5169699812619999E-4</v>
      </c>
      <c r="AI138" s="12"/>
      <c r="AJ138">
        <f t="shared" si="26"/>
        <v>0</v>
      </c>
      <c r="AK138">
        <f t="shared" si="27"/>
        <v>0</v>
      </c>
      <c r="AL138">
        <f t="shared" si="34"/>
        <v>1</v>
      </c>
      <c r="AM138">
        <f t="shared" si="24"/>
        <v>1</v>
      </c>
      <c r="AN138">
        <f t="shared" si="35"/>
        <v>1</v>
      </c>
      <c r="AO138" s="28">
        <f t="shared" si="28"/>
        <v>0</v>
      </c>
      <c r="AP138" s="28">
        <f t="shared" si="29"/>
        <v>1.5618902042822699E-3</v>
      </c>
      <c r="AQ138" s="28">
        <f t="shared" si="36"/>
        <v>1.5618902042822699E-3</v>
      </c>
      <c r="AR138" s="29">
        <f t="shared" si="37"/>
        <v>9.4514736537389052E-3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1.2796250825109802E-2</v>
      </c>
      <c r="BE138" s="29">
        <f t="shared" si="42"/>
        <v>1.5618902042822699E-3</v>
      </c>
      <c r="BF138" s="29">
        <f t="shared" si="43"/>
        <v>2.2247724478848707E-2</v>
      </c>
      <c r="BH138" s="29"/>
    </row>
    <row r="139" spans="1:60" x14ac:dyDescent="0.25">
      <c r="A139" s="1">
        <v>46225</v>
      </c>
      <c r="B139" s="33">
        <v>20.75</v>
      </c>
      <c r="C139" s="33">
        <v>25.53</v>
      </c>
      <c r="D139" s="15">
        <v>-2.4067400305649699E-3</v>
      </c>
      <c r="E139" s="15">
        <v>-2.34741891830489E-3</v>
      </c>
      <c r="F139" s="33">
        <v>0</v>
      </c>
      <c r="G139" s="33">
        <v>0.35699999999999998</v>
      </c>
      <c r="H139" s="33">
        <v>0</v>
      </c>
      <c r="I139" s="33">
        <v>0.30610799999999999</v>
      </c>
      <c r="J139" s="33">
        <v>0.35699999999999998</v>
      </c>
      <c r="K139" s="33">
        <v>0.30610799999999999</v>
      </c>
      <c r="L139" s="33">
        <v>21.106999999999999</v>
      </c>
      <c r="M139" s="33">
        <v>25.836107999999999</v>
      </c>
      <c r="N139" s="34">
        <v>1.23036144578313</v>
      </c>
      <c r="O139" s="34">
        <v>1.2284375966208501</v>
      </c>
      <c r="P139" s="34">
        <v>1.22784115971759</v>
      </c>
      <c r="Q139" s="34">
        <v>1.2280170045171701</v>
      </c>
      <c r="R139" s="33">
        <v>25.490080129882699</v>
      </c>
      <c r="S139" s="33">
        <v>25.4770235285112</v>
      </c>
      <c r="T139" s="33">
        <v>25.477743692158501</v>
      </c>
      <c r="U139" s="15">
        <v>-1.5648692891890199E-3</v>
      </c>
      <c r="V139" s="15">
        <v>-2.0772233654436198E-3</v>
      </c>
      <c r="W139" s="15">
        <v>-2.0489565834881001E-3</v>
      </c>
      <c r="X139" s="34">
        <v>1.2240540105178299</v>
      </c>
      <c r="Y139" s="34">
        <v>1.2253439668366699</v>
      </c>
      <c r="Z139" s="34">
        <v>1.22374871282271</v>
      </c>
      <c r="AA139" s="34">
        <v>1.2238056172188001</v>
      </c>
      <c r="AB139" s="33">
        <v>25.863335108021602</v>
      </c>
      <c r="AC139" s="33">
        <v>25.835536931761101</v>
      </c>
      <c r="AD139" s="33">
        <v>25.8280665037597</v>
      </c>
      <c r="AE139" s="15">
        <v>1.05328448052688E-3</v>
      </c>
      <c r="AF139" s="15">
        <v>-2.2103737537408399E-5</v>
      </c>
      <c r="AG139" s="15">
        <v>-3.11298743565107E-4</v>
      </c>
      <c r="AI139" s="12"/>
      <c r="AJ139">
        <f t="shared" si="26"/>
        <v>0</v>
      </c>
      <c r="AK139">
        <f t="shared" si="27"/>
        <v>0</v>
      </c>
      <c r="AL139">
        <f t="shared" si="34"/>
        <v>1</v>
      </c>
      <c r="AM139">
        <f t="shared" si="24"/>
        <v>1</v>
      </c>
      <c r="AN139">
        <f t="shared" si="35"/>
        <v>1</v>
      </c>
      <c r="AO139" s="28">
        <f t="shared" si="28"/>
        <v>-2.4067400305649699E-3</v>
      </c>
      <c r="AP139" s="28">
        <f t="shared" si="29"/>
        <v>2.34741891830489E-3</v>
      </c>
      <c r="AQ139" s="28">
        <f t="shared" si="36"/>
        <v>-5.9321112260079904E-5</v>
      </c>
      <c r="AR139" s="29">
        <f t="shared" si="37"/>
        <v>9.3921525414788244E-3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1.2796250825109802E-2</v>
      </c>
      <c r="BE139" s="29">
        <f t="shared" si="42"/>
        <v>-5.9321112260079904E-5</v>
      </c>
      <c r="BF139" s="29">
        <f t="shared" si="43"/>
        <v>2.2188403366588626E-2</v>
      </c>
      <c r="BH139" s="29"/>
    </row>
    <row r="140" spans="1:60" x14ac:dyDescent="0.25">
      <c r="A140" s="1">
        <v>46226</v>
      </c>
      <c r="B140" s="33">
        <v>20.64</v>
      </c>
      <c r="C140" s="33">
        <v>25.41</v>
      </c>
      <c r="D140" s="15">
        <v>-5.3153060633453E-3</v>
      </c>
      <c r="E140" s="15">
        <v>-4.7114339213197801E-3</v>
      </c>
      <c r="F140" s="33">
        <v>0</v>
      </c>
      <c r="G140" s="33">
        <v>0.35699999999999998</v>
      </c>
      <c r="H140" s="33">
        <v>0</v>
      </c>
      <c r="I140" s="33">
        <v>0.30610799999999999</v>
      </c>
      <c r="J140" s="33">
        <v>0.35699999999999998</v>
      </c>
      <c r="K140" s="33">
        <v>0.30610799999999999</v>
      </c>
      <c r="L140" s="33">
        <v>20.997</v>
      </c>
      <c r="M140" s="33">
        <v>25.716107999999998</v>
      </c>
      <c r="N140" s="34">
        <v>1.2311046511627901</v>
      </c>
      <c r="O140" s="34">
        <v>1.2284375966208501</v>
      </c>
      <c r="P140" s="34">
        <v>1.2281026764591101</v>
      </c>
      <c r="Q140" s="34">
        <v>1.2281218553959199</v>
      </c>
      <c r="R140" s="33">
        <v>25.354951994254399</v>
      </c>
      <c r="S140" s="33">
        <v>25.342641536571101</v>
      </c>
      <c r="T140" s="33">
        <v>25.3462709732345</v>
      </c>
      <c r="U140" s="15">
        <v>-2.16874143121464E-3</v>
      </c>
      <c r="V140" s="15">
        <v>-2.6543841242048899E-3</v>
      </c>
      <c r="W140" s="15">
        <v>-2.5111797629414501E-3</v>
      </c>
      <c r="X140" s="34">
        <v>1.2247515359337</v>
      </c>
      <c r="Y140" s="34">
        <v>1.2253439668366699</v>
      </c>
      <c r="Z140" s="34">
        <v>1.22369226068672</v>
      </c>
      <c r="AA140" s="34">
        <v>1.22386861961744</v>
      </c>
      <c r="AB140" s="33">
        <v>25.728547271669498</v>
      </c>
      <c r="AC140" s="33">
        <v>25.695051723138501</v>
      </c>
      <c r="AD140" s="33">
        <v>25.6962465447432</v>
      </c>
      <c r="AE140" s="15">
        <v>4.8359822206328103E-4</v>
      </c>
      <c r="AF140" s="15">
        <v>-8.1913258336128395E-4</v>
      </c>
      <c r="AG140" s="15">
        <v>-7.7263359831135998E-4</v>
      </c>
      <c r="AI140" s="12"/>
      <c r="AJ140">
        <f t="shared" si="26"/>
        <v>0</v>
      </c>
      <c r="AK140">
        <f t="shared" si="27"/>
        <v>0</v>
      </c>
      <c r="AL140">
        <f t="shared" si="34"/>
        <v>1</v>
      </c>
      <c r="AM140">
        <f t="shared" si="24"/>
        <v>1</v>
      </c>
      <c r="AN140">
        <f t="shared" si="35"/>
        <v>1</v>
      </c>
      <c r="AO140" s="28">
        <f t="shared" si="28"/>
        <v>-5.3153060633453E-3</v>
      </c>
      <c r="AP140" s="28">
        <f t="shared" si="29"/>
        <v>4.7114339213197801E-3</v>
      </c>
      <c r="AQ140" s="28">
        <f t="shared" si="36"/>
        <v>-6.0387214202551991E-4</v>
      </c>
      <c r="AR140" s="29">
        <f t="shared" si="37"/>
        <v>8.7882803994533045E-3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1.2796250825109802E-2</v>
      </c>
      <c r="BE140" s="29">
        <f t="shared" si="42"/>
        <v>-6.0387214202551991E-4</v>
      </c>
      <c r="BF140" s="29">
        <f t="shared" si="43"/>
        <v>2.1584531224563108E-2</v>
      </c>
      <c r="BH140" s="29"/>
    </row>
    <row r="141" spans="1:60" x14ac:dyDescent="0.25">
      <c r="A141" s="1">
        <v>46227</v>
      </c>
      <c r="B141" s="33">
        <v>20.64</v>
      </c>
      <c r="C141" s="33">
        <v>25.41</v>
      </c>
      <c r="D141" s="15">
        <v>0</v>
      </c>
      <c r="E141" s="15">
        <v>0</v>
      </c>
      <c r="F141" s="33">
        <v>0</v>
      </c>
      <c r="G141" s="33">
        <v>0.35699999999999998</v>
      </c>
      <c r="H141" s="33">
        <v>0</v>
      </c>
      <c r="I141" s="33">
        <v>0.30610799999999999</v>
      </c>
      <c r="J141" s="33">
        <v>0.35699999999999998</v>
      </c>
      <c r="K141" s="33">
        <v>0.30610799999999999</v>
      </c>
      <c r="L141" s="33">
        <v>20.997</v>
      </c>
      <c r="M141" s="33">
        <v>25.716107999999998</v>
      </c>
      <c r="N141" s="34">
        <v>1.2311046511627901</v>
      </c>
      <c r="O141" s="34">
        <v>1.2284375966208501</v>
      </c>
      <c r="P141" s="34">
        <v>1.228470666659</v>
      </c>
      <c r="Q141" s="34">
        <v>1.22820285131284</v>
      </c>
      <c r="R141" s="33">
        <v>25.354951994254399</v>
      </c>
      <c r="S141" s="33">
        <v>25.348039242116101</v>
      </c>
      <c r="T141" s="33">
        <v>25.348435095371901</v>
      </c>
      <c r="U141" s="15">
        <v>-2.16874143121464E-3</v>
      </c>
      <c r="V141" s="15">
        <v>-2.4414177373891801E-3</v>
      </c>
      <c r="W141" s="15">
        <v>-2.4258011383651201E-3</v>
      </c>
      <c r="X141" s="34">
        <v>1.2247515359337</v>
      </c>
      <c r="Y141" s="34">
        <v>1.2253439668366699</v>
      </c>
      <c r="Z141" s="34">
        <v>1.2237406082143401</v>
      </c>
      <c r="AA141" s="34">
        <v>1.2239081080958401</v>
      </c>
      <c r="AB141" s="33">
        <v>25.728547271669498</v>
      </c>
      <c r="AC141" s="33">
        <v>25.693866397639098</v>
      </c>
      <c r="AD141" s="33">
        <v>25.697569406107501</v>
      </c>
      <c r="AE141" s="15">
        <v>4.8359822206328103E-4</v>
      </c>
      <c r="AF141" s="15">
        <v>-8.6526414413300005E-4</v>
      </c>
      <c r="AG141" s="15">
        <v>-7.2115419986262005E-4</v>
      </c>
      <c r="AI141" s="12"/>
      <c r="AJ141">
        <f t="shared" si="26"/>
        <v>0</v>
      </c>
      <c r="AK141">
        <f t="shared" si="27"/>
        <v>0</v>
      </c>
      <c r="AL141">
        <f t="shared" si="34"/>
        <v>1</v>
      </c>
      <c r="AM141">
        <f t="shared" si="24"/>
        <v>1</v>
      </c>
      <c r="AN141">
        <f t="shared" si="35"/>
        <v>1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8.7882803994533045E-3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1.2796250825109802E-2</v>
      </c>
      <c r="BE141" s="29">
        <f t="shared" si="42"/>
        <v>0</v>
      </c>
      <c r="BF141" s="29">
        <f t="shared" si="43"/>
        <v>2.1584531224563108E-2</v>
      </c>
      <c r="BH141" s="29"/>
    </row>
    <row r="142" spans="1:60" x14ac:dyDescent="0.25">
      <c r="A142" s="1">
        <v>46230</v>
      </c>
      <c r="B142" s="33">
        <v>20.71</v>
      </c>
      <c r="C142" s="33">
        <v>25.44</v>
      </c>
      <c r="D142" s="15">
        <v>3.3857347941309199E-3</v>
      </c>
      <c r="E142" s="15">
        <v>1.1799411398487601E-3</v>
      </c>
      <c r="F142" s="33">
        <v>0</v>
      </c>
      <c r="G142" s="33">
        <v>0.35699999999999998</v>
      </c>
      <c r="H142" s="33">
        <v>0</v>
      </c>
      <c r="I142" s="33">
        <v>0.30610799999999999</v>
      </c>
      <c r="J142" s="33">
        <v>0.35699999999999998</v>
      </c>
      <c r="K142" s="33">
        <v>0.30610799999999999</v>
      </c>
      <c r="L142" s="33">
        <v>21.067</v>
      </c>
      <c r="M142" s="33">
        <v>25.746108</v>
      </c>
      <c r="N142" s="34">
        <v>1.22839208112023</v>
      </c>
      <c r="O142" s="34">
        <v>1.2284375966208501</v>
      </c>
      <c r="P142" s="34">
        <v>1.22856739985464</v>
      </c>
      <c r="Q142" s="34">
        <v>1.2282068214317701</v>
      </c>
      <c r="R142" s="33">
        <v>25.4409426260179</v>
      </c>
      <c r="S142" s="33">
        <v>25.441627506507999</v>
      </c>
      <c r="T142" s="33">
        <v>25.436081050689001</v>
      </c>
      <c r="U142" s="15">
        <v>3.7052223067409898E-5</v>
      </c>
      <c r="V142" s="15">
        <v>6.3972266152724294E-5</v>
      </c>
      <c r="W142" s="15">
        <v>-1.54058616063907E-4</v>
      </c>
      <c r="X142" s="34">
        <v>1.2221060426259001</v>
      </c>
      <c r="Y142" s="34">
        <v>1.2253439668366699</v>
      </c>
      <c r="Z142" s="34">
        <v>1.2235244064111901</v>
      </c>
      <c r="AA142" s="34">
        <v>1.22387282809972</v>
      </c>
      <c r="AB142" s="33">
        <v>25.814321349348099</v>
      </c>
      <c r="AC142" s="33">
        <v>25.780543393251701</v>
      </c>
      <c r="AD142" s="33">
        <v>25.784072113255199</v>
      </c>
      <c r="AE142" s="15">
        <v>2.6459589264989699E-3</v>
      </c>
      <c r="AF142" s="15">
        <v>1.33660532742564E-3</v>
      </c>
      <c r="AG142" s="15">
        <v>1.4734712760757799E-3</v>
      </c>
      <c r="AI142" s="12"/>
      <c r="AJ142">
        <f t="shared" si="26"/>
        <v>0</v>
      </c>
      <c r="AK142">
        <f t="shared" si="27"/>
        <v>1</v>
      </c>
      <c r="AL142">
        <f t="shared" si="34"/>
        <v>1</v>
      </c>
      <c r="AM142">
        <f t="shared" si="24"/>
        <v>1</v>
      </c>
      <c r="AN142">
        <f t="shared" si="35"/>
        <v>1</v>
      </c>
      <c r="AO142" s="28">
        <f t="shared" si="28"/>
        <v>3.3857347941309199E-3</v>
      </c>
      <c r="AP142" s="28">
        <f t="shared" si="29"/>
        <v>-1.1799411398487601E-3</v>
      </c>
      <c r="AQ142" s="28">
        <f t="shared" si="36"/>
        <v>2.2057936542821599E-3</v>
      </c>
      <c r="AR142" s="29">
        <f t="shared" si="37"/>
        <v>1.0994074053735464E-2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1.2796250825109802E-2</v>
      </c>
      <c r="BE142" s="29">
        <f t="shared" si="42"/>
        <v>2.2057936542821599E-3</v>
      </c>
      <c r="BF142" s="29">
        <f t="shared" si="43"/>
        <v>2.3790324878845269E-2</v>
      </c>
      <c r="BH142" s="29"/>
    </row>
    <row r="143" spans="1:60" x14ac:dyDescent="0.25">
      <c r="A143" s="1">
        <v>46231</v>
      </c>
      <c r="B143" s="33">
        <v>20.74</v>
      </c>
      <c r="C143" s="33">
        <v>25.49</v>
      </c>
      <c r="D143" s="15">
        <v>1.44752739388827E-3</v>
      </c>
      <c r="E143" s="15">
        <v>1.9634799161026002E-3</v>
      </c>
      <c r="F143" s="33">
        <v>0</v>
      </c>
      <c r="G143" s="33">
        <v>0.35699999999999998</v>
      </c>
      <c r="H143" s="33">
        <v>0</v>
      </c>
      <c r="I143" s="33">
        <v>0.30610799999999999</v>
      </c>
      <c r="J143" s="33">
        <v>0.35699999999999998</v>
      </c>
      <c r="K143" s="33">
        <v>0.30610799999999999</v>
      </c>
      <c r="L143" s="33">
        <v>21.096999999999898</v>
      </c>
      <c r="M143" s="33">
        <v>25.796107999999901</v>
      </c>
      <c r="N143" s="34">
        <v>1.2290260366441601</v>
      </c>
      <c r="O143" s="34">
        <v>1.2284375966208501</v>
      </c>
      <c r="P143" s="34">
        <v>1.22885549970226</v>
      </c>
      <c r="Q143" s="34">
        <v>1.2282533613592199</v>
      </c>
      <c r="R143" s="33">
        <v>25.477795753916499</v>
      </c>
      <c r="S143" s="33">
        <v>25.480487872985201</v>
      </c>
      <c r="T143" s="33">
        <v>25.473009476495001</v>
      </c>
      <c r="U143" s="15">
        <v>-4.7890029914667698E-4</v>
      </c>
      <c r="V143" s="15">
        <v>-3.7324057595347198E-4</v>
      </c>
      <c r="W143" s="15">
        <v>-6.6677868159726401E-4</v>
      </c>
      <c r="X143" s="34">
        <v>1.22273820922406</v>
      </c>
      <c r="Y143" s="34">
        <v>1.2253439668366699</v>
      </c>
      <c r="Z143" s="34">
        <v>1.2234971174765601</v>
      </c>
      <c r="AA143" s="34">
        <v>1.22387961510993</v>
      </c>
      <c r="AB143" s="33">
        <v>25.851081668353199</v>
      </c>
      <c r="AC143" s="33">
        <v>25.812694402057001</v>
      </c>
      <c r="AD143" s="33">
        <v>25.820045054419801</v>
      </c>
      <c r="AE143" s="15">
        <v>2.12881628089856E-3</v>
      </c>
      <c r="AF143" s="15">
        <v>6.4277417247049604E-4</v>
      </c>
      <c r="AG143" s="15">
        <v>9.2750252467055697E-4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1.0994074053735464E-2</v>
      </c>
      <c r="AT143" s="12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1.2796250825109802E-2</v>
      </c>
      <c r="BE143" s="29">
        <f t="shared" si="42"/>
        <v>0</v>
      </c>
      <c r="BF143" s="29">
        <f t="shared" si="43"/>
        <v>2.3790324878845269E-2</v>
      </c>
      <c r="BH143" s="29"/>
    </row>
    <row r="144" spans="1:60" x14ac:dyDescent="0.25">
      <c r="A144" s="1">
        <v>46232</v>
      </c>
      <c r="B144" s="33">
        <v>20.71</v>
      </c>
      <c r="C144" s="33">
        <v>25.48</v>
      </c>
      <c r="D144" s="15">
        <v>-1.4475273938883101E-3</v>
      </c>
      <c r="E144" s="15">
        <v>-3.9238768406136897E-4</v>
      </c>
      <c r="F144" s="33">
        <v>0</v>
      </c>
      <c r="G144" s="33">
        <v>0.35699999999999998</v>
      </c>
      <c r="H144" s="33">
        <v>0</v>
      </c>
      <c r="I144" s="33">
        <v>0.30610799999999999</v>
      </c>
      <c r="J144" s="33">
        <v>0.35699999999999998</v>
      </c>
      <c r="K144" s="33">
        <v>0.30610799999999999</v>
      </c>
      <c r="L144" s="33">
        <v>21.067</v>
      </c>
      <c r="M144" s="33">
        <v>25.786107999999999</v>
      </c>
      <c r="N144" s="34">
        <v>1.23032351521004</v>
      </c>
      <c r="O144" s="34">
        <v>1.2284375966208501</v>
      </c>
      <c r="P144" s="34">
        <v>1.22931028559081</v>
      </c>
      <c r="Q144" s="34">
        <v>1.22828240651915</v>
      </c>
      <c r="R144" s="33">
        <v>25.4409426260179</v>
      </c>
      <c r="S144" s="33">
        <v>25.449597398833799</v>
      </c>
      <c r="T144" s="33">
        <v>25.437127113749401</v>
      </c>
      <c r="U144" s="15">
        <v>-1.53404000897363E-3</v>
      </c>
      <c r="V144" s="15">
        <v>-1.19390713181527E-3</v>
      </c>
      <c r="W144" s="15">
        <v>-1.68402652753164E-3</v>
      </c>
      <c r="X144" s="34">
        <v>1.2240047467603301</v>
      </c>
      <c r="Y144" s="34">
        <v>1.2253439668366699</v>
      </c>
      <c r="Z144" s="34">
        <v>1.2236330395977799</v>
      </c>
      <c r="AA144" s="34">
        <v>1.2238687948459901</v>
      </c>
      <c r="AB144" s="33">
        <v>25.814321349348099</v>
      </c>
      <c r="AC144" s="33">
        <v>25.7754137738788</v>
      </c>
      <c r="AD144" s="33">
        <v>25.7834718515209</v>
      </c>
      <c r="AE144" s="15">
        <v>1.0935316824062899E-3</v>
      </c>
      <c r="AF144" s="15">
        <v>-4.1481422217907901E-4</v>
      </c>
      <c r="AG144" s="15">
        <v>-1.02236570045981E-4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1.0994074053735464E-2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1.2796250825109802E-2</v>
      </c>
      <c r="BE144" s="29">
        <f t="shared" si="42"/>
        <v>0</v>
      </c>
      <c r="BF144" s="29">
        <f t="shared" si="43"/>
        <v>2.3790324878845269E-2</v>
      </c>
      <c r="BH144" s="29"/>
    </row>
    <row r="145" spans="1:60" x14ac:dyDescent="0.25">
      <c r="A145" s="1">
        <v>46233</v>
      </c>
      <c r="B145" s="33">
        <v>20.68</v>
      </c>
      <c r="C145" s="33">
        <v>25.48</v>
      </c>
      <c r="D145" s="15">
        <v>-1.4496257672644199E-3</v>
      </c>
      <c r="E145" s="15">
        <v>0</v>
      </c>
      <c r="F145" s="33">
        <v>0</v>
      </c>
      <c r="G145" s="33">
        <v>0.35699999999999998</v>
      </c>
      <c r="H145" s="33">
        <v>0</v>
      </c>
      <c r="I145" s="33">
        <v>0.30610799999999999</v>
      </c>
      <c r="J145" s="33">
        <v>0.35699999999999998</v>
      </c>
      <c r="K145" s="33">
        <v>0.30610799999999999</v>
      </c>
      <c r="L145" s="33">
        <v>21.036999999999999</v>
      </c>
      <c r="M145" s="33">
        <v>25.786107999999999</v>
      </c>
      <c r="N145" s="34">
        <v>1.2321083172147</v>
      </c>
      <c r="O145" s="34">
        <v>1.2284375966208501</v>
      </c>
      <c r="P145" s="34">
        <v>1.2301344824674101</v>
      </c>
      <c r="Q145" s="34">
        <v>1.22856751732745</v>
      </c>
      <c r="R145" s="33">
        <v>25.404089498119198</v>
      </c>
      <c r="S145" s="33">
        <v>25.422136706017898</v>
      </c>
      <c r="T145" s="33">
        <v>25.400880166815998</v>
      </c>
      <c r="U145" s="15">
        <v>-2.98366577623816E-3</v>
      </c>
      <c r="V145" s="15">
        <v>-2.27351237690327E-3</v>
      </c>
      <c r="W145" s="15">
        <v>-3.1100050429943098E-3</v>
      </c>
      <c r="X145" s="34">
        <v>1.2257502495602901</v>
      </c>
      <c r="Y145" s="34">
        <v>1.2253439668366699</v>
      </c>
      <c r="Z145" s="34">
        <v>1.2241317118672601</v>
      </c>
      <c r="AA145" s="34">
        <v>1.2239927384459699</v>
      </c>
      <c r="AB145" s="33">
        <v>25.777561030343001</v>
      </c>
      <c r="AC145" s="33">
        <v>25.741568254018599</v>
      </c>
      <c r="AD145" s="33">
        <v>25.746527837175101</v>
      </c>
      <c r="AE145" s="15">
        <v>-3.3151131003478299E-4</v>
      </c>
      <c r="AF145" s="15">
        <v>-1.7287702575433501E-3</v>
      </c>
      <c r="AG145" s="15">
        <v>-1.53612055602529E-3</v>
      </c>
      <c r="AI145" s="12"/>
      <c r="AJ145">
        <f t="shared" si="26"/>
        <v>1</v>
      </c>
      <c r="AK145">
        <f t="shared" si="27"/>
        <v>0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1.0994074053735464E-2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1.2796250825109802E-2</v>
      </c>
      <c r="BE145" s="29">
        <f t="shared" si="42"/>
        <v>0</v>
      </c>
      <c r="BF145" s="29">
        <f t="shared" si="43"/>
        <v>2.3790324878845269E-2</v>
      </c>
      <c r="BH145" s="29"/>
    </row>
    <row r="146" spans="1:60" x14ac:dyDescent="0.25">
      <c r="A146" s="1">
        <v>46234</v>
      </c>
      <c r="B146" s="33">
        <v>20.7</v>
      </c>
      <c r="C146" s="33">
        <v>25.46</v>
      </c>
      <c r="D146" s="15">
        <v>9.6665063109497402E-4</v>
      </c>
      <c r="E146" s="15">
        <v>-7.8523757470208501E-4</v>
      </c>
      <c r="F146" s="33">
        <v>0</v>
      </c>
      <c r="G146" s="33">
        <v>0.35699999999999998</v>
      </c>
      <c r="H146" s="33">
        <v>0</v>
      </c>
      <c r="I146" s="33">
        <v>0.30610799999999999</v>
      </c>
      <c r="J146" s="33">
        <v>0.35699999999999998</v>
      </c>
      <c r="K146" s="33">
        <v>0.30610799999999999</v>
      </c>
      <c r="L146" s="33">
        <v>21.056999999999999</v>
      </c>
      <c r="M146" s="33">
        <v>25.766107999999999</v>
      </c>
      <c r="N146" s="34">
        <v>1.22995169082125</v>
      </c>
      <c r="O146" s="34">
        <v>1.2284375966208501</v>
      </c>
      <c r="P146" s="34">
        <v>1.2304872389119099</v>
      </c>
      <c r="Q146" s="34">
        <v>1.22867330015259</v>
      </c>
      <c r="R146" s="33">
        <v>25.428658250051701</v>
      </c>
      <c r="S146" s="33">
        <v>25.4637837870754</v>
      </c>
      <c r="T146" s="33">
        <v>25.431347608678301</v>
      </c>
      <c r="U146" s="15">
        <v>-1.23177757044105E-3</v>
      </c>
      <c r="V146" s="15">
        <v>1.4860588907493599E-4</v>
      </c>
      <c r="W146" s="15">
        <v>-1.1260222295316599E-3</v>
      </c>
      <c r="X146" s="34">
        <v>1.22363622548321</v>
      </c>
      <c r="Y146" s="34">
        <v>1.2253439668366699</v>
      </c>
      <c r="Z146" s="34">
        <v>1.2241677511372899</v>
      </c>
      <c r="AA146" s="34">
        <v>1.22394050536757</v>
      </c>
      <c r="AB146" s="33">
        <v>25.8020679096797</v>
      </c>
      <c r="AC146" s="33">
        <v>25.776541456788902</v>
      </c>
      <c r="AD146" s="33">
        <v>25.7736150934569</v>
      </c>
      <c r="AE146" s="15">
        <v>1.39465532275015E-3</v>
      </c>
      <c r="AF146" s="15">
        <v>4.0484752108984999E-4</v>
      </c>
      <c r="AG146" s="15">
        <v>2.9131291592095302E-4</v>
      </c>
      <c r="AI146" s="12"/>
      <c r="AJ146">
        <f t="shared" si="26"/>
        <v>0</v>
      </c>
      <c r="AK146">
        <f t="shared" si="27"/>
        <v>1</v>
      </c>
      <c r="AL146">
        <f t="shared" si="34"/>
        <v>1</v>
      </c>
      <c r="AM146">
        <f t="shared" si="24"/>
        <v>0</v>
      </c>
      <c r="AN146">
        <f t="shared" si="35"/>
        <v>1</v>
      </c>
      <c r="AO146" s="28">
        <f t="shared" si="28"/>
        <v>9.6665063109497402E-4</v>
      </c>
      <c r="AP146" s="28">
        <f t="shared" si="29"/>
        <v>7.8523757470208501E-4</v>
      </c>
      <c r="AQ146" s="28">
        <f t="shared" si="36"/>
        <v>1.7518882057970591E-3</v>
      </c>
      <c r="AR146" s="29">
        <f t="shared" si="37"/>
        <v>1.2745962259532524E-2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1.2796250825109802E-2</v>
      </c>
      <c r="BE146" s="29">
        <f t="shared" si="42"/>
        <v>1.7518882057970591E-3</v>
      </c>
      <c r="BF146" s="29">
        <f t="shared" si="43"/>
        <v>2.5542213084642329E-2</v>
      </c>
      <c r="BH146" s="29"/>
    </row>
    <row r="147" spans="1:60" x14ac:dyDescent="0.25">
      <c r="A147" s="1">
        <v>46237</v>
      </c>
      <c r="B147" s="33">
        <v>20.74</v>
      </c>
      <c r="C147" s="33">
        <v>25.46</v>
      </c>
      <c r="D147" s="15">
        <v>1.93050253005784E-3</v>
      </c>
      <c r="E147" s="15">
        <v>0</v>
      </c>
      <c r="F147" s="33">
        <v>0</v>
      </c>
      <c r="G147" s="33">
        <v>0.35699999999999998</v>
      </c>
      <c r="H147" s="33">
        <v>5.0610000000000002E-2</v>
      </c>
      <c r="I147" s="33">
        <v>0.35671799999999998</v>
      </c>
      <c r="J147" s="33">
        <v>0.35699999999999998</v>
      </c>
      <c r="K147" s="33">
        <v>0.35671799999999998</v>
      </c>
      <c r="L147" s="33">
        <v>21.096999999999898</v>
      </c>
      <c r="M147" s="33">
        <v>25.816718000000002</v>
      </c>
      <c r="N147" s="34">
        <v>1.2275795564127201</v>
      </c>
      <c r="O147" s="34">
        <v>1.2284375966208501</v>
      </c>
      <c r="P147" s="34">
        <v>1.23002404070703</v>
      </c>
      <c r="Q147" s="34">
        <v>1.22873511201983</v>
      </c>
      <c r="R147" s="33">
        <v>25.477795753916499</v>
      </c>
      <c r="S147" s="33">
        <v>25.520305335033001</v>
      </c>
      <c r="T147" s="33">
        <v>25.482684245164801</v>
      </c>
      <c r="U147" s="15">
        <v>6.9872495961692299E-4</v>
      </c>
      <c r="V147" s="15">
        <v>2.3658298146661001E-3</v>
      </c>
      <c r="W147" s="15">
        <v>8.9057916756068902E-4</v>
      </c>
      <c r="X147" s="34">
        <v>1.2237151253732701</v>
      </c>
      <c r="Y147" s="34">
        <v>1.2253439668366699</v>
      </c>
      <c r="Z147" s="34">
        <v>1.2239504845471501</v>
      </c>
      <c r="AA147" s="34">
        <v>1.22396541978754</v>
      </c>
      <c r="AB147" s="33">
        <v>25.851081668353199</v>
      </c>
      <c r="AC147" s="33">
        <v>25.826267045743599</v>
      </c>
      <c r="AD147" s="33">
        <v>25.821472841739698</v>
      </c>
      <c r="AE147" s="15">
        <v>1.3301775434861199E-3</v>
      </c>
      <c r="AF147" s="15">
        <v>3.6980998848043002E-4</v>
      </c>
      <c r="AG147" s="15">
        <v>1.8415988924590801E-4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1.2745962259532524E-2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1.2796250825109802E-2</v>
      </c>
      <c r="BE147" s="29">
        <f t="shared" si="42"/>
        <v>0</v>
      </c>
      <c r="BF147" s="29">
        <f t="shared" si="43"/>
        <v>2.5542213084642329E-2</v>
      </c>
      <c r="BH147" s="29"/>
    </row>
    <row r="148" spans="1:60" x14ac:dyDescent="0.25">
      <c r="A148" s="1">
        <v>46238</v>
      </c>
      <c r="B148" s="33">
        <v>20.8</v>
      </c>
      <c r="C148" s="33">
        <v>25.49</v>
      </c>
      <c r="D148" s="15">
        <v>2.8887839058911301E-3</v>
      </c>
      <c r="E148" s="15">
        <v>1.17762525876354E-3</v>
      </c>
      <c r="F148" s="33">
        <v>0</v>
      </c>
      <c r="G148" s="33">
        <v>0.35699999999999998</v>
      </c>
      <c r="H148" s="33">
        <v>0</v>
      </c>
      <c r="I148" s="33">
        <v>0.35671799999999998</v>
      </c>
      <c r="J148" s="33">
        <v>0.35699999999999998</v>
      </c>
      <c r="K148" s="33">
        <v>0.35671799999999998</v>
      </c>
      <c r="L148" s="33">
        <v>21.157</v>
      </c>
      <c r="M148" s="33">
        <v>25.846717999999999</v>
      </c>
      <c r="N148" s="34">
        <v>1.2254807692307601</v>
      </c>
      <c r="O148" s="34">
        <v>1.2284375966208501</v>
      </c>
      <c r="P148" s="34">
        <v>1.22954327147626</v>
      </c>
      <c r="Q148" s="34">
        <v>1.2286758171480401</v>
      </c>
      <c r="R148" s="33">
        <v>25.551502009713801</v>
      </c>
      <c r="S148" s="33">
        <v>25.5845000467062</v>
      </c>
      <c r="T148" s="33">
        <v>25.557690330012498</v>
      </c>
      <c r="U148" s="15">
        <v>2.40988360674432E-3</v>
      </c>
      <c r="V148" s="15">
        <v>3.70048280283623E-3</v>
      </c>
      <c r="W148" s="15">
        <v>2.6520443627930301E-3</v>
      </c>
      <c r="X148" s="34">
        <v>1.2216627121047401</v>
      </c>
      <c r="Y148" s="34">
        <v>1.2253439668366699</v>
      </c>
      <c r="Z148" s="34">
        <v>1.2237170393517001</v>
      </c>
      <c r="AA148" s="34">
        <v>1.2238719969999901</v>
      </c>
      <c r="AB148" s="33">
        <v>25.924602306363401</v>
      </c>
      <c r="AC148" s="33">
        <v>25.895120401564</v>
      </c>
      <c r="AD148" s="33">
        <v>25.895436386445098</v>
      </c>
      <c r="AE148" s="15">
        <v>3.0087841939652801E-3</v>
      </c>
      <c r="AF148" s="15">
        <v>1.87091982728484E-3</v>
      </c>
      <c r="AG148" s="15">
        <v>1.8831222402579701E-3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1.2745962259532524E-2</v>
      </c>
      <c r="AT148" s="12"/>
      <c r="AU148">
        <f t="shared" si="30"/>
        <v>0</v>
      </c>
      <c r="AV148">
        <f t="shared" si="31"/>
        <v>0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1.2796250825109802E-2</v>
      </c>
      <c r="BE148" s="29">
        <f t="shared" si="42"/>
        <v>0</v>
      </c>
      <c r="BF148" s="29">
        <f t="shared" si="43"/>
        <v>2.5542213084642329E-2</v>
      </c>
      <c r="BH148" s="29"/>
    </row>
    <row r="149" spans="1:60" x14ac:dyDescent="0.25">
      <c r="A149" s="1">
        <v>46239</v>
      </c>
      <c r="B149" s="33">
        <v>20.8</v>
      </c>
      <c r="C149" s="33">
        <v>25.56</v>
      </c>
      <c r="D149" s="15">
        <v>0</v>
      </c>
      <c r="E149" s="15">
        <v>2.7424111213098898E-3</v>
      </c>
      <c r="F149" s="33">
        <v>0</v>
      </c>
      <c r="G149" s="33">
        <v>0.35699999999999998</v>
      </c>
      <c r="H149" s="33">
        <v>0</v>
      </c>
      <c r="I149" s="33">
        <v>0.35671799999999998</v>
      </c>
      <c r="J149" s="33">
        <v>0.35699999999999998</v>
      </c>
      <c r="K149" s="33">
        <v>0.35671799999999998</v>
      </c>
      <c r="L149" s="33">
        <v>21.157</v>
      </c>
      <c r="M149" s="33">
        <v>25.916717999999999</v>
      </c>
      <c r="N149" s="34">
        <v>1.2288461538461499</v>
      </c>
      <c r="O149" s="34">
        <v>1.2284375966208501</v>
      </c>
      <c r="P149" s="34">
        <v>1.22939174228256</v>
      </c>
      <c r="Q149" s="34">
        <v>1.2286164510000701</v>
      </c>
      <c r="R149" s="33">
        <v>25.551502009713801</v>
      </c>
      <c r="S149" s="33">
        <v>25.574500046706198</v>
      </c>
      <c r="T149" s="33">
        <v>25.556456996679199</v>
      </c>
      <c r="U149" s="15">
        <v>-3.3252751456566801E-4</v>
      </c>
      <c r="V149" s="15">
        <v>5.6713362139594397E-4</v>
      </c>
      <c r="W149" s="15">
        <v>-1.38624761362786E-4</v>
      </c>
      <c r="X149" s="34">
        <v>1.2249713097320001</v>
      </c>
      <c r="Y149" s="34">
        <v>1.2253439668366699</v>
      </c>
      <c r="Z149" s="34">
        <v>1.2238087692731201</v>
      </c>
      <c r="AA149" s="34">
        <v>1.2237787410479199</v>
      </c>
      <c r="AB149" s="33">
        <v>25.924602306363401</v>
      </c>
      <c r="AC149" s="33">
        <v>25.890181401564</v>
      </c>
      <c r="AD149" s="33">
        <v>25.893459840528799</v>
      </c>
      <c r="AE149" s="15">
        <v>3.0417074170361702E-4</v>
      </c>
      <c r="AF149" s="15">
        <v>-1.02444273111334E-3</v>
      </c>
      <c r="AG149" s="15">
        <v>-8.9782208835832602E-4</v>
      </c>
      <c r="AI149" s="12"/>
      <c r="AJ149">
        <f t="shared" si="26"/>
        <v>0</v>
      </c>
      <c r="AK149">
        <f t="shared" si="27"/>
        <v>0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1.2745962259532524E-2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1.2796250825109802E-2</v>
      </c>
      <c r="BE149" s="29">
        <f t="shared" si="42"/>
        <v>0</v>
      </c>
      <c r="BF149" s="29">
        <f t="shared" si="43"/>
        <v>2.5542213084642329E-2</v>
      </c>
      <c r="BH149" s="29"/>
    </row>
    <row r="150" spans="1:60" x14ac:dyDescent="0.25">
      <c r="A150" s="1">
        <v>46240</v>
      </c>
      <c r="B150" s="33">
        <v>20.81</v>
      </c>
      <c r="C150" s="33">
        <v>25.55</v>
      </c>
      <c r="D150" s="15">
        <v>4.8065369827065402E-4</v>
      </c>
      <c r="E150" s="15">
        <v>-3.9131285962056402E-4</v>
      </c>
      <c r="F150" s="33">
        <v>0</v>
      </c>
      <c r="G150" s="33">
        <v>0.35699999999999998</v>
      </c>
      <c r="H150" s="33">
        <v>0</v>
      </c>
      <c r="I150" s="33">
        <v>0.35671799999999998</v>
      </c>
      <c r="J150" s="33">
        <v>0.35699999999999998</v>
      </c>
      <c r="K150" s="33">
        <v>0.35671799999999998</v>
      </c>
      <c r="L150" s="33">
        <v>21.166999999999899</v>
      </c>
      <c r="M150" s="33">
        <v>25.906718000000001</v>
      </c>
      <c r="N150" s="34">
        <v>1.2277751081210899</v>
      </c>
      <c r="O150" s="34">
        <v>1.2284375966208501</v>
      </c>
      <c r="P150" s="34">
        <v>1.2290587879783901</v>
      </c>
      <c r="Q150" s="34">
        <v>1.2285807322187501</v>
      </c>
      <c r="R150" s="33">
        <v>25.56378638568</v>
      </c>
      <c r="S150" s="33">
        <v>25.583642156900101</v>
      </c>
      <c r="T150" s="33">
        <v>25.567508345311602</v>
      </c>
      <c r="U150" s="15">
        <v>5.3943904332564001E-4</v>
      </c>
      <c r="V150" s="15">
        <v>1.31585235611033E-3</v>
      </c>
      <c r="W150" s="15">
        <v>6.8502345137981795E-4</v>
      </c>
      <c r="X150" s="34">
        <v>1.22392015873765</v>
      </c>
      <c r="Y150" s="34">
        <v>1.2253439668366699</v>
      </c>
      <c r="Z150" s="34">
        <v>1.2237256315535101</v>
      </c>
      <c r="AA150" s="34">
        <v>1.22370894612012</v>
      </c>
      <c r="AB150" s="33">
        <v>25.936855746031799</v>
      </c>
      <c r="AC150" s="33">
        <v>25.9043602192042</v>
      </c>
      <c r="AD150" s="33">
        <v>25.903724611761302</v>
      </c>
      <c r="AE150" s="15">
        <v>1.1626416641070099E-3</v>
      </c>
      <c r="AF150" s="15">
        <v>-9.1014542775130701E-5</v>
      </c>
      <c r="AG150" s="15">
        <v>-1.1555154100668E-4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1.2745962259532524E-2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1.2796250825109802E-2</v>
      </c>
      <c r="BE150" s="29">
        <f t="shared" si="42"/>
        <v>0</v>
      </c>
      <c r="BF150" s="29">
        <f t="shared" si="43"/>
        <v>2.5542213084642329E-2</v>
      </c>
      <c r="BH150" s="29"/>
    </row>
    <row r="151" spans="1:60" x14ac:dyDescent="0.25">
      <c r="A151" s="1">
        <v>46241</v>
      </c>
      <c r="B151" s="33">
        <v>20.84</v>
      </c>
      <c r="C151" s="33">
        <v>25.59</v>
      </c>
      <c r="D151" s="15">
        <v>1.44057647962308E-3</v>
      </c>
      <c r="E151" s="15">
        <v>1.56433352198386E-3</v>
      </c>
      <c r="F151" s="33">
        <v>0</v>
      </c>
      <c r="G151" s="33">
        <v>0.35699999999999998</v>
      </c>
      <c r="H151" s="33">
        <v>0</v>
      </c>
      <c r="I151" s="33">
        <v>0.35671799999999998</v>
      </c>
      <c r="J151" s="33">
        <v>0.35699999999999998</v>
      </c>
      <c r="K151" s="33">
        <v>0.35671799999999998</v>
      </c>
      <c r="L151" s="33">
        <v>21.196999999999999</v>
      </c>
      <c r="M151" s="33">
        <v>25.946718000000001</v>
      </c>
      <c r="N151" s="34">
        <v>1.2279270633397299</v>
      </c>
      <c r="O151" s="34">
        <v>1.2284375966208501</v>
      </c>
      <c r="P151" s="34">
        <v>1.2287410291960801</v>
      </c>
      <c r="Q151" s="34">
        <v>1.2286058479275399</v>
      </c>
      <c r="R151" s="33">
        <v>25.600639513578599</v>
      </c>
      <c r="S151" s="33">
        <v>25.613585141469699</v>
      </c>
      <c r="T151" s="33">
        <v>25.6036224594388</v>
      </c>
      <c r="U151" s="15">
        <v>4.1568200096479498E-4</v>
      </c>
      <c r="V151" s="15">
        <v>9.2123014716838001E-4</v>
      </c>
      <c r="W151" s="15">
        <v>5.3219362513974805E-4</v>
      </c>
      <c r="X151" s="34">
        <v>1.2240750106147</v>
      </c>
      <c r="Y151" s="34">
        <v>1.2253439668366699</v>
      </c>
      <c r="Z151" s="34">
        <v>1.22365797902162</v>
      </c>
      <c r="AA151" s="34">
        <v>1.22369929361798</v>
      </c>
      <c r="AB151" s="33">
        <v>25.9736160650369</v>
      </c>
      <c r="AC151" s="33">
        <v>25.939312212039901</v>
      </c>
      <c r="AD151" s="33">
        <v>25.938958530908199</v>
      </c>
      <c r="AE151" s="15">
        <v>1.0361284428416499E-3</v>
      </c>
      <c r="AF151" s="15">
        <v>-2.8546365871773201E-4</v>
      </c>
      <c r="AG151" s="15">
        <v>-2.9909869807786702E-4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1.2745962259532524E-2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1.2796250825109802E-2</v>
      </c>
      <c r="BE151" s="29">
        <f t="shared" ref="BE151:BE176" si="62">AQ151+BB151</f>
        <v>0</v>
      </c>
      <c r="BF151" s="29">
        <f t="shared" ref="BF151:BF176" si="63">BF150+BE151</f>
        <v>2.5542213084642329E-2</v>
      </c>
      <c r="BH151" s="29"/>
    </row>
    <row r="152" spans="1:60" x14ac:dyDescent="0.25">
      <c r="A152" s="1">
        <v>46244</v>
      </c>
      <c r="B152" s="33">
        <v>20.84</v>
      </c>
      <c r="C152" s="33">
        <v>25.59</v>
      </c>
      <c r="D152" s="15">
        <v>0</v>
      </c>
      <c r="E152" s="15">
        <v>0</v>
      </c>
      <c r="F152" s="33">
        <v>0</v>
      </c>
      <c r="G152" s="33">
        <v>0.35699999999999998</v>
      </c>
      <c r="H152" s="33">
        <v>0</v>
      </c>
      <c r="I152" s="33">
        <v>0.35671799999999998</v>
      </c>
      <c r="J152" s="33">
        <v>0.35699999999999998</v>
      </c>
      <c r="K152" s="33">
        <v>0.35671799999999998</v>
      </c>
      <c r="L152" s="33">
        <v>21.196999999999999</v>
      </c>
      <c r="M152" s="33">
        <v>25.946718000000001</v>
      </c>
      <c r="N152" s="34">
        <v>1.2279270633397299</v>
      </c>
      <c r="O152" s="34">
        <v>1.2284375966208501</v>
      </c>
      <c r="P152" s="34">
        <v>1.2286945274180301</v>
      </c>
      <c r="Q152" s="34">
        <v>1.22863096363633</v>
      </c>
      <c r="R152" s="33">
        <v>25.600639513578599</v>
      </c>
      <c r="S152" s="33">
        <v>25.606963048446399</v>
      </c>
      <c r="T152" s="33">
        <v>25.604145870810001</v>
      </c>
      <c r="U152" s="15">
        <v>4.1568200096479498E-4</v>
      </c>
      <c r="V152" s="15">
        <v>6.6265841007571904E-4</v>
      </c>
      <c r="W152" s="15">
        <v>5.5263628016350298E-4</v>
      </c>
      <c r="X152" s="34">
        <v>1.2240750106147</v>
      </c>
      <c r="Y152" s="34">
        <v>1.2253439668366699</v>
      </c>
      <c r="Z152" s="34">
        <v>1.2238548758204999</v>
      </c>
      <c r="AA152" s="34">
        <v>1.22368964111584</v>
      </c>
      <c r="AB152" s="33">
        <v>25.9736160650369</v>
      </c>
      <c r="AC152" s="33">
        <v>25.937878181321199</v>
      </c>
      <c r="AD152" s="33">
        <v>25.9387539268204</v>
      </c>
      <c r="AE152" s="15">
        <v>1.0361284428416499E-3</v>
      </c>
      <c r="AF152" s="15">
        <v>-3.40749255650131E-4</v>
      </c>
      <c r="AG152" s="15">
        <v>-3.0698663600297498E-4</v>
      </c>
      <c r="AI152" s="12"/>
      <c r="AJ152">
        <f t="shared" si="46"/>
        <v>0</v>
      </c>
      <c r="AK152">
        <f t="shared" si="47"/>
        <v>0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1.2745962259532524E-2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1.2796250825109802E-2</v>
      </c>
      <c r="BE152" s="29">
        <f t="shared" si="62"/>
        <v>0</v>
      </c>
      <c r="BF152" s="29">
        <f t="shared" si="63"/>
        <v>2.5542213084642329E-2</v>
      </c>
      <c r="BH152" s="29"/>
    </row>
    <row r="153" spans="1:60" x14ac:dyDescent="0.25">
      <c r="A153" s="1">
        <v>46245</v>
      </c>
      <c r="B153" s="33">
        <v>20.84</v>
      </c>
      <c r="C153" s="33">
        <v>25.6</v>
      </c>
      <c r="D153" s="15">
        <v>0</v>
      </c>
      <c r="E153" s="15">
        <v>3.9070131381950199E-4</v>
      </c>
      <c r="F153" s="33">
        <v>0</v>
      </c>
      <c r="G153" s="33">
        <v>0.35699999999999998</v>
      </c>
      <c r="H153" s="33">
        <v>0</v>
      </c>
      <c r="I153" s="33">
        <v>0.35671799999999998</v>
      </c>
      <c r="J153" s="33">
        <v>0.35699999999999998</v>
      </c>
      <c r="K153" s="33">
        <v>0.35671799999999998</v>
      </c>
      <c r="L153" s="33">
        <v>21.196999999999999</v>
      </c>
      <c r="M153" s="33">
        <v>25.956717999999999</v>
      </c>
      <c r="N153" s="34">
        <v>1.2284069097888599</v>
      </c>
      <c r="O153" s="34">
        <v>1.2284375966208501</v>
      </c>
      <c r="P153" s="34">
        <v>1.2286326147325</v>
      </c>
      <c r="Q153" s="34">
        <v>1.22874405721738</v>
      </c>
      <c r="R153" s="33">
        <v>25.600639513578599</v>
      </c>
      <c r="S153" s="33">
        <v>25.605993951391898</v>
      </c>
      <c r="T153" s="33">
        <v>25.604669282181298</v>
      </c>
      <c r="U153" s="15">
        <v>2.4980687145295001E-5</v>
      </c>
      <c r="V153" s="15">
        <v>2.3411132005258801E-4</v>
      </c>
      <c r="W153" s="15">
        <v>1.8237720347399799E-4</v>
      </c>
      <c r="X153" s="34">
        <v>1.22454677548709</v>
      </c>
      <c r="Y153" s="34">
        <v>1.2253439668366699</v>
      </c>
      <c r="Z153" s="34">
        <v>1.2240357324468001</v>
      </c>
      <c r="AA153" s="34">
        <v>1.22376642496168</v>
      </c>
      <c r="AB153" s="33">
        <v>25.9736160650369</v>
      </c>
      <c r="AC153" s="33">
        <v>25.9420518027671</v>
      </c>
      <c r="AD153" s="33">
        <v>25.938549322732602</v>
      </c>
      <c r="AE153" s="15">
        <v>6.5079749389499798E-4</v>
      </c>
      <c r="AF153" s="15">
        <v>-5.6518478873392099E-4</v>
      </c>
      <c r="AG153" s="15">
        <v>-7.0020558509472904E-4</v>
      </c>
      <c r="AI153" s="12"/>
      <c r="AJ153">
        <f t="shared" si="46"/>
        <v>0</v>
      </c>
      <c r="AK153">
        <f t="shared" si="47"/>
        <v>0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1.2745962259532524E-2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1.2796250825109802E-2</v>
      </c>
      <c r="BE153" s="29">
        <f t="shared" si="62"/>
        <v>0</v>
      </c>
      <c r="BF153" s="29">
        <f t="shared" si="63"/>
        <v>2.5542213084642329E-2</v>
      </c>
      <c r="BH153" s="29"/>
    </row>
    <row r="154" spans="1:60" x14ac:dyDescent="0.25">
      <c r="A154" s="1">
        <v>46246</v>
      </c>
      <c r="B154" s="33">
        <v>20.86</v>
      </c>
      <c r="C154" s="33">
        <v>25.59</v>
      </c>
      <c r="D154" s="15">
        <v>9.5923268746013403E-4</v>
      </c>
      <c r="E154" s="15">
        <v>-3.9070131381943802E-4</v>
      </c>
      <c r="F154" s="33">
        <v>0</v>
      </c>
      <c r="G154" s="33">
        <v>0.35699999999999998</v>
      </c>
      <c r="H154" s="33">
        <v>0</v>
      </c>
      <c r="I154" s="33">
        <v>0.35671799999999998</v>
      </c>
      <c r="J154" s="33">
        <v>0.35699999999999998</v>
      </c>
      <c r="K154" s="33">
        <v>0.35671799999999998</v>
      </c>
      <c r="L154" s="33">
        <v>21.216999999999999</v>
      </c>
      <c r="M154" s="33">
        <v>25.946718000000001</v>
      </c>
      <c r="N154" s="34">
        <v>1.2267497603068001</v>
      </c>
      <c r="O154" s="34">
        <v>1.2284375966208501</v>
      </c>
      <c r="P154" s="34">
        <v>1.2282752392421801</v>
      </c>
      <c r="Q154" s="34">
        <v>1.22879276241649</v>
      </c>
      <c r="R154" s="33">
        <v>25.625208265510999</v>
      </c>
      <c r="S154" s="33">
        <v>25.6292763433201</v>
      </c>
      <c r="T154" s="33">
        <v>25.631601033554599</v>
      </c>
      <c r="U154" s="15">
        <v>1.3749146884250399E-3</v>
      </c>
      <c r="V154" s="15">
        <v>1.53365505421543E-3</v>
      </c>
      <c r="W154" s="15">
        <v>1.6243554228047899E-3</v>
      </c>
      <c r="X154" s="34">
        <v>1.2229211481359199</v>
      </c>
      <c r="Y154" s="34">
        <v>1.2253439668366699</v>
      </c>
      <c r="Z154" s="34">
        <v>1.22392737258436</v>
      </c>
      <c r="AA154" s="34">
        <v>1.2237802060910701</v>
      </c>
      <c r="AB154" s="33">
        <v>25.998122944373598</v>
      </c>
      <c r="AC154" s="33">
        <v>25.9703661353238</v>
      </c>
      <c r="AD154" s="33">
        <v>25.964652238412</v>
      </c>
      <c r="AE154" s="15">
        <v>1.9792133432212102E-3</v>
      </c>
      <c r="AF154" s="15">
        <v>9.1099634554595802E-4</v>
      </c>
      <c r="AG154" s="15">
        <v>6.9095610627256405E-4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1.2745962259532524E-2</v>
      </c>
      <c r="AT154" s="12"/>
      <c r="AU154">
        <f t="shared" si="50"/>
        <v>0</v>
      </c>
      <c r="AV154">
        <f t="shared" si="51"/>
        <v>0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1.2796250825109802E-2</v>
      </c>
      <c r="BE154" s="29">
        <f t="shared" si="62"/>
        <v>0</v>
      </c>
      <c r="BF154" s="29">
        <f t="shared" si="63"/>
        <v>2.5542213084642329E-2</v>
      </c>
      <c r="BH154" s="29"/>
    </row>
    <row r="155" spans="1:60" x14ac:dyDescent="0.25">
      <c r="A155" s="1">
        <v>46247</v>
      </c>
      <c r="B155" s="33">
        <v>20.89</v>
      </c>
      <c r="C155" s="33">
        <v>25.63</v>
      </c>
      <c r="D155" s="15">
        <v>1.4371259958480501E-3</v>
      </c>
      <c r="E155" s="15">
        <v>1.56189020428224E-3</v>
      </c>
      <c r="F155" s="33">
        <v>0</v>
      </c>
      <c r="G155" s="33">
        <v>0.35699999999999998</v>
      </c>
      <c r="H155" s="33">
        <v>0</v>
      </c>
      <c r="I155" s="33">
        <v>0.35671799999999998</v>
      </c>
      <c r="J155" s="33">
        <v>0.35699999999999998</v>
      </c>
      <c r="K155" s="33">
        <v>0.35671799999999998</v>
      </c>
      <c r="L155" s="33">
        <v>21.247</v>
      </c>
      <c r="M155" s="33">
        <v>25.986718</v>
      </c>
      <c r="N155" s="34">
        <v>1.2269028243178499</v>
      </c>
      <c r="O155" s="34">
        <v>1.2284375966208501</v>
      </c>
      <c r="P155" s="34">
        <v>1.22775468995249</v>
      </c>
      <c r="Q155" s="34">
        <v>1.22894458620995</v>
      </c>
      <c r="R155" s="33">
        <v>25.662061393409601</v>
      </c>
      <c r="S155" s="33">
        <v>25.658669747769199</v>
      </c>
      <c r="T155" s="33">
        <v>25.6694808068806</v>
      </c>
      <c r="U155" s="15">
        <v>1.25015047999079E-3</v>
      </c>
      <c r="V155" s="15">
        <v>1.11797599338592E-3</v>
      </c>
      <c r="W155" s="15">
        <v>1.53922862588645E-3</v>
      </c>
      <c r="X155" s="34">
        <v>1.2230770461712199</v>
      </c>
      <c r="Y155" s="34">
        <v>1.2253439668366699</v>
      </c>
      <c r="Z155" s="34">
        <v>1.2236600522454499</v>
      </c>
      <c r="AA155" s="34">
        <v>1.2238958820563599</v>
      </c>
      <c r="AB155" s="33">
        <v>26.034883263378699</v>
      </c>
      <c r="AC155" s="33">
        <v>26.004784885299902</v>
      </c>
      <c r="AD155" s="33">
        <v>26.001658038816998</v>
      </c>
      <c r="AE155" s="15">
        <v>1.8517414294075599E-3</v>
      </c>
      <c r="AF155" s="15">
        <v>6.9499379800762198E-4</v>
      </c>
      <c r="AG155" s="15">
        <v>5.7474537066503197E-4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1.2745962259532524E-2</v>
      </c>
      <c r="AT155" s="12"/>
      <c r="AU155">
        <f t="shared" si="50"/>
        <v>0</v>
      </c>
      <c r="AV155">
        <f t="shared" si="51"/>
        <v>0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1.2796250825109802E-2</v>
      </c>
      <c r="BE155" s="29">
        <f t="shared" si="62"/>
        <v>0</v>
      </c>
      <c r="BF155" s="29">
        <f t="shared" si="63"/>
        <v>2.5542213084642329E-2</v>
      </c>
      <c r="BH155" s="29"/>
    </row>
    <row r="156" spans="1:60" x14ac:dyDescent="0.25">
      <c r="A156" s="1">
        <v>46248</v>
      </c>
      <c r="B156" s="33">
        <v>20.89</v>
      </c>
      <c r="C156" s="33">
        <v>25.6</v>
      </c>
      <c r="D156" s="15">
        <v>0</v>
      </c>
      <c r="E156" s="15">
        <v>-1.17118889046287E-3</v>
      </c>
      <c r="F156" s="33">
        <v>0</v>
      </c>
      <c r="G156" s="33">
        <v>0.35699999999999998</v>
      </c>
      <c r="H156" s="33">
        <v>0</v>
      </c>
      <c r="I156" s="33">
        <v>0.35671799999999998</v>
      </c>
      <c r="J156" s="33">
        <v>0.35699999999999998</v>
      </c>
      <c r="K156" s="33">
        <v>0.35671799999999998</v>
      </c>
      <c r="L156" s="33">
        <v>21.247</v>
      </c>
      <c r="M156" s="33">
        <v>25.956717999999999</v>
      </c>
      <c r="N156" s="34">
        <v>1.22546673049305</v>
      </c>
      <c r="O156" s="34">
        <v>1.2284375966208501</v>
      </c>
      <c r="P156" s="34">
        <v>1.2273061939196801</v>
      </c>
      <c r="Q156" s="34">
        <v>1.22889671641579</v>
      </c>
      <c r="R156" s="33">
        <v>25.662061393409601</v>
      </c>
      <c r="S156" s="33">
        <v>25.647795473107699</v>
      </c>
      <c r="T156" s="33">
        <v>25.672652405925898</v>
      </c>
      <c r="U156" s="15">
        <v>2.4213393704536098E-3</v>
      </c>
      <c r="V156" s="15">
        <v>1.8652699701172E-3</v>
      </c>
      <c r="W156" s="15">
        <v>2.8339651311798798E-3</v>
      </c>
      <c r="X156" s="34">
        <v>1.2216650821292401</v>
      </c>
      <c r="Y156" s="34">
        <v>1.2253439668366699</v>
      </c>
      <c r="Z156" s="34">
        <v>1.2234629379100499</v>
      </c>
      <c r="AA156" s="34">
        <v>1.2238153445236699</v>
      </c>
      <c r="AB156" s="33">
        <v>26.034883263378699</v>
      </c>
      <c r="AC156" s="33">
        <v>25.999105130059199</v>
      </c>
      <c r="AD156" s="33">
        <v>26.004115806051399</v>
      </c>
      <c r="AE156" s="15">
        <v>3.00684419679683E-3</v>
      </c>
      <c r="AF156" s="15">
        <v>1.6316607806249499E-3</v>
      </c>
      <c r="AG156" s="15">
        <v>1.8243671521759001E-3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1.2745962259532524E-2</v>
      </c>
      <c r="AT156" s="12"/>
      <c r="AU156">
        <f t="shared" si="50"/>
        <v>0</v>
      </c>
      <c r="AV156">
        <f t="shared" si="51"/>
        <v>0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1.2796250825109802E-2</v>
      </c>
      <c r="BE156" s="29">
        <f t="shared" si="62"/>
        <v>0</v>
      </c>
      <c r="BF156" s="29">
        <f t="shared" si="63"/>
        <v>2.5542213084642329E-2</v>
      </c>
      <c r="BH156" s="29"/>
    </row>
    <row r="157" spans="1:60" x14ac:dyDescent="0.25">
      <c r="A157" s="1">
        <v>46251</v>
      </c>
      <c r="B157" s="33">
        <v>20.84</v>
      </c>
      <c r="C157" s="33">
        <v>25.56</v>
      </c>
      <c r="D157" s="15">
        <v>-2.3963586833082298E-3</v>
      </c>
      <c r="E157" s="15">
        <v>-1.5637219761828699E-3</v>
      </c>
      <c r="F157" s="33">
        <v>0</v>
      </c>
      <c r="G157" s="33">
        <v>0.35699999999999998</v>
      </c>
      <c r="H157" s="33">
        <v>0</v>
      </c>
      <c r="I157" s="33">
        <v>0.35671799999999998</v>
      </c>
      <c r="J157" s="33">
        <v>0.35699999999999998</v>
      </c>
      <c r="K157" s="33">
        <v>0.35671799999999998</v>
      </c>
      <c r="L157" s="33">
        <v>21.196999999999999</v>
      </c>
      <c r="M157" s="33">
        <v>25.916717999999999</v>
      </c>
      <c r="N157" s="34">
        <v>1.2264875239923201</v>
      </c>
      <c r="O157" s="34">
        <v>1.2284375966208501</v>
      </c>
      <c r="P157" s="34">
        <v>1.2271969906776301</v>
      </c>
      <c r="Q157" s="34">
        <v>1.2286105156923299</v>
      </c>
      <c r="R157" s="33">
        <v>25.600639513578599</v>
      </c>
      <c r="S157" s="33">
        <v>25.5770610812861</v>
      </c>
      <c r="T157" s="33">
        <v>25.6102075701051</v>
      </c>
      <c r="U157" s="15">
        <v>1.58870266332832E-3</v>
      </c>
      <c r="V157" s="15">
        <v>6.6726876978903801E-4</v>
      </c>
      <c r="W157" s="15">
        <v>1.96237571045608E-3</v>
      </c>
      <c r="X157" s="34">
        <v>1.2226597159975401</v>
      </c>
      <c r="Y157" s="34">
        <v>1.2253439668366699</v>
      </c>
      <c r="Z157" s="34">
        <v>1.22335739697248</v>
      </c>
      <c r="AA157" s="34">
        <v>1.2236539407598099</v>
      </c>
      <c r="AB157" s="33">
        <v>25.9736160650369</v>
      </c>
      <c r="AC157" s="33">
        <v>25.933743894879498</v>
      </c>
      <c r="AD157" s="33">
        <v>25.941213857868402</v>
      </c>
      <c r="AE157" s="15">
        <v>2.19301297112301E-3</v>
      </c>
      <c r="AF157" s="15">
        <v>6.5673071634241302E-4</v>
      </c>
      <c r="AG157" s="15">
        <v>9.4472952594683995E-4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1.2745962259532524E-2</v>
      </c>
      <c r="AT157" s="12"/>
      <c r="AU157">
        <f t="shared" si="50"/>
        <v>0</v>
      </c>
      <c r="AV157">
        <f t="shared" si="51"/>
        <v>0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1.2796250825109802E-2</v>
      </c>
      <c r="BE157" s="29">
        <f t="shared" si="62"/>
        <v>0</v>
      </c>
      <c r="BF157" s="29">
        <f t="shared" si="63"/>
        <v>2.5542213084642329E-2</v>
      </c>
      <c r="BH157" s="29"/>
    </row>
    <row r="158" spans="1:60" x14ac:dyDescent="0.25">
      <c r="A158" s="1">
        <v>46252</v>
      </c>
      <c r="B158" s="33">
        <v>20.8</v>
      </c>
      <c r="C158" s="33">
        <v>25.55</v>
      </c>
      <c r="D158" s="15">
        <v>-1.92123017789382E-3</v>
      </c>
      <c r="E158" s="15">
        <v>-3.9131285962056402E-4</v>
      </c>
      <c r="F158" s="33">
        <v>0</v>
      </c>
      <c r="G158" s="33">
        <v>0.35699999999999998</v>
      </c>
      <c r="H158" s="33">
        <v>0</v>
      </c>
      <c r="I158" s="33">
        <v>0.35671799999999998</v>
      </c>
      <c r="J158" s="33">
        <v>0.35699999999999998</v>
      </c>
      <c r="K158" s="33">
        <v>0.35671799999999998</v>
      </c>
      <c r="L158" s="33">
        <v>21.157</v>
      </c>
      <c r="M158" s="33">
        <v>25.906718000000001</v>
      </c>
      <c r="N158" s="34">
        <v>1.2283653846153799</v>
      </c>
      <c r="O158" s="34">
        <v>1.2284375966208501</v>
      </c>
      <c r="P158" s="34">
        <v>1.2274854522161001</v>
      </c>
      <c r="Q158" s="34">
        <v>1.22851436184618</v>
      </c>
      <c r="R158" s="33">
        <v>25.551502009713801</v>
      </c>
      <c r="S158" s="33">
        <v>25.5256974060948</v>
      </c>
      <c r="T158" s="33">
        <v>25.555098726400502</v>
      </c>
      <c r="U158" s="15">
        <v>5.8785345054898202E-5</v>
      </c>
      <c r="V158" s="15">
        <v>-9.5163050034997095E-4</v>
      </c>
      <c r="W158" s="15">
        <v>1.9953885403018999E-4</v>
      </c>
      <c r="X158" s="34">
        <v>1.2244986529280999</v>
      </c>
      <c r="Y158" s="34">
        <v>1.2253439668366699</v>
      </c>
      <c r="Z158" s="34">
        <v>1.22364099105482</v>
      </c>
      <c r="AA158" s="34">
        <v>1.2236790152032599</v>
      </c>
      <c r="AB158" s="33">
        <v>25.924602306363401</v>
      </c>
      <c r="AC158" s="33">
        <v>25.882572447746799</v>
      </c>
      <c r="AD158" s="33">
        <v>25.888846424655402</v>
      </c>
      <c r="AE158" s="15">
        <v>6.9009652725425801E-4</v>
      </c>
      <c r="AF158" s="15">
        <v>-9.3245355531414598E-4</v>
      </c>
      <c r="AG158" s="15">
        <v>-6.9008133234008096E-4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1.2745962259532524E-2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1.2796250825109802E-2</v>
      </c>
      <c r="BE158" s="29">
        <f t="shared" si="62"/>
        <v>0</v>
      </c>
      <c r="BF158" s="29">
        <f t="shared" si="63"/>
        <v>2.5542213084642329E-2</v>
      </c>
      <c r="BH158" s="29"/>
    </row>
    <row r="159" spans="1:60" x14ac:dyDescent="0.25">
      <c r="A159" s="1">
        <v>46253</v>
      </c>
      <c r="B159" s="33">
        <v>20.84</v>
      </c>
      <c r="C159" s="33">
        <v>25.57</v>
      </c>
      <c r="D159" s="15">
        <v>1.9212301778938701E-3</v>
      </c>
      <c r="E159" s="15">
        <v>7.8247265338174399E-4</v>
      </c>
      <c r="F159" s="33">
        <v>0</v>
      </c>
      <c r="G159" s="33">
        <v>0.35699999999999998</v>
      </c>
      <c r="H159" s="33">
        <v>0</v>
      </c>
      <c r="I159" s="33">
        <v>0.35671799999999998</v>
      </c>
      <c r="J159" s="33">
        <v>0.35699999999999998</v>
      </c>
      <c r="K159" s="33">
        <v>0.35671799999999998</v>
      </c>
      <c r="L159" s="33">
        <v>21.196999999999999</v>
      </c>
      <c r="M159" s="33">
        <v>25.926718000000001</v>
      </c>
      <c r="N159" s="34">
        <v>1.2269673704414501</v>
      </c>
      <c r="O159" s="34">
        <v>1.2284375966208501</v>
      </c>
      <c r="P159" s="34">
        <v>1.22729757387563</v>
      </c>
      <c r="Q159" s="34">
        <v>1.22834465807909</v>
      </c>
      <c r="R159" s="33">
        <v>25.600639513578599</v>
      </c>
      <c r="S159" s="33">
        <v>25.580796824183501</v>
      </c>
      <c r="T159" s="33">
        <v>25.602239300874398</v>
      </c>
      <c r="U159" s="15">
        <v>1.19754286956709E-3</v>
      </c>
      <c r="V159" s="15">
        <v>4.2215664326799901E-4</v>
      </c>
      <c r="W159" s="15">
        <v>1.26003104731526E-3</v>
      </c>
      <c r="X159" s="34">
        <v>1.2231314808699301</v>
      </c>
      <c r="Y159" s="34">
        <v>1.2253439668366699</v>
      </c>
      <c r="Z159" s="34">
        <v>1.22345700816861</v>
      </c>
      <c r="AA159" s="34">
        <v>1.2236328887208701</v>
      </c>
      <c r="AB159" s="33">
        <v>25.9736160650369</v>
      </c>
      <c r="AC159" s="33">
        <v>25.937518087389002</v>
      </c>
      <c r="AD159" s="33">
        <v>25.938324085263599</v>
      </c>
      <c r="AE159" s="15">
        <v>1.80723606682904E-3</v>
      </c>
      <c r="AF159" s="15">
        <v>4.1647533483331399E-4</v>
      </c>
      <c r="AG159" s="15">
        <v>4.4754944720792699E-4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1.2745962259532524E-2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1.2796250825109802E-2</v>
      </c>
      <c r="BE159" s="29">
        <f t="shared" si="62"/>
        <v>0</v>
      </c>
      <c r="BF159" s="29">
        <f t="shared" si="63"/>
        <v>2.5542213084642329E-2</v>
      </c>
      <c r="BH159" s="29"/>
    </row>
    <row r="160" spans="1:60" x14ac:dyDescent="0.25">
      <c r="A160" s="1">
        <v>46254</v>
      </c>
      <c r="B160" s="33">
        <v>20.82</v>
      </c>
      <c r="C160" s="33">
        <v>25.57</v>
      </c>
      <c r="D160" s="15">
        <v>-9.6015369834337005E-4</v>
      </c>
      <c r="E160" s="15">
        <v>0</v>
      </c>
      <c r="F160" s="33">
        <v>0</v>
      </c>
      <c r="G160" s="33">
        <v>0.35699999999999998</v>
      </c>
      <c r="H160" s="33">
        <v>0</v>
      </c>
      <c r="I160" s="33">
        <v>0.35671799999999998</v>
      </c>
      <c r="J160" s="33">
        <v>0.35699999999999998</v>
      </c>
      <c r="K160" s="33">
        <v>0.35671799999999998</v>
      </c>
      <c r="L160" s="33">
        <v>21.177</v>
      </c>
      <c r="M160" s="33">
        <v>25.926718000000001</v>
      </c>
      <c r="N160" s="34">
        <v>1.2281460134486</v>
      </c>
      <c r="O160" s="34">
        <v>1.2284375966208501</v>
      </c>
      <c r="P160" s="34">
        <v>1.22733466440838</v>
      </c>
      <c r="Q160" s="34">
        <v>1.2281967261933799</v>
      </c>
      <c r="R160" s="33">
        <v>25.5760707616462</v>
      </c>
      <c r="S160" s="33">
        <v>25.552335488090598</v>
      </c>
      <c r="T160" s="33">
        <v>25.574135781206799</v>
      </c>
      <c r="U160" s="15">
        <v>2.37389171223551E-4</v>
      </c>
      <c r="V160" s="15">
        <v>-6.9106829505029103E-4</v>
      </c>
      <c r="W160" s="15">
        <v>1.6173041748179299E-4</v>
      </c>
      <c r="X160" s="34">
        <v>1.22428663172309</v>
      </c>
      <c r="Y160" s="34">
        <v>1.2253439668366699</v>
      </c>
      <c r="Z160" s="34">
        <v>1.2234936554671501</v>
      </c>
      <c r="AA160" s="34">
        <v>1.2236096435103301</v>
      </c>
      <c r="AB160" s="33">
        <v>25.949109185700099</v>
      </c>
      <c r="AC160" s="33">
        <v>25.9091490619867</v>
      </c>
      <c r="AD160" s="33">
        <v>25.912873684441799</v>
      </c>
      <c r="AE160" s="15">
        <v>8.6326091767411598E-4</v>
      </c>
      <c r="AF160" s="15">
        <v>-6.77868035465168E-4</v>
      </c>
      <c r="AG160" s="15">
        <v>-5.3412133226437804E-4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1.2745962259532524E-2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1.2796250825109802E-2</v>
      </c>
      <c r="BE160" s="29">
        <f t="shared" si="62"/>
        <v>0</v>
      </c>
      <c r="BF160" s="29">
        <f t="shared" si="63"/>
        <v>2.5542213084642329E-2</v>
      </c>
      <c r="BH160" s="29"/>
    </row>
    <row r="161" spans="1:60" x14ac:dyDescent="0.25">
      <c r="A161" s="1">
        <v>46255</v>
      </c>
      <c r="B161" s="33">
        <v>20.8</v>
      </c>
      <c r="C161" s="33">
        <v>25.55</v>
      </c>
      <c r="D161" s="15">
        <v>-9.6107647955047805E-4</v>
      </c>
      <c r="E161" s="15">
        <v>-7.8247265338180503E-4</v>
      </c>
      <c r="F161" s="33">
        <v>0</v>
      </c>
      <c r="G161" s="33">
        <v>0.35699999999999998</v>
      </c>
      <c r="H161" s="33">
        <v>0</v>
      </c>
      <c r="I161" s="33">
        <v>0.35671799999999998</v>
      </c>
      <c r="J161" s="33">
        <v>0.35699999999999998</v>
      </c>
      <c r="K161" s="33">
        <v>0.35671799999999998</v>
      </c>
      <c r="L161" s="33">
        <v>21.157</v>
      </c>
      <c r="M161" s="33">
        <v>25.906718000000001</v>
      </c>
      <c r="N161" s="34">
        <v>1.2283653846153799</v>
      </c>
      <c r="O161" s="34">
        <v>1.2284375966208501</v>
      </c>
      <c r="P161" s="34">
        <v>1.22737849653594</v>
      </c>
      <c r="Q161" s="34">
        <v>1.2280597628660099</v>
      </c>
      <c r="R161" s="33">
        <v>25.551502009713801</v>
      </c>
      <c r="S161" s="33">
        <v>25.528561019694301</v>
      </c>
      <c r="T161" s="33">
        <v>25.5464919048224</v>
      </c>
      <c r="U161" s="15">
        <v>5.8785345054898202E-5</v>
      </c>
      <c r="V161" s="15">
        <v>-8.3945127414008895E-4</v>
      </c>
      <c r="W161" s="15">
        <v>-1.37312565002585E-4</v>
      </c>
      <c r="X161" s="34">
        <v>1.2244986529280999</v>
      </c>
      <c r="Y161" s="34">
        <v>1.2253439668366699</v>
      </c>
      <c r="Z161" s="34">
        <v>1.2235360196984899</v>
      </c>
      <c r="AA161" s="34">
        <v>1.2235969993600599</v>
      </c>
      <c r="AB161" s="33">
        <v>25.924602306363401</v>
      </c>
      <c r="AC161" s="33">
        <v>25.885455268718601</v>
      </c>
      <c r="AD161" s="33">
        <v>25.887909227748199</v>
      </c>
      <c r="AE161" s="15">
        <v>6.9009652725425801E-4</v>
      </c>
      <c r="AF161" s="15">
        <v>-8.2107898293988003E-4</v>
      </c>
      <c r="AG161" s="15">
        <v>-7.2628278588885895E-4</v>
      </c>
      <c r="AI161" s="12"/>
      <c r="AJ161">
        <f t="shared" si="46"/>
        <v>0</v>
      </c>
      <c r="AK161">
        <f t="shared" si="47"/>
        <v>0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1.2745962259532524E-2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1.2796250825109802E-2</v>
      </c>
      <c r="BE161" s="29">
        <f t="shared" si="62"/>
        <v>0</v>
      </c>
      <c r="BF161" s="29">
        <f t="shared" si="63"/>
        <v>2.5542213084642329E-2</v>
      </c>
      <c r="BH161" s="29"/>
    </row>
    <row r="162" spans="1:60" x14ac:dyDescent="0.25">
      <c r="A162" s="1">
        <v>46258</v>
      </c>
      <c r="B162" s="33">
        <v>20.77</v>
      </c>
      <c r="C162" s="33">
        <v>25.57</v>
      </c>
      <c r="D162" s="15">
        <v>-1.44334881925145E-3</v>
      </c>
      <c r="E162" s="15">
        <v>7.8247265338174399E-4</v>
      </c>
      <c r="F162" s="33">
        <v>5.5E-2</v>
      </c>
      <c r="G162" s="33">
        <v>0.41199999999999998</v>
      </c>
      <c r="H162" s="33">
        <v>0</v>
      </c>
      <c r="I162" s="33">
        <v>0.35671799999999998</v>
      </c>
      <c r="J162" s="33">
        <v>0.41199999999999998</v>
      </c>
      <c r="K162" s="33">
        <v>0.35671799999999998</v>
      </c>
      <c r="L162" s="33">
        <v>21.181999999999999</v>
      </c>
      <c r="M162" s="33">
        <v>25.926718000000001</v>
      </c>
      <c r="N162" s="34">
        <v>1.23110255175734</v>
      </c>
      <c r="O162" s="34">
        <v>1.2284375966208501</v>
      </c>
      <c r="P162" s="34">
        <v>1.2276960453776999</v>
      </c>
      <c r="Q162" s="34">
        <v>1.22819528639787</v>
      </c>
      <c r="R162" s="33">
        <v>25.514648881815098</v>
      </c>
      <c r="S162" s="33">
        <v>25.492651373051601</v>
      </c>
      <c r="T162" s="33">
        <v>25.506801274727099</v>
      </c>
      <c r="U162" s="15">
        <v>-2.16703612757817E-3</v>
      </c>
      <c r="V162" s="15">
        <v>-3.0295601199234602E-3</v>
      </c>
      <c r="W162" s="15">
        <v>-2.4746560453104902E-3</v>
      </c>
      <c r="X162" s="34">
        <v>1.2239976395052401</v>
      </c>
      <c r="Y162" s="34">
        <v>1.2253439668366699</v>
      </c>
      <c r="Z162" s="34">
        <v>1.22352828258755</v>
      </c>
      <c r="AA162" s="34">
        <v>1.2236915792040199</v>
      </c>
      <c r="AB162" s="33">
        <v>25.955235905534298</v>
      </c>
      <c r="AC162" s="33">
        <v>25.916939969253601</v>
      </c>
      <c r="AD162" s="33">
        <v>25.918231640444699</v>
      </c>
      <c r="AE162" s="15">
        <v>1.0993382577067399E-3</v>
      </c>
      <c r="AF162" s="15">
        <v>-3.7721222789210599E-4</v>
      </c>
      <c r="AG162" s="15">
        <v>-3.27374592505555E-4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1.2745962259532524E-2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1.2796250825109802E-2</v>
      </c>
      <c r="BE162" s="29">
        <f t="shared" si="62"/>
        <v>0</v>
      </c>
      <c r="BF162" s="29">
        <f t="shared" si="63"/>
        <v>2.5542213084642329E-2</v>
      </c>
      <c r="BH162" s="29"/>
    </row>
    <row r="163" spans="1:60" x14ac:dyDescent="0.25">
      <c r="A163" s="1">
        <v>46259</v>
      </c>
      <c r="B163" s="33">
        <v>20.77</v>
      </c>
      <c r="C163" s="33">
        <v>25.59</v>
      </c>
      <c r="D163" s="15">
        <v>0</v>
      </c>
      <c r="E163" s="15">
        <v>7.8186086860207395E-4</v>
      </c>
      <c r="F163" s="33">
        <v>0</v>
      </c>
      <c r="G163" s="33">
        <v>0.41199999999999998</v>
      </c>
      <c r="H163" s="33">
        <v>0</v>
      </c>
      <c r="I163" s="33">
        <v>0.35671799999999998</v>
      </c>
      <c r="J163" s="33">
        <v>0.41199999999999998</v>
      </c>
      <c r="K163" s="33">
        <v>0.35671799999999998</v>
      </c>
      <c r="L163" s="33">
        <v>21.181999999999999</v>
      </c>
      <c r="M163" s="33">
        <v>25.946718000000001</v>
      </c>
      <c r="N163" s="34">
        <v>1.2320654790563299</v>
      </c>
      <c r="O163" s="34">
        <v>1.2284375966208501</v>
      </c>
      <c r="P163" s="34">
        <v>1.2280619023044499</v>
      </c>
      <c r="Q163" s="34">
        <v>1.22834725851848</v>
      </c>
      <c r="R163" s="33">
        <v>25.514648881815098</v>
      </c>
      <c r="S163" s="33">
        <v>25.499246862494999</v>
      </c>
      <c r="T163" s="33">
        <v>25.5096160984838</v>
      </c>
      <c r="U163" s="15">
        <v>-2.94889699618032E-3</v>
      </c>
      <c r="V163" s="15">
        <v>-3.5527332475948099E-3</v>
      </c>
      <c r="W163" s="15">
        <v>-3.1461671910420798E-3</v>
      </c>
      <c r="X163" s="34">
        <v>1.2249418374091201</v>
      </c>
      <c r="Y163" s="34">
        <v>1.2253439668366699</v>
      </c>
      <c r="Z163" s="34">
        <v>1.22356778877975</v>
      </c>
      <c r="AA163" s="34">
        <v>1.2238017606132701</v>
      </c>
      <c r="AB163" s="33">
        <v>25.955235905534298</v>
      </c>
      <c r="AC163" s="33">
        <v>25.916776081769498</v>
      </c>
      <c r="AD163" s="33">
        <v>25.920235030699601</v>
      </c>
      <c r="AE163" s="15">
        <v>3.2823063371922103E-4</v>
      </c>
      <c r="AF163" s="15">
        <v>-1.15464343801442E-3</v>
      </c>
      <c r="AG163" s="15">
        <v>-1.0211886395586501E-3</v>
      </c>
      <c r="AI163" s="12"/>
      <c r="AJ163">
        <f t="shared" si="46"/>
        <v>1</v>
      </c>
      <c r="AK163">
        <f t="shared" si="47"/>
        <v>0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1.2745962259532524E-2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1.2796250825109802E-2</v>
      </c>
      <c r="BE163" s="29">
        <f t="shared" si="62"/>
        <v>0</v>
      </c>
      <c r="BF163" s="29">
        <f t="shared" si="63"/>
        <v>2.5542213084642329E-2</v>
      </c>
      <c r="BH163" s="29"/>
    </row>
    <row r="164" spans="1:60" x14ac:dyDescent="0.25">
      <c r="A164" s="1">
        <v>46260</v>
      </c>
      <c r="B164" s="33">
        <v>20.77</v>
      </c>
      <c r="C164" s="33">
        <v>25.57</v>
      </c>
      <c r="D164" s="15">
        <v>0</v>
      </c>
      <c r="E164" s="15">
        <v>-7.8186086860216101E-4</v>
      </c>
      <c r="F164" s="33">
        <v>0</v>
      </c>
      <c r="G164" s="33">
        <v>0.41199999999999998</v>
      </c>
      <c r="H164" s="33">
        <v>0</v>
      </c>
      <c r="I164" s="33">
        <v>0.35671799999999998</v>
      </c>
      <c r="J164" s="33">
        <v>0.41199999999999998</v>
      </c>
      <c r="K164" s="33">
        <v>0.35671799999999998</v>
      </c>
      <c r="L164" s="33">
        <v>21.181999999999999</v>
      </c>
      <c r="M164" s="33">
        <v>25.926718000000001</v>
      </c>
      <c r="N164" s="34">
        <v>1.23110255175734</v>
      </c>
      <c r="O164" s="34">
        <v>1.2284375966208501</v>
      </c>
      <c r="P164" s="34">
        <v>1.2284971814495</v>
      </c>
      <c r="Q164" s="34">
        <v>1.2283862103458401</v>
      </c>
      <c r="R164" s="33">
        <v>25.514648881815098</v>
      </c>
      <c r="S164" s="33">
        <v>25.506845710863502</v>
      </c>
      <c r="T164" s="33">
        <v>25.5127725594288</v>
      </c>
      <c r="U164" s="15">
        <v>-2.16703612757817E-3</v>
      </c>
      <c r="V164" s="15">
        <v>-2.47291391790073E-3</v>
      </c>
      <c r="W164" s="15">
        <v>-2.24057785609061E-3</v>
      </c>
      <c r="X164" s="34">
        <v>1.2239976395052401</v>
      </c>
      <c r="Y164" s="34">
        <v>1.2253439668366699</v>
      </c>
      <c r="Z164" s="34">
        <v>1.2236754379166801</v>
      </c>
      <c r="AA164" s="34">
        <v>1.2238014052505199</v>
      </c>
      <c r="AB164" s="33">
        <v>25.955235905534298</v>
      </c>
      <c r="AC164" s="33">
        <v>25.917612901932699</v>
      </c>
      <c r="AD164" s="33">
        <v>25.922568893310402</v>
      </c>
      <c r="AE164" s="15">
        <v>1.0993382577067399E-3</v>
      </c>
      <c r="AF164" s="15">
        <v>-3.5124759071797498E-4</v>
      </c>
      <c r="AG164" s="15">
        <v>-1.6004488960124301E-4</v>
      </c>
      <c r="AI164" s="12"/>
      <c r="AJ164">
        <f t="shared" si="46"/>
        <v>0</v>
      </c>
      <c r="AK164">
        <f t="shared" si="47"/>
        <v>1</v>
      </c>
      <c r="AL164">
        <f t="shared" si="54"/>
        <v>1</v>
      </c>
      <c r="AM164">
        <f t="shared" si="44"/>
        <v>1</v>
      </c>
      <c r="AN164">
        <f t="shared" si="55"/>
        <v>1</v>
      </c>
      <c r="AO164" s="28">
        <f t="shared" si="48"/>
        <v>0</v>
      </c>
      <c r="AP164" s="28">
        <f t="shared" si="49"/>
        <v>7.8186086860216101E-4</v>
      </c>
      <c r="AQ164" s="28">
        <f t="shared" si="56"/>
        <v>7.8186086860216101E-4</v>
      </c>
      <c r="AR164" s="29">
        <f t="shared" si="57"/>
        <v>1.3527823128134685E-2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1.2796250825109802E-2</v>
      </c>
      <c r="BE164" s="29">
        <f t="shared" si="62"/>
        <v>7.8186086860216101E-4</v>
      </c>
      <c r="BF164" s="29">
        <f t="shared" si="63"/>
        <v>2.632407395324449E-2</v>
      </c>
      <c r="BH164" s="29"/>
    </row>
    <row r="165" spans="1:60" x14ac:dyDescent="0.25">
      <c r="A165" s="1">
        <v>46261</v>
      </c>
      <c r="B165" s="33">
        <v>20.73</v>
      </c>
      <c r="C165" s="33">
        <v>25.55</v>
      </c>
      <c r="D165" s="15">
        <v>-1.9277114403326401E-3</v>
      </c>
      <c r="E165" s="15">
        <v>-7.8247265338180503E-4</v>
      </c>
      <c r="F165" s="33">
        <v>0</v>
      </c>
      <c r="G165" s="33">
        <v>0.41199999999999998</v>
      </c>
      <c r="H165" s="33">
        <v>0</v>
      </c>
      <c r="I165" s="33">
        <v>0.35671799999999998</v>
      </c>
      <c r="J165" s="33">
        <v>0.41199999999999998</v>
      </c>
      <c r="K165" s="33">
        <v>0.35671799999999998</v>
      </c>
      <c r="L165" s="33">
        <v>21.141999999999999</v>
      </c>
      <c r="M165" s="33">
        <v>25.906718000000001</v>
      </c>
      <c r="N165" s="34">
        <v>1.23251326579836</v>
      </c>
      <c r="O165" s="34">
        <v>1.2284375966208501</v>
      </c>
      <c r="P165" s="34">
        <v>1.22905822559755</v>
      </c>
      <c r="Q165" s="34">
        <v>1.22840645777502</v>
      </c>
      <c r="R165" s="33">
        <v>25.4655113779503</v>
      </c>
      <c r="S165" s="33">
        <v>25.466746571448301</v>
      </c>
      <c r="T165" s="33">
        <v>25.464446140469398</v>
      </c>
      <c r="U165" s="15">
        <v>-3.3122749145291001E-3</v>
      </c>
      <c r="V165" s="15">
        <v>-3.2637715279546699E-3</v>
      </c>
      <c r="W165" s="15">
        <v>-3.3541063839825302E-3</v>
      </c>
      <c r="X165" s="34">
        <v>1.22536742030082</v>
      </c>
      <c r="Y165" s="34">
        <v>1.2253439668366699</v>
      </c>
      <c r="Z165" s="34">
        <v>1.22390447532964</v>
      </c>
      <c r="AA165" s="34">
        <v>1.22378226378755</v>
      </c>
      <c r="AB165" s="33">
        <v>25.906222146860902</v>
      </c>
      <c r="AC165" s="33">
        <v>25.870946108434499</v>
      </c>
      <c r="AD165" s="33">
        <v>25.8736093098066</v>
      </c>
      <c r="AE165" s="15">
        <v>-1.9140127455001E-5</v>
      </c>
      <c r="AF165" s="15">
        <v>-1.38175013773944E-3</v>
      </c>
      <c r="AG165" s="15">
        <v>-1.2788136508822901E-3</v>
      </c>
      <c r="AI165" s="12"/>
      <c r="AJ165">
        <f t="shared" si="46"/>
        <v>1</v>
      </c>
      <c r="AK165">
        <f t="shared" si="47"/>
        <v>0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1.3527823128134685E-2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1.2796250825109802E-2</v>
      </c>
      <c r="BE165" s="29">
        <f t="shared" si="62"/>
        <v>0</v>
      </c>
      <c r="BF165" s="29">
        <f t="shared" si="63"/>
        <v>2.632407395324449E-2</v>
      </c>
      <c r="BH165" s="29"/>
    </row>
    <row r="166" spans="1:60" x14ac:dyDescent="0.25">
      <c r="A166" s="1">
        <v>46262</v>
      </c>
      <c r="B166" s="33">
        <v>20.73</v>
      </c>
      <c r="C166" s="33">
        <v>25.51</v>
      </c>
      <c r="D166" s="15">
        <v>0</v>
      </c>
      <c r="E166" s="15">
        <v>-1.5667844959933899E-3</v>
      </c>
      <c r="F166" s="33">
        <v>0</v>
      </c>
      <c r="G166" s="33">
        <v>0.41199999999999998</v>
      </c>
      <c r="H166" s="33">
        <v>0</v>
      </c>
      <c r="I166" s="33">
        <v>0.35671799999999998</v>
      </c>
      <c r="J166" s="33">
        <v>0.41199999999999998</v>
      </c>
      <c r="K166" s="33">
        <v>0.35671799999999998</v>
      </c>
      <c r="L166" s="33">
        <v>21.141999999999999</v>
      </c>
      <c r="M166" s="33">
        <v>25.866717999999999</v>
      </c>
      <c r="N166" s="34">
        <v>1.2305836951278299</v>
      </c>
      <c r="O166" s="34">
        <v>1.2284375966208501</v>
      </c>
      <c r="P166" s="34">
        <v>1.2295699220610301</v>
      </c>
      <c r="Q166" s="34">
        <v>1.22843805799035</v>
      </c>
      <c r="R166" s="33">
        <v>25.4655113779503</v>
      </c>
      <c r="S166" s="33">
        <v>25.478377016637399</v>
      </c>
      <c r="T166" s="33">
        <v>25.464865869676299</v>
      </c>
      <c r="U166" s="15">
        <v>-1.74549041853569E-3</v>
      </c>
      <c r="V166" s="15">
        <v>-1.24039984276631E-3</v>
      </c>
      <c r="W166" s="15">
        <v>-1.77083907326394E-3</v>
      </c>
      <c r="X166" s="34">
        <v>1.2234754517074999</v>
      </c>
      <c r="Y166" s="34">
        <v>1.2253439668366699</v>
      </c>
      <c r="Z166" s="34">
        <v>1.2240855122874701</v>
      </c>
      <c r="AA166" s="34">
        <v>1.22377422509876</v>
      </c>
      <c r="AB166" s="33">
        <v>25.906222146860902</v>
      </c>
      <c r="AC166" s="33">
        <v>25.875788417419301</v>
      </c>
      <c r="AD166" s="33">
        <v>25.8732046209964</v>
      </c>
      <c r="AE166" s="15">
        <v>1.5260541284854599E-3</v>
      </c>
      <c r="AF166" s="15">
        <v>3.5059830457820302E-4</v>
      </c>
      <c r="AG166" s="15">
        <v>2.50739494834745E-4</v>
      </c>
      <c r="AI166" s="12"/>
      <c r="AJ166">
        <f t="shared" si="46"/>
        <v>0</v>
      </c>
      <c r="AK166">
        <f t="shared" si="47"/>
        <v>1</v>
      </c>
      <c r="AL166">
        <f t="shared" si="54"/>
        <v>1</v>
      </c>
      <c r="AM166">
        <f t="shared" si="44"/>
        <v>1</v>
      </c>
      <c r="AN166">
        <f t="shared" si="55"/>
        <v>1</v>
      </c>
      <c r="AO166" s="28">
        <f t="shared" si="48"/>
        <v>0</v>
      </c>
      <c r="AP166" s="28">
        <f t="shared" si="49"/>
        <v>1.5667844959933899E-3</v>
      </c>
      <c r="AQ166" s="28">
        <f t="shared" si="56"/>
        <v>1.5667844959933899E-3</v>
      </c>
      <c r="AR166" s="29">
        <f t="shared" si="57"/>
        <v>1.5094607624128075E-2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1.2796250825109802E-2</v>
      </c>
      <c r="BE166" s="29">
        <f t="shared" si="62"/>
        <v>1.5667844959933899E-3</v>
      </c>
      <c r="BF166" s="29">
        <f t="shared" si="63"/>
        <v>2.7890858449237881E-2</v>
      </c>
      <c r="BH166" s="29"/>
    </row>
    <row r="167" spans="1:60" x14ac:dyDescent="0.25">
      <c r="A167" s="1">
        <v>46265</v>
      </c>
      <c r="B167" s="33">
        <v>20.69</v>
      </c>
      <c r="C167" s="33">
        <v>25.49</v>
      </c>
      <c r="D167" s="15">
        <v>-1.9314346902365399E-3</v>
      </c>
      <c r="E167" s="15">
        <v>-7.8431376569610604E-4</v>
      </c>
      <c r="F167" s="33">
        <v>0</v>
      </c>
      <c r="G167" s="33">
        <v>0.41199999999999998</v>
      </c>
      <c r="H167" s="33">
        <v>0</v>
      </c>
      <c r="I167" s="33">
        <v>0.35671799999999998</v>
      </c>
      <c r="J167" s="33">
        <v>0.41199999999999998</v>
      </c>
      <c r="K167" s="33">
        <v>0.35671799999999998</v>
      </c>
      <c r="L167" s="33">
        <v>21.102</v>
      </c>
      <c r="M167" s="33">
        <v>25.846717999999999</v>
      </c>
      <c r="N167" s="34">
        <v>1.23199613339777</v>
      </c>
      <c r="O167" s="34">
        <v>1.2284375966208501</v>
      </c>
      <c r="P167" s="34">
        <v>1.2301207830015799</v>
      </c>
      <c r="Q167" s="34">
        <v>1.22865888683961</v>
      </c>
      <c r="R167" s="33">
        <v>25.416373874085501</v>
      </c>
      <c r="S167" s="33">
        <v>25.439801687442799</v>
      </c>
      <c r="T167" s="33">
        <v>25.416383419820502</v>
      </c>
      <c r="U167" s="15">
        <v>-2.8926113430762499E-3</v>
      </c>
      <c r="V167" s="15">
        <v>-1.97127525140564E-3</v>
      </c>
      <c r="W167" s="15">
        <v>-2.89223576891831E-3</v>
      </c>
      <c r="X167" s="34">
        <v>1.2248468391621601</v>
      </c>
      <c r="Y167" s="34">
        <v>1.2253439668366699</v>
      </c>
      <c r="Z167" s="34">
        <v>1.22430422460393</v>
      </c>
      <c r="AA167" s="34">
        <v>1.2238308107882101</v>
      </c>
      <c r="AB167" s="33">
        <v>25.857208388187399</v>
      </c>
      <c r="AC167" s="33">
        <v>25.830652480290201</v>
      </c>
      <c r="AD167" s="33">
        <v>25.824083698034102</v>
      </c>
      <c r="AE167" s="15">
        <v>4.05786912685414E-4</v>
      </c>
      <c r="AF167" s="15">
        <v>-6.2176229471474099E-4</v>
      </c>
      <c r="AG167" s="15">
        <v>-8.7609646724125603E-4</v>
      </c>
      <c r="AI167" s="12"/>
      <c r="AJ167">
        <f t="shared" si="46"/>
        <v>0</v>
      </c>
      <c r="AK167">
        <f t="shared" si="47"/>
        <v>0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1.5094607624128075E-2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1.2796250825109802E-2</v>
      </c>
      <c r="BE167" s="29">
        <f t="shared" si="62"/>
        <v>0</v>
      </c>
      <c r="BF167" s="29">
        <f t="shared" si="63"/>
        <v>2.7890858449237881E-2</v>
      </c>
      <c r="BH167" s="29"/>
    </row>
    <row r="168" spans="1:60" x14ac:dyDescent="0.25">
      <c r="A168" s="1">
        <v>46266</v>
      </c>
      <c r="B168" s="33">
        <v>20.63</v>
      </c>
      <c r="C168" s="33">
        <v>25.39</v>
      </c>
      <c r="D168" s="15">
        <v>-2.90416467429136E-3</v>
      </c>
      <c r="E168" s="15">
        <v>-3.9308226714369196E-3</v>
      </c>
      <c r="F168" s="33">
        <v>0</v>
      </c>
      <c r="G168" s="33">
        <v>0.41199999999999998</v>
      </c>
      <c r="H168" s="33">
        <v>5.4399999999999997E-2</v>
      </c>
      <c r="I168" s="33">
        <v>0.41111799999999998</v>
      </c>
      <c r="J168" s="33">
        <v>0.41199999999999998</v>
      </c>
      <c r="K168" s="33">
        <v>0.41111799999999998</v>
      </c>
      <c r="L168" s="33">
        <v>21.041999999999899</v>
      </c>
      <c r="M168" s="33">
        <v>25.801117999999999</v>
      </c>
      <c r="N168" s="34">
        <v>1.2307319437712001</v>
      </c>
      <c r="O168" s="34">
        <v>1.2284375966208501</v>
      </c>
      <c r="P168" s="34">
        <v>1.2303574389171601</v>
      </c>
      <c r="Q168" s="34">
        <v>1.22892144556663</v>
      </c>
      <c r="R168" s="33">
        <v>25.3426676182882</v>
      </c>
      <c r="S168" s="33">
        <v>25.377391753322598</v>
      </c>
      <c r="T168" s="33">
        <v>25.347232835501099</v>
      </c>
      <c r="U168" s="15">
        <v>-1.86595334593059E-3</v>
      </c>
      <c r="V168" s="15">
        <v>-4.96706507903748E-4</v>
      </c>
      <c r="W168" s="15">
        <v>-1.6858300004757101E-3</v>
      </c>
      <c r="X168" s="34">
        <v>1.2261723220226199</v>
      </c>
      <c r="Y168" s="34">
        <v>1.2253439668366699</v>
      </c>
      <c r="Z168" s="34">
        <v>1.2244715915133799</v>
      </c>
      <c r="AA168" s="34">
        <v>1.2240562912841</v>
      </c>
      <c r="AB168" s="33">
        <v>25.783687750177201</v>
      </c>
      <c r="AC168" s="33">
        <v>25.761809494115901</v>
      </c>
      <c r="AD168" s="33">
        <v>25.751847920605499</v>
      </c>
      <c r="AE168" s="15">
        <v>-6.7579009875638296E-4</v>
      </c>
      <c r="AF168" s="15">
        <v>-1.52468121610796E-3</v>
      </c>
      <c r="AG168" s="15">
        <v>-1.9114358801938999E-3</v>
      </c>
      <c r="AI168" s="12"/>
      <c r="AJ168">
        <f t="shared" si="46"/>
        <v>1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1.5094607624128075E-2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1.2796250825109802E-2</v>
      </c>
      <c r="BE168" s="29">
        <f t="shared" si="62"/>
        <v>0</v>
      </c>
      <c r="BF168" s="29">
        <f t="shared" si="63"/>
        <v>2.7890858449237881E-2</v>
      </c>
      <c r="BH168" s="29"/>
    </row>
    <row r="169" spans="1:60" x14ac:dyDescent="0.25">
      <c r="A169" s="1">
        <v>46267</v>
      </c>
      <c r="B169" s="33">
        <v>20.6</v>
      </c>
      <c r="C169" s="33">
        <v>25.38</v>
      </c>
      <c r="D169" s="15">
        <v>-1.4552512876249799E-3</v>
      </c>
      <c r="E169" s="15">
        <v>-3.9393343034550501E-4</v>
      </c>
      <c r="F169" s="33">
        <v>0</v>
      </c>
      <c r="G169" s="33">
        <v>0.41199999999999998</v>
      </c>
      <c r="H169" s="33">
        <v>0</v>
      </c>
      <c r="I169" s="33">
        <v>0.41111799999999998</v>
      </c>
      <c r="J169" s="33">
        <v>0.41199999999999998</v>
      </c>
      <c r="K169" s="33">
        <v>0.41111799999999998</v>
      </c>
      <c r="L169" s="33">
        <v>21.012</v>
      </c>
      <c r="M169" s="33">
        <v>25.791117999999901</v>
      </c>
      <c r="N169" s="34">
        <v>1.2320388349514499</v>
      </c>
      <c r="O169" s="34">
        <v>1.2284375966208501</v>
      </c>
      <c r="P169" s="34">
        <v>1.2308645853681599</v>
      </c>
      <c r="Q169" s="34">
        <v>1.2290810796218901</v>
      </c>
      <c r="R169" s="33">
        <v>25.305814490389601</v>
      </c>
      <c r="S169" s="33">
        <v>25.345363241693502</v>
      </c>
      <c r="T169" s="33">
        <v>25.315781778672601</v>
      </c>
      <c r="U169" s="15">
        <v>-2.9272712032099202E-3</v>
      </c>
      <c r="V169" s="15">
        <v>-1.36565857693613E-3</v>
      </c>
      <c r="W169" s="15">
        <v>-2.53347530792329E-3</v>
      </c>
      <c r="X169" s="34">
        <v>1.22744707786027</v>
      </c>
      <c r="Y169" s="34">
        <v>1.2253439668366699</v>
      </c>
      <c r="Z169" s="34">
        <v>1.22490315121241</v>
      </c>
      <c r="AA169" s="34">
        <v>1.22418007969051</v>
      </c>
      <c r="AB169" s="33">
        <v>25.7469274311721</v>
      </c>
      <c r="AC169" s="33">
        <v>25.728597080879201</v>
      </c>
      <c r="AD169" s="33">
        <v>25.719870792461499</v>
      </c>
      <c r="AE169" s="15">
        <v>-1.7148721604688499E-3</v>
      </c>
      <c r="AF169" s="15">
        <v>-2.4270689274349601E-3</v>
      </c>
      <c r="AG169" s="15">
        <v>-2.7662933538191198E-3</v>
      </c>
      <c r="AI169" s="12"/>
      <c r="AJ169">
        <f t="shared" si="46"/>
        <v>1</v>
      </c>
      <c r="AK169">
        <f t="shared" si="47"/>
        <v>0</v>
      </c>
      <c r="AL169">
        <f t="shared" si="54"/>
        <v>1</v>
      </c>
      <c r="AM169">
        <f t="shared" si="44"/>
        <v>1</v>
      </c>
      <c r="AN169">
        <f t="shared" si="55"/>
        <v>1</v>
      </c>
      <c r="AO169" s="28">
        <f t="shared" si="48"/>
        <v>-1.4552512876249799E-3</v>
      </c>
      <c r="AP169" s="28">
        <f t="shared" si="49"/>
        <v>3.9393343034550501E-4</v>
      </c>
      <c r="AQ169" s="28">
        <f t="shared" si="56"/>
        <v>-1.0613178572794748E-3</v>
      </c>
      <c r="AR169" s="29">
        <f t="shared" si="57"/>
        <v>1.4033289766848599E-2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1.2796250825109802E-2</v>
      </c>
      <c r="BE169" s="29">
        <f t="shared" si="62"/>
        <v>-1.0613178572794748E-3</v>
      </c>
      <c r="BF169" s="29">
        <f t="shared" si="63"/>
        <v>2.6829540591958405E-2</v>
      </c>
      <c r="BH169" s="29"/>
    </row>
    <row r="170" spans="1:60" x14ac:dyDescent="0.25">
      <c r="A170" s="1">
        <v>46268</v>
      </c>
      <c r="B170" s="33">
        <v>20.58</v>
      </c>
      <c r="C170" s="33">
        <v>25.36</v>
      </c>
      <c r="D170" s="15">
        <v>-9.7134538963200296E-4</v>
      </c>
      <c r="E170" s="15">
        <v>-7.8833271721642903E-4</v>
      </c>
      <c r="F170" s="33">
        <v>0</v>
      </c>
      <c r="G170" s="33">
        <v>0.41199999999999998</v>
      </c>
      <c r="H170" s="33">
        <v>0</v>
      </c>
      <c r="I170" s="33">
        <v>0.41111799999999998</v>
      </c>
      <c r="J170" s="33">
        <v>0.41199999999999998</v>
      </c>
      <c r="K170" s="33">
        <v>0.41111799999999998</v>
      </c>
      <c r="L170" s="33">
        <v>20.991999999999901</v>
      </c>
      <c r="M170" s="33">
        <v>25.771117999999898</v>
      </c>
      <c r="N170" s="34">
        <v>1.23226433430515</v>
      </c>
      <c r="O170" s="34">
        <v>1.2284375966208501</v>
      </c>
      <c r="P170" s="34">
        <v>1.23127641745381</v>
      </c>
      <c r="Q170" s="34">
        <v>1.2293055409311</v>
      </c>
      <c r="R170" s="33">
        <v>25.281245738457201</v>
      </c>
      <c r="S170" s="33">
        <v>25.331193166876801</v>
      </c>
      <c r="T170" s="33">
        <v>25.294488618618601</v>
      </c>
      <c r="U170" s="15">
        <v>-3.1102838756255002E-3</v>
      </c>
      <c r="V170" s="15">
        <v>-1.1365617743239E-3</v>
      </c>
      <c r="W170" s="15">
        <v>-2.5865987277007801E-3</v>
      </c>
      <c r="X170" s="34">
        <v>1.2276637766768199</v>
      </c>
      <c r="Y170" s="34">
        <v>1.2253439668366699</v>
      </c>
      <c r="Z170" s="34">
        <v>1.22524086570779</v>
      </c>
      <c r="AA170" s="34">
        <v>1.22436726058747</v>
      </c>
      <c r="AB170" s="33">
        <v>25.722420551835398</v>
      </c>
      <c r="AC170" s="33">
        <v>25.713166950251001</v>
      </c>
      <c r="AD170" s="33">
        <v>25.697988232863299</v>
      </c>
      <c r="AE170" s="15">
        <v>-1.8914009039439599E-3</v>
      </c>
      <c r="AF170" s="15">
        <v>-2.25121410462986E-3</v>
      </c>
      <c r="AG170" s="15">
        <v>-2.8416975425033099E-3</v>
      </c>
      <c r="AI170" s="12"/>
      <c r="AJ170">
        <f t="shared" si="46"/>
        <v>1</v>
      </c>
      <c r="AK170">
        <f t="shared" si="47"/>
        <v>0</v>
      </c>
      <c r="AL170">
        <f t="shared" si="54"/>
        <v>1</v>
      </c>
      <c r="AM170">
        <f t="shared" si="44"/>
        <v>1</v>
      </c>
      <c r="AN170">
        <f t="shared" si="55"/>
        <v>1</v>
      </c>
      <c r="AO170" s="28">
        <f t="shared" si="48"/>
        <v>-9.7134538963200296E-4</v>
      </c>
      <c r="AP170" s="28">
        <f t="shared" si="49"/>
        <v>7.8833271721642903E-4</v>
      </c>
      <c r="AQ170" s="28">
        <f t="shared" si="56"/>
        <v>-1.8301267241557393E-4</v>
      </c>
      <c r="AR170" s="29">
        <f t="shared" si="57"/>
        <v>1.3850277094433025E-2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1.2796250825109802E-2</v>
      </c>
      <c r="BE170" s="29">
        <f t="shared" si="62"/>
        <v>-1.8301267241557393E-4</v>
      </c>
      <c r="BF170" s="29">
        <f t="shared" si="63"/>
        <v>2.664652791954283E-2</v>
      </c>
      <c r="BH170" s="29"/>
    </row>
    <row r="171" spans="1:60" x14ac:dyDescent="0.25">
      <c r="A171" s="1">
        <v>46269</v>
      </c>
      <c r="B171" s="33">
        <v>20.63</v>
      </c>
      <c r="C171" s="33">
        <v>25.37</v>
      </c>
      <c r="D171" s="15">
        <v>2.4265966772569801E-3</v>
      </c>
      <c r="E171" s="15">
        <v>3.9424404216544001E-4</v>
      </c>
      <c r="F171" s="33">
        <v>0</v>
      </c>
      <c r="G171" s="33">
        <v>0.41199999999999998</v>
      </c>
      <c r="H171" s="33">
        <v>0</v>
      </c>
      <c r="I171" s="33">
        <v>0.41111799999999998</v>
      </c>
      <c r="J171" s="33">
        <v>0.41199999999999998</v>
      </c>
      <c r="K171" s="33">
        <v>0.41111799999999998</v>
      </c>
      <c r="L171" s="33">
        <v>21.041999999999899</v>
      </c>
      <c r="M171" s="33">
        <v>25.781117999999999</v>
      </c>
      <c r="N171" s="34">
        <v>1.2297624818225801</v>
      </c>
      <c r="O171" s="34">
        <v>1.2284375966208501</v>
      </c>
      <c r="P171" s="34">
        <v>1.2314161271745301</v>
      </c>
      <c r="Q171" s="34">
        <v>1.2293973118552399</v>
      </c>
      <c r="R171" s="33">
        <v>25.3426676182882</v>
      </c>
      <c r="S171" s="33">
        <v>25.4012324920722</v>
      </c>
      <c r="T171" s="33">
        <v>25.360573309408601</v>
      </c>
      <c r="U171" s="15">
        <v>-1.07793124053403E-3</v>
      </c>
      <c r="V171" s="15">
        <v>1.23032254601473E-3</v>
      </c>
      <c r="W171" s="15">
        <v>-3.71637459817514E-4</v>
      </c>
      <c r="X171" s="34">
        <v>1.2252218420302201</v>
      </c>
      <c r="Y171" s="34">
        <v>1.2253439668366699</v>
      </c>
      <c r="Z171" s="34">
        <v>1.2253131846180001</v>
      </c>
      <c r="AA171" s="34">
        <v>1.2244246021582501</v>
      </c>
      <c r="AB171" s="33">
        <v>25.783687750177201</v>
      </c>
      <c r="AC171" s="33">
        <v>25.7815182962233</v>
      </c>
      <c r="AD171" s="33">
        <v>25.7631358972816</v>
      </c>
      <c r="AE171" s="15">
        <v>9.9670701439645394E-5</v>
      </c>
      <c r="AF171" s="15">
        <v>1.5526600349609801E-5</v>
      </c>
      <c r="AG171" s="15">
        <v>-6.97734551893682E-4</v>
      </c>
      <c r="AI171" s="12"/>
      <c r="AJ171">
        <f t="shared" si="46"/>
        <v>0</v>
      </c>
      <c r="AK171">
        <f t="shared" si="47"/>
        <v>0</v>
      </c>
      <c r="AL171">
        <f t="shared" si="54"/>
        <v>1</v>
      </c>
      <c r="AM171">
        <f t="shared" si="44"/>
        <v>1</v>
      </c>
      <c r="AN171">
        <f t="shared" si="55"/>
        <v>1</v>
      </c>
      <c r="AO171" s="28">
        <f t="shared" si="48"/>
        <v>2.4265966772569801E-3</v>
      </c>
      <c r="AP171" s="28">
        <f t="shared" si="49"/>
        <v>-3.9424404216544001E-4</v>
      </c>
      <c r="AQ171" s="28">
        <f t="shared" si="56"/>
        <v>2.03235263509154E-3</v>
      </c>
      <c r="AR171" s="29">
        <f t="shared" si="57"/>
        <v>1.5882629729524565E-2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1.2796250825109802E-2</v>
      </c>
      <c r="BE171" s="29">
        <f t="shared" si="62"/>
        <v>2.03235263509154E-3</v>
      </c>
      <c r="BF171" s="29">
        <f t="shared" si="63"/>
        <v>2.867888055463437E-2</v>
      </c>
      <c r="BH171" s="29"/>
    </row>
    <row r="172" spans="1:60" x14ac:dyDescent="0.25">
      <c r="A172" s="1">
        <v>46273</v>
      </c>
      <c r="B172" s="33">
        <v>20.55</v>
      </c>
      <c r="C172" s="33">
        <v>25.33</v>
      </c>
      <c r="D172" s="15">
        <v>-3.8853861409167498E-3</v>
      </c>
      <c r="E172" s="15">
        <v>-1.57790959760678E-3</v>
      </c>
      <c r="F172" s="33">
        <v>0</v>
      </c>
      <c r="G172" s="33">
        <v>0.41199999999999998</v>
      </c>
      <c r="H172" s="33">
        <v>0</v>
      </c>
      <c r="I172" s="33">
        <v>0.41111799999999998</v>
      </c>
      <c r="J172" s="33">
        <v>0.41199999999999998</v>
      </c>
      <c r="K172" s="33">
        <v>0.41111799999999998</v>
      </c>
      <c r="L172" s="33">
        <v>20.962</v>
      </c>
      <c r="M172" s="33">
        <v>25.741117999999901</v>
      </c>
      <c r="N172" s="34">
        <v>1.23260340632603</v>
      </c>
      <c r="O172" s="34">
        <v>1.2284375966208501</v>
      </c>
      <c r="P172" s="34">
        <v>1.2315662126314</v>
      </c>
      <c r="Q172" s="34">
        <v>1.2296311290045501</v>
      </c>
      <c r="R172" s="33">
        <v>25.244392610558499</v>
      </c>
      <c r="S172" s="33">
        <v>25.305601413436701</v>
      </c>
      <c r="T172" s="33">
        <v>25.264114758625201</v>
      </c>
      <c r="U172" s="15">
        <v>-3.3854077838439802E-3</v>
      </c>
      <c r="V172" s="15">
        <v>-9.6369304483104605E-4</v>
      </c>
      <c r="W172" s="15">
        <v>-2.6044641331104301E-3</v>
      </c>
      <c r="X172" s="34">
        <v>1.2279896002289801</v>
      </c>
      <c r="Y172" s="34">
        <v>1.2253439668366699</v>
      </c>
      <c r="Z172" s="34">
        <v>1.22571238069037</v>
      </c>
      <c r="AA172" s="34">
        <v>1.2246203316389599</v>
      </c>
      <c r="AB172" s="33">
        <v>25.685660232830301</v>
      </c>
      <c r="AC172" s="33">
        <v>25.685014975962599</v>
      </c>
      <c r="AD172" s="33">
        <v>25.666388510441202</v>
      </c>
      <c r="AE172" s="15">
        <v>-2.15676698299452E-3</v>
      </c>
      <c r="AF172" s="15">
        <v>-2.1818885865208799E-3</v>
      </c>
      <c r="AG172" s="15">
        <v>-2.9073396968551501E-3</v>
      </c>
      <c r="AI172" s="12"/>
      <c r="AJ172">
        <f t="shared" si="46"/>
        <v>1</v>
      </c>
      <c r="AK172">
        <f t="shared" si="47"/>
        <v>0</v>
      </c>
      <c r="AL172">
        <f t="shared" si="54"/>
        <v>1</v>
      </c>
      <c r="AM172">
        <f t="shared" si="44"/>
        <v>1</v>
      </c>
      <c r="AN172">
        <f t="shared" si="55"/>
        <v>1</v>
      </c>
      <c r="AO172" s="28">
        <f t="shared" si="48"/>
        <v>-3.8853861409167498E-3</v>
      </c>
      <c r="AP172" s="28">
        <f t="shared" si="49"/>
        <v>1.57790959760678E-3</v>
      </c>
      <c r="AQ172" s="28">
        <f t="shared" si="56"/>
        <v>-2.3074765433099701E-3</v>
      </c>
      <c r="AR172" s="29">
        <f t="shared" si="57"/>
        <v>1.3575153186214595E-2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1.2796250825109802E-2</v>
      </c>
      <c r="BE172" s="29">
        <f t="shared" si="62"/>
        <v>-2.3074765433099701E-3</v>
      </c>
      <c r="BF172" s="29">
        <f t="shared" si="63"/>
        <v>2.6371404011324401E-2</v>
      </c>
      <c r="BH172" s="29"/>
    </row>
    <row r="173" spans="1:60" x14ac:dyDescent="0.25">
      <c r="A173" s="1">
        <v>46274</v>
      </c>
      <c r="B173" s="33">
        <v>20.46</v>
      </c>
      <c r="C173" s="33">
        <v>25.26</v>
      </c>
      <c r="D173" s="15">
        <v>-4.3891804187631998E-3</v>
      </c>
      <c r="E173" s="15">
        <v>-2.7673470912386502E-3</v>
      </c>
      <c r="F173" s="33">
        <v>0</v>
      </c>
      <c r="G173" s="33">
        <v>0.41199999999999998</v>
      </c>
      <c r="H173" s="33">
        <v>0</v>
      </c>
      <c r="I173" s="33">
        <v>0.41111799999999998</v>
      </c>
      <c r="J173" s="33">
        <v>0.41199999999999998</v>
      </c>
      <c r="K173" s="33">
        <v>0.41111799999999998</v>
      </c>
      <c r="L173" s="33">
        <v>20.872</v>
      </c>
      <c r="M173" s="33">
        <v>25.671118</v>
      </c>
      <c r="N173" s="34">
        <v>1.23460410557184</v>
      </c>
      <c r="O173" s="34">
        <v>1.2284375966208501</v>
      </c>
      <c r="P173" s="34">
        <v>1.23182007528295</v>
      </c>
      <c r="Q173" s="34">
        <v>1.2299409887937001</v>
      </c>
      <c r="R173" s="33">
        <v>25.133833226862698</v>
      </c>
      <c r="S173" s="33">
        <v>25.197844710438599</v>
      </c>
      <c r="T173" s="33">
        <v>25.158252899433201</v>
      </c>
      <c r="U173" s="15">
        <v>-5.0072411113685203E-3</v>
      </c>
      <c r="V173" s="15">
        <v>-2.4636534261882402E-3</v>
      </c>
      <c r="W173" s="15">
        <v>-4.03612711031713E-3</v>
      </c>
      <c r="X173" s="34">
        <v>1.2299309122269</v>
      </c>
      <c r="Y173" s="34">
        <v>1.2253439668366699</v>
      </c>
      <c r="Z173" s="34">
        <v>1.2262112881721501</v>
      </c>
      <c r="AA173" s="34">
        <v>1.2248895384759499</v>
      </c>
      <c r="AB173" s="33">
        <v>25.575379275814999</v>
      </c>
      <c r="AC173" s="33">
        <v>25.5830688097695</v>
      </c>
      <c r="AD173" s="33">
        <v>25.5602755619684</v>
      </c>
      <c r="AE173" s="15">
        <v>-3.7364050483883098E-3</v>
      </c>
      <c r="AF173" s="15">
        <v>-3.43578865753857E-3</v>
      </c>
      <c r="AG173" s="15">
        <v>-4.3271362841043699E-3</v>
      </c>
      <c r="AI173" s="12"/>
      <c r="AJ173">
        <f t="shared" si="46"/>
        <v>1</v>
      </c>
      <c r="AK173">
        <f t="shared" si="47"/>
        <v>0</v>
      </c>
      <c r="AL173">
        <f t="shared" si="54"/>
        <v>1</v>
      </c>
      <c r="AM173">
        <f t="shared" si="44"/>
        <v>1</v>
      </c>
      <c r="AN173">
        <f t="shared" si="55"/>
        <v>1</v>
      </c>
      <c r="AO173" s="28">
        <f t="shared" si="48"/>
        <v>-4.3891804187631998E-3</v>
      </c>
      <c r="AP173" s="28">
        <f t="shared" si="49"/>
        <v>2.7673470912386502E-3</v>
      </c>
      <c r="AQ173" s="28">
        <f t="shared" si="56"/>
        <v>-1.6218333275245496E-3</v>
      </c>
      <c r="AR173" s="29">
        <f t="shared" si="57"/>
        <v>1.1953319858690047E-2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1.2796250825109802E-2</v>
      </c>
      <c r="BE173" s="29">
        <f t="shared" si="62"/>
        <v>-1.6218333275245496E-3</v>
      </c>
      <c r="BF173" s="29">
        <f t="shared" si="63"/>
        <v>2.4749570683799852E-2</v>
      </c>
      <c r="BH173" s="29"/>
    </row>
    <row r="174" spans="1:60" x14ac:dyDescent="0.25">
      <c r="A174" s="1">
        <v>46275</v>
      </c>
      <c r="B174" s="33">
        <v>20.38</v>
      </c>
      <c r="C174" s="33">
        <v>25.11</v>
      </c>
      <c r="D174" s="15">
        <v>-3.9177327289017698E-3</v>
      </c>
      <c r="E174" s="15">
        <v>-5.9559437528515302E-3</v>
      </c>
      <c r="F174" s="33">
        <v>0</v>
      </c>
      <c r="G174" s="33">
        <v>0.41199999999999998</v>
      </c>
      <c r="H174" s="33">
        <v>0</v>
      </c>
      <c r="I174" s="33">
        <v>0.41111799999999998</v>
      </c>
      <c r="J174" s="33">
        <v>0.41199999999999998</v>
      </c>
      <c r="K174" s="33">
        <v>0.41111799999999998</v>
      </c>
      <c r="L174" s="33">
        <v>20.791999999999899</v>
      </c>
      <c r="M174" s="33">
        <v>25.521117999999898</v>
      </c>
      <c r="N174" s="34">
        <v>1.23209028459273</v>
      </c>
      <c r="O174" s="34">
        <v>1.2284375966208501</v>
      </c>
      <c r="P174" s="34">
        <v>1.23191884856649</v>
      </c>
      <c r="Q174" s="34">
        <v>1.2302080150079999</v>
      </c>
      <c r="R174" s="33">
        <v>25.035558219133002</v>
      </c>
      <c r="S174" s="33">
        <v>25.104493134266701</v>
      </c>
      <c r="T174" s="33">
        <v>25.066197351615699</v>
      </c>
      <c r="U174" s="15">
        <v>-2.9690300874187798E-3</v>
      </c>
      <c r="V174" s="15">
        <v>-2.19333718678864E-4</v>
      </c>
      <c r="W174" s="15">
        <v>-1.7459537319840001E-3</v>
      </c>
      <c r="X174" s="34">
        <v>1.22744892266256</v>
      </c>
      <c r="Y174" s="34">
        <v>1.2253439668366699</v>
      </c>
      <c r="Z174" s="34">
        <v>1.2265564164878799</v>
      </c>
      <c r="AA174" s="34">
        <v>1.22511592720228</v>
      </c>
      <c r="AB174" s="33">
        <v>25.477351758468</v>
      </c>
      <c r="AC174" s="33">
        <v>25.4953851036754</v>
      </c>
      <c r="AD174" s="33">
        <v>25.467903283992001</v>
      </c>
      <c r="AE174" s="15">
        <v>-1.71637511806202E-3</v>
      </c>
      <c r="AF174" s="15">
        <v>-1.00880683470461E-3</v>
      </c>
      <c r="AG174" s="15">
        <v>-2.0873016970516601E-3</v>
      </c>
      <c r="AI174" s="12"/>
      <c r="AJ174">
        <f t="shared" si="46"/>
        <v>1</v>
      </c>
      <c r="AK174">
        <f t="shared" si="47"/>
        <v>0</v>
      </c>
      <c r="AL174">
        <f t="shared" si="54"/>
        <v>1</v>
      </c>
      <c r="AM174">
        <f t="shared" si="44"/>
        <v>1</v>
      </c>
      <c r="AN174">
        <f t="shared" si="55"/>
        <v>1</v>
      </c>
      <c r="AO174" s="28">
        <f t="shared" si="48"/>
        <v>-3.9177327289017698E-3</v>
      </c>
      <c r="AP174" s="28">
        <f t="shared" si="49"/>
        <v>5.9559437528515302E-3</v>
      </c>
      <c r="AQ174" s="28">
        <f t="shared" si="56"/>
        <v>2.0382110239497604E-3</v>
      </c>
      <c r="AR174" s="29">
        <f t="shared" si="57"/>
        <v>1.3991530882639807E-2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1.2796250825109802E-2</v>
      </c>
      <c r="BE174" s="29">
        <f t="shared" si="62"/>
        <v>2.0382110239497604E-3</v>
      </c>
      <c r="BF174" s="29">
        <f t="shared" si="63"/>
        <v>2.6787781707749612E-2</v>
      </c>
      <c r="BH174" s="29"/>
    </row>
    <row r="175" spans="1:60" x14ac:dyDescent="0.25">
      <c r="A175" s="1">
        <v>46276</v>
      </c>
      <c r="B175" s="33">
        <v>20.329999999999998</v>
      </c>
      <c r="C175" s="33">
        <v>25.16</v>
      </c>
      <c r="D175" s="15">
        <v>-2.4564001543235601E-3</v>
      </c>
      <c r="E175" s="15">
        <v>1.9892586627462102E-3</v>
      </c>
      <c r="F175" s="33">
        <v>0</v>
      </c>
      <c r="G175" s="33">
        <v>0.41199999999999998</v>
      </c>
      <c r="H175" s="33">
        <v>0</v>
      </c>
      <c r="I175" s="33">
        <v>0.41111799999999998</v>
      </c>
      <c r="J175" s="33">
        <v>0.41199999999999998</v>
      </c>
      <c r="K175" s="33">
        <v>0.41111799999999998</v>
      </c>
      <c r="L175" s="33">
        <v>20.741999999999901</v>
      </c>
      <c r="M175" s="33">
        <v>25.571117999999998</v>
      </c>
      <c r="N175" s="34">
        <v>1.2375799311362501</v>
      </c>
      <c r="O175" s="34">
        <v>1.2284375966208501</v>
      </c>
      <c r="P175" s="34">
        <v>1.2324255151002801</v>
      </c>
      <c r="Q175" s="34">
        <v>1.2307418703489199</v>
      </c>
      <c r="R175" s="33">
        <v>24.9741363393019</v>
      </c>
      <c r="S175" s="33">
        <v>25.044910191356902</v>
      </c>
      <c r="T175" s="33">
        <v>25.010128945112701</v>
      </c>
      <c r="U175" s="15">
        <v>-7.4146889044884702E-3</v>
      </c>
      <c r="V175" s="15">
        <v>-4.5848109202077797E-3</v>
      </c>
      <c r="W175" s="15">
        <v>-5.9745312137910499E-3</v>
      </c>
      <c r="X175" s="34">
        <v>1.2328183396008101</v>
      </c>
      <c r="Y175" s="34">
        <v>1.2253439668366699</v>
      </c>
      <c r="Z175" s="34">
        <v>1.22730150841788</v>
      </c>
      <c r="AA175" s="34">
        <v>1.2256029918737601</v>
      </c>
      <c r="AB175" s="33">
        <v>25.416084560126201</v>
      </c>
      <c r="AC175" s="33">
        <v>25.441233190791699</v>
      </c>
      <c r="AD175" s="33">
        <v>25.4113545620298</v>
      </c>
      <c r="AE175" s="15">
        <v>-6.0812874555574098E-3</v>
      </c>
      <c r="AF175" s="15">
        <v>-5.0922996824096997E-3</v>
      </c>
      <c r="AG175" s="15">
        <v>-6.2674073227683398E-3</v>
      </c>
      <c r="AI175" s="12"/>
      <c r="AJ175">
        <f t="shared" si="46"/>
        <v>1</v>
      </c>
      <c r="AK175">
        <f t="shared" si="47"/>
        <v>0</v>
      </c>
      <c r="AL175">
        <f t="shared" si="54"/>
        <v>1</v>
      </c>
      <c r="AM175">
        <f t="shared" si="44"/>
        <v>1</v>
      </c>
      <c r="AN175">
        <f t="shared" si="55"/>
        <v>1</v>
      </c>
      <c r="AO175" s="28">
        <f t="shared" si="48"/>
        <v>-2.4564001543235601E-3</v>
      </c>
      <c r="AP175" s="28">
        <f t="shared" si="49"/>
        <v>-1.9892586627462102E-3</v>
      </c>
      <c r="AQ175" s="28">
        <f t="shared" si="56"/>
        <v>-4.4456588170697703E-3</v>
      </c>
      <c r="AR175" s="29">
        <f t="shared" si="57"/>
        <v>9.5458720655700359E-3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1.2796250825109802E-2</v>
      </c>
      <c r="BE175" s="29">
        <f t="shared" si="62"/>
        <v>-4.4456588170697703E-3</v>
      </c>
      <c r="BF175" s="29">
        <f t="shared" si="63"/>
        <v>2.2342122890679841E-2</v>
      </c>
      <c r="BH175" s="29"/>
    </row>
    <row r="176" spans="1:60" x14ac:dyDescent="0.25">
      <c r="A176" s="1">
        <v>46279</v>
      </c>
      <c r="B176" s="33">
        <v>20.3</v>
      </c>
      <c r="C176" s="33">
        <v>25.16</v>
      </c>
      <c r="D176" s="15">
        <v>-1.47674159251351E-3</v>
      </c>
      <c r="E176" s="15">
        <v>0</v>
      </c>
      <c r="F176" s="33">
        <v>0</v>
      </c>
      <c r="G176" s="33">
        <v>0.41199999999999998</v>
      </c>
      <c r="H176" s="33">
        <v>0</v>
      </c>
      <c r="I176" s="33">
        <v>0.41111799999999998</v>
      </c>
      <c r="J176" s="33">
        <v>0.41199999999999998</v>
      </c>
      <c r="K176" s="33">
        <v>0.41111799999999998</v>
      </c>
      <c r="L176" s="33">
        <v>20.712</v>
      </c>
      <c r="M176" s="33">
        <v>25.571117999999998</v>
      </c>
      <c r="N176" s="34">
        <v>1.23940886699507</v>
      </c>
      <c r="O176" s="34">
        <v>1.2284375966208501</v>
      </c>
      <c r="P176" s="34">
        <v>1.23330803228701</v>
      </c>
      <c r="Q176" s="34">
        <v>1.23143897717402</v>
      </c>
      <c r="R176" s="33">
        <v>24.937283211403301</v>
      </c>
      <c r="S176" s="33">
        <v>25.018237956535799</v>
      </c>
      <c r="T176" s="33">
        <v>24.984059968083098</v>
      </c>
      <c r="U176" s="15">
        <v>-8.8914304970019297E-3</v>
      </c>
      <c r="V176" s="15">
        <v>-5.6503546717067699E-3</v>
      </c>
      <c r="W176" s="15">
        <v>-7.0174115948506803E-3</v>
      </c>
      <c r="X176" s="34">
        <v>1.2346039976825001</v>
      </c>
      <c r="Y176" s="34">
        <v>1.2253439668366699</v>
      </c>
      <c r="Z176" s="34">
        <v>1.2284143630153801</v>
      </c>
      <c r="AA176" s="34">
        <v>1.22624993765143</v>
      </c>
      <c r="AB176" s="33">
        <v>25.3793242411211</v>
      </c>
      <c r="AC176" s="33">
        <v>25.4198688423512</v>
      </c>
      <c r="AD176" s="33">
        <v>25.384689167689402</v>
      </c>
      <c r="AE176" s="15">
        <v>-7.5286751738632999E-3</v>
      </c>
      <c r="AF176" s="15">
        <v>-5.9324053365544796E-3</v>
      </c>
      <c r="AG176" s="15">
        <v>-7.3173078595773202E-3</v>
      </c>
      <c r="AI176" s="12"/>
      <c r="AJ176">
        <f t="shared" si="46"/>
        <v>1</v>
      </c>
      <c r="AK176">
        <f t="shared" si="47"/>
        <v>0</v>
      </c>
      <c r="AL176">
        <f t="shared" si="54"/>
        <v>1</v>
      </c>
      <c r="AM176">
        <f t="shared" si="44"/>
        <v>1</v>
      </c>
      <c r="AN176">
        <f t="shared" si="55"/>
        <v>1</v>
      </c>
      <c r="AO176" s="28">
        <f t="shared" si="48"/>
        <v>-1.47674159251351E-3</v>
      </c>
      <c r="AP176" s="28">
        <f t="shared" si="49"/>
        <v>0</v>
      </c>
      <c r="AQ176" s="28">
        <f t="shared" si="56"/>
        <v>-1.47674159251351E-3</v>
      </c>
      <c r="AR176" s="29">
        <f t="shared" si="57"/>
        <v>8.0691304730565253E-3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1.2796250825109802E-2</v>
      </c>
      <c r="BE176" s="29">
        <f t="shared" si="62"/>
        <v>-1.47674159251351E-3</v>
      </c>
      <c r="BF176" s="29">
        <f t="shared" si="63"/>
        <v>2.0865381298166331E-2</v>
      </c>
      <c r="BH176" s="29"/>
    </row>
    <row r="177" spans="1:100" x14ac:dyDescent="0.25">
      <c r="A177">
        <v>46280</v>
      </c>
      <c r="B177" s="33">
        <v>20.32</v>
      </c>
      <c r="C177" s="33">
        <v>25.1</v>
      </c>
      <c r="D177" s="15">
        <v>9.8473666253955897E-4</v>
      </c>
      <c r="E177" s="15">
        <v>-2.3875856945015199E-3</v>
      </c>
      <c r="F177" s="33">
        <v>0</v>
      </c>
      <c r="G177" s="33">
        <v>0.41199999999999998</v>
      </c>
      <c r="H177" s="33">
        <v>0</v>
      </c>
      <c r="I177" s="33">
        <v>0.41111799999999998</v>
      </c>
      <c r="J177" s="33">
        <v>0.41199999999999998</v>
      </c>
      <c r="K177" s="33">
        <v>0.41111799999999998</v>
      </c>
      <c r="L177" s="33">
        <v>20.731999999999999</v>
      </c>
      <c r="M177" s="33">
        <v>25.511118</v>
      </c>
      <c r="N177" s="34">
        <v>1.2352362204724401</v>
      </c>
      <c r="O177" s="34">
        <v>1.2284375966208501</v>
      </c>
      <c r="P177" s="34">
        <v>1.2336320409944701</v>
      </c>
      <c r="Q177" s="34">
        <v>1.2318764119980301</v>
      </c>
      <c r="R177" s="33">
        <v>24.9618519633357</v>
      </c>
      <c r="S177" s="33">
        <v>25.060819216072002</v>
      </c>
      <c r="T177" s="33">
        <v>25.022840016176101</v>
      </c>
      <c r="U177" s="15">
        <v>-5.5191081399610601E-3</v>
      </c>
      <c r="V177" s="15">
        <v>-1.5622070176921801E-3</v>
      </c>
      <c r="W177" s="15">
        <v>-3.0788377015516901E-3</v>
      </c>
      <c r="X177" s="34">
        <v>1.2305189079683501</v>
      </c>
      <c r="Y177" s="34">
        <v>1.2253439668366699</v>
      </c>
      <c r="Z177" s="34">
        <v>1.228981569896</v>
      </c>
      <c r="AA177" s="34">
        <v>1.2266428972499701</v>
      </c>
      <c r="AB177" s="33">
        <v>25.403831120457799</v>
      </c>
      <c r="AC177" s="33">
        <v>25.467486574035</v>
      </c>
      <c r="AD177" s="33">
        <v>25.422613707389399</v>
      </c>
      <c r="AE177" s="15">
        <v>-4.2143629793477601E-3</v>
      </c>
      <c r="AF177" s="15">
        <v>-1.71175484238033E-3</v>
      </c>
      <c r="AG177" s="15">
        <v>-3.4752757640134401E-3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20.3</v>
      </c>
      <c r="C178" s="33">
        <v>25.08</v>
      </c>
      <c r="D178" s="15">
        <v>-9.8473666253949196E-4</v>
      </c>
      <c r="E178" s="15">
        <v>-7.9713037301838805E-4</v>
      </c>
      <c r="F178" s="33">
        <v>0</v>
      </c>
      <c r="G178" s="33">
        <v>0.41199999999999998</v>
      </c>
      <c r="H178" s="33">
        <v>0</v>
      </c>
      <c r="I178" s="33">
        <v>0.41111799999999998</v>
      </c>
      <c r="J178" s="33">
        <v>0.41199999999999998</v>
      </c>
      <c r="K178" s="33">
        <v>0.41111799999999998</v>
      </c>
      <c r="L178" s="33">
        <v>20.712</v>
      </c>
      <c r="M178" s="33">
        <v>25.491117999999901</v>
      </c>
      <c r="N178" s="34">
        <v>1.2354679802955599</v>
      </c>
      <c r="O178" s="34">
        <v>1.2284375966208501</v>
      </c>
      <c r="P178" s="34">
        <v>1.2341056446469101</v>
      </c>
      <c r="Q178" s="34">
        <v>1.23223154178203</v>
      </c>
      <c r="R178" s="33">
        <v>24.937283211403301</v>
      </c>
      <c r="S178" s="33">
        <v>25.042730432187899</v>
      </c>
      <c r="T178" s="33">
        <v>25.007091163559998</v>
      </c>
      <c r="U178" s="15">
        <v>-5.70671442948208E-3</v>
      </c>
      <c r="V178" s="15">
        <v>-1.4871326585517599E-3</v>
      </c>
      <c r="W178" s="15">
        <v>-2.9112845741934902E-3</v>
      </c>
      <c r="X178" s="34">
        <v>1.2307415025106201</v>
      </c>
      <c r="Y178" s="34">
        <v>1.2253439668366699</v>
      </c>
      <c r="Z178" s="34">
        <v>1.2294384879447999</v>
      </c>
      <c r="AA178" s="34">
        <v>1.22695503972909</v>
      </c>
      <c r="AB178" s="33">
        <v>25.3793242411211</v>
      </c>
      <c r="AC178" s="33">
        <v>25.454666275686101</v>
      </c>
      <c r="AD178" s="33">
        <v>25.406227687841302</v>
      </c>
      <c r="AE178" s="15">
        <v>-4.3952414771471797E-3</v>
      </c>
      <c r="AF178" s="15">
        <v>-1.4310008591491201E-3</v>
      </c>
      <c r="AG178" s="15">
        <v>-3.3357492312211098E-3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20.34</v>
      </c>
      <c r="C179" s="33">
        <v>25.09</v>
      </c>
      <c r="D179" s="15">
        <v>1.96850457267215E-3</v>
      </c>
      <c r="E179" s="15">
        <v>3.9864461361098399E-4</v>
      </c>
      <c r="F179" s="33">
        <v>0</v>
      </c>
      <c r="G179" s="33">
        <v>0.41199999999999998</v>
      </c>
      <c r="H179" s="33">
        <v>0</v>
      </c>
      <c r="I179" s="33">
        <v>0.41111799999999998</v>
      </c>
      <c r="J179" s="33">
        <v>0.41199999999999998</v>
      </c>
      <c r="K179" s="33">
        <v>0.41111799999999998</v>
      </c>
      <c r="L179" s="33">
        <v>20.751999999999999</v>
      </c>
      <c r="M179" s="33">
        <v>25.501117999999899</v>
      </c>
      <c r="N179" s="34">
        <v>1.2335299901671499</v>
      </c>
      <c r="O179" s="34">
        <v>1.2284375966208501</v>
      </c>
      <c r="P179" s="34">
        <v>1.2342547601684799</v>
      </c>
      <c r="Q179" s="34">
        <v>1.2325596727683199</v>
      </c>
      <c r="R179" s="33">
        <v>24.986420715268199</v>
      </c>
      <c r="S179" s="33">
        <v>25.101708812118201</v>
      </c>
      <c r="T179" s="33">
        <v>25.063589559846601</v>
      </c>
      <c r="U179" s="15">
        <v>-4.1368544704209797E-3</v>
      </c>
      <c r="V179" s="15">
        <v>4.66563606131697E-4</v>
      </c>
      <c r="W179" s="15">
        <v>-1.0531825469038199E-3</v>
      </c>
      <c r="X179" s="34">
        <v>1.22885109868928</v>
      </c>
      <c r="Y179" s="34">
        <v>1.2253439668366699</v>
      </c>
      <c r="Z179" s="34">
        <v>1.2295788900277</v>
      </c>
      <c r="AA179" s="34">
        <v>1.2272410206200599</v>
      </c>
      <c r="AB179" s="33">
        <v>25.4283379997946</v>
      </c>
      <c r="AC179" s="33">
        <v>25.513307501830599</v>
      </c>
      <c r="AD179" s="33">
        <v>25.461770984458202</v>
      </c>
      <c r="AE179" s="15">
        <v>-2.85807292927412E-3</v>
      </c>
      <c r="AF179" s="15">
        <v>4.7788451767163498E-4</v>
      </c>
      <c r="AG179" s="15">
        <v>-1.5441441466154599E-3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20.309999999999999</v>
      </c>
      <c r="C180" s="33">
        <v>25.06</v>
      </c>
      <c r="D180" s="15">
        <v>-1.4760150281206499E-3</v>
      </c>
      <c r="E180" s="15">
        <v>-1.1964109104087199E-3</v>
      </c>
      <c r="F180" s="33">
        <v>0</v>
      </c>
      <c r="G180" s="33">
        <v>0.41199999999999998</v>
      </c>
      <c r="H180" s="33">
        <v>0</v>
      </c>
      <c r="I180" s="33">
        <v>0.41111799999999998</v>
      </c>
      <c r="J180" s="33">
        <v>0.41199999999999998</v>
      </c>
      <c r="K180" s="33">
        <v>0.41111799999999998</v>
      </c>
      <c r="L180" s="33">
        <v>20.721999999999898</v>
      </c>
      <c r="M180" s="33">
        <v>25.471117999999901</v>
      </c>
      <c r="N180" s="34">
        <v>1.23387493845396</v>
      </c>
      <c r="O180" s="34">
        <v>1.2284375966208501</v>
      </c>
      <c r="P180" s="34">
        <v>1.23441582058336</v>
      </c>
      <c r="Q180" s="34">
        <v>1.23284611901859</v>
      </c>
      <c r="R180" s="33">
        <v>24.949567587369501</v>
      </c>
      <c r="S180" s="33">
        <v>25.067714179021898</v>
      </c>
      <c r="T180" s="33">
        <v>25.033286953924598</v>
      </c>
      <c r="U180" s="15">
        <v>-4.41645858813286E-3</v>
      </c>
      <c r="V180" s="15">
        <v>3.07781003349957E-4</v>
      </c>
      <c r="W180" s="15">
        <v>-1.0665320737308899E-3</v>
      </c>
      <c r="X180" s="34">
        <v>1.22918241482482</v>
      </c>
      <c r="Y180" s="34">
        <v>1.2253439668366699</v>
      </c>
      <c r="Z180" s="34">
        <v>1.2297307538425</v>
      </c>
      <c r="AA180" s="34">
        <v>1.22748580977515</v>
      </c>
      <c r="AB180" s="33">
        <v>25.391577680789499</v>
      </c>
      <c r="AC180" s="33">
        <v>25.479333759154098</v>
      </c>
      <c r="AD180" s="33">
        <v>25.430888429288899</v>
      </c>
      <c r="AE180" s="15">
        <v>-3.1276511394374299E-3</v>
      </c>
      <c r="AF180" s="15">
        <v>3.2249995600516697E-4</v>
      </c>
      <c r="AG180" s="15">
        <v>-1.5806677146643099E-3</v>
      </c>
    </row>
    <row r="181" spans="1:100" x14ac:dyDescent="0.25">
      <c r="A181">
        <v>46286</v>
      </c>
      <c r="B181" s="33">
        <v>20.27</v>
      </c>
      <c r="C181" s="33">
        <v>25.04</v>
      </c>
      <c r="D181" s="15">
        <v>-1.97141512838463E-3</v>
      </c>
      <c r="E181" s="15">
        <v>-7.9840323602447204E-4</v>
      </c>
      <c r="F181" s="33">
        <v>5.0999999999999997E-2</v>
      </c>
      <c r="G181" s="33">
        <v>0.46299999999999902</v>
      </c>
      <c r="H181" s="33">
        <v>0</v>
      </c>
      <c r="I181" s="33">
        <v>0.41111799999999998</v>
      </c>
      <c r="J181" s="33">
        <v>0.46299999999999902</v>
      </c>
      <c r="K181" s="33">
        <v>0.41111799999999998</v>
      </c>
      <c r="L181" s="33">
        <v>20.733000000000001</v>
      </c>
      <c r="M181" s="33">
        <v>25.451117999999902</v>
      </c>
      <c r="N181" s="34">
        <v>1.2353231376418301</v>
      </c>
      <c r="O181" s="34">
        <v>1.2284375966208501</v>
      </c>
      <c r="P181" s="34">
        <v>1.2349718861652901</v>
      </c>
      <c r="Q181" s="34">
        <v>1.2331940066699101</v>
      </c>
      <c r="R181" s="33">
        <v>24.900430083504698</v>
      </c>
      <c r="S181" s="33">
        <v>25.021608683224802</v>
      </c>
      <c r="T181" s="33">
        <v>24.989790832506799</v>
      </c>
      <c r="U181" s="15">
        <v>-5.5894704804928998E-3</v>
      </c>
      <c r="V181" s="15">
        <v>-7.3474736774528898E-4</v>
      </c>
      <c r="W181" s="15">
        <v>-2.00717146781025E-3</v>
      </c>
      <c r="X181" s="34">
        <v>1.2275656200260401</v>
      </c>
      <c r="Y181" s="34">
        <v>1.2253439668366699</v>
      </c>
      <c r="Z181" s="34">
        <v>1.2299651316420801</v>
      </c>
      <c r="AA181" s="34">
        <v>1.2276391581300401</v>
      </c>
      <c r="AB181" s="33">
        <v>25.4050564644247</v>
      </c>
      <c r="AC181" s="33">
        <v>25.496007719416699</v>
      </c>
      <c r="AD181" s="33">
        <v>25.449463294068099</v>
      </c>
      <c r="AE181" s="15">
        <v>-1.8114436901958901E-3</v>
      </c>
      <c r="AF181" s="15">
        <v>1.7622085799529901E-3</v>
      </c>
      <c r="AG181" s="15">
        <v>-6.5017172312110101E-5</v>
      </c>
    </row>
    <row r="182" spans="1:100" x14ac:dyDescent="0.25">
      <c r="A182">
        <v>46287</v>
      </c>
      <c r="B182" s="33">
        <v>20.23</v>
      </c>
      <c r="C182" s="33">
        <v>24.99</v>
      </c>
      <c r="D182" s="15">
        <v>-1.97530928425447E-3</v>
      </c>
      <c r="E182" s="15">
        <v>-1.99880138503677E-3</v>
      </c>
      <c r="F182" s="33">
        <v>0</v>
      </c>
      <c r="G182" s="33">
        <v>0.46299999999999902</v>
      </c>
      <c r="H182" s="33">
        <v>0</v>
      </c>
      <c r="I182" s="33">
        <v>0.41111799999999998</v>
      </c>
      <c r="J182" s="33">
        <v>0.46299999999999902</v>
      </c>
      <c r="K182" s="33">
        <v>0.41111799999999998</v>
      </c>
      <c r="L182" s="33">
        <v>20.693000000000001</v>
      </c>
      <c r="M182" s="33">
        <v>25.401117999999901</v>
      </c>
      <c r="N182" s="34">
        <v>1.23529411764705</v>
      </c>
      <c r="O182" s="34">
        <v>1.2284375966208501</v>
      </c>
      <c r="P182" s="34">
        <v>1.2352409572973899</v>
      </c>
      <c r="Q182" s="34">
        <v>1.2334035849644001</v>
      </c>
      <c r="R182" s="33">
        <v>24.8512925796399</v>
      </c>
      <c r="S182" s="33">
        <v>24.983481257123799</v>
      </c>
      <c r="T182" s="33">
        <v>24.9475147549323</v>
      </c>
      <c r="U182" s="15">
        <v>-5.5659783797107499E-3</v>
      </c>
      <c r="V182" s="15">
        <v>-2.6088808500627901E-4</v>
      </c>
      <c r="W182" s="15">
        <v>-1.7015366313874599E-3</v>
      </c>
      <c r="X182" s="34">
        <v>1.2275222539022801</v>
      </c>
      <c r="Y182" s="34">
        <v>1.2253439668366699</v>
      </c>
      <c r="Z182" s="34">
        <v>1.2299183970094201</v>
      </c>
      <c r="AA182" s="34">
        <v>1.2278153888498899</v>
      </c>
      <c r="AB182" s="33">
        <v>25.3560427057512</v>
      </c>
      <c r="AC182" s="33">
        <v>25.451668469069698</v>
      </c>
      <c r="AD182" s="33">
        <v>25.403537099185002</v>
      </c>
      <c r="AE182" s="15">
        <v>-1.7761161369749801E-3</v>
      </c>
      <c r="AF182" s="15">
        <v>1.9881107498773199E-3</v>
      </c>
      <c r="AG182" s="15">
        <v>9.5231398861958798E-5</v>
      </c>
    </row>
    <row r="183" spans="1:100" x14ac:dyDescent="0.25">
      <c r="A183">
        <v>46288</v>
      </c>
      <c r="B183" s="33">
        <v>20.100000000000001</v>
      </c>
      <c r="C183" s="33">
        <v>24.84</v>
      </c>
      <c r="D183" s="15">
        <v>-6.4468361146240299E-3</v>
      </c>
      <c r="E183" s="15">
        <v>-6.0204877815829101E-3</v>
      </c>
      <c r="F183" s="33">
        <v>0</v>
      </c>
      <c r="G183" s="33">
        <v>0.46299999999999902</v>
      </c>
      <c r="H183" s="33">
        <v>0</v>
      </c>
      <c r="I183" s="33">
        <v>0.41111799999999998</v>
      </c>
      <c r="J183" s="33">
        <v>0.46299999999999902</v>
      </c>
      <c r="K183" s="33">
        <v>0.41111799999999998</v>
      </c>
      <c r="L183" s="33">
        <v>20.562999999999999</v>
      </c>
      <c r="M183" s="33">
        <v>25.251117999999899</v>
      </c>
      <c r="N183" s="34">
        <v>1.2358208955223799</v>
      </c>
      <c r="O183" s="34">
        <v>1.2284375966208501</v>
      </c>
      <c r="P183" s="34">
        <v>1.2353626362924399</v>
      </c>
      <c r="Q183" s="34">
        <v>1.2335913557877001</v>
      </c>
      <c r="R183" s="33">
        <v>24.691595692079201</v>
      </c>
      <c r="S183" s="33">
        <v>24.828343241677601</v>
      </c>
      <c r="T183" s="33">
        <v>24.791412057784399</v>
      </c>
      <c r="U183" s="15">
        <v>-5.9923267127518004E-3</v>
      </c>
      <c r="V183" s="15">
        <v>-4.6938382783120498E-4</v>
      </c>
      <c r="W183" s="15">
        <v>-1.95795185843603E-3</v>
      </c>
      <c r="X183" s="34">
        <v>1.22798803676506</v>
      </c>
      <c r="Y183" s="34">
        <v>1.2253439668366699</v>
      </c>
      <c r="Z183" s="34">
        <v>1.2297241094632301</v>
      </c>
      <c r="AA183" s="34">
        <v>1.22796769881769</v>
      </c>
      <c r="AB183" s="33">
        <v>25.196747990062399</v>
      </c>
      <c r="AC183" s="33">
        <v>25.290811997704701</v>
      </c>
      <c r="AD183" s="33">
        <v>25.2475678409204</v>
      </c>
      <c r="AE183" s="15">
        <v>-2.1554937923116599E-3</v>
      </c>
      <c r="AF183" s="15">
        <v>1.5707356591895599E-3</v>
      </c>
      <c r="AG183" s="15">
        <v>-1.4060401874821301E-4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2026-09-28T18:06:42Z</dcterms:created>
  <dcterms:modified xsi:type="dcterms:W3CDTF">2026-09-28T18:12:08Z</dcterms:modified>
</cp:coreProperties>
</file>