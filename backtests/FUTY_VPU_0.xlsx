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F6C329E5-4FE5-480D-B67E-5A53097475F8}" xr6:coauthVersionLast="47" xr6:coauthVersionMax="47" xr10:uidLastSave="{00000000-0000-0000-0000-000000000000}"/>
  <bookViews>
    <workbookView xWindow="11424" yWindow="0" windowWidth="11712" windowHeight="12336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E162" i="1"/>
  <c r="BC162" i="1"/>
  <c r="BB162" i="1"/>
  <c r="BQ161" i="1"/>
  <c r="BO161" i="1"/>
  <c r="BN161" i="1"/>
  <c r="BE161" i="1"/>
  <c r="BC161" i="1"/>
  <c r="BB161" i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Q156" i="1"/>
  <c r="BO156" i="1"/>
  <c r="BN156" i="1"/>
  <c r="BE156" i="1"/>
  <c r="BC156" i="1"/>
  <c r="BB156" i="1"/>
  <c r="BQ155" i="1"/>
  <c r="BO155" i="1"/>
  <c r="BN155" i="1"/>
  <c r="BE155" i="1"/>
  <c r="BC155" i="1"/>
  <c r="BB155" i="1"/>
  <c r="BQ154" i="1"/>
  <c r="BO154" i="1"/>
  <c r="BN154" i="1"/>
  <c r="BE154" i="1"/>
  <c r="BC154" i="1"/>
  <c r="BB154" i="1"/>
  <c r="BQ153" i="1"/>
  <c r="BO153" i="1"/>
  <c r="BN153" i="1"/>
  <c r="BE153" i="1"/>
  <c r="BC153" i="1"/>
  <c r="BB153" i="1"/>
  <c r="BQ152" i="1"/>
  <c r="BO152" i="1"/>
  <c r="BN152" i="1"/>
  <c r="BE152" i="1"/>
  <c r="BC152" i="1"/>
  <c r="BB152" i="1"/>
  <c r="BQ151" i="1"/>
  <c r="BO151" i="1"/>
  <c r="BN151" i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C148" i="1"/>
  <c r="BB148" i="1"/>
  <c r="BQ147" i="1"/>
  <c r="BO147" i="1"/>
  <c r="BN147" i="1"/>
  <c r="BE147" i="1"/>
  <c r="BC147" i="1"/>
  <c r="BB147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Q144" i="1"/>
  <c r="BO144" i="1"/>
  <c r="BN144" i="1"/>
  <c r="BE144" i="1"/>
  <c r="BC144" i="1"/>
  <c r="BB144" i="1"/>
  <c r="BQ143" i="1"/>
  <c r="BO143" i="1"/>
  <c r="BN143" i="1"/>
  <c r="BE143" i="1"/>
  <c r="BC143" i="1"/>
  <c r="BB143" i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Q140" i="1"/>
  <c r="BO140" i="1"/>
  <c r="BN140" i="1"/>
  <c r="BE140" i="1"/>
  <c r="BC140" i="1"/>
  <c r="BB140" i="1"/>
  <c r="BQ139" i="1"/>
  <c r="BO139" i="1"/>
  <c r="BN139" i="1"/>
  <c r="BE139" i="1"/>
  <c r="BC139" i="1"/>
  <c r="BB139" i="1"/>
  <c r="BQ138" i="1"/>
  <c r="BO138" i="1"/>
  <c r="BN138" i="1"/>
  <c r="BE138" i="1"/>
  <c r="BC138" i="1"/>
  <c r="BB138" i="1"/>
  <c r="BQ137" i="1"/>
  <c r="BO137" i="1"/>
  <c r="BN137" i="1"/>
  <c r="BE137" i="1"/>
  <c r="BC137" i="1"/>
  <c r="BB137" i="1"/>
  <c r="BQ136" i="1"/>
  <c r="BO136" i="1"/>
  <c r="BN136" i="1"/>
  <c r="BE136" i="1"/>
  <c r="BC136" i="1"/>
  <c r="BB136" i="1"/>
  <c r="BQ135" i="1"/>
  <c r="BO135" i="1"/>
  <c r="BN135" i="1"/>
  <c r="BE135" i="1"/>
  <c r="BC135" i="1"/>
  <c r="BB135" i="1"/>
  <c r="BQ134" i="1"/>
  <c r="BO134" i="1"/>
  <c r="BN134" i="1"/>
  <c r="BE134" i="1"/>
  <c r="BC134" i="1"/>
  <c r="BB134" i="1"/>
  <c r="BQ133" i="1"/>
  <c r="BO133" i="1"/>
  <c r="BN133" i="1"/>
  <c r="BE133" i="1"/>
  <c r="BC133" i="1"/>
  <c r="BB133" i="1"/>
  <c r="BQ132" i="1"/>
  <c r="BO132" i="1"/>
  <c r="BN132" i="1"/>
  <c r="BE132" i="1"/>
  <c r="BC132" i="1"/>
  <c r="BB132" i="1"/>
  <c r="BQ131" i="1"/>
  <c r="BO131" i="1"/>
  <c r="BN131" i="1"/>
  <c r="BE131" i="1"/>
  <c r="BC131" i="1"/>
  <c r="BB131" i="1"/>
  <c r="BQ130" i="1"/>
  <c r="BO130" i="1"/>
  <c r="BN130" i="1"/>
  <c r="BE130" i="1"/>
  <c r="BC130" i="1"/>
  <c r="BB130" i="1"/>
  <c r="BQ129" i="1"/>
  <c r="BO129" i="1"/>
  <c r="BN129" i="1"/>
  <c r="BE129" i="1"/>
  <c r="BC129" i="1"/>
  <c r="BB129" i="1"/>
  <c r="BQ128" i="1"/>
  <c r="BO128" i="1"/>
  <c r="BN128" i="1"/>
  <c r="BE128" i="1"/>
  <c r="BC128" i="1"/>
  <c r="BB128" i="1"/>
  <c r="BQ127" i="1"/>
  <c r="BO127" i="1"/>
  <c r="BN127" i="1"/>
  <c r="BE127" i="1"/>
  <c r="BC127" i="1"/>
  <c r="BB127" i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E123" i="1"/>
  <c r="BC123" i="1"/>
  <c r="BB123" i="1"/>
  <c r="BQ122" i="1"/>
  <c r="BO122" i="1"/>
  <c r="BN122" i="1"/>
  <c r="BE122" i="1"/>
  <c r="BC122" i="1"/>
  <c r="BB122" i="1"/>
  <c r="BQ121" i="1"/>
  <c r="BO121" i="1"/>
  <c r="BN121" i="1"/>
  <c r="BE121" i="1"/>
  <c r="BC121" i="1"/>
  <c r="BB121" i="1"/>
  <c r="BQ120" i="1"/>
  <c r="BO120" i="1"/>
  <c r="BN120" i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E116" i="1"/>
  <c r="BC116" i="1"/>
  <c r="BB116" i="1"/>
  <c r="BQ115" i="1"/>
  <c r="BO115" i="1"/>
  <c r="BN115" i="1"/>
  <c r="BE115" i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Q111" i="1"/>
  <c r="BO111" i="1"/>
  <c r="BN111" i="1"/>
  <c r="BE111" i="1"/>
  <c r="BC111" i="1"/>
  <c r="BB111" i="1"/>
  <c r="BQ110" i="1"/>
  <c r="BO110" i="1"/>
  <c r="BN110" i="1"/>
  <c r="BE110" i="1"/>
  <c r="BC110" i="1"/>
  <c r="BB110" i="1"/>
  <c r="BQ109" i="1"/>
  <c r="BO109" i="1"/>
  <c r="BN109" i="1"/>
  <c r="BE109" i="1"/>
  <c r="BC109" i="1"/>
  <c r="BB109" i="1"/>
  <c r="BQ108" i="1"/>
  <c r="BO108" i="1"/>
  <c r="BN108" i="1"/>
  <c r="BE108" i="1"/>
  <c r="BC108" i="1"/>
  <c r="BB108" i="1"/>
  <c r="BQ107" i="1"/>
  <c r="BO107" i="1"/>
  <c r="BN107" i="1"/>
  <c r="BE107" i="1"/>
  <c r="BC107" i="1"/>
  <c r="BB107" i="1"/>
  <c r="BQ106" i="1"/>
  <c r="BO106" i="1"/>
  <c r="BN106" i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C104" i="1"/>
  <c r="BB104" i="1"/>
  <c r="BQ103" i="1"/>
  <c r="BO103" i="1"/>
  <c r="BN103" i="1"/>
  <c r="BE103" i="1"/>
  <c r="BC103" i="1"/>
  <c r="BB103" i="1"/>
  <c r="BQ102" i="1"/>
  <c r="BO102" i="1"/>
  <c r="BN102" i="1"/>
  <c r="BE102" i="1"/>
  <c r="BC102" i="1"/>
  <c r="BB102" i="1"/>
  <c r="BQ101" i="1"/>
  <c r="BO101" i="1"/>
  <c r="BN101" i="1"/>
  <c r="BE101" i="1"/>
  <c r="BC101" i="1"/>
  <c r="BB101" i="1"/>
  <c r="BQ100" i="1"/>
  <c r="BO100" i="1"/>
  <c r="BN100" i="1"/>
  <c r="BE100" i="1"/>
  <c r="BC100" i="1"/>
  <c r="BB100" i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E97" i="1"/>
  <c r="BC97" i="1"/>
  <c r="BB97" i="1"/>
  <c r="BQ96" i="1"/>
  <c r="BO96" i="1"/>
  <c r="BN96" i="1"/>
  <c r="BE96" i="1"/>
  <c r="BC96" i="1"/>
  <c r="BB96" i="1"/>
  <c r="BQ95" i="1"/>
  <c r="BO95" i="1"/>
  <c r="BN95" i="1"/>
  <c r="BE95" i="1"/>
  <c r="BC95" i="1"/>
  <c r="BB95" i="1"/>
  <c r="BQ94" i="1"/>
  <c r="BO94" i="1"/>
  <c r="BN94" i="1"/>
  <c r="BE94" i="1"/>
  <c r="BC94" i="1"/>
  <c r="BB94" i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Q85" i="1"/>
  <c r="BO85" i="1"/>
  <c r="BN85" i="1"/>
  <c r="BE85" i="1"/>
  <c r="BC85" i="1"/>
  <c r="BB85" i="1"/>
  <c r="BQ84" i="1"/>
  <c r="BO84" i="1"/>
  <c r="BN84" i="1"/>
  <c r="BE84" i="1"/>
  <c r="BC84" i="1"/>
  <c r="BB84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E79" i="1"/>
  <c r="BC79" i="1"/>
  <c r="BB79" i="1"/>
  <c r="BQ78" i="1"/>
  <c r="BO78" i="1"/>
  <c r="BN78" i="1"/>
  <c r="BE78" i="1"/>
  <c r="BC78" i="1"/>
  <c r="BB78" i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E73" i="1"/>
  <c r="BC73" i="1"/>
  <c r="BB73" i="1"/>
  <c r="BQ72" i="1"/>
  <c r="BO72" i="1"/>
  <c r="BN72" i="1"/>
  <c r="BE72" i="1"/>
  <c r="BC72" i="1"/>
  <c r="BB72" i="1"/>
  <c r="BQ71" i="1"/>
  <c r="BO71" i="1"/>
  <c r="BN71" i="1"/>
  <c r="BE71" i="1"/>
  <c r="BC71" i="1"/>
  <c r="BB71" i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C60" i="1"/>
  <c r="BB60" i="1"/>
  <c r="BQ59" i="1"/>
  <c r="BO59" i="1"/>
  <c r="BN59" i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Q56" i="1"/>
  <c r="BO56" i="1"/>
  <c r="BN56" i="1"/>
  <c r="BE56" i="1"/>
  <c r="BC56" i="1"/>
  <c r="BB56" i="1"/>
  <c r="BQ55" i="1"/>
  <c r="BO55" i="1"/>
  <c r="BN55" i="1"/>
  <c r="BE55" i="1"/>
  <c r="BC55" i="1"/>
  <c r="BB55" i="1"/>
  <c r="BQ54" i="1"/>
  <c r="BO54" i="1"/>
  <c r="BN54" i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E49" i="1"/>
  <c r="BC49" i="1"/>
  <c r="BB49" i="1"/>
  <c r="BQ48" i="1"/>
  <c r="BO48" i="1"/>
  <c r="BN48" i="1"/>
  <c r="BE48" i="1"/>
  <c r="BC48" i="1"/>
  <c r="BB48" i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E44" i="1"/>
  <c r="BC44" i="1"/>
  <c r="BB44" i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Q40" i="1"/>
  <c r="BO40" i="1"/>
  <c r="BN40" i="1"/>
  <c r="BE40" i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C38" i="1"/>
  <c r="BB38" i="1"/>
  <c r="BQ37" i="1"/>
  <c r="BO37" i="1"/>
  <c r="BN37" i="1"/>
  <c r="BE37" i="1"/>
  <c r="BC37" i="1"/>
  <c r="BB37" i="1"/>
  <c r="BQ36" i="1"/>
  <c r="BO36" i="1"/>
  <c r="BN36" i="1"/>
  <c r="BE36" i="1"/>
  <c r="BC36" i="1"/>
  <c r="BB36" i="1"/>
  <c r="BQ35" i="1"/>
  <c r="BO35" i="1"/>
  <c r="BN35" i="1"/>
  <c r="BE35" i="1"/>
  <c r="BC35" i="1"/>
  <c r="BB35" i="1"/>
  <c r="BQ34" i="1"/>
  <c r="BO34" i="1"/>
  <c r="BN34" i="1"/>
  <c r="BE34" i="1"/>
  <c r="BC34" i="1"/>
  <c r="BB34" i="1"/>
  <c r="BQ33" i="1"/>
  <c r="BO33" i="1"/>
  <c r="BN33" i="1"/>
  <c r="BE33" i="1"/>
  <c r="BC33" i="1"/>
  <c r="BB33" i="1"/>
  <c r="BQ32" i="1"/>
  <c r="BO32" i="1"/>
  <c r="BN32" i="1"/>
  <c r="BE32" i="1"/>
  <c r="BC32" i="1"/>
  <c r="BB32" i="1"/>
  <c r="BQ31" i="1"/>
  <c r="BO31" i="1"/>
  <c r="BN31" i="1"/>
  <c r="BE31" i="1"/>
  <c r="BC31" i="1"/>
  <c r="BB31" i="1"/>
  <c r="BQ30" i="1"/>
  <c r="BO30" i="1"/>
  <c r="BN30" i="1"/>
  <c r="BE30" i="1"/>
  <c r="BC30" i="1"/>
  <c r="BB30" i="1"/>
  <c r="BQ29" i="1"/>
  <c r="BO29" i="1"/>
  <c r="BN29" i="1"/>
  <c r="BE29" i="1"/>
  <c r="BC29" i="1"/>
  <c r="BB29" i="1"/>
  <c r="BQ28" i="1"/>
  <c r="BO28" i="1"/>
  <c r="BN28" i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Q23" i="1"/>
  <c r="BO23" i="1"/>
  <c r="BN23" i="1"/>
  <c r="BE23" i="1"/>
  <c r="BC23" i="1"/>
  <c r="BB23" i="1"/>
  <c r="BQ22" i="1"/>
  <c r="BP22" i="1"/>
  <c r="BO22" i="1"/>
  <c r="BN22" i="1"/>
  <c r="BE22" i="1"/>
  <c r="BD22" i="1"/>
  <c r="BC22" i="1"/>
  <c r="BB22" i="1"/>
  <c r="BF23" i="1" s="1"/>
  <c r="BD23" i="1" s="1"/>
  <c r="BQ21" i="1"/>
  <c r="BR22" i="1" s="1"/>
  <c r="BE21" i="1"/>
  <c r="BF22" i="1" s="1"/>
  <c r="BH22" i="1" s="1"/>
  <c r="BT20" i="1"/>
  <c r="BS20" i="1"/>
  <c r="BH20" i="1"/>
  <c r="BG20" i="1"/>
  <c r="BR23" i="1" l="1"/>
  <c r="BP23" i="1" s="1"/>
  <c r="BR24" i="1" s="1"/>
  <c r="BP24" i="1" s="1"/>
  <c r="BR25" i="1" s="1"/>
  <c r="BG23" i="1"/>
  <c r="BH23" i="1"/>
  <c r="BF24" i="1"/>
  <c r="BD24" i="1" s="1"/>
  <c r="BF25" i="1" s="1"/>
  <c r="BT22" i="1"/>
  <c r="BS22" i="1"/>
  <c r="BG22" i="1"/>
  <c r="BI22" i="1" s="1"/>
  <c r="BS23" i="1" l="1"/>
  <c r="BT23" i="1"/>
  <c r="BH25" i="1"/>
  <c r="BG25" i="1"/>
  <c r="BD25" i="1"/>
  <c r="BF26" i="1" s="1"/>
  <c r="BH26" i="1" s="1"/>
  <c r="BS24" i="1"/>
  <c r="BU22" i="1"/>
  <c r="BX22" i="1" s="1"/>
  <c r="BG24" i="1"/>
  <c r="BH24" i="1"/>
  <c r="BI23" i="1"/>
  <c r="BT24" i="1"/>
  <c r="BP25" i="1"/>
  <c r="BR26" i="1" s="1"/>
  <c r="BT25" i="1"/>
  <c r="BS25" i="1"/>
  <c r="BJ22" i="1"/>
  <c r="BU23" i="1" l="1"/>
  <c r="BX23" i="1" s="1"/>
  <c r="BI25" i="1"/>
  <c r="BS26" i="1"/>
  <c r="BP26" i="1"/>
  <c r="BR27" i="1" s="1"/>
  <c r="BT27" i="1" s="1"/>
  <c r="BT26" i="1"/>
  <c r="BD26" i="1"/>
  <c r="BF27" i="1" s="1"/>
  <c r="BG27" i="1" s="1"/>
  <c r="BG26" i="1"/>
  <c r="BI26" i="1" s="1"/>
  <c r="BU24" i="1"/>
  <c r="BV22" i="1"/>
  <c r="BU25" i="1"/>
  <c r="BI24" i="1"/>
  <c r="BJ23" i="1"/>
  <c r="BJ24" i="1" s="1"/>
  <c r="BY22" i="1"/>
  <c r="BJ25" i="1" l="1"/>
  <c r="BJ26" i="1" s="1"/>
  <c r="BX25" i="1"/>
  <c r="BY23" i="1"/>
  <c r="BV23" i="1"/>
  <c r="BV24" i="1" s="1"/>
  <c r="BV25" i="1" s="1"/>
  <c r="BD27" i="1"/>
  <c r="BF28" i="1" s="1"/>
  <c r="BH28" i="1" s="1"/>
  <c r="BH27" i="1"/>
  <c r="BP27" i="1"/>
  <c r="BR28" i="1" s="1"/>
  <c r="BP28" i="1" s="1"/>
  <c r="BR29" i="1" s="1"/>
  <c r="BU26" i="1"/>
  <c r="BX26" i="1" s="1"/>
  <c r="BX24" i="1"/>
  <c r="BS27" i="1"/>
  <c r="BU27" i="1" s="1"/>
  <c r="BI27" i="1"/>
  <c r="BY24" i="1" l="1"/>
  <c r="BY25" i="1" s="1"/>
  <c r="BY26" i="1" s="1"/>
  <c r="BV26" i="1"/>
  <c r="BV27" i="1" s="1"/>
  <c r="BD28" i="1"/>
  <c r="BF29" i="1" s="1"/>
  <c r="BH29" i="1" s="1"/>
  <c r="BG28" i="1"/>
  <c r="BI28" i="1" s="1"/>
  <c r="BS28" i="1"/>
  <c r="BT28" i="1"/>
  <c r="BS29" i="1"/>
  <c r="BP29" i="1"/>
  <c r="BR30" i="1" s="1"/>
  <c r="BT29" i="1"/>
  <c r="BJ27" i="1"/>
  <c r="BX27" i="1"/>
  <c r="BD29" i="1" l="1"/>
  <c r="BF30" i="1" s="1"/>
  <c r="BD30" i="1" s="1"/>
  <c r="BF31" i="1" s="1"/>
  <c r="BG29" i="1"/>
  <c r="BI29" i="1" s="1"/>
  <c r="BY27" i="1"/>
  <c r="BJ28" i="1"/>
  <c r="BU28" i="1"/>
  <c r="BS30" i="1"/>
  <c r="BP30" i="1"/>
  <c r="BR31" i="1" s="1"/>
  <c r="BT30" i="1"/>
  <c r="BU29" i="1"/>
  <c r="BG30" i="1" l="1"/>
  <c r="BH30" i="1"/>
  <c r="BJ29" i="1"/>
  <c r="BV28" i="1"/>
  <c r="BV29" i="1" s="1"/>
  <c r="BX28" i="1"/>
  <c r="BY28" i="1" s="1"/>
  <c r="BT31" i="1"/>
  <c r="BP31" i="1"/>
  <c r="BR32" i="1" s="1"/>
  <c r="BS31" i="1"/>
  <c r="BU30" i="1"/>
  <c r="BX29" i="1"/>
  <c r="BD31" i="1"/>
  <c r="BF32" i="1" s="1"/>
  <c r="BG31" i="1"/>
  <c r="BH31" i="1"/>
  <c r="BU31" i="1" l="1"/>
  <c r="BI30" i="1"/>
  <c r="BJ30" i="1" s="1"/>
  <c r="BY29" i="1"/>
  <c r="BV30" i="1"/>
  <c r="BP32" i="1"/>
  <c r="BR33" i="1" s="1"/>
  <c r="BS32" i="1"/>
  <c r="BT32" i="1"/>
  <c r="BI31" i="1"/>
  <c r="BD32" i="1"/>
  <c r="BF33" i="1" s="1"/>
  <c r="BG32" i="1"/>
  <c r="BH32" i="1"/>
  <c r="BV31" i="1" l="1"/>
  <c r="BX30" i="1"/>
  <c r="BY30" i="1" s="1"/>
  <c r="BU32" i="1"/>
  <c r="BS33" i="1"/>
  <c r="BT33" i="1"/>
  <c r="BP33" i="1"/>
  <c r="BR34" i="1" s="1"/>
  <c r="BI32" i="1"/>
  <c r="BH33" i="1"/>
  <c r="BG33" i="1"/>
  <c r="BD33" i="1"/>
  <c r="BF34" i="1" s="1"/>
  <c r="BX31" i="1"/>
  <c r="BJ31" i="1"/>
  <c r="BV32" i="1" l="1"/>
  <c r="BY31" i="1"/>
  <c r="BU33" i="1"/>
  <c r="BX32" i="1"/>
  <c r="BI33" i="1"/>
  <c r="BJ32" i="1"/>
  <c r="BH34" i="1"/>
  <c r="BD34" i="1"/>
  <c r="BF35" i="1" s="1"/>
  <c r="BG34" i="1"/>
  <c r="BS34" i="1"/>
  <c r="BT34" i="1"/>
  <c r="BP34" i="1"/>
  <c r="BR35" i="1" s="1"/>
  <c r="BV33" i="1" l="1"/>
  <c r="BY32" i="1"/>
  <c r="BJ33" i="1"/>
  <c r="BX33" i="1"/>
  <c r="BD35" i="1"/>
  <c r="BF36" i="1" s="1"/>
  <c r="BG35" i="1"/>
  <c r="BH35" i="1"/>
  <c r="BI34" i="1"/>
  <c r="BU34" i="1"/>
  <c r="BT35" i="1"/>
  <c r="BS35" i="1"/>
  <c r="BU35" i="1" s="1"/>
  <c r="BP35" i="1"/>
  <c r="BR36" i="1" s="1"/>
  <c r="BV34" i="1" l="1"/>
  <c r="BV35" i="1" s="1"/>
  <c r="BY33" i="1"/>
  <c r="BJ34" i="1"/>
  <c r="BI35" i="1"/>
  <c r="BG36" i="1"/>
  <c r="BD36" i="1"/>
  <c r="BF37" i="1" s="1"/>
  <c r="BH36" i="1"/>
  <c r="BT36" i="1"/>
  <c r="BS36" i="1"/>
  <c r="BP36" i="1"/>
  <c r="BR37" i="1" s="1"/>
  <c r="BX34" i="1"/>
  <c r="BY34" i="1" l="1"/>
  <c r="BJ35" i="1"/>
  <c r="BU36" i="1"/>
  <c r="BV36" i="1" s="1"/>
  <c r="BG37" i="1"/>
  <c r="BH37" i="1"/>
  <c r="BI37" i="1" s="1"/>
  <c r="BD37" i="1"/>
  <c r="BF38" i="1" s="1"/>
  <c r="BI36" i="1"/>
  <c r="BX35" i="1"/>
  <c r="BP37" i="1"/>
  <c r="BR38" i="1" s="1"/>
  <c r="BT37" i="1"/>
  <c r="BS37" i="1"/>
  <c r="BU37" i="1" s="1"/>
  <c r="BJ36" i="1" l="1"/>
  <c r="BJ37" i="1" s="1"/>
  <c r="BY35" i="1"/>
  <c r="BD38" i="1"/>
  <c r="BF39" i="1" s="1"/>
  <c r="BG38" i="1"/>
  <c r="BH38" i="1"/>
  <c r="BX37" i="1"/>
  <c r="BX36" i="1"/>
  <c r="BP38" i="1"/>
  <c r="BR39" i="1" s="1"/>
  <c r="BT38" i="1"/>
  <c r="BS38" i="1"/>
  <c r="BV37" i="1"/>
  <c r="BY36" i="1" l="1"/>
  <c r="BY37" i="1" s="1"/>
  <c r="BI38" i="1"/>
  <c r="BJ38" i="1" s="1"/>
  <c r="BH39" i="1"/>
  <c r="BD39" i="1"/>
  <c r="BF40" i="1" s="1"/>
  <c r="BG39" i="1"/>
  <c r="BU38" i="1"/>
  <c r="BP39" i="1"/>
  <c r="BR40" i="1" s="1"/>
  <c r="BS39" i="1"/>
  <c r="BT39" i="1"/>
  <c r="BX38" i="1" l="1"/>
  <c r="BY38" i="1" s="1"/>
  <c r="BI39" i="1"/>
  <c r="BJ39" i="1" s="1"/>
  <c r="BV38" i="1"/>
  <c r="BD40" i="1"/>
  <c r="BF41" i="1" s="1"/>
  <c r="BH40" i="1"/>
  <c r="BG40" i="1"/>
  <c r="BI40" i="1" s="1"/>
  <c r="BU39" i="1"/>
  <c r="BS40" i="1"/>
  <c r="BP40" i="1"/>
  <c r="BR41" i="1" s="1"/>
  <c r="BT40" i="1"/>
  <c r="BJ40" i="1" l="1"/>
  <c r="BD41" i="1"/>
  <c r="BF42" i="1" s="1"/>
  <c r="BH41" i="1"/>
  <c r="BG41" i="1"/>
  <c r="BU40" i="1"/>
  <c r="BX40" i="1" s="1"/>
  <c r="BS41" i="1"/>
  <c r="BT41" i="1"/>
  <c r="BP41" i="1"/>
  <c r="BR42" i="1" s="1"/>
  <c r="BX39" i="1"/>
  <c r="BY39" i="1" s="1"/>
  <c r="BV39" i="1"/>
  <c r="BV40" i="1" l="1"/>
  <c r="BY40" i="1"/>
  <c r="BI41" i="1"/>
  <c r="BJ41" i="1" s="1"/>
  <c r="BH42" i="1"/>
  <c r="BG42" i="1"/>
  <c r="BD42" i="1"/>
  <c r="BF43" i="1" s="1"/>
  <c r="BU41" i="1"/>
  <c r="BS42" i="1"/>
  <c r="BP42" i="1"/>
  <c r="BR43" i="1" s="1"/>
  <c r="BT42" i="1"/>
  <c r="BX41" i="1" l="1"/>
  <c r="BY41" i="1" s="1"/>
  <c r="BI42" i="1"/>
  <c r="BJ42" i="1" s="1"/>
  <c r="BD43" i="1"/>
  <c r="BF44" i="1" s="1"/>
  <c r="BG43" i="1"/>
  <c r="BH43" i="1"/>
  <c r="BV41" i="1"/>
  <c r="BU42" i="1"/>
  <c r="BT43" i="1"/>
  <c r="BP43" i="1"/>
  <c r="BR44" i="1" s="1"/>
  <c r="BS43" i="1"/>
  <c r="BU43" i="1" s="1"/>
  <c r="BI43" i="1" l="1"/>
  <c r="BJ43" i="1" s="1"/>
  <c r="BH44" i="1"/>
  <c r="BD44" i="1"/>
  <c r="BF45" i="1" s="1"/>
  <c r="BG44" i="1"/>
  <c r="BT44" i="1"/>
  <c r="BS44" i="1"/>
  <c r="BU44" i="1" s="1"/>
  <c r="BP44" i="1"/>
  <c r="BR45" i="1" s="1"/>
  <c r="BX42" i="1"/>
  <c r="BY42" i="1" s="1"/>
  <c r="BV42" i="1"/>
  <c r="BV43" i="1" s="1"/>
  <c r="BI44" i="1" l="1"/>
  <c r="BX44" i="1" s="1"/>
  <c r="BG45" i="1"/>
  <c r="BD45" i="1"/>
  <c r="BF46" i="1" s="1"/>
  <c r="BH45" i="1"/>
  <c r="BV44" i="1"/>
  <c r="BX43" i="1"/>
  <c r="BY43" i="1" s="1"/>
  <c r="BS45" i="1"/>
  <c r="BT45" i="1"/>
  <c r="BP45" i="1"/>
  <c r="BR46" i="1" s="1"/>
  <c r="BY44" i="1" l="1"/>
  <c r="BJ44" i="1"/>
  <c r="BD46" i="1"/>
  <c r="BF47" i="1" s="1"/>
  <c r="BH46" i="1"/>
  <c r="BG46" i="1"/>
  <c r="BI45" i="1"/>
  <c r="BT46" i="1"/>
  <c r="BS46" i="1"/>
  <c r="BP46" i="1"/>
  <c r="BR47" i="1" s="1"/>
  <c r="BU45" i="1"/>
  <c r="BI46" i="1" l="1"/>
  <c r="BU46" i="1"/>
  <c r="BX46" i="1" s="1"/>
  <c r="BJ45" i="1"/>
  <c r="BJ46" i="1" s="1"/>
  <c r="BH47" i="1"/>
  <c r="BD47" i="1"/>
  <c r="BF48" i="1" s="1"/>
  <c r="BG47" i="1"/>
  <c r="BX45" i="1"/>
  <c r="BY45" i="1" s="1"/>
  <c r="BV45" i="1"/>
  <c r="BS47" i="1"/>
  <c r="BT47" i="1"/>
  <c r="BP47" i="1"/>
  <c r="BR48" i="1" s="1"/>
  <c r="BV46" i="1" l="1"/>
  <c r="BU47" i="1"/>
  <c r="BI47" i="1"/>
  <c r="BJ47" i="1" s="1"/>
  <c r="BY46" i="1"/>
  <c r="BH48" i="1"/>
  <c r="BG48" i="1"/>
  <c r="BI48" i="1" s="1"/>
  <c r="BD48" i="1"/>
  <c r="BF49" i="1" s="1"/>
  <c r="BS48" i="1"/>
  <c r="BT48" i="1"/>
  <c r="BP48" i="1"/>
  <c r="BR49" i="1" s="1"/>
  <c r="BV47" i="1" l="1"/>
  <c r="BJ48" i="1"/>
  <c r="BX47" i="1"/>
  <c r="BY47" i="1" s="1"/>
  <c r="BU48" i="1"/>
  <c r="BD49" i="1"/>
  <c r="BF50" i="1" s="1"/>
  <c r="BH49" i="1"/>
  <c r="BG49" i="1"/>
  <c r="BP49" i="1"/>
  <c r="BR50" i="1" s="1"/>
  <c r="BT49" i="1"/>
  <c r="BS49" i="1"/>
  <c r="BU49" i="1" s="1"/>
  <c r="BV48" i="1" l="1"/>
  <c r="BV49" i="1" s="1"/>
  <c r="BI49" i="1"/>
  <c r="BX49" i="1" s="1"/>
  <c r="BX48" i="1"/>
  <c r="BY48" i="1" s="1"/>
  <c r="BG50" i="1"/>
  <c r="BH50" i="1"/>
  <c r="BD50" i="1"/>
  <c r="BF51" i="1" s="1"/>
  <c r="BT50" i="1"/>
  <c r="BS50" i="1"/>
  <c r="BP50" i="1"/>
  <c r="BR51" i="1" s="1"/>
  <c r="BU50" i="1" l="1"/>
  <c r="BX50" i="1" s="1"/>
  <c r="BJ49" i="1"/>
  <c r="BV50" i="1"/>
  <c r="BY49" i="1"/>
  <c r="BD51" i="1"/>
  <c r="BF52" i="1" s="1"/>
  <c r="BH51" i="1"/>
  <c r="BG51" i="1"/>
  <c r="BI50" i="1"/>
  <c r="BS51" i="1"/>
  <c r="BT51" i="1"/>
  <c r="BP51" i="1"/>
  <c r="BR52" i="1" s="1"/>
  <c r="BJ50" i="1" l="1"/>
  <c r="BI51" i="1"/>
  <c r="BY50" i="1"/>
  <c r="BG52" i="1"/>
  <c r="BD52" i="1"/>
  <c r="BF53" i="1" s="1"/>
  <c r="BH52" i="1"/>
  <c r="BP52" i="1"/>
  <c r="BR53" i="1" s="1"/>
  <c r="BT52" i="1"/>
  <c r="BS52" i="1"/>
  <c r="BU51" i="1"/>
  <c r="BJ51" i="1" l="1"/>
  <c r="BU52" i="1"/>
  <c r="BH53" i="1"/>
  <c r="BG53" i="1"/>
  <c r="BD53" i="1"/>
  <c r="BF54" i="1" s="1"/>
  <c r="BI52" i="1"/>
  <c r="BX51" i="1"/>
  <c r="BY51" i="1" s="1"/>
  <c r="BV51" i="1"/>
  <c r="BT53" i="1"/>
  <c r="BS53" i="1"/>
  <c r="BU53" i="1" s="1"/>
  <c r="BP53" i="1"/>
  <c r="BR54" i="1" s="1"/>
  <c r="BJ52" i="1" l="1"/>
  <c r="BV52" i="1"/>
  <c r="BV53" i="1" s="1"/>
  <c r="BI53" i="1"/>
  <c r="BG54" i="1"/>
  <c r="BH54" i="1"/>
  <c r="BD54" i="1"/>
  <c r="BF55" i="1" s="1"/>
  <c r="BX52" i="1"/>
  <c r="BY52" i="1" s="1"/>
  <c r="BT54" i="1"/>
  <c r="BP54" i="1"/>
  <c r="BR55" i="1" s="1"/>
  <c r="BS54" i="1"/>
  <c r="BU54" i="1" s="1"/>
  <c r="BJ53" i="1" l="1"/>
  <c r="BV54" i="1"/>
  <c r="BX53" i="1"/>
  <c r="BY53" i="1" s="1"/>
  <c r="BP55" i="1"/>
  <c r="BR56" i="1" s="1"/>
  <c r="BT55" i="1"/>
  <c r="BS55" i="1"/>
  <c r="BD55" i="1"/>
  <c r="BF56" i="1" s="1"/>
  <c r="BG55" i="1"/>
  <c r="BH55" i="1"/>
  <c r="BI54" i="1"/>
  <c r="BJ54" i="1" l="1"/>
  <c r="BU55" i="1"/>
  <c r="BV55" i="1" s="1"/>
  <c r="BS56" i="1"/>
  <c r="BP56" i="1"/>
  <c r="BR57" i="1" s="1"/>
  <c r="BT56" i="1"/>
  <c r="BI55" i="1"/>
  <c r="BH56" i="1"/>
  <c r="BD56" i="1"/>
  <c r="BF57" i="1" s="1"/>
  <c r="BG56" i="1"/>
  <c r="BX54" i="1"/>
  <c r="BY54" i="1" s="1"/>
  <c r="BI56" i="1" l="1"/>
  <c r="BX55" i="1"/>
  <c r="BY55" i="1" s="1"/>
  <c r="BS57" i="1"/>
  <c r="BP57" i="1"/>
  <c r="BR58" i="1" s="1"/>
  <c r="BT57" i="1"/>
  <c r="BU56" i="1"/>
  <c r="BV56" i="1" s="1"/>
  <c r="BG57" i="1"/>
  <c r="BH57" i="1"/>
  <c r="BD57" i="1"/>
  <c r="BF58" i="1" s="1"/>
  <c r="BJ55" i="1"/>
  <c r="BJ56" i="1" l="1"/>
  <c r="BI57" i="1"/>
  <c r="BU57" i="1"/>
  <c r="BX57" i="1" s="1"/>
  <c r="BX56" i="1"/>
  <c r="BY56" i="1" s="1"/>
  <c r="BS58" i="1"/>
  <c r="BT58" i="1"/>
  <c r="BP58" i="1"/>
  <c r="BR59" i="1" s="1"/>
  <c r="BD58" i="1"/>
  <c r="BF59" i="1" s="1"/>
  <c r="BG58" i="1"/>
  <c r="BH58" i="1"/>
  <c r="BJ57" i="1" l="1"/>
  <c r="BY57" i="1"/>
  <c r="BV57" i="1"/>
  <c r="BU58" i="1"/>
  <c r="BT59" i="1"/>
  <c r="BP59" i="1"/>
  <c r="BR60" i="1" s="1"/>
  <c r="BS59" i="1"/>
  <c r="BH59" i="1"/>
  <c r="BD59" i="1"/>
  <c r="BF60" i="1" s="1"/>
  <c r="BG59" i="1"/>
  <c r="BI59" i="1" s="1"/>
  <c r="BI58" i="1"/>
  <c r="BV58" i="1" l="1"/>
  <c r="BU59" i="1"/>
  <c r="BS60" i="1"/>
  <c r="BT60" i="1"/>
  <c r="BP60" i="1"/>
  <c r="BR61" i="1" s="1"/>
  <c r="BH60" i="1"/>
  <c r="BD60" i="1"/>
  <c r="BF61" i="1" s="1"/>
  <c r="BG60" i="1"/>
  <c r="BX58" i="1"/>
  <c r="BY58" i="1" s="1"/>
  <c r="BJ58" i="1"/>
  <c r="BJ59" i="1" s="1"/>
  <c r="BV59" i="1" l="1"/>
  <c r="BI60" i="1"/>
  <c r="BJ60" i="1" s="1"/>
  <c r="BX59" i="1"/>
  <c r="BY59" i="1" s="1"/>
  <c r="BU60" i="1"/>
  <c r="BP61" i="1"/>
  <c r="BR62" i="1" s="1"/>
  <c r="BS61" i="1"/>
  <c r="BT61" i="1"/>
  <c r="BD61" i="1"/>
  <c r="BF62" i="1" s="1"/>
  <c r="BH61" i="1"/>
  <c r="BG61" i="1"/>
  <c r="BV60" i="1" l="1"/>
  <c r="BI61" i="1"/>
  <c r="BJ61" i="1" s="1"/>
  <c r="BX60" i="1"/>
  <c r="BY60" i="1" s="1"/>
  <c r="BU61" i="1"/>
  <c r="BP62" i="1"/>
  <c r="BR63" i="1" s="1"/>
  <c r="BS62" i="1"/>
  <c r="BT62" i="1"/>
  <c r="BH62" i="1"/>
  <c r="BG62" i="1"/>
  <c r="BI62" i="1" s="1"/>
  <c r="BD62" i="1"/>
  <c r="BF63" i="1" s="1"/>
  <c r="BV61" i="1" l="1"/>
  <c r="BX61" i="1"/>
  <c r="BY61" i="1" s="1"/>
  <c r="BU62" i="1"/>
  <c r="BV62" i="1" s="1"/>
  <c r="BP63" i="1"/>
  <c r="BR64" i="1" s="1"/>
  <c r="BS63" i="1"/>
  <c r="BT63" i="1"/>
  <c r="BD63" i="1"/>
  <c r="BF64" i="1" s="1"/>
  <c r="BG63" i="1"/>
  <c r="BH63" i="1"/>
  <c r="BI63" i="1" s="1"/>
  <c r="BJ62" i="1"/>
  <c r="BJ63" i="1" s="1"/>
  <c r="BX62" i="1" l="1"/>
  <c r="BY62" i="1" s="1"/>
  <c r="BU63" i="1"/>
  <c r="BX63" i="1" s="1"/>
  <c r="BT64" i="1"/>
  <c r="BS64" i="1"/>
  <c r="BP64" i="1"/>
  <c r="BR65" i="1" s="1"/>
  <c r="BD64" i="1"/>
  <c r="BF65" i="1" s="1"/>
  <c r="BH64" i="1"/>
  <c r="BG64" i="1"/>
  <c r="BI64" i="1" s="1"/>
  <c r="BY63" i="1" l="1"/>
  <c r="BU64" i="1"/>
  <c r="BX64" i="1" s="1"/>
  <c r="BV63" i="1"/>
  <c r="BP65" i="1"/>
  <c r="BR66" i="1" s="1"/>
  <c r="BT65" i="1"/>
  <c r="BS65" i="1"/>
  <c r="BD65" i="1"/>
  <c r="BF66" i="1" s="1"/>
  <c r="BH65" i="1"/>
  <c r="BG65" i="1"/>
  <c r="BJ64" i="1"/>
  <c r="BY64" i="1" l="1"/>
  <c r="BV64" i="1"/>
  <c r="BU65" i="1"/>
  <c r="BP66" i="1"/>
  <c r="BR67" i="1" s="1"/>
  <c r="BT66" i="1"/>
  <c r="BS66" i="1"/>
  <c r="BH66" i="1"/>
  <c r="BG66" i="1"/>
  <c r="BI66" i="1" s="1"/>
  <c r="BD66" i="1"/>
  <c r="BF67" i="1" s="1"/>
  <c r="BI65" i="1"/>
  <c r="BU66" i="1" l="1"/>
  <c r="BX66" i="1" s="1"/>
  <c r="BV65" i="1"/>
  <c r="BX65" i="1"/>
  <c r="BY65" i="1" s="1"/>
  <c r="BT67" i="1"/>
  <c r="BS67" i="1"/>
  <c r="BP67" i="1"/>
  <c r="BR68" i="1" s="1"/>
  <c r="BD67" i="1"/>
  <c r="BF68" i="1" s="1"/>
  <c r="BG67" i="1"/>
  <c r="BH67" i="1"/>
  <c r="BJ65" i="1"/>
  <c r="BJ66" i="1" s="1"/>
  <c r="BV66" i="1" l="1"/>
  <c r="BY66" i="1"/>
  <c r="BU67" i="1"/>
  <c r="BS68" i="1"/>
  <c r="BP68" i="1"/>
  <c r="BR69" i="1" s="1"/>
  <c r="BT68" i="1"/>
  <c r="BI67" i="1"/>
  <c r="BJ67" i="1" s="1"/>
  <c r="BH68" i="1"/>
  <c r="BG68" i="1"/>
  <c r="BI68" i="1" s="1"/>
  <c r="BD68" i="1"/>
  <c r="BF69" i="1" s="1"/>
  <c r="BV67" i="1" l="1"/>
  <c r="BX67" i="1"/>
  <c r="BY67" i="1" s="1"/>
  <c r="BJ68" i="1"/>
  <c r="BT69" i="1"/>
  <c r="BP69" i="1"/>
  <c r="BR70" i="1" s="1"/>
  <c r="BS69" i="1"/>
  <c r="BU68" i="1"/>
  <c r="BG69" i="1"/>
  <c r="BH69" i="1"/>
  <c r="BD69" i="1"/>
  <c r="BF70" i="1" s="1"/>
  <c r="BV68" i="1" l="1"/>
  <c r="BU69" i="1"/>
  <c r="BX68" i="1"/>
  <c r="BY68" i="1" s="1"/>
  <c r="BP70" i="1"/>
  <c r="BR71" i="1" s="1"/>
  <c r="BT70" i="1"/>
  <c r="BS70" i="1"/>
  <c r="BD70" i="1"/>
  <c r="BF71" i="1" s="1"/>
  <c r="BH70" i="1"/>
  <c r="BG70" i="1"/>
  <c r="BI69" i="1"/>
  <c r="BI70" i="1" l="1"/>
  <c r="BV69" i="1"/>
  <c r="BU70" i="1"/>
  <c r="BV70" i="1" s="1"/>
  <c r="BX70" i="1"/>
  <c r="BT71" i="1"/>
  <c r="BP71" i="1"/>
  <c r="BR72" i="1" s="1"/>
  <c r="BS71" i="1"/>
  <c r="BG71" i="1"/>
  <c r="BD71" i="1"/>
  <c r="BF72" i="1" s="1"/>
  <c r="BH71" i="1"/>
  <c r="BI71" i="1" s="1"/>
  <c r="BX69" i="1"/>
  <c r="BY69" i="1" s="1"/>
  <c r="BJ69" i="1"/>
  <c r="BJ70" i="1" l="1"/>
  <c r="BJ71" i="1" s="1"/>
  <c r="BY70" i="1"/>
  <c r="BU71" i="1"/>
  <c r="BV71" i="1" s="1"/>
  <c r="BS72" i="1"/>
  <c r="BP72" i="1"/>
  <c r="BR73" i="1" s="1"/>
  <c r="BT72" i="1"/>
  <c r="BG72" i="1"/>
  <c r="BD72" i="1"/>
  <c r="BF73" i="1" s="1"/>
  <c r="BH72" i="1"/>
  <c r="BI72" i="1" l="1"/>
  <c r="BJ72" i="1" s="1"/>
  <c r="BX71" i="1"/>
  <c r="BY71" i="1" s="1"/>
  <c r="BU72" i="1"/>
  <c r="BV72" i="1" s="1"/>
  <c r="BS73" i="1"/>
  <c r="BP73" i="1"/>
  <c r="BR74" i="1" s="1"/>
  <c r="BT73" i="1"/>
  <c r="BD73" i="1"/>
  <c r="BF74" i="1" s="1"/>
  <c r="BH73" i="1"/>
  <c r="BG73" i="1"/>
  <c r="BX72" i="1" l="1"/>
  <c r="BY72" i="1" s="1"/>
  <c r="BS74" i="1"/>
  <c r="BT74" i="1"/>
  <c r="BP74" i="1"/>
  <c r="BR75" i="1" s="1"/>
  <c r="BU73" i="1"/>
  <c r="BV73" i="1" s="1"/>
  <c r="BH74" i="1"/>
  <c r="BD74" i="1"/>
  <c r="BF75" i="1" s="1"/>
  <c r="BG74" i="1"/>
  <c r="BI73" i="1"/>
  <c r="BX73" i="1" s="1"/>
  <c r="BY73" i="1" l="1"/>
  <c r="BI74" i="1"/>
  <c r="BU74" i="1"/>
  <c r="BV74" i="1" s="1"/>
  <c r="BP75" i="1"/>
  <c r="BR76" i="1" s="1"/>
  <c r="BT75" i="1"/>
  <c r="BS75" i="1"/>
  <c r="BG75" i="1"/>
  <c r="BD75" i="1"/>
  <c r="BF76" i="1" s="1"/>
  <c r="BH75" i="1"/>
  <c r="BJ73" i="1"/>
  <c r="BU75" i="1" l="1"/>
  <c r="BV75" i="1" s="1"/>
  <c r="BJ74" i="1"/>
  <c r="BX74" i="1"/>
  <c r="BY74" i="1" s="1"/>
  <c r="BS76" i="1"/>
  <c r="BT76" i="1"/>
  <c r="BP76" i="1"/>
  <c r="BR77" i="1" s="1"/>
  <c r="BG76" i="1"/>
  <c r="BD76" i="1"/>
  <c r="BF77" i="1" s="1"/>
  <c r="BH76" i="1"/>
  <c r="BI75" i="1"/>
  <c r="BJ75" i="1" l="1"/>
  <c r="BX75" i="1"/>
  <c r="BY75" i="1" s="1"/>
  <c r="BP77" i="1"/>
  <c r="BR78" i="1" s="1"/>
  <c r="BT77" i="1"/>
  <c r="BS77" i="1"/>
  <c r="BU76" i="1"/>
  <c r="BV76" i="1" s="1"/>
  <c r="BD77" i="1"/>
  <c r="BF78" i="1" s="1"/>
  <c r="BH77" i="1"/>
  <c r="BG77" i="1"/>
  <c r="BI77" i="1" s="1"/>
  <c r="BI76" i="1"/>
  <c r="BX76" i="1" s="1"/>
  <c r="BY76" i="1" l="1"/>
  <c r="BU77" i="1"/>
  <c r="BX77" i="1" s="1"/>
  <c r="BJ76" i="1"/>
  <c r="BJ77" i="1" s="1"/>
  <c r="BT78" i="1"/>
  <c r="BP78" i="1"/>
  <c r="BR79" i="1" s="1"/>
  <c r="BS78" i="1"/>
  <c r="BH78" i="1"/>
  <c r="BG78" i="1"/>
  <c r="BD78" i="1"/>
  <c r="BF79" i="1" s="1"/>
  <c r="BY77" i="1" l="1"/>
  <c r="BI78" i="1"/>
  <c r="BJ78" i="1" s="1"/>
  <c r="BU78" i="1"/>
  <c r="BV77" i="1"/>
  <c r="BS79" i="1"/>
  <c r="BP79" i="1"/>
  <c r="BR80" i="1" s="1"/>
  <c r="BT79" i="1"/>
  <c r="BD79" i="1"/>
  <c r="BF80" i="1" s="1"/>
  <c r="BH79" i="1"/>
  <c r="BG79" i="1"/>
  <c r="BX78" i="1" l="1"/>
  <c r="BY78" i="1" s="1"/>
  <c r="BV78" i="1"/>
  <c r="BT80" i="1"/>
  <c r="BS80" i="1"/>
  <c r="BP80" i="1"/>
  <c r="BR81" i="1" s="1"/>
  <c r="BU79" i="1"/>
  <c r="BD80" i="1"/>
  <c r="BF81" i="1" s="1"/>
  <c r="BH80" i="1"/>
  <c r="BG80" i="1"/>
  <c r="BI80" i="1" s="1"/>
  <c r="BI79" i="1"/>
  <c r="BU80" i="1" l="1"/>
  <c r="BX80" i="1" s="1"/>
  <c r="BV79" i="1"/>
  <c r="BS81" i="1"/>
  <c r="BT81" i="1"/>
  <c r="BP81" i="1"/>
  <c r="BR82" i="1" s="1"/>
  <c r="BG81" i="1"/>
  <c r="BH81" i="1"/>
  <c r="BD81" i="1"/>
  <c r="BF82" i="1" s="1"/>
  <c r="BX79" i="1"/>
  <c r="BY79" i="1" s="1"/>
  <c r="BJ79" i="1"/>
  <c r="BJ80" i="1" s="1"/>
  <c r="BV80" i="1" l="1"/>
  <c r="BY80" i="1"/>
  <c r="BU81" i="1"/>
  <c r="BT82" i="1"/>
  <c r="BS82" i="1"/>
  <c r="BP82" i="1"/>
  <c r="BR83" i="1" s="1"/>
  <c r="BI81" i="1"/>
  <c r="BJ81" i="1"/>
  <c r="BH82" i="1"/>
  <c r="BD82" i="1"/>
  <c r="BF83" i="1" s="1"/>
  <c r="BG82" i="1"/>
  <c r="BV81" i="1" l="1"/>
  <c r="BX81" i="1"/>
  <c r="BY81" i="1" s="1"/>
  <c r="BU82" i="1"/>
  <c r="BV82" i="1" s="1"/>
  <c r="BS83" i="1"/>
  <c r="BT83" i="1"/>
  <c r="BP83" i="1"/>
  <c r="BR84" i="1" s="1"/>
  <c r="BI82" i="1"/>
  <c r="BH83" i="1"/>
  <c r="BD83" i="1"/>
  <c r="BF84" i="1" s="1"/>
  <c r="BG83" i="1"/>
  <c r="BI83" i="1" s="1"/>
  <c r="BX82" i="1" l="1"/>
  <c r="BY82" i="1" s="1"/>
  <c r="BU83" i="1"/>
  <c r="BX83" i="1" s="1"/>
  <c r="BS84" i="1"/>
  <c r="BP84" i="1"/>
  <c r="BR85" i="1" s="1"/>
  <c r="BT84" i="1"/>
  <c r="BJ82" i="1"/>
  <c r="BJ83" i="1" s="1"/>
  <c r="BD84" i="1"/>
  <c r="BF85" i="1" s="1"/>
  <c r="BG84" i="1"/>
  <c r="BH84" i="1"/>
  <c r="BY83" i="1" l="1"/>
  <c r="BV83" i="1"/>
  <c r="BI84" i="1"/>
  <c r="BS85" i="1"/>
  <c r="BT85" i="1"/>
  <c r="BP85" i="1"/>
  <c r="BR86" i="1" s="1"/>
  <c r="BU84" i="1"/>
  <c r="BD85" i="1"/>
  <c r="BF86" i="1" s="1"/>
  <c r="BH85" i="1"/>
  <c r="BG85" i="1"/>
  <c r="BV84" i="1" l="1"/>
  <c r="BX84" i="1"/>
  <c r="BY84" i="1" s="1"/>
  <c r="BJ84" i="1"/>
  <c r="BP86" i="1"/>
  <c r="BR87" i="1" s="1"/>
  <c r="BT86" i="1"/>
  <c r="BS86" i="1"/>
  <c r="BU86" i="1" s="1"/>
  <c r="BU85" i="1"/>
  <c r="BG86" i="1"/>
  <c r="BD86" i="1"/>
  <c r="BF87" i="1" s="1"/>
  <c r="BH86" i="1"/>
  <c r="BI85" i="1"/>
  <c r="BX85" i="1" s="1"/>
  <c r="BV85" i="1" l="1"/>
  <c r="BV86" i="1" s="1"/>
  <c r="BY85" i="1"/>
  <c r="BP87" i="1"/>
  <c r="BR88" i="1" s="1"/>
  <c r="BS87" i="1"/>
  <c r="BT87" i="1"/>
  <c r="BH87" i="1"/>
  <c r="BG87" i="1"/>
  <c r="BI87" i="1" s="1"/>
  <c r="BD87" i="1"/>
  <c r="BF88" i="1" s="1"/>
  <c r="BI86" i="1"/>
  <c r="BX86" i="1" s="1"/>
  <c r="BJ85" i="1"/>
  <c r="BJ86" i="1" s="1"/>
  <c r="BY86" i="1" l="1"/>
  <c r="BU87" i="1"/>
  <c r="BV87" i="1" s="1"/>
  <c r="BS88" i="1"/>
  <c r="BP88" i="1"/>
  <c r="BR89" i="1" s="1"/>
  <c r="BT88" i="1"/>
  <c r="BH88" i="1"/>
  <c r="BG88" i="1"/>
  <c r="BD88" i="1"/>
  <c r="BF89" i="1" s="1"/>
  <c r="BJ87" i="1"/>
  <c r="BS89" i="1" l="1"/>
  <c r="BP89" i="1"/>
  <c r="BR90" i="1" s="1"/>
  <c r="BT89" i="1"/>
  <c r="BI88" i="1"/>
  <c r="BU88" i="1"/>
  <c r="BV88" i="1" s="1"/>
  <c r="BX87" i="1"/>
  <c r="BY87" i="1" s="1"/>
  <c r="BJ88" i="1"/>
  <c r="BH89" i="1"/>
  <c r="BD89" i="1"/>
  <c r="BF90" i="1" s="1"/>
  <c r="BG89" i="1"/>
  <c r="BT90" i="1" l="1"/>
  <c r="BP90" i="1"/>
  <c r="BR91" i="1" s="1"/>
  <c r="BS90" i="1"/>
  <c r="BU89" i="1"/>
  <c r="BV89" i="1" s="1"/>
  <c r="BX88" i="1"/>
  <c r="BY88" i="1" s="1"/>
  <c r="BG90" i="1"/>
  <c r="BD90" i="1"/>
  <c r="BF91" i="1" s="1"/>
  <c r="BH90" i="1"/>
  <c r="BI89" i="1"/>
  <c r="BU90" i="1" l="1"/>
  <c r="BV90" i="1" s="1"/>
  <c r="BP91" i="1"/>
  <c r="BR92" i="1" s="1"/>
  <c r="BS91" i="1"/>
  <c r="BT91" i="1"/>
  <c r="BH91" i="1"/>
  <c r="BG91" i="1"/>
  <c r="BI91" i="1" s="1"/>
  <c r="BD91" i="1"/>
  <c r="BF92" i="1" s="1"/>
  <c r="BI90" i="1"/>
  <c r="BX89" i="1"/>
  <c r="BY89" i="1" s="1"/>
  <c r="BJ89" i="1"/>
  <c r="BJ90" i="1" s="1"/>
  <c r="BJ91" i="1" s="1"/>
  <c r="BX90" i="1" l="1"/>
  <c r="BY90" i="1" s="1"/>
  <c r="BU91" i="1"/>
  <c r="BV91" i="1" s="1"/>
  <c r="BP92" i="1"/>
  <c r="BR93" i="1" s="1"/>
  <c r="BT92" i="1"/>
  <c r="BS92" i="1"/>
  <c r="BD92" i="1"/>
  <c r="BF93" i="1" s="1"/>
  <c r="BG92" i="1"/>
  <c r="BH92" i="1"/>
  <c r="BU92" i="1" l="1"/>
  <c r="BV92" i="1"/>
  <c r="BT93" i="1"/>
  <c r="BP93" i="1"/>
  <c r="BR94" i="1" s="1"/>
  <c r="BS93" i="1"/>
  <c r="BX91" i="1"/>
  <c r="BY91" i="1" s="1"/>
  <c r="BI92" i="1"/>
  <c r="BH93" i="1"/>
  <c r="BD93" i="1"/>
  <c r="BF94" i="1" s="1"/>
  <c r="BG93" i="1"/>
  <c r="BU93" i="1" l="1"/>
  <c r="BV93" i="1" s="1"/>
  <c r="BP94" i="1"/>
  <c r="BR95" i="1" s="1"/>
  <c r="BS94" i="1"/>
  <c r="BT94" i="1"/>
  <c r="BX92" i="1"/>
  <c r="BJ92" i="1"/>
  <c r="BI93" i="1"/>
  <c r="BG94" i="1"/>
  <c r="BH94" i="1"/>
  <c r="BD94" i="1"/>
  <c r="BF95" i="1" s="1"/>
  <c r="BX93" i="1" l="1"/>
  <c r="BJ93" i="1"/>
  <c r="BU94" i="1"/>
  <c r="BV94" i="1" s="1"/>
  <c r="BT95" i="1"/>
  <c r="BP95" i="1"/>
  <c r="BR96" i="1" s="1"/>
  <c r="BS95" i="1"/>
  <c r="BU95" i="1" s="1"/>
  <c r="BI94" i="1"/>
  <c r="BG95" i="1"/>
  <c r="BH95" i="1"/>
  <c r="BD95" i="1"/>
  <c r="BF96" i="1" s="1"/>
  <c r="BY92" i="1"/>
  <c r="BY93" i="1" l="1"/>
  <c r="BT96" i="1"/>
  <c r="BP96" i="1"/>
  <c r="BR97" i="1" s="1"/>
  <c r="BS96" i="1"/>
  <c r="BV95" i="1"/>
  <c r="BH96" i="1"/>
  <c r="BD96" i="1"/>
  <c r="BF97" i="1" s="1"/>
  <c r="BG96" i="1"/>
  <c r="BI95" i="1"/>
  <c r="BX94" i="1"/>
  <c r="BJ94" i="1"/>
  <c r="BJ95" i="1" l="1"/>
  <c r="BI96" i="1"/>
  <c r="BJ96" i="1" s="1"/>
  <c r="BU96" i="1"/>
  <c r="BV96" i="1" s="1"/>
  <c r="BH97" i="1"/>
  <c r="BG97" i="1"/>
  <c r="BD97" i="1"/>
  <c r="BF98" i="1" s="1"/>
  <c r="BP97" i="1"/>
  <c r="BR98" i="1" s="1"/>
  <c r="BT97" i="1"/>
  <c r="BS97" i="1"/>
  <c r="BU97" i="1" s="1"/>
  <c r="BX95" i="1"/>
  <c r="BY94" i="1"/>
  <c r="BX96" i="1" l="1"/>
  <c r="BT98" i="1"/>
  <c r="BS98" i="1"/>
  <c r="BP98" i="1"/>
  <c r="BR99" i="1" s="1"/>
  <c r="BG98" i="1"/>
  <c r="BH98" i="1"/>
  <c r="BD98" i="1"/>
  <c r="BF99" i="1" s="1"/>
  <c r="BV97" i="1"/>
  <c r="BI97" i="1"/>
  <c r="BY95" i="1"/>
  <c r="BY96" i="1" l="1"/>
  <c r="BU98" i="1"/>
  <c r="BV98" i="1" s="1"/>
  <c r="BG99" i="1"/>
  <c r="BD99" i="1"/>
  <c r="BF100" i="1" s="1"/>
  <c r="BH99" i="1"/>
  <c r="BX97" i="1"/>
  <c r="BJ97" i="1"/>
  <c r="BI98" i="1"/>
  <c r="BS99" i="1"/>
  <c r="BP99" i="1"/>
  <c r="BR100" i="1" s="1"/>
  <c r="BT99" i="1"/>
  <c r="BY97" i="1" l="1"/>
  <c r="BX98" i="1"/>
  <c r="BI99" i="1"/>
  <c r="BT100" i="1"/>
  <c r="BS100" i="1"/>
  <c r="BP100" i="1"/>
  <c r="BR101" i="1" s="1"/>
  <c r="BJ98" i="1"/>
  <c r="BU99" i="1"/>
  <c r="BG100" i="1"/>
  <c r="BH100" i="1"/>
  <c r="BD100" i="1"/>
  <c r="BF101" i="1" s="1"/>
  <c r="BY98" i="1" l="1"/>
  <c r="BU100" i="1"/>
  <c r="BJ99" i="1"/>
  <c r="BG101" i="1"/>
  <c r="BD101" i="1"/>
  <c r="BF102" i="1" s="1"/>
  <c r="BH101" i="1"/>
  <c r="BI100" i="1"/>
  <c r="BX99" i="1"/>
  <c r="BV99" i="1"/>
  <c r="BS101" i="1"/>
  <c r="BT101" i="1"/>
  <c r="BP101" i="1"/>
  <c r="BR102" i="1" s="1"/>
  <c r="BY99" i="1" l="1"/>
  <c r="BV100" i="1"/>
  <c r="BI101" i="1"/>
  <c r="BJ100" i="1"/>
  <c r="BX100" i="1"/>
  <c r="BS102" i="1"/>
  <c r="BP102" i="1"/>
  <c r="BR103" i="1" s="1"/>
  <c r="BT102" i="1"/>
  <c r="BU101" i="1"/>
  <c r="BG102" i="1"/>
  <c r="BH102" i="1"/>
  <c r="BD102" i="1"/>
  <c r="BF103" i="1" s="1"/>
  <c r="BY100" i="1" l="1"/>
  <c r="BJ101" i="1"/>
  <c r="BX101" i="1"/>
  <c r="BH103" i="1"/>
  <c r="BD103" i="1"/>
  <c r="BF104" i="1" s="1"/>
  <c r="BG103" i="1"/>
  <c r="BI102" i="1"/>
  <c r="BV101" i="1"/>
  <c r="BP103" i="1"/>
  <c r="BR104" i="1" s="1"/>
  <c r="BS103" i="1"/>
  <c r="BT103" i="1"/>
  <c r="BU102" i="1"/>
  <c r="BY101" i="1" l="1"/>
  <c r="BX102" i="1"/>
  <c r="BI103" i="1"/>
  <c r="BU103" i="1"/>
  <c r="BH104" i="1"/>
  <c r="BD104" i="1"/>
  <c r="BF105" i="1" s="1"/>
  <c r="BG104" i="1"/>
  <c r="BS104" i="1"/>
  <c r="BT104" i="1"/>
  <c r="BP104" i="1"/>
  <c r="BR105" i="1" s="1"/>
  <c r="BV102" i="1"/>
  <c r="BJ102" i="1"/>
  <c r="BY102" i="1" l="1"/>
  <c r="BI104" i="1"/>
  <c r="BV103" i="1"/>
  <c r="BJ103" i="1"/>
  <c r="BX103" i="1"/>
  <c r="BT105" i="1"/>
  <c r="BP105" i="1"/>
  <c r="BR106" i="1" s="1"/>
  <c r="BS105" i="1"/>
  <c r="BU104" i="1"/>
  <c r="BD105" i="1"/>
  <c r="BF106" i="1" s="1"/>
  <c r="BH105" i="1"/>
  <c r="BG105" i="1"/>
  <c r="BY103" i="1" l="1"/>
  <c r="BI105" i="1"/>
  <c r="BX104" i="1"/>
  <c r="BJ104" i="1"/>
  <c r="BU105" i="1"/>
  <c r="BH106" i="1"/>
  <c r="BG106" i="1"/>
  <c r="BD106" i="1"/>
  <c r="BF107" i="1" s="1"/>
  <c r="BV104" i="1"/>
  <c r="BP106" i="1"/>
  <c r="BR107" i="1" s="1"/>
  <c r="BS106" i="1"/>
  <c r="BT106" i="1"/>
  <c r="BY104" i="1" l="1"/>
  <c r="BY105" i="1" s="1"/>
  <c r="BJ105" i="1"/>
  <c r="BX105" i="1"/>
  <c r="BV105" i="1"/>
  <c r="BU106" i="1"/>
  <c r="BI106" i="1"/>
  <c r="BJ106" i="1" s="1"/>
  <c r="BP107" i="1"/>
  <c r="BR108" i="1" s="1"/>
  <c r="BS107" i="1"/>
  <c r="BT107" i="1"/>
  <c r="BD107" i="1"/>
  <c r="BF108" i="1" s="1"/>
  <c r="BH107" i="1"/>
  <c r="BG107" i="1"/>
  <c r="BV106" i="1" l="1"/>
  <c r="BX106" i="1"/>
  <c r="BY106" i="1" s="1"/>
  <c r="BI107" i="1"/>
  <c r="BU107" i="1"/>
  <c r="BS108" i="1"/>
  <c r="BT108" i="1"/>
  <c r="BP108" i="1"/>
  <c r="BR109" i="1" s="1"/>
  <c r="BD108" i="1"/>
  <c r="BF109" i="1" s="1"/>
  <c r="BH108" i="1"/>
  <c r="BG108" i="1"/>
  <c r="BI108" i="1" s="1"/>
  <c r="BX107" i="1" l="1"/>
  <c r="BY107" i="1" s="1"/>
  <c r="BJ107" i="1"/>
  <c r="BJ108" i="1" s="1"/>
  <c r="BD109" i="1"/>
  <c r="BF110" i="1" s="1"/>
  <c r="BH109" i="1"/>
  <c r="BG109" i="1"/>
  <c r="BT109" i="1"/>
  <c r="BS109" i="1"/>
  <c r="BP109" i="1"/>
  <c r="BR110" i="1" s="1"/>
  <c r="BU108" i="1"/>
  <c r="BX108" i="1" s="1"/>
  <c r="BV107" i="1"/>
  <c r="BV108" i="1" s="1"/>
  <c r="BY108" i="1" l="1"/>
  <c r="BU109" i="1"/>
  <c r="BV109" i="1" s="1"/>
  <c r="BT110" i="1"/>
  <c r="BS110" i="1"/>
  <c r="BP110" i="1"/>
  <c r="BR111" i="1" s="1"/>
  <c r="BI109" i="1"/>
  <c r="BJ109" i="1" s="1"/>
  <c r="BG110" i="1"/>
  <c r="BH110" i="1"/>
  <c r="BD110" i="1"/>
  <c r="BF111" i="1" s="1"/>
  <c r="BI110" i="1" l="1"/>
  <c r="BJ110" i="1" s="1"/>
  <c r="BX109" i="1"/>
  <c r="BY109" i="1" s="1"/>
  <c r="BU110" i="1"/>
  <c r="BV110" i="1" s="1"/>
  <c r="BD111" i="1"/>
  <c r="BF112" i="1" s="1"/>
  <c r="BG111" i="1"/>
  <c r="BH111" i="1"/>
  <c r="BS111" i="1"/>
  <c r="BT111" i="1"/>
  <c r="BP111" i="1"/>
  <c r="BR112" i="1" s="1"/>
  <c r="BX110" i="1" l="1"/>
  <c r="BY110" i="1" s="1"/>
  <c r="BU111" i="1"/>
  <c r="BV111" i="1" s="1"/>
  <c r="BP112" i="1"/>
  <c r="BR113" i="1" s="1"/>
  <c r="BS112" i="1"/>
  <c r="BT112" i="1"/>
  <c r="BI111" i="1"/>
  <c r="BG112" i="1"/>
  <c r="BH112" i="1"/>
  <c r="BD112" i="1"/>
  <c r="BF113" i="1" s="1"/>
  <c r="BS113" i="1" l="1"/>
  <c r="BP113" i="1"/>
  <c r="BR114" i="1" s="1"/>
  <c r="BT113" i="1"/>
  <c r="BH113" i="1"/>
  <c r="BD113" i="1"/>
  <c r="BF114" i="1" s="1"/>
  <c r="BG113" i="1"/>
  <c r="BI113" i="1" s="1"/>
  <c r="BI112" i="1"/>
  <c r="BX111" i="1"/>
  <c r="BY111" i="1" s="1"/>
  <c r="BJ111" i="1"/>
  <c r="BJ112" i="1" s="1"/>
  <c r="BJ113" i="1" s="1"/>
  <c r="BU112" i="1"/>
  <c r="BX112" i="1" s="1"/>
  <c r="BY112" i="1" l="1"/>
  <c r="BG114" i="1"/>
  <c r="BD114" i="1"/>
  <c r="BF115" i="1" s="1"/>
  <c r="BH114" i="1"/>
  <c r="BT114" i="1"/>
  <c r="BS114" i="1"/>
  <c r="BU114" i="1" s="1"/>
  <c r="BP114" i="1"/>
  <c r="BR115" i="1" s="1"/>
  <c r="BU113" i="1"/>
  <c r="BX113" i="1" s="1"/>
  <c r="BV112" i="1"/>
  <c r="BV113" i="1" s="1"/>
  <c r="BV114" i="1" s="1"/>
  <c r="BI114" i="1" l="1"/>
  <c r="BJ114" i="1" s="1"/>
  <c r="BS115" i="1"/>
  <c r="BT115" i="1"/>
  <c r="BP115" i="1"/>
  <c r="BR116" i="1" s="1"/>
  <c r="BG115" i="1"/>
  <c r="BH115" i="1"/>
  <c r="BD115" i="1"/>
  <c r="BF116" i="1" s="1"/>
  <c r="BY113" i="1"/>
  <c r="BI115" i="1" l="1"/>
  <c r="BJ115" i="1" s="1"/>
  <c r="BX114" i="1"/>
  <c r="BY114" i="1" s="1"/>
  <c r="BT116" i="1"/>
  <c r="BP116" i="1"/>
  <c r="BR117" i="1" s="1"/>
  <c r="BS116" i="1"/>
  <c r="BG116" i="1"/>
  <c r="BD116" i="1"/>
  <c r="BF117" i="1" s="1"/>
  <c r="BH116" i="1"/>
  <c r="BU115" i="1"/>
  <c r="BX115" i="1" l="1"/>
  <c r="BY115" i="1" s="1"/>
  <c r="BI116" i="1"/>
  <c r="BJ116" i="1" s="1"/>
  <c r="BV115" i="1"/>
  <c r="BH117" i="1"/>
  <c r="BD117" i="1"/>
  <c r="BF118" i="1" s="1"/>
  <c r="BG117" i="1"/>
  <c r="BU116" i="1"/>
  <c r="BS117" i="1"/>
  <c r="BP117" i="1"/>
  <c r="BR118" i="1" s="1"/>
  <c r="BT117" i="1"/>
  <c r="BX116" i="1" l="1"/>
  <c r="BY116" i="1" s="1"/>
  <c r="BI117" i="1"/>
  <c r="BJ117" i="1" s="1"/>
  <c r="BP118" i="1"/>
  <c r="BR119" i="1" s="1"/>
  <c r="BT118" i="1"/>
  <c r="BS118" i="1"/>
  <c r="BD118" i="1"/>
  <c r="BF119" i="1" s="1"/>
  <c r="BG118" i="1"/>
  <c r="BH118" i="1"/>
  <c r="BV116" i="1"/>
  <c r="BU117" i="1"/>
  <c r="BX117" i="1" l="1"/>
  <c r="BY117" i="1" s="1"/>
  <c r="BU118" i="1"/>
  <c r="BV117" i="1"/>
  <c r="BI118" i="1"/>
  <c r="BJ118" i="1" s="1"/>
  <c r="BH119" i="1"/>
  <c r="BG119" i="1"/>
  <c r="BD119" i="1"/>
  <c r="BF120" i="1" s="1"/>
  <c r="BT119" i="1"/>
  <c r="BS119" i="1"/>
  <c r="BU119" i="1" s="1"/>
  <c r="BP119" i="1"/>
  <c r="BR120" i="1" s="1"/>
  <c r="BV118" i="1" l="1"/>
  <c r="BV119" i="1" s="1"/>
  <c r="BI119" i="1"/>
  <c r="BX119" i="1" s="1"/>
  <c r="BX118" i="1"/>
  <c r="BS120" i="1"/>
  <c r="BT120" i="1"/>
  <c r="BP120" i="1"/>
  <c r="BR121" i="1" s="1"/>
  <c r="BG120" i="1"/>
  <c r="BH120" i="1"/>
  <c r="BD120" i="1"/>
  <c r="BF121" i="1" s="1"/>
  <c r="BJ119" i="1" l="1"/>
  <c r="BD121" i="1"/>
  <c r="BF122" i="1" s="1"/>
  <c r="BH121" i="1"/>
  <c r="BG121" i="1"/>
  <c r="BI120" i="1"/>
  <c r="BS121" i="1"/>
  <c r="BT121" i="1"/>
  <c r="BP121" i="1"/>
  <c r="BR122" i="1" s="1"/>
  <c r="BU120" i="1"/>
  <c r="BY118" i="1"/>
  <c r="BY119" i="1" s="1"/>
  <c r="BJ120" i="1" l="1"/>
  <c r="BI121" i="1"/>
  <c r="BX120" i="1"/>
  <c r="BY120" i="1" s="1"/>
  <c r="BS122" i="1"/>
  <c r="BT122" i="1"/>
  <c r="BP122" i="1"/>
  <c r="BR123" i="1" s="1"/>
  <c r="BU121" i="1"/>
  <c r="BV120" i="1"/>
  <c r="BH122" i="1"/>
  <c r="BD122" i="1"/>
  <c r="BF123" i="1" s="1"/>
  <c r="BG122" i="1"/>
  <c r="BI122" i="1" s="1"/>
  <c r="BJ121" i="1" l="1"/>
  <c r="BJ122" i="1" s="1"/>
  <c r="BV121" i="1"/>
  <c r="BX121" i="1"/>
  <c r="BY121" i="1" s="1"/>
  <c r="BG123" i="1"/>
  <c r="BD123" i="1"/>
  <c r="BF124" i="1" s="1"/>
  <c r="BH123" i="1"/>
  <c r="BT123" i="1"/>
  <c r="BS123" i="1"/>
  <c r="BP123" i="1"/>
  <c r="BR124" i="1" s="1"/>
  <c r="BU122" i="1"/>
  <c r="BV122" i="1" l="1"/>
  <c r="BX122" i="1"/>
  <c r="BP124" i="1"/>
  <c r="BR125" i="1" s="1"/>
  <c r="BT124" i="1"/>
  <c r="BS124" i="1"/>
  <c r="BU123" i="1"/>
  <c r="BD124" i="1"/>
  <c r="BF125" i="1" s="1"/>
  <c r="BG124" i="1"/>
  <c r="BH124" i="1"/>
  <c r="BI123" i="1"/>
  <c r="BJ123" i="1" s="1"/>
  <c r="BV123" i="1" l="1"/>
  <c r="BU124" i="1"/>
  <c r="BV124" i="1" s="1"/>
  <c r="BI124" i="1"/>
  <c r="BJ124" i="1" s="1"/>
  <c r="BG125" i="1"/>
  <c r="BD125" i="1"/>
  <c r="BF126" i="1" s="1"/>
  <c r="BH125" i="1"/>
  <c r="BX123" i="1"/>
  <c r="BS125" i="1"/>
  <c r="BT125" i="1"/>
  <c r="BP125" i="1"/>
  <c r="BR126" i="1" s="1"/>
  <c r="BY122" i="1"/>
  <c r="BY123" i="1" l="1"/>
  <c r="BI125" i="1"/>
  <c r="BJ125" i="1" s="1"/>
  <c r="BX124" i="1"/>
  <c r="BS126" i="1"/>
  <c r="BT126" i="1"/>
  <c r="BP126" i="1"/>
  <c r="BR127" i="1" s="1"/>
  <c r="BU125" i="1"/>
  <c r="BV125" i="1" s="1"/>
  <c r="BH126" i="1"/>
  <c r="BG126" i="1"/>
  <c r="BD126" i="1"/>
  <c r="BF127" i="1" s="1"/>
  <c r="BY124" i="1" l="1"/>
  <c r="BX125" i="1"/>
  <c r="BI126" i="1"/>
  <c r="BJ126" i="1" s="1"/>
  <c r="BG127" i="1"/>
  <c r="BD127" i="1"/>
  <c r="BF128" i="1" s="1"/>
  <c r="BH127" i="1"/>
  <c r="BP127" i="1"/>
  <c r="BR128" i="1" s="1"/>
  <c r="BT127" i="1"/>
  <c r="BS127" i="1"/>
  <c r="BU126" i="1"/>
  <c r="BY125" i="1" l="1"/>
  <c r="BX126" i="1"/>
  <c r="BY126" i="1" s="1"/>
  <c r="BU127" i="1"/>
  <c r="BV126" i="1"/>
  <c r="BI127" i="1"/>
  <c r="BJ127" i="1" s="1"/>
  <c r="BS128" i="1"/>
  <c r="BT128" i="1"/>
  <c r="BP128" i="1"/>
  <c r="BR129" i="1" s="1"/>
  <c r="BG128" i="1"/>
  <c r="BD128" i="1"/>
  <c r="BF129" i="1" s="1"/>
  <c r="BH128" i="1"/>
  <c r="BX127" i="1" l="1"/>
  <c r="BY127" i="1" s="1"/>
  <c r="BV127" i="1"/>
  <c r="BU128" i="1"/>
  <c r="BH129" i="1"/>
  <c r="BG129" i="1"/>
  <c r="BD129" i="1"/>
  <c r="BF130" i="1" s="1"/>
  <c r="BI128" i="1"/>
  <c r="BS129" i="1"/>
  <c r="BP129" i="1"/>
  <c r="BR130" i="1" s="1"/>
  <c r="BT129" i="1"/>
  <c r="BJ128" i="1"/>
  <c r="BI129" i="1" l="1"/>
  <c r="BJ129" i="1" s="1"/>
  <c r="BV128" i="1"/>
  <c r="BT130" i="1"/>
  <c r="BP130" i="1"/>
  <c r="BR131" i="1" s="1"/>
  <c r="BS130" i="1"/>
  <c r="BU129" i="1"/>
  <c r="BG130" i="1"/>
  <c r="BH130" i="1"/>
  <c r="BD130" i="1"/>
  <c r="BF131" i="1" s="1"/>
  <c r="BX128" i="1"/>
  <c r="BY128" i="1" s="1"/>
  <c r="BX129" i="1" l="1"/>
  <c r="BY129" i="1" s="1"/>
  <c r="BU130" i="1"/>
  <c r="BG131" i="1"/>
  <c r="BH131" i="1"/>
  <c r="BD131" i="1"/>
  <c r="BF132" i="1" s="1"/>
  <c r="BI130" i="1"/>
  <c r="BJ130" i="1" s="1"/>
  <c r="BT131" i="1"/>
  <c r="BP131" i="1"/>
  <c r="BR132" i="1" s="1"/>
  <c r="BS131" i="1"/>
  <c r="BU131" i="1" s="1"/>
  <c r="BV129" i="1"/>
  <c r="BI131" i="1" l="1"/>
  <c r="BJ131" i="1" s="1"/>
  <c r="BV130" i="1"/>
  <c r="BV131" i="1" s="1"/>
  <c r="BX130" i="1"/>
  <c r="BY130" i="1" s="1"/>
  <c r="BG132" i="1"/>
  <c r="BH132" i="1"/>
  <c r="BD132" i="1"/>
  <c r="BF133" i="1" s="1"/>
  <c r="BP132" i="1"/>
  <c r="BR133" i="1" s="1"/>
  <c r="BT132" i="1"/>
  <c r="BS132" i="1"/>
  <c r="BU132" i="1" s="1"/>
  <c r="BX131" i="1" l="1"/>
  <c r="BY131" i="1"/>
  <c r="BH133" i="1"/>
  <c r="BG133" i="1"/>
  <c r="BD133" i="1"/>
  <c r="BF134" i="1" s="1"/>
  <c r="BS133" i="1"/>
  <c r="BT133" i="1"/>
  <c r="BP133" i="1"/>
  <c r="BR134" i="1" s="1"/>
  <c r="BV132" i="1"/>
  <c r="BI132" i="1"/>
  <c r="BJ132" i="1" s="1"/>
  <c r="BI133" i="1" l="1"/>
  <c r="BJ133" i="1" s="1"/>
  <c r="BX132" i="1"/>
  <c r="BY132" i="1" s="1"/>
  <c r="BP134" i="1"/>
  <c r="BR135" i="1" s="1"/>
  <c r="BT134" i="1"/>
  <c r="BS134" i="1"/>
  <c r="BU133" i="1"/>
  <c r="BV133" i="1" s="1"/>
  <c r="BH134" i="1"/>
  <c r="BG134" i="1"/>
  <c r="BD134" i="1"/>
  <c r="BF135" i="1" s="1"/>
  <c r="BI134" i="1" l="1"/>
  <c r="BX133" i="1"/>
  <c r="BY133" i="1" s="1"/>
  <c r="BJ134" i="1"/>
  <c r="BU134" i="1"/>
  <c r="BV134" i="1" s="1"/>
  <c r="BS135" i="1"/>
  <c r="BT135" i="1"/>
  <c r="BP135" i="1"/>
  <c r="BR136" i="1" s="1"/>
  <c r="BH135" i="1"/>
  <c r="BD135" i="1"/>
  <c r="BF136" i="1" s="1"/>
  <c r="BG135" i="1"/>
  <c r="BI135" i="1" s="1"/>
  <c r="BJ135" i="1" l="1"/>
  <c r="BX134" i="1"/>
  <c r="BY134" i="1" s="1"/>
  <c r="BU135" i="1"/>
  <c r="BD136" i="1"/>
  <c r="BF137" i="1" s="1"/>
  <c r="BG136" i="1"/>
  <c r="BH136" i="1"/>
  <c r="BS136" i="1"/>
  <c r="BT136" i="1"/>
  <c r="BP136" i="1"/>
  <c r="BR137" i="1" s="1"/>
  <c r="BI136" i="1" l="1"/>
  <c r="BJ136" i="1" s="1"/>
  <c r="BS137" i="1"/>
  <c r="BP137" i="1"/>
  <c r="BR138" i="1" s="1"/>
  <c r="BT137" i="1"/>
  <c r="BU136" i="1"/>
  <c r="BD137" i="1"/>
  <c r="BF138" i="1" s="1"/>
  <c r="BH137" i="1"/>
  <c r="BG137" i="1"/>
  <c r="BI137" i="1" s="1"/>
  <c r="BX135" i="1"/>
  <c r="BY135" i="1" s="1"/>
  <c r="BV135" i="1"/>
  <c r="BV136" i="1" s="1"/>
  <c r="BU137" i="1" l="1"/>
  <c r="BV137" i="1" s="1"/>
  <c r="BX136" i="1"/>
  <c r="BY136" i="1" s="1"/>
  <c r="BD138" i="1"/>
  <c r="BF139" i="1" s="1"/>
  <c r="BG138" i="1"/>
  <c r="BH138" i="1"/>
  <c r="BS138" i="1"/>
  <c r="BP138" i="1"/>
  <c r="BR139" i="1" s="1"/>
  <c r="BT138" i="1"/>
  <c r="BJ137" i="1"/>
  <c r="BX137" i="1" l="1"/>
  <c r="BY137" i="1" s="1"/>
  <c r="BU138" i="1"/>
  <c r="BV138" i="1" s="1"/>
  <c r="BS139" i="1"/>
  <c r="BT139" i="1"/>
  <c r="BP139" i="1"/>
  <c r="BR140" i="1" s="1"/>
  <c r="BI138" i="1"/>
  <c r="BG139" i="1"/>
  <c r="BD139" i="1"/>
  <c r="BF140" i="1" s="1"/>
  <c r="BH139" i="1"/>
  <c r="BJ138" i="1"/>
  <c r="BI139" i="1" l="1"/>
  <c r="BJ139" i="1" s="1"/>
  <c r="BX138" i="1"/>
  <c r="BY138" i="1" s="1"/>
  <c r="BH140" i="1"/>
  <c r="BD140" i="1"/>
  <c r="BF141" i="1" s="1"/>
  <c r="BG140" i="1"/>
  <c r="BT140" i="1"/>
  <c r="BS140" i="1"/>
  <c r="BU140" i="1" s="1"/>
  <c r="BP140" i="1"/>
  <c r="BR141" i="1" s="1"/>
  <c r="BU139" i="1"/>
  <c r="BI140" i="1" l="1"/>
  <c r="BJ140" i="1" s="1"/>
  <c r="BD141" i="1"/>
  <c r="BF142" i="1" s="1"/>
  <c r="BH141" i="1"/>
  <c r="BG141" i="1"/>
  <c r="BX139" i="1"/>
  <c r="BY139" i="1" s="1"/>
  <c r="BV139" i="1"/>
  <c r="BV140" i="1" s="1"/>
  <c r="BP141" i="1"/>
  <c r="BR142" i="1" s="1"/>
  <c r="BS141" i="1"/>
  <c r="BT141" i="1"/>
  <c r="BU141" i="1" s="1"/>
  <c r="BX140" i="1" l="1"/>
  <c r="BY140" i="1" s="1"/>
  <c r="BT142" i="1"/>
  <c r="BP142" i="1"/>
  <c r="BR143" i="1" s="1"/>
  <c r="BS142" i="1"/>
  <c r="BV141" i="1"/>
  <c r="BI141" i="1"/>
  <c r="BX141" i="1" s="1"/>
  <c r="BH142" i="1"/>
  <c r="BG142" i="1"/>
  <c r="BD142" i="1"/>
  <c r="BF143" i="1" s="1"/>
  <c r="BJ141" i="1" l="1"/>
  <c r="BI142" i="1"/>
  <c r="BJ142" i="1" s="1"/>
  <c r="BU142" i="1"/>
  <c r="BV142" i="1" s="1"/>
  <c r="BD143" i="1"/>
  <c r="BF144" i="1" s="1"/>
  <c r="BH143" i="1"/>
  <c r="BG143" i="1"/>
  <c r="BY141" i="1"/>
  <c r="BS143" i="1"/>
  <c r="BT143" i="1"/>
  <c r="BP143" i="1"/>
  <c r="BR144" i="1" s="1"/>
  <c r="BX142" i="1" l="1"/>
  <c r="BU143" i="1"/>
  <c r="BV143" i="1" s="1"/>
  <c r="BY142" i="1"/>
  <c r="BH144" i="1"/>
  <c r="BG144" i="1"/>
  <c r="BD144" i="1"/>
  <c r="BF145" i="1" s="1"/>
  <c r="BT144" i="1"/>
  <c r="BP144" i="1"/>
  <c r="BR145" i="1" s="1"/>
  <c r="BS144" i="1"/>
  <c r="BU144" i="1" s="1"/>
  <c r="BI143" i="1"/>
  <c r="BJ143" i="1" s="1"/>
  <c r="BI144" i="1" l="1"/>
  <c r="BX144" i="1" s="1"/>
  <c r="BX143" i="1"/>
  <c r="BY143" i="1" s="1"/>
  <c r="BS145" i="1"/>
  <c r="BP145" i="1"/>
  <c r="BR146" i="1" s="1"/>
  <c r="BT145" i="1"/>
  <c r="BG145" i="1"/>
  <c r="BH145" i="1"/>
  <c r="BD145" i="1"/>
  <c r="BF146" i="1" s="1"/>
  <c r="BV144" i="1"/>
  <c r="BY144" i="1" l="1"/>
  <c r="BJ144" i="1"/>
  <c r="BU145" i="1"/>
  <c r="BV145" i="1" s="1"/>
  <c r="BD146" i="1"/>
  <c r="BF147" i="1" s="1"/>
  <c r="BG146" i="1"/>
  <c r="BH146" i="1"/>
  <c r="BI145" i="1"/>
  <c r="BJ145" i="1" s="1"/>
  <c r="BT146" i="1"/>
  <c r="BS146" i="1"/>
  <c r="BP146" i="1"/>
  <c r="BR147" i="1" s="1"/>
  <c r="BU146" i="1" l="1"/>
  <c r="BV146" i="1" s="1"/>
  <c r="BI146" i="1"/>
  <c r="BG147" i="1"/>
  <c r="BH147" i="1"/>
  <c r="BD147" i="1"/>
  <c r="BF148" i="1" s="1"/>
  <c r="BP147" i="1"/>
  <c r="BR148" i="1" s="1"/>
  <c r="BS147" i="1"/>
  <c r="BT147" i="1"/>
  <c r="BX145" i="1"/>
  <c r="BY145" i="1" s="1"/>
  <c r="BX146" i="1" l="1"/>
  <c r="BI147" i="1"/>
  <c r="BY146" i="1"/>
  <c r="BJ146" i="1"/>
  <c r="BU147" i="1"/>
  <c r="BT148" i="1"/>
  <c r="BP148" i="1"/>
  <c r="BR149" i="1" s="1"/>
  <c r="BS148" i="1"/>
  <c r="BG148" i="1"/>
  <c r="BD148" i="1"/>
  <c r="BF149" i="1" s="1"/>
  <c r="BH148" i="1"/>
  <c r="BJ147" i="1" l="1"/>
  <c r="BU148" i="1"/>
  <c r="BX147" i="1"/>
  <c r="BY147" i="1" s="1"/>
  <c r="BV147" i="1"/>
  <c r="BG149" i="1"/>
  <c r="BH149" i="1"/>
  <c r="BD149" i="1"/>
  <c r="BF150" i="1" s="1"/>
  <c r="BI148" i="1"/>
  <c r="BT149" i="1"/>
  <c r="BP149" i="1"/>
  <c r="BR150" i="1" s="1"/>
  <c r="BS149" i="1"/>
  <c r="BU149" i="1" s="1"/>
  <c r="BJ148" i="1" l="1"/>
  <c r="BX148" i="1"/>
  <c r="BY148" i="1" s="1"/>
  <c r="BV148" i="1"/>
  <c r="BV149" i="1"/>
  <c r="BH150" i="1"/>
  <c r="BD150" i="1"/>
  <c r="BF151" i="1" s="1"/>
  <c r="BG150" i="1"/>
  <c r="BP150" i="1"/>
  <c r="BR151" i="1" s="1"/>
  <c r="BT150" i="1"/>
  <c r="BS150" i="1"/>
  <c r="BI149" i="1"/>
  <c r="BX149" i="1" s="1"/>
  <c r="BY149" i="1" l="1"/>
  <c r="BU150" i="1"/>
  <c r="BI150" i="1"/>
  <c r="BJ149" i="1"/>
  <c r="BT151" i="1"/>
  <c r="BS151" i="1"/>
  <c r="BP151" i="1"/>
  <c r="BR152" i="1" s="1"/>
  <c r="BG151" i="1"/>
  <c r="BH151" i="1"/>
  <c r="BD151" i="1"/>
  <c r="BF152" i="1" s="1"/>
  <c r="BJ150" i="1" l="1"/>
  <c r="BU151" i="1"/>
  <c r="BX150" i="1"/>
  <c r="BY150" i="1" s="1"/>
  <c r="BV150" i="1"/>
  <c r="BD152" i="1"/>
  <c r="BF153" i="1" s="1"/>
  <c r="BG152" i="1"/>
  <c r="BH152" i="1"/>
  <c r="BI151" i="1"/>
  <c r="BS152" i="1"/>
  <c r="BP152" i="1"/>
  <c r="BR153" i="1" s="1"/>
  <c r="BT152" i="1"/>
  <c r="BX151" i="1" l="1"/>
  <c r="BY151" i="1" s="1"/>
  <c r="BJ151" i="1"/>
  <c r="BV151" i="1"/>
  <c r="BP153" i="1"/>
  <c r="BR154" i="1" s="1"/>
  <c r="BS153" i="1"/>
  <c r="BT153" i="1"/>
  <c r="BU152" i="1"/>
  <c r="BI152" i="1"/>
  <c r="BG153" i="1"/>
  <c r="BH153" i="1"/>
  <c r="BD153" i="1"/>
  <c r="BF154" i="1" s="1"/>
  <c r="BJ152" i="1" l="1"/>
  <c r="BD154" i="1"/>
  <c r="BF155" i="1" s="1"/>
  <c r="BG154" i="1"/>
  <c r="BH154" i="1"/>
  <c r="BI153" i="1"/>
  <c r="BX152" i="1"/>
  <c r="BY152" i="1" s="1"/>
  <c r="BV152" i="1"/>
  <c r="BU153" i="1"/>
  <c r="BX153" i="1" s="1"/>
  <c r="BP154" i="1"/>
  <c r="BR155" i="1" s="1"/>
  <c r="BT154" i="1"/>
  <c r="BS154" i="1"/>
  <c r="BJ153" i="1" l="1"/>
  <c r="BU154" i="1"/>
  <c r="BP155" i="1"/>
  <c r="BR156" i="1" s="1"/>
  <c r="BT155" i="1"/>
  <c r="BS155" i="1"/>
  <c r="BY153" i="1"/>
  <c r="BI154" i="1"/>
  <c r="BV153" i="1"/>
  <c r="BG155" i="1"/>
  <c r="BD155" i="1"/>
  <c r="BF156" i="1" s="1"/>
  <c r="BH155" i="1"/>
  <c r="BI155" i="1" s="1"/>
  <c r="BJ154" i="1" l="1"/>
  <c r="BJ155" i="1" s="1"/>
  <c r="BU155" i="1"/>
  <c r="BX155" i="1" s="1"/>
  <c r="BX154" i="1"/>
  <c r="BY154" i="1" s="1"/>
  <c r="BV154" i="1"/>
  <c r="BH156" i="1"/>
  <c r="BD156" i="1"/>
  <c r="BF157" i="1" s="1"/>
  <c r="BG156" i="1"/>
  <c r="BI156" i="1" s="1"/>
  <c r="BS156" i="1"/>
  <c r="BP156" i="1"/>
  <c r="BR157" i="1" s="1"/>
  <c r="BT156" i="1"/>
  <c r="BU156" i="1" s="1"/>
  <c r="BV155" i="1" l="1"/>
  <c r="BV156" i="1" s="1"/>
  <c r="BY155" i="1"/>
  <c r="BG157" i="1"/>
  <c r="BD157" i="1"/>
  <c r="BF158" i="1" s="1"/>
  <c r="BH157" i="1"/>
  <c r="BT157" i="1"/>
  <c r="BS157" i="1"/>
  <c r="BP157" i="1"/>
  <c r="BR158" i="1" s="1"/>
  <c r="BX156" i="1"/>
  <c r="BJ156" i="1"/>
  <c r="BY156" i="1" l="1"/>
  <c r="BU157" i="1"/>
  <c r="BV157" i="1" s="1"/>
  <c r="BP158" i="1"/>
  <c r="BR159" i="1" s="1"/>
  <c r="BT158" i="1"/>
  <c r="BS158" i="1"/>
  <c r="BG158" i="1"/>
  <c r="BH158" i="1"/>
  <c r="BD158" i="1"/>
  <c r="BF159" i="1" s="1"/>
  <c r="BI157" i="1"/>
  <c r="BX157" i="1" l="1"/>
  <c r="BY157" i="1" s="1"/>
  <c r="BU158" i="1"/>
  <c r="BV158" i="1" s="1"/>
  <c r="BD159" i="1"/>
  <c r="BF160" i="1" s="1"/>
  <c r="BH159" i="1"/>
  <c r="BG159" i="1"/>
  <c r="BI158" i="1"/>
  <c r="BP159" i="1"/>
  <c r="BR160" i="1" s="1"/>
  <c r="BT159" i="1"/>
  <c r="BS159" i="1"/>
  <c r="BJ157" i="1"/>
  <c r="BJ158" i="1" s="1"/>
  <c r="BU159" i="1" l="1"/>
  <c r="BV159" i="1" s="1"/>
  <c r="BX158" i="1"/>
  <c r="BY158" i="1" s="1"/>
  <c r="BI159" i="1"/>
  <c r="BJ159" i="1" s="1"/>
  <c r="BD160" i="1"/>
  <c r="BF161" i="1" s="1"/>
  <c r="BH160" i="1"/>
  <c r="BG160" i="1"/>
  <c r="BI160" i="1" s="1"/>
  <c r="BP160" i="1"/>
  <c r="BR161" i="1" s="1"/>
  <c r="BS160" i="1"/>
  <c r="BT160" i="1"/>
  <c r="BJ160" i="1" l="1"/>
  <c r="BX159" i="1"/>
  <c r="BY159" i="1" s="1"/>
  <c r="BU160" i="1"/>
  <c r="BX160" i="1" s="1"/>
  <c r="BP161" i="1"/>
  <c r="BR162" i="1" s="1"/>
  <c r="BT161" i="1"/>
  <c r="BS161" i="1"/>
  <c r="BH161" i="1"/>
  <c r="BG161" i="1"/>
  <c r="BD161" i="1"/>
  <c r="BF162" i="1" s="1"/>
  <c r="BV160" i="1" l="1"/>
  <c r="BV161" i="1" s="1"/>
  <c r="BY160" i="1"/>
  <c r="BG162" i="1"/>
  <c r="BD162" i="1"/>
  <c r="BF163" i="1" s="1"/>
  <c r="BH162" i="1"/>
  <c r="BI161" i="1"/>
  <c r="BU161" i="1"/>
  <c r="BP162" i="1"/>
  <c r="BR163" i="1" s="1"/>
  <c r="BS162" i="1"/>
  <c r="BT162" i="1"/>
  <c r="BI162" i="1" l="1"/>
  <c r="BT163" i="1"/>
  <c r="BP163" i="1"/>
  <c r="BR164" i="1" s="1"/>
  <c r="BS163" i="1"/>
  <c r="BX161" i="1"/>
  <c r="BY161" i="1" s="1"/>
  <c r="BJ161" i="1"/>
  <c r="BU162" i="1"/>
  <c r="BV162" i="1" s="1"/>
  <c r="BD163" i="1"/>
  <c r="BF164" i="1" s="1"/>
  <c r="BG163" i="1"/>
  <c r="BH163" i="1"/>
  <c r="BU163" i="1" l="1"/>
  <c r="BV163" i="1" s="1"/>
  <c r="BX162" i="1"/>
  <c r="BY162" i="1" s="1"/>
  <c r="BJ162" i="1"/>
  <c r="BI163" i="1"/>
  <c r="BD164" i="1"/>
  <c r="BF165" i="1" s="1"/>
  <c r="BH164" i="1"/>
  <c r="BG164" i="1"/>
  <c r="BS164" i="1"/>
  <c r="BP164" i="1"/>
  <c r="BR165" i="1" s="1"/>
  <c r="BT164" i="1"/>
  <c r="BX163" i="1" l="1"/>
  <c r="BY163" i="1" s="1"/>
  <c r="BJ163" i="1"/>
  <c r="BI164" i="1"/>
  <c r="BU164" i="1"/>
  <c r="BV164" i="1" s="1"/>
  <c r="BS165" i="1"/>
  <c r="BT165" i="1"/>
  <c r="BP165" i="1"/>
  <c r="BR166" i="1" s="1"/>
  <c r="BG165" i="1"/>
  <c r="BD165" i="1"/>
  <c r="BF166" i="1" s="1"/>
  <c r="BH165" i="1"/>
  <c r="BJ164" i="1" l="1"/>
  <c r="BU165" i="1"/>
  <c r="BV165" i="1" s="1"/>
  <c r="BX164" i="1"/>
  <c r="BY164" i="1" s="1"/>
  <c r="BH166" i="1"/>
  <c r="BG166" i="1"/>
  <c r="BD166" i="1"/>
  <c r="BF167" i="1" s="1"/>
  <c r="BI165" i="1"/>
  <c r="BT166" i="1"/>
  <c r="BP166" i="1"/>
  <c r="BR167" i="1" s="1"/>
  <c r="BS166" i="1"/>
  <c r="BU166" i="1" s="1"/>
  <c r="BI166" i="1" l="1"/>
  <c r="BX166" i="1" s="1"/>
  <c r="BV166" i="1"/>
  <c r="BP167" i="1"/>
  <c r="BT167" i="1"/>
  <c r="BS167" i="1"/>
  <c r="BX165" i="1"/>
  <c r="BY165" i="1" s="1"/>
  <c r="BJ165" i="1"/>
  <c r="BD167" i="1"/>
  <c r="BG167" i="1"/>
  <c r="BH167" i="1"/>
  <c r="BJ166" i="1" l="1"/>
  <c r="BU167" i="1"/>
  <c r="BV167" i="1" s="1"/>
  <c r="BV1" i="1" s="1"/>
  <c r="BI167" i="1"/>
  <c r="BY166" i="1"/>
  <c r="BV10" i="1"/>
  <c r="BV9" i="1" l="1"/>
  <c r="BV11" i="1" s="1"/>
  <c r="BX167" i="1"/>
  <c r="BY167" i="1" s="1"/>
  <c r="BY1" i="1" s="1"/>
  <c r="BJ9" i="1"/>
  <c r="BJ10" i="1"/>
  <c r="BJ167" i="1"/>
  <c r="BJ1" i="1" s="1"/>
  <c r="BY9" i="1" l="1"/>
  <c r="BY10" i="1"/>
  <c r="BJ11" i="1"/>
  <c r="BY11" i="1" l="1"/>
</calcChain>
</file>

<file path=xl/sharedStrings.xml><?xml version="1.0" encoding="utf-8"?>
<sst xmlns="http://schemas.openxmlformats.org/spreadsheetml/2006/main" count="53" uniqueCount="42">
  <si>
    <t>date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</si>
  <si>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</si>
  <si>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</si>
  <si>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</si>
  <si>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</si>
  <si>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</si>
  <si>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</si>
  <si>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</si>
  <si>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</si>
  <si>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</si>
  <si>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FUTY</t>
  </si>
  <si>
    <t>VPU</t>
  </si>
  <si>
    <t>FUTY log rtn</t>
  </si>
  <si>
    <t>VPU log rtn</t>
  </si>
  <si>
    <t>FUTY div</t>
  </si>
  <si>
    <t>FUTY div cumsum</t>
  </si>
  <si>
    <t>VPU div</t>
  </si>
  <si>
    <t>VPU div cumsum</t>
  </si>
  <si>
    <t>FUTY div adjustment</t>
  </si>
  <si>
    <t>VPU div adjustment</t>
  </si>
  <si>
    <t>FUTY*</t>
  </si>
  <si>
    <t>VPU*</t>
  </si>
  <si>
    <t>VPU/FUTY</t>
  </si>
  <si>
    <t>VPU/FUTY avg</t>
  </si>
  <si>
    <t>VPU/FUTY 10 dma</t>
  </si>
  <si>
    <t>VPU/FUTY 20 dma</t>
  </si>
  <si>
    <t>FUTY x avg</t>
  </si>
  <si>
    <t>FUTY x 10 dma</t>
  </si>
  <si>
    <t>FUTY x 20 dma</t>
  </si>
  <si>
    <t>log diff FUTY x avg / VPU</t>
  </si>
  <si>
    <t>log diff FUTY x 10 dma / VPU</t>
  </si>
  <si>
    <t>log diff FUTY x 20 dma / VPU</t>
  </si>
  <si>
    <t>VPU*/FUTY*</t>
  </si>
  <si>
    <t>VPU*/FUTY* avg</t>
  </si>
  <si>
    <t>VPU*/FUTY* 10 dma</t>
  </si>
  <si>
    <t>VPU*/FUTY* 20 dma</t>
  </si>
  <si>
    <t>FUTY* x avg</t>
  </si>
  <si>
    <t>FUTY* x 10 dma</t>
  </si>
  <si>
    <t>FUTY* x 20 dma</t>
  </si>
  <si>
    <t>log diff FUTY* x avg / VPU*</t>
  </si>
  <si>
    <t>log diff FUTY* x 10 dma / VPU*</t>
  </si>
  <si>
    <t>log diff FUTY* x 20 dma / VPU*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</si>
</sst>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VPU/FUTY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3.3517078484942102</c:v>
                </c:pt>
                <c:pt idx="1">
                  <c:v>3.3517078484942102</c:v>
                </c:pt>
                <c:pt idx="2">
                  <c:v>3.3517078484942102</c:v>
                </c:pt>
                <c:pt idx="3">
                  <c:v>3.3517078484942102</c:v>
                </c:pt>
                <c:pt idx="4">
                  <c:v>3.3517078484942102</c:v>
                </c:pt>
                <c:pt idx="5">
                  <c:v>3.3517078484942102</c:v>
                </c:pt>
                <c:pt idx="6">
                  <c:v>3.3517078484942102</c:v>
                </c:pt>
                <c:pt idx="7">
                  <c:v>3.3517078484942102</c:v>
                </c:pt>
                <c:pt idx="8">
                  <c:v>3.3517078484942102</c:v>
                </c:pt>
                <c:pt idx="9">
                  <c:v>3.3517078484942102</c:v>
                </c:pt>
                <c:pt idx="10">
                  <c:v>3.3517078484942102</c:v>
                </c:pt>
                <c:pt idx="11">
                  <c:v>3.3517078484942102</c:v>
                </c:pt>
                <c:pt idx="12">
                  <c:v>3.3517078484942102</c:v>
                </c:pt>
                <c:pt idx="13">
                  <c:v>3.3517078484942102</c:v>
                </c:pt>
                <c:pt idx="14">
                  <c:v>3.3517078484942102</c:v>
                </c:pt>
                <c:pt idx="15">
                  <c:v>3.3517078484942102</c:v>
                </c:pt>
                <c:pt idx="16">
                  <c:v>3.3517078484942102</c:v>
                </c:pt>
                <c:pt idx="17">
                  <c:v>3.3517078484942102</c:v>
                </c:pt>
                <c:pt idx="18">
                  <c:v>3.3517078484942102</c:v>
                </c:pt>
                <c:pt idx="19">
                  <c:v>3.3517078484942102</c:v>
                </c:pt>
                <c:pt idx="20">
                  <c:v>3.3517078484942102</c:v>
                </c:pt>
                <c:pt idx="21">
                  <c:v>3.3517078484942102</c:v>
                </c:pt>
                <c:pt idx="22">
                  <c:v>3.3517078484942102</c:v>
                </c:pt>
                <c:pt idx="23">
                  <c:v>3.3517078484942102</c:v>
                </c:pt>
                <c:pt idx="24">
                  <c:v>3.3517078484942102</c:v>
                </c:pt>
                <c:pt idx="25">
                  <c:v>3.3517078484942102</c:v>
                </c:pt>
                <c:pt idx="26">
                  <c:v>3.3517078484942102</c:v>
                </c:pt>
                <c:pt idx="27">
                  <c:v>3.3517078484942102</c:v>
                </c:pt>
                <c:pt idx="28">
                  <c:v>3.3517078484942102</c:v>
                </c:pt>
                <c:pt idx="29">
                  <c:v>3.3517078484942102</c:v>
                </c:pt>
                <c:pt idx="30">
                  <c:v>3.3517078484942102</c:v>
                </c:pt>
                <c:pt idx="31">
                  <c:v>3.3517078484942102</c:v>
                </c:pt>
                <c:pt idx="32">
                  <c:v>3.3517078484942102</c:v>
                </c:pt>
                <c:pt idx="33">
                  <c:v>3.3517078484942102</c:v>
                </c:pt>
                <c:pt idx="34">
                  <c:v>3.3517078484942102</c:v>
                </c:pt>
                <c:pt idx="35">
                  <c:v>3.3517078484942102</c:v>
                </c:pt>
                <c:pt idx="36">
                  <c:v>3.3517078484942102</c:v>
                </c:pt>
                <c:pt idx="37">
                  <c:v>3.3517078484942102</c:v>
                </c:pt>
                <c:pt idx="38">
                  <c:v>3.3517078484942102</c:v>
                </c:pt>
                <c:pt idx="39">
                  <c:v>3.3517078484942102</c:v>
                </c:pt>
                <c:pt idx="40">
                  <c:v>3.3517078484942102</c:v>
                </c:pt>
                <c:pt idx="41">
                  <c:v>3.3517078484942102</c:v>
                </c:pt>
                <c:pt idx="42">
                  <c:v>3.3517078484942102</c:v>
                </c:pt>
                <c:pt idx="43">
                  <c:v>3.3517078484942102</c:v>
                </c:pt>
                <c:pt idx="44">
                  <c:v>3.3517078484942102</c:v>
                </c:pt>
                <c:pt idx="45">
                  <c:v>3.3517078484942102</c:v>
                </c:pt>
                <c:pt idx="46">
                  <c:v>3.3517078484942102</c:v>
                </c:pt>
                <c:pt idx="47">
                  <c:v>3.3517078484942102</c:v>
                </c:pt>
                <c:pt idx="48">
                  <c:v>3.3517078484942102</c:v>
                </c:pt>
                <c:pt idx="49">
                  <c:v>3.3517078484942102</c:v>
                </c:pt>
                <c:pt idx="50">
                  <c:v>3.3517078484942102</c:v>
                </c:pt>
                <c:pt idx="51">
                  <c:v>3.3517078484942102</c:v>
                </c:pt>
                <c:pt idx="52">
                  <c:v>3.3517078484942102</c:v>
                </c:pt>
                <c:pt idx="53">
                  <c:v>3.3517078484942102</c:v>
                </c:pt>
                <c:pt idx="54">
                  <c:v>3.3517078484942102</c:v>
                </c:pt>
                <c:pt idx="55">
                  <c:v>3.3517078484942102</c:v>
                </c:pt>
                <c:pt idx="56">
                  <c:v>3.3517078484942102</c:v>
                </c:pt>
                <c:pt idx="57">
                  <c:v>3.3517078484942102</c:v>
                </c:pt>
                <c:pt idx="58">
                  <c:v>3.3517078484942102</c:v>
                </c:pt>
                <c:pt idx="59">
                  <c:v>3.3517078484942102</c:v>
                </c:pt>
                <c:pt idx="60">
                  <c:v>3.3517078484942102</c:v>
                </c:pt>
                <c:pt idx="61">
                  <c:v>3.3517078484942102</c:v>
                </c:pt>
                <c:pt idx="62">
                  <c:v>3.3517078484942102</c:v>
                </c:pt>
                <c:pt idx="63">
                  <c:v>3.3517078484942102</c:v>
                </c:pt>
                <c:pt idx="64">
                  <c:v>3.3517078484942102</c:v>
                </c:pt>
                <c:pt idx="65">
                  <c:v>3.3517078484942102</c:v>
                </c:pt>
                <c:pt idx="66">
                  <c:v>3.3517078484942102</c:v>
                </c:pt>
                <c:pt idx="67">
                  <c:v>3.3517078484942102</c:v>
                </c:pt>
                <c:pt idx="68">
                  <c:v>3.3517078484942102</c:v>
                </c:pt>
                <c:pt idx="69">
                  <c:v>3.3517078484942102</c:v>
                </c:pt>
                <c:pt idx="70">
                  <c:v>3.3517078484942102</c:v>
                </c:pt>
                <c:pt idx="71">
                  <c:v>3.3517078484942102</c:v>
                </c:pt>
                <c:pt idx="72">
                  <c:v>3.3517078484942102</c:v>
                </c:pt>
                <c:pt idx="73">
                  <c:v>3.3517078484942102</c:v>
                </c:pt>
                <c:pt idx="74">
                  <c:v>3.3517078484942102</c:v>
                </c:pt>
                <c:pt idx="75">
                  <c:v>3.3517078484942102</c:v>
                </c:pt>
                <c:pt idx="76">
                  <c:v>3.3517078484942102</c:v>
                </c:pt>
                <c:pt idx="77">
                  <c:v>3.3517078484942102</c:v>
                </c:pt>
                <c:pt idx="78">
                  <c:v>3.3517078484942102</c:v>
                </c:pt>
                <c:pt idx="79">
                  <c:v>3.3517078484942102</c:v>
                </c:pt>
                <c:pt idx="80">
                  <c:v>3.3517078484942102</c:v>
                </c:pt>
                <c:pt idx="81">
                  <c:v>3.3517078484942102</c:v>
                </c:pt>
                <c:pt idx="82">
                  <c:v>3.3517078484942102</c:v>
                </c:pt>
                <c:pt idx="83">
                  <c:v>3.3517078484942102</c:v>
                </c:pt>
                <c:pt idx="84">
                  <c:v>3.3517078484942102</c:v>
                </c:pt>
                <c:pt idx="85">
                  <c:v>3.3517078484942102</c:v>
                </c:pt>
                <c:pt idx="86">
                  <c:v>3.3517078484942102</c:v>
                </c:pt>
                <c:pt idx="87">
                  <c:v>3.3517078484942102</c:v>
                </c:pt>
                <c:pt idx="88">
                  <c:v>3.3517078484942102</c:v>
                </c:pt>
                <c:pt idx="89">
                  <c:v>3.3517078484942102</c:v>
                </c:pt>
                <c:pt idx="90">
                  <c:v>3.3517078484942102</c:v>
                </c:pt>
                <c:pt idx="91">
                  <c:v>3.3517078484942102</c:v>
                </c:pt>
                <c:pt idx="92">
                  <c:v>3.3517078484942102</c:v>
                </c:pt>
                <c:pt idx="93">
                  <c:v>3.3517078484942102</c:v>
                </c:pt>
                <c:pt idx="94">
                  <c:v>3.3517078484942102</c:v>
                </c:pt>
                <c:pt idx="95">
                  <c:v>3.3517078484942102</c:v>
                </c:pt>
                <c:pt idx="96">
                  <c:v>3.3517078484942102</c:v>
                </c:pt>
                <c:pt idx="97">
                  <c:v>3.3517078484942102</c:v>
                </c:pt>
                <c:pt idx="98">
                  <c:v>3.3517078484942102</c:v>
                </c:pt>
                <c:pt idx="99">
                  <c:v>3.3517078484942102</c:v>
                </c:pt>
                <c:pt idx="100">
                  <c:v>3.3517078484942102</c:v>
                </c:pt>
                <c:pt idx="101">
                  <c:v>3.3517078484942102</c:v>
                </c:pt>
                <c:pt idx="102">
                  <c:v>3.3517078484942102</c:v>
                </c:pt>
                <c:pt idx="103">
                  <c:v>3.3517078484942102</c:v>
                </c:pt>
                <c:pt idx="104">
                  <c:v>3.3517078484942102</c:v>
                </c:pt>
                <c:pt idx="105">
                  <c:v>3.3517078484942102</c:v>
                </c:pt>
                <c:pt idx="106">
                  <c:v>3.3517078484942102</c:v>
                </c:pt>
                <c:pt idx="107">
                  <c:v>3.3517078484942102</c:v>
                </c:pt>
                <c:pt idx="108">
                  <c:v>3.3517078484942102</c:v>
                </c:pt>
                <c:pt idx="109">
                  <c:v>3.3517078484942102</c:v>
                </c:pt>
                <c:pt idx="110">
                  <c:v>3.3517078484942102</c:v>
                </c:pt>
                <c:pt idx="111">
                  <c:v>3.3517078484942102</c:v>
                </c:pt>
                <c:pt idx="112">
                  <c:v>3.3517078484942102</c:v>
                </c:pt>
                <c:pt idx="113">
                  <c:v>3.3517078484942102</c:v>
                </c:pt>
                <c:pt idx="114">
                  <c:v>3.3517078484942102</c:v>
                </c:pt>
                <c:pt idx="115">
                  <c:v>3.3517078484942102</c:v>
                </c:pt>
                <c:pt idx="116">
                  <c:v>3.3517078484942102</c:v>
                </c:pt>
                <c:pt idx="117">
                  <c:v>3.3517078484942102</c:v>
                </c:pt>
                <c:pt idx="118">
                  <c:v>3.3517078484942102</c:v>
                </c:pt>
                <c:pt idx="119">
                  <c:v>3.3517078484942102</c:v>
                </c:pt>
                <c:pt idx="120">
                  <c:v>3.3517078484942102</c:v>
                </c:pt>
                <c:pt idx="121">
                  <c:v>3.3517078484942102</c:v>
                </c:pt>
                <c:pt idx="122">
                  <c:v>3.3517078484942102</c:v>
                </c:pt>
                <c:pt idx="123">
                  <c:v>3.3517078484942102</c:v>
                </c:pt>
                <c:pt idx="124">
                  <c:v>3.3517078484942102</c:v>
                </c:pt>
                <c:pt idx="125">
                  <c:v>3.3517078484942102</c:v>
                </c:pt>
                <c:pt idx="126">
                  <c:v>3.3517078484942102</c:v>
                </c:pt>
                <c:pt idx="127">
                  <c:v>3.3517078484942102</c:v>
                </c:pt>
                <c:pt idx="128">
                  <c:v>3.3517078484942102</c:v>
                </c:pt>
                <c:pt idx="129">
                  <c:v>3.3517078484942102</c:v>
                </c:pt>
                <c:pt idx="130">
                  <c:v>3.3517078484942102</c:v>
                </c:pt>
                <c:pt idx="131">
                  <c:v>3.3517078484942102</c:v>
                </c:pt>
                <c:pt idx="132">
                  <c:v>3.3517078484942102</c:v>
                </c:pt>
                <c:pt idx="133">
                  <c:v>3.3517078484942102</c:v>
                </c:pt>
                <c:pt idx="134">
                  <c:v>3.3517078484942102</c:v>
                </c:pt>
                <c:pt idx="135">
                  <c:v>3.3517078484942102</c:v>
                </c:pt>
                <c:pt idx="136">
                  <c:v>3.3517078484942102</c:v>
                </c:pt>
                <c:pt idx="137">
                  <c:v>3.3517078484942102</c:v>
                </c:pt>
                <c:pt idx="138">
                  <c:v>3.3517078484942102</c:v>
                </c:pt>
                <c:pt idx="139">
                  <c:v>3.3517078484942102</c:v>
                </c:pt>
                <c:pt idx="140">
                  <c:v>3.3517078484942102</c:v>
                </c:pt>
                <c:pt idx="141">
                  <c:v>3.3517078484942102</c:v>
                </c:pt>
                <c:pt idx="142">
                  <c:v>3.3517078484942102</c:v>
                </c:pt>
                <c:pt idx="143">
                  <c:v>3.3517078484942102</c:v>
                </c:pt>
                <c:pt idx="144">
                  <c:v>3.3517078484942102</c:v>
                </c:pt>
                <c:pt idx="145">
                  <c:v>3.3517078484942102</c:v>
                </c:pt>
                <c:pt idx="146">
                  <c:v>3.3517078484942102</c:v>
                </c:pt>
                <c:pt idx="147">
                  <c:v>3.3517078484942102</c:v>
                </c:pt>
                <c:pt idx="148">
                  <c:v>3.3517078484942102</c:v>
                </c:pt>
                <c:pt idx="149">
                  <c:v>3.3517078484942102</c:v>
                </c:pt>
                <c:pt idx="150">
                  <c:v>3.3517078484942102</c:v>
                </c:pt>
                <c:pt idx="151">
                  <c:v>3.3517078484942102</c:v>
                </c:pt>
                <c:pt idx="152">
                  <c:v>3.3517078484942102</c:v>
                </c:pt>
                <c:pt idx="153">
                  <c:v>3.3517078484942102</c:v>
                </c:pt>
                <c:pt idx="154">
                  <c:v>3.3517078484942102</c:v>
                </c:pt>
                <c:pt idx="155">
                  <c:v>3.3517078484942102</c:v>
                </c:pt>
                <c:pt idx="156">
                  <c:v>3.3517078484942102</c:v>
                </c:pt>
                <c:pt idx="157">
                  <c:v>3.3517078484942102</c:v>
                </c:pt>
                <c:pt idx="158">
                  <c:v>3.3517078484942102</c:v>
                </c:pt>
                <c:pt idx="159">
                  <c:v>3.3517078484942102</c:v>
                </c:pt>
                <c:pt idx="160">
                  <c:v>3.3517078484942102</c:v>
                </c:pt>
                <c:pt idx="161">
                  <c:v>3.3517078484942102</c:v>
                </c:pt>
                <c:pt idx="162">
                  <c:v>3.3517078484942102</c:v>
                </c:pt>
                <c:pt idx="163">
                  <c:v>3.3517078484942102</c:v>
                </c:pt>
                <c:pt idx="164">
                  <c:v>3.3517078484942102</c:v>
                </c:pt>
                <c:pt idx="165">
                  <c:v>3.3517078484942102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VPU/FUTY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3.3513113493618798</c:v>
                </c:pt>
                <c:pt idx="10">
                  <c:v>3.3512487737602901</c:v>
                </c:pt>
                <c:pt idx="11">
                  <c:v>3.3511035377153799</c:v>
                </c:pt>
                <c:pt idx="12">
                  <c:v>3.35101777072934</c:v>
                </c:pt>
                <c:pt idx="13">
                  <c:v>3.35097313179417</c:v>
                </c:pt>
                <c:pt idx="14">
                  <c:v>3.3509984552256502</c:v>
                </c:pt>
                <c:pt idx="15">
                  <c:v>3.3507419414233199</c:v>
                </c:pt>
                <c:pt idx="16">
                  <c:v>3.3506453258464202</c:v>
                </c:pt>
                <c:pt idx="17">
                  <c:v>3.3505262080188301</c:v>
                </c:pt>
                <c:pt idx="18">
                  <c:v>3.3505199391276101</c:v>
                </c:pt>
                <c:pt idx="19">
                  <c:v>3.3507981539584</c:v>
                </c:pt>
                <c:pt idx="20">
                  <c:v>3.3510626194013802</c:v>
                </c:pt>
                <c:pt idx="21">
                  <c:v>3.3512244230170798</c:v>
                </c:pt>
                <c:pt idx="22">
                  <c:v>3.3512568036430799</c:v>
                </c:pt>
                <c:pt idx="23">
                  <c:v>3.3513060868926501</c:v>
                </c:pt>
                <c:pt idx="24">
                  <c:v>3.3512840959746599</c:v>
                </c:pt>
                <c:pt idx="25">
                  <c:v>3.3513512344418399</c:v>
                </c:pt>
                <c:pt idx="26">
                  <c:v>3.3514841148722998</c:v>
                </c:pt>
                <c:pt idx="27">
                  <c:v>3.3516455893933901</c:v>
                </c:pt>
                <c:pt idx="28">
                  <c:v>3.3519052104790501</c:v>
                </c:pt>
                <c:pt idx="29">
                  <c:v>3.3518818336099798</c:v>
                </c:pt>
                <c:pt idx="30">
                  <c:v>3.3517509239560401</c:v>
                </c:pt>
                <c:pt idx="31">
                  <c:v>3.3516303097947602</c:v>
                </c:pt>
                <c:pt idx="32">
                  <c:v>3.35171474280199</c:v>
                </c:pt>
                <c:pt idx="33">
                  <c:v>3.3514788615832098</c:v>
                </c:pt>
                <c:pt idx="34">
                  <c:v>3.3516618139193199</c:v>
                </c:pt>
                <c:pt idx="35">
                  <c:v>3.3515637754480498</c:v>
                </c:pt>
                <c:pt idx="36">
                  <c:v>3.3514860754660298</c:v>
                </c:pt>
                <c:pt idx="37">
                  <c:v>3.3514757654661498</c:v>
                </c:pt>
                <c:pt idx="38">
                  <c:v>3.3512856779928599</c:v>
                </c:pt>
                <c:pt idx="39">
                  <c:v>3.35106367445466</c:v>
                </c:pt>
                <c:pt idx="40">
                  <c:v>3.3507929849819802</c:v>
                </c:pt>
                <c:pt idx="41">
                  <c:v>3.3508544846711401</c:v>
                </c:pt>
                <c:pt idx="42">
                  <c:v>3.35072159686796</c:v>
                </c:pt>
                <c:pt idx="43">
                  <c:v>3.3507500566391499</c:v>
                </c:pt>
                <c:pt idx="44">
                  <c:v>3.3505736481934099</c:v>
                </c:pt>
                <c:pt idx="45">
                  <c:v>3.3505154581912699</c:v>
                </c:pt>
                <c:pt idx="46">
                  <c:v>3.3505877078950599</c:v>
                </c:pt>
                <c:pt idx="47">
                  <c:v>3.35047584628966</c:v>
                </c:pt>
                <c:pt idx="48">
                  <c:v>3.3505929023748999</c:v>
                </c:pt>
                <c:pt idx="49">
                  <c:v>3.3508308652930099</c:v>
                </c:pt>
                <c:pt idx="50">
                  <c:v>3.3509256851689599</c:v>
                </c:pt>
                <c:pt idx="51">
                  <c:v>3.3504212363966701</c:v>
                </c:pt>
                <c:pt idx="52">
                  <c:v>3.3504752171968799</c:v>
                </c:pt>
                <c:pt idx="53">
                  <c:v>3.3529867685173498</c:v>
                </c:pt>
                <c:pt idx="54">
                  <c:v>3.3552469920199401</c:v>
                </c:pt>
                <c:pt idx="55">
                  <c:v>3.3555002651831001</c:v>
                </c:pt>
                <c:pt idx="56">
                  <c:v>3.35549993089524</c:v>
                </c:pt>
                <c:pt idx="57">
                  <c:v>3.35558025317127</c:v>
                </c:pt>
                <c:pt idx="58">
                  <c:v>3.3555602714550798</c:v>
                </c:pt>
                <c:pt idx="59">
                  <c:v>3.3553317911658902</c:v>
                </c:pt>
                <c:pt idx="60">
                  <c:v>3.35570989135369</c:v>
                </c:pt>
                <c:pt idx="61">
                  <c:v>3.3562175544891502</c:v>
                </c:pt>
                <c:pt idx="62">
                  <c:v>3.3560605519001898</c:v>
                </c:pt>
                <c:pt idx="63">
                  <c:v>3.3537927213340599</c:v>
                </c:pt>
                <c:pt idx="64">
                  <c:v>3.3515962103191099</c:v>
                </c:pt>
                <c:pt idx="65">
                  <c:v>3.3514713885879801</c:v>
                </c:pt>
                <c:pt idx="66">
                  <c:v>3.3515393597533598</c:v>
                </c:pt>
                <c:pt idx="67">
                  <c:v>3.3517060893261799</c:v>
                </c:pt>
                <c:pt idx="68">
                  <c:v>3.3516245066112602</c:v>
                </c:pt>
                <c:pt idx="69">
                  <c:v>3.3516564547379</c:v>
                </c:pt>
                <c:pt idx="70">
                  <c:v>3.3513231434413999</c:v>
                </c:pt>
                <c:pt idx="71">
                  <c:v>3.3511519804710801</c:v>
                </c:pt>
                <c:pt idx="72">
                  <c:v>3.3513129802176</c:v>
                </c:pt>
                <c:pt idx="73">
                  <c:v>3.3511275349835001</c:v>
                </c:pt>
                <c:pt idx="74">
                  <c:v>3.35099458459718</c:v>
                </c:pt>
                <c:pt idx="75">
                  <c:v>3.35109598948122</c:v>
                </c:pt>
                <c:pt idx="76">
                  <c:v>3.3510643021369</c:v>
                </c:pt>
                <c:pt idx="77">
                  <c:v>3.3508407104539799</c:v>
                </c:pt>
                <c:pt idx="78">
                  <c:v>3.35083072409192</c:v>
                </c:pt>
                <c:pt idx="79">
                  <c:v>3.3509205217533999</c:v>
                </c:pt>
                <c:pt idx="80">
                  <c:v>3.3507365496200201</c:v>
                </c:pt>
                <c:pt idx="81">
                  <c:v>3.3509640084436798</c:v>
                </c:pt>
                <c:pt idx="82">
                  <c:v>3.3508731493590398</c:v>
                </c:pt>
                <c:pt idx="83">
                  <c:v>3.3508407444308599</c:v>
                </c:pt>
                <c:pt idx="84">
                  <c:v>3.3509014175931999</c:v>
                </c:pt>
                <c:pt idx="85">
                  <c:v>3.35082574572401</c:v>
                </c:pt>
                <c:pt idx="86">
                  <c:v>3.3509507451123399</c:v>
                </c:pt>
                <c:pt idx="87">
                  <c:v>3.3511069719063502</c:v>
                </c:pt>
                <c:pt idx="88">
                  <c:v>3.35110710384558</c:v>
                </c:pt>
                <c:pt idx="89">
                  <c:v>3.3511766412461701</c:v>
                </c:pt>
                <c:pt idx="90">
                  <c:v>3.3514189900570299</c:v>
                </c:pt>
                <c:pt idx="91">
                  <c:v>3.3513299910780701</c:v>
                </c:pt>
                <c:pt idx="92">
                  <c:v>3.3518064154166201</c:v>
                </c:pt>
                <c:pt idx="93">
                  <c:v>3.3517969715170102</c:v>
                </c:pt>
                <c:pt idx="94">
                  <c:v>3.3518507207332999</c:v>
                </c:pt>
                <c:pt idx="95">
                  <c:v>3.35173091714277</c:v>
                </c:pt>
                <c:pt idx="96">
                  <c:v>3.3516609793595</c:v>
                </c:pt>
                <c:pt idx="97">
                  <c:v>3.3515852808732798</c:v>
                </c:pt>
                <c:pt idx="98">
                  <c:v>3.3516274732368299</c:v>
                </c:pt>
                <c:pt idx="99">
                  <c:v>3.3514974956459498</c:v>
                </c:pt>
                <c:pt idx="100">
                  <c:v>3.3514914077493199</c:v>
                </c:pt>
                <c:pt idx="101">
                  <c:v>3.3512182087158302</c:v>
                </c:pt>
                <c:pt idx="102">
                  <c:v>3.3508516971801598</c:v>
                </c:pt>
                <c:pt idx="103">
                  <c:v>3.3508946988061798</c:v>
                </c:pt>
                <c:pt idx="104">
                  <c:v>3.3508936136410701</c:v>
                </c:pt>
                <c:pt idx="105">
                  <c:v>3.3510241020573002</c:v>
                </c:pt>
                <c:pt idx="106">
                  <c:v>3.3510428239564698</c:v>
                </c:pt>
                <c:pt idx="107">
                  <c:v>3.3510798343926802</c:v>
                </c:pt>
                <c:pt idx="108">
                  <c:v>3.35116642097171</c:v>
                </c:pt>
                <c:pt idx="109">
                  <c:v>3.3510434667967499</c:v>
                </c:pt>
                <c:pt idx="110">
                  <c:v>3.3511002483581902</c:v>
                </c:pt>
                <c:pt idx="111">
                  <c:v>3.3514417697091798</c:v>
                </c:pt>
                <c:pt idx="112">
                  <c:v>3.3514755998240799</c:v>
                </c:pt>
                <c:pt idx="113">
                  <c:v>3.3513396114860798</c:v>
                </c:pt>
                <c:pt idx="114">
                  <c:v>3.3512307217544501</c:v>
                </c:pt>
                <c:pt idx="115">
                  <c:v>3.3533576898826101</c:v>
                </c:pt>
                <c:pt idx="116">
                  <c:v>3.3555279942254201</c:v>
                </c:pt>
                <c:pt idx="117">
                  <c:v>3.3576575411443499</c:v>
                </c:pt>
                <c:pt idx="118">
                  <c:v>3.3576432151651998</c:v>
                </c:pt>
                <c:pt idx="119">
                  <c:v>3.3579595379051601</c:v>
                </c:pt>
                <c:pt idx="120">
                  <c:v>3.35825787873212</c:v>
                </c:pt>
                <c:pt idx="121">
                  <c:v>3.3584106733139101</c:v>
                </c:pt>
                <c:pt idx="122">
                  <c:v>3.3582738167167698</c:v>
                </c:pt>
                <c:pt idx="123">
                  <c:v>3.3583285126559099</c:v>
                </c:pt>
                <c:pt idx="124">
                  <c:v>3.35824082140602</c:v>
                </c:pt>
                <c:pt idx="125">
                  <c:v>3.3561892584985298</c:v>
                </c:pt>
                <c:pt idx="126">
                  <c:v>3.3538989115090101</c:v>
                </c:pt>
                <c:pt idx="127">
                  <c:v>3.3518182740028601</c:v>
                </c:pt>
                <c:pt idx="128">
                  <c:v>3.3517384738652298</c:v>
                </c:pt>
                <c:pt idx="129">
                  <c:v>3.3516038212379602</c:v>
                </c:pt>
                <c:pt idx="130">
                  <c:v>3.3512635109214002</c:v>
                </c:pt>
                <c:pt idx="131">
                  <c:v>3.3508966263627098</c:v>
                </c:pt>
                <c:pt idx="132">
                  <c:v>3.3509377633069199</c:v>
                </c:pt>
                <c:pt idx="133">
                  <c:v>3.3509288129094901</c:v>
                </c:pt>
                <c:pt idx="134">
                  <c:v>3.3509708335984301</c:v>
                </c:pt>
                <c:pt idx="135">
                  <c:v>3.3509096261737898</c:v>
                </c:pt>
                <c:pt idx="136">
                  <c:v>3.3510003160473398</c:v>
                </c:pt>
                <c:pt idx="137">
                  <c:v>3.3507951848134199</c:v>
                </c:pt>
                <c:pt idx="138">
                  <c:v>3.3508564955529101</c:v>
                </c:pt>
                <c:pt idx="139">
                  <c:v>3.3508092872009798</c:v>
                </c:pt>
                <c:pt idx="140">
                  <c:v>3.3508079820939898</c:v>
                </c:pt>
                <c:pt idx="141">
                  <c:v>3.3508123316279899</c:v>
                </c:pt>
                <c:pt idx="142">
                  <c:v>3.35062882997115</c:v>
                </c:pt>
                <c:pt idx="143">
                  <c:v>3.3506446260149501</c:v>
                </c:pt>
                <c:pt idx="144">
                  <c:v>3.3506203353580402</c:v>
                </c:pt>
                <c:pt idx="145">
                  <c:v>3.3504235112743599</c:v>
                </c:pt>
                <c:pt idx="146">
                  <c:v>3.3502584543420699</c:v>
                </c:pt>
                <c:pt idx="147">
                  <c:v>3.3504041136147502</c:v>
                </c:pt>
                <c:pt idx="148">
                  <c:v>3.3503589164681999</c:v>
                </c:pt>
                <c:pt idx="149">
                  <c:v>3.35034048178944</c:v>
                </c:pt>
                <c:pt idx="150">
                  <c:v>3.3501826332742199</c:v>
                </c:pt>
                <c:pt idx="151">
                  <c:v>3.3501593849718798</c:v>
                </c:pt>
                <c:pt idx="152">
                  <c:v>3.3503082835605702</c:v>
                </c:pt>
                <c:pt idx="153">
                  <c:v>3.3505137978535799</c:v>
                </c:pt>
                <c:pt idx="154">
                  <c:v>3.3507612815837202</c:v>
                </c:pt>
                <c:pt idx="155">
                  <c:v>3.3508130112465802</c:v>
                </c:pt>
                <c:pt idx="156">
                  <c:v>3.3508156302671299</c:v>
                </c:pt>
                <c:pt idx="157">
                  <c:v>3.3505926949787601</c:v>
                </c:pt>
                <c:pt idx="158">
                  <c:v>3.3504640759345299</c:v>
                </c:pt>
                <c:pt idx="159">
                  <c:v>3.35026419090326</c:v>
                </c:pt>
                <c:pt idx="160">
                  <c:v>3.3502274421094298</c:v>
                </c:pt>
                <c:pt idx="161">
                  <c:v>3.3501514114556499</c:v>
                </c:pt>
                <c:pt idx="162">
                  <c:v>3.3500120079460798</c:v>
                </c:pt>
                <c:pt idx="163">
                  <c:v>3.3497861383875498</c:v>
                </c:pt>
                <c:pt idx="164">
                  <c:v>3.3496681868795002</c:v>
                </c:pt>
                <c:pt idx="165">
                  <c:v>3.3496528507466201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VPU/FUTY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3.3510547516601399</c:v>
                </c:pt>
                <c:pt idx="20">
                  <c:v>3.3511556965808298</c:v>
                </c:pt>
                <c:pt idx="21">
                  <c:v>3.3511639803662301</c:v>
                </c:pt>
                <c:pt idx="22">
                  <c:v>3.35113728718621</c:v>
                </c:pt>
                <c:pt idx="23">
                  <c:v>3.3511396093434098</c:v>
                </c:pt>
                <c:pt idx="24">
                  <c:v>3.3511412756001602</c:v>
                </c:pt>
                <c:pt idx="25">
                  <c:v>3.3510465879325801</c:v>
                </c:pt>
                <c:pt idx="26">
                  <c:v>3.3510647203593602</c:v>
                </c:pt>
                <c:pt idx="27">
                  <c:v>3.3510858987061098</c:v>
                </c:pt>
                <c:pt idx="28">
                  <c:v>3.3512125748033301</c:v>
                </c:pt>
                <c:pt idx="29">
                  <c:v>3.3513399937841899</c:v>
                </c:pt>
                <c:pt idx="30">
                  <c:v>3.3514067716787102</c:v>
                </c:pt>
                <c:pt idx="31">
                  <c:v>3.35142736640592</c:v>
                </c:pt>
                <c:pt idx="32">
                  <c:v>3.3514857732225298</c:v>
                </c:pt>
                <c:pt idx="33">
                  <c:v>3.35139247423793</c:v>
                </c:pt>
                <c:pt idx="34">
                  <c:v>3.3514729549469902</c:v>
                </c:pt>
                <c:pt idx="35">
                  <c:v>3.3514575049449502</c:v>
                </c:pt>
                <c:pt idx="36">
                  <c:v>3.3514850951691701</c:v>
                </c:pt>
                <c:pt idx="37">
                  <c:v>3.3515606774297702</c:v>
                </c:pt>
                <c:pt idx="38">
                  <c:v>3.3515954442359601</c:v>
                </c:pt>
                <c:pt idx="39">
                  <c:v>3.3514727540323199</c:v>
                </c:pt>
                <c:pt idx="40">
                  <c:v>3.3512719544690102</c:v>
                </c:pt>
                <c:pt idx="41">
                  <c:v>3.3512423972329501</c:v>
                </c:pt>
                <c:pt idx="42">
                  <c:v>3.3512181698349699</c:v>
                </c:pt>
                <c:pt idx="43">
                  <c:v>3.3511144591111801</c:v>
                </c:pt>
                <c:pt idx="44">
                  <c:v>3.3511177310563598</c:v>
                </c:pt>
                <c:pt idx="45">
                  <c:v>3.3510396168196599</c:v>
                </c:pt>
                <c:pt idx="46">
                  <c:v>3.35103689168055</c:v>
                </c:pt>
                <c:pt idx="47">
                  <c:v>3.3509758058779102</c:v>
                </c:pt>
                <c:pt idx="48">
                  <c:v>3.3509392901838799</c:v>
                </c:pt>
                <c:pt idx="49">
                  <c:v>3.3509472698738301</c:v>
                </c:pt>
                <c:pt idx="50">
                  <c:v>3.3508593350754698</c:v>
                </c:pt>
                <c:pt idx="51">
                  <c:v>3.3506378605339102</c:v>
                </c:pt>
                <c:pt idx="52">
                  <c:v>3.35059840703242</c:v>
                </c:pt>
                <c:pt idx="53">
                  <c:v>3.3518684125782499</c:v>
                </c:pt>
                <c:pt idx="54">
                  <c:v>3.3529103201066799</c:v>
                </c:pt>
                <c:pt idx="55">
                  <c:v>3.3530078616871899</c:v>
                </c:pt>
                <c:pt idx="56">
                  <c:v>3.3530438193951499</c:v>
                </c:pt>
                <c:pt idx="57">
                  <c:v>3.3530280497304701</c:v>
                </c:pt>
                <c:pt idx="58">
                  <c:v>3.3530765869149901</c:v>
                </c:pt>
                <c:pt idx="59">
                  <c:v>3.3530813282294498</c:v>
                </c:pt>
                <c:pt idx="60">
                  <c:v>3.3533177882613301</c:v>
                </c:pt>
                <c:pt idx="61">
                  <c:v>3.3533193954429099</c:v>
                </c:pt>
                <c:pt idx="62">
                  <c:v>3.3532678845485302</c:v>
                </c:pt>
                <c:pt idx="63">
                  <c:v>3.3533897449257002</c:v>
                </c:pt>
                <c:pt idx="64">
                  <c:v>3.3534216011695301</c:v>
                </c:pt>
                <c:pt idx="65">
                  <c:v>3.3534858268855401</c:v>
                </c:pt>
                <c:pt idx="66">
                  <c:v>3.3535196453243001</c:v>
                </c:pt>
                <c:pt idx="67">
                  <c:v>3.3536431712487298</c:v>
                </c:pt>
                <c:pt idx="68">
                  <c:v>3.35359238903317</c:v>
                </c:pt>
                <c:pt idx="69">
                  <c:v>3.3534941229519002</c:v>
                </c:pt>
                <c:pt idx="70">
                  <c:v>3.3535165173975399</c:v>
                </c:pt>
                <c:pt idx="71">
                  <c:v>3.35368476748011</c:v>
                </c:pt>
                <c:pt idx="72">
                  <c:v>3.3536867660588898</c:v>
                </c:pt>
                <c:pt idx="73">
                  <c:v>3.3524601281587798</c:v>
                </c:pt>
                <c:pt idx="74">
                  <c:v>3.3512953974581499</c:v>
                </c:pt>
                <c:pt idx="75">
                  <c:v>3.3512836890346001</c:v>
                </c:pt>
                <c:pt idx="76">
                  <c:v>3.3513018309451299</c:v>
                </c:pt>
                <c:pt idx="77">
                  <c:v>3.3512733998900801</c:v>
                </c:pt>
                <c:pt idx="78">
                  <c:v>3.3512276153515899</c:v>
                </c:pt>
                <c:pt idx="79">
                  <c:v>3.35128848824565</c:v>
                </c:pt>
                <c:pt idx="80">
                  <c:v>3.35102984653071</c:v>
                </c:pt>
                <c:pt idx="81">
                  <c:v>3.35105799445738</c:v>
                </c:pt>
                <c:pt idx="82">
                  <c:v>3.3510930647883201</c:v>
                </c:pt>
                <c:pt idx="83">
                  <c:v>3.35098413970718</c:v>
                </c:pt>
                <c:pt idx="84">
                  <c:v>3.35094800109519</c:v>
                </c:pt>
                <c:pt idx="85">
                  <c:v>3.3509608676026201</c:v>
                </c:pt>
                <c:pt idx="86">
                  <c:v>3.3510075236246202</c:v>
                </c:pt>
                <c:pt idx="87">
                  <c:v>3.3509738411801702</c:v>
                </c:pt>
                <c:pt idx="88">
                  <c:v>3.35096891396875</c:v>
                </c:pt>
                <c:pt idx="89">
                  <c:v>3.3510485814997901</c:v>
                </c:pt>
                <c:pt idx="90">
                  <c:v>3.3510777698385201</c:v>
                </c:pt>
                <c:pt idx="91">
                  <c:v>3.3511469997608798</c:v>
                </c:pt>
                <c:pt idx="92">
                  <c:v>3.3513397823878299</c:v>
                </c:pt>
                <c:pt idx="93">
                  <c:v>3.3513188579739399</c:v>
                </c:pt>
                <c:pt idx="94">
                  <c:v>3.3513760691632499</c:v>
                </c:pt>
                <c:pt idx="95">
                  <c:v>3.3512783314333898</c:v>
                </c:pt>
                <c:pt idx="96">
                  <c:v>3.35130586223592</c:v>
                </c:pt>
                <c:pt idx="97">
                  <c:v>3.3513461263898199</c:v>
                </c:pt>
                <c:pt idx="98">
                  <c:v>3.3513672885412</c:v>
                </c:pt>
                <c:pt idx="99">
                  <c:v>3.3513370684460599</c:v>
                </c:pt>
                <c:pt idx="100">
                  <c:v>3.35145519890317</c:v>
                </c:pt>
                <c:pt idx="101">
                  <c:v>3.3512740998969499</c:v>
                </c:pt>
                <c:pt idx="102">
                  <c:v>3.3513290562983902</c:v>
                </c:pt>
                <c:pt idx="103">
                  <c:v>3.3513458351616001</c:v>
                </c:pt>
                <c:pt idx="104">
                  <c:v>3.3513721671871899</c:v>
                </c:pt>
                <c:pt idx="105">
                  <c:v>3.35137750960003</c:v>
                </c:pt>
                <c:pt idx="106">
                  <c:v>3.3513519016579898</c:v>
                </c:pt>
                <c:pt idx="107">
                  <c:v>3.35133255763298</c:v>
                </c:pt>
                <c:pt idx="108">
                  <c:v>3.3513969471042699</c:v>
                </c:pt>
                <c:pt idx="109">
                  <c:v>3.3512704812213499</c:v>
                </c:pt>
                <c:pt idx="110">
                  <c:v>3.3512958280537499</c:v>
                </c:pt>
                <c:pt idx="111">
                  <c:v>3.3513299892125099</c:v>
                </c:pt>
                <c:pt idx="112">
                  <c:v>3.3511636485021201</c:v>
                </c:pt>
                <c:pt idx="113">
                  <c:v>3.3511171551461301</c:v>
                </c:pt>
                <c:pt idx="114">
                  <c:v>3.3510621676977599</c:v>
                </c:pt>
                <c:pt idx="115">
                  <c:v>3.35219089596995</c:v>
                </c:pt>
                <c:pt idx="116">
                  <c:v>3.3532854090909399</c:v>
                </c:pt>
                <c:pt idx="117">
                  <c:v>3.3543686877685199</c:v>
                </c:pt>
                <c:pt idx="118">
                  <c:v>3.35440481806845</c:v>
                </c:pt>
                <c:pt idx="119">
                  <c:v>3.3545015023509599</c:v>
                </c:pt>
                <c:pt idx="120">
                  <c:v>3.35467906354515</c:v>
                </c:pt>
                <c:pt idx="121">
                  <c:v>3.3549262215115498</c:v>
                </c:pt>
                <c:pt idx="122">
                  <c:v>3.3548747082704198</c:v>
                </c:pt>
                <c:pt idx="123">
                  <c:v>3.35483406207099</c:v>
                </c:pt>
                <c:pt idx="124">
                  <c:v>3.3547357715802399</c:v>
                </c:pt>
                <c:pt idx="125">
                  <c:v>3.3547734741905701</c:v>
                </c:pt>
                <c:pt idx="126">
                  <c:v>3.3547134528672098</c:v>
                </c:pt>
                <c:pt idx="127">
                  <c:v>3.3547379075735999</c:v>
                </c:pt>
                <c:pt idx="128">
                  <c:v>3.3546908445152099</c:v>
                </c:pt>
                <c:pt idx="129">
                  <c:v>3.3547816795715599</c:v>
                </c:pt>
                <c:pt idx="130">
                  <c:v>3.3547606948267599</c:v>
                </c:pt>
                <c:pt idx="131">
                  <c:v>3.3546536498383102</c:v>
                </c:pt>
                <c:pt idx="132">
                  <c:v>3.35460579001185</c:v>
                </c:pt>
                <c:pt idx="133">
                  <c:v>3.3546286627827002</c:v>
                </c:pt>
                <c:pt idx="134">
                  <c:v>3.3546058275022199</c:v>
                </c:pt>
                <c:pt idx="135">
                  <c:v>3.3535494423361598</c:v>
                </c:pt>
                <c:pt idx="136">
                  <c:v>3.3524496137781798</c:v>
                </c:pt>
                <c:pt idx="137">
                  <c:v>3.3513067294081398</c:v>
                </c:pt>
                <c:pt idx="138">
                  <c:v>3.35129748470907</c:v>
                </c:pt>
                <c:pt idx="139">
                  <c:v>3.3512065542194698</c:v>
                </c:pt>
                <c:pt idx="140">
                  <c:v>3.3510357465077001</c:v>
                </c:pt>
                <c:pt idx="141">
                  <c:v>3.35085447899535</c:v>
                </c:pt>
                <c:pt idx="142">
                  <c:v>3.3507832966390398</c:v>
                </c:pt>
                <c:pt idx="143">
                  <c:v>3.3507867194622198</c:v>
                </c:pt>
                <c:pt idx="144">
                  <c:v>3.35079558447823</c:v>
                </c:pt>
                <c:pt idx="145">
                  <c:v>3.3506665687240802</c:v>
                </c:pt>
                <c:pt idx="146">
                  <c:v>3.3506293851947002</c:v>
                </c:pt>
                <c:pt idx="147">
                  <c:v>3.3505996492140899</c:v>
                </c:pt>
                <c:pt idx="148">
                  <c:v>3.3506077060105599</c:v>
                </c:pt>
                <c:pt idx="149">
                  <c:v>3.3505748844952099</c:v>
                </c:pt>
                <c:pt idx="150">
                  <c:v>3.3504953076841102</c:v>
                </c:pt>
                <c:pt idx="151">
                  <c:v>3.3504858582999302</c:v>
                </c:pt>
                <c:pt idx="152">
                  <c:v>3.3504685567658599</c:v>
                </c:pt>
                <c:pt idx="153">
                  <c:v>3.3505792119342699</c:v>
                </c:pt>
                <c:pt idx="154">
                  <c:v>3.3506908084708802</c:v>
                </c:pt>
                <c:pt idx="155">
                  <c:v>3.35061826126047</c:v>
                </c:pt>
                <c:pt idx="156">
                  <c:v>3.3505370423045999</c:v>
                </c:pt>
                <c:pt idx="157">
                  <c:v>3.3504984042967498</c:v>
                </c:pt>
                <c:pt idx="158">
                  <c:v>3.3504114962013598</c:v>
                </c:pt>
                <c:pt idx="159">
                  <c:v>3.35030233634635</c:v>
                </c:pt>
                <c:pt idx="160">
                  <c:v>3.35020503769183</c:v>
                </c:pt>
                <c:pt idx="161">
                  <c:v>3.3501553982137602</c:v>
                </c:pt>
                <c:pt idx="162">
                  <c:v>3.3501601457533301</c:v>
                </c:pt>
                <c:pt idx="163">
                  <c:v>3.3501499681205602</c:v>
                </c:pt>
                <c:pt idx="164">
                  <c:v>3.35021473423161</c:v>
                </c:pt>
                <c:pt idx="165">
                  <c:v>3.3502329309965999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FUTY* x avg / VPU*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-1.8077568809153101E-4</c:v>
                </c:pt>
                <c:pt idx="2">
                  <c:v>1.0677623758431801E-5</c:v>
                </c:pt>
                <c:pt idx="3">
                  <c:v>-8.0574298494661502E-5</c:v>
                </c:pt>
                <c:pt idx="4">
                  <c:v>3.0163996248430003E-4</c:v>
                </c:pt>
                <c:pt idx="5">
                  <c:v>-5.5875112800077395E-4</c:v>
                </c:pt>
                <c:pt idx="6">
                  <c:v>3.9088447565493399E-4</c:v>
                </c:pt>
                <c:pt idx="7">
                  <c:v>2.7892516419576898E-4</c:v>
                </c:pt>
                <c:pt idx="8">
                  <c:v>4.7503421243437298E-4</c:v>
                </c:pt>
                <c:pt idx="9">
                  <c:v>5.1231121221039899E-4</c:v>
                </c:pt>
                <c:pt idx="10">
                  <c:v>2.20907499386486E-4</c:v>
                </c:pt>
                <c:pt idx="11">
                  <c:v>2.5255938531129298E-4</c:v>
                </c:pt>
                <c:pt idx="12">
                  <c:v>2.6660350183111098E-4</c:v>
                </c:pt>
                <c:pt idx="13">
                  <c:v>5.2606494480023399E-5</c:v>
                </c:pt>
                <c:pt idx="14">
                  <c:v>2.2606620974779999E-4</c:v>
                </c:pt>
                <c:pt idx="15">
                  <c:v>2.0643672515592099E-4</c:v>
                </c:pt>
                <c:pt idx="16">
                  <c:v>6.7929651167710999E-4</c:v>
                </c:pt>
                <c:pt idx="17">
                  <c:v>6.3448193199285702E-4</c:v>
                </c:pt>
                <c:pt idx="18">
                  <c:v>4.9374684741930301E-4</c:v>
                </c:pt>
                <c:pt idx="19">
                  <c:v>-3.17838339338204E-4</c:v>
                </c:pt>
                <c:pt idx="20">
                  <c:v>-5.68002378076163E-4</c:v>
                </c:pt>
                <c:pt idx="21">
                  <c:v>-2.3019576732582301E-4</c:v>
                </c:pt>
                <c:pt idx="22">
                  <c:v>1.6997307778523899E-4</c:v>
                </c:pt>
                <c:pt idx="23">
                  <c:v>-9.44296470142011E-5</c:v>
                </c:pt>
                <c:pt idx="24">
                  <c:v>2.91694279757833E-4</c:v>
                </c:pt>
                <c:pt idx="25">
                  <c:v>6.1042220909810397E-6</c:v>
                </c:pt>
                <c:pt idx="26">
                  <c:v>2.8264989777169699E-4</c:v>
                </c:pt>
                <c:pt idx="27">
                  <c:v>1.52524434297772E-4</c:v>
                </c:pt>
                <c:pt idx="28">
                  <c:v>-2.8092898465795999E-4</c:v>
                </c:pt>
                <c:pt idx="29">
                  <c:v>-2.4811193121597003E-4</c:v>
                </c:pt>
                <c:pt idx="30">
                  <c:v>-1.7757198654205699E-4</c:v>
                </c:pt>
                <c:pt idx="31">
                  <c:v>1.2964495359567201E-4</c:v>
                </c:pt>
                <c:pt idx="32">
                  <c:v>-8.1948411182557697E-5</c:v>
                </c:pt>
                <c:pt idx="33">
                  <c:v>6.0951586964950099E-4</c:v>
                </c:pt>
                <c:pt idx="34">
                  <c:v>-2.5416405651996501E-4</c:v>
                </c:pt>
                <c:pt idx="35">
                  <c:v>2.9865182884907399E-4</c:v>
                </c:pt>
                <c:pt idx="36">
                  <c:v>5.1456438227491204E-4</c:v>
                </c:pt>
                <c:pt idx="37">
                  <c:v>1.8329003682972299E-4</c:v>
                </c:pt>
                <c:pt idx="38">
                  <c:v>2.86208669150494E-4</c:v>
                </c:pt>
                <c:pt idx="39">
                  <c:v>4.1430255239141301E-4</c:v>
                </c:pt>
                <c:pt idx="40">
                  <c:v>6.3022734742188902E-4</c:v>
                </c:pt>
                <c:pt idx="41">
                  <c:v>-5.3849618690612202E-5</c:v>
                </c:pt>
                <c:pt idx="42">
                  <c:v>3.14575587549318E-4</c:v>
                </c:pt>
                <c:pt idx="43">
                  <c:v>5.2455645563638498E-4</c:v>
                </c:pt>
                <c:pt idx="44">
                  <c:v>2.7216472694349502E-4</c:v>
                </c:pt>
                <c:pt idx="45">
                  <c:v>4.7233175796942701E-4</c:v>
                </c:pt>
                <c:pt idx="46">
                  <c:v>2.9891582415604898E-4</c:v>
                </c:pt>
                <c:pt idx="47">
                  <c:v>5.1715203521241295E-4</c:v>
                </c:pt>
                <c:pt idx="48">
                  <c:v>-6.3073399370754306E-5</c:v>
                </c:pt>
                <c:pt idx="49">
                  <c:v>-2.9571465094340398E-4</c:v>
                </c:pt>
                <c:pt idx="50">
                  <c:v>3.4718887721346301E-4</c:v>
                </c:pt>
                <c:pt idx="51">
                  <c:v>1.45225288827644E-3</c:v>
                </c:pt>
                <c:pt idx="52">
                  <c:v>1.53483281297251E-4</c:v>
                </c:pt>
                <c:pt idx="53">
                  <c:v>-6.9447583157165498E-3</c:v>
                </c:pt>
                <c:pt idx="54">
                  <c:v>-6.4505208473133796E-3</c:v>
                </c:pt>
                <c:pt idx="55">
                  <c:v>-2.83393669722809E-4</c:v>
                </c:pt>
                <c:pt idx="56">
                  <c:v>2.9991348857229499E-4</c:v>
                </c:pt>
                <c:pt idx="57">
                  <c:v>2.7741099461746799E-4</c:v>
                </c:pt>
                <c:pt idx="58">
                  <c:v>-3.4588613756216601E-6</c:v>
                </c:pt>
                <c:pt idx="59">
                  <c:v>3.8599929745408202E-4</c:v>
                </c:pt>
                <c:pt idx="60">
                  <c:v>-7.8064877478954903E-4</c:v>
                </c:pt>
                <c:pt idx="61">
                  <c:v>-6.3439281080802595E-5</c:v>
                </c:pt>
                <c:pt idx="62">
                  <c:v>6.22090600260885E-4</c:v>
                </c:pt>
                <c:pt idx="63">
                  <c:v>-2.0271448483300699E-4</c:v>
                </c:pt>
                <c:pt idx="64">
                  <c:v>8.2041437238027695E-5</c:v>
                </c:pt>
                <c:pt idx="65">
                  <c:v>8.8982453933395995E-5</c:v>
                </c:pt>
                <c:pt idx="66">
                  <c:v>9.7077616099282505E-5</c:v>
                </c:pt>
                <c:pt idx="67">
                  <c:v>-2.2004988385220599E-4</c:v>
                </c:pt>
                <c:pt idx="68">
                  <c:v>2.39976327043948E-4</c:v>
                </c:pt>
                <c:pt idx="69">
                  <c:v>2.9064809527917503E-4</c:v>
                </c:pt>
                <c:pt idx="70">
                  <c:v>2.1352135057798501E-4</c:v>
                </c:pt>
                <c:pt idx="71">
                  <c:v>4.4733264032043902E-4</c:v>
                </c:pt>
                <c:pt idx="72">
                  <c:v>1.41555788068748E-4</c:v>
                </c:pt>
                <c:pt idx="73">
                  <c:v>3.5061221930313E-4</c:v>
                </c:pt>
                <c:pt idx="74">
                  <c:v>4.78817289682971E-4</c:v>
                </c:pt>
                <c:pt idx="75">
                  <c:v>-2.1354560870076299E-4</c:v>
                </c:pt>
                <c:pt idx="76">
                  <c:v>1.9163215453815599E-4</c:v>
                </c:pt>
                <c:pt idx="77">
                  <c:v>4.4712361760828202E-4</c:v>
                </c:pt>
                <c:pt idx="78">
                  <c:v>2.6977876846821601E-4</c:v>
                </c:pt>
                <c:pt idx="79">
                  <c:v>2.2689982914135499E-5</c:v>
                </c:pt>
                <c:pt idx="80">
                  <c:v>7.6268004290264504E-4</c:v>
                </c:pt>
                <c:pt idx="81">
                  <c:v>-2.3137621945803599E-4</c:v>
                </c:pt>
                <c:pt idx="82">
                  <c:v>4.1271387276529698E-4</c:v>
                </c:pt>
                <c:pt idx="83">
                  <c:v>4.4733264032043902E-4</c:v>
                </c:pt>
                <c:pt idx="84">
                  <c:v>2.9772535915368898E-4</c:v>
                </c:pt>
                <c:pt idx="85">
                  <c:v>1.2202740608237001E-5</c:v>
                </c:pt>
                <c:pt idx="86">
                  <c:v>-1.81312142087601E-4</c:v>
                </c:pt>
                <c:pt idx="87">
                  <c:v>-1.9087157969740701E-5</c:v>
                </c:pt>
                <c:pt idx="88">
                  <c:v>2.6938501457265599E-4</c:v>
                </c:pt>
                <c:pt idx="89">
                  <c:v>-1.8476176649138501E-4</c:v>
                </c:pt>
                <c:pt idx="90">
                  <c:v>3.9329383967864701E-5</c:v>
                </c:pt>
                <c:pt idx="91">
                  <c:v>3.41308170490645E-5</c:v>
                </c:pt>
                <c:pt idx="92">
                  <c:v>-1.0083003241268299E-3</c:v>
                </c:pt>
                <c:pt idx="93">
                  <c:v>4.75522025284218E-4</c:v>
                </c:pt>
                <c:pt idx="94">
                  <c:v>1.3732680477008299E-4</c:v>
                </c:pt>
                <c:pt idx="95">
                  <c:v>3.6971143420952098E-4</c:v>
                </c:pt>
                <c:pt idx="96">
                  <c:v>2.7334918160962298E-5</c:v>
                </c:pt>
                <c:pt idx="97">
                  <c:v>2.0678452900253899E-4</c:v>
                </c:pt>
                <c:pt idx="98">
                  <c:v>1.43475847913229E-4</c:v>
                </c:pt>
                <c:pt idx="99">
                  <c:v>2.0303688310161901E-4</c:v>
                </c:pt>
                <c:pt idx="100">
                  <c:v>5.7493829196642101E-5</c:v>
                </c:pt>
                <c:pt idx="101">
                  <c:v>8.4959499667531298E-4</c:v>
                </c:pt>
                <c:pt idx="102">
                  <c:v>8.4701567078752203E-5</c:v>
                </c:pt>
                <c:pt idx="103">
                  <c:v>3.4717158378011801E-4</c:v>
                </c:pt>
                <c:pt idx="104">
                  <c:v>1.4056490293796301E-4</c:v>
                </c:pt>
                <c:pt idx="105">
                  <c:v>-1.9675890396543199E-5</c:v>
                </c:pt>
                <c:pt idx="106">
                  <c:v>-2.8522838240064399E-5</c:v>
                </c:pt>
                <c:pt idx="107">
                  <c:v>9.6345171603602395E-5</c:v>
                </c:pt>
                <c:pt idx="108">
                  <c:v>-1.14863546297352E-4</c:v>
                </c:pt>
                <c:pt idx="109">
                  <c:v>5.70019073222104E-4</c:v>
                </c:pt>
                <c:pt idx="110">
                  <c:v>-1.11912392866518E-4</c:v>
                </c:pt>
                <c:pt idx="111">
                  <c:v>-1.69698661796168E-4</c:v>
                </c:pt>
                <c:pt idx="112">
                  <c:v>-1.6235849094273499E-5</c:v>
                </c:pt>
                <c:pt idx="113">
                  <c:v>7.5312334759040304E-4</c:v>
                </c:pt>
                <c:pt idx="114">
                  <c:v>4.6554172212520499E-4</c:v>
                </c:pt>
                <c:pt idx="115">
                  <c:v>-6.3454246317206E-3</c:v>
                </c:pt>
                <c:pt idx="116">
                  <c:v>-6.4826844899558197E-3</c:v>
                </c:pt>
                <c:pt idx="117">
                  <c:v>-6.2377813614141299E-3</c:v>
                </c:pt>
                <c:pt idx="118">
                  <c:v>-7.21252156865039E-5</c:v>
                </c:pt>
                <c:pt idx="119">
                  <c:v>-3.7383931810088097E-4</c:v>
                </c:pt>
                <c:pt idx="120">
                  <c:v>-1.00153280056775E-3</c:v>
                </c:pt>
                <c:pt idx="121">
                  <c:v>-6.2538828916193295E-4</c:v>
                </c:pt>
                <c:pt idx="122">
                  <c:v>3.9215989611326399E-4</c:v>
                </c:pt>
                <c:pt idx="123">
                  <c:v>5.8982546839157703E-4</c:v>
                </c:pt>
                <c:pt idx="124">
                  <c:v>7.2732935809970102E-4</c:v>
                </c:pt>
                <c:pt idx="125">
                  <c:v>-2.4462167883114401E-4</c:v>
                </c:pt>
                <c:pt idx="126">
                  <c:v>3.2968476513716203E-4</c:v>
                </c:pt>
                <c:pt idx="127">
                  <c:v>-4.9582094543946403E-5</c:v>
                </c:pt>
                <c:pt idx="128">
                  <c:v>1.65973943639149E-4</c:v>
                </c:pt>
                <c:pt idx="129">
                  <c:v>2.7834512786020099E-5</c:v>
                </c:pt>
                <c:pt idx="130">
                  <c:v>1.3299654718200999E-5</c:v>
                </c:pt>
                <c:pt idx="131">
                  <c:v>4.6914589048431099E-4</c:v>
                </c:pt>
                <c:pt idx="132">
                  <c:v>2.6938501457265599E-4</c:v>
                </c:pt>
                <c:pt idx="133">
                  <c:v>6.1654557115111395E-4</c:v>
                </c:pt>
                <c:pt idx="134">
                  <c:v>6.0187503113576799E-4</c:v>
                </c:pt>
                <c:pt idx="135">
                  <c:v>-6.2034045205022298E-5</c:v>
                </c:pt>
                <c:pt idx="136">
                  <c:v>5.9054070503545602E-5</c:v>
                </c:pt>
                <c:pt idx="137">
                  <c:v>5.6259493344541203E-4</c:v>
                </c:pt>
                <c:pt idx="138">
                  <c:v>-1.6963562595457901E-5</c:v>
                </c:pt>
                <c:pt idx="139">
                  <c:v>1.68697002065418E-4</c:v>
                </c:pt>
                <c:pt idx="140">
                  <c:v>1.7193570731079601E-5</c:v>
                </c:pt>
                <c:pt idx="141">
                  <c:v>4.5616281739675599E-4</c:v>
                </c:pt>
                <c:pt idx="142">
                  <c:v>8.1716955372931497E-4</c:v>
                </c:pt>
                <c:pt idx="143">
                  <c:v>5.6938927401231805E-4</c:v>
                </c:pt>
                <c:pt idx="144">
                  <c:v>6.7439376981868495E-4</c:v>
                </c:pt>
                <c:pt idx="145">
                  <c:v>5.25337198458564E-4</c:v>
                </c:pt>
                <c:pt idx="146">
                  <c:v>5.5166066730280995E-4</c:v>
                </c:pt>
                <c:pt idx="147">
                  <c:v>1.27862634059578E-4</c:v>
                </c:pt>
                <c:pt idx="148">
                  <c:v>1.17891351495519E-4</c:v>
                </c:pt>
                <c:pt idx="149">
                  <c:v>2.2370864650705601E-4</c:v>
                </c:pt>
                <c:pt idx="150">
                  <c:v>4.8826210847676798E-4</c:v>
                </c:pt>
                <c:pt idx="151">
                  <c:v>5.2555942916264996E-4</c:v>
                </c:pt>
                <c:pt idx="152">
                  <c:v>3.7265827052754302E-4</c:v>
                </c:pt>
                <c:pt idx="153">
                  <c:v>-4.3934739820788598E-5</c:v>
                </c:pt>
                <c:pt idx="154">
                  <c:v>-6.4212493597025504E-5</c:v>
                </c:pt>
                <c:pt idx="155">
                  <c:v>3.70929797397657E-4</c:v>
                </c:pt>
                <c:pt idx="156">
                  <c:v>5.43842397820185E-4</c:v>
                </c:pt>
                <c:pt idx="157">
                  <c:v>7.9330842694079603E-4</c:v>
                </c:pt>
                <c:pt idx="158">
                  <c:v>5.0175207088421902E-4</c:v>
                </c:pt>
                <c:pt idx="159">
                  <c:v>8.2038775518807798E-4</c:v>
                </c:pt>
                <c:pt idx="160">
                  <c:v>5.9796366852543203E-4</c:v>
                </c:pt>
                <c:pt idx="161">
                  <c:v>7.5254596910629204E-4</c:v>
                </c:pt>
                <c:pt idx="162">
                  <c:v>7.8881771905733801E-4</c:v>
                </c:pt>
                <c:pt idx="163">
                  <c:v>6.3015673539909296E-4</c:v>
                </c:pt>
                <c:pt idx="164">
                  <c:v>2.8774148419684901E-4</c:v>
                </c:pt>
                <c:pt idx="165">
                  <c:v>4.1670399486253901E-4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FUTY* x 10 dma / VPU*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1.0260286051094699E-4</c:v>
                </c:pt>
                <c:pt idx="11">
                  <c:v>1.15582597154145E-4</c:v>
                </c:pt>
                <c:pt idx="12">
                  <c:v>8.6287886294742698E-5</c:v>
                </c:pt>
                <c:pt idx="13">
                  <c:v>-1.5330310305103001E-4</c:v>
                </c:pt>
                <c:pt idx="14">
                  <c:v>6.8355153026853401E-6</c:v>
                </c:pt>
                <c:pt idx="15">
                  <c:v>-5.2369597886428102E-6</c:v>
                </c:pt>
                <c:pt idx="16">
                  <c:v>3.9107142746216299E-4</c:v>
                </c:pt>
                <c:pt idx="17">
                  <c:v>3.1742234738216902E-4</c:v>
                </c:pt>
                <c:pt idx="18">
                  <c:v>1.4113591868928301E-4</c:v>
                </c:pt>
                <c:pt idx="19">
                  <c:v>-6.72320286739249E-4</c:v>
                </c:pt>
                <c:pt idx="20">
                  <c:v>-8.39451457290165E-4</c:v>
                </c:pt>
                <c:pt idx="21">
                  <c:v>-4.2272185722106001E-4</c:v>
                </c:pt>
                <c:pt idx="22">
                  <c:v>2.5730093257091701E-5</c:v>
                </c:pt>
                <c:pt idx="23">
                  <c:v>-2.2901035129011601E-4</c:v>
                </c:pt>
                <c:pt idx="24">
                  <c:v>1.71819367990115E-4</c:v>
                </c:pt>
                <c:pt idx="25">
                  <c:v>-1.2033260600675101E-4</c:v>
                </c:pt>
                <c:pt idx="26">
                  <c:v>1.76246523344791E-4</c:v>
                </c:pt>
                <c:pt idx="27">
                  <c:v>8.5770081085173E-5</c:v>
                </c:pt>
                <c:pt idx="28">
                  <c:v>-2.99504493586383E-4</c:v>
                </c:pt>
                <c:pt idx="29">
                  <c:v>-1.89229658875194E-4</c:v>
                </c:pt>
                <c:pt idx="30">
                  <c:v>-1.2566394202882E-4</c:v>
                </c:pt>
                <c:pt idx="31">
                  <c:v>1.4249666591177501E-4</c:v>
                </c:pt>
                <c:pt idx="32">
                  <c:v>-1.05082765325575E-4</c:v>
                </c:pt>
                <c:pt idx="33">
                  <c:v>6.1157282121053296E-4</c:v>
                </c:pt>
                <c:pt idx="34">
                  <c:v>-3.22485862546603E-4</c:v>
                </c:pt>
                <c:pt idx="35">
                  <c:v>2.8491707238833001E-4</c:v>
                </c:pt>
                <c:pt idx="36">
                  <c:v>4.7157849291829798E-4</c:v>
                </c:pt>
                <c:pt idx="37">
                  <c:v>1.1712067614185E-4</c:v>
                </c:pt>
                <c:pt idx="38">
                  <c:v>2.1696305646442599E-4</c:v>
                </c:pt>
                <c:pt idx="39">
                  <c:v>2.88337787473808E-4</c:v>
                </c:pt>
                <c:pt idx="40">
                  <c:v>4.3801609888697099E-4</c:v>
                </c:pt>
                <c:pt idx="41">
                  <c:v>-3.2684130959410098E-4</c:v>
                </c:pt>
                <c:pt idx="42">
                  <c:v>5.99374998264222E-5</c:v>
                </c:pt>
                <c:pt idx="43">
                  <c:v>2.30259696108007E-4</c:v>
                </c:pt>
                <c:pt idx="44">
                  <c:v>-1.36384441135016E-5</c:v>
                </c:pt>
                <c:pt idx="45">
                  <c:v>1.3387975108610899E-4</c:v>
                </c:pt>
                <c:pt idx="46">
                  <c:v>-5.6903509504746702E-5</c:v>
                </c:pt>
                <c:pt idx="47">
                  <c:v>1.8289622683951599E-4</c:v>
                </c:pt>
                <c:pt idx="48">
                  <c:v>-4.3071543203657001E-4</c:v>
                </c:pt>
                <c:pt idx="49">
                  <c:v>-6.2842014150272596E-4</c:v>
                </c:pt>
                <c:pt idx="50">
                  <c:v>8.5502001941762203E-5</c:v>
                </c:pt>
                <c:pt idx="51">
                  <c:v>1.21886303491041E-3</c:v>
                </c:pt>
                <c:pt idx="52">
                  <c:v>-2.30458029603688E-4</c:v>
                </c:pt>
                <c:pt idx="53">
                  <c:v>-7.3125881106200904E-3</c:v>
                </c:pt>
                <c:pt idx="54">
                  <c:v>-6.0690209843938404E-3</c:v>
                </c:pt>
                <c:pt idx="55">
                  <c:v>7.7197167517190904E-4</c:v>
                </c:pt>
                <c:pt idx="56">
                  <c:v>1.43076168316066E-3</c:v>
                </c:pt>
                <c:pt idx="57">
                  <c:v>1.40815956535012E-3</c:v>
                </c:pt>
                <c:pt idx="58">
                  <c:v>1.1512269217980101E-3</c:v>
                </c:pt>
                <c:pt idx="59">
                  <c:v>1.5347302906417301E-3</c:v>
                </c:pt>
                <c:pt idx="60">
                  <c:v>2.9998984345218198E-4</c:v>
                </c:pt>
                <c:pt idx="61">
                  <c:v>1.1298793669031501E-3</c:v>
                </c:pt>
                <c:pt idx="62">
                  <c:v>1.96668118630593E-3</c:v>
                </c:pt>
                <c:pt idx="63">
                  <c:v>1.0950953848886001E-3</c:v>
                </c:pt>
                <c:pt idx="64">
                  <c:v>7.0388104050775899E-4</c:v>
                </c:pt>
                <c:pt idx="65">
                  <c:v>5.5674051352823099E-5</c:v>
                </c:pt>
                <c:pt idx="66">
                  <c:v>2.65260470725271E-5</c:v>
                </c:pt>
                <c:pt idx="67">
                  <c:v>-2.7032066625051201E-4</c:v>
                </c:pt>
                <c:pt idx="68">
                  <c:v>2.3945146969747699E-4</c:v>
                </c:pt>
                <c:pt idx="69">
                  <c:v>2.6578228868005398E-4</c:v>
                </c:pt>
                <c:pt idx="70">
                  <c:v>1.9818763037962299E-4</c:v>
                </c:pt>
                <c:pt idx="71">
                  <c:v>3.3254723840409002E-4</c:v>
                </c:pt>
                <c:pt idx="72">
                  <c:v>-2.4304169796455701E-5</c:v>
                </c:pt>
                <c:pt idx="73">
                  <c:v>2.32794212421709E-4</c:v>
                </c:pt>
                <c:pt idx="74">
                  <c:v>3.0566265318882898E-4</c:v>
                </c:pt>
                <c:pt idx="75">
                  <c:v>-4.2637436153321302E-4</c:v>
                </c:pt>
                <c:pt idx="76">
                  <c:v>9.0640742303647494E-6</c:v>
                </c:pt>
                <c:pt idx="77">
                  <c:v>2.5509967741644499E-4</c:v>
                </c:pt>
                <c:pt idx="78">
                  <c:v>1.10300141869626E-5</c:v>
                </c:pt>
                <c:pt idx="79">
                  <c:v>-2.39039031487696E-4</c:v>
                </c:pt>
                <c:pt idx="80">
                  <c:v>5.2774929605586699E-4</c:v>
                </c:pt>
                <c:pt idx="81">
                  <c:v>-5.2121044210726403E-4</c:v>
                </c:pt>
                <c:pt idx="82">
                  <c:v>1.90760577285211E-4</c:v>
                </c:pt>
                <c:pt idx="83">
                  <c:v>1.98264664938805E-4</c:v>
                </c:pt>
                <c:pt idx="84">
                  <c:v>3.8986744679898003E-5</c:v>
                </c:pt>
                <c:pt idx="85">
                  <c:v>-2.28429190295885E-4</c:v>
                </c:pt>
                <c:pt idx="86">
                  <c:v>-4.4452686914223002E-4</c:v>
                </c:pt>
                <c:pt idx="87">
                  <c:v>-2.4499852567917197E-4</c:v>
                </c:pt>
                <c:pt idx="88">
                  <c:v>9.0094192563029997E-5</c:v>
                </c:pt>
                <c:pt idx="89">
                  <c:v>-3.6401321666728801E-4</c:v>
                </c:pt>
                <c:pt idx="90">
                  <c:v>-1.19171706111176E-4</c:v>
                </c:pt>
                <c:pt idx="91">
                  <c:v>-5.2055359735350397E-5</c:v>
                </c:pt>
                <c:pt idx="92">
                  <c:v>-1.12104246450536E-3</c:v>
                </c:pt>
                <c:pt idx="93">
                  <c:v>5.0492956244640704E-4</c:v>
                </c:pt>
                <c:pt idx="94">
                  <c:v>1.6391678276031201E-4</c:v>
                </c:pt>
                <c:pt idx="95">
                  <c:v>4.1233722397253798E-4</c:v>
                </c:pt>
                <c:pt idx="96">
                  <c:v>3.4217549410150602E-5</c:v>
                </c:pt>
                <c:pt idx="97">
                  <c:v>1.92800773695577E-4</c:v>
                </c:pt>
                <c:pt idx="98">
                  <c:v>1.06906472658328E-4</c:v>
                </c:pt>
                <c:pt idx="99">
                  <c:v>1.7905620675830999E-4</c:v>
                </c:pt>
                <c:pt idx="100">
                  <c:v>-5.2680399483562602E-6</c:v>
                </c:pt>
                <c:pt idx="101">
                  <c:v>7.8501665529123505E-4</c:v>
                </c:pt>
                <c:pt idx="102">
                  <c:v>-6.1395756706761193E-5</c:v>
                </c:pt>
                <c:pt idx="103">
                  <c:v>9.1701621037282196E-5</c:v>
                </c:pt>
                <c:pt idx="104">
                  <c:v>-1.02072098518967E-4</c:v>
                </c:pt>
                <c:pt idx="105">
                  <c:v>-2.6263673530051E-4</c:v>
                </c:pt>
                <c:pt idx="106">
                  <c:v>-2.3254306292623501E-4</c:v>
                </c:pt>
                <c:pt idx="107">
                  <c:v>-1.0208815000254E-4</c:v>
                </c:pt>
                <c:pt idx="108">
                  <c:v>-3.0225247552304198E-4</c:v>
                </c:pt>
                <c:pt idx="109">
                  <c:v>4.0846822148048298E-4</c:v>
                </c:pt>
                <c:pt idx="110">
                  <c:v>-3.1015388158844702E-4</c:v>
                </c:pt>
                <c:pt idx="111">
                  <c:v>-3.50995852139821E-4</c:v>
                </c:pt>
                <c:pt idx="112">
                  <c:v>-9.56250318871081E-5</c:v>
                </c:pt>
                <c:pt idx="113">
                  <c:v>6.8382831127983702E-4</c:v>
                </c:pt>
                <c:pt idx="114">
                  <c:v>3.5567020153683999E-4</c:v>
                </c:pt>
                <c:pt idx="115">
                  <c:v>-6.4877880848736302E-3</c:v>
                </c:pt>
                <c:pt idx="116">
                  <c:v>-5.9905665793248001E-3</c:v>
                </c:pt>
                <c:pt idx="117">
                  <c:v>-5.0986694429235998E-3</c:v>
                </c:pt>
                <c:pt idx="118">
                  <c:v>1.7014238054706399E-3</c:v>
                </c:pt>
                <c:pt idx="119">
                  <c:v>1.39544303513766E-3</c:v>
                </c:pt>
                <c:pt idx="120">
                  <c:v>8.6195486880808597E-4</c:v>
                </c:pt>
                <c:pt idx="121">
                  <c:v>1.32694130079017E-3</c:v>
                </c:pt>
                <c:pt idx="122">
                  <c:v>2.3899866192442902E-3</c:v>
                </c:pt>
                <c:pt idx="123">
                  <c:v>2.5469009555925399E-3</c:v>
                </c:pt>
                <c:pt idx="124">
                  <c:v>2.7006916333101399E-3</c:v>
                </c:pt>
                <c:pt idx="125">
                  <c:v>1.70262867955739E-3</c:v>
                </c:pt>
                <c:pt idx="126">
                  <c:v>1.66584439894557E-3</c:v>
                </c:pt>
                <c:pt idx="127">
                  <c:v>6.0391972004297898E-4</c:v>
                </c:pt>
                <c:pt idx="128">
                  <c:v>1.98919443260101E-4</c:v>
                </c:pt>
                <c:pt idx="129">
                  <c:v>3.6971714621714698E-5</c:v>
                </c:pt>
                <c:pt idx="130">
                  <c:v>-1.77379163760187E-5</c:v>
                </c:pt>
                <c:pt idx="131">
                  <c:v>3.3656660597592602E-4</c:v>
                </c:pt>
                <c:pt idx="132">
                  <c:v>2.7323249328664301E-5</c:v>
                </c:pt>
                <c:pt idx="133">
                  <c:v>3.86760129618798E-4</c:v>
                </c:pt>
                <c:pt idx="134">
                  <c:v>3.6941857330284199E-4</c:v>
                </c:pt>
                <c:pt idx="135">
                  <c:v>-2.8195056924259099E-4</c:v>
                </c:pt>
                <c:pt idx="136">
                  <c:v>-1.7912819999266801E-4</c:v>
                </c:pt>
                <c:pt idx="137">
                  <c:v>3.5147655200116503E-4</c:v>
                </c:pt>
                <c:pt idx="138">
                  <c:v>-2.8929874301635098E-4</c:v>
                </c:pt>
                <c:pt idx="139">
                  <c:v>-8.5340975691120704E-5</c:v>
                </c:pt>
                <c:pt idx="140">
                  <c:v>-2.5093294962486701E-4</c:v>
                </c:pt>
                <c:pt idx="141">
                  <c:v>1.87646806881816E-4</c:v>
                </c:pt>
                <c:pt idx="142">
                  <c:v>5.49951597653798E-4</c:v>
                </c:pt>
                <c:pt idx="143">
                  <c:v>2.4740648378637601E-4</c:v>
                </c:pt>
                <c:pt idx="144">
                  <c:v>3.5712532050456898E-4</c:v>
                </c:pt>
                <c:pt idx="145">
                  <c:v>2.0081917550240799E-4</c:v>
                </c:pt>
                <c:pt idx="146">
                  <c:v>1.6839833876195799E-4</c:v>
                </c:pt>
                <c:pt idx="147">
                  <c:v>-3.0466540599389402E-4</c:v>
                </c:pt>
                <c:pt idx="148">
                  <c:v>-2.7116060802911501E-4</c:v>
                </c:pt>
                <c:pt idx="149">
                  <c:v>-1.7883346222836801E-4</c:v>
                </c:pt>
                <c:pt idx="150">
                  <c:v>8.0217684935660104E-5</c:v>
                </c:pt>
                <c:pt idx="151">
                  <c:v>7.0399724459835304E-5</c:v>
                </c:pt>
                <c:pt idx="152">
                  <c:v>-8.9440871679571295E-5</c:v>
                </c:pt>
                <c:pt idx="153">
                  <c:v>-4.61589644375905E-4</c:v>
                </c:pt>
                <c:pt idx="154">
                  <c:v>-4.2052737432493403E-4</c:v>
                </c:pt>
                <c:pt idx="155">
                  <c:v>8.8476600400597794E-5</c:v>
                </c:pt>
                <c:pt idx="156">
                  <c:v>2.7682726376241002E-4</c:v>
                </c:pt>
                <c:pt idx="157">
                  <c:v>5.2707490006937601E-4</c:v>
                </c:pt>
                <c:pt idx="158">
                  <c:v>1.6898468198422799E-4</c:v>
                </c:pt>
                <c:pt idx="159">
                  <c:v>4.4923267651112098E-4</c:v>
                </c:pt>
                <c:pt idx="160">
                  <c:v>1.6714790123011799E-4</c:v>
                </c:pt>
                <c:pt idx="161">
                  <c:v>3.1076121748935498E-4</c:v>
                </c:pt>
                <c:pt idx="162">
                  <c:v>3.2433853315566997E-4</c:v>
                </c:pt>
                <c:pt idx="163">
                  <c:v>1.2406557651667099E-4</c:v>
                </c:pt>
                <c:pt idx="164">
                  <c:v>-2.8577545489054097E-4</c:v>
                </c:pt>
                <c:pt idx="165">
                  <c:v>-1.9202521744456099E-4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FUTY* x 20 dma / VPU*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-7.6287630546839798E-4</c:v>
                </c:pt>
                <c:pt idx="21">
                  <c:v>-3.9494682063661701E-4</c:v>
                </c:pt>
                <c:pt idx="22">
                  <c:v>7.6939404071157596E-6</c:v>
                </c:pt>
                <c:pt idx="23">
                  <c:v>-2.6467416194137698E-4</c:v>
                </c:pt>
                <c:pt idx="24">
                  <c:v>1.22142710597764E-4</c:v>
                </c:pt>
                <c:pt idx="25">
                  <c:v>-1.6295012626480699E-4</c:v>
                </c:pt>
                <c:pt idx="26">
                  <c:v>8.5339800842694098E-5</c:v>
                </c:pt>
                <c:pt idx="27">
                  <c:v>-3.9374703025249601E-5</c:v>
                </c:pt>
                <c:pt idx="28">
                  <c:v>-4.6650825602952698E-4</c:v>
                </c:pt>
                <c:pt idx="29">
                  <c:v>-3.9589040999881499E-4</c:v>
                </c:pt>
                <c:pt idx="30">
                  <c:v>-2.87329433913844E-4</c:v>
                </c:pt>
                <c:pt idx="31">
                  <c:v>3.98130373114695E-5</c:v>
                </c:pt>
                <c:pt idx="32">
                  <c:v>-1.65635247105366E-4</c:v>
                </c:pt>
                <c:pt idx="33">
                  <c:v>5.4325632702329201E-4</c:v>
                </c:pt>
                <c:pt idx="34">
                  <c:v>-3.4826208320175799E-4</c:v>
                </c:pt>
                <c:pt idx="35">
                  <c:v>2.2856762428948501E-4</c:v>
                </c:pt>
                <c:pt idx="36">
                  <c:v>4.39870253105418E-4</c:v>
                </c:pt>
                <c:pt idx="37">
                  <c:v>1.16828179922554E-4</c:v>
                </c:pt>
                <c:pt idx="38">
                  <c:v>2.4229842927576701E-4</c:v>
                </c:pt>
                <c:pt idx="39">
                  <c:v>3.80765577156309E-4</c:v>
                </c:pt>
                <c:pt idx="40">
                  <c:v>5.6008319468968295E-4</c:v>
                </c:pt>
                <c:pt idx="41">
                  <c:v>-1.83909394677831E-4</c:v>
                </c:pt>
                <c:pt idx="42">
                  <c:v>1.7569606586392299E-4</c:v>
                </c:pt>
                <c:pt idx="43">
                  <c:v>3.7844752984321701E-4</c:v>
                </c:pt>
                <c:pt idx="44">
                  <c:v>9.5108150669750803E-5</c:v>
                </c:pt>
                <c:pt idx="45">
                  <c:v>2.9625155645892899E-4</c:v>
                </c:pt>
                <c:pt idx="46">
                  <c:v>9.9525445742545095E-5</c:v>
                </c:pt>
                <c:pt idx="47">
                  <c:v>3.16948434474717E-4</c:v>
                </c:pt>
                <c:pt idx="48">
                  <c:v>-2.8150609199390202E-4</c:v>
                </c:pt>
                <c:pt idx="49">
                  <c:v>-5.2504443596602805E-4</c:v>
                </c:pt>
                <c:pt idx="50">
                  <c:v>1.20240418667918E-4</c:v>
                </c:pt>
                <c:pt idx="51">
                  <c:v>1.19906231217969E-3</c:v>
                </c:pt>
                <c:pt idx="52">
                  <c:v>-1.6580432809939501E-4</c:v>
                </c:pt>
                <c:pt idx="53">
                  <c:v>-7.27582091704412E-3</c:v>
                </c:pt>
                <c:pt idx="54">
                  <c:v>-6.4026168397158098E-3</c:v>
                </c:pt>
                <c:pt idx="55">
                  <c:v>7.5305840114671499E-5</c:v>
                </c:pt>
                <c:pt idx="56">
                  <c:v>6.8770419155312604E-4</c:v>
                </c:pt>
                <c:pt idx="57">
                  <c:v>6.7592565550243398E-4</c:v>
                </c:pt>
                <c:pt idx="58">
                  <c:v>3.9035269909760999E-4</c:v>
                </c:pt>
                <c:pt idx="59">
                  <c:v>7.9428638050007595E-4</c:v>
                </c:pt>
                <c:pt idx="60">
                  <c:v>-3.7094767360524802E-4</c:v>
                </c:pt>
                <c:pt idx="61">
                  <c:v>4.1677955335009501E-4</c:v>
                </c:pt>
                <c:pt idx="62">
                  <c:v>1.1027887156012501E-3</c:v>
                </c:pt>
                <c:pt idx="63">
                  <c:v>2.6262234697277598E-4</c:v>
                </c:pt>
                <c:pt idx="64">
                  <c:v>5.8371839073149696E-4</c:v>
                </c:pt>
                <c:pt idx="65">
                  <c:v>6.00159076399391E-4</c:v>
                </c:pt>
                <c:pt idx="66">
                  <c:v>6.2740634904355995E-4</c:v>
                </c:pt>
                <c:pt idx="67">
                  <c:v>3.2036336114364E-4</c:v>
                </c:pt>
                <c:pt idx="68">
                  <c:v>8.1722360390108295E-4</c:v>
                </c:pt>
                <c:pt idx="69">
                  <c:v>8.5275285474508496E-4</c:v>
                </c:pt>
                <c:pt idx="70">
                  <c:v>7.4632394401275199E-4</c:v>
                </c:pt>
                <c:pt idx="71">
                  <c:v>9.8681315536460292E-4</c:v>
                </c:pt>
                <c:pt idx="72">
                  <c:v>7.3120628473728202E-4</c:v>
                </c:pt>
                <c:pt idx="73">
                  <c:v>9.4085865098780396E-4</c:v>
                </c:pt>
                <c:pt idx="74">
                  <c:v>7.0323877504886495E-4</c:v>
                </c:pt>
                <c:pt idx="75">
                  <c:v>-3.3661015796268399E-4</c:v>
                </c:pt>
                <c:pt idx="76">
                  <c:v>6.5073898333233598E-5</c:v>
                </c:pt>
                <c:pt idx="77">
                  <c:v>3.2597876805803301E-4</c:v>
                </c:pt>
                <c:pt idx="78">
                  <c:v>1.4015029760176901E-4</c:v>
                </c:pt>
                <c:pt idx="79">
                  <c:v>-1.2060041456390599E-4</c:v>
                </c:pt>
                <c:pt idx="80">
                  <c:v>6.37553837236875E-4</c:v>
                </c:pt>
                <c:pt idx="81">
                  <c:v>-4.3368220147989002E-4</c:v>
                </c:pt>
                <c:pt idx="82">
                  <c:v>2.1880763940035399E-4</c:v>
                </c:pt>
                <c:pt idx="83">
                  <c:v>2.6389180250784998E-4</c:v>
                </c:pt>
                <c:pt idx="84">
                  <c:v>8.177964924686E-5</c:v>
                </c:pt>
                <c:pt idx="85">
                  <c:v>-2.1452750463299799E-4</c:v>
                </c:pt>
                <c:pt idx="86">
                  <c:v>-4.04202732783502E-4</c:v>
                </c:pt>
                <c:pt idx="87">
                  <c:v>-2.2805466837563099E-4</c:v>
                </c:pt>
                <c:pt idx="88">
                  <c:v>5.03660156226948E-5</c:v>
                </c:pt>
                <c:pt idx="89">
                  <c:v>-4.0525114846167701E-4</c:v>
                </c:pt>
                <c:pt idx="90">
                  <c:v>-1.57385804308454E-4</c:v>
                </c:pt>
                <c:pt idx="91">
                  <c:v>-1.5387419860187499E-4</c:v>
                </c:pt>
                <c:pt idx="92">
                  <c:v>-1.1756465511714601E-3</c:v>
                </c:pt>
                <c:pt idx="93">
                  <c:v>3.6570149975067299E-4</c:v>
                </c:pt>
                <c:pt idx="94">
                  <c:v>2.1262663078934602E-5</c:v>
                </c:pt>
                <c:pt idx="95">
                  <c:v>2.7071839300583901E-4</c:v>
                </c:pt>
                <c:pt idx="96">
                  <c:v>-1.00822010668995E-4</c:v>
                </c:pt>
                <c:pt idx="97">
                  <c:v>8.6842581658560204E-5</c:v>
                </c:pt>
                <c:pt idx="98">
                  <c:v>3.5548295457253497E-5</c:v>
                </c:pt>
                <c:pt idx="99">
                  <c:v>1.01423833468685E-4</c:v>
                </c:pt>
                <c:pt idx="100">
                  <c:v>-5.31365046657471E-5</c:v>
                </c:pt>
                <c:pt idx="101">
                  <c:v>7.7421279595342105E-4</c:v>
                </c:pt>
                <c:pt idx="102">
                  <c:v>-4.4718025932337198E-5</c:v>
                </c:pt>
                <c:pt idx="103">
                  <c:v>2.3415051538853201E-4</c:v>
                </c:pt>
                <c:pt idx="104">
                  <c:v>3.2550451600194901E-5</c:v>
                </c:pt>
                <c:pt idx="105">
                  <c:v>-1.19833223001293E-4</c:v>
                </c:pt>
                <c:pt idx="106">
                  <c:v>-1.2708607495669899E-4</c:v>
                </c:pt>
                <c:pt idx="107">
                  <c:v>-9.8591141477528394E-6</c:v>
                </c:pt>
                <c:pt idx="108">
                  <c:v>-2.2683985522028099E-4</c:v>
                </c:pt>
                <c:pt idx="109">
                  <c:v>4.7725567487365799E-4</c:v>
                </c:pt>
                <c:pt idx="110">
                  <c:v>-2.4241177745905999E-4</c:v>
                </c:pt>
                <c:pt idx="111">
                  <c:v>-2.9263472474871298E-4</c:v>
                </c:pt>
                <c:pt idx="112">
                  <c:v>-1.2897854613654999E-4</c:v>
                </c:pt>
                <c:pt idx="113">
                  <c:v>5.9074518070165996E-4</c:v>
                </c:pt>
                <c:pt idx="114">
                  <c:v>2.8928966443672702E-4</c:v>
                </c:pt>
                <c:pt idx="115">
                  <c:v>-6.5380855157697601E-3</c:v>
                </c:pt>
                <c:pt idx="116">
                  <c:v>-6.33857507094681E-3</c:v>
                </c:pt>
                <c:pt idx="117">
                  <c:v>-5.7672184345797803E-3</c:v>
                </c:pt>
                <c:pt idx="118">
                  <c:v>7.2143548990787195E-4</c:v>
                </c:pt>
                <c:pt idx="119">
                  <c:v>4.30492447183225E-4</c:v>
                </c:pt>
                <c:pt idx="120">
                  <c:v>-1.68378369444702E-4</c:v>
                </c:pt>
                <c:pt idx="121">
                  <c:v>2.60696955938726E-4</c:v>
                </c:pt>
                <c:pt idx="122">
                  <c:v>1.3519180194252699E-3</c:v>
                </c:pt>
                <c:pt idx="123">
                  <c:v>1.53422896593621E-3</c:v>
                </c:pt>
                <c:pt idx="124">
                  <c:v>1.6596172181937701E-3</c:v>
                </c:pt>
                <c:pt idx="125">
                  <c:v>6.58367584422637E-4</c:v>
                </c:pt>
                <c:pt idx="126">
                  <c:v>1.2439125881581201E-3</c:v>
                </c:pt>
                <c:pt idx="127">
                  <c:v>8.4675424914102803E-4</c:v>
                </c:pt>
                <c:pt idx="128">
                  <c:v>1.0695999165579301E-3</c:v>
                </c:pt>
                <c:pt idx="129">
                  <c:v>9.1743155414245796E-4</c:v>
                </c:pt>
                <c:pt idx="130">
                  <c:v>9.2997335702777199E-4</c:v>
                </c:pt>
                <c:pt idx="131">
                  <c:v>1.37956439873445E-3</c:v>
                </c:pt>
                <c:pt idx="132">
                  <c:v>1.1478946309402399E-3</c:v>
                </c:pt>
                <c:pt idx="133">
                  <c:v>1.48078838895668E-3</c:v>
                </c:pt>
                <c:pt idx="134">
                  <c:v>1.4729361442367801E-3</c:v>
                </c:pt>
                <c:pt idx="135">
                  <c:v>8.0221994839256095E-4</c:v>
                </c:pt>
                <c:pt idx="136">
                  <c:v>6.0835257118139097E-4</c:v>
                </c:pt>
                <c:pt idx="137">
                  <c:v>7.8388009602430096E-4</c:v>
                </c:pt>
                <c:pt idx="138">
                  <c:v>-1.3664675345878899E-4</c:v>
                </c:pt>
                <c:pt idx="139">
                  <c:v>4.62552717519611E-5</c:v>
                </c:pt>
                <c:pt idx="140">
                  <c:v>-1.3238144859783999E-4</c:v>
                </c:pt>
                <c:pt idx="141">
                  <c:v>2.5561747973442599E-4</c:v>
                </c:pt>
                <c:pt idx="142">
                  <c:v>5.6252977217395605E-4</c:v>
                </c:pt>
                <c:pt idx="143">
                  <c:v>2.9350622067726402E-4</c:v>
                </c:pt>
                <c:pt idx="144">
                  <c:v>3.99532215379158E-4</c:v>
                </c:pt>
                <c:pt idx="145">
                  <c:v>2.5312129264571298E-4</c:v>
                </c:pt>
                <c:pt idx="146">
                  <c:v>2.4094099881215501E-4</c:v>
                </c:pt>
                <c:pt idx="147">
                  <c:v>-1.93954448909851E-4</c:v>
                </c:pt>
                <c:pt idx="148">
                  <c:v>-2.1280051562652799E-4</c:v>
                </c:pt>
                <c:pt idx="149">
                  <c:v>-1.04578640053961E-4</c:v>
                </c:pt>
                <c:pt idx="150">
                  <c:v>1.50179083655634E-4</c:v>
                </c:pt>
                <c:pt idx="151">
                  <c:v>1.637259260372E-4</c:v>
                </c:pt>
                <c:pt idx="152">
                  <c:v>8.0044687205969797E-6</c:v>
                </c:pt>
                <c:pt idx="153">
                  <c:v>-4.1375244306714702E-4</c:v>
                </c:pt>
                <c:pt idx="154">
                  <c:v>-4.0100396804005001E-4</c:v>
                </c:pt>
                <c:pt idx="155">
                  <c:v>6.7444408602014406E-5</c:v>
                </c:pt>
                <c:pt idx="156">
                  <c:v>2.1870535569708599E-4</c:v>
                </c:pt>
                <c:pt idx="157">
                  <c:v>4.4393110021148701E-4</c:v>
                </c:pt>
                <c:pt idx="158">
                  <c:v>1.40842792665897E-4</c:v>
                </c:pt>
                <c:pt idx="159">
                  <c:v>4.3353928462527299E-4</c:v>
                </c:pt>
                <c:pt idx="160">
                  <c:v>1.7853363792407999E-4</c:v>
                </c:pt>
                <c:pt idx="161">
                  <c:v>3.0407376330745102E-4</c:v>
                </c:pt>
                <c:pt idx="162">
                  <c:v>3.25528555711063E-4</c:v>
                </c:pt>
                <c:pt idx="163">
                  <c:v>1.6828468130181099E-4</c:v>
                </c:pt>
                <c:pt idx="164">
                  <c:v>-1.7716852861910301E-4</c:v>
                </c:pt>
                <c:pt idx="165">
                  <c:v>-2.8873902784949298E-5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VPU*/FUTY*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3.3517078484942102</c:v>
                </c:pt>
                <c:pt idx="1">
                  <c:v>3.3517078484942102</c:v>
                </c:pt>
                <c:pt idx="2">
                  <c:v>3.3517078484942102</c:v>
                </c:pt>
                <c:pt idx="3">
                  <c:v>3.3517078484942102</c:v>
                </c:pt>
                <c:pt idx="4">
                  <c:v>3.3517078484942102</c:v>
                </c:pt>
                <c:pt idx="5">
                  <c:v>3.3517078484942102</c:v>
                </c:pt>
                <c:pt idx="6">
                  <c:v>3.3517078484942102</c:v>
                </c:pt>
                <c:pt idx="7">
                  <c:v>3.3517078484942102</c:v>
                </c:pt>
                <c:pt idx="8">
                  <c:v>3.3517078484942102</c:v>
                </c:pt>
                <c:pt idx="9">
                  <c:v>3.3517078484942102</c:v>
                </c:pt>
                <c:pt idx="10">
                  <c:v>3.3517078484942102</c:v>
                </c:pt>
                <c:pt idx="11">
                  <c:v>3.3517078484942102</c:v>
                </c:pt>
                <c:pt idx="12">
                  <c:v>3.3517078484942102</c:v>
                </c:pt>
                <c:pt idx="13">
                  <c:v>3.3517078484942102</c:v>
                </c:pt>
                <c:pt idx="14">
                  <c:v>3.3517078484942102</c:v>
                </c:pt>
                <c:pt idx="15">
                  <c:v>3.3517078484942102</c:v>
                </c:pt>
                <c:pt idx="16">
                  <c:v>3.3517078484942102</c:v>
                </c:pt>
                <c:pt idx="17">
                  <c:v>3.3517078484942102</c:v>
                </c:pt>
                <c:pt idx="18">
                  <c:v>3.3517078484942102</c:v>
                </c:pt>
                <c:pt idx="19">
                  <c:v>3.3517078484942102</c:v>
                </c:pt>
                <c:pt idx="20">
                  <c:v>3.3517078484942102</c:v>
                </c:pt>
                <c:pt idx="21">
                  <c:v>3.3517078484942102</c:v>
                </c:pt>
                <c:pt idx="22">
                  <c:v>3.3517078484942102</c:v>
                </c:pt>
                <c:pt idx="23">
                  <c:v>3.3517078484942102</c:v>
                </c:pt>
                <c:pt idx="24">
                  <c:v>3.3517078484942102</c:v>
                </c:pt>
                <c:pt idx="25">
                  <c:v>3.3517078484942102</c:v>
                </c:pt>
                <c:pt idx="26">
                  <c:v>3.3517078484942102</c:v>
                </c:pt>
                <c:pt idx="27">
                  <c:v>3.3517078484942102</c:v>
                </c:pt>
                <c:pt idx="28">
                  <c:v>3.3517078484942102</c:v>
                </c:pt>
                <c:pt idx="29">
                  <c:v>3.3517078484942102</c:v>
                </c:pt>
                <c:pt idx="30">
                  <c:v>3.3517078484942102</c:v>
                </c:pt>
                <c:pt idx="31">
                  <c:v>3.3517078484942102</c:v>
                </c:pt>
                <c:pt idx="32">
                  <c:v>3.3517078484942102</c:v>
                </c:pt>
                <c:pt idx="33">
                  <c:v>3.3517078484942102</c:v>
                </c:pt>
                <c:pt idx="34">
                  <c:v>3.3517078484942102</c:v>
                </c:pt>
                <c:pt idx="35">
                  <c:v>3.3517078484942102</c:v>
                </c:pt>
                <c:pt idx="36">
                  <c:v>3.3517078484942102</c:v>
                </c:pt>
                <c:pt idx="37">
                  <c:v>3.3517078484942102</c:v>
                </c:pt>
                <c:pt idx="38">
                  <c:v>3.3517078484942102</c:v>
                </c:pt>
                <c:pt idx="39">
                  <c:v>3.3517078484942102</c:v>
                </c:pt>
                <c:pt idx="40">
                  <c:v>3.3517078484942102</c:v>
                </c:pt>
                <c:pt idx="41">
                  <c:v>3.3517078484942102</c:v>
                </c:pt>
                <c:pt idx="42">
                  <c:v>3.3517078484942102</c:v>
                </c:pt>
                <c:pt idx="43">
                  <c:v>3.3517078484942102</c:v>
                </c:pt>
                <c:pt idx="44">
                  <c:v>3.3517078484942102</c:v>
                </c:pt>
                <c:pt idx="45">
                  <c:v>3.3517078484942102</c:v>
                </c:pt>
                <c:pt idx="46">
                  <c:v>3.3517078484942102</c:v>
                </c:pt>
                <c:pt idx="47">
                  <c:v>3.3517078484942102</c:v>
                </c:pt>
                <c:pt idx="48">
                  <c:v>3.3517078484942102</c:v>
                </c:pt>
                <c:pt idx="49">
                  <c:v>3.3517078484942102</c:v>
                </c:pt>
                <c:pt idx="50">
                  <c:v>3.3517078484942102</c:v>
                </c:pt>
                <c:pt idx="51">
                  <c:v>3.3517078484942102</c:v>
                </c:pt>
                <c:pt idx="52">
                  <c:v>3.3517078484942102</c:v>
                </c:pt>
                <c:pt idx="53">
                  <c:v>3.3517078484942102</c:v>
                </c:pt>
                <c:pt idx="54">
                  <c:v>3.3517078484942102</c:v>
                </c:pt>
                <c:pt idx="55">
                  <c:v>3.3517078484942102</c:v>
                </c:pt>
                <c:pt idx="56">
                  <c:v>3.3517078484942102</c:v>
                </c:pt>
                <c:pt idx="57">
                  <c:v>3.3517078484942102</c:v>
                </c:pt>
                <c:pt idx="58">
                  <c:v>3.3517078484942102</c:v>
                </c:pt>
                <c:pt idx="59">
                  <c:v>3.3517078484942102</c:v>
                </c:pt>
                <c:pt idx="60">
                  <c:v>3.3517078484942102</c:v>
                </c:pt>
                <c:pt idx="61">
                  <c:v>3.3517078484942102</c:v>
                </c:pt>
                <c:pt idx="62">
                  <c:v>3.3517078484942102</c:v>
                </c:pt>
                <c:pt idx="63">
                  <c:v>3.3517078484942102</c:v>
                </c:pt>
                <c:pt idx="64">
                  <c:v>3.3517078484942102</c:v>
                </c:pt>
                <c:pt idx="65">
                  <c:v>3.3517078484942102</c:v>
                </c:pt>
                <c:pt idx="66">
                  <c:v>3.3517078484942102</c:v>
                </c:pt>
                <c:pt idx="67">
                  <c:v>3.3517078484942102</c:v>
                </c:pt>
                <c:pt idx="68">
                  <c:v>3.3517078484942102</c:v>
                </c:pt>
                <c:pt idx="69">
                  <c:v>3.3517078484942102</c:v>
                </c:pt>
                <c:pt idx="70">
                  <c:v>3.3517078484942102</c:v>
                </c:pt>
                <c:pt idx="71">
                  <c:v>3.3517078484942102</c:v>
                </c:pt>
                <c:pt idx="72">
                  <c:v>3.3517078484942102</c:v>
                </c:pt>
                <c:pt idx="73">
                  <c:v>3.3517078484942102</c:v>
                </c:pt>
                <c:pt idx="74">
                  <c:v>3.3517078484942102</c:v>
                </c:pt>
                <c:pt idx="75">
                  <c:v>3.3517078484942102</c:v>
                </c:pt>
                <c:pt idx="76">
                  <c:v>3.3517078484942102</c:v>
                </c:pt>
                <c:pt idx="77">
                  <c:v>3.3517078484942102</c:v>
                </c:pt>
                <c:pt idx="78">
                  <c:v>3.3517078484942102</c:v>
                </c:pt>
                <c:pt idx="79">
                  <c:v>3.3517078484942102</c:v>
                </c:pt>
                <c:pt idx="80">
                  <c:v>3.3517078484942102</c:v>
                </c:pt>
                <c:pt idx="81">
                  <c:v>3.3517078484942102</c:v>
                </c:pt>
                <c:pt idx="82">
                  <c:v>3.3517078484942102</c:v>
                </c:pt>
                <c:pt idx="83">
                  <c:v>3.3517078484942102</c:v>
                </c:pt>
                <c:pt idx="84">
                  <c:v>3.3517078484942102</c:v>
                </c:pt>
                <c:pt idx="85">
                  <c:v>3.3517078484942102</c:v>
                </c:pt>
                <c:pt idx="86">
                  <c:v>3.3517078484942102</c:v>
                </c:pt>
                <c:pt idx="87">
                  <c:v>3.3517078484942102</c:v>
                </c:pt>
                <c:pt idx="88">
                  <c:v>3.3517078484942102</c:v>
                </c:pt>
                <c:pt idx="89">
                  <c:v>3.3517078484942102</c:v>
                </c:pt>
                <c:pt idx="90">
                  <c:v>3.3517078484942102</c:v>
                </c:pt>
                <c:pt idx="91">
                  <c:v>3.3517078484942102</c:v>
                </c:pt>
                <c:pt idx="92">
                  <c:v>3.3517078484942102</c:v>
                </c:pt>
                <c:pt idx="93">
                  <c:v>3.3517078484942102</c:v>
                </c:pt>
                <c:pt idx="94">
                  <c:v>3.3517078484942102</c:v>
                </c:pt>
                <c:pt idx="95">
                  <c:v>3.3517078484942102</c:v>
                </c:pt>
                <c:pt idx="96">
                  <c:v>3.3517078484942102</c:v>
                </c:pt>
                <c:pt idx="97">
                  <c:v>3.3517078484942102</c:v>
                </c:pt>
                <c:pt idx="98">
                  <c:v>3.3517078484942102</c:v>
                </c:pt>
                <c:pt idx="99">
                  <c:v>3.3517078484942102</c:v>
                </c:pt>
                <c:pt idx="100">
                  <c:v>3.3517078484942102</c:v>
                </c:pt>
                <c:pt idx="101">
                  <c:v>3.3517078484942102</c:v>
                </c:pt>
                <c:pt idx="102">
                  <c:v>3.3517078484942102</c:v>
                </c:pt>
                <c:pt idx="103">
                  <c:v>3.3517078484942102</c:v>
                </c:pt>
                <c:pt idx="104">
                  <c:v>3.3517078484942102</c:v>
                </c:pt>
                <c:pt idx="105">
                  <c:v>3.3517078484942102</c:v>
                </c:pt>
                <c:pt idx="106">
                  <c:v>3.3517078484942102</c:v>
                </c:pt>
                <c:pt idx="107">
                  <c:v>3.3517078484942102</c:v>
                </c:pt>
                <c:pt idx="108">
                  <c:v>3.3517078484942102</c:v>
                </c:pt>
                <c:pt idx="109">
                  <c:v>3.3517078484942102</c:v>
                </c:pt>
                <c:pt idx="110">
                  <c:v>3.3517078484942102</c:v>
                </c:pt>
                <c:pt idx="111">
                  <c:v>3.3517078484942102</c:v>
                </c:pt>
                <c:pt idx="112">
                  <c:v>3.3517078484942102</c:v>
                </c:pt>
                <c:pt idx="113">
                  <c:v>3.3517078484942102</c:v>
                </c:pt>
                <c:pt idx="114">
                  <c:v>3.3517078484942102</c:v>
                </c:pt>
                <c:pt idx="115">
                  <c:v>3.3517078484942102</c:v>
                </c:pt>
                <c:pt idx="116">
                  <c:v>3.3517078484942102</c:v>
                </c:pt>
                <c:pt idx="117">
                  <c:v>3.3517078484942102</c:v>
                </c:pt>
                <c:pt idx="118">
                  <c:v>3.3517078484942102</c:v>
                </c:pt>
                <c:pt idx="119">
                  <c:v>3.3517078484942102</c:v>
                </c:pt>
                <c:pt idx="120">
                  <c:v>3.3517078484942102</c:v>
                </c:pt>
                <c:pt idx="121">
                  <c:v>3.3517078484942102</c:v>
                </c:pt>
                <c:pt idx="122">
                  <c:v>3.3517078484942102</c:v>
                </c:pt>
                <c:pt idx="123">
                  <c:v>3.3517078484942102</c:v>
                </c:pt>
                <c:pt idx="124">
                  <c:v>3.3517078484942102</c:v>
                </c:pt>
                <c:pt idx="125">
                  <c:v>3.3517078484942102</c:v>
                </c:pt>
                <c:pt idx="126">
                  <c:v>3.3517078484942102</c:v>
                </c:pt>
                <c:pt idx="127">
                  <c:v>3.3517078484942102</c:v>
                </c:pt>
                <c:pt idx="128">
                  <c:v>3.3517078484942102</c:v>
                </c:pt>
                <c:pt idx="129">
                  <c:v>3.3517078484942102</c:v>
                </c:pt>
                <c:pt idx="130">
                  <c:v>3.3517078484942102</c:v>
                </c:pt>
                <c:pt idx="131">
                  <c:v>3.3517078484942102</c:v>
                </c:pt>
                <c:pt idx="132">
                  <c:v>3.3517078484942102</c:v>
                </c:pt>
                <c:pt idx="133">
                  <c:v>3.3517078484942102</c:v>
                </c:pt>
                <c:pt idx="134">
                  <c:v>3.3517078484942102</c:v>
                </c:pt>
                <c:pt idx="135">
                  <c:v>3.3517078484942102</c:v>
                </c:pt>
                <c:pt idx="136">
                  <c:v>3.3517078484942102</c:v>
                </c:pt>
                <c:pt idx="137">
                  <c:v>3.3517078484942102</c:v>
                </c:pt>
                <c:pt idx="138">
                  <c:v>3.3517078484942102</c:v>
                </c:pt>
                <c:pt idx="139">
                  <c:v>3.3517078484942102</c:v>
                </c:pt>
                <c:pt idx="140">
                  <c:v>3.3517078484942102</c:v>
                </c:pt>
                <c:pt idx="141">
                  <c:v>3.3517078484942102</c:v>
                </c:pt>
                <c:pt idx="142">
                  <c:v>3.3517078484942102</c:v>
                </c:pt>
                <c:pt idx="143">
                  <c:v>3.3517078484942102</c:v>
                </c:pt>
                <c:pt idx="144">
                  <c:v>3.3517078484942102</c:v>
                </c:pt>
                <c:pt idx="145">
                  <c:v>3.3517078484942102</c:v>
                </c:pt>
                <c:pt idx="146">
                  <c:v>3.3517078484942102</c:v>
                </c:pt>
                <c:pt idx="147">
                  <c:v>3.3517078484942102</c:v>
                </c:pt>
                <c:pt idx="148">
                  <c:v>3.3517078484942102</c:v>
                </c:pt>
                <c:pt idx="149">
                  <c:v>3.3517078484942102</c:v>
                </c:pt>
                <c:pt idx="150">
                  <c:v>3.3517078484942102</c:v>
                </c:pt>
                <c:pt idx="151">
                  <c:v>3.3517078484942102</c:v>
                </c:pt>
                <c:pt idx="152">
                  <c:v>3.3517078484942102</c:v>
                </c:pt>
                <c:pt idx="153">
                  <c:v>3.3517078484942102</c:v>
                </c:pt>
                <c:pt idx="154">
                  <c:v>3.3517078484942102</c:v>
                </c:pt>
                <c:pt idx="155">
                  <c:v>3.3517078484942102</c:v>
                </c:pt>
                <c:pt idx="156">
                  <c:v>3.3517078484942102</c:v>
                </c:pt>
                <c:pt idx="157">
                  <c:v>3.3517078484942102</c:v>
                </c:pt>
                <c:pt idx="158">
                  <c:v>3.3517078484942102</c:v>
                </c:pt>
                <c:pt idx="159">
                  <c:v>3.3517078484942102</c:v>
                </c:pt>
                <c:pt idx="160">
                  <c:v>3.3517078484942102</c:v>
                </c:pt>
                <c:pt idx="161">
                  <c:v>3.3517078484942102</c:v>
                </c:pt>
                <c:pt idx="162">
                  <c:v>3.3517078484942102</c:v>
                </c:pt>
                <c:pt idx="163">
                  <c:v>3.3517078484942102</c:v>
                </c:pt>
                <c:pt idx="164">
                  <c:v>3.3517078484942102</c:v>
                </c:pt>
                <c:pt idx="165">
                  <c:v>3.3517078484942102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VPU*/FUTY*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3.3513113493618798</c:v>
                </c:pt>
                <c:pt idx="10">
                  <c:v>3.3512487737602901</c:v>
                </c:pt>
                <c:pt idx="11">
                  <c:v>3.3511035377153799</c:v>
                </c:pt>
                <c:pt idx="12">
                  <c:v>3.35101777072934</c:v>
                </c:pt>
                <c:pt idx="13">
                  <c:v>3.35097313179417</c:v>
                </c:pt>
                <c:pt idx="14">
                  <c:v>3.3509984552256502</c:v>
                </c:pt>
                <c:pt idx="15">
                  <c:v>3.3507419414233199</c:v>
                </c:pt>
                <c:pt idx="16">
                  <c:v>3.3506453258464202</c:v>
                </c:pt>
                <c:pt idx="17">
                  <c:v>3.3505262080188301</c:v>
                </c:pt>
                <c:pt idx="18">
                  <c:v>3.3505199391276101</c:v>
                </c:pt>
                <c:pt idx="19">
                  <c:v>3.3507981539584</c:v>
                </c:pt>
                <c:pt idx="20">
                  <c:v>3.3510626194013802</c:v>
                </c:pt>
                <c:pt idx="21">
                  <c:v>3.3512244230170798</c:v>
                </c:pt>
                <c:pt idx="22">
                  <c:v>3.3512568036430799</c:v>
                </c:pt>
                <c:pt idx="23">
                  <c:v>3.3513060868926501</c:v>
                </c:pt>
                <c:pt idx="24">
                  <c:v>3.3512840959746599</c:v>
                </c:pt>
                <c:pt idx="25">
                  <c:v>3.3513512344418399</c:v>
                </c:pt>
                <c:pt idx="26">
                  <c:v>3.3514841148722998</c:v>
                </c:pt>
                <c:pt idx="27">
                  <c:v>3.3516455893933901</c:v>
                </c:pt>
                <c:pt idx="28">
                  <c:v>3.3519052104790501</c:v>
                </c:pt>
                <c:pt idx="29">
                  <c:v>3.3518818336099798</c:v>
                </c:pt>
                <c:pt idx="30">
                  <c:v>3.3517509239560401</c:v>
                </c:pt>
                <c:pt idx="31">
                  <c:v>3.3516303097947602</c:v>
                </c:pt>
                <c:pt idx="32">
                  <c:v>3.35171474280199</c:v>
                </c:pt>
                <c:pt idx="33">
                  <c:v>3.3514788615832098</c:v>
                </c:pt>
                <c:pt idx="34">
                  <c:v>3.3516618139193199</c:v>
                </c:pt>
                <c:pt idx="35">
                  <c:v>3.3515637754480498</c:v>
                </c:pt>
                <c:pt idx="36">
                  <c:v>3.3514860754660298</c:v>
                </c:pt>
                <c:pt idx="37">
                  <c:v>3.3514757654661498</c:v>
                </c:pt>
                <c:pt idx="38">
                  <c:v>3.3512856779928599</c:v>
                </c:pt>
                <c:pt idx="39">
                  <c:v>3.35106367445466</c:v>
                </c:pt>
                <c:pt idx="40">
                  <c:v>3.3507929849819802</c:v>
                </c:pt>
                <c:pt idx="41">
                  <c:v>3.3508544846711401</c:v>
                </c:pt>
                <c:pt idx="42">
                  <c:v>3.35072159686796</c:v>
                </c:pt>
                <c:pt idx="43">
                  <c:v>3.3507500566391499</c:v>
                </c:pt>
                <c:pt idx="44">
                  <c:v>3.3505736481934099</c:v>
                </c:pt>
                <c:pt idx="45">
                  <c:v>3.3505154581912699</c:v>
                </c:pt>
                <c:pt idx="46">
                  <c:v>3.3505877078950599</c:v>
                </c:pt>
                <c:pt idx="47">
                  <c:v>3.35047584628966</c:v>
                </c:pt>
                <c:pt idx="48">
                  <c:v>3.3505929023748999</c:v>
                </c:pt>
                <c:pt idx="49">
                  <c:v>3.3508308652930099</c:v>
                </c:pt>
                <c:pt idx="50">
                  <c:v>3.3509256851689599</c:v>
                </c:pt>
                <c:pt idx="51">
                  <c:v>3.3504212363966701</c:v>
                </c:pt>
                <c:pt idx="52">
                  <c:v>3.3504752171968799</c:v>
                </c:pt>
                <c:pt idx="53">
                  <c:v>3.3529867685173498</c:v>
                </c:pt>
                <c:pt idx="54">
                  <c:v>3.3552469920199401</c:v>
                </c:pt>
                <c:pt idx="55">
                  <c:v>3.3555002651831001</c:v>
                </c:pt>
                <c:pt idx="56">
                  <c:v>3.35549993089524</c:v>
                </c:pt>
                <c:pt idx="57">
                  <c:v>3.35558025317127</c:v>
                </c:pt>
                <c:pt idx="58">
                  <c:v>3.3555602714550798</c:v>
                </c:pt>
                <c:pt idx="59">
                  <c:v>3.3553317911658902</c:v>
                </c:pt>
                <c:pt idx="60">
                  <c:v>3.35570989135369</c:v>
                </c:pt>
                <c:pt idx="61">
                  <c:v>3.3562175544891502</c:v>
                </c:pt>
                <c:pt idx="62">
                  <c:v>3.3560605519001898</c:v>
                </c:pt>
                <c:pt idx="63">
                  <c:v>3.3537927213340599</c:v>
                </c:pt>
                <c:pt idx="64">
                  <c:v>3.3515962103191099</c:v>
                </c:pt>
                <c:pt idx="65">
                  <c:v>3.3514713885879801</c:v>
                </c:pt>
                <c:pt idx="66">
                  <c:v>3.3515393597533598</c:v>
                </c:pt>
                <c:pt idx="67">
                  <c:v>3.3517060893261799</c:v>
                </c:pt>
                <c:pt idx="68">
                  <c:v>3.3516245066112602</c:v>
                </c:pt>
                <c:pt idx="69">
                  <c:v>3.3516564547379</c:v>
                </c:pt>
                <c:pt idx="70">
                  <c:v>3.3513231434413999</c:v>
                </c:pt>
                <c:pt idx="71">
                  <c:v>3.3511519804710801</c:v>
                </c:pt>
                <c:pt idx="72">
                  <c:v>3.3513129802176</c:v>
                </c:pt>
                <c:pt idx="73">
                  <c:v>3.3511275349835001</c:v>
                </c:pt>
                <c:pt idx="74">
                  <c:v>3.35099458459718</c:v>
                </c:pt>
                <c:pt idx="75">
                  <c:v>3.35109598948122</c:v>
                </c:pt>
                <c:pt idx="76">
                  <c:v>3.3510643021369</c:v>
                </c:pt>
                <c:pt idx="77">
                  <c:v>3.3508407104539799</c:v>
                </c:pt>
                <c:pt idx="78">
                  <c:v>3.35083072409192</c:v>
                </c:pt>
                <c:pt idx="79">
                  <c:v>3.3509205217533999</c:v>
                </c:pt>
                <c:pt idx="80">
                  <c:v>3.3507365496200201</c:v>
                </c:pt>
                <c:pt idx="81">
                  <c:v>3.3509640084436798</c:v>
                </c:pt>
                <c:pt idx="82">
                  <c:v>3.3508731493590398</c:v>
                </c:pt>
                <c:pt idx="83">
                  <c:v>3.3508407444308599</c:v>
                </c:pt>
                <c:pt idx="84">
                  <c:v>3.3509014175931999</c:v>
                </c:pt>
                <c:pt idx="85">
                  <c:v>3.35082574572401</c:v>
                </c:pt>
                <c:pt idx="86">
                  <c:v>3.3509507451123399</c:v>
                </c:pt>
                <c:pt idx="87">
                  <c:v>3.3511069719063502</c:v>
                </c:pt>
                <c:pt idx="88">
                  <c:v>3.35110710384558</c:v>
                </c:pt>
                <c:pt idx="89">
                  <c:v>3.3511766412461701</c:v>
                </c:pt>
                <c:pt idx="90">
                  <c:v>3.3514189900570299</c:v>
                </c:pt>
                <c:pt idx="91">
                  <c:v>3.3513299910780701</c:v>
                </c:pt>
                <c:pt idx="92">
                  <c:v>3.3518064154166201</c:v>
                </c:pt>
                <c:pt idx="93">
                  <c:v>3.3517969715170102</c:v>
                </c:pt>
                <c:pt idx="94">
                  <c:v>3.3518507207332999</c:v>
                </c:pt>
                <c:pt idx="95">
                  <c:v>3.35173091714277</c:v>
                </c:pt>
                <c:pt idx="96">
                  <c:v>3.3516609793595</c:v>
                </c:pt>
                <c:pt idx="97">
                  <c:v>3.3515852808732798</c:v>
                </c:pt>
                <c:pt idx="98">
                  <c:v>3.3516274732368299</c:v>
                </c:pt>
                <c:pt idx="99">
                  <c:v>3.3514974956459498</c:v>
                </c:pt>
                <c:pt idx="100">
                  <c:v>3.3514914077493199</c:v>
                </c:pt>
                <c:pt idx="101">
                  <c:v>3.3512182087158302</c:v>
                </c:pt>
                <c:pt idx="102">
                  <c:v>3.3508516971801598</c:v>
                </c:pt>
                <c:pt idx="103">
                  <c:v>3.3508946988061798</c:v>
                </c:pt>
                <c:pt idx="104">
                  <c:v>3.3508936136410701</c:v>
                </c:pt>
                <c:pt idx="105">
                  <c:v>3.3510241020573002</c:v>
                </c:pt>
                <c:pt idx="106">
                  <c:v>3.3510428239564698</c:v>
                </c:pt>
                <c:pt idx="107">
                  <c:v>3.3510798343926802</c:v>
                </c:pt>
                <c:pt idx="108">
                  <c:v>3.35116642097171</c:v>
                </c:pt>
                <c:pt idx="109">
                  <c:v>3.3510434667967499</c:v>
                </c:pt>
                <c:pt idx="110">
                  <c:v>3.3511002483581902</c:v>
                </c:pt>
                <c:pt idx="111">
                  <c:v>3.3514417697091798</c:v>
                </c:pt>
                <c:pt idx="112">
                  <c:v>3.3514755998240799</c:v>
                </c:pt>
                <c:pt idx="113">
                  <c:v>3.3513396114860798</c:v>
                </c:pt>
                <c:pt idx="114">
                  <c:v>3.3512307217544501</c:v>
                </c:pt>
                <c:pt idx="115">
                  <c:v>3.3533576898826101</c:v>
                </c:pt>
                <c:pt idx="116">
                  <c:v>3.3555279942254201</c:v>
                </c:pt>
                <c:pt idx="117">
                  <c:v>3.3576575411443499</c:v>
                </c:pt>
                <c:pt idx="118">
                  <c:v>3.3576432151651998</c:v>
                </c:pt>
                <c:pt idx="119">
                  <c:v>3.3579595379051601</c:v>
                </c:pt>
                <c:pt idx="120">
                  <c:v>3.35825787873212</c:v>
                </c:pt>
                <c:pt idx="121">
                  <c:v>3.3584106733139101</c:v>
                </c:pt>
                <c:pt idx="122">
                  <c:v>3.3582738167167698</c:v>
                </c:pt>
                <c:pt idx="123">
                  <c:v>3.3583285126559099</c:v>
                </c:pt>
                <c:pt idx="124">
                  <c:v>3.35824082140602</c:v>
                </c:pt>
                <c:pt idx="125">
                  <c:v>3.3561892584985298</c:v>
                </c:pt>
                <c:pt idx="126">
                  <c:v>3.3538989115090101</c:v>
                </c:pt>
                <c:pt idx="127">
                  <c:v>3.3518182740028601</c:v>
                </c:pt>
                <c:pt idx="128">
                  <c:v>3.3517384738652298</c:v>
                </c:pt>
                <c:pt idx="129">
                  <c:v>3.3516038212379602</c:v>
                </c:pt>
                <c:pt idx="130">
                  <c:v>3.3512635109214002</c:v>
                </c:pt>
                <c:pt idx="131">
                  <c:v>3.3508966263627098</c:v>
                </c:pt>
                <c:pt idx="132">
                  <c:v>3.3509377633069199</c:v>
                </c:pt>
                <c:pt idx="133">
                  <c:v>3.3509288129094901</c:v>
                </c:pt>
                <c:pt idx="134">
                  <c:v>3.3509708335984301</c:v>
                </c:pt>
                <c:pt idx="135">
                  <c:v>3.3509096261737898</c:v>
                </c:pt>
                <c:pt idx="136">
                  <c:v>3.3510003160473398</c:v>
                </c:pt>
                <c:pt idx="137">
                  <c:v>3.3507951848134199</c:v>
                </c:pt>
                <c:pt idx="138">
                  <c:v>3.3508564955529101</c:v>
                </c:pt>
                <c:pt idx="139">
                  <c:v>3.3508092872009798</c:v>
                </c:pt>
                <c:pt idx="140">
                  <c:v>3.3508079820939898</c:v>
                </c:pt>
                <c:pt idx="141">
                  <c:v>3.3508123316279899</c:v>
                </c:pt>
                <c:pt idx="142">
                  <c:v>3.35062882997115</c:v>
                </c:pt>
                <c:pt idx="143">
                  <c:v>3.3506446260149501</c:v>
                </c:pt>
                <c:pt idx="144">
                  <c:v>3.3506203353580402</c:v>
                </c:pt>
                <c:pt idx="145">
                  <c:v>3.3504235112743599</c:v>
                </c:pt>
                <c:pt idx="146">
                  <c:v>3.3502584543420699</c:v>
                </c:pt>
                <c:pt idx="147">
                  <c:v>3.3504041136147502</c:v>
                </c:pt>
                <c:pt idx="148">
                  <c:v>3.3503589164681999</c:v>
                </c:pt>
                <c:pt idx="149">
                  <c:v>3.35034048178944</c:v>
                </c:pt>
                <c:pt idx="150">
                  <c:v>3.3501826332742199</c:v>
                </c:pt>
                <c:pt idx="151">
                  <c:v>3.3501593849718798</c:v>
                </c:pt>
                <c:pt idx="152">
                  <c:v>3.3503082835605702</c:v>
                </c:pt>
                <c:pt idx="153">
                  <c:v>3.3505137978535799</c:v>
                </c:pt>
                <c:pt idx="154">
                  <c:v>3.3507612815837202</c:v>
                </c:pt>
                <c:pt idx="155">
                  <c:v>3.3508130112465802</c:v>
                </c:pt>
                <c:pt idx="156">
                  <c:v>3.3508156302671299</c:v>
                </c:pt>
                <c:pt idx="157">
                  <c:v>3.3505926949787601</c:v>
                </c:pt>
                <c:pt idx="158">
                  <c:v>3.3504640759345299</c:v>
                </c:pt>
                <c:pt idx="159">
                  <c:v>3.35026419090326</c:v>
                </c:pt>
                <c:pt idx="160">
                  <c:v>3.3502274421094298</c:v>
                </c:pt>
                <c:pt idx="161">
                  <c:v>3.3501514114556499</c:v>
                </c:pt>
                <c:pt idx="162">
                  <c:v>3.3500120079460798</c:v>
                </c:pt>
                <c:pt idx="163">
                  <c:v>3.3497861383875498</c:v>
                </c:pt>
                <c:pt idx="164">
                  <c:v>3.3496681868795002</c:v>
                </c:pt>
                <c:pt idx="165">
                  <c:v>3.3496528507466201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VPU*/FUTY*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3.3510547516601399</c:v>
                </c:pt>
                <c:pt idx="20">
                  <c:v>3.3511556965808298</c:v>
                </c:pt>
                <c:pt idx="21">
                  <c:v>3.3511639803662301</c:v>
                </c:pt>
                <c:pt idx="22">
                  <c:v>3.35113728718621</c:v>
                </c:pt>
                <c:pt idx="23">
                  <c:v>3.3511396093434098</c:v>
                </c:pt>
                <c:pt idx="24">
                  <c:v>3.3511412756001602</c:v>
                </c:pt>
                <c:pt idx="25">
                  <c:v>3.3510465879325801</c:v>
                </c:pt>
                <c:pt idx="26">
                  <c:v>3.3510647203593602</c:v>
                </c:pt>
                <c:pt idx="27">
                  <c:v>3.3510858987061098</c:v>
                </c:pt>
                <c:pt idx="28">
                  <c:v>3.3512125748033301</c:v>
                </c:pt>
                <c:pt idx="29">
                  <c:v>3.3513399937841899</c:v>
                </c:pt>
                <c:pt idx="30">
                  <c:v>3.3514067716787102</c:v>
                </c:pt>
                <c:pt idx="31">
                  <c:v>3.35142736640592</c:v>
                </c:pt>
                <c:pt idx="32">
                  <c:v>3.3514857732225298</c:v>
                </c:pt>
                <c:pt idx="33">
                  <c:v>3.35139247423793</c:v>
                </c:pt>
                <c:pt idx="34">
                  <c:v>3.3514729549469902</c:v>
                </c:pt>
                <c:pt idx="35">
                  <c:v>3.3514575049449502</c:v>
                </c:pt>
                <c:pt idx="36">
                  <c:v>3.3514850951691701</c:v>
                </c:pt>
                <c:pt idx="37">
                  <c:v>3.3515606774297702</c:v>
                </c:pt>
                <c:pt idx="38">
                  <c:v>3.3515954442359601</c:v>
                </c:pt>
                <c:pt idx="39">
                  <c:v>3.3514727540323199</c:v>
                </c:pt>
                <c:pt idx="40">
                  <c:v>3.3512719544690102</c:v>
                </c:pt>
                <c:pt idx="41">
                  <c:v>3.3512423972329501</c:v>
                </c:pt>
                <c:pt idx="42">
                  <c:v>3.3512181698349699</c:v>
                </c:pt>
                <c:pt idx="43">
                  <c:v>3.3511144591111801</c:v>
                </c:pt>
                <c:pt idx="44">
                  <c:v>3.3511177310563598</c:v>
                </c:pt>
                <c:pt idx="45">
                  <c:v>3.3510396168196599</c:v>
                </c:pt>
                <c:pt idx="46">
                  <c:v>3.35103689168055</c:v>
                </c:pt>
                <c:pt idx="47">
                  <c:v>3.3509758058779102</c:v>
                </c:pt>
                <c:pt idx="48">
                  <c:v>3.3509392901838799</c:v>
                </c:pt>
                <c:pt idx="49">
                  <c:v>3.3509472698738301</c:v>
                </c:pt>
                <c:pt idx="50">
                  <c:v>3.3508593350754698</c:v>
                </c:pt>
                <c:pt idx="51">
                  <c:v>3.3506378605339102</c:v>
                </c:pt>
                <c:pt idx="52">
                  <c:v>3.35059840703242</c:v>
                </c:pt>
                <c:pt idx="53">
                  <c:v>3.3518684125782499</c:v>
                </c:pt>
                <c:pt idx="54">
                  <c:v>3.3529103201066799</c:v>
                </c:pt>
                <c:pt idx="55">
                  <c:v>3.3530078616871899</c:v>
                </c:pt>
                <c:pt idx="56">
                  <c:v>3.3530438193951499</c:v>
                </c:pt>
                <c:pt idx="57">
                  <c:v>3.3530280497304701</c:v>
                </c:pt>
                <c:pt idx="58">
                  <c:v>3.3530765869149901</c:v>
                </c:pt>
                <c:pt idx="59">
                  <c:v>3.3530813282294498</c:v>
                </c:pt>
                <c:pt idx="60">
                  <c:v>3.3533177882613301</c:v>
                </c:pt>
                <c:pt idx="61">
                  <c:v>3.3533193954429099</c:v>
                </c:pt>
                <c:pt idx="62">
                  <c:v>3.3532678845485302</c:v>
                </c:pt>
                <c:pt idx="63">
                  <c:v>3.3533897449257002</c:v>
                </c:pt>
                <c:pt idx="64">
                  <c:v>3.3534216011695301</c:v>
                </c:pt>
                <c:pt idx="65">
                  <c:v>3.3534858268855401</c:v>
                </c:pt>
                <c:pt idx="66">
                  <c:v>3.3535196453243001</c:v>
                </c:pt>
                <c:pt idx="67">
                  <c:v>3.3536431712487298</c:v>
                </c:pt>
                <c:pt idx="68">
                  <c:v>3.35359238903317</c:v>
                </c:pt>
                <c:pt idx="69">
                  <c:v>3.3534941229519002</c:v>
                </c:pt>
                <c:pt idx="70">
                  <c:v>3.3535165173975399</c:v>
                </c:pt>
                <c:pt idx="71">
                  <c:v>3.35368476748011</c:v>
                </c:pt>
                <c:pt idx="72">
                  <c:v>3.3536867660588898</c:v>
                </c:pt>
                <c:pt idx="73">
                  <c:v>3.3524601281587798</c:v>
                </c:pt>
                <c:pt idx="74">
                  <c:v>3.3512953974581499</c:v>
                </c:pt>
                <c:pt idx="75">
                  <c:v>3.3512836890346001</c:v>
                </c:pt>
                <c:pt idx="76">
                  <c:v>3.3513018309451299</c:v>
                </c:pt>
                <c:pt idx="77">
                  <c:v>3.3512733998900801</c:v>
                </c:pt>
                <c:pt idx="78">
                  <c:v>3.3512276153515899</c:v>
                </c:pt>
                <c:pt idx="79">
                  <c:v>3.35128848824565</c:v>
                </c:pt>
                <c:pt idx="80">
                  <c:v>3.35102984653071</c:v>
                </c:pt>
                <c:pt idx="81">
                  <c:v>3.35105799445738</c:v>
                </c:pt>
                <c:pt idx="82">
                  <c:v>3.3510930647883201</c:v>
                </c:pt>
                <c:pt idx="83">
                  <c:v>3.35098413970718</c:v>
                </c:pt>
                <c:pt idx="84">
                  <c:v>3.35094800109519</c:v>
                </c:pt>
                <c:pt idx="85">
                  <c:v>3.3509608676026201</c:v>
                </c:pt>
                <c:pt idx="86">
                  <c:v>3.3510075236246202</c:v>
                </c:pt>
                <c:pt idx="87">
                  <c:v>3.3509738411801702</c:v>
                </c:pt>
                <c:pt idx="88">
                  <c:v>3.35096891396875</c:v>
                </c:pt>
                <c:pt idx="89">
                  <c:v>3.3510485814997901</c:v>
                </c:pt>
                <c:pt idx="90">
                  <c:v>3.3510777698385201</c:v>
                </c:pt>
                <c:pt idx="91">
                  <c:v>3.3511469997608798</c:v>
                </c:pt>
                <c:pt idx="92">
                  <c:v>3.3513397823878299</c:v>
                </c:pt>
                <c:pt idx="93">
                  <c:v>3.3513188579739399</c:v>
                </c:pt>
                <c:pt idx="94">
                  <c:v>3.3513760691632499</c:v>
                </c:pt>
                <c:pt idx="95">
                  <c:v>3.3512783314333898</c:v>
                </c:pt>
                <c:pt idx="96">
                  <c:v>3.35130586223592</c:v>
                </c:pt>
                <c:pt idx="97">
                  <c:v>3.3513461263898199</c:v>
                </c:pt>
                <c:pt idx="98">
                  <c:v>3.3513672885412</c:v>
                </c:pt>
                <c:pt idx="99">
                  <c:v>3.3513370684460599</c:v>
                </c:pt>
                <c:pt idx="100">
                  <c:v>3.35145519890317</c:v>
                </c:pt>
                <c:pt idx="101">
                  <c:v>3.3512740998969499</c:v>
                </c:pt>
                <c:pt idx="102">
                  <c:v>3.3513290562983902</c:v>
                </c:pt>
                <c:pt idx="103">
                  <c:v>3.3513458351616001</c:v>
                </c:pt>
                <c:pt idx="104">
                  <c:v>3.3513721671871899</c:v>
                </c:pt>
                <c:pt idx="105">
                  <c:v>3.35137750960003</c:v>
                </c:pt>
                <c:pt idx="106">
                  <c:v>3.3513519016579898</c:v>
                </c:pt>
                <c:pt idx="107">
                  <c:v>3.35133255763298</c:v>
                </c:pt>
                <c:pt idx="108">
                  <c:v>3.3513969471042699</c:v>
                </c:pt>
                <c:pt idx="109">
                  <c:v>3.3512704812213499</c:v>
                </c:pt>
                <c:pt idx="110">
                  <c:v>3.3512958280537499</c:v>
                </c:pt>
                <c:pt idx="111">
                  <c:v>3.3513299892125099</c:v>
                </c:pt>
                <c:pt idx="112">
                  <c:v>3.3511636485021201</c:v>
                </c:pt>
                <c:pt idx="113">
                  <c:v>3.3511171551461301</c:v>
                </c:pt>
                <c:pt idx="114">
                  <c:v>3.3510621676977599</c:v>
                </c:pt>
                <c:pt idx="115">
                  <c:v>3.35219089596995</c:v>
                </c:pt>
                <c:pt idx="116">
                  <c:v>3.3532854090909399</c:v>
                </c:pt>
                <c:pt idx="117">
                  <c:v>3.3543686877685199</c:v>
                </c:pt>
                <c:pt idx="118">
                  <c:v>3.35440481806845</c:v>
                </c:pt>
                <c:pt idx="119">
                  <c:v>3.3545015023509599</c:v>
                </c:pt>
                <c:pt idx="120">
                  <c:v>3.35467906354515</c:v>
                </c:pt>
                <c:pt idx="121">
                  <c:v>3.3549262215115498</c:v>
                </c:pt>
                <c:pt idx="122">
                  <c:v>3.3548747082704198</c:v>
                </c:pt>
                <c:pt idx="123">
                  <c:v>3.35483406207099</c:v>
                </c:pt>
                <c:pt idx="124">
                  <c:v>3.3547357715802399</c:v>
                </c:pt>
                <c:pt idx="125">
                  <c:v>3.3547734741905701</c:v>
                </c:pt>
                <c:pt idx="126">
                  <c:v>3.3547134528672098</c:v>
                </c:pt>
                <c:pt idx="127">
                  <c:v>3.3547379075735999</c:v>
                </c:pt>
                <c:pt idx="128">
                  <c:v>3.3546908445152099</c:v>
                </c:pt>
                <c:pt idx="129">
                  <c:v>3.3547816795715599</c:v>
                </c:pt>
                <c:pt idx="130">
                  <c:v>3.3547606948267599</c:v>
                </c:pt>
                <c:pt idx="131">
                  <c:v>3.3546536498383102</c:v>
                </c:pt>
                <c:pt idx="132">
                  <c:v>3.35460579001185</c:v>
                </c:pt>
                <c:pt idx="133">
                  <c:v>3.3546286627827002</c:v>
                </c:pt>
                <c:pt idx="134">
                  <c:v>3.3546058275022199</c:v>
                </c:pt>
                <c:pt idx="135">
                  <c:v>3.3535494423361598</c:v>
                </c:pt>
                <c:pt idx="136">
                  <c:v>3.3524496137781798</c:v>
                </c:pt>
                <c:pt idx="137">
                  <c:v>3.3513067294081398</c:v>
                </c:pt>
                <c:pt idx="138">
                  <c:v>3.35129748470907</c:v>
                </c:pt>
                <c:pt idx="139">
                  <c:v>3.3512065542194698</c:v>
                </c:pt>
                <c:pt idx="140">
                  <c:v>3.3510357465077001</c:v>
                </c:pt>
                <c:pt idx="141">
                  <c:v>3.35085447899535</c:v>
                </c:pt>
                <c:pt idx="142">
                  <c:v>3.3507832966390398</c:v>
                </c:pt>
                <c:pt idx="143">
                  <c:v>3.3507867194622198</c:v>
                </c:pt>
                <c:pt idx="144">
                  <c:v>3.35079558447823</c:v>
                </c:pt>
                <c:pt idx="145">
                  <c:v>3.3506665687240802</c:v>
                </c:pt>
                <c:pt idx="146">
                  <c:v>3.3506293851947002</c:v>
                </c:pt>
                <c:pt idx="147">
                  <c:v>3.3505996492140899</c:v>
                </c:pt>
                <c:pt idx="148">
                  <c:v>3.3506077060105599</c:v>
                </c:pt>
                <c:pt idx="149">
                  <c:v>3.3505748844952099</c:v>
                </c:pt>
                <c:pt idx="150">
                  <c:v>3.3504953076841102</c:v>
                </c:pt>
                <c:pt idx="151">
                  <c:v>3.3504858582999302</c:v>
                </c:pt>
                <c:pt idx="152">
                  <c:v>3.3504685567658599</c:v>
                </c:pt>
                <c:pt idx="153">
                  <c:v>3.3505792119342699</c:v>
                </c:pt>
                <c:pt idx="154">
                  <c:v>3.3506908084708802</c:v>
                </c:pt>
                <c:pt idx="155">
                  <c:v>3.35061826126047</c:v>
                </c:pt>
                <c:pt idx="156">
                  <c:v>3.3505370423045999</c:v>
                </c:pt>
                <c:pt idx="157">
                  <c:v>3.3504984042967498</c:v>
                </c:pt>
                <c:pt idx="158">
                  <c:v>3.3504114962013598</c:v>
                </c:pt>
                <c:pt idx="159">
                  <c:v>3.35030233634635</c:v>
                </c:pt>
                <c:pt idx="160">
                  <c:v>3.35020503769183</c:v>
                </c:pt>
                <c:pt idx="161">
                  <c:v>3.3501553982137602</c:v>
                </c:pt>
                <c:pt idx="162">
                  <c:v>3.3501601457533301</c:v>
                </c:pt>
                <c:pt idx="163">
                  <c:v>3.3501499681205602</c:v>
                </c:pt>
                <c:pt idx="164">
                  <c:v>3.35021473423161</c:v>
                </c:pt>
                <c:pt idx="165">
                  <c:v>3.3502329309965999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FUTY x avg / VPU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-1.8077568809153101E-4</c:v>
                </c:pt>
                <c:pt idx="2">
                  <c:v>1.0677623758431801E-5</c:v>
                </c:pt>
                <c:pt idx="3">
                  <c:v>-8.0574298494661502E-5</c:v>
                </c:pt>
                <c:pt idx="4">
                  <c:v>3.0163996248430003E-4</c:v>
                </c:pt>
                <c:pt idx="5">
                  <c:v>-5.5875112800077395E-4</c:v>
                </c:pt>
                <c:pt idx="6">
                  <c:v>3.9088447565493399E-4</c:v>
                </c:pt>
                <c:pt idx="7">
                  <c:v>2.7892516419576898E-4</c:v>
                </c:pt>
                <c:pt idx="8">
                  <c:v>4.7503421243437298E-4</c:v>
                </c:pt>
                <c:pt idx="9">
                  <c:v>5.1231121221039899E-4</c:v>
                </c:pt>
                <c:pt idx="10">
                  <c:v>2.20907499386486E-4</c:v>
                </c:pt>
                <c:pt idx="11">
                  <c:v>2.5255938531129298E-4</c:v>
                </c:pt>
                <c:pt idx="12">
                  <c:v>2.6660350183111098E-4</c:v>
                </c:pt>
                <c:pt idx="13">
                  <c:v>5.2606494480023399E-5</c:v>
                </c:pt>
                <c:pt idx="14">
                  <c:v>2.2606620974779999E-4</c:v>
                </c:pt>
                <c:pt idx="15">
                  <c:v>2.0643672515592099E-4</c:v>
                </c:pt>
                <c:pt idx="16">
                  <c:v>6.7929651167710999E-4</c:v>
                </c:pt>
                <c:pt idx="17">
                  <c:v>6.3448193199285702E-4</c:v>
                </c:pt>
                <c:pt idx="18">
                  <c:v>4.9374684741930301E-4</c:v>
                </c:pt>
                <c:pt idx="19">
                  <c:v>-3.17838339338204E-4</c:v>
                </c:pt>
                <c:pt idx="20">
                  <c:v>-5.68002378076163E-4</c:v>
                </c:pt>
                <c:pt idx="21">
                  <c:v>-2.3019576732582301E-4</c:v>
                </c:pt>
                <c:pt idx="22">
                  <c:v>1.6997307778523899E-4</c:v>
                </c:pt>
                <c:pt idx="23">
                  <c:v>-9.44296470142011E-5</c:v>
                </c:pt>
                <c:pt idx="24">
                  <c:v>2.91694279757833E-4</c:v>
                </c:pt>
                <c:pt idx="25">
                  <c:v>6.1042220909810397E-6</c:v>
                </c:pt>
                <c:pt idx="26">
                  <c:v>2.8264989777169699E-4</c:v>
                </c:pt>
                <c:pt idx="27">
                  <c:v>1.52524434297772E-4</c:v>
                </c:pt>
                <c:pt idx="28">
                  <c:v>-2.8092898465795999E-4</c:v>
                </c:pt>
                <c:pt idx="29">
                  <c:v>-2.4811193121597003E-4</c:v>
                </c:pt>
                <c:pt idx="30">
                  <c:v>-1.7757198654205699E-4</c:v>
                </c:pt>
                <c:pt idx="31">
                  <c:v>1.2964495359567201E-4</c:v>
                </c:pt>
                <c:pt idx="32">
                  <c:v>-8.1948411182557697E-5</c:v>
                </c:pt>
                <c:pt idx="33">
                  <c:v>6.0951586964950099E-4</c:v>
                </c:pt>
                <c:pt idx="34">
                  <c:v>-2.5416405651996501E-4</c:v>
                </c:pt>
                <c:pt idx="35">
                  <c:v>2.9865182884907399E-4</c:v>
                </c:pt>
                <c:pt idx="36">
                  <c:v>5.1456438227491204E-4</c:v>
                </c:pt>
                <c:pt idx="37">
                  <c:v>1.8329003682972299E-4</c:v>
                </c:pt>
                <c:pt idx="38">
                  <c:v>2.86208669150494E-4</c:v>
                </c:pt>
                <c:pt idx="39">
                  <c:v>4.1430255239141301E-4</c:v>
                </c:pt>
                <c:pt idx="40">
                  <c:v>6.3022734742188902E-4</c:v>
                </c:pt>
                <c:pt idx="41">
                  <c:v>-5.3849618690612202E-5</c:v>
                </c:pt>
                <c:pt idx="42">
                  <c:v>3.14575587549318E-4</c:v>
                </c:pt>
                <c:pt idx="43">
                  <c:v>5.2455645563638498E-4</c:v>
                </c:pt>
                <c:pt idx="44">
                  <c:v>2.7216472694349502E-4</c:v>
                </c:pt>
                <c:pt idx="45">
                  <c:v>4.7233175796942701E-4</c:v>
                </c:pt>
                <c:pt idx="46">
                  <c:v>2.9891582415604898E-4</c:v>
                </c:pt>
                <c:pt idx="47">
                  <c:v>5.1715203521241295E-4</c:v>
                </c:pt>
                <c:pt idx="48">
                  <c:v>-6.3073399370754306E-5</c:v>
                </c:pt>
                <c:pt idx="49">
                  <c:v>-2.9571465094340398E-4</c:v>
                </c:pt>
                <c:pt idx="50">
                  <c:v>3.4718887721346301E-4</c:v>
                </c:pt>
                <c:pt idx="51">
                  <c:v>1.45225288827644E-3</c:v>
                </c:pt>
                <c:pt idx="52">
                  <c:v>1.53483281297251E-4</c:v>
                </c:pt>
                <c:pt idx="53">
                  <c:v>-6.9447583157165498E-3</c:v>
                </c:pt>
                <c:pt idx="54">
                  <c:v>-6.4505208473133796E-3</c:v>
                </c:pt>
                <c:pt idx="55">
                  <c:v>-2.83393669722809E-4</c:v>
                </c:pt>
                <c:pt idx="56">
                  <c:v>2.9991348857229499E-4</c:v>
                </c:pt>
                <c:pt idx="57">
                  <c:v>2.7741099461746799E-4</c:v>
                </c:pt>
                <c:pt idx="58">
                  <c:v>-3.4588613756216601E-6</c:v>
                </c:pt>
                <c:pt idx="59">
                  <c:v>3.8599929745408202E-4</c:v>
                </c:pt>
                <c:pt idx="60">
                  <c:v>-7.8064877478954903E-4</c:v>
                </c:pt>
                <c:pt idx="61">
                  <c:v>-6.3439281080802595E-5</c:v>
                </c:pt>
                <c:pt idx="62">
                  <c:v>6.22090600260885E-4</c:v>
                </c:pt>
                <c:pt idx="63">
                  <c:v>-2.0271448483300699E-4</c:v>
                </c:pt>
                <c:pt idx="64">
                  <c:v>8.2041437238027695E-5</c:v>
                </c:pt>
                <c:pt idx="65">
                  <c:v>8.8982453933395995E-5</c:v>
                </c:pt>
                <c:pt idx="66">
                  <c:v>9.7077616099282505E-5</c:v>
                </c:pt>
                <c:pt idx="67">
                  <c:v>-2.2004988385220599E-4</c:v>
                </c:pt>
                <c:pt idx="68">
                  <c:v>2.39976327043948E-4</c:v>
                </c:pt>
                <c:pt idx="69">
                  <c:v>2.9064809527917503E-4</c:v>
                </c:pt>
                <c:pt idx="70">
                  <c:v>2.1352135057798501E-4</c:v>
                </c:pt>
                <c:pt idx="71">
                  <c:v>4.4733264032043902E-4</c:v>
                </c:pt>
                <c:pt idx="72">
                  <c:v>1.41555788068748E-4</c:v>
                </c:pt>
                <c:pt idx="73">
                  <c:v>3.5061221930313E-4</c:v>
                </c:pt>
                <c:pt idx="74">
                  <c:v>4.78817289682971E-4</c:v>
                </c:pt>
                <c:pt idx="75">
                  <c:v>-2.1354560870076299E-4</c:v>
                </c:pt>
                <c:pt idx="76">
                  <c:v>1.9163215453815599E-4</c:v>
                </c:pt>
                <c:pt idx="77">
                  <c:v>4.4712361760828202E-4</c:v>
                </c:pt>
                <c:pt idx="78">
                  <c:v>2.6977876846821601E-4</c:v>
                </c:pt>
                <c:pt idx="79">
                  <c:v>2.2689982914135499E-5</c:v>
                </c:pt>
                <c:pt idx="80">
                  <c:v>7.6268004290264504E-4</c:v>
                </c:pt>
                <c:pt idx="81">
                  <c:v>-2.3137621945803599E-4</c:v>
                </c:pt>
                <c:pt idx="82">
                  <c:v>4.1271387276529698E-4</c:v>
                </c:pt>
                <c:pt idx="83">
                  <c:v>4.4733264032043902E-4</c:v>
                </c:pt>
                <c:pt idx="84">
                  <c:v>2.9772535915368898E-4</c:v>
                </c:pt>
                <c:pt idx="85">
                  <c:v>1.2202740608237001E-5</c:v>
                </c:pt>
                <c:pt idx="86">
                  <c:v>-1.81312142087601E-4</c:v>
                </c:pt>
                <c:pt idx="87">
                  <c:v>-1.9087157969740701E-5</c:v>
                </c:pt>
                <c:pt idx="88">
                  <c:v>2.6938501457265599E-4</c:v>
                </c:pt>
                <c:pt idx="89">
                  <c:v>-1.8476176649138501E-4</c:v>
                </c:pt>
                <c:pt idx="90">
                  <c:v>3.9329383967864701E-5</c:v>
                </c:pt>
                <c:pt idx="91">
                  <c:v>3.41308170490645E-5</c:v>
                </c:pt>
                <c:pt idx="92">
                  <c:v>-1.0083003241268299E-3</c:v>
                </c:pt>
                <c:pt idx="93">
                  <c:v>4.75522025284218E-4</c:v>
                </c:pt>
                <c:pt idx="94">
                  <c:v>1.3732680477008299E-4</c:v>
                </c:pt>
                <c:pt idx="95">
                  <c:v>3.6971143420952098E-4</c:v>
                </c:pt>
                <c:pt idx="96">
                  <c:v>2.7334918160962298E-5</c:v>
                </c:pt>
                <c:pt idx="97">
                  <c:v>2.0678452900253899E-4</c:v>
                </c:pt>
                <c:pt idx="98">
                  <c:v>1.43475847913229E-4</c:v>
                </c:pt>
                <c:pt idx="99">
                  <c:v>2.0303688310161901E-4</c:v>
                </c:pt>
                <c:pt idx="100">
                  <c:v>5.7493829196642101E-5</c:v>
                </c:pt>
                <c:pt idx="101">
                  <c:v>8.4959499667531298E-4</c:v>
                </c:pt>
                <c:pt idx="102">
                  <c:v>8.4701567078752203E-5</c:v>
                </c:pt>
                <c:pt idx="103">
                  <c:v>3.4717158378011801E-4</c:v>
                </c:pt>
                <c:pt idx="104">
                  <c:v>1.4056490293796301E-4</c:v>
                </c:pt>
                <c:pt idx="105">
                  <c:v>-1.9675890396543199E-5</c:v>
                </c:pt>
                <c:pt idx="106">
                  <c:v>-2.8522838240064399E-5</c:v>
                </c:pt>
                <c:pt idx="107">
                  <c:v>9.6345171603602395E-5</c:v>
                </c:pt>
                <c:pt idx="108">
                  <c:v>-1.14863546297352E-4</c:v>
                </c:pt>
                <c:pt idx="109">
                  <c:v>5.70019073222104E-4</c:v>
                </c:pt>
                <c:pt idx="110">
                  <c:v>-1.11912392866518E-4</c:v>
                </c:pt>
                <c:pt idx="111">
                  <c:v>-1.69698661796168E-4</c:v>
                </c:pt>
                <c:pt idx="112">
                  <c:v>-1.6235849094273499E-5</c:v>
                </c:pt>
                <c:pt idx="113">
                  <c:v>7.5312334759040304E-4</c:v>
                </c:pt>
                <c:pt idx="114">
                  <c:v>4.6554172212520499E-4</c:v>
                </c:pt>
                <c:pt idx="115">
                  <c:v>-6.3454246317206E-3</c:v>
                </c:pt>
                <c:pt idx="116">
                  <c:v>-6.4826844899558197E-3</c:v>
                </c:pt>
                <c:pt idx="117">
                  <c:v>-6.2377813614141299E-3</c:v>
                </c:pt>
                <c:pt idx="118">
                  <c:v>-7.21252156865039E-5</c:v>
                </c:pt>
                <c:pt idx="119">
                  <c:v>-3.7383931810088097E-4</c:v>
                </c:pt>
                <c:pt idx="120">
                  <c:v>-1.00153280056775E-3</c:v>
                </c:pt>
                <c:pt idx="121">
                  <c:v>-6.2538828916193295E-4</c:v>
                </c:pt>
                <c:pt idx="122">
                  <c:v>3.9215989611326399E-4</c:v>
                </c:pt>
                <c:pt idx="123">
                  <c:v>5.8982546839157703E-4</c:v>
                </c:pt>
                <c:pt idx="124">
                  <c:v>7.2732935809970102E-4</c:v>
                </c:pt>
                <c:pt idx="125">
                  <c:v>-2.4462167883114401E-4</c:v>
                </c:pt>
                <c:pt idx="126">
                  <c:v>3.2968476513716203E-4</c:v>
                </c:pt>
                <c:pt idx="127">
                  <c:v>-4.9582094543946403E-5</c:v>
                </c:pt>
                <c:pt idx="128">
                  <c:v>1.65973943639149E-4</c:v>
                </c:pt>
                <c:pt idx="129">
                  <c:v>2.7834512786020099E-5</c:v>
                </c:pt>
                <c:pt idx="130">
                  <c:v>1.3299654718200999E-5</c:v>
                </c:pt>
                <c:pt idx="131">
                  <c:v>4.6914589048431099E-4</c:v>
                </c:pt>
                <c:pt idx="132">
                  <c:v>2.6938501457265599E-4</c:v>
                </c:pt>
                <c:pt idx="133">
                  <c:v>6.1654557115111395E-4</c:v>
                </c:pt>
                <c:pt idx="134">
                  <c:v>6.0187503113576799E-4</c:v>
                </c:pt>
                <c:pt idx="135">
                  <c:v>-6.2034045205022298E-5</c:v>
                </c:pt>
                <c:pt idx="136">
                  <c:v>5.9054070503545602E-5</c:v>
                </c:pt>
                <c:pt idx="137">
                  <c:v>5.6259493344541203E-4</c:v>
                </c:pt>
                <c:pt idx="138">
                  <c:v>-1.6963562595457901E-5</c:v>
                </c:pt>
                <c:pt idx="139">
                  <c:v>1.68697002065418E-4</c:v>
                </c:pt>
                <c:pt idx="140">
                  <c:v>1.7193570731079601E-5</c:v>
                </c:pt>
                <c:pt idx="141">
                  <c:v>4.5616281739675599E-4</c:v>
                </c:pt>
                <c:pt idx="142">
                  <c:v>8.1716955372931497E-4</c:v>
                </c:pt>
                <c:pt idx="143">
                  <c:v>5.6938927401231805E-4</c:v>
                </c:pt>
                <c:pt idx="144">
                  <c:v>6.7439376981868495E-4</c:v>
                </c:pt>
                <c:pt idx="145">
                  <c:v>5.25337198458564E-4</c:v>
                </c:pt>
                <c:pt idx="146">
                  <c:v>5.5166066730280995E-4</c:v>
                </c:pt>
                <c:pt idx="147">
                  <c:v>1.27862634059578E-4</c:v>
                </c:pt>
                <c:pt idx="148">
                  <c:v>1.17891351495519E-4</c:v>
                </c:pt>
                <c:pt idx="149">
                  <c:v>2.2370864650705601E-4</c:v>
                </c:pt>
                <c:pt idx="150">
                  <c:v>4.8826210847676798E-4</c:v>
                </c:pt>
                <c:pt idx="151">
                  <c:v>5.2555942916264996E-4</c:v>
                </c:pt>
                <c:pt idx="152">
                  <c:v>3.7265827052754302E-4</c:v>
                </c:pt>
                <c:pt idx="153">
                  <c:v>-4.3934739820788598E-5</c:v>
                </c:pt>
                <c:pt idx="154">
                  <c:v>-6.4212493597025504E-5</c:v>
                </c:pt>
                <c:pt idx="155">
                  <c:v>3.70929797397657E-4</c:v>
                </c:pt>
                <c:pt idx="156">
                  <c:v>5.43842397820185E-4</c:v>
                </c:pt>
                <c:pt idx="157">
                  <c:v>7.9330842694079603E-4</c:v>
                </c:pt>
                <c:pt idx="158">
                  <c:v>5.0175207088421902E-4</c:v>
                </c:pt>
                <c:pt idx="159">
                  <c:v>8.2038775518807798E-4</c:v>
                </c:pt>
                <c:pt idx="160">
                  <c:v>5.9796366852543203E-4</c:v>
                </c:pt>
                <c:pt idx="161">
                  <c:v>7.5254596910629204E-4</c:v>
                </c:pt>
                <c:pt idx="162">
                  <c:v>7.8881771905733801E-4</c:v>
                </c:pt>
                <c:pt idx="163">
                  <c:v>6.3015673539909296E-4</c:v>
                </c:pt>
                <c:pt idx="164">
                  <c:v>2.8774148419684901E-4</c:v>
                </c:pt>
                <c:pt idx="165">
                  <c:v>4.1670399486253901E-4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FUTY x 10 dma / VPU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1.0260286051094699E-4</c:v>
                </c:pt>
                <c:pt idx="11">
                  <c:v>1.15582597154145E-4</c:v>
                </c:pt>
                <c:pt idx="12">
                  <c:v>8.6287886294742698E-5</c:v>
                </c:pt>
                <c:pt idx="13">
                  <c:v>-1.5330310305103001E-4</c:v>
                </c:pt>
                <c:pt idx="14">
                  <c:v>6.8355153026853401E-6</c:v>
                </c:pt>
                <c:pt idx="15">
                  <c:v>-5.2369597886428102E-6</c:v>
                </c:pt>
                <c:pt idx="16">
                  <c:v>3.9107142746216299E-4</c:v>
                </c:pt>
                <c:pt idx="17">
                  <c:v>3.1742234738216902E-4</c:v>
                </c:pt>
                <c:pt idx="18">
                  <c:v>1.4113591868928301E-4</c:v>
                </c:pt>
                <c:pt idx="19">
                  <c:v>-6.72320286739249E-4</c:v>
                </c:pt>
                <c:pt idx="20">
                  <c:v>-8.39451457290165E-4</c:v>
                </c:pt>
                <c:pt idx="21">
                  <c:v>-4.2272185722106001E-4</c:v>
                </c:pt>
                <c:pt idx="22">
                  <c:v>2.5730093257091701E-5</c:v>
                </c:pt>
                <c:pt idx="23">
                  <c:v>-2.2901035129011601E-4</c:v>
                </c:pt>
                <c:pt idx="24">
                  <c:v>1.71819367990115E-4</c:v>
                </c:pt>
                <c:pt idx="25">
                  <c:v>-1.2033260600675101E-4</c:v>
                </c:pt>
                <c:pt idx="26">
                  <c:v>1.76246523344791E-4</c:v>
                </c:pt>
                <c:pt idx="27">
                  <c:v>8.5770081085173E-5</c:v>
                </c:pt>
                <c:pt idx="28">
                  <c:v>-2.99504493586383E-4</c:v>
                </c:pt>
                <c:pt idx="29">
                  <c:v>-1.89229658875194E-4</c:v>
                </c:pt>
                <c:pt idx="30">
                  <c:v>-1.2566394202882E-4</c:v>
                </c:pt>
                <c:pt idx="31">
                  <c:v>1.4249666591177501E-4</c:v>
                </c:pt>
                <c:pt idx="32">
                  <c:v>-1.05082765325575E-4</c:v>
                </c:pt>
                <c:pt idx="33">
                  <c:v>6.1157282121053296E-4</c:v>
                </c:pt>
                <c:pt idx="34">
                  <c:v>-3.22485862546603E-4</c:v>
                </c:pt>
                <c:pt idx="35">
                  <c:v>2.8491707238833001E-4</c:v>
                </c:pt>
                <c:pt idx="36">
                  <c:v>4.7157849291829798E-4</c:v>
                </c:pt>
                <c:pt idx="37">
                  <c:v>1.1712067614185E-4</c:v>
                </c:pt>
                <c:pt idx="38">
                  <c:v>2.1696305646442599E-4</c:v>
                </c:pt>
                <c:pt idx="39">
                  <c:v>2.88337787473808E-4</c:v>
                </c:pt>
                <c:pt idx="40">
                  <c:v>4.3801609888697099E-4</c:v>
                </c:pt>
                <c:pt idx="41">
                  <c:v>-3.2684130959410098E-4</c:v>
                </c:pt>
                <c:pt idx="42">
                  <c:v>5.99374998264222E-5</c:v>
                </c:pt>
                <c:pt idx="43">
                  <c:v>2.30259696108007E-4</c:v>
                </c:pt>
                <c:pt idx="44">
                  <c:v>-1.36384441135016E-5</c:v>
                </c:pt>
                <c:pt idx="45">
                  <c:v>1.3387975108610899E-4</c:v>
                </c:pt>
                <c:pt idx="46">
                  <c:v>-5.6903509504746702E-5</c:v>
                </c:pt>
                <c:pt idx="47">
                  <c:v>1.8289622683951599E-4</c:v>
                </c:pt>
                <c:pt idx="48">
                  <c:v>-4.3071543203657001E-4</c:v>
                </c:pt>
                <c:pt idx="49">
                  <c:v>-6.2842014150272596E-4</c:v>
                </c:pt>
                <c:pt idx="50">
                  <c:v>8.5502001941762203E-5</c:v>
                </c:pt>
                <c:pt idx="51">
                  <c:v>1.21886303491041E-3</c:v>
                </c:pt>
                <c:pt idx="52">
                  <c:v>-2.30458029603688E-4</c:v>
                </c:pt>
                <c:pt idx="53">
                  <c:v>-7.3125881106200904E-3</c:v>
                </c:pt>
                <c:pt idx="54">
                  <c:v>-6.0690209843938404E-3</c:v>
                </c:pt>
                <c:pt idx="55">
                  <c:v>7.7197167517190904E-4</c:v>
                </c:pt>
                <c:pt idx="56">
                  <c:v>1.43076168316066E-3</c:v>
                </c:pt>
                <c:pt idx="57">
                  <c:v>1.40815956535012E-3</c:v>
                </c:pt>
                <c:pt idx="58">
                  <c:v>1.1512269217980101E-3</c:v>
                </c:pt>
                <c:pt idx="59">
                  <c:v>1.5347302906417301E-3</c:v>
                </c:pt>
                <c:pt idx="60">
                  <c:v>2.9998984345218198E-4</c:v>
                </c:pt>
                <c:pt idx="61">
                  <c:v>1.1298793669031501E-3</c:v>
                </c:pt>
                <c:pt idx="62">
                  <c:v>1.96668118630593E-3</c:v>
                </c:pt>
                <c:pt idx="63">
                  <c:v>1.0950953848886001E-3</c:v>
                </c:pt>
                <c:pt idx="64">
                  <c:v>7.0388104050775899E-4</c:v>
                </c:pt>
                <c:pt idx="65">
                  <c:v>5.5674051352823099E-5</c:v>
                </c:pt>
                <c:pt idx="66">
                  <c:v>2.65260470725271E-5</c:v>
                </c:pt>
                <c:pt idx="67">
                  <c:v>-2.7032066625051201E-4</c:v>
                </c:pt>
                <c:pt idx="68">
                  <c:v>2.3945146969747699E-4</c:v>
                </c:pt>
                <c:pt idx="69">
                  <c:v>2.6578228868005398E-4</c:v>
                </c:pt>
                <c:pt idx="70">
                  <c:v>1.9818763037962299E-4</c:v>
                </c:pt>
                <c:pt idx="71">
                  <c:v>3.3254723840409002E-4</c:v>
                </c:pt>
                <c:pt idx="72">
                  <c:v>-2.4304169796455701E-5</c:v>
                </c:pt>
                <c:pt idx="73">
                  <c:v>2.32794212421709E-4</c:v>
                </c:pt>
                <c:pt idx="74">
                  <c:v>3.0566265318882898E-4</c:v>
                </c:pt>
                <c:pt idx="75">
                  <c:v>-4.2637436153321302E-4</c:v>
                </c:pt>
                <c:pt idx="76">
                  <c:v>9.0640742303647494E-6</c:v>
                </c:pt>
                <c:pt idx="77">
                  <c:v>2.5509967741644499E-4</c:v>
                </c:pt>
                <c:pt idx="78">
                  <c:v>1.10300141869626E-5</c:v>
                </c:pt>
                <c:pt idx="79">
                  <c:v>-2.39039031487696E-4</c:v>
                </c:pt>
                <c:pt idx="80">
                  <c:v>5.2774929605586699E-4</c:v>
                </c:pt>
                <c:pt idx="81">
                  <c:v>-5.2121044210726403E-4</c:v>
                </c:pt>
                <c:pt idx="82">
                  <c:v>1.90760577285211E-4</c:v>
                </c:pt>
                <c:pt idx="83">
                  <c:v>1.98264664938805E-4</c:v>
                </c:pt>
                <c:pt idx="84">
                  <c:v>3.8986744679898003E-5</c:v>
                </c:pt>
                <c:pt idx="85">
                  <c:v>-2.28429190295885E-4</c:v>
                </c:pt>
                <c:pt idx="86">
                  <c:v>-4.4452686914223002E-4</c:v>
                </c:pt>
                <c:pt idx="87">
                  <c:v>-2.4499852567917197E-4</c:v>
                </c:pt>
                <c:pt idx="88">
                  <c:v>9.0094192563029997E-5</c:v>
                </c:pt>
                <c:pt idx="89">
                  <c:v>-3.6401321666728801E-4</c:v>
                </c:pt>
                <c:pt idx="90">
                  <c:v>-1.19171706111176E-4</c:v>
                </c:pt>
                <c:pt idx="91">
                  <c:v>-5.2055359735350397E-5</c:v>
                </c:pt>
                <c:pt idx="92">
                  <c:v>-1.12104246450536E-3</c:v>
                </c:pt>
                <c:pt idx="93">
                  <c:v>5.0492956244640704E-4</c:v>
                </c:pt>
                <c:pt idx="94">
                  <c:v>1.6391678276031201E-4</c:v>
                </c:pt>
                <c:pt idx="95">
                  <c:v>4.1233722397253798E-4</c:v>
                </c:pt>
                <c:pt idx="96">
                  <c:v>3.4217549410150602E-5</c:v>
                </c:pt>
                <c:pt idx="97">
                  <c:v>1.92800773695577E-4</c:v>
                </c:pt>
                <c:pt idx="98">
                  <c:v>1.06906472658328E-4</c:v>
                </c:pt>
                <c:pt idx="99">
                  <c:v>1.7905620675830999E-4</c:v>
                </c:pt>
                <c:pt idx="100">
                  <c:v>-5.2680399483562602E-6</c:v>
                </c:pt>
                <c:pt idx="101">
                  <c:v>7.8501665529123505E-4</c:v>
                </c:pt>
                <c:pt idx="102">
                  <c:v>-6.1395756706761193E-5</c:v>
                </c:pt>
                <c:pt idx="103">
                  <c:v>9.1701621037282196E-5</c:v>
                </c:pt>
                <c:pt idx="104">
                  <c:v>-1.02072098518967E-4</c:v>
                </c:pt>
                <c:pt idx="105">
                  <c:v>-2.6263673530051E-4</c:v>
                </c:pt>
                <c:pt idx="106">
                  <c:v>-2.3254306292623501E-4</c:v>
                </c:pt>
                <c:pt idx="107">
                  <c:v>-1.0208815000254E-4</c:v>
                </c:pt>
                <c:pt idx="108">
                  <c:v>-3.0225247552304198E-4</c:v>
                </c:pt>
                <c:pt idx="109">
                  <c:v>4.0846822148048298E-4</c:v>
                </c:pt>
                <c:pt idx="110">
                  <c:v>-3.1015388158844702E-4</c:v>
                </c:pt>
                <c:pt idx="111">
                  <c:v>-3.50995852139821E-4</c:v>
                </c:pt>
                <c:pt idx="112">
                  <c:v>-9.56250318871081E-5</c:v>
                </c:pt>
                <c:pt idx="113">
                  <c:v>6.8382831127983702E-4</c:v>
                </c:pt>
                <c:pt idx="114">
                  <c:v>3.5567020153683999E-4</c:v>
                </c:pt>
                <c:pt idx="115">
                  <c:v>-6.4877880848736302E-3</c:v>
                </c:pt>
                <c:pt idx="116">
                  <c:v>-5.9905665793248001E-3</c:v>
                </c:pt>
                <c:pt idx="117">
                  <c:v>-5.0986694429235998E-3</c:v>
                </c:pt>
                <c:pt idx="118">
                  <c:v>1.7014238054706399E-3</c:v>
                </c:pt>
                <c:pt idx="119">
                  <c:v>1.39544303513766E-3</c:v>
                </c:pt>
                <c:pt idx="120">
                  <c:v>8.6195486880808597E-4</c:v>
                </c:pt>
                <c:pt idx="121">
                  <c:v>1.32694130079017E-3</c:v>
                </c:pt>
                <c:pt idx="122">
                  <c:v>2.3899866192442902E-3</c:v>
                </c:pt>
                <c:pt idx="123">
                  <c:v>2.5469009555925399E-3</c:v>
                </c:pt>
                <c:pt idx="124">
                  <c:v>2.7006916333101399E-3</c:v>
                </c:pt>
                <c:pt idx="125">
                  <c:v>1.70262867955739E-3</c:v>
                </c:pt>
                <c:pt idx="126">
                  <c:v>1.66584439894557E-3</c:v>
                </c:pt>
                <c:pt idx="127">
                  <c:v>6.0391972004297898E-4</c:v>
                </c:pt>
                <c:pt idx="128">
                  <c:v>1.98919443260101E-4</c:v>
                </c:pt>
                <c:pt idx="129">
                  <c:v>3.6971714621714698E-5</c:v>
                </c:pt>
                <c:pt idx="130">
                  <c:v>-1.77379163760187E-5</c:v>
                </c:pt>
                <c:pt idx="131">
                  <c:v>3.3656660597592602E-4</c:v>
                </c:pt>
                <c:pt idx="132">
                  <c:v>2.7323249328664301E-5</c:v>
                </c:pt>
                <c:pt idx="133">
                  <c:v>3.86760129618798E-4</c:v>
                </c:pt>
                <c:pt idx="134">
                  <c:v>3.6941857330284199E-4</c:v>
                </c:pt>
                <c:pt idx="135">
                  <c:v>-2.8195056924259099E-4</c:v>
                </c:pt>
                <c:pt idx="136">
                  <c:v>-1.7912819999266801E-4</c:v>
                </c:pt>
                <c:pt idx="137">
                  <c:v>3.5147655200116503E-4</c:v>
                </c:pt>
                <c:pt idx="138">
                  <c:v>-2.8929874301635098E-4</c:v>
                </c:pt>
                <c:pt idx="139">
                  <c:v>-8.5340975691120704E-5</c:v>
                </c:pt>
                <c:pt idx="140">
                  <c:v>-2.5093294962486701E-4</c:v>
                </c:pt>
                <c:pt idx="141">
                  <c:v>1.87646806881816E-4</c:v>
                </c:pt>
                <c:pt idx="142">
                  <c:v>5.49951597653798E-4</c:v>
                </c:pt>
                <c:pt idx="143">
                  <c:v>2.4740648378637601E-4</c:v>
                </c:pt>
                <c:pt idx="144">
                  <c:v>3.5712532050456898E-4</c:v>
                </c:pt>
                <c:pt idx="145">
                  <c:v>2.0081917550240799E-4</c:v>
                </c:pt>
                <c:pt idx="146">
                  <c:v>1.6839833876195799E-4</c:v>
                </c:pt>
                <c:pt idx="147">
                  <c:v>-3.0466540599389402E-4</c:v>
                </c:pt>
                <c:pt idx="148">
                  <c:v>-2.7116060802911501E-4</c:v>
                </c:pt>
                <c:pt idx="149">
                  <c:v>-1.7883346222836801E-4</c:v>
                </c:pt>
                <c:pt idx="150">
                  <c:v>8.0217684935660104E-5</c:v>
                </c:pt>
                <c:pt idx="151">
                  <c:v>7.0399724459835304E-5</c:v>
                </c:pt>
                <c:pt idx="152">
                  <c:v>-8.9440871679571295E-5</c:v>
                </c:pt>
                <c:pt idx="153">
                  <c:v>-4.61589644375905E-4</c:v>
                </c:pt>
                <c:pt idx="154">
                  <c:v>-4.2052737432493403E-4</c:v>
                </c:pt>
                <c:pt idx="155">
                  <c:v>8.8476600400597794E-5</c:v>
                </c:pt>
                <c:pt idx="156">
                  <c:v>2.7682726376241002E-4</c:v>
                </c:pt>
                <c:pt idx="157">
                  <c:v>5.2707490006937601E-4</c:v>
                </c:pt>
                <c:pt idx="158">
                  <c:v>1.6898468198422799E-4</c:v>
                </c:pt>
                <c:pt idx="159">
                  <c:v>4.4923267651112098E-4</c:v>
                </c:pt>
                <c:pt idx="160">
                  <c:v>1.6714790123011799E-4</c:v>
                </c:pt>
                <c:pt idx="161">
                  <c:v>3.1076121748935498E-4</c:v>
                </c:pt>
                <c:pt idx="162">
                  <c:v>3.2433853315566997E-4</c:v>
                </c:pt>
                <c:pt idx="163">
                  <c:v>1.2406557651667099E-4</c:v>
                </c:pt>
                <c:pt idx="164">
                  <c:v>-2.8577545489054097E-4</c:v>
                </c:pt>
                <c:pt idx="165">
                  <c:v>-1.9202521744456099E-4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FUTY x 20 dma / VPU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-7.6287630546839798E-4</c:v>
                </c:pt>
                <c:pt idx="21">
                  <c:v>-3.9494682063661701E-4</c:v>
                </c:pt>
                <c:pt idx="22">
                  <c:v>7.6939404071157596E-6</c:v>
                </c:pt>
                <c:pt idx="23">
                  <c:v>-2.6467416194137698E-4</c:v>
                </c:pt>
                <c:pt idx="24">
                  <c:v>1.22142710597764E-4</c:v>
                </c:pt>
                <c:pt idx="25">
                  <c:v>-1.6295012626480699E-4</c:v>
                </c:pt>
                <c:pt idx="26">
                  <c:v>8.5339800842694098E-5</c:v>
                </c:pt>
                <c:pt idx="27">
                  <c:v>-3.9374703025249601E-5</c:v>
                </c:pt>
                <c:pt idx="28">
                  <c:v>-4.6650825602952698E-4</c:v>
                </c:pt>
                <c:pt idx="29">
                  <c:v>-3.9589040999881499E-4</c:v>
                </c:pt>
                <c:pt idx="30">
                  <c:v>-2.87329433913844E-4</c:v>
                </c:pt>
                <c:pt idx="31">
                  <c:v>3.98130373114695E-5</c:v>
                </c:pt>
                <c:pt idx="32">
                  <c:v>-1.65635247105366E-4</c:v>
                </c:pt>
                <c:pt idx="33">
                  <c:v>5.4325632702329201E-4</c:v>
                </c:pt>
                <c:pt idx="34">
                  <c:v>-3.4826208320175799E-4</c:v>
                </c:pt>
                <c:pt idx="35">
                  <c:v>2.2856762428948501E-4</c:v>
                </c:pt>
                <c:pt idx="36">
                  <c:v>4.39870253105418E-4</c:v>
                </c:pt>
                <c:pt idx="37">
                  <c:v>1.16828179922554E-4</c:v>
                </c:pt>
                <c:pt idx="38">
                  <c:v>2.4229842927576701E-4</c:v>
                </c:pt>
                <c:pt idx="39">
                  <c:v>3.80765577156309E-4</c:v>
                </c:pt>
                <c:pt idx="40">
                  <c:v>5.6008319468968295E-4</c:v>
                </c:pt>
                <c:pt idx="41">
                  <c:v>-1.83909394677831E-4</c:v>
                </c:pt>
                <c:pt idx="42">
                  <c:v>1.7569606586392299E-4</c:v>
                </c:pt>
                <c:pt idx="43">
                  <c:v>3.7844752984321701E-4</c:v>
                </c:pt>
                <c:pt idx="44">
                  <c:v>9.5108150669750803E-5</c:v>
                </c:pt>
                <c:pt idx="45">
                  <c:v>2.9625155645892899E-4</c:v>
                </c:pt>
                <c:pt idx="46">
                  <c:v>9.9525445742545095E-5</c:v>
                </c:pt>
                <c:pt idx="47">
                  <c:v>3.16948434474717E-4</c:v>
                </c:pt>
                <c:pt idx="48">
                  <c:v>-2.8150609199390202E-4</c:v>
                </c:pt>
                <c:pt idx="49">
                  <c:v>-5.2504443596602805E-4</c:v>
                </c:pt>
                <c:pt idx="50">
                  <c:v>1.20240418667918E-4</c:v>
                </c:pt>
                <c:pt idx="51">
                  <c:v>1.19906231217969E-3</c:v>
                </c:pt>
                <c:pt idx="52">
                  <c:v>-1.6580432809939501E-4</c:v>
                </c:pt>
                <c:pt idx="53">
                  <c:v>-7.27582091704412E-3</c:v>
                </c:pt>
                <c:pt idx="54">
                  <c:v>-6.4026168397158098E-3</c:v>
                </c:pt>
                <c:pt idx="55">
                  <c:v>7.5305840114671499E-5</c:v>
                </c:pt>
                <c:pt idx="56">
                  <c:v>6.8770419155312604E-4</c:v>
                </c:pt>
                <c:pt idx="57">
                  <c:v>6.7592565550243398E-4</c:v>
                </c:pt>
                <c:pt idx="58">
                  <c:v>3.9035269909760999E-4</c:v>
                </c:pt>
                <c:pt idx="59">
                  <c:v>7.9428638050007595E-4</c:v>
                </c:pt>
                <c:pt idx="60">
                  <c:v>-3.7094767360524802E-4</c:v>
                </c:pt>
                <c:pt idx="61">
                  <c:v>4.1677955335009501E-4</c:v>
                </c:pt>
                <c:pt idx="62">
                  <c:v>1.1027887156012501E-3</c:v>
                </c:pt>
                <c:pt idx="63">
                  <c:v>2.6262234697277598E-4</c:v>
                </c:pt>
                <c:pt idx="64">
                  <c:v>5.8371839073149696E-4</c:v>
                </c:pt>
                <c:pt idx="65">
                  <c:v>6.00159076399391E-4</c:v>
                </c:pt>
                <c:pt idx="66">
                  <c:v>6.2740634904355995E-4</c:v>
                </c:pt>
                <c:pt idx="67">
                  <c:v>3.2036336114364E-4</c:v>
                </c:pt>
                <c:pt idx="68">
                  <c:v>8.1722360390108295E-4</c:v>
                </c:pt>
                <c:pt idx="69">
                  <c:v>8.5275285474508496E-4</c:v>
                </c:pt>
                <c:pt idx="70">
                  <c:v>7.4632394401275199E-4</c:v>
                </c:pt>
                <c:pt idx="71">
                  <c:v>9.8681315536460292E-4</c:v>
                </c:pt>
                <c:pt idx="72">
                  <c:v>7.3120628473728202E-4</c:v>
                </c:pt>
                <c:pt idx="73">
                  <c:v>9.4085865098780396E-4</c:v>
                </c:pt>
                <c:pt idx="74">
                  <c:v>7.0323877504886495E-4</c:v>
                </c:pt>
                <c:pt idx="75">
                  <c:v>-3.3661015796268399E-4</c:v>
                </c:pt>
                <c:pt idx="76">
                  <c:v>6.5073898333233598E-5</c:v>
                </c:pt>
                <c:pt idx="77">
                  <c:v>3.2597876805803301E-4</c:v>
                </c:pt>
                <c:pt idx="78">
                  <c:v>1.4015029760176901E-4</c:v>
                </c:pt>
                <c:pt idx="79">
                  <c:v>-1.2060041456390599E-4</c:v>
                </c:pt>
                <c:pt idx="80">
                  <c:v>6.37553837236875E-4</c:v>
                </c:pt>
                <c:pt idx="81">
                  <c:v>-4.3368220147989002E-4</c:v>
                </c:pt>
                <c:pt idx="82">
                  <c:v>2.1880763940035399E-4</c:v>
                </c:pt>
                <c:pt idx="83">
                  <c:v>2.6389180250784998E-4</c:v>
                </c:pt>
                <c:pt idx="84">
                  <c:v>8.177964924686E-5</c:v>
                </c:pt>
                <c:pt idx="85">
                  <c:v>-2.1452750463299799E-4</c:v>
                </c:pt>
                <c:pt idx="86">
                  <c:v>-4.04202732783502E-4</c:v>
                </c:pt>
                <c:pt idx="87">
                  <c:v>-2.2805466837563099E-4</c:v>
                </c:pt>
                <c:pt idx="88">
                  <c:v>5.03660156226948E-5</c:v>
                </c:pt>
                <c:pt idx="89">
                  <c:v>-4.0525114846167701E-4</c:v>
                </c:pt>
                <c:pt idx="90">
                  <c:v>-1.57385804308454E-4</c:v>
                </c:pt>
                <c:pt idx="91">
                  <c:v>-1.5387419860187499E-4</c:v>
                </c:pt>
                <c:pt idx="92">
                  <c:v>-1.1756465511714601E-3</c:v>
                </c:pt>
                <c:pt idx="93">
                  <c:v>3.6570149975067299E-4</c:v>
                </c:pt>
                <c:pt idx="94">
                  <c:v>2.1262663078934602E-5</c:v>
                </c:pt>
                <c:pt idx="95">
                  <c:v>2.7071839300583901E-4</c:v>
                </c:pt>
                <c:pt idx="96">
                  <c:v>-1.00822010668995E-4</c:v>
                </c:pt>
                <c:pt idx="97">
                  <c:v>8.6842581658560204E-5</c:v>
                </c:pt>
                <c:pt idx="98">
                  <c:v>3.5548295457253497E-5</c:v>
                </c:pt>
                <c:pt idx="99">
                  <c:v>1.01423833468685E-4</c:v>
                </c:pt>
                <c:pt idx="100">
                  <c:v>-5.31365046657471E-5</c:v>
                </c:pt>
                <c:pt idx="101">
                  <c:v>7.7421279595342105E-4</c:v>
                </c:pt>
                <c:pt idx="102">
                  <c:v>-4.4718025932337198E-5</c:v>
                </c:pt>
                <c:pt idx="103">
                  <c:v>2.3415051538853201E-4</c:v>
                </c:pt>
                <c:pt idx="104">
                  <c:v>3.2550451600194901E-5</c:v>
                </c:pt>
                <c:pt idx="105">
                  <c:v>-1.19833223001293E-4</c:v>
                </c:pt>
                <c:pt idx="106">
                  <c:v>-1.2708607495669899E-4</c:v>
                </c:pt>
                <c:pt idx="107">
                  <c:v>-9.8591141477528394E-6</c:v>
                </c:pt>
                <c:pt idx="108">
                  <c:v>-2.2683985522028099E-4</c:v>
                </c:pt>
                <c:pt idx="109">
                  <c:v>4.7725567487365799E-4</c:v>
                </c:pt>
                <c:pt idx="110">
                  <c:v>-2.4241177745905999E-4</c:v>
                </c:pt>
                <c:pt idx="111">
                  <c:v>-2.9263472474871298E-4</c:v>
                </c:pt>
                <c:pt idx="112">
                  <c:v>-1.2897854613654999E-4</c:v>
                </c:pt>
                <c:pt idx="113">
                  <c:v>5.9074518070165996E-4</c:v>
                </c:pt>
                <c:pt idx="114">
                  <c:v>2.8928966443672702E-4</c:v>
                </c:pt>
                <c:pt idx="115">
                  <c:v>-6.5380855157697601E-3</c:v>
                </c:pt>
                <c:pt idx="116">
                  <c:v>-6.33857507094681E-3</c:v>
                </c:pt>
                <c:pt idx="117">
                  <c:v>-5.7672184345797803E-3</c:v>
                </c:pt>
                <c:pt idx="118">
                  <c:v>7.2143548990787195E-4</c:v>
                </c:pt>
                <c:pt idx="119">
                  <c:v>4.30492447183225E-4</c:v>
                </c:pt>
                <c:pt idx="120">
                  <c:v>-1.68378369444702E-4</c:v>
                </c:pt>
                <c:pt idx="121">
                  <c:v>2.60696955938726E-4</c:v>
                </c:pt>
                <c:pt idx="122">
                  <c:v>1.3519180194252699E-3</c:v>
                </c:pt>
                <c:pt idx="123">
                  <c:v>1.53422896593621E-3</c:v>
                </c:pt>
                <c:pt idx="124">
                  <c:v>1.6596172181937701E-3</c:v>
                </c:pt>
                <c:pt idx="125">
                  <c:v>6.58367584422637E-4</c:v>
                </c:pt>
                <c:pt idx="126">
                  <c:v>1.2439125881581201E-3</c:v>
                </c:pt>
                <c:pt idx="127">
                  <c:v>8.4675424914102803E-4</c:v>
                </c:pt>
                <c:pt idx="128">
                  <c:v>1.0695999165579301E-3</c:v>
                </c:pt>
                <c:pt idx="129">
                  <c:v>9.1743155414245796E-4</c:v>
                </c:pt>
                <c:pt idx="130">
                  <c:v>9.2997335702777199E-4</c:v>
                </c:pt>
                <c:pt idx="131">
                  <c:v>1.37956439873445E-3</c:v>
                </c:pt>
                <c:pt idx="132">
                  <c:v>1.1478946309402399E-3</c:v>
                </c:pt>
                <c:pt idx="133">
                  <c:v>1.48078838895668E-3</c:v>
                </c:pt>
                <c:pt idx="134">
                  <c:v>1.4729361442367801E-3</c:v>
                </c:pt>
                <c:pt idx="135">
                  <c:v>8.0221994839256095E-4</c:v>
                </c:pt>
                <c:pt idx="136">
                  <c:v>6.0835257118139097E-4</c:v>
                </c:pt>
                <c:pt idx="137">
                  <c:v>7.8388009602430096E-4</c:v>
                </c:pt>
                <c:pt idx="138">
                  <c:v>-1.3664675345878899E-4</c:v>
                </c:pt>
                <c:pt idx="139">
                  <c:v>4.62552717519611E-5</c:v>
                </c:pt>
                <c:pt idx="140">
                  <c:v>-1.3238144859783999E-4</c:v>
                </c:pt>
                <c:pt idx="141">
                  <c:v>2.5561747973442599E-4</c:v>
                </c:pt>
                <c:pt idx="142">
                  <c:v>5.6252977217395605E-4</c:v>
                </c:pt>
                <c:pt idx="143">
                  <c:v>2.9350622067726402E-4</c:v>
                </c:pt>
                <c:pt idx="144">
                  <c:v>3.99532215379158E-4</c:v>
                </c:pt>
                <c:pt idx="145">
                  <c:v>2.5312129264571298E-4</c:v>
                </c:pt>
                <c:pt idx="146">
                  <c:v>2.4094099881215501E-4</c:v>
                </c:pt>
                <c:pt idx="147">
                  <c:v>-1.93954448909851E-4</c:v>
                </c:pt>
                <c:pt idx="148">
                  <c:v>-2.1280051562652799E-4</c:v>
                </c:pt>
                <c:pt idx="149">
                  <c:v>-1.04578640053961E-4</c:v>
                </c:pt>
                <c:pt idx="150">
                  <c:v>1.50179083655634E-4</c:v>
                </c:pt>
                <c:pt idx="151">
                  <c:v>1.637259260372E-4</c:v>
                </c:pt>
                <c:pt idx="152">
                  <c:v>8.0044687205969797E-6</c:v>
                </c:pt>
                <c:pt idx="153">
                  <c:v>-4.1375244306714702E-4</c:v>
                </c:pt>
                <c:pt idx="154">
                  <c:v>-4.0100396804005001E-4</c:v>
                </c:pt>
                <c:pt idx="155">
                  <c:v>6.7444408602014406E-5</c:v>
                </c:pt>
                <c:pt idx="156">
                  <c:v>2.1870535569708599E-4</c:v>
                </c:pt>
                <c:pt idx="157">
                  <c:v>4.4393110021148701E-4</c:v>
                </c:pt>
                <c:pt idx="158">
                  <c:v>1.40842792665897E-4</c:v>
                </c:pt>
                <c:pt idx="159">
                  <c:v>4.3353928462527299E-4</c:v>
                </c:pt>
                <c:pt idx="160">
                  <c:v>1.7853363792407999E-4</c:v>
                </c:pt>
                <c:pt idx="161">
                  <c:v>3.0407376330745102E-4</c:v>
                </c:pt>
                <c:pt idx="162">
                  <c:v>3.25528555711063E-4</c:v>
                </c:pt>
                <c:pt idx="163">
                  <c:v>1.6828468130181099E-4</c:v>
                </c:pt>
                <c:pt idx="164">
                  <c:v>-1.7716852861910301E-4</c:v>
                </c:pt>
                <c:pt idx="165">
                  <c:v>-2.8873902784949298E-5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4.942374684030991E-4</c:v>
                </c:pt>
                <c:pt idx="35">
                  <c:v>4.942374684030991E-4</c:v>
                </c:pt>
                <c:pt idx="36">
                  <c:v>4.942374684030991E-4</c:v>
                </c:pt>
                <c:pt idx="37">
                  <c:v>4.942374684030991E-4</c:v>
                </c:pt>
                <c:pt idx="38">
                  <c:v>4.942374684030991E-4</c:v>
                </c:pt>
                <c:pt idx="39">
                  <c:v>4.942374684030991E-4</c:v>
                </c:pt>
                <c:pt idx="40">
                  <c:v>4.942374684030991E-4</c:v>
                </c:pt>
                <c:pt idx="41">
                  <c:v>4.942374684030991E-4</c:v>
                </c:pt>
                <c:pt idx="42">
                  <c:v>4.942374684030991E-4</c:v>
                </c:pt>
                <c:pt idx="43">
                  <c:v>4.942374684030991E-4</c:v>
                </c:pt>
                <c:pt idx="44">
                  <c:v>4.942374684030991E-4</c:v>
                </c:pt>
                <c:pt idx="45">
                  <c:v>4.942374684030991E-4</c:v>
                </c:pt>
                <c:pt idx="46">
                  <c:v>4.942374684030991E-4</c:v>
                </c:pt>
                <c:pt idx="47">
                  <c:v>4.942374684030991E-4</c:v>
                </c:pt>
                <c:pt idx="48">
                  <c:v>4.942374684030991E-4</c:v>
                </c:pt>
                <c:pt idx="49">
                  <c:v>4.942374684030991E-4</c:v>
                </c:pt>
                <c:pt idx="50">
                  <c:v>4.942374684030991E-4</c:v>
                </c:pt>
                <c:pt idx="51">
                  <c:v>4.942374684030991E-4</c:v>
                </c:pt>
                <c:pt idx="52">
                  <c:v>4.942374684030991E-4</c:v>
                </c:pt>
                <c:pt idx="53">
                  <c:v>4.942374684030991E-4</c:v>
                </c:pt>
                <c:pt idx="54">
                  <c:v>4.942374684030991E-4</c:v>
                </c:pt>
                <c:pt idx="55">
                  <c:v>4.942374684030991E-4</c:v>
                </c:pt>
                <c:pt idx="56">
                  <c:v>4.942374684030991E-4</c:v>
                </c:pt>
                <c:pt idx="57">
                  <c:v>4.942374684030991E-4</c:v>
                </c:pt>
                <c:pt idx="58">
                  <c:v>4.942374684030991E-4</c:v>
                </c:pt>
                <c:pt idx="59">
                  <c:v>4.942374684030991E-4</c:v>
                </c:pt>
                <c:pt idx="60">
                  <c:v>4.942374684030991E-4</c:v>
                </c:pt>
                <c:pt idx="61">
                  <c:v>4.942374684030991E-4</c:v>
                </c:pt>
                <c:pt idx="62">
                  <c:v>4.942374684030991E-4</c:v>
                </c:pt>
                <c:pt idx="63">
                  <c:v>4.942374684030991E-4</c:v>
                </c:pt>
                <c:pt idx="64">
                  <c:v>4.942374684030991E-4</c:v>
                </c:pt>
                <c:pt idx="65">
                  <c:v>4.942374684030991E-4</c:v>
                </c:pt>
                <c:pt idx="66">
                  <c:v>4.942374684030991E-4</c:v>
                </c:pt>
                <c:pt idx="67">
                  <c:v>4.942374684030991E-4</c:v>
                </c:pt>
                <c:pt idx="68">
                  <c:v>4.942374684030991E-4</c:v>
                </c:pt>
                <c:pt idx="69">
                  <c:v>4.942374684030991E-4</c:v>
                </c:pt>
                <c:pt idx="70">
                  <c:v>4.942374684030991E-4</c:v>
                </c:pt>
                <c:pt idx="71">
                  <c:v>4.942374684030991E-4</c:v>
                </c:pt>
                <c:pt idx="72">
                  <c:v>4.942374684030991E-4</c:v>
                </c:pt>
                <c:pt idx="73">
                  <c:v>1.9780598178141141E-3</c:v>
                </c:pt>
                <c:pt idx="74">
                  <c:v>1.9780598178141141E-3</c:v>
                </c:pt>
                <c:pt idx="75">
                  <c:v>1.9780598178141141E-3</c:v>
                </c:pt>
                <c:pt idx="76">
                  <c:v>1.9780598178141141E-3</c:v>
                </c:pt>
                <c:pt idx="77">
                  <c:v>1.9780598178141141E-3</c:v>
                </c:pt>
                <c:pt idx="78">
                  <c:v>1.9780598178141141E-3</c:v>
                </c:pt>
                <c:pt idx="79">
                  <c:v>1.9780598178141141E-3</c:v>
                </c:pt>
                <c:pt idx="80">
                  <c:v>1.9780598178141141E-3</c:v>
                </c:pt>
                <c:pt idx="81">
                  <c:v>1.9780598178141141E-3</c:v>
                </c:pt>
                <c:pt idx="82">
                  <c:v>1.9780598178141141E-3</c:v>
                </c:pt>
                <c:pt idx="83">
                  <c:v>1.9780598178141141E-3</c:v>
                </c:pt>
                <c:pt idx="84">
                  <c:v>1.9780598178141141E-3</c:v>
                </c:pt>
                <c:pt idx="85">
                  <c:v>1.9780598178141141E-3</c:v>
                </c:pt>
                <c:pt idx="86">
                  <c:v>1.9780598178141141E-3</c:v>
                </c:pt>
                <c:pt idx="87">
                  <c:v>1.9780598178141141E-3</c:v>
                </c:pt>
                <c:pt idx="88">
                  <c:v>1.9780598178141141E-3</c:v>
                </c:pt>
                <c:pt idx="89">
                  <c:v>1.9780598178141141E-3</c:v>
                </c:pt>
                <c:pt idx="90">
                  <c:v>1.9780598178141141E-3</c:v>
                </c:pt>
                <c:pt idx="91">
                  <c:v>1.9780598178141141E-3</c:v>
                </c:pt>
                <c:pt idx="92">
                  <c:v>1.9780598178141141E-3</c:v>
                </c:pt>
                <c:pt idx="93">
                  <c:v>1.9780598178141141E-3</c:v>
                </c:pt>
                <c:pt idx="94">
                  <c:v>1.9780598178141141E-3</c:v>
                </c:pt>
                <c:pt idx="95">
                  <c:v>1.9780598178141141E-3</c:v>
                </c:pt>
                <c:pt idx="96">
                  <c:v>1.8407999595788545E-3</c:v>
                </c:pt>
                <c:pt idx="97">
                  <c:v>2.0857030881208044E-3</c:v>
                </c:pt>
                <c:pt idx="98">
                  <c:v>2.0857030881208044E-3</c:v>
                </c:pt>
                <c:pt idx="99">
                  <c:v>2.0857030881208044E-3</c:v>
                </c:pt>
                <c:pt idx="100">
                  <c:v>2.0857030881208044E-3</c:v>
                </c:pt>
                <c:pt idx="101">
                  <c:v>2.0857030881208044E-3</c:v>
                </c:pt>
                <c:pt idx="102">
                  <c:v>2.0857030881208044E-3</c:v>
                </c:pt>
                <c:pt idx="103">
                  <c:v>2.0857030881208044E-3</c:v>
                </c:pt>
                <c:pt idx="104">
                  <c:v>2.0857030881208044E-3</c:v>
                </c:pt>
                <c:pt idx="105">
                  <c:v>2.0857030881208044E-3</c:v>
                </c:pt>
                <c:pt idx="106">
                  <c:v>2.0857030881208044E-3</c:v>
                </c:pt>
                <c:pt idx="107">
                  <c:v>2.0857030881208044E-3</c:v>
                </c:pt>
                <c:pt idx="108">
                  <c:v>2.0857030881208044E-3</c:v>
                </c:pt>
                <c:pt idx="109">
                  <c:v>2.0857030881208044E-3</c:v>
                </c:pt>
                <c:pt idx="110">
                  <c:v>2.0857030881208044E-3</c:v>
                </c:pt>
                <c:pt idx="111">
                  <c:v>2.0857030881208044E-3</c:v>
                </c:pt>
                <c:pt idx="112">
                  <c:v>2.0857030881208044E-3</c:v>
                </c:pt>
                <c:pt idx="113">
                  <c:v>2.0857030881208044E-3</c:v>
                </c:pt>
                <c:pt idx="114">
                  <c:v>2.0857030881208044E-3</c:v>
                </c:pt>
                <c:pt idx="115">
                  <c:v>2.0857030881208044E-3</c:v>
                </c:pt>
                <c:pt idx="116">
                  <c:v>2.0857030881208044E-3</c:v>
                </c:pt>
                <c:pt idx="117">
                  <c:v>2.0857030881208044E-3</c:v>
                </c:pt>
                <c:pt idx="118">
                  <c:v>2.0857030881208044E-3</c:v>
                </c:pt>
                <c:pt idx="119">
                  <c:v>2.0857030881208044E-3</c:v>
                </c:pt>
                <c:pt idx="120">
                  <c:v>2.0857030881208044E-3</c:v>
                </c:pt>
                <c:pt idx="121">
                  <c:v>2.0857030881208044E-3</c:v>
                </c:pt>
                <c:pt idx="122">
                  <c:v>2.0857030881208044E-3</c:v>
                </c:pt>
                <c:pt idx="123">
                  <c:v>2.0857030881208044E-3</c:v>
                </c:pt>
                <c:pt idx="124">
                  <c:v>2.0857030881208044E-3</c:v>
                </c:pt>
                <c:pt idx="125">
                  <c:v>2.0857030881208044E-3</c:v>
                </c:pt>
                <c:pt idx="126">
                  <c:v>2.0857030881208044E-3</c:v>
                </c:pt>
                <c:pt idx="127">
                  <c:v>2.0857030881208044E-3</c:v>
                </c:pt>
                <c:pt idx="128">
                  <c:v>2.0857030881208044E-3</c:v>
                </c:pt>
                <c:pt idx="129">
                  <c:v>2.0857030881208044E-3</c:v>
                </c:pt>
                <c:pt idx="130">
                  <c:v>2.0857030881208044E-3</c:v>
                </c:pt>
                <c:pt idx="131">
                  <c:v>2.0857030881208044E-3</c:v>
                </c:pt>
                <c:pt idx="132">
                  <c:v>2.0857030881208044E-3</c:v>
                </c:pt>
                <c:pt idx="133">
                  <c:v>2.0857030881208044E-3</c:v>
                </c:pt>
                <c:pt idx="134">
                  <c:v>2.0857030881208044E-3</c:v>
                </c:pt>
                <c:pt idx="135">
                  <c:v>2.0857030881208044E-3</c:v>
                </c:pt>
                <c:pt idx="136">
                  <c:v>2.0857030881208044E-3</c:v>
                </c:pt>
                <c:pt idx="137">
                  <c:v>2.0857030881208044E-3</c:v>
                </c:pt>
                <c:pt idx="138">
                  <c:v>2.0857030881208044E-3</c:v>
                </c:pt>
                <c:pt idx="139">
                  <c:v>2.0857030881208044E-3</c:v>
                </c:pt>
                <c:pt idx="140">
                  <c:v>2.0857030881208044E-3</c:v>
                </c:pt>
                <c:pt idx="141">
                  <c:v>2.0857030881208044E-3</c:v>
                </c:pt>
                <c:pt idx="142">
                  <c:v>2.0857030881208044E-3</c:v>
                </c:pt>
                <c:pt idx="143">
                  <c:v>2.0857030881208044E-3</c:v>
                </c:pt>
                <c:pt idx="144">
                  <c:v>2.0857030881208044E-3</c:v>
                </c:pt>
                <c:pt idx="145">
                  <c:v>2.0857030881208044E-3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4.942374684030991E-4</c:v>
                </c:pt>
                <c:pt idx="35">
                  <c:v>4.942374684030991E-4</c:v>
                </c:pt>
                <c:pt idx="36">
                  <c:v>4.942374684030991E-4</c:v>
                </c:pt>
                <c:pt idx="37">
                  <c:v>4.942374684030991E-4</c:v>
                </c:pt>
                <c:pt idx="38">
                  <c:v>4.942374684030991E-4</c:v>
                </c:pt>
                <c:pt idx="39">
                  <c:v>4.942374684030991E-4</c:v>
                </c:pt>
                <c:pt idx="40">
                  <c:v>4.942374684030991E-4</c:v>
                </c:pt>
                <c:pt idx="41">
                  <c:v>4.942374684030991E-4</c:v>
                </c:pt>
                <c:pt idx="42">
                  <c:v>4.942374684030991E-4</c:v>
                </c:pt>
                <c:pt idx="43">
                  <c:v>4.942374684030991E-4</c:v>
                </c:pt>
                <c:pt idx="44">
                  <c:v>4.942374684030991E-4</c:v>
                </c:pt>
                <c:pt idx="45">
                  <c:v>4.942374684030991E-4</c:v>
                </c:pt>
                <c:pt idx="46">
                  <c:v>4.942374684030991E-4</c:v>
                </c:pt>
                <c:pt idx="47">
                  <c:v>4.942374684030991E-4</c:v>
                </c:pt>
                <c:pt idx="48">
                  <c:v>4.942374684030991E-4</c:v>
                </c:pt>
                <c:pt idx="49">
                  <c:v>4.942374684030991E-4</c:v>
                </c:pt>
                <c:pt idx="50">
                  <c:v>4.942374684030991E-4</c:v>
                </c:pt>
                <c:pt idx="51">
                  <c:v>4.942374684030991E-4</c:v>
                </c:pt>
                <c:pt idx="52">
                  <c:v>4.942374684030991E-4</c:v>
                </c:pt>
                <c:pt idx="53">
                  <c:v>4.942374684030991E-4</c:v>
                </c:pt>
                <c:pt idx="54">
                  <c:v>4.942374684030991E-4</c:v>
                </c:pt>
                <c:pt idx="55">
                  <c:v>4.942374684030991E-4</c:v>
                </c:pt>
                <c:pt idx="56">
                  <c:v>4.942374684030991E-4</c:v>
                </c:pt>
                <c:pt idx="57">
                  <c:v>4.942374684030991E-4</c:v>
                </c:pt>
                <c:pt idx="58">
                  <c:v>4.942374684030991E-4</c:v>
                </c:pt>
                <c:pt idx="59">
                  <c:v>4.942374684030991E-4</c:v>
                </c:pt>
                <c:pt idx="60">
                  <c:v>4.942374684030991E-4</c:v>
                </c:pt>
                <c:pt idx="61">
                  <c:v>4.942374684030991E-4</c:v>
                </c:pt>
                <c:pt idx="62">
                  <c:v>4.942374684030991E-4</c:v>
                </c:pt>
                <c:pt idx="63">
                  <c:v>4.942374684030991E-4</c:v>
                </c:pt>
                <c:pt idx="64">
                  <c:v>4.942374684030991E-4</c:v>
                </c:pt>
                <c:pt idx="65">
                  <c:v>4.942374684030991E-4</c:v>
                </c:pt>
                <c:pt idx="66">
                  <c:v>4.942374684030991E-4</c:v>
                </c:pt>
                <c:pt idx="67">
                  <c:v>4.942374684030991E-4</c:v>
                </c:pt>
                <c:pt idx="68">
                  <c:v>4.942374684030991E-4</c:v>
                </c:pt>
                <c:pt idx="69">
                  <c:v>4.942374684030991E-4</c:v>
                </c:pt>
                <c:pt idx="70">
                  <c:v>4.942374684030991E-4</c:v>
                </c:pt>
                <c:pt idx="71">
                  <c:v>4.942374684030991E-4</c:v>
                </c:pt>
                <c:pt idx="72">
                  <c:v>4.942374684030991E-4</c:v>
                </c:pt>
                <c:pt idx="73">
                  <c:v>1.9780598178141141E-3</c:v>
                </c:pt>
                <c:pt idx="74">
                  <c:v>1.9780598178141141E-3</c:v>
                </c:pt>
                <c:pt idx="75">
                  <c:v>1.9780598178141141E-3</c:v>
                </c:pt>
                <c:pt idx="76">
                  <c:v>1.9780598178141141E-3</c:v>
                </c:pt>
                <c:pt idx="77">
                  <c:v>1.9780598178141141E-3</c:v>
                </c:pt>
                <c:pt idx="78">
                  <c:v>1.9780598178141141E-3</c:v>
                </c:pt>
                <c:pt idx="79">
                  <c:v>1.9780598178141141E-3</c:v>
                </c:pt>
                <c:pt idx="80">
                  <c:v>1.9780598178141141E-3</c:v>
                </c:pt>
                <c:pt idx="81">
                  <c:v>1.9780598178141141E-3</c:v>
                </c:pt>
                <c:pt idx="82">
                  <c:v>1.9780598178141141E-3</c:v>
                </c:pt>
                <c:pt idx="83">
                  <c:v>1.9780598178141141E-3</c:v>
                </c:pt>
                <c:pt idx="84">
                  <c:v>1.9780598178141141E-3</c:v>
                </c:pt>
                <c:pt idx="85">
                  <c:v>1.9780598178141141E-3</c:v>
                </c:pt>
                <c:pt idx="86">
                  <c:v>1.9780598178141141E-3</c:v>
                </c:pt>
                <c:pt idx="87">
                  <c:v>1.9780598178141141E-3</c:v>
                </c:pt>
                <c:pt idx="88">
                  <c:v>1.9780598178141141E-3</c:v>
                </c:pt>
                <c:pt idx="89">
                  <c:v>1.9780598178141141E-3</c:v>
                </c:pt>
                <c:pt idx="90">
                  <c:v>1.9780598178141141E-3</c:v>
                </c:pt>
                <c:pt idx="91">
                  <c:v>1.9780598178141141E-3</c:v>
                </c:pt>
                <c:pt idx="92">
                  <c:v>1.9780598178141141E-3</c:v>
                </c:pt>
                <c:pt idx="93">
                  <c:v>1.9780598178141141E-3</c:v>
                </c:pt>
                <c:pt idx="94">
                  <c:v>1.9780598178141141E-3</c:v>
                </c:pt>
                <c:pt idx="95">
                  <c:v>1.9780598178141141E-3</c:v>
                </c:pt>
                <c:pt idx="96">
                  <c:v>1.8407999595788545E-3</c:v>
                </c:pt>
                <c:pt idx="97">
                  <c:v>2.0857030881208044E-3</c:v>
                </c:pt>
                <c:pt idx="98">
                  <c:v>2.0857030881208044E-3</c:v>
                </c:pt>
                <c:pt idx="99">
                  <c:v>2.0857030881208044E-3</c:v>
                </c:pt>
                <c:pt idx="100">
                  <c:v>2.0857030881208044E-3</c:v>
                </c:pt>
                <c:pt idx="101">
                  <c:v>2.0857030881208044E-3</c:v>
                </c:pt>
                <c:pt idx="102">
                  <c:v>2.0857030881208044E-3</c:v>
                </c:pt>
                <c:pt idx="103">
                  <c:v>2.0857030881208044E-3</c:v>
                </c:pt>
                <c:pt idx="104">
                  <c:v>2.0857030881208044E-3</c:v>
                </c:pt>
                <c:pt idx="105">
                  <c:v>2.0857030881208044E-3</c:v>
                </c:pt>
                <c:pt idx="106">
                  <c:v>2.0857030881208044E-3</c:v>
                </c:pt>
                <c:pt idx="107">
                  <c:v>2.0857030881208044E-3</c:v>
                </c:pt>
                <c:pt idx="108">
                  <c:v>2.0857030881208044E-3</c:v>
                </c:pt>
                <c:pt idx="109">
                  <c:v>2.0857030881208044E-3</c:v>
                </c:pt>
                <c:pt idx="110">
                  <c:v>2.0857030881208044E-3</c:v>
                </c:pt>
                <c:pt idx="111">
                  <c:v>2.0857030881208044E-3</c:v>
                </c:pt>
                <c:pt idx="112">
                  <c:v>2.0857030881208044E-3</c:v>
                </c:pt>
                <c:pt idx="113">
                  <c:v>2.0857030881208044E-3</c:v>
                </c:pt>
                <c:pt idx="114">
                  <c:v>2.0857030881208044E-3</c:v>
                </c:pt>
                <c:pt idx="115">
                  <c:v>2.0857030881208044E-3</c:v>
                </c:pt>
                <c:pt idx="116">
                  <c:v>2.0857030881208044E-3</c:v>
                </c:pt>
                <c:pt idx="117">
                  <c:v>2.0857030881208044E-3</c:v>
                </c:pt>
                <c:pt idx="118">
                  <c:v>2.0857030881208044E-3</c:v>
                </c:pt>
                <c:pt idx="119">
                  <c:v>2.0857030881208044E-3</c:v>
                </c:pt>
                <c:pt idx="120">
                  <c:v>2.0857030881208044E-3</c:v>
                </c:pt>
                <c:pt idx="121">
                  <c:v>2.0857030881208044E-3</c:v>
                </c:pt>
                <c:pt idx="122">
                  <c:v>2.0857030881208044E-3</c:v>
                </c:pt>
                <c:pt idx="123">
                  <c:v>2.0857030881208044E-3</c:v>
                </c:pt>
                <c:pt idx="124">
                  <c:v>2.0857030881208044E-3</c:v>
                </c:pt>
                <c:pt idx="125">
                  <c:v>2.0857030881208044E-3</c:v>
                </c:pt>
                <c:pt idx="126">
                  <c:v>2.0857030881208044E-3</c:v>
                </c:pt>
                <c:pt idx="127">
                  <c:v>2.0857030881208044E-3</c:v>
                </c:pt>
                <c:pt idx="128">
                  <c:v>2.0857030881208044E-3</c:v>
                </c:pt>
                <c:pt idx="129">
                  <c:v>2.0857030881208044E-3</c:v>
                </c:pt>
                <c:pt idx="130">
                  <c:v>2.0857030881208044E-3</c:v>
                </c:pt>
                <c:pt idx="131">
                  <c:v>2.0857030881208044E-3</c:v>
                </c:pt>
                <c:pt idx="132">
                  <c:v>2.0857030881208044E-3</c:v>
                </c:pt>
                <c:pt idx="133">
                  <c:v>2.0857030881208044E-3</c:v>
                </c:pt>
                <c:pt idx="134">
                  <c:v>2.0857030881208044E-3</c:v>
                </c:pt>
                <c:pt idx="135">
                  <c:v>2.0857030881208044E-3</c:v>
                </c:pt>
                <c:pt idx="136">
                  <c:v>2.0857030881208044E-3</c:v>
                </c:pt>
                <c:pt idx="137">
                  <c:v>2.0857030881208044E-3</c:v>
                </c:pt>
                <c:pt idx="138">
                  <c:v>2.0857030881208044E-3</c:v>
                </c:pt>
                <c:pt idx="139">
                  <c:v>2.0857030881208044E-3</c:v>
                </c:pt>
                <c:pt idx="140">
                  <c:v>2.0857030881208044E-3</c:v>
                </c:pt>
                <c:pt idx="141">
                  <c:v>2.0857030881208044E-3</c:v>
                </c:pt>
                <c:pt idx="142">
                  <c:v>2.0857030881208044E-3</c:v>
                </c:pt>
                <c:pt idx="143">
                  <c:v>2.0857030881208044E-3</c:v>
                </c:pt>
                <c:pt idx="144">
                  <c:v>2.0857030881208044E-3</c:v>
                </c:pt>
                <c:pt idx="145">
                  <c:v>2.0857030881208044E-3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workbookViewId="0">
      <selection sqref="A1:AG1048576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10</v>
      </c>
      <c r="C1" s="3" t="s">
        <v>11</v>
      </c>
      <c r="D1" s="4" t="s">
        <v>12</v>
      </c>
      <c r="E1" s="4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3" t="s">
        <v>26</v>
      </c>
      <c r="S1" s="3" t="s">
        <v>27</v>
      </c>
      <c r="T1" s="3" t="s">
        <v>28</v>
      </c>
      <c r="U1" s="4" t="s">
        <v>29</v>
      </c>
      <c r="V1" s="4" t="s">
        <v>30</v>
      </c>
      <c r="W1" s="4" t="s">
        <v>31</v>
      </c>
      <c r="X1" s="5" t="s">
        <v>32</v>
      </c>
      <c r="Y1" s="5" t="s">
        <v>33</v>
      </c>
      <c r="Z1" s="5" t="s">
        <v>34</v>
      </c>
      <c r="AA1" s="5" t="s">
        <v>35</v>
      </c>
      <c r="AB1" s="3" t="s">
        <v>36</v>
      </c>
      <c r="AC1" s="3" t="s">
        <v>37</v>
      </c>
      <c r="AD1" s="3" t="s">
        <v>38</v>
      </c>
      <c r="AE1" s="4" t="s">
        <v>39</v>
      </c>
      <c r="AF1" s="4" t="s">
        <v>40</v>
      </c>
      <c r="AG1" s="4" t="s">
        <v>41</v>
      </c>
      <c r="BG1" s="6"/>
      <c r="BH1" s="6"/>
      <c r="BI1" s="6"/>
      <c r="BJ1" s="7">
        <f>BJ167</f>
        <v>2.0857030881208044E-3</v>
      </c>
      <c r="BS1" s="6"/>
      <c r="BT1" s="6"/>
      <c r="BU1" s="6"/>
      <c r="BV1" s="7">
        <f>BV167</f>
        <v>0</v>
      </c>
      <c r="BY1" s="7">
        <f>BY167</f>
        <v>2.0857030881208044E-3</v>
      </c>
    </row>
    <row r="2" spans="1:77" x14ac:dyDescent="0.3">
      <c r="A2" s="1">
        <v>46024</v>
      </c>
      <c r="B2" s="8">
        <v>55.86</v>
      </c>
      <c r="C2" s="8">
        <v>187.22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55.86</v>
      </c>
      <c r="M2" s="8">
        <v>187.22</v>
      </c>
      <c r="N2" s="10">
        <v>3.3515932688865</v>
      </c>
      <c r="O2" s="10">
        <v>3.3517078484942102</v>
      </c>
      <c r="X2" s="10">
        <v>3.3515932688865</v>
      </c>
      <c r="Y2" s="10">
        <v>3.3517078484942102</v>
      </c>
    </row>
    <row r="3" spans="1:77" x14ac:dyDescent="0.3">
      <c r="A3" s="1">
        <v>46027</v>
      </c>
      <c r="B3" s="8">
        <v>55.32</v>
      </c>
      <c r="C3" s="8">
        <v>185.45</v>
      </c>
      <c r="D3" s="9">
        <v>-9.7140537204732091E-3</v>
      </c>
      <c r="E3" s="9">
        <v>-9.4990920079988592E-3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55.32</v>
      </c>
      <c r="M3" s="8">
        <v>185.45</v>
      </c>
      <c r="N3" s="10">
        <v>3.35231381055676</v>
      </c>
      <c r="O3" s="10">
        <v>3.3517078484942102</v>
      </c>
      <c r="R3" s="8">
        <v>185.41647817869901</v>
      </c>
      <c r="U3" s="9">
        <v>-1.8077568809153101E-4</v>
      </c>
      <c r="X3" s="10">
        <v>3.35231381055676</v>
      </c>
      <c r="Y3" s="10">
        <v>3.3517078484942102</v>
      </c>
      <c r="AB3" s="8">
        <v>185.41647817869901</v>
      </c>
      <c r="AE3" s="9">
        <v>-1.8077568809153101E-4</v>
      </c>
    </row>
    <row r="4" spans="1:77" x14ac:dyDescent="0.3">
      <c r="A4" s="1">
        <v>46028</v>
      </c>
      <c r="B4" s="8">
        <v>55.62</v>
      </c>
      <c r="C4" s="8">
        <v>186.42</v>
      </c>
      <c r="D4" s="9">
        <v>5.4083420092612298E-3</v>
      </c>
      <c r="E4" s="9">
        <v>5.2168886974112601E-3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55.62</v>
      </c>
      <c r="M4" s="8">
        <v>186.42</v>
      </c>
      <c r="N4" s="10">
        <v>3.3516720604099199</v>
      </c>
      <c r="O4" s="10">
        <v>3.3517078484942102</v>
      </c>
      <c r="R4" s="8">
        <v>186.42199053324799</v>
      </c>
      <c r="U4" s="9">
        <v>1.0677623758431801E-5</v>
      </c>
      <c r="X4" s="10">
        <v>3.3516720604099199</v>
      </c>
      <c r="Y4" s="10">
        <v>3.3517078484942102</v>
      </c>
      <c r="AB4" s="8">
        <v>186.42199053324799</v>
      </c>
      <c r="AE4" s="9">
        <v>1.0677623758431801E-5</v>
      </c>
    </row>
    <row r="5" spans="1:77" x14ac:dyDescent="0.3">
      <c r="A5" s="1">
        <v>46029</v>
      </c>
      <c r="B5" s="8">
        <v>54.35</v>
      </c>
      <c r="C5" s="8">
        <v>182.18</v>
      </c>
      <c r="D5" s="9">
        <v>-2.30982352386002E-2</v>
      </c>
      <c r="E5" s="9">
        <v>-2.30069833163471E-2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54.35</v>
      </c>
      <c r="M5" s="8">
        <v>182.18</v>
      </c>
      <c r="N5" s="10">
        <v>3.3519779208831602</v>
      </c>
      <c r="O5" s="10">
        <v>3.3517078484942102</v>
      </c>
      <c r="R5" s="8">
        <v>182.16532156566001</v>
      </c>
      <c r="U5" s="9">
        <v>-8.0574298494661502E-5</v>
      </c>
      <c r="X5" s="10">
        <v>3.3519779208831602</v>
      </c>
      <c r="Y5" s="10">
        <v>3.3517078484942102</v>
      </c>
      <c r="AB5" s="8">
        <v>182.16532156566001</v>
      </c>
      <c r="AE5" s="9">
        <v>-8.0574298494661502E-5</v>
      </c>
    </row>
    <row r="6" spans="1:77" x14ac:dyDescent="0.3">
      <c r="A6" s="1">
        <v>46030</v>
      </c>
      <c r="B6" s="8">
        <v>54.52</v>
      </c>
      <c r="C6" s="8">
        <v>182.68</v>
      </c>
      <c r="D6" s="9">
        <v>3.1229932611133598E-3</v>
      </c>
      <c r="E6" s="9">
        <v>2.7407790001344398E-3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54.52</v>
      </c>
      <c r="M6" s="8">
        <v>182.68</v>
      </c>
      <c r="N6" s="10">
        <v>3.3506969919295599</v>
      </c>
      <c r="O6" s="10">
        <v>3.3517078484942102</v>
      </c>
      <c r="R6" s="8">
        <v>182.73511189990401</v>
      </c>
      <c r="U6" s="9">
        <v>3.0163996248430003E-4</v>
      </c>
      <c r="X6" s="10">
        <v>3.3506969919295599</v>
      </c>
      <c r="Y6" s="10">
        <v>3.3517078484942102</v>
      </c>
      <c r="AB6" s="8">
        <v>182.73511189990401</v>
      </c>
      <c r="AE6" s="9">
        <v>3.0163996248430003E-4</v>
      </c>
    </row>
    <row r="7" spans="1:77" x14ac:dyDescent="0.3">
      <c r="A7" s="1">
        <v>46031</v>
      </c>
      <c r="B7" s="8">
        <v>55.15</v>
      </c>
      <c r="C7" s="8">
        <v>184.95</v>
      </c>
      <c r="D7" s="9">
        <v>1.14891388711796E-2</v>
      </c>
      <c r="E7" s="9">
        <v>1.23495299616646E-2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55.15</v>
      </c>
      <c r="M7" s="8">
        <v>184.95</v>
      </c>
      <c r="N7" s="10">
        <v>3.35358114233907</v>
      </c>
      <c r="O7" s="10">
        <v>3.3517078484942102</v>
      </c>
      <c r="R7" s="8">
        <v>184.846687844455</v>
      </c>
      <c r="U7" s="9">
        <v>-5.5875112800077395E-4</v>
      </c>
      <c r="X7" s="10">
        <v>3.35358114233907</v>
      </c>
      <c r="Y7" s="10">
        <v>3.3517078484942102</v>
      </c>
      <c r="AB7" s="8">
        <v>184.846687844455</v>
      </c>
      <c r="AE7" s="9">
        <v>-5.5875112800077395E-4</v>
      </c>
    </row>
    <row r="8" spans="1:77" x14ac:dyDescent="0.3">
      <c r="A8" s="1">
        <v>46034</v>
      </c>
      <c r="B8" s="8">
        <v>55.28</v>
      </c>
      <c r="C8" s="8">
        <v>185.21</v>
      </c>
      <c r="D8" s="9">
        <v>2.3544337599029101E-3</v>
      </c>
      <c r="E8" s="9">
        <v>1.40479815624734E-3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55.28</v>
      </c>
      <c r="M8" s="8">
        <v>185.21</v>
      </c>
      <c r="N8" s="10">
        <v>3.3503979739507899</v>
      </c>
      <c r="O8" s="10">
        <v>3.3517078484942102</v>
      </c>
      <c r="R8" s="8">
        <v>185.28240986476001</v>
      </c>
      <c r="U8" s="9">
        <v>3.9088447565493399E-4</v>
      </c>
      <c r="X8" s="10">
        <v>3.3503979739507899</v>
      </c>
      <c r="Y8" s="10">
        <v>3.3517078484942102</v>
      </c>
      <c r="AB8" s="8">
        <v>185.28240986476001</v>
      </c>
      <c r="AE8" s="9">
        <v>3.9088447565493399E-4</v>
      </c>
    </row>
    <row r="9" spans="1:77" x14ac:dyDescent="0.3">
      <c r="A9" s="1">
        <v>46035</v>
      </c>
      <c r="B9" s="8">
        <v>55.62</v>
      </c>
      <c r="C9" s="8">
        <v>186.37</v>
      </c>
      <c r="D9" s="9">
        <v>6.1316693464041798E-3</v>
      </c>
      <c r="E9" s="9">
        <v>6.2436286578634401E-3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55.62</v>
      </c>
      <c r="M9" s="8">
        <v>186.37</v>
      </c>
      <c r="N9" s="10">
        <v>3.3507731032002801</v>
      </c>
      <c r="O9" s="10">
        <v>3.3517078484942102</v>
      </c>
      <c r="R9" s="8">
        <v>186.42199053324799</v>
      </c>
      <c r="U9" s="9">
        <v>2.7892516419576898E-4</v>
      </c>
      <c r="X9" s="10">
        <v>3.3507731032002801</v>
      </c>
      <c r="Y9" s="10">
        <v>3.3517078484942102</v>
      </c>
      <c r="AB9" s="8">
        <v>186.42199053324799</v>
      </c>
      <c r="AE9" s="9">
        <v>2.7892516419576898E-4</v>
      </c>
      <c r="BJ9" s="12">
        <f>AVERAGE(BI22:BI200)</f>
        <v>1.4285637589868524E-5</v>
      </c>
      <c r="BV9" s="12">
        <f>AVERAGE(BU22:BU200)</f>
        <v>0</v>
      </c>
      <c r="BY9" s="12">
        <f>AVERAGE(BX22:BX200)</f>
        <v>1.4285637589868524E-5</v>
      </c>
    </row>
    <row r="10" spans="1:77" x14ac:dyDescent="0.3">
      <c r="A10" s="1">
        <v>46036</v>
      </c>
      <c r="B10" s="8">
        <v>56.01</v>
      </c>
      <c r="C10" s="8">
        <v>187.64</v>
      </c>
      <c r="D10" s="9">
        <v>6.9873974159221901E-3</v>
      </c>
      <c r="E10" s="9">
        <v>6.79128836768345E-3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56.01</v>
      </c>
      <c r="M10" s="8">
        <v>187.64</v>
      </c>
      <c r="N10" s="10">
        <v>3.3501160507052301</v>
      </c>
      <c r="O10" s="10">
        <v>3.3517078484942102</v>
      </c>
      <c r="R10" s="8">
        <v>187.72915659416</v>
      </c>
      <c r="U10" s="9">
        <v>4.7503421243437298E-4</v>
      </c>
      <c r="X10" s="10">
        <v>3.3501160507052301</v>
      </c>
      <c r="Y10" s="10">
        <v>3.3517078484942102</v>
      </c>
      <c r="AB10" s="8">
        <v>187.72915659416</v>
      </c>
      <c r="AE10" s="9">
        <v>4.7503421243437298E-4</v>
      </c>
      <c r="AZ10" s="13"/>
      <c r="BJ10" s="12">
        <f>STDEV(BI22:BI200)</f>
        <v>1.3117562989604654E-4</v>
      </c>
      <c r="BL10" s="13"/>
      <c r="BV10" s="12">
        <f>STDEV(BU22:BU200)</f>
        <v>0</v>
      </c>
      <c r="BY10" s="12">
        <f>STDEV(BX22:BX200)</f>
        <v>1.3117562989604654E-4</v>
      </c>
    </row>
    <row r="11" spans="1:77" x14ac:dyDescent="0.3">
      <c r="A11" s="1">
        <v>46037</v>
      </c>
      <c r="B11" s="8">
        <v>56.63</v>
      </c>
      <c r="C11" s="8">
        <v>189.71</v>
      </c>
      <c r="D11" s="9">
        <v>1.1008633903972701E-2</v>
      </c>
      <c r="E11" s="9">
        <v>1.09713569041967E-2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56.63</v>
      </c>
      <c r="M11" s="8">
        <v>189.71</v>
      </c>
      <c r="N11" s="10">
        <v>3.3499911707575398</v>
      </c>
      <c r="O11" s="10">
        <v>3.3517078484942102</v>
      </c>
      <c r="P11" s="10">
        <v>3.3513113493618798</v>
      </c>
      <c r="R11" s="8">
        <v>189.80721546022701</v>
      </c>
      <c r="U11" s="9">
        <v>5.1231121221039899E-4</v>
      </c>
      <c r="X11" s="10">
        <v>3.3499911707575398</v>
      </c>
      <c r="Y11" s="10">
        <v>3.3517078484942102</v>
      </c>
      <c r="Z11" s="10">
        <v>3.3513113493618798</v>
      </c>
      <c r="AB11" s="8">
        <v>189.80721546022701</v>
      </c>
      <c r="AE11" s="9">
        <v>5.1231121221039899E-4</v>
      </c>
      <c r="BJ11">
        <f>SQRT(252)*BJ9/BJ10</f>
        <v>1.7288079079661751</v>
      </c>
      <c r="BV11" t="e">
        <f>SQRT(252)*BV9/BV10</f>
        <v>#DIV/0!</v>
      </c>
      <c r="BY11">
        <f>SQRT(252)*BY9/BY10</f>
        <v>1.7288079079661751</v>
      </c>
    </row>
    <row r="12" spans="1:77" x14ac:dyDescent="0.3">
      <c r="A12" s="1">
        <v>46038</v>
      </c>
      <c r="B12" s="8">
        <v>56.33</v>
      </c>
      <c r="C12" s="8">
        <v>188.76</v>
      </c>
      <c r="D12" s="9">
        <v>-5.3116272190910901E-3</v>
      </c>
      <c r="E12" s="9">
        <v>-5.0202235062673699E-3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56.33</v>
      </c>
      <c r="M12" s="8">
        <v>188.76</v>
      </c>
      <c r="N12" s="10">
        <v>3.35096751287058</v>
      </c>
      <c r="O12" s="10">
        <v>3.3517078484942102</v>
      </c>
      <c r="P12" s="10">
        <v>3.3512487737602901</v>
      </c>
      <c r="R12" s="8">
        <v>188.801703105679</v>
      </c>
      <c r="S12" s="8">
        <v>188.779368309555</v>
      </c>
      <c r="U12" s="9">
        <v>2.20907499386486E-4</v>
      </c>
      <c r="V12" s="9">
        <v>1.0260286051094699E-4</v>
      </c>
      <c r="X12" s="10">
        <v>3.35096751287058</v>
      </c>
      <c r="Y12" s="10">
        <v>3.3517078484942102</v>
      </c>
      <c r="Z12" s="10">
        <v>3.3512487737602901</v>
      </c>
      <c r="AB12" s="8">
        <v>188.801703105679</v>
      </c>
      <c r="AC12" s="8">
        <v>188.779368309555</v>
      </c>
      <c r="AE12" s="9">
        <v>2.20907499386486E-4</v>
      </c>
      <c r="AF12" s="9">
        <v>1.0260286051094699E-4</v>
      </c>
    </row>
    <row r="13" spans="1:77" x14ac:dyDescent="0.3">
      <c r="A13" s="1">
        <v>46042</v>
      </c>
      <c r="B13" s="8">
        <v>55.72</v>
      </c>
      <c r="C13" s="8">
        <v>186.71</v>
      </c>
      <c r="D13" s="9">
        <v>-1.0888103995017599E-2</v>
      </c>
      <c r="E13" s="9">
        <v>-1.0919755880942199E-2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55.72</v>
      </c>
      <c r="M13" s="8">
        <v>186.71</v>
      </c>
      <c r="N13" s="10">
        <v>3.3508614501076801</v>
      </c>
      <c r="O13" s="10">
        <v>3.3517078484942102</v>
      </c>
      <c r="P13" s="10">
        <v>3.3511035377153799</v>
      </c>
      <c r="R13" s="8">
        <v>186.75716131809699</v>
      </c>
      <c r="S13" s="8">
        <v>186.73158167392299</v>
      </c>
      <c r="U13" s="9">
        <v>2.5255938531129298E-4</v>
      </c>
      <c r="V13" s="9">
        <v>1.15582597154145E-4</v>
      </c>
      <c r="X13" s="10">
        <v>3.3508614501076801</v>
      </c>
      <c r="Y13" s="10">
        <v>3.3517078484942102</v>
      </c>
      <c r="Z13" s="10">
        <v>3.3511035377153799</v>
      </c>
      <c r="AB13" s="8">
        <v>186.75716131809699</v>
      </c>
      <c r="AC13" s="8">
        <v>186.73158167392299</v>
      </c>
      <c r="AE13" s="9">
        <v>2.5255938531129298E-4</v>
      </c>
      <c r="AF13" s="9">
        <v>1.15582597154145E-4</v>
      </c>
    </row>
    <row r="14" spans="1:77" x14ac:dyDescent="0.3">
      <c r="A14" s="1">
        <v>46043</v>
      </c>
      <c r="B14" s="8">
        <v>55.87</v>
      </c>
      <c r="C14" s="8">
        <v>187.21</v>
      </c>
      <c r="D14" s="9">
        <v>2.6884145594525E-3</v>
      </c>
      <c r="E14" s="9">
        <v>2.67437044293262E-3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55.87</v>
      </c>
      <c r="M14" s="8">
        <v>187.21</v>
      </c>
      <c r="N14" s="10">
        <v>3.3508143905494898</v>
      </c>
      <c r="O14" s="10">
        <v>3.3517078484942102</v>
      </c>
      <c r="P14" s="10">
        <v>3.35101777072934</v>
      </c>
      <c r="R14" s="8">
        <v>187.25991749537101</v>
      </c>
      <c r="S14" s="8">
        <v>187.22615465215799</v>
      </c>
      <c r="U14" s="9">
        <v>2.6660350183111098E-4</v>
      </c>
      <c r="V14" s="9">
        <v>8.6287886294742698E-5</v>
      </c>
      <c r="X14" s="10">
        <v>3.3508143905494898</v>
      </c>
      <c r="Y14" s="10">
        <v>3.3517078484942102</v>
      </c>
      <c r="Z14" s="10">
        <v>3.35101777072934</v>
      </c>
      <c r="AB14" s="8">
        <v>187.25991749537101</v>
      </c>
      <c r="AC14" s="8">
        <v>187.22615465215799</v>
      </c>
      <c r="AE14" s="9">
        <v>2.6660350183111098E-4</v>
      </c>
      <c r="AF14" s="9">
        <v>8.6287886294742698E-5</v>
      </c>
    </row>
    <row r="15" spans="1:77" x14ac:dyDescent="0.3">
      <c r="A15" s="1">
        <v>46044</v>
      </c>
      <c r="B15" s="8">
        <v>55.5</v>
      </c>
      <c r="C15" s="8">
        <v>186.01</v>
      </c>
      <c r="D15" s="9">
        <v>-6.6445427186685004E-3</v>
      </c>
      <c r="E15" s="9">
        <v>-6.4305457113175701E-3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55.5</v>
      </c>
      <c r="M15" s="8">
        <v>186.01</v>
      </c>
      <c r="N15" s="10">
        <v>3.3515315315315299</v>
      </c>
      <c r="O15" s="10">
        <v>3.3517078484942102</v>
      </c>
      <c r="P15" s="10">
        <v>3.35097313179417</v>
      </c>
      <c r="R15" s="8">
        <v>186.01978559142799</v>
      </c>
      <c r="S15" s="8">
        <v>185.98148627547801</v>
      </c>
      <c r="U15" s="9">
        <v>5.2606494480023399E-5</v>
      </c>
      <c r="V15" s="9">
        <v>-1.5330310305103001E-4</v>
      </c>
      <c r="X15" s="10">
        <v>3.3515315315315299</v>
      </c>
      <c r="Y15" s="10">
        <v>3.3517078484942102</v>
      </c>
      <c r="Z15" s="10">
        <v>3.35097313179417</v>
      </c>
      <c r="AB15" s="8">
        <v>186.01978559142799</v>
      </c>
      <c r="AC15" s="8">
        <v>185.98148627547801</v>
      </c>
      <c r="AE15" s="9">
        <v>5.2606494480023399E-5</v>
      </c>
      <c r="AF15" s="9">
        <v>-1.5330310305103001E-4</v>
      </c>
    </row>
    <row r="16" spans="1:77" x14ac:dyDescent="0.3">
      <c r="A16" s="1">
        <v>46045</v>
      </c>
      <c r="B16" s="8">
        <v>55.25</v>
      </c>
      <c r="C16" s="8">
        <v>185.14</v>
      </c>
      <c r="D16" s="9">
        <v>-4.5146803545265801E-3</v>
      </c>
      <c r="E16" s="9">
        <v>-4.6881400697942801E-3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55.25</v>
      </c>
      <c r="M16" s="8">
        <v>185.14</v>
      </c>
      <c r="N16" s="10">
        <v>3.3509502262443398</v>
      </c>
      <c r="O16" s="10">
        <v>3.3517078484942102</v>
      </c>
      <c r="P16" s="10">
        <v>3.3509984552256502</v>
      </c>
      <c r="R16" s="8">
        <v>185.181858629305</v>
      </c>
      <c r="S16" s="8">
        <v>185.14126553162799</v>
      </c>
      <c r="U16" s="9">
        <v>2.2606620974779999E-4</v>
      </c>
      <c r="V16" s="9">
        <v>6.8355153026853401E-6</v>
      </c>
      <c r="X16" s="10">
        <v>3.3509502262443398</v>
      </c>
      <c r="Y16" s="10">
        <v>3.3517078484942102</v>
      </c>
      <c r="Z16" s="10">
        <v>3.3509984552256502</v>
      </c>
      <c r="AB16" s="8">
        <v>185.181858629305</v>
      </c>
      <c r="AC16" s="8">
        <v>185.14126553162799</v>
      </c>
      <c r="AE16" s="9">
        <v>2.2606620974779999E-4</v>
      </c>
      <c r="AF16" s="9">
        <v>6.8355153026853401E-6</v>
      </c>
    </row>
    <row r="17" spans="1:77" x14ac:dyDescent="0.3">
      <c r="A17" s="1">
        <v>46048</v>
      </c>
      <c r="B17" s="8">
        <v>55.61</v>
      </c>
      <c r="C17" s="8">
        <v>186.35</v>
      </c>
      <c r="D17" s="9">
        <v>6.4947008016103501E-3</v>
      </c>
      <c r="E17" s="9">
        <v>6.5143302862021701E-3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55.61</v>
      </c>
      <c r="M17" s="8">
        <v>186.35</v>
      </c>
      <c r="N17" s="10">
        <v>3.35101600431577</v>
      </c>
      <c r="O17" s="10">
        <v>3.3517078484942102</v>
      </c>
      <c r="P17" s="10">
        <v>3.3507419414233199</v>
      </c>
      <c r="R17" s="8">
        <v>186.38847345476299</v>
      </c>
      <c r="S17" s="8">
        <v>186.349024095098</v>
      </c>
      <c r="U17" s="9">
        <v>2.0643672515592099E-4</v>
      </c>
      <c r="V17" s="9">
        <v>-5.2369597886428102E-6</v>
      </c>
      <c r="X17" s="10">
        <v>3.35101600431577</v>
      </c>
      <c r="Y17" s="10">
        <v>3.3517078484942102</v>
      </c>
      <c r="Z17" s="10">
        <v>3.3507419414233199</v>
      </c>
      <c r="AB17" s="8">
        <v>186.38847345476299</v>
      </c>
      <c r="AC17" s="8">
        <v>186.349024095098</v>
      </c>
      <c r="AE17" s="9">
        <v>2.0643672515592099E-4</v>
      </c>
      <c r="AF17" s="9">
        <v>-5.2369597886428102E-6</v>
      </c>
    </row>
    <row r="18" spans="1:77" x14ac:dyDescent="0.3">
      <c r="A18" s="1">
        <v>46049</v>
      </c>
      <c r="B18" s="8">
        <v>56.32</v>
      </c>
      <c r="C18" s="8">
        <v>188.64</v>
      </c>
      <c r="D18" s="9">
        <v>1.26866706503143E-2</v>
      </c>
      <c r="E18" s="9">
        <v>1.22138108637932E-2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56.32</v>
      </c>
      <c r="M18" s="8">
        <v>188.64</v>
      </c>
      <c r="N18" s="10">
        <v>3.3494318181818099</v>
      </c>
      <c r="O18" s="10">
        <v>3.3517078484942102</v>
      </c>
      <c r="P18" s="10">
        <v>3.3506453258464202</v>
      </c>
      <c r="R18" s="8">
        <v>188.76818602719399</v>
      </c>
      <c r="S18" s="8">
        <v>188.71378614096099</v>
      </c>
      <c r="U18" s="9">
        <v>6.7929651167710999E-4</v>
      </c>
      <c r="V18" s="9">
        <v>3.9107142746216299E-4</v>
      </c>
      <c r="X18" s="10">
        <v>3.3494318181818099</v>
      </c>
      <c r="Y18" s="10">
        <v>3.3517078484942102</v>
      </c>
      <c r="Z18" s="10">
        <v>3.3506453258464202</v>
      </c>
      <c r="AB18" s="8">
        <v>188.76818602719399</v>
      </c>
      <c r="AC18" s="8">
        <v>188.71378614096099</v>
      </c>
      <c r="AE18" s="9">
        <v>6.7929651167710999E-4</v>
      </c>
      <c r="AF18" s="9">
        <v>3.9107142746216299E-4</v>
      </c>
    </row>
    <row r="19" spans="1:77" x14ac:dyDescent="0.3">
      <c r="A19" s="1">
        <v>46050</v>
      </c>
      <c r="B19" s="8">
        <v>56.21</v>
      </c>
      <c r="C19" s="8">
        <v>188.28</v>
      </c>
      <c r="D19" s="9">
        <v>-1.9550348358033502E-3</v>
      </c>
      <c r="E19" s="9">
        <v>-1.91022025611923E-3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56.21</v>
      </c>
      <c r="M19" s="8">
        <v>188.28</v>
      </c>
      <c r="N19" s="10">
        <v>3.3495819249243901</v>
      </c>
      <c r="O19" s="10">
        <v>3.3517078484942102</v>
      </c>
      <c r="P19" s="10">
        <v>3.3505262080188301</v>
      </c>
      <c r="R19" s="8">
        <v>188.39949816385899</v>
      </c>
      <c r="S19" s="8">
        <v>188.339773765827</v>
      </c>
      <c r="U19" s="9">
        <v>6.3448193199285702E-4</v>
      </c>
      <c r="V19" s="9">
        <v>3.1742234738216902E-4</v>
      </c>
      <c r="X19" s="10">
        <v>3.3495819249243901</v>
      </c>
      <c r="Y19" s="10">
        <v>3.3517078484942102</v>
      </c>
      <c r="Z19" s="10">
        <v>3.3505262080188301</v>
      </c>
      <c r="AB19" s="8">
        <v>188.39949816385899</v>
      </c>
      <c r="AC19" s="8">
        <v>188.339773765827</v>
      </c>
      <c r="AE19" s="9">
        <v>6.3448193199285702E-4</v>
      </c>
      <c r="AF19" s="9">
        <v>3.1742234738216902E-4</v>
      </c>
      <c r="BX19" s="6" t="s">
        <v>1</v>
      </c>
      <c r="BY19" s="6" t="s">
        <v>1</v>
      </c>
    </row>
    <row r="20" spans="1:77" x14ac:dyDescent="0.3">
      <c r="A20" s="1">
        <v>46051</v>
      </c>
      <c r="B20" s="8">
        <v>56.22</v>
      </c>
      <c r="C20" s="8">
        <v>188.34</v>
      </c>
      <c r="D20" s="9">
        <v>1.77888464402084E-4</v>
      </c>
      <c r="E20" s="9">
        <v>3.1862354897564801E-4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56.22</v>
      </c>
      <c r="M20" s="8">
        <v>188.34</v>
      </c>
      <c r="N20" s="10">
        <v>3.3500533617929502</v>
      </c>
      <c r="O20" s="10">
        <v>3.3517078484942102</v>
      </c>
      <c r="P20" s="10">
        <v>3.3505199391276101</v>
      </c>
      <c r="R20" s="8">
        <v>188.433015242344</v>
      </c>
      <c r="S20" s="8">
        <v>188.36658341481899</v>
      </c>
      <c r="U20" s="9">
        <v>4.9374684741930301E-4</v>
      </c>
      <c r="V20" s="9">
        <v>1.4113591868928301E-4</v>
      </c>
      <c r="X20" s="10">
        <v>3.3500533617929502</v>
      </c>
      <c r="Y20" s="10">
        <v>3.3517078484942102</v>
      </c>
      <c r="Z20" s="10">
        <v>3.3505199391276101</v>
      </c>
      <c r="AB20" s="8">
        <v>188.433015242344</v>
      </c>
      <c r="AC20" s="8">
        <v>188.36658341481899</v>
      </c>
      <c r="AE20" s="9">
        <v>4.9374684741930301E-4</v>
      </c>
      <c r="AF20" s="9">
        <v>1.4113591868928301E-4</v>
      </c>
      <c r="AZ20" s="14" t="s">
        <v>2</v>
      </c>
      <c r="BA20" s="15">
        <v>-1.1209599027042093E-3</v>
      </c>
      <c r="BB20" s="6" t="s">
        <v>3</v>
      </c>
      <c r="BC20" s="6" t="s">
        <v>4</v>
      </c>
      <c r="BD20" s="6" t="s">
        <v>5</v>
      </c>
      <c r="BE20" s="6" t="s">
        <v>6</v>
      </c>
      <c r="BF20" s="6" t="s">
        <v>7</v>
      </c>
      <c r="BG20" s="6" t="str">
        <f>D1</f>
        <v>FUTY log rtn</v>
      </c>
      <c r="BH20" s="6" t="str">
        <f>E1</f>
        <v>VPU log rtn</v>
      </c>
      <c r="BI20" s="6" t="s">
        <v>8</v>
      </c>
      <c r="BJ20" s="6" t="s">
        <v>9</v>
      </c>
      <c r="BL20" s="14" t="s">
        <v>2</v>
      </c>
      <c r="BM20" s="15">
        <v>2.2260370323622628E-3</v>
      </c>
      <c r="BN20" s="6" t="s">
        <v>4</v>
      </c>
      <c r="BO20" s="6" t="s">
        <v>3</v>
      </c>
      <c r="BP20" s="6" t="s">
        <v>5</v>
      </c>
      <c r="BQ20" s="6" t="s">
        <v>6</v>
      </c>
      <c r="BR20" s="6" t="s">
        <v>7</v>
      </c>
      <c r="BS20" s="7" t="str">
        <f>D1</f>
        <v>FUTY log rtn</v>
      </c>
      <c r="BT20" s="7" t="str">
        <f>E1</f>
        <v>VPU log rtn</v>
      </c>
      <c r="BU20" s="6" t="s">
        <v>8</v>
      </c>
      <c r="BV20" s="6" t="s">
        <v>9</v>
      </c>
      <c r="BX20" s="6" t="s">
        <v>8</v>
      </c>
      <c r="BY20" s="6" t="s">
        <v>9</v>
      </c>
    </row>
    <row r="21" spans="1:77" x14ac:dyDescent="0.3">
      <c r="A21" s="1">
        <v>46052</v>
      </c>
      <c r="B21" s="8">
        <v>56.07</v>
      </c>
      <c r="C21" s="8">
        <v>187.99</v>
      </c>
      <c r="D21" s="9">
        <v>-2.6716553428046698E-3</v>
      </c>
      <c r="E21" s="9">
        <v>-1.8600701560471001E-3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56.07</v>
      </c>
      <c r="M21" s="8">
        <v>187.99</v>
      </c>
      <c r="N21" s="10">
        <v>3.3527733190654501</v>
      </c>
      <c r="O21" s="10">
        <v>3.3517078484942102</v>
      </c>
      <c r="P21" s="10">
        <v>3.3507981539584</v>
      </c>
      <c r="Q21" s="10">
        <v>3.3510547516601399</v>
      </c>
      <c r="R21" s="8">
        <v>187.93025906507</v>
      </c>
      <c r="S21" s="8">
        <v>187.863652986885</v>
      </c>
      <c r="U21" s="9">
        <v>-3.17838339338204E-4</v>
      </c>
      <c r="V21" s="9">
        <v>-6.72320286739249E-4</v>
      </c>
      <c r="X21" s="10">
        <v>3.3527733190654501</v>
      </c>
      <c r="Y21" s="10">
        <v>3.3517078484942102</v>
      </c>
      <c r="Z21" s="10">
        <v>3.3507981539584</v>
      </c>
      <c r="AA21" s="10">
        <v>3.3510547516601399</v>
      </c>
      <c r="AB21" s="8">
        <v>187.93025906507</v>
      </c>
      <c r="AC21" s="8">
        <v>187.863652986885</v>
      </c>
      <c r="AE21" s="9">
        <v>-3.17838339338204E-4</v>
      </c>
      <c r="AF21" s="9">
        <v>-6.72320286739249E-4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55.23</v>
      </c>
      <c r="C22" s="8">
        <v>185.22</v>
      </c>
      <c r="D22" s="9">
        <v>-1.5094626222485001E-2</v>
      </c>
      <c r="E22" s="9">
        <v>-1.48444621837471E-2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55.23</v>
      </c>
      <c r="M22" s="8">
        <v>185.22</v>
      </c>
      <c r="N22" s="10">
        <v>3.3536121673003798</v>
      </c>
      <c r="O22" s="10">
        <v>3.3517078484942102</v>
      </c>
      <c r="P22" s="10">
        <v>3.3510626194013802</v>
      </c>
      <c r="Q22" s="10">
        <v>3.3511556965808298</v>
      </c>
      <c r="R22" s="8">
        <v>185.11482447233499</v>
      </c>
      <c r="S22" s="8">
        <v>185.06458204312199</v>
      </c>
      <c r="T22" s="8">
        <v>185.078753934189</v>
      </c>
      <c r="U22" s="9">
        <v>-5.68002378076163E-4</v>
      </c>
      <c r="V22" s="9">
        <v>-8.39451457290165E-4</v>
      </c>
      <c r="W22" s="9">
        <v>-7.6287630546839798E-4</v>
      </c>
      <c r="X22" s="10">
        <v>3.3536121673003798</v>
      </c>
      <c r="Y22" s="10">
        <v>3.3517078484942102</v>
      </c>
      <c r="Z22" s="10">
        <v>3.3510626194013802</v>
      </c>
      <c r="AA22" s="10">
        <v>3.3511556965808298</v>
      </c>
      <c r="AB22" s="8">
        <v>185.11482447233499</v>
      </c>
      <c r="AC22" s="8">
        <v>185.06458204312199</v>
      </c>
      <c r="AD22" s="8">
        <v>185.078753934189</v>
      </c>
      <c r="AE22" s="9">
        <v>-5.68002378076163E-4</v>
      </c>
      <c r="AF22" s="9">
        <v>-8.39451457290165E-4</v>
      </c>
      <c r="AG22" s="9">
        <v>-7.6287630546839798E-4</v>
      </c>
      <c r="AZ22" s="9"/>
      <c r="BB22">
        <f>IF($AG22&lt;BA$20,1,0)</f>
        <v>0</v>
      </c>
      <c r="BC22">
        <f>IF($AG22&gt;BA$21,1,0)</f>
        <v>0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56.06</v>
      </c>
      <c r="C23" s="8">
        <v>187.94</v>
      </c>
      <c r="D23" s="9">
        <v>1.4916261823546099E-2</v>
      </c>
      <c r="E23" s="9">
        <v>1.4578455212796E-2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56.06</v>
      </c>
      <c r="M23" s="8">
        <v>187.94</v>
      </c>
      <c r="N23" s="10">
        <v>3.35247948626471</v>
      </c>
      <c r="O23" s="10">
        <v>3.3517078484942102</v>
      </c>
      <c r="P23" s="10">
        <v>3.3512244230170798</v>
      </c>
      <c r="Q23" s="10">
        <v>3.3511639803662301</v>
      </c>
      <c r="R23" s="8">
        <v>187.896741986585</v>
      </c>
      <c r="S23" s="8">
        <v>187.860570443641</v>
      </c>
      <c r="T23" s="8">
        <v>187.865788350321</v>
      </c>
      <c r="U23" s="9">
        <v>-2.3019576732582301E-4</v>
      </c>
      <c r="V23" s="9">
        <v>-4.2272185722106001E-4</v>
      </c>
      <c r="W23" s="9">
        <v>-3.9494682063661701E-4</v>
      </c>
      <c r="X23" s="10">
        <v>3.35247948626471</v>
      </c>
      <c r="Y23" s="10">
        <v>3.3517078484942102</v>
      </c>
      <c r="Z23" s="10">
        <v>3.3512244230170798</v>
      </c>
      <c r="AA23" s="10">
        <v>3.3511639803662301</v>
      </c>
      <c r="AB23" s="8">
        <v>187.896741986585</v>
      </c>
      <c r="AC23" s="8">
        <v>187.860570443641</v>
      </c>
      <c r="AD23" s="8">
        <v>187.865788350321</v>
      </c>
      <c r="AE23" s="9">
        <v>-2.3019576732582301E-4</v>
      </c>
      <c r="AF23" s="9">
        <v>-4.2272185722106001E-4</v>
      </c>
      <c r="AG23" s="9">
        <v>-3.9494682063661701E-4</v>
      </c>
      <c r="AZ23" s="9"/>
      <c r="BB23">
        <f t="shared" ref="BB23:BB86" si="2">IF($AG23&lt;BA$20,1,0)</f>
        <v>0</v>
      </c>
      <c r="BC23">
        <f t="shared" ref="BC23:BC86" si="3">IF($AG23&gt;BA$21,1,0)</f>
        <v>0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0</v>
      </c>
      <c r="BO23">
        <f t="shared" ref="BO23:BO86" si="11">IF($AG23&lt;BM$21,1,0)</f>
        <v>1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0</v>
      </c>
      <c r="BY23" s="12">
        <f t="shared" ref="BY23:BY86" si="19">BY22+BX23</f>
        <v>0</v>
      </c>
    </row>
    <row r="24" spans="1:77" x14ac:dyDescent="0.3">
      <c r="A24" s="1">
        <v>46057</v>
      </c>
      <c r="B24" s="8">
        <v>55.79</v>
      </c>
      <c r="C24" s="8">
        <v>186.96</v>
      </c>
      <c r="D24" s="9">
        <v>-4.8279038792053098E-3</v>
      </c>
      <c r="E24" s="9">
        <v>-5.2280727243163901E-3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55.79</v>
      </c>
      <c r="M24" s="8">
        <v>186.96</v>
      </c>
      <c r="N24" s="10">
        <v>3.35113819680946</v>
      </c>
      <c r="O24" s="10">
        <v>3.3517078484942102</v>
      </c>
      <c r="P24" s="10">
        <v>3.3512568036430799</v>
      </c>
      <c r="Q24" s="10">
        <v>3.35113728718621</v>
      </c>
      <c r="R24" s="8">
        <v>186.991780867492</v>
      </c>
      <c r="S24" s="8">
        <v>186.964810560123</v>
      </c>
      <c r="T24" s="8">
        <v>186.96143846463201</v>
      </c>
      <c r="U24" s="9">
        <v>1.6997307778523899E-4</v>
      </c>
      <c r="V24" s="9">
        <v>2.5730093257091701E-5</v>
      </c>
      <c r="W24" s="9">
        <v>7.6939404071157596E-6</v>
      </c>
      <c r="X24" s="10">
        <v>3.35113819680946</v>
      </c>
      <c r="Y24" s="10">
        <v>3.3517078484942102</v>
      </c>
      <c r="Z24" s="10">
        <v>3.3512568036430799</v>
      </c>
      <c r="AA24" s="10">
        <v>3.35113728718621</v>
      </c>
      <c r="AB24" s="8">
        <v>186.991780867492</v>
      </c>
      <c r="AC24" s="8">
        <v>186.964810560123</v>
      </c>
      <c r="AD24" s="8">
        <v>186.96143846463201</v>
      </c>
      <c r="AE24" s="9">
        <v>1.6997307778523899E-4</v>
      </c>
      <c r="AF24" s="9">
        <v>2.5730093257091701E-5</v>
      </c>
      <c r="AG24" s="9">
        <v>7.6939404071157596E-6</v>
      </c>
      <c r="AZ24" s="9"/>
      <c r="BB24">
        <f t="shared" si="2"/>
        <v>0</v>
      </c>
      <c r="BC24">
        <f t="shared" si="3"/>
        <v>1</v>
      </c>
      <c r="BD24">
        <f t="shared" si="4"/>
        <v>0</v>
      </c>
      <c r="BE24">
        <f t="shared" si="0"/>
        <v>1</v>
      </c>
      <c r="BF24">
        <f t="shared" si="5"/>
        <v>0</v>
      </c>
      <c r="BG24" s="9">
        <f t="shared" si="6"/>
        <v>0</v>
      </c>
      <c r="BH24" s="9">
        <f t="shared" si="7"/>
        <v>0</v>
      </c>
      <c r="BI24" s="9">
        <f t="shared" si="8"/>
        <v>0</v>
      </c>
      <c r="BJ24" s="12">
        <f t="shared" si="9"/>
        <v>0</v>
      </c>
      <c r="BL24" s="9"/>
      <c r="BN24">
        <f t="shared" si="10"/>
        <v>0</v>
      </c>
      <c r="BO24">
        <f t="shared" si="11"/>
        <v>0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0</v>
      </c>
      <c r="BY24" s="12">
        <f t="shared" si="19"/>
        <v>0</v>
      </c>
    </row>
    <row r="25" spans="1:77" x14ac:dyDescent="0.3">
      <c r="A25" s="1">
        <v>46058</v>
      </c>
      <c r="B25" s="8">
        <v>55.82</v>
      </c>
      <c r="C25" s="8">
        <v>187.11</v>
      </c>
      <c r="D25" s="9">
        <v>5.3758625073911496E-4</v>
      </c>
      <c r="E25" s="9">
        <v>8.0198897553842902E-4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55.82</v>
      </c>
      <c r="M25" s="8">
        <v>187.11</v>
      </c>
      <c r="N25" s="10">
        <v>3.3520243640272298</v>
      </c>
      <c r="O25" s="10">
        <v>3.3517078484942102</v>
      </c>
      <c r="P25" s="10">
        <v>3.3513060868926501</v>
      </c>
      <c r="Q25" s="10">
        <v>3.3511396093434098</v>
      </c>
      <c r="R25" s="8">
        <v>187.09233210294599</v>
      </c>
      <c r="S25" s="8">
        <v>187.067154779356</v>
      </c>
      <c r="T25" s="8">
        <v>187.060483370734</v>
      </c>
      <c r="U25" s="9">
        <v>-9.44296470142011E-5</v>
      </c>
      <c r="V25" s="9">
        <v>-2.2901035129011601E-4</v>
      </c>
      <c r="W25" s="9">
        <v>-2.6467416194137698E-4</v>
      </c>
      <c r="X25" s="10">
        <v>3.3520243640272298</v>
      </c>
      <c r="Y25" s="10">
        <v>3.3517078484942102</v>
      </c>
      <c r="Z25" s="10">
        <v>3.3513060868926501</v>
      </c>
      <c r="AA25" s="10">
        <v>3.3511396093434098</v>
      </c>
      <c r="AB25" s="8">
        <v>187.09233210294599</v>
      </c>
      <c r="AC25" s="8">
        <v>187.067154779356</v>
      </c>
      <c r="AD25" s="8">
        <v>187.060483370734</v>
      </c>
      <c r="AE25" s="9">
        <v>-9.44296470142011E-5</v>
      </c>
      <c r="AF25" s="9">
        <v>-2.2901035129011601E-4</v>
      </c>
      <c r="AG25" s="9">
        <v>-2.6467416194137698E-4</v>
      </c>
      <c r="AZ25" s="9"/>
      <c r="BB25">
        <f t="shared" si="2"/>
        <v>0</v>
      </c>
      <c r="BC25">
        <f t="shared" si="3"/>
        <v>0</v>
      </c>
      <c r="BD25">
        <f t="shared" si="4"/>
        <v>0</v>
      </c>
      <c r="BE25">
        <f t="shared" si="0"/>
        <v>1</v>
      </c>
      <c r="BF25">
        <f t="shared" si="5"/>
        <v>0</v>
      </c>
      <c r="BG25" s="9">
        <f t="shared" si="6"/>
        <v>0</v>
      </c>
      <c r="BH25" s="9">
        <f t="shared" si="7"/>
        <v>0</v>
      </c>
      <c r="BI25" s="9">
        <f t="shared" si="8"/>
        <v>0</v>
      </c>
      <c r="BJ25" s="12">
        <f t="shared" si="9"/>
        <v>0</v>
      </c>
      <c r="BL25" s="9"/>
      <c r="BN25">
        <f t="shared" si="10"/>
        <v>0</v>
      </c>
      <c r="BO25">
        <f t="shared" si="11"/>
        <v>1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0</v>
      </c>
      <c r="BY25" s="12">
        <f t="shared" si="19"/>
        <v>0</v>
      </c>
    </row>
    <row r="26" spans="1:77" x14ac:dyDescent="0.3">
      <c r="A26" s="1">
        <v>46059</v>
      </c>
      <c r="B26" s="8">
        <v>56.14</v>
      </c>
      <c r="C26" s="8">
        <v>188.11</v>
      </c>
      <c r="D26" s="9">
        <v>5.7163428255602401E-3</v>
      </c>
      <c r="E26" s="9">
        <v>5.3302188987882004E-3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56.14</v>
      </c>
      <c r="M26" s="8">
        <v>188.11</v>
      </c>
      <c r="N26" s="10">
        <v>3.35073031706448</v>
      </c>
      <c r="O26" s="10">
        <v>3.3517078484942102</v>
      </c>
      <c r="P26" s="10">
        <v>3.3512840959746599</v>
      </c>
      <c r="Q26" s="10">
        <v>3.3511412756001602</v>
      </c>
      <c r="R26" s="8">
        <v>188.16487861446501</v>
      </c>
      <c r="S26" s="8">
        <v>188.14232371815299</v>
      </c>
      <c r="T26" s="8">
        <v>188.13297766853901</v>
      </c>
      <c r="U26" s="9">
        <v>2.91694279757833E-4</v>
      </c>
      <c r="V26" s="9">
        <v>1.71819367990115E-4</v>
      </c>
      <c r="W26" s="9">
        <v>1.22142710597764E-4</v>
      </c>
      <c r="X26" s="10">
        <v>3.35073031706448</v>
      </c>
      <c r="Y26" s="10">
        <v>3.3517078484942102</v>
      </c>
      <c r="Z26" s="10">
        <v>3.3512840959746599</v>
      </c>
      <c r="AA26" s="10">
        <v>3.3511412756001602</v>
      </c>
      <c r="AB26" s="8">
        <v>188.16487861446501</v>
      </c>
      <c r="AC26" s="8">
        <v>188.14232371815299</v>
      </c>
      <c r="AD26" s="8">
        <v>188.13297766853901</v>
      </c>
      <c r="AE26" s="9">
        <v>2.91694279757833E-4</v>
      </c>
      <c r="AF26" s="9">
        <v>1.71819367990115E-4</v>
      </c>
      <c r="AG26" s="9">
        <v>1.22142710597764E-4</v>
      </c>
      <c r="AZ26" s="9"/>
      <c r="BB26">
        <f t="shared" si="2"/>
        <v>0</v>
      </c>
      <c r="BC26">
        <f t="shared" si="3"/>
        <v>1</v>
      </c>
      <c r="BD26">
        <f t="shared" si="4"/>
        <v>0</v>
      </c>
      <c r="BE26">
        <f t="shared" si="0"/>
        <v>1</v>
      </c>
      <c r="BF26">
        <f t="shared" si="5"/>
        <v>0</v>
      </c>
      <c r="BG26" s="9">
        <f t="shared" si="6"/>
        <v>0</v>
      </c>
      <c r="BH26" s="9">
        <f t="shared" si="7"/>
        <v>0</v>
      </c>
      <c r="BI26" s="9">
        <f t="shared" si="8"/>
        <v>0</v>
      </c>
      <c r="BJ26" s="12">
        <f t="shared" si="9"/>
        <v>0</v>
      </c>
      <c r="BL26" s="9"/>
      <c r="BN26">
        <f t="shared" si="10"/>
        <v>0</v>
      </c>
      <c r="BO26">
        <f t="shared" si="11"/>
        <v>0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0</v>
      </c>
      <c r="BY26" s="12">
        <f t="shared" si="19"/>
        <v>0</v>
      </c>
    </row>
    <row r="27" spans="1:77" x14ac:dyDescent="0.3">
      <c r="A27" s="1">
        <v>46062</v>
      </c>
      <c r="B27" s="8">
        <v>56.3</v>
      </c>
      <c r="C27" s="8">
        <v>188.7</v>
      </c>
      <c r="D27" s="9">
        <v>2.8459642119081198E-3</v>
      </c>
      <c r="E27" s="9">
        <v>3.1315542695752401E-3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56.3</v>
      </c>
      <c r="M27" s="8">
        <v>188.7</v>
      </c>
      <c r="N27" s="10">
        <v>3.35168738898756</v>
      </c>
      <c r="O27" s="10">
        <v>3.3517078484942102</v>
      </c>
      <c r="P27" s="10">
        <v>3.3513512344418399</v>
      </c>
      <c r="Q27" s="10">
        <v>3.3510465879325801</v>
      </c>
      <c r="R27" s="8">
        <v>188.70115187022401</v>
      </c>
      <c r="S27" s="8">
        <v>188.67729460337301</v>
      </c>
      <c r="T27" s="8">
        <v>188.669253816289</v>
      </c>
      <c r="U27" s="9">
        <v>6.1042220909810397E-6</v>
      </c>
      <c r="V27" s="9">
        <v>-1.2033260600675101E-4</v>
      </c>
      <c r="W27" s="9">
        <v>-1.6295012626480699E-4</v>
      </c>
      <c r="X27" s="10">
        <v>3.35168738898756</v>
      </c>
      <c r="Y27" s="10">
        <v>3.3517078484942102</v>
      </c>
      <c r="Z27" s="10">
        <v>3.3513512344418399</v>
      </c>
      <c r="AA27" s="10">
        <v>3.3510465879325801</v>
      </c>
      <c r="AB27" s="8">
        <v>188.70115187022401</v>
      </c>
      <c r="AC27" s="8">
        <v>188.67729460337301</v>
      </c>
      <c r="AD27" s="8">
        <v>188.669253816289</v>
      </c>
      <c r="AE27" s="9">
        <v>6.1042220909810397E-6</v>
      </c>
      <c r="AF27" s="9">
        <v>-1.2033260600675101E-4</v>
      </c>
      <c r="AG27" s="9">
        <v>-1.6295012626480699E-4</v>
      </c>
      <c r="AZ27" s="9"/>
      <c r="BB27">
        <f t="shared" si="2"/>
        <v>0</v>
      </c>
      <c r="BC27">
        <f t="shared" si="3"/>
        <v>0</v>
      </c>
      <c r="BD27">
        <f t="shared" si="4"/>
        <v>0</v>
      </c>
      <c r="BE27">
        <f t="shared" si="0"/>
        <v>1</v>
      </c>
      <c r="BF27">
        <f t="shared" si="5"/>
        <v>0</v>
      </c>
      <c r="BG27" s="9">
        <f t="shared" si="6"/>
        <v>0</v>
      </c>
      <c r="BH27" s="9">
        <f t="shared" si="7"/>
        <v>0</v>
      </c>
      <c r="BI27" s="9">
        <f t="shared" si="8"/>
        <v>0</v>
      </c>
      <c r="BJ27" s="12">
        <f t="shared" si="9"/>
        <v>0</v>
      </c>
      <c r="BL27" s="9"/>
      <c r="BN27">
        <f t="shared" si="10"/>
        <v>0</v>
      </c>
      <c r="BO27">
        <f t="shared" si="11"/>
        <v>1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0</v>
      </c>
      <c r="BX27" s="12">
        <f t="shared" si="18"/>
        <v>0</v>
      </c>
      <c r="BY27" s="12">
        <f t="shared" si="19"/>
        <v>0</v>
      </c>
    </row>
    <row r="28" spans="1:77" x14ac:dyDescent="0.3">
      <c r="A28" s="1">
        <v>46063</v>
      </c>
      <c r="B28" s="8">
        <v>57.19</v>
      </c>
      <c r="C28" s="8">
        <v>191.63</v>
      </c>
      <c r="D28" s="9">
        <v>1.5684522781580001E-2</v>
      </c>
      <c r="E28" s="9">
        <v>1.5407977105899201E-2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57.19</v>
      </c>
      <c r="M28" s="8">
        <v>191.63</v>
      </c>
      <c r="N28" s="10">
        <v>3.3507606224864399</v>
      </c>
      <c r="O28" s="10">
        <v>3.3517078484942102</v>
      </c>
      <c r="P28" s="10">
        <v>3.3514841148722998</v>
      </c>
      <c r="Q28" s="10">
        <v>3.3510647203593602</v>
      </c>
      <c r="R28" s="8">
        <v>191.68417185538399</v>
      </c>
      <c r="S28" s="8">
        <v>191.663777097729</v>
      </c>
      <c r="T28" s="8">
        <v>191.64635436386399</v>
      </c>
      <c r="U28" s="9">
        <v>2.8264989777169699E-4</v>
      </c>
      <c r="V28" s="9">
        <v>1.76246523344791E-4</v>
      </c>
      <c r="W28" s="9">
        <v>8.5339800842694098E-5</v>
      </c>
      <c r="X28" s="10">
        <v>3.3507606224864399</v>
      </c>
      <c r="Y28" s="10">
        <v>3.3517078484942102</v>
      </c>
      <c r="Z28" s="10">
        <v>3.3514841148722998</v>
      </c>
      <c r="AA28" s="10">
        <v>3.3510647203593602</v>
      </c>
      <c r="AB28" s="8">
        <v>191.68417185538399</v>
      </c>
      <c r="AC28" s="8">
        <v>191.663777097729</v>
      </c>
      <c r="AD28" s="8">
        <v>191.64635436386399</v>
      </c>
      <c r="AE28" s="9">
        <v>2.8264989777169699E-4</v>
      </c>
      <c r="AF28" s="9">
        <v>1.76246523344791E-4</v>
      </c>
      <c r="AG28" s="9">
        <v>8.5339800842694098E-5</v>
      </c>
      <c r="AZ28" s="9"/>
      <c r="BB28">
        <f t="shared" si="2"/>
        <v>0</v>
      </c>
      <c r="BC28">
        <f t="shared" si="3"/>
        <v>1</v>
      </c>
      <c r="BD28">
        <f t="shared" si="4"/>
        <v>0</v>
      </c>
      <c r="BE28">
        <f t="shared" si="0"/>
        <v>1</v>
      </c>
      <c r="BF28">
        <f t="shared" si="5"/>
        <v>0</v>
      </c>
      <c r="BG28" s="9">
        <f t="shared" si="6"/>
        <v>0</v>
      </c>
      <c r="BH28" s="9">
        <f t="shared" si="7"/>
        <v>0</v>
      </c>
      <c r="BI28" s="9">
        <f t="shared" si="8"/>
        <v>0</v>
      </c>
      <c r="BJ28" s="12">
        <f t="shared" si="9"/>
        <v>0</v>
      </c>
      <c r="BL28" s="9"/>
      <c r="BN28">
        <f t="shared" si="10"/>
        <v>0</v>
      </c>
      <c r="BO28">
        <f t="shared" si="11"/>
        <v>0</v>
      </c>
      <c r="BP28">
        <f t="shared" si="12"/>
        <v>0</v>
      </c>
      <c r="BQ28">
        <f t="shared" si="1"/>
        <v>1</v>
      </c>
      <c r="BR28">
        <f t="shared" si="13"/>
        <v>0</v>
      </c>
      <c r="BS28" s="9">
        <f t="shared" si="14"/>
        <v>0</v>
      </c>
      <c r="BT28" s="9">
        <f t="shared" si="15"/>
        <v>0</v>
      </c>
      <c r="BU28" s="9">
        <f t="shared" si="16"/>
        <v>0</v>
      </c>
      <c r="BV28" s="12">
        <f t="shared" si="17"/>
        <v>0</v>
      </c>
      <c r="BX28" s="12">
        <f t="shared" si="18"/>
        <v>0</v>
      </c>
      <c r="BY28" s="12">
        <f t="shared" si="19"/>
        <v>0</v>
      </c>
    </row>
    <row r="29" spans="1:77" x14ac:dyDescent="0.3">
      <c r="A29" s="1">
        <v>46064</v>
      </c>
      <c r="B29" s="8">
        <v>57.66</v>
      </c>
      <c r="C29" s="8">
        <v>193.23</v>
      </c>
      <c r="D29" s="9">
        <v>8.1846342830312301E-3</v>
      </c>
      <c r="E29" s="9">
        <v>8.3147597465051907E-3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57.66</v>
      </c>
      <c r="M29" s="8">
        <v>193.23</v>
      </c>
      <c r="N29" s="10">
        <v>3.3511966701352698</v>
      </c>
      <c r="O29" s="10">
        <v>3.3517078484942102</v>
      </c>
      <c r="P29" s="10">
        <v>3.3516455893933901</v>
      </c>
      <c r="Q29" s="10">
        <v>3.3510858987061098</v>
      </c>
      <c r="R29" s="8">
        <v>193.25947454417599</v>
      </c>
      <c r="S29" s="8">
        <v>193.246574063537</v>
      </c>
      <c r="T29" s="8">
        <v>193.22239177592101</v>
      </c>
      <c r="U29" s="9">
        <v>1.52524434297772E-4</v>
      </c>
      <c r="V29" s="9">
        <v>8.5770081085173E-5</v>
      </c>
      <c r="W29" s="9">
        <v>-3.9374703025249601E-5</v>
      </c>
      <c r="X29" s="10">
        <v>3.3511966701352698</v>
      </c>
      <c r="Y29" s="10">
        <v>3.3517078484942102</v>
      </c>
      <c r="Z29" s="10">
        <v>3.3516455893933901</v>
      </c>
      <c r="AA29" s="10">
        <v>3.3510858987061098</v>
      </c>
      <c r="AB29" s="8">
        <v>193.25947454417599</v>
      </c>
      <c r="AC29" s="8">
        <v>193.246574063537</v>
      </c>
      <c r="AD29" s="8">
        <v>193.22239177592101</v>
      </c>
      <c r="AE29" s="9">
        <v>1.52524434297772E-4</v>
      </c>
      <c r="AF29" s="9">
        <v>8.5770081085173E-5</v>
      </c>
      <c r="AG29" s="9">
        <v>-3.9374703025249601E-5</v>
      </c>
      <c r="AZ29" s="9"/>
      <c r="BB29">
        <f t="shared" si="2"/>
        <v>0</v>
      </c>
      <c r="BC29">
        <f t="shared" si="3"/>
        <v>0</v>
      </c>
      <c r="BD29">
        <f t="shared" si="4"/>
        <v>0</v>
      </c>
      <c r="BE29">
        <f t="shared" si="0"/>
        <v>1</v>
      </c>
      <c r="BF29">
        <f t="shared" si="5"/>
        <v>0</v>
      </c>
      <c r="BG29" s="9">
        <f t="shared" si="6"/>
        <v>0</v>
      </c>
      <c r="BH29" s="9">
        <f t="shared" si="7"/>
        <v>0</v>
      </c>
      <c r="BI29" s="9">
        <f t="shared" si="8"/>
        <v>0</v>
      </c>
      <c r="BJ29" s="12">
        <f t="shared" si="9"/>
        <v>0</v>
      </c>
      <c r="BL29" s="9"/>
      <c r="BN29">
        <f t="shared" si="10"/>
        <v>0</v>
      </c>
      <c r="BO29">
        <f t="shared" si="11"/>
        <v>1</v>
      </c>
      <c r="BP29">
        <f t="shared" si="12"/>
        <v>0</v>
      </c>
      <c r="BQ29">
        <f t="shared" si="1"/>
        <v>1</v>
      </c>
      <c r="BR29">
        <f t="shared" si="13"/>
        <v>0</v>
      </c>
      <c r="BS29" s="9">
        <f t="shared" si="14"/>
        <v>0</v>
      </c>
      <c r="BT29" s="9">
        <f t="shared" si="15"/>
        <v>0</v>
      </c>
      <c r="BU29" s="9">
        <f t="shared" si="16"/>
        <v>0</v>
      </c>
      <c r="BV29" s="12">
        <f t="shared" si="17"/>
        <v>0</v>
      </c>
      <c r="BX29" s="12">
        <f t="shared" si="18"/>
        <v>0</v>
      </c>
      <c r="BY29" s="12">
        <f t="shared" si="19"/>
        <v>0</v>
      </c>
    </row>
    <row r="30" spans="1:77" x14ac:dyDescent="0.3">
      <c r="A30" s="1">
        <v>46065</v>
      </c>
      <c r="B30" s="8">
        <v>58.5</v>
      </c>
      <c r="C30" s="8">
        <v>196.13</v>
      </c>
      <c r="D30" s="9">
        <v>1.44630620275546E-2</v>
      </c>
      <c r="E30" s="9">
        <v>1.48965154465106E-2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58.5</v>
      </c>
      <c r="M30" s="8">
        <v>196.13</v>
      </c>
      <c r="N30" s="10">
        <v>3.35264957264957</v>
      </c>
      <c r="O30" s="10">
        <v>3.3517078484942102</v>
      </c>
      <c r="P30" s="10">
        <v>3.3519052104790501</v>
      </c>
      <c r="Q30" s="10">
        <v>3.3512125748033301</v>
      </c>
      <c r="R30" s="8">
        <v>196.074909136911</v>
      </c>
      <c r="S30" s="8">
        <v>196.07126697951301</v>
      </c>
      <c r="T30" s="8">
        <v>196.03852507430699</v>
      </c>
      <c r="U30" s="9">
        <v>-2.8092898465795999E-4</v>
      </c>
      <c r="V30" s="9">
        <v>-2.99504493586383E-4</v>
      </c>
      <c r="W30" s="9">
        <v>-4.6650825602952698E-4</v>
      </c>
      <c r="X30" s="10">
        <v>3.35264957264957</v>
      </c>
      <c r="Y30" s="10">
        <v>3.3517078484942102</v>
      </c>
      <c r="Z30" s="10">
        <v>3.3519052104790501</v>
      </c>
      <c r="AA30" s="10">
        <v>3.3512125748033301</v>
      </c>
      <c r="AB30" s="8">
        <v>196.074909136911</v>
      </c>
      <c r="AC30" s="8">
        <v>196.07126697951301</v>
      </c>
      <c r="AD30" s="8">
        <v>196.03852507430699</v>
      </c>
      <c r="AE30" s="9">
        <v>-2.8092898465795999E-4</v>
      </c>
      <c r="AF30" s="9">
        <v>-2.99504493586383E-4</v>
      </c>
      <c r="AG30" s="9">
        <v>-4.6650825602952698E-4</v>
      </c>
      <c r="AZ30" s="9"/>
      <c r="BB30">
        <f t="shared" si="2"/>
        <v>0</v>
      </c>
      <c r="BC30">
        <f t="shared" si="3"/>
        <v>0</v>
      </c>
      <c r="BD30">
        <f t="shared" si="4"/>
        <v>0</v>
      </c>
      <c r="BE30">
        <f t="shared" si="0"/>
        <v>1</v>
      </c>
      <c r="BF30">
        <f t="shared" si="5"/>
        <v>0</v>
      </c>
      <c r="BG30" s="9">
        <f t="shared" si="6"/>
        <v>0</v>
      </c>
      <c r="BH30" s="9">
        <f t="shared" si="7"/>
        <v>0</v>
      </c>
      <c r="BI30" s="9">
        <f t="shared" si="8"/>
        <v>0</v>
      </c>
      <c r="BJ30" s="12">
        <f t="shared" si="9"/>
        <v>0</v>
      </c>
      <c r="BL30" s="9"/>
      <c r="BN30">
        <f t="shared" si="10"/>
        <v>0</v>
      </c>
      <c r="BO30">
        <f t="shared" si="11"/>
        <v>1</v>
      </c>
      <c r="BP30">
        <f t="shared" si="12"/>
        <v>0</v>
      </c>
      <c r="BQ30">
        <f t="shared" si="1"/>
        <v>1</v>
      </c>
      <c r="BR30">
        <f t="shared" si="13"/>
        <v>0</v>
      </c>
      <c r="BS30" s="9">
        <f t="shared" si="14"/>
        <v>0</v>
      </c>
      <c r="BT30" s="9">
        <f t="shared" si="15"/>
        <v>0</v>
      </c>
      <c r="BU30" s="9">
        <f t="shared" si="16"/>
        <v>0</v>
      </c>
      <c r="BV30" s="12">
        <f t="shared" si="17"/>
        <v>0</v>
      </c>
      <c r="BX30" s="12">
        <f t="shared" si="18"/>
        <v>0</v>
      </c>
      <c r="BY30" s="12">
        <f t="shared" si="19"/>
        <v>0</v>
      </c>
    </row>
    <row r="31" spans="1:77" x14ac:dyDescent="0.3">
      <c r="A31" s="1">
        <v>46066</v>
      </c>
      <c r="B31" s="8">
        <v>60.05</v>
      </c>
      <c r="C31" s="8">
        <v>201.32</v>
      </c>
      <c r="D31" s="9">
        <v>2.6150794288181602E-2</v>
      </c>
      <c r="E31" s="9">
        <v>2.61179772347396E-2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60.05</v>
      </c>
      <c r="M31" s="8">
        <v>201.32</v>
      </c>
      <c r="N31" s="10">
        <v>3.3525395503746802</v>
      </c>
      <c r="O31" s="10">
        <v>3.3517078484942102</v>
      </c>
      <c r="P31" s="10">
        <v>3.3518818336099798</v>
      </c>
      <c r="Q31" s="10">
        <v>3.3513399937841899</v>
      </c>
      <c r="R31" s="8">
        <v>201.27005630207699</v>
      </c>
      <c r="S31" s="8">
        <v>201.28190788926699</v>
      </c>
      <c r="T31" s="8">
        <v>201.24031511694</v>
      </c>
      <c r="U31" s="9">
        <v>-2.4811193121597003E-4</v>
      </c>
      <c r="V31" s="9">
        <v>-1.89229658875194E-4</v>
      </c>
      <c r="W31" s="9">
        <v>-3.9589040999881499E-4</v>
      </c>
      <c r="X31" s="10">
        <v>3.3525395503746802</v>
      </c>
      <c r="Y31" s="10">
        <v>3.3517078484942102</v>
      </c>
      <c r="Z31" s="10">
        <v>3.3518818336099798</v>
      </c>
      <c r="AA31" s="10">
        <v>3.3513399937841899</v>
      </c>
      <c r="AB31" s="8">
        <v>201.27005630207699</v>
      </c>
      <c r="AC31" s="8">
        <v>201.28190788926699</v>
      </c>
      <c r="AD31" s="8">
        <v>201.24031511694</v>
      </c>
      <c r="AE31" s="9">
        <v>-2.4811193121597003E-4</v>
      </c>
      <c r="AF31" s="9">
        <v>-1.89229658875194E-4</v>
      </c>
      <c r="AG31" s="9">
        <v>-3.9589040999881499E-4</v>
      </c>
      <c r="AZ31" s="9"/>
      <c r="BB31">
        <f t="shared" si="2"/>
        <v>0</v>
      </c>
      <c r="BC31">
        <f t="shared" si="3"/>
        <v>0</v>
      </c>
      <c r="BD31">
        <f t="shared" si="4"/>
        <v>0</v>
      </c>
      <c r="BE31">
        <f t="shared" si="0"/>
        <v>1</v>
      </c>
      <c r="BF31">
        <f t="shared" si="5"/>
        <v>0</v>
      </c>
      <c r="BG31" s="9">
        <f t="shared" si="6"/>
        <v>0</v>
      </c>
      <c r="BH31" s="9">
        <f t="shared" si="7"/>
        <v>0</v>
      </c>
      <c r="BI31" s="9">
        <f t="shared" si="8"/>
        <v>0</v>
      </c>
      <c r="BJ31" s="12">
        <f t="shared" si="9"/>
        <v>0</v>
      </c>
      <c r="BL31" s="9"/>
      <c r="BN31">
        <f t="shared" si="10"/>
        <v>0</v>
      </c>
      <c r="BO31">
        <f t="shared" si="11"/>
        <v>1</v>
      </c>
      <c r="BP31">
        <f t="shared" si="12"/>
        <v>0</v>
      </c>
      <c r="BQ31">
        <f t="shared" si="1"/>
        <v>1</v>
      </c>
      <c r="BR31">
        <f t="shared" si="13"/>
        <v>0</v>
      </c>
      <c r="BS31" s="9">
        <f t="shared" si="14"/>
        <v>0</v>
      </c>
      <c r="BT31" s="9">
        <f t="shared" si="15"/>
        <v>0</v>
      </c>
      <c r="BU31" s="9">
        <f t="shared" si="16"/>
        <v>0</v>
      </c>
      <c r="BV31" s="12">
        <f t="shared" si="17"/>
        <v>0</v>
      </c>
      <c r="BX31" s="12">
        <f t="shared" si="18"/>
        <v>0</v>
      </c>
      <c r="BY31" s="12">
        <f t="shared" si="19"/>
        <v>0</v>
      </c>
    </row>
    <row r="32" spans="1:77" x14ac:dyDescent="0.3">
      <c r="A32" s="1">
        <v>46070</v>
      </c>
      <c r="B32" s="8">
        <v>59.92</v>
      </c>
      <c r="C32" s="8">
        <v>200.87</v>
      </c>
      <c r="D32" s="9">
        <v>-2.1672093170284701E-3</v>
      </c>
      <c r="E32" s="9">
        <v>-2.2377492617023402E-3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59.92</v>
      </c>
      <c r="M32" s="8">
        <v>200.87</v>
      </c>
      <c r="N32" s="10">
        <v>3.35230307076101</v>
      </c>
      <c r="O32" s="10">
        <v>3.3517078484942102</v>
      </c>
      <c r="P32" s="10">
        <v>3.3517509239560401</v>
      </c>
      <c r="Q32" s="10">
        <v>3.3514067716787102</v>
      </c>
      <c r="R32" s="8">
        <v>200.83433428177301</v>
      </c>
      <c r="S32" s="8">
        <v>200.84475946991</v>
      </c>
      <c r="T32" s="8">
        <v>200.81229242754799</v>
      </c>
      <c r="U32" s="9">
        <v>-1.7757198654205699E-4</v>
      </c>
      <c r="V32" s="9">
        <v>-1.2566394202882E-4</v>
      </c>
      <c r="W32" s="9">
        <v>-2.87329433913844E-4</v>
      </c>
      <c r="X32" s="10">
        <v>3.35230307076101</v>
      </c>
      <c r="Y32" s="10">
        <v>3.3517078484942102</v>
      </c>
      <c r="Z32" s="10">
        <v>3.3517509239560401</v>
      </c>
      <c r="AA32" s="10">
        <v>3.3514067716787102</v>
      </c>
      <c r="AB32" s="8">
        <v>200.83433428177301</v>
      </c>
      <c r="AC32" s="8">
        <v>200.84475946991</v>
      </c>
      <c r="AD32" s="8">
        <v>200.81229242754799</v>
      </c>
      <c r="AE32" s="9">
        <v>-1.7757198654205699E-4</v>
      </c>
      <c r="AF32" s="9">
        <v>-1.2566394202882E-4</v>
      </c>
      <c r="AG32" s="9">
        <v>-2.87329433913844E-4</v>
      </c>
      <c r="AZ32" s="9"/>
      <c r="BB32">
        <f t="shared" si="2"/>
        <v>0</v>
      </c>
      <c r="BC32">
        <f t="shared" si="3"/>
        <v>0</v>
      </c>
      <c r="BD32">
        <f t="shared" si="4"/>
        <v>0</v>
      </c>
      <c r="BE32">
        <f t="shared" si="0"/>
        <v>1</v>
      </c>
      <c r="BF32">
        <f t="shared" si="5"/>
        <v>0</v>
      </c>
      <c r="BG32" s="9">
        <f t="shared" si="6"/>
        <v>0</v>
      </c>
      <c r="BH32" s="9">
        <f t="shared" si="7"/>
        <v>0</v>
      </c>
      <c r="BI32" s="9">
        <f t="shared" si="8"/>
        <v>0</v>
      </c>
      <c r="BJ32" s="12">
        <f t="shared" si="9"/>
        <v>0</v>
      </c>
      <c r="BL32" s="9"/>
      <c r="BN32">
        <f t="shared" si="10"/>
        <v>0</v>
      </c>
      <c r="BO32">
        <f t="shared" si="11"/>
        <v>1</v>
      </c>
      <c r="BP32">
        <f t="shared" si="12"/>
        <v>0</v>
      </c>
      <c r="BQ32">
        <f t="shared" si="1"/>
        <v>1</v>
      </c>
      <c r="BR32">
        <f t="shared" si="13"/>
        <v>0</v>
      </c>
      <c r="BS32" s="9">
        <f t="shared" si="14"/>
        <v>0</v>
      </c>
      <c r="BT32" s="9">
        <f t="shared" si="15"/>
        <v>0</v>
      </c>
      <c r="BU32" s="9">
        <f t="shared" si="16"/>
        <v>0</v>
      </c>
      <c r="BV32" s="12">
        <f t="shared" si="17"/>
        <v>0</v>
      </c>
      <c r="BX32" s="12">
        <f t="shared" si="18"/>
        <v>0</v>
      </c>
      <c r="BY32" s="12">
        <f t="shared" si="19"/>
        <v>0</v>
      </c>
    </row>
    <row r="33" spans="1:77" x14ac:dyDescent="0.3">
      <c r="A33" s="1">
        <v>46071</v>
      </c>
      <c r="B33" s="8">
        <v>58.9</v>
      </c>
      <c r="C33" s="8">
        <v>197.39</v>
      </c>
      <c r="D33" s="9">
        <v>-1.71692485514231E-2</v>
      </c>
      <c r="E33" s="9">
        <v>-1.7476465491560799E-2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58.9</v>
      </c>
      <c r="M33" s="8">
        <v>197.39</v>
      </c>
      <c r="N33" s="10">
        <v>3.35127334465195</v>
      </c>
      <c r="O33" s="10">
        <v>3.3517078484942102</v>
      </c>
      <c r="P33" s="10">
        <v>3.3516303097947602</v>
      </c>
      <c r="Q33" s="10">
        <v>3.35142736640592</v>
      </c>
      <c r="R33" s="8">
        <v>197.41559227630901</v>
      </c>
      <c r="S33" s="8">
        <v>197.418129421011</v>
      </c>
      <c r="T33" s="8">
        <v>197.39785885187601</v>
      </c>
      <c r="U33" s="9">
        <v>1.2964495359567201E-4</v>
      </c>
      <c r="V33" s="9">
        <v>1.4249666591177501E-4</v>
      </c>
      <c r="W33" s="9">
        <v>3.98130373114695E-5</v>
      </c>
      <c r="X33" s="10">
        <v>3.35127334465195</v>
      </c>
      <c r="Y33" s="10">
        <v>3.3517078484942102</v>
      </c>
      <c r="Z33" s="10">
        <v>3.3516303097947602</v>
      </c>
      <c r="AA33" s="10">
        <v>3.35142736640592</v>
      </c>
      <c r="AB33" s="8">
        <v>197.41559227630901</v>
      </c>
      <c r="AC33" s="8">
        <v>197.418129421011</v>
      </c>
      <c r="AD33" s="8">
        <v>197.39785885187601</v>
      </c>
      <c r="AE33" s="9">
        <v>1.2964495359567201E-4</v>
      </c>
      <c r="AF33" s="9">
        <v>1.4249666591177501E-4</v>
      </c>
      <c r="AG33" s="9">
        <v>3.98130373114695E-5</v>
      </c>
      <c r="AZ33" s="9"/>
      <c r="BB33">
        <f t="shared" si="2"/>
        <v>0</v>
      </c>
      <c r="BC33">
        <f t="shared" si="3"/>
        <v>1</v>
      </c>
      <c r="BD33">
        <f t="shared" si="4"/>
        <v>0</v>
      </c>
      <c r="BE33">
        <f t="shared" si="0"/>
        <v>1</v>
      </c>
      <c r="BF33">
        <f t="shared" si="5"/>
        <v>0</v>
      </c>
      <c r="BG33" s="9">
        <f t="shared" si="6"/>
        <v>0</v>
      </c>
      <c r="BH33" s="9">
        <f t="shared" si="7"/>
        <v>0</v>
      </c>
      <c r="BI33" s="9">
        <f t="shared" si="8"/>
        <v>0</v>
      </c>
      <c r="BJ33" s="12">
        <f t="shared" si="9"/>
        <v>0</v>
      </c>
      <c r="BL33" s="9"/>
      <c r="BN33">
        <f t="shared" si="10"/>
        <v>0</v>
      </c>
      <c r="BO33">
        <f t="shared" si="11"/>
        <v>0</v>
      </c>
      <c r="BP33">
        <f t="shared" si="12"/>
        <v>0</v>
      </c>
      <c r="BQ33">
        <f t="shared" si="1"/>
        <v>1</v>
      </c>
      <c r="BR33">
        <f t="shared" si="13"/>
        <v>0</v>
      </c>
      <c r="BS33" s="9">
        <f t="shared" si="14"/>
        <v>0</v>
      </c>
      <c r="BT33" s="9">
        <f t="shared" si="15"/>
        <v>0</v>
      </c>
      <c r="BU33" s="9">
        <f t="shared" si="16"/>
        <v>0</v>
      </c>
      <c r="BV33" s="12">
        <f t="shared" si="17"/>
        <v>0</v>
      </c>
      <c r="BX33" s="12">
        <f t="shared" si="18"/>
        <v>0</v>
      </c>
      <c r="BY33" s="12">
        <f t="shared" si="19"/>
        <v>0</v>
      </c>
    </row>
    <row r="34" spans="1:77" x14ac:dyDescent="0.3">
      <c r="A34" s="1">
        <v>46072</v>
      </c>
      <c r="B34" s="8">
        <v>59.52</v>
      </c>
      <c r="C34" s="8">
        <v>199.51</v>
      </c>
      <c r="D34" s="9">
        <v>1.04712998672954E-2</v>
      </c>
      <c r="E34" s="9">
        <v>1.0682893232073699E-2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59.52</v>
      </c>
      <c r="M34" s="8">
        <v>199.51</v>
      </c>
      <c r="N34" s="10">
        <v>3.35198252688172</v>
      </c>
      <c r="O34" s="10">
        <v>3.3517078484942102</v>
      </c>
      <c r="P34" s="10">
        <v>3.35171474280199</v>
      </c>
      <c r="Q34" s="10">
        <v>3.3514857732225298</v>
      </c>
      <c r="R34" s="8">
        <v>199.493651142375</v>
      </c>
      <c r="S34" s="8">
        <v>199.48903603898401</v>
      </c>
      <c r="T34" s="8">
        <v>199.47695684848</v>
      </c>
      <c r="U34" s="9">
        <v>-8.1948411182557697E-5</v>
      </c>
      <c r="V34" s="9">
        <v>-1.05082765325575E-4</v>
      </c>
      <c r="W34" s="9">
        <v>-1.65635247105366E-4</v>
      </c>
      <c r="X34" s="10">
        <v>3.35198252688172</v>
      </c>
      <c r="Y34" s="10">
        <v>3.3517078484942102</v>
      </c>
      <c r="Z34" s="10">
        <v>3.35171474280199</v>
      </c>
      <c r="AA34" s="10">
        <v>3.3514857732225298</v>
      </c>
      <c r="AB34" s="8">
        <v>199.493651142375</v>
      </c>
      <c r="AC34" s="8">
        <v>199.48903603898401</v>
      </c>
      <c r="AD34" s="8">
        <v>199.47695684848</v>
      </c>
      <c r="AE34" s="9">
        <v>-8.1948411182557697E-5</v>
      </c>
      <c r="AF34" s="9">
        <v>-1.05082765325575E-4</v>
      </c>
      <c r="AG34" s="9">
        <v>-1.65635247105366E-4</v>
      </c>
      <c r="AZ34" s="9"/>
      <c r="BB34">
        <f t="shared" si="2"/>
        <v>0</v>
      </c>
      <c r="BC34">
        <f t="shared" si="3"/>
        <v>0</v>
      </c>
      <c r="BD34">
        <f t="shared" si="4"/>
        <v>0</v>
      </c>
      <c r="BE34">
        <f t="shared" si="0"/>
        <v>1</v>
      </c>
      <c r="BF34">
        <f t="shared" si="5"/>
        <v>0</v>
      </c>
      <c r="BG34" s="9">
        <f t="shared" si="6"/>
        <v>0</v>
      </c>
      <c r="BH34" s="9">
        <f t="shared" si="7"/>
        <v>0</v>
      </c>
      <c r="BI34" s="9">
        <f t="shared" si="8"/>
        <v>0</v>
      </c>
      <c r="BJ34" s="12">
        <f t="shared" si="9"/>
        <v>0</v>
      </c>
      <c r="BL34" s="9"/>
      <c r="BN34">
        <f t="shared" si="10"/>
        <v>0</v>
      </c>
      <c r="BO34">
        <f t="shared" si="11"/>
        <v>1</v>
      </c>
      <c r="BP34">
        <f t="shared" si="12"/>
        <v>0</v>
      </c>
      <c r="BQ34">
        <f t="shared" si="1"/>
        <v>1</v>
      </c>
      <c r="BR34">
        <f t="shared" si="13"/>
        <v>0</v>
      </c>
      <c r="BS34" s="9">
        <f t="shared" si="14"/>
        <v>0</v>
      </c>
      <c r="BT34" s="9">
        <f t="shared" si="15"/>
        <v>0</v>
      </c>
      <c r="BU34" s="9">
        <f t="shared" si="16"/>
        <v>0</v>
      </c>
      <c r="BV34" s="12">
        <f t="shared" si="17"/>
        <v>0</v>
      </c>
      <c r="BX34" s="12">
        <f t="shared" si="18"/>
        <v>0</v>
      </c>
      <c r="BY34" s="12">
        <f t="shared" si="19"/>
        <v>0</v>
      </c>
    </row>
    <row r="35" spans="1:77" x14ac:dyDescent="0.3">
      <c r="A35" s="1">
        <v>46073</v>
      </c>
      <c r="B35" s="8">
        <v>59.8</v>
      </c>
      <c r="C35" s="8">
        <v>200.31</v>
      </c>
      <c r="D35" s="9">
        <v>4.69327043174956E-3</v>
      </c>
      <c r="E35" s="9">
        <v>4.0018061509173204E-3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59.8</v>
      </c>
      <c r="M35" s="8">
        <v>200.31</v>
      </c>
      <c r="N35" s="10">
        <v>3.3496655518394598</v>
      </c>
      <c r="O35" s="10">
        <v>3.3517078484942102</v>
      </c>
      <c r="P35" s="10">
        <v>3.3514788615832098</v>
      </c>
      <c r="Q35" s="10">
        <v>3.35139247423793</v>
      </c>
      <c r="R35" s="8">
        <v>200.43212933995301</v>
      </c>
      <c r="S35" s="8">
        <v>200.432541619559</v>
      </c>
      <c r="T35" s="8">
        <v>200.418849238707</v>
      </c>
      <c r="U35" s="9">
        <v>6.0951586964950099E-4</v>
      </c>
      <c r="V35" s="9">
        <v>6.1157282121053296E-4</v>
      </c>
      <c r="W35" s="9">
        <v>5.4325632702329201E-4</v>
      </c>
      <c r="X35" s="10">
        <v>3.3496655518394598</v>
      </c>
      <c r="Y35" s="10">
        <v>3.3517078484942102</v>
      </c>
      <c r="Z35" s="10">
        <v>3.3514788615832098</v>
      </c>
      <c r="AA35" s="10">
        <v>3.35139247423793</v>
      </c>
      <c r="AB35" s="8">
        <v>200.43212933995301</v>
      </c>
      <c r="AC35" s="8">
        <v>200.432541619559</v>
      </c>
      <c r="AD35" s="8">
        <v>200.418849238707</v>
      </c>
      <c r="AE35" s="9">
        <v>6.0951586964950099E-4</v>
      </c>
      <c r="AF35" s="9">
        <v>6.1157282121053296E-4</v>
      </c>
      <c r="AG35" s="9">
        <v>5.4325632702329201E-4</v>
      </c>
      <c r="AZ35" s="9"/>
      <c r="BB35">
        <f t="shared" si="2"/>
        <v>0</v>
      </c>
      <c r="BC35">
        <f t="shared" si="3"/>
        <v>1</v>
      </c>
      <c r="BD35">
        <f t="shared" si="4"/>
        <v>0</v>
      </c>
      <c r="BE35">
        <f t="shared" si="0"/>
        <v>1</v>
      </c>
      <c r="BF35">
        <f t="shared" si="5"/>
        <v>0</v>
      </c>
      <c r="BG35" s="9">
        <f t="shared" si="6"/>
        <v>0</v>
      </c>
      <c r="BH35" s="9">
        <f t="shared" si="7"/>
        <v>0</v>
      </c>
      <c r="BI35" s="9">
        <f t="shared" si="8"/>
        <v>0</v>
      </c>
      <c r="BJ35" s="12">
        <f t="shared" si="9"/>
        <v>0</v>
      </c>
      <c r="BL35" s="9"/>
      <c r="BN35">
        <f t="shared" si="10"/>
        <v>0</v>
      </c>
      <c r="BO35">
        <f t="shared" si="11"/>
        <v>0</v>
      </c>
      <c r="BP35">
        <f t="shared" si="12"/>
        <v>0</v>
      </c>
      <c r="BQ35">
        <f t="shared" si="1"/>
        <v>1</v>
      </c>
      <c r="BR35">
        <f t="shared" si="13"/>
        <v>0</v>
      </c>
      <c r="BS35" s="9">
        <f t="shared" si="14"/>
        <v>0</v>
      </c>
      <c r="BT35" s="9">
        <f t="shared" si="15"/>
        <v>0</v>
      </c>
      <c r="BU35" s="9">
        <f t="shared" si="16"/>
        <v>0</v>
      </c>
      <c r="BV35" s="12">
        <f t="shared" si="17"/>
        <v>0</v>
      </c>
      <c r="BX35" s="12">
        <f t="shared" si="18"/>
        <v>0</v>
      </c>
      <c r="BY35" s="12">
        <f t="shared" si="19"/>
        <v>0</v>
      </c>
    </row>
    <row r="36" spans="1:77" x14ac:dyDescent="0.3">
      <c r="A36" s="1">
        <v>46076</v>
      </c>
      <c r="B36" s="8">
        <v>60.16</v>
      </c>
      <c r="C36" s="8">
        <v>201.69</v>
      </c>
      <c r="D36" s="9">
        <v>6.00201868499841E-3</v>
      </c>
      <c r="E36" s="9">
        <v>6.8656986111679001E-3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60.16</v>
      </c>
      <c r="M36" s="8">
        <v>201.69</v>
      </c>
      <c r="N36" s="10">
        <v>3.3525598404255299</v>
      </c>
      <c r="O36" s="10">
        <v>3.3517078484942102</v>
      </c>
      <c r="P36" s="10">
        <v>3.3516618139193199</v>
      </c>
      <c r="Q36" s="10">
        <v>3.3514729549469902</v>
      </c>
      <c r="R36" s="8">
        <v>201.638744165411</v>
      </c>
      <c r="S36" s="8">
        <v>201.62496831284599</v>
      </c>
      <c r="T36" s="8">
        <v>201.619771250154</v>
      </c>
      <c r="U36" s="9">
        <v>-2.5416405651996501E-4</v>
      </c>
      <c r="V36" s="9">
        <v>-3.22485862546603E-4</v>
      </c>
      <c r="W36" s="9">
        <v>-3.4826208320175799E-4</v>
      </c>
      <c r="X36" s="10">
        <v>3.3525598404255299</v>
      </c>
      <c r="Y36" s="10">
        <v>3.3517078484942102</v>
      </c>
      <c r="Z36" s="10">
        <v>3.3516618139193199</v>
      </c>
      <c r="AA36" s="10">
        <v>3.3514729549469902</v>
      </c>
      <c r="AB36" s="8">
        <v>201.638744165411</v>
      </c>
      <c r="AC36" s="8">
        <v>201.62496831284599</v>
      </c>
      <c r="AD36" s="8">
        <v>201.619771250154</v>
      </c>
      <c r="AE36" s="9">
        <v>-2.5416405651996501E-4</v>
      </c>
      <c r="AF36" s="9">
        <v>-3.22485862546603E-4</v>
      </c>
      <c r="AG36" s="9">
        <v>-3.4826208320175799E-4</v>
      </c>
      <c r="AZ36" s="9"/>
      <c r="BB36">
        <f t="shared" si="2"/>
        <v>0</v>
      </c>
      <c r="BC36">
        <f t="shared" si="3"/>
        <v>0</v>
      </c>
      <c r="BD36">
        <f t="shared" si="4"/>
        <v>0</v>
      </c>
      <c r="BE36">
        <f t="shared" si="0"/>
        <v>1</v>
      </c>
      <c r="BF36">
        <f t="shared" si="5"/>
        <v>0</v>
      </c>
      <c r="BG36" s="9">
        <f t="shared" si="6"/>
        <v>0</v>
      </c>
      <c r="BH36" s="9">
        <f t="shared" si="7"/>
        <v>0</v>
      </c>
      <c r="BI36" s="9">
        <f t="shared" si="8"/>
        <v>0</v>
      </c>
      <c r="BJ36" s="12">
        <f t="shared" si="9"/>
        <v>0</v>
      </c>
      <c r="BL36" s="9"/>
      <c r="BN36">
        <f t="shared" si="10"/>
        <v>0</v>
      </c>
      <c r="BO36">
        <f t="shared" si="11"/>
        <v>1</v>
      </c>
      <c r="BP36">
        <f t="shared" si="12"/>
        <v>0</v>
      </c>
      <c r="BQ36">
        <f t="shared" si="1"/>
        <v>1</v>
      </c>
      <c r="BR36">
        <f t="shared" si="13"/>
        <v>0</v>
      </c>
      <c r="BS36" s="9">
        <f t="shared" si="14"/>
        <v>0</v>
      </c>
      <c r="BT36" s="9">
        <f t="shared" si="15"/>
        <v>0</v>
      </c>
      <c r="BU36" s="9">
        <f t="shared" si="16"/>
        <v>0</v>
      </c>
      <c r="BV36" s="12">
        <f t="shared" si="17"/>
        <v>0</v>
      </c>
      <c r="BX36" s="12">
        <f t="shared" si="18"/>
        <v>0</v>
      </c>
      <c r="BY36" s="12">
        <f t="shared" si="19"/>
        <v>0</v>
      </c>
    </row>
    <row r="37" spans="1:77" x14ac:dyDescent="0.3">
      <c r="A37" s="1">
        <v>46077</v>
      </c>
      <c r="B37" s="8">
        <v>60.82</v>
      </c>
      <c r="C37" s="8">
        <v>203.79</v>
      </c>
      <c r="D37" s="9">
        <v>1.0911002607634199E-2</v>
      </c>
      <c r="E37" s="9">
        <v>1.0358186722265199E-2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60.82</v>
      </c>
      <c r="M37" s="8">
        <v>203.79</v>
      </c>
      <c r="N37" s="10">
        <v>3.3507070042748999</v>
      </c>
      <c r="O37" s="10">
        <v>3.3517078484942102</v>
      </c>
      <c r="P37" s="10">
        <v>3.3515637754480498</v>
      </c>
      <c r="Q37" s="10">
        <v>3.3514575049449502</v>
      </c>
      <c r="R37" s="8">
        <v>203.850871345418</v>
      </c>
      <c r="S37" s="8">
        <v>203.84807152257301</v>
      </c>
      <c r="T37" s="8">
        <v>203.83658511987599</v>
      </c>
      <c r="U37" s="9">
        <v>2.9865182884907399E-4</v>
      </c>
      <c r="V37" s="9">
        <v>2.8491707238833001E-4</v>
      </c>
      <c r="W37" s="9">
        <v>2.2856762428948501E-4</v>
      </c>
      <c r="X37" s="10">
        <v>3.3507070042748999</v>
      </c>
      <c r="Y37" s="10">
        <v>3.3517078484942102</v>
      </c>
      <c r="Z37" s="10">
        <v>3.3515637754480498</v>
      </c>
      <c r="AA37" s="10">
        <v>3.3514575049449502</v>
      </c>
      <c r="AB37" s="8">
        <v>203.850871345418</v>
      </c>
      <c r="AC37" s="8">
        <v>203.84807152257301</v>
      </c>
      <c r="AD37" s="8">
        <v>203.83658511987599</v>
      </c>
      <c r="AE37" s="9">
        <v>2.9865182884907399E-4</v>
      </c>
      <c r="AF37" s="9">
        <v>2.8491707238833001E-4</v>
      </c>
      <c r="AG37" s="9">
        <v>2.2856762428948501E-4</v>
      </c>
      <c r="AZ37" s="9"/>
      <c r="BB37">
        <f t="shared" si="2"/>
        <v>0</v>
      </c>
      <c r="BC37">
        <f t="shared" si="3"/>
        <v>1</v>
      </c>
      <c r="BD37">
        <f t="shared" si="4"/>
        <v>0</v>
      </c>
      <c r="BE37">
        <f t="shared" si="0"/>
        <v>1</v>
      </c>
      <c r="BF37">
        <f t="shared" si="5"/>
        <v>0</v>
      </c>
      <c r="BG37" s="9">
        <f t="shared" si="6"/>
        <v>0</v>
      </c>
      <c r="BH37" s="9">
        <f t="shared" si="7"/>
        <v>0</v>
      </c>
      <c r="BI37" s="9">
        <f t="shared" si="8"/>
        <v>0</v>
      </c>
      <c r="BJ37" s="12">
        <f t="shared" si="9"/>
        <v>0</v>
      </c>
      <c r="BL37" s="9"/>
      <c r="BN37">
        <f t="shared" si="10"/>
        <v>0</v>
      </c>
      <c r="BO37">
        <f t="shared" si="11"/>
        <v>0</v>
      </c>
      <c r="BP37">
        <f t="shared" si="12"/>
        <v>0</v>
      </c>
      <c r="BQ37">
        <f t="shared" si="1"/>
        <v>1</v>
      </c>
      <c r="BR37">
        <f t="shared" si="13"/>
        <v>0</v>
      </c>
      <c r="BS37" s="9">
        <f t="shared" si="14"/>
        <v>0</v>
      </c>
      <c r="BT37" s="9">
        <f t="shared" si="15"/>
        <v>0</v>
      </c>
      <c r="BU37" s="9">
        <f t="shared" si="16"/>
        <v>0</v>
      </c>
      <c r="BV37" s="12">
        <f t="shared" si="17"/>
        <v>0</v>
      </c>
      <c r="BX37" s="12">
        <f t="shared" si="18"/>
        <v>0</v>
      </c>
      <c r="BY37" s="12">
        <f t="shared" si="19"/>
        <v>0</v>
      </c>
    </row>
    <row r="38" spans="1:77" x14ac:dyDescent="0.3">
      <c r="A38" s="1">
        <v>46078</v>
      </c>
      <c r="B38" s="8">
        <v>61.06</v>
      </c>
      <c r="C38" s="8">
        <v>204.55</v>
      </c>
      <c r="D38" s="9">
        <v>3.9383050575132403E-3</v>
      </c>
      <c r="E38" s="9">
        <v>3.7223925040874698E-3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61.06</v>
      </c>
      <c r="M38" s="8">
        <v>204.55</v>
      </c>
      <c r="N38" s="10">
        <v>3.3499836226662301</v>
      </c>
      <c r="O38" s="10">
        <v>3.3517078484942102</v>
      </c>
      <c r="P38" s="10">
        <v>3.3514860754660298</v>
      </c>
      <c r="Q38" s="10">
        <v>3.3514850951691701</v>
      </c>
      <c r="R38" s="8">
        <v>204.65528122905599</v>
      </c>
      <c r="S38" s="8">
        <v>204.64648412885799</v>
      </c>
      <c r="T38" s="8">
        <v>204.63999525193799</v>
      </c>
      <c r="U38" s="9">
        <v>5.1456438227491204E-4</v>
      </c>
      <c r="V38" s="9">
        <v>4.7157849291829798E-4</v>
      </c>
      <c r="W38" s="9">
        <v>4.39870253105418E-4</v>
      </c>
      <c r="X38" s="10">
        <v>3.3499836226662301</v>
      </c>
      <c r="Y38" s="10">
        <v>3.3517078484942102</v>
      </c>
      <c r="Z38" s="10">
        <v>3.3514860754660298</v>
      </c>
      <c r="AA38" s="10">
        <v>3.3514850951691701</v>
      </c>
      <c r="AB38" s="8">
        <v>204.65528122905599</v>
      </c>
      <c r="AC38" s="8">
        <v>204.64648412885799</v>
      </c>
      <c r="AD38" s="8">
        <v>204.63999525193799</v>
      </c>
      <c r="AE38" s="9">
        <v>5.1456438227491204E-4</v>
      </c>
      <c r="AF38" s="9">
        <v>4.7157849291829798E-4</v>
      </c>
      <c r="AG38" s="9">
        <v>4.39870253105418E-4</v>
      </c>
      <c r="AZ38" s="9"/>
      <c r="BB38">
        <f t="shared" si="2"/>
        <v>0</v>
      </c>
      <c r="BC38">
        <f t="shared" si="3"/>
        <v>1</v>
      </c>
      <c r="BD38">
        <f t="shared" si="4"/>
        <v>0</v>
      </c>
      <c r="BE38">
        <f t="shared" si="0"/>
        <v>1</v>
      </c>
      <c r="BF38">
        <f t="shared" si="5"/>
        <v>0</v>
      </c>
      <c r="BG38" s="9">
        <f t="shared" si="6"/>
        <v>0</v>
      </c>
      <c r="BH38" s="9">
        <f t="shared" si="7"/>
        <v>0</v>
      </c>
      <c r="BI38" s="9">
        <f t="shared" si="8"/>
        <v>0</v>
      </c>
      <c r="BJ38" s="12">
        <f t="shared" si="9"/>
        <v>0</v>
      </c>
      <c r="BL38" s="9"/>
      <c r="BN38">
        <f t="shared" si="10"/>
        <v>0</v>
      </c>
      <c r="BO38">
        <f t="shared" si="11"/>
        <v>0</v>
      </c>
      <c r="BP38">
        <f t="shared" si="12"/>
        <v>0</v>
      </c>
      <c r="BQ38">
        <f t="shared" si="1"/>
        <v>1</v>
      </c>
      <c r="BR38">
        <f t="shared" si="13"/>
        <v>0</v>
      </c>
      <c r="BS38" s="9">
        <f t="shared" si="14"/>
        <v>0</v>
      </c>
      <c r="BT38" s="9">
        <f t="shared" si="15"/>
        <v>0</v>
      </c>
      <c r="BU38" s="9">
        <f t="shared" si="16"/>
        <v>0</v>
      </c>
      <c r="BV38" s="12">
        <f t="shared" si="17"/>
        <v>0</v>
      </c>
      <c r="BX38" s="12">
        <f t="shared" si="18"/>
        <v>0</v>
      </c>
      <c r="BY38" s="12">
        <f t="shared" si="19"/>
        <v>0</v>
      </c>
    </row>
    <row r="39" spans="1:77" x14ac:dyDescent="0.3">
      <c r="A39" s="1">
        <v>46079</v>
      </c>
      <c r="B39" s="8">
        <v>60.81</v>
      </c>
      <c r="C39" s="8">
        <v>203.78</v>
      </c>
      <c r="D39" s="9">
        <v>-4.1027381747133903E-3</v>
      </c>
      <c r="E39" s="9">
        <v>-3.7714638292684001E-3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60.81</v>
      </c>
      <c r="M39" s="8">
        <v>203.78</v>
      </c>
      <c r="N39" s="10">
        <v>3.3510935701364901</v>
      </c>
      <c r="O39" s="10">
        <v>3.3517078484942102</v>
      </c>
      <c r="P39" s="10">
        <v>3.3514757654661498</v>
      </c>
      <c r="Q39" s="10">
        <v>3.3515606774297702</v>
      </c>
      <c r="R39" s="8">
        <v>203.81735426693299</v>
      </c>
      <c r="S39" s="8">
        <v>203.80386824908899</v>
      </c>
      <c r="T39" s="8">
        <v>203.80380863723701</v>
      </c>
      <c r="U39" s="9">
        <v>1.8329003682972299E-4</v>
      </c>
      <c r="V39" s="9">
        <v>1.1712067614185E-4</v>
      </c>
      <c r="W39" s="9">
        <v>1.16828179922554E-4</v>
      </c>
      <c r="X39" s="10">
        <v>3.3510935701364901</v>
      </c>
      <c r="Y39" s="10">
        <v>3.3517078484942102</v>
      </c>
      <c r="Z39" s="10">
        <v>3.3514757654661498</v>
      </c>
      <c r="AA39" s="10">
        <v>3.3515606774297702</v>
      </c>
      <c r="AB39" s="8">
        <v>203.81735426693299</v>
      </c>
      <c r="AC39" s="8">
        <v>203.80386824908899</v>
      </c>
      <c r="AD39" s="8">
        <v>203.80380863723701</v>
      </c>
      <c r="AE39" s="9">
        <v>1.8329003682972299E-4</v>
      </c>
      <c r="AF39" s="9">
        <v>1.1712067614185E-4</v>
      </c>
      <c r="AG39" s="9">
        <v>1.16828179922554E-4</v>
      </c>
      <c r="AZ39" s="9"/>
      <c r="BB39">
        <f t="shared" si="2"/>
        <v>0</v>
      </c>
      <c r="BC39">
        <f t="shared" si="3"/>
        <v>1</v>
      </c>
      <c r="BD39">
        <f t="shared" si="4"/>
        <v>0</v>
      </c>
      <c r="BE39">
        <f t="shared" si="0"/>
        <v>1</v>
      </c>
      <c r="BF39">
        <f t="shared" si="5"/>
        <v>0</v>
      </c>
      <c r="BG39" s="9">
        <f t="shared" si="6"/>
        <v>0</v>
      </c>
      <c r="BH39" s="9">
        <f t="shared" si="7"/>
        <v>0</v>
      </c>
      <c r="BI39" s="9">
        <f t="shared" si="8"/>
        <v>0</v>
      </c>
      <c r="BJ39" s="12">
        <f t="shared" si="9"/>
        <v>0</v>
      </c>
      <c r="BL39" s="9"/>
      <c r="BN39">
        <f t="shared" si="10"/>
        <v>0</v>
      </c>
      <c r="BO39">
        <f t="shared" si="11"/>
        <v>0</v>
      </c>
      <c r="BP39">
        <f t="shared" si="12"/>
        <v>0</v>
      </c>
      <c r="BQ39">
        <f t="shared" si="1"/>
        <v>1</v>
      </c>
      <c r="BR39">
        <f t="shared" si="13"/>
        <v>0</v>
      </c>
      <c r="BS39" s="9">
        <f t="shared" si="14"/>
        <v>0</v>
      </c>
      <c r="BT39" s="9">
        <f t="shared" si="15"/>
        <v>0</v>
      </c>
      <c r="BU39" s="9">
        <f t="shared" si="16"/>
        <v>0</v>
      </c>
      <c r="BV39" s="12">
        <f t="shared" si="17"/>
        <v>0</v>
      </c>
      <c r="BX39" s="12">
        <f t="shared" si="18"/>
        <v>0</v>
      </c>
      <c r="BY39" s="12">
        <f t="shared" si="19"/>
        <v>0</v>
      </c>
    </row>
    <row r="40" spans="1:77" x14ac:dyDescent="0.3">
      <c r="A40" s="1">
        <v>46080</v>
      </c>
      <c r="B40" s="8">
        <v>61.44</v>
      </c>
      <c r="C40" s="8">
        <v>205.87</v>
      </c>
      <c r="D40" s="9">
        <v>1.0306839707398201E-2</v>
      </c>
      <c r="E40" s="9">
        <v>1.02039210750776E-2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61.44</v>
      </c>
      <c r="M40" s="8">
        <v>205.87</v>
      </c>
      <c r="N40" s="10">
        <v>3.3507486979166599</v>
      </c>
      <c r="O40" s="10">
        <v>3.3517078484942102</v>
      </c>
      <c r="P40" s="10">
        <v>3.3512856779928599</v>
      </c>
      <c r="Q40" s="10">
        <v>3.3515954442359601</v>
      </c>
      <c r="R40" s="8">
        <v>205.92893021148399</v>
      </c>
      <c r="S40" s="8">
        <v>205.91467103023999</v>
      </c>
      <c r="T40" s="8">
        <v>205.919888021285</v>
      </c>
      <c r="U40" s="9">
        <v>2.86208669150494E-4</v>
      </c>
      <c r="V40" s="9">
        <v>2.1696305646442599E-4</v>
      </c>
      <c r="W40" s="9">
        <v>2.4229842927576701E-4</v>
      </c>
      <c r="X40" s="10">
        <v>3.3507486979166599</v>
      </c>
      <c r="Y40" s="10">
        <v>3.3517078484942102</v>
      </c>
      <c r="Z40" s="10">
        <v>3.3512856779928599</v>
      </c>
      <c r="AA40" s="10">
        <v>3.3515954442359601</v>
      </c>
      <c r="AB40" s="8">
        <v>205.92893021148399</v>
      </c>
      <c r="AC40" s="8">
        <v>205.91467103023999</v>
      </c>
      <c r="AD40" s="8">
        <v>205.919888021285</v>
      </c>
      <c r="AE40" s="9">
        <v>2.86208669150494E-4</v>
      </c>
      <c r="AF40" s="9">
        <v>2.1696305646442599E-4</v>
      </c>
      <c r="AG40" s="9">
        <v>2.4229842927576701E-4</v>
      </c>
      <c r="AZ40" s="9"/>
      <c r="BB40">
        <f t="shared" si="2"/>
        <v>0</v>
      </c>
      <c r="BC40">
        <f t="shared" si="3"/>
        <v>1</v>
      </c>
      <c r="BD40">
        <f t="shared" si="4"/>
        <v>0</v>
      </c>
      <c r="BE40">
        <f t="shared" si="0"/>
        <v>1</v>
      </c>
      <c r="BF40">
        <f t="shared" si="5"/>
        <v>0</v>
      </c>
      <c r="BG40" s="9">
        <f t="shared" si="6"/>
        <v>0</v>
      </c>
      <c r="BH40" s="9">
        <f t="shared" si="7"/>
        <v>0</v>
      </c>
      <c r="BI40" s="9">
        <f t="shared" si="8"/>
        <v>0</v>
      </c>
      <c r="BJ40" s="12">
        <f t="shared" si="9"/>
        <v>0</v>
      </c>
      <c r="BL40" s="9"/>
      <c r="BN40">
        <f t="shared" si="10"/>
        <v>0</v>
      </c>
      <c r="BO40">
        <f t="shared" si="11"/>
        <v>0</v>
      </c>
      <c r="BP40">
        <f t="shared" si="12"/>
        <v>0</v>
      </c>
      <c r="BQ40">
        <f t="shared" si="1"/>
        <v>1</v>
      </c>
      <c r="BR40">
        <f t="shared" si="13"/>
        <v>0</v>
      </c>
      <c r="BS40" s="9">
        <f t="shared" si="14"/>
        <v>0</v>
      </c>
      <c r="BT40" s="9">
        <f t="shared" si="15"/>
        <v>0</v>
      </c>
      <c r="BU40" s="9">
        <f t="shared" si="16"/>
        <v>0</v>
      </c>
      <c r="BV40" s="12">
        <f t="shared" si="17"/>
        <v>0</v>
      </c>
      <c r="BX40" s="12">
        <f t="shared" si="18"/>
        <v>0</v>
      </c>
      <c r="BY40" s="12">
        <f t="shared" si="19"/>
        <v>0</v>
      </c>
    </row>
    <row r="41" spans="1:77" x14ac:dyDescent="0.3">
      <c r="A41" s="1">
        <v>46083</v>
      </c>
      <c r="B41" s="8">
        <v>61.03</v>
      </c>
      <c r="C41" s="8">
        <v>204.47</v>
      </c>
      <c r="D41" s="9">
        <v>-6.6955422830130597E-3</v>
      </c>
      <c r="E41" s="9">
        <v>-6.8236361662540402E-3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61.03</v>
      </c>
      <c r="M41" s="8">
        <v>204.47</v>
      </c>
      <c r="N41" s="10">
        <v>3.3503195149926199</v>
      </c>
      <c r="O41" s="10">
        <v>3.3517078484942102</v>
      </c>
      <c r="P41" s="10">
        <v>3.35106367445466</v>
      </c>
      <c r="Q41" s="10">
        <v>3.3514727540323199</v>
      </c>
      <c r="R41" s="8">
        <v>204.554729993601</v>
      </c>
      <c r="S41" s="8">
        <v>204.52896492790401</v>
      </c>
      <c r="T41" s="8">
        <v>204.54786996172001</v>
      </c>
      <c r="U41" s="9">
        <v>4.1430255239141301E-4</v>
      </c>
      <c r="V41" s="9">
        <v>2.88337787473808E-4</v>
      </c>
      <c r="W41" s="9">
        <v>3.80765577156309E-4</v>
      </c>
      <c r="X41" s="10">
        <v>3.3503195149926199</v>
      </c>
      <c r="Y41" s="10">
        <v>3.3517078484942102</v>
      </c>
      <c r="Z41" s="10">
        <v>3.35106367445466</v>
      </c>
      <c r="AA41" s="10">
        <v>3.3514727540323199</v>
      </c>
      <c r="AB41" s="8">
        <v>204.554729993601</v>
      </c>
      <c r="AC41" s="8">
        <v>204.52896492790401</v>
      </c>
      <c r="AD41" s="8">
        <v>204.54786996172001</v>
      </c>
      <c r="AE41" s="9">
        <v>4.1430255239141301E-4</v>
      </c>
      <c r="AF41" s="9">
        <v>2.88337787473808E-4</v>
      </c>
      <c r="AG41" s="9">
        <v>3.80765577156309E-4</v>
      </c>
      <c r="AZ41" s="9"/>
      <c r="BB41">
        <f t="shared" si="2"/>
        <v>0</v>
      </c>
      <c r="BC41">
        <f t="shared" si="3"/>
        <v>1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0</v>
      </c>
      <c r="BL41" s="9"/>
      <c r="BN41">
        <f t="shared" si="10"/>
        <v>0</v>
      </c>
      <c r="BO41">
        <f t="shared" si="11"/>
        <v>0</v>
      </c>
      <c r="BP41">
        <f t="shared" si="12"/>
        <v>0</v>
      </c>
      <c r="BQ41">
        <f t="shared" si="1"/>
        <v>1</v>
      </c>
      <c r="BR41">
        <f t="shared" si="13"/>
        <v>0</v>
      </c>
      <c r="BS41" s="9">
        <f t="shared" si="14"/>
        <v>0</v>
      </c>
      <c r="BT41" s="9">
        <f t="shared" si="15"/>
        <v>0</v>
      </c>
      <c r="BU41" s="9">
        <f t="shared" si="16"/>
        <v>0</v>
      </c>
      <c r="BV41" s="12">
        <f t="shared" si="17"/>
        <v>0</v>
      </c>
      <c r="BX41" s="12">
        <f t="shared" si="18"/>
        <v>0</v>
      </c>
      <c r="BY41" s="12">
        <f t="shared" si="19"/>
        <v>0</v>
      </c>
    </row>
    <row r="42" spans="1:77" x14ac:dyDescent="0.3">
      <c r="A42" s="1">
        <v>46084</v>
      </c>
      <c r="B42" s="8">
        <v>60.67</v>
      </c>
      <c r="C42" s="8">
        <v>203.22</v>
      </c>
      <c r="D42" s="9">
        <v>-5.9162046021971398E-3</v>
      </c>
      <c r="E42" s="9">
        <v>-6.1321293972275599E-3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60.67</v>
      </c>
      <c r="M42" s="8">
        <v>203.22</v>
      </c>
      <c r="N42" s="10">
        <v>3.3495961760342801</v>
      </c>
      <c r="O42" s="10">
        <v>3.3517078484942102</v>
      </c>
      <c r="P42" s="10">
        <v>3.3507929849819802</v>
      </c>
      <c r="Q42" s="10">
        <v>3.3512719544690102</v>
      </c>
      <c r="R42" s="8">
        <v>203.34811516814301</v>
      </c>
      <c r="S42" s="8">
        <v>203.30903312916399</v>
      </c>
      <c r="T42" s="8">
        <v>203.33385198714001</v>
      </c>
      <c r="U42" s="9">
        <v>6.3022734742188902E-4</v>
      </c>
      <c r="V42" s="9">
        <v>4.3801609888697099E-4</v>
      </c>
      <c r="W42" s="9">
        <v>5.6008319468968295E-4</v>
      </c>
      <c r="X42" s="10">
        <v>3.3495961760342801</v>
      </c>
      <c r="Y42" s="10">
        <v>3.3517078484942102</v>
      </c>
      <c r="Z42" s="10">
        <v>3.3507929849819802</v>
      </c>
      <c r="AA42" s="10">
        <v>3.3512719544690102</v>
      </c>
      <c r="AB42" s="8">
        <v>203.34811516814301</v>
      </c>
      <c r="AC42" s="8">
        <v>203.30903312916399</v>
      </c>
      <c r="AD42" s="8">
        <v>203.33385198714001</v>
      </c>
      <c r="AE42" s="9">
        <v>6.3022734742188902E-4</v>
      </c>
      <c r="AF42" s="9">
        <v>4.3801609888697099E-4</v>
      </c>
      <c r="AG42" s="9">
        <v>5.6008319468968295E-4</v>
      </c>
      <c r="AZ42" s="9"/>
      <c r="BB42">
        <f t="shared" si="2"/>
        <v>0</v>
      </c>
      <c r="BC42">
        <f t="shared" si="3"/>
        <v>1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0</v>
      </c>
      <c r="BL42" s="9"/>
      <c r="BN42">
        <f t="shared" si="10"/>
        <v>0</v>
      </c>
      <c r="BO42">
        <f t="shared" si="11"/>
        <v>0</v>
      </c>
      <c r="BP42">
        <f t="shared" si="12"/>
        <v>0</v>
      </c>
      <c r="BQ42">
        <f t="shared" si="1"/>
        <v>1</v>
      </c>
      <c r="BR42">
        <f t="shared" si="13"/>
        <v>0</v>
      </c>
      <c r="BS42" s="9">
        <f t="shared" si="14"/>
        <v>0</v>
      </c>
      <c r="BT42" s="9">
        <f t="shared" si="15"/>
        <v>0</v>
      </c>
      <c r="BU42" s="9">
        <f t="shared" si="16"/>
        <v>0</v>
      </c>
      <c r="BV42" s="12">
        <f t="shared" si="17"/>
        <v>0</v>
      </c>
      <c r="BX42" s="12">
        <f t="shared" si="18"/>
        <v>0</v>
      </c>
      <c r="BY42" s="12">
        <f t="shared" si="19"/>
        <v>0</v>
      </c>
    </row>
    <row r="43" spans="1:77" x14ac:dyDescent="0.3">
      <c r="A43" s="1">
        <v>46085</v>
      </c>
      <c r="B43" s="8">
        <v>60.9</v>
      </c>
      <c r="C43" s="8">
        <v>204.13</v>
      </c>
      <c r="D43" s="9">
        <v>3.78383276164487E-3</v>
      </c>
      <c r="E43" s="9">
        <v>4.46790972775735E-3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60.9</v>
      </c>
      <c r="M43" s="8">
        <v>204.13</v>
      </c>
      <c r="N43" s="10">
        <v>3.3518883415435101</v>
      </c>
      <c r="O43" s="10">
        <v>3.3517078484942102</v>
      </c>
      <c r="P43" s="10">
        <v>3.3508544846711401</v>
      </c>
      <c r="Q43" s="10">
        <v>3.3512423972329501</v>
      </c>
      <c r="R43" s="8">
        <v>204.11900797329699</v>
      </c>
      <c r="S43" s="8">
        <v>204.06329278540301</v>
      </c>
      <c r="T43" s="8">
        <v>204.09246202716301</v>
      </c>
      <c r="U43" s="9">
        <v>-5.3849618690612202E-5</v>
      </c>
      <c r="V43" s="9">
        <v>-3.2684130959410098E-4</v>
      </c>
      <c r="W43" s="9">
        <v>-1.83909394677831E-4</v>
      </c>
      <c r="X43" s="10">
        <v>3.3518883415435101</v>
      </c>
      <c r="Y43" s="10">
        <v>3.3517078484942102</v>
      </c>
      <c r="Z43" s="10">
        <v>3.3508544846711401</v>
      </c>
      <c r="AA43" s="10">
        <v>3.3512423972329501</v>
      </c>
      <c r="AB43" s="8">
        <v>204.11900797329699</v>
      </c>
      <c r="AC43" s="8">
        <v>204.06329278540301</v>
      </c>
      <c r="AD43" s="8">
        <v>204.09246202716301</v>
      </c>
      <c r="AE43" s="9">
        <v>-5.3849618690612202E-5</v>
      </c>
      <c r="AF43" s="9">
        <v>-3.2684130959410098E-4</v>
      </c>
      <c r="AG43" s="9">
        <v>-1.83909394677831E-4</v>
      </c>
      <c r="AZ43" s="9"/>
      <c r="BB43">
        <f t="shared" si="2"/>
        <v>0</v>
      </c>
      <c r="BC43">
        <f t="shared" si="3"/>
        <v>0</v>
      </c>
      <c r="BD43">
        <f t="shared" si="4"/>
        <v>0</v>
      </c>
      <c r="BE43">
        <f t="shared" si="0"/>
        <v>1</v>
      </c>
      <c r="BF43">
        <f t="shared" si="5"/>
        <v>0</v>
      </c>
      <c r="BG43" s="9">
        <f t="shared" si="6"/>
        <v>0</v>
      </c>
      <c r="BH43" s="9">
        <f t="shared" si="7"/>
        <v>0</v>
      </c>
      <c r="BI43" s="9">
        <f t="shared" si="8"/>
        <v>0</v>
      </c>
      <c r="BJ43" s="12">
        <f t="shared" si="9"/>
        <v>0</v>
      </c>
      <c r="BL43" s="9"/>
      <c r="BN43">
        <f t="shared" si="10"/>
        <v>0</v>
      </c>
      <c r="BO43">
        <f t="shared" si="11"/>
        <v>1</v>
      </c>
      <c r="BP43">
        <f t="shared" si="12"/>
        <v>0</v>
      </c>
      <c r="BQ43">
        <f t="shared" si="1"/>
        <v>1</v>
      </c>
      <c r="BR43">
        <f t="shared" si="13"/>
        <v>0</v>
      </c>
      <c r="BS43" s="9">
        <f t="shared" si="14"/>
        <v>0</v>
      </c>
      <c r="BT43" s="9">
        <f t="shared" si="15"/>
        <v>0</v>
      </c>
      <c r="BU43" s="9">
        <f t="shared" si="16"/>
        <v>0</v>
      </c>
      <c r="BV43" s="12">
        <f t="shared" si="17"/>
        <v>0</v>
      </c>
      <c r="BX43" s="12">
        <f t="shared" si="18"/>
        <v>0</v>
      </c>
      <c r="BY43" s="12">
        <f t="shared" si="19"/>
        <v>0</v>
      </c>
    </row>
    <row r="44" spans="1:77" x14ac:dyDescent="0.3">
      <c r="A44" s="1">
        <v>46086</v>
      </c>
      <c r="B44" s="8">
        <v>60.43</v>
      </c>
      <c r="C44" s="8">
        <v>202.48</v>
      </c>
      <c r="D44" s="9">
        <v>-7.7475043423841398E-3</v>
      </c>
      <c r="E44" s="9">
        <v>-8.1159295486241401E-3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60.43</v>
      </c>
      <c r="M44" s="8">
        <v>202.48</v>
      </c>
      <c r="N44" s="10">
        <v>3.3506536488498999</v>
      </c>
      <c r="O44" s="10">
        <v>3.3517078484942102</v>
      </c>
      <c r="P44" s="10">
        <v>3.35072159686796</v>
      </c>
      <c r="Q44" s="10">
        <v>3.3512181698349699</v>
      </c>
      <c r="R44" s="8">
        <v>202.54370528450499</v>
      </c>
      <c r="S44" s="8">
        <v>202.49213650867699</v>
      </c>
      <c r="T44" s="8">
        <v>202.51557806478701</v>
      </c>
      <c r="U44" s="9">
        <v>3.14575587549318E-4</v>
      </c>
      <c r="V44" s="9">
        <v>5.99374998264222E-5</v>
      </c>
      <c r="W44" s="9">
        <v>1.7569606586392299E-4</v>
      </c>
      <c r="X44" s="10">
        <v>3.3506536488498999</v>
      </c>
      <c r="Y44" s="10">
        <v>3.3517078484942102</v>
      </c>
      <c r="Z44" s="10">
        <v>3.35072159686796</v>
      </c>
      <c r="AA44" s="10">
        <v>3.3512181698349699</v>
      </c>
      <c r="AB44" s="8">
        <v>202.54370528450499</v>
      </c>
      <c r="AC44" s="8">
        <v>202.49213650867699</v>
      </c>
      <c r="AD44" s="8">
        <v>202.51557806478701</v>
      </c>
      <c r="AE44" s="9">
        <v>3.14575587549318E-4</v>
      </c>
      <c r="AF44" s="9">
        <v>5.99374998264222E-5</v>
      </c>
      <c r="AG44" s="9">
        <v>1.7569606586392299E-4</v>
      </c>
      <c r="AZ44" s="9"/>
      <c r="BB44">
        <f t="shared" si="2"/>
        <v>0</v>
      </c>
      <c r="BC44">
        <f t="shared" si="3"/>
        <v>1</v>
      </c>
      <c r="BD44">
        <f t="shared" si="4"/>
        <v>0</v>
      </c>
      <c r="BE44">
        <f t="shared" si="0"/>
        <v>1</v>
      </c>
      <c r="BF44">
        <f t="shared" si="5"/>
        <v>0</v>
      </c>
      <c r="BG44" s="9">
        <f t="shared" si="6"/>
        <v>0</v>
      </c>
      <c r="BH44" s="9">
        <f t="shared" si="7"/>
        <v>0</v>
      </c>
      <c r="BI44" s="9">
        <f t="shared" si="8"/>
        <v>0</v>
      </c>
      <c r="BJ44" s="12">
        <f t="shared" si="9"/>
        <v>0</v>
      </c>
      <c r="BL44" s="9"/>
      <c r="BN44">
        <f t="shared" si="10"/>
        <v>0</v>
      </c>
      <c r="BO44">
        <f t="shared" si="11"/>
        <v>0</v>
      </c>
      <c r="BP44">
        <f t="shared" si="12"/>
        <v>0</v>
      </c>
      <c r="BQ44">
        <f t="shared" si="1"/>
        <v>1</v>
      </c>
      <c r="BR44">
        <f t="shared" si="13"/>
        <v>0</v>
      </c>
      <c r="BS44" s="9">
        <f t="shared" si="14"/>
        <v>0</v>
      </c>
      <c r="BT44" s="9">
        <f t="shared" si="15"/>
        <v>0</v>
      </c>
      <c r="BU44" s="9">
        <f t="shared" si="16"/>
        <v>0</v>
      </c>
      <c r="BV44" s="12">
        <f t="shared" si="17"/>
        <v>0</v>
      </c>
      <c r="BX44" s="12">
        <f t="shared" si="18"/>
        <v>0</v>
      </c>
      <c r="BY44" s="12">
        <f t="shared" si="19"/>
        <v>0</v>
      </c>
    </row>
    <row r="45" spans="1:77" x14ac:dyDescent="0.3">
      <c r="A45" s="1">
        <v>46087</v>
      </c>
      <c r="B45" s="8">
        <v>60.18</v>
      </c>
      <c r="C45" s="8">
        <v>201.6</v>
      </c>
      <c r="D45" s="9">
        <v>-4.1455991715679697E-3</v>
      </c>
      <c r="E45" s="9">
        <v>-4.3555800396549898E-3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60.18</v>
      </c>
      <c r="M45" s="8">
        <v>201.6</v>
      </c>
      <c r="N45" s="10">
        <v>3.34995014955134</v>
      </c>
      <c r="O45" s="10">
        <v>3.3517078484942102</v>
      </c>
      <c r="P45" s="10">
        <v>3.3507500566391499</v>
      </c>
      <c r="Q45" s="10">
        <v>3.3511144591111801</v>
      </c>
      <c r="R45" s="8">
        <v>201.70577832238101</v>
      </c>
      <c r="S45" s="8">
        <v>201.646425699513</v>
      </c>
      <c r="T45" s="8">
        <v>201.67630946066899</v>
      </c>
      <c r="U45" s="9">
        <v>5.2455645563638498E-4</v>
      </c>
      <c r="V45" s="9">
        <v>2.30259696108007E-4</v>
      </c>
      <c r="W45" s="9">
        <v>3.7844752984321701E-4</v>
      </c>
      <c r="X45" s="10">
        <v>3.34995014955134</v>
      </c>
      <c r="Y45" s="10">
        <v>3.3517078484942102</v>
      </c>
      <c r="Z45" s="10">
        <v>3.3507500566391499</v>
      </c>
      <c r="AA45" s="10">
        <v>3.3511144591111801</v>
      </c>
      <c r="AB45" s="8">
        <v>201.70577832238101</v>
      </c>
      <c r="AC45" s="8">
        <v>201.646425699513</v>
      </c>
      <c r="AD45" s="8">
        <v>201.67630946066899</v>
      </c>
      <c r="AE45" s="9">
        <v>5.2455645563638498E-4</v>
      </c>
      <c r="AF45" s="9">
        <v>2.30259696108007E-4</v>
      </c>
      <c r="AG45" s="9">
        <v>3.7844752984321701E-4</v>
      </c>
      <c r="AZ45" s="9"/>
      <c r="BB45">
        <f t="shared" si="2"/>
        <v>0</v>
      </c>
      <c r="BC45">
        <f t="shared" si="3"/>
        <v>1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0</v>
      </c>
      <c r="BL45" s="9"/>
      <c r="BN45">
        <f t="shared" si="10"/>
        <v>0</v>
      </c>
      <c r="BO45">
        <f t="shared" si="11"/>
        <v>0</v>
      </c>
      <c r="BP45">
        <f t="shared" si="12"/>
        <v>0</v>
      </c>
      <c r="BQ45">
        <f t="shared" si="1"/>
        <v>1</v>
      </c>
      <c r="BR45">
        <f t="shared" si="13"/>
        <v>0</v>
      </c>
      <c r="BS45" s="9">
        <f t="shared" si="14"/>
        <v>0</v>
      </c>
      <c r="BT45" s="9">
        <f t="shared" si="15"/>
        <v>0</v>
      </c>
      <c r="BU45" s="9">
        <f t="shared" si="16"/>
        <v>0</v>
      </c>
      <c r="BV45" s="12">
        <f t="shared" si="17"/>
        <v>0</v>
      </c>
      <c r="BX45" s="12">
        <f t="shared" si="18"/>
        <v>0</v>
      </c>
      <c r="BY45" s="12">
        <f t="shared" si="19"/>
        <v>0</v>
      </c>
    </row>
    <row r="46" spans="1:77" x14ac:dyDescent="0.3">
      <c r="A46" s="1">
        <v>46090</v>
      </c>
      <c r="B46" s="8">
        <v>60.32</v>
      </c>
      <c r="C46" s="8">
        <v>202.12</v>
      </c>
      <c r="D46" s="9">
        <v>2.3236524978015498E-3</v>
      </c>
      <c r="E46" s="9">
        <v>2.5760442264942699E-3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60.32</v>
      </c>
      <c r="M46" s="8">
        <v>202.12</v>
      </c>
      <c r="N46" s="10">
        <v>3.35079575596817</v>
      </c>
      <c r="O46" s="10">
        <v>3.3517078484942102</v>
      </c>
      <c r="P46" s="10">
        <v>3.3505736481934099</v>
      </c>
      <c r="Q46" s="10">
        <v>3.3511177310563598</v>
      </c>
      <c r="R46" s="8">
        <v>202.17501742117</v>
      </c>
      <c r="S46" s="8">
        <v>202.117243416473</v>
      </c>
      <c r="T46" s="8">
        <v>202.139224173586</v>
      </c>
      <c r="U46" s="9">
        <v>2.7216472694349502E-4</v>
      </c>
      <c r="V46" s="9">
        <v>-1.36384441135016E-5</v>
      </c>
      <c r="W46" s="9">
        <v>9.5108150669750803E-5</v>
      </c>
      <c r="X46" s="10">
        <v>3.35079575596817</v>
      </c>
      <c r="Y46" s="10">
        <v>3.3517078484942102</v>
      </c>
      <c r="Z46" s="10">
        <v>3.3505736481934099</v>
      </c>
      <c r="AA46" s="10">
        <v>3.3511177310563598</v>
      </c>
      <c r="AB46" s="8">
        <v>202.17501742117</v>
      </c>
      <c r="AC46" s="8">
        <v>202.117243416473</v>
      </c>
      <c r="AD46" s="8">
        <v>202.139224173586</v>
      </c>
      <c r="AE46" s="9">
        <v>2.7216472694349502E-4</v>
      </c>
      <c r="AF46" s="9">
        <v>-1.36384441135016E-5</v>
      </c>
      <c r="AG46" s="9">
        <v>9.5108150669750803E-5</v>
      </c>
      <c r="AZ46" s="9"/>
      <c r="BB46">
        <f t="shared" si="2"/>
        <v>0</v>
      </c>
      <c r="BC46">
        <f t="shared" si="3"/>
        <v>1</v>
      </c>
      <c r="BD46">
        <f t="shared" si="4"/>
        <v>0</v>
      </c>
      <c r="BE46">
        <f t="shared" si="0"/>
        <v>1</v>
      </c>
      <c r="BF46">
        <f t="shared" si="5"/>
        <v>0</v>
      </c>
      <c r="BG46" s="9">
        <f t="shared" si="6"/>
        <v>0</v>
      </c>
      <c r="BH46" s="9">
        <f t="shared" si="7"/>
        <v>0</v>
      </c>
      <c r="BI46" s="9">
        <f t="shared" si="8"/>
        <v>0</v>
      </c>
      <c r="BJ46" s="12">
        <f t="shared" si="9"/>
        <v>0</v>
      </c>
      <c r="BL46" s="9"/>
      <c r="BN46">
        <f t="shared" si="10"/>
        <v>0</v>
      </c>
      <c r="BO46">
        <f t="shared" si="11"/>
        <v>0</v>
      </c>
      <c r="BP46">
        <f t="shared" si="12"/>
        <v>0</v>
      </c>
      <c r="BQ46">
        <f t="shared" si="1"/>
        <v>1</v>
      </c>
      <c r="BR46">
        <f t="shared" si="13"/>
        <v>0</v>
      </c>
      <c r="BS46" s="9">
        <f t="shared" si="14"/>
        <v>0</v>
      </c>
      <c r="BT46" s="9">
        <f t="shared" si="15"/>
        <v>0</v>
      </c>
      <c r="BU46" s="9">
        <f t="shared" si="16"/>
        <v>0</v>
      </c>
      <c r="BV46" s="12">
        <f t="shared" si="17"/>
        <v>0</v>
      </c>
      <c r="BX46" s="12">
        <f t="shared" si="18"/>
        <v>0</v>
      </c>
      <c r="BY46" s="12">
        <f t="shared" si="19"/>
        <v>0</v>
      </c>
    </row>
    <row r="47" spans="1:77" x14ac:dyDescent="0.3">
      <c r="A47" s="1">
        <v>46091</v>
      </c>
      <c r="B47" s="8">
        <v>59.95</v>
      </c>
      <c r="C47" s="8">
        <v>200.84</v>
      </c>
      <c r="D47" s="9">
        <v>-6.1528422261773298E-3</v>
      </c>
      <c r="E47" s="9">
        <v>-6.3530092572031197E-3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59.95</v>
      </c>
      <c r="M47" s="8">
        <v>200.84</v>
      </c>
      <c r="N47" s="10">
        <v>3.3501251042535398</v>
      </c>
      <c r="O47" s="10">
        <v>3.3517078484942102</v>
      </c>
      <c r="P47" s="10">
        <v>3.3505154581912699</v>
      </c>
      <c r="Q47" s="10">
        <v>3.3510396168196599</v>
      </c>
      <c r="R47" s="8">
        <v>200.934885517228</v>
      </c>
      <c r="S47" s="8">
        <v>200.86689020919499</v>
      </c>
      <c r="T47" s="8">
        <v>200.899507976829</v>
      </c>
      <c r="U47" s="9">
        <v>4.7233175796942701E-4</v>
      </c>
      <c r="V47" s="9">
        <v>1.3387975108610899E-4</v>
      </c>
      <c r="W47" s="9">
        <v>2.9625155645892899E-4</v>
      </c>
      <c r="X47" s="10">
        <v>3.3501251042535398</v>
      </c>
      <c r="Y47" s="10">
        <v>3.3517078484942102</v>
      </c>
      <c r="Z47" s="10">
        <v>3.3505154581912699</v>
      </c>
      <c r="AA47" s="10">
        <v>3.3510396168196599</v>
      </c>
      <c r="AB47" s="8">
        <v>200.934885517228</v>
      </c>
      <c r="AC47" s="8">
        <v>200.86689020919499</v>
      </c>
      <c r="AD47" s="8">
        <v>200.899507976829</v>
      </c>
      <c r="AE47" s="9">
        <v>4.7233175796942701E-4</v>
      </c>
      <c r="AF47" s="9">
        <v>1.3387975108610899E-4</v>
      </c>
      <c r="AG47" s="9">
        <v>2.9625155645892899E-4</v>
      </c>
      <c r="AZ47" s="9"/>
      <c r="BB47">
        <f t="shared" si="2"/>
        <v>0</v>
      </c>
      <c r="BC47">
        <f t="shared" si="3"/>
        <v>1</v>
      </c>
      <c r="BD47">
        <f t="shared" si="4"/>
        <v>0</v>
      </c>
      <c r="BE47">
        <f t="shared" si="0"/>
        <v>1</v>
      </c>
      <c r="BF47">
        <f t="shared" si="5"/>
        <v>0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0</v>
      </c>
      <c r="BL47" s="9"/>
      <c r="BN47">
        <f t="shared" si="10"/>
        <v>0</v>
      </c>
      <c r="BO47">
        <f t="shared" si="11"/>
        <v>0</v>
      </c>
      <c r="BP47">
        <f t="shared" si="12"/>
        <v>0</v>
      </c>
      <c r="BQ47">
        <f t="shared" si="1"/>
        <v>1</v>
      </c>
      <c r="BR47">
        <f t="shared" si="13"/>
        <v>0</v>
      </c>
      <c r="BS47" s="9">
        <f t="shared" si="14"/>
        <v>0</v>
      </c>
      <c r="BT47" s="9">
        <f t="shared" si="15"/>
        <v>0</v>
      </c>
      <c r="BU47" s="9">
        <f t="shared" si="16"/>
        <v>0</v>
      </c>
      <c r="BV47" s="12">
        <f t="shared" si="17"/>
        <v>0</v>
      </c>
      <c r="BX47" s="12">
        <f t="shared" si="18"/>
        <v>0</v>
      </c>
      <c r="BY47" s="12">
        <f t="shared" si="19"/>
        <v>0</v>
      </c>
    </row>
    <row r="48" spans="1:77" x14ac:dyDescent="0.3">
      <c r="A48" s="1">
        <v>46092</v>
      </c>
      <c r="B48" s="8">
        <v>59.48</v>
      </c>
      <c r="C48" s="8">
        <v>199.3</v>
      </c>
      <c r="D48" s="9">
        <v>-7.8707598815690206E-3</v>
      </c>
      <c r="E48" s="9">
        <v>-7.6973439477556697E-3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59.48</v>
      </c>
      <c r="M48" s="8">
        <v>199.3</v>
      </c>
      <c r="N48" s="10">
        <v>3.3507061197041001</v>
      </c>
      <c r="O48" s="10">
        <v>3.3517078484942102</v>
      </c>
      <c r="P48" s="10">
        <v>3.3505877078950599</v>
      </c>
      <c r="Q48" s="10">
        <v>3.35103689168055</v>
      </c>
      <c r="R48" s="8">
        <v>199.35958282843501</v>
      </c>
      <c r="S48" s="8">
        <v>199.28865945321701</v>
      </c>
      <c r="T48" s="8">
        <v>199.31983640843299</v>
      </c>
      <c r="U48" s="9">
        <v>2.9891582415604898E-4</v>
      </c>
      <c r="V48" s="9">
        <v>-5.6903509504746702E-5</v>
      </c>
      <c r="W48" s="9">
        <v>9.9525445742545095E-5</v>
      </c>
      <c r="X48" s="10">
        <v>3.3507061197041001</v>
      </c>
      <c r="Y48" s="10">
        <v>3.3517078484942102</v>
      </c>
      <c r="Z48" s="10">
        <v>3.3505877078950599</v>
      </c>
      <c r="AA48" s="10">
        <v>3.35103689168055</v>
      </c>
      <c r="AB48" s="8">
        <v>199.35958282843501</v>
      </c>
      <c r="AC48" s="8">
        <v>199.28865945321701</v>
      </c>
      <c r="AD48" s="8">
        <v>199.31983640843299</v>
      </c>
      <c r="AE48" s="9">
        <v>2.9891582415604898E-4</v>
      </c>
      <c r="AF48" s="9">
        <v>-5.6903509504746702E-5</v>
      </c>
      <c r="AG48" s="9">
        <v>9.9525445742545095E-5</v>
      </c>
      <c r="AZ48" s="9"/>
      <c r="BB48">
        <f t="shared" si="2"/>
        <v>0</v>
      </c>
      <c r="BC48">
        <f t="shared" si="3"/>
        <v>1</v>
      </c>
      <c r="BD48">
        <f t="shared" si="4"/>
        <v>0</v>
      </c>
      <c r="BE48">
        <f t="shared" si="0"/>
        <v>1</v>
      </c>
      <c r="BF48">
        <f t="shared" si="5"/>
        <v>0</v>
      </c>
      <c r="BG48" s="9">
        <f t="shared" si="6"/>
        <v>0</v>
      </c>
      <c r="BH48" s="9">
        <f t="shared" si="7"/>
        <v>0</v>
      </c>
      <c r="BI48" s="9">
        <f t="shared" si="8"/>
        <v>0</v>
      </c>
      <c r="BJ48" s="12">
        <f t="shared" si="9"/>
        <v>0</v>
      </c>
      <c r="BL48" s="9"/>
      <c r="BN48">
        <f t="shared" si="10"/>
        <v>0</v>
      </c>
      <c r="BO48">
        <f t="shared" si="11"/>
        <v>0</v>
      </c>
      <c r="BP48">
        <f t="shared" si="12"/>
        <v>0</v>
      </c>
      <c r="BQ48">
        <f t="shared" si="1"/>
        <v>1</v>
      </c>
      <c r="BR48">
        <f t="shared" si="13"/>
        <v>0</v>
      </c>
      <c r="BS48" s="9">
        <f t="shared" si="14"/>
        <v>0</v>
      </c>
      <c r="BT48" s="9">
        <f t="shared" si="15"/>
        <v>0</v>
      </c>
      <c r="BU48" s="9">
        <f t="shared" si="16"/>
        <v>0</v>
      </c>
      <c r="BV48" s="12">
        <f t="shared" si="17"/>
        <v>0</v>
      </c>
      <c r="BX48" s="12">
        <f t="shared" si="18"/>
        <v>0</v>
      </c>
      <c r="BY48" s="12">
        <f t="shared" si="19"/>
        <v>0</v>
      </c>
    </row>
    <row r="49" spans="1:77" x14ac:dyDescent="0.3">
      <c r="A49" s="1">
        <v>46093</v>
      </c>
      <c r="B49" s="8">
        <v>59.89</v>
      </c>
      <c r="C49" s="8">
        <v>200.63</v>
      </c>
      <c r="D49" s="9">
        <v>6.8694246844168E-3</v>
      </c>
      <c r="E49" s="9">
        <v>6.6511884733604599E-3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59.89</v>
      </c>
      <c r="M49" s="8">
        <v>200.63</v>
      </c>
      <c r="N49" s="10">
        <v>3.3499749540824801</v>
      </c>
      <c r="O49" s="10">
        <v>3.3517078484942102</v>
      </c>
      <c r="P49" s="10">
        <v>3.35047584628966</v>
      </c>
      <c r="Q49" s="10">
        <v>3.3509758058779102</v>
      </c>
      <c r="R49" s="8">
        <v>200.733783046318</v>
      </c>
      <c r="S49" s="8">
        <v>200.666697825835</v>
      </c>
      <c r="T49" s="8">
        <v>200.693599442748</v>
      </c>
      <c r="U49" s="9">
        <v>5.1715203521241295E-4</v>
      </c>
      <c r="V49" s="9">
        <v>1.8289622683951599E-4</v>
      </c>
      <c r="W49" s="9">
        <v>3.16948434474717E-4</v>
      </c>
      <c r="X49" s="10">
        <v>3.3499749540824801</v>
      </c>
      <c r="Y49" s="10">
        <v>3.3517078484942102</v>
      </c>
      <c r="Z49" s="10">
        <v>3.35047584628966</v>
      </c>
      <c r="AA49" s="10">
        <v>3.3509758058779102</v>
      </c>
      <c r="AB49" s="8">
        <v>200.733783046318</v>
      </c>
      <c r="AC49" s="8">
        <v>200.666697825835</v>
      </c>
      <c r="AD49" s="8">
        <v>200.693599442748</v>
      </c>
      <c r="AE49" s="9">
        <v>5.1715203521241295E-4</v>
      </c>
      <c r="AF49" s="9">
        <v>1.8289622683951599E-4</v>
      </c>
      <c r="AG49" s="9">
        <v>3.16948434474717E-4</v>
      </c>
      <c r="AZ49" s="9"/>
      <c r="BB49">
        <f t="shared" si="2"/>
        <v>0</v>
      </c>
      <c r="BC49">
        <f t="shared" si="3"/>
        <v>1</v>
      </c>
      <c r="BD49">
        <f t="shared" si="4"/>
        <v>0</v>
      </c>
      <c r="BE49">
        <f t="shared" si="0"/>
        <v>1</v>
      </c>
      <c r="BF49">
        <f t="shared" si="5"/>
        <v>0</v>
      </c>
      <c r="BG49" s="9">
        <f t="shared" si="6"/>
        <v>0</v>
      </c>
      <c r="BH49" s="9">
        <f t="shared" si="7"/>
        <v>0</v>
      </c>
      <c r="BI49" s="9">
        <f t="shared" si="8"/>
        <v>0</v>
      </c>
      <c r="BJ49" s="12">
        <f t="shared" si="9"/>
        <v>0</v>
      </c>
      <c r="BL49" s="9"/>
      <c r="BN49">
        <f t="shared" si="10"/>
        <v>0</v>
      </c>
      <c r="BO49">
        <f t="shared" si="11"/>
        <v>0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0</v>
      </c>
      <c r="BX49" s="12">
        <f t="shared" si="18"/>
        <v>0</v>
      </c>
      <c r="BY49" s="12">
        <f t="shared" si="19"/>
        <v>0</v>
      </c>
    </row>
    <row r="50" spans="1:77" x14ac:dyDescent="0.3">
      <c r="A50" s="1">
        <v>46094</v>
      </c>
      <c r="B50" s="8">
        <v>60.44</v>
      </c>
      <c r="C50" s="8">
        <v>202.59</v>
      </c>
      <c r="D50" s="9">
        <v>9.1415911281676893E-3</v>
      </c>
      <c r="E50" s="9">
        <v>9.7218165627508107E-3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60.44</v>
      </c>
      <c r="M50" s="8">
        <v>202.59</v>
      </c>
      <c r="N50" s="10">
        <v>3.3519192587690201</v>
      </c>
      <c r="O50" s="10">
        <v>3.3517078484942102</v>
      </c>
      <c r="P50" s="10">
        <v>3.3505929023748999</v>
      </c>
      <c r="Q50" s="10">
        <v>3.3509392901838799</v>
      </c>
      <c r="R50" s="8">
        <v>202.57722236299</v>
      </c>
      <c r="S50" s="8">
        <v>202.50276014974699</v>
      </c>
      <c r="T50" s="8">
        <v>202.53297770725999</v>
      </c>
      <c r="U50" s="9">
        <v>-6.3073399370754306E-5</v>
      </c>
      <c r="V50" s="9">
        <v>-4.3071543203657001E-4</v>
      </c>
      <c r="W50" s="9">
        <v>-2.8150609199390202E-4</v>
      </c>
      <c r="X50" s="10">
        <v>3.3519192587690201</v>
      </c>
      <c r="Y50" s="10">
        <v>3.3517078484942102</v>
      </c>
      <c r="Z50" s="10">
        <v>3.3505929023748999</v>
      </c>
      <c r="AA50" s="10">
        <v>3.3509392901838799</v>
      </c>
      <c r="AB50" s="8">
        <v>202.57722236299</v>
      </c>
      <c r="AC50" s="8">
        <v>202.50276014974699</v>
      </c>
      <c r="AD50" s="8">
        <v>202.53297770725999</v>
      </c>
      <c r="AE50" s="9">
        <v>-6.3073399370754306E-5</v>
      </c>
      <c r="AF50" s="9">
        <v>-4.3071543203657001E-4</v>
      </c>
      <c r="AG50" s="9">
        <v>-2.8150609199390202E-4</v>
      </c>
      <c r="AZ50" s="9"/>
      <c r="BB50">
        <f t="shared" si="2"/>
        <v>0</v>
      </c>
      <c r="BC50">
        <f t="shared" si="3"/>
        <v>0</v>
      </c>
      <c r="BD50">
        <f t="shared" si="4"/>
        <v>0</v>
      </c>
      <c r="BE50">
        <f t="shared" si="0"/>
        <v>1</v>
      </c>
      <c r="BF50">
        <f t="shared" si="5"/>
        <v>0</v>
      </c>
      <c r="BG50" s="9">
        <f t="shared" si="6"/>
        <v>0</v>
      </c>
      <c r="BH50" s="9">
        <f t="shared" si="7"/>
        <v>0</v>
      </c>
      <c r="BI50" s="9">
        <f t="shared" si="8"/>
        <v>0</v>
      </c>
      <c r="BJ50" s="12">
        <f t="shared" si="9"/>
        <v>0</v>
      </c>
      <c r="BL50" s="9"/>
      <c r="BN50">
        <f t="shared" si="10"/>
        <v>0</v>
      </c>
      <c r="BO50">
        <f t="shared" si="11"/>
        <v>1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0</v>
      </c>
      <c r="BX50" s="12">
        <f t="shared" si="18"/>
        <v>0</v>
      </c>
      <c r="BY50" s="12">
        <f t="shared" si="19"/>
        <v>0</v>
      </c>
    </row>
    <row r="51" spans="1:77" x14ac:dyDescent="0.3">
      <c r="A51" s="1">
        <v>46097</v>
      </c>
      <c r="B51" s="8">
        <v>60.76</v>
      </c>
      <c r="C51" s="8">
        <v>203.71</v>
      </c>
      <c r="D51" s="9">
        <v>5.2805403230333503E-3</v>
      </c>
      <c r="E51" s="9">
        <v>5.5131815746060197E-3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60.76</v>
      </c>
      <c r="M51" s="8">
        <v>203.71</v>
      </c>
      <c r="N51" s="10">
        <v>3.3526991441737901</v>
      </c>
      <c r="O51" s="10">
        <v>3.3517078484942102</v>
      </c>
      <c r="P51" s="10">
        <v>3.3508308652930099</v>
      </c>
      <c r="Q51" s="10">
        <v>3.3509472698738301</v>
      </c>
      <c r="R51" s="8">
        <v>203.649768874508</v>
      </c>
      <c r="S51" s="8">
        <v>203.58202474829801</v>
      </c>
      <c r="T51" s="8">
        <v>203.60307127157199</v>
      </c>
      <c r="U51" s="9">
        <v>-2.9571465094340398E-4</v>
      </c>
      <c r="V51" s="9">
        <v>-6.2842014150272596E-4</v>
      </c>
      <c r="W51" s="9">
        <v>-5.2504443596602805E-4</v>
      </c>
      <c r="X51" s="10">
        <v>3.3526991441737901</v>
      </c>
      <c r="Y51" s="10">
        <v>3.3517078484942102</v>
      </c>
      <c r="Z51" s="10">
        <v>3.3508308652930099</v>
      </c>
      <c r="AA51" s="10">
        <v>3.3509472698738301</v>
      </c>
      <c r="AB51" s="8">
        <v>203.649768874508</v>
      </c>
      <c r="AC51" s="8">
        <v>203.58202474829801</v>
      </c>
      <c r="AD51" s="8">
        <v>203.60307127157199</v>
      </c>
      <c r="AE51" s="9">
        <v>-2.9571465094340398E-4</v>
      </c>
      <c r="AF51" s="9">
        <v>-6.2842014150272596E-4</v>
      </c>
      <c r="AG51" s="9">
        <v>-5.2504443596602805E-4</v>
      </c>
      <c r="AZ51" s="9"/>
      <c r="BB51">
        <f t="shared" si="2"/>
        <v>0</v>
      </c>
      <c r="BC51">
        <f t="shared" si="3"/>
        <v>0</v>
      </c>
      <c r="BD51">
        <f t="shared" si="4"/>
        <v>0</v>
      </c>
      <c r="BE51">
        <f t="shared" si="0"/>
        <v>1</v>
      </c>
      <c r="BF51">
        <f t="shared" si="5"/>
        <v>0</v>
      </c>
      <c r="BG51" s="9">
        <f t="shared" si="6"/>
        <v>0</v>
      </c>
      <c r="BH51" s="9">
        <f t="shared" si="7"/>
        <v>0</v>
      </c>
      <c r="BI51" s="9">
        <f t="shared" si="8"/>
        <v>0</v>
      </c>
      <c r="BJ51" s="12">
        <f t="shared" si="9"/>
        <v>0</v>
      </c>
      <c r="BL51" s="9"/>
      <c r="BN51">
        <f t="shared" si="10"/>
        <v>0</v>
      </c>
      <c r="BO51">
        <f t="shared" si="11"/>
        <v>1</v>
      </c>
      <c r="BP51">
        <f t="shared" si="12"/>
        <v>0</v>
      </c>
      <c r="BQ51">
        <f t="shared" si="1"/>
        <v>1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0</v>
      </c>
      <c r="BX51" s="12">
        <f t="shared" si="18"/>
        <v>0</v>
      </c>
      <c r="BY51" s="12">
        <f t="shared" si="19"/>
        <v>0</v>
      </c>
    </row>
    <row r="52" spans="1:77" x14ac:dyDescent="0.3">
      <c r="A52" s="1">
        <v>46098</v>
      </c>
      <c r="B52" s="8">
        <v>60.62</v>
      </c>
      <c r="C52" s="8">
        <v>203.11</v>
      </c>
      <c r="D52" s="9">
        <v>-2.30680609791505E-3</v>
      </c>
      <c r="E52" s="9">
        <v>-2.9497096260717999E-3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60.62</v>
      </c>
      <c r="M52" s="8">
        <v>203.11</v>
      </c>
      <c r="N52" s="10">
        <v>3.35054437479379</v>
      </c>
      <c r="O52" s="10">
        <v>3.3517078484942102</v>
      </c>
      <c r="P52" s="10">
        <v>3.3509256851689599</v>
      </c>
      <c r="Q52" s="10">
        <v>3.3508593350754698</v>
      </c>
      <c r="R52" s="8">
        <v>203.18052977571901</v>
      </c>
      <c r="S52" s="8">
        <v>203.12736705406201</v>
      </c>
      <c r="T52" s="8">
        <v>203.13442349975199</v>
      </c>
      <c r="U52" s="9">
        <v>3.4718887721346301E-4</v>
      </c>
      <c r="V52" s="9">
        <v>8.5502001941762203E-5</v>
      </c>
      <c r="W52" s="9">
        <v>1.20240418667918E-4</v>
      </c>
      <c r="X52" s="10">
        <v>3.35054437479379</v>
      </c>
      <c r="Y52" s="10">
        <v>3.3517078484942102</v>
      </c>
      <c r="Z52" s="10">
        <v>3.3509256851689599</v>
      </c>
      <c r="AA52" s="10">
        <v>3.3508593350754698</v>
      </c>
      <c r="AB52" s="8">
        <v>203.18052977571901</v>
      </c>
      <c r="AC52" s="8">
        <v>203.12736705406201</v>
      </c>
      <c r="AD52" s="8">
        <v>203.13442349975199</v>
      </c>
      <c r="AE52" s="9">
        <v>3.4718887721346301E-4</v>
      </c>
      <c r="AF52" s="9">
        <v>8.5502001941762203E-5</v>
      </c>
      <c r="AG52" s="9">
        <v>1.20240418667918E-4</v>
      </c>
      <c r="AZ52" s="9"/>
      <c r="BB52">
        <f t="shared" si="2"/>
        <v>0</v>
      </c>
      <c r="BC52">
        <f t="shared" si="3"/>
        <v>1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0</v>
      </c>
      <c r="BL52" s="9"/>
      <c r="BN52">
        <f t="shared" si="10"/>
        <v>0</v>
      </c>
      <c r="BO52">
        <f t="shared" si="11"/>
        <v>0</v>
      </c>
      <c r="BP52">
        <f t="shared" si="12"/>
        <v>0</v>
      </c>
      <c r="BQ52">
        <f t="shared" si="1"/>
        <v>1</v>
      </c>
      <c r="BR52">
        <f t="shared" si="13"/>
        <v>0</v>
      </c>
      <c r="BS52" s="9">
        <f t="shared" si="14"/>
        <v>0</v>
      </c>
      <c r="BT52" s="9">
        <f t="shared" si="15"/>
        <v>0</v>
      </c>
      <c r="BU52" s="9">
        <f t="shared" si="16"/>
        <v>0</v>
      </c>
      <c r="BV52" s="12">
        <f t="shared" si="17"/>
        <v>0</v>
      </c>
      <c r="BX52" s="12">
        <f t="shared" si="18"/>
        <v>0</v>
      </c>
      <c r="BY52" s="12">
        <f t="shared" si="19"/>
        <v>0</v>
      </c>
    </row>
    <row r="53" spans="1:77" x14ac:dyDescent="0.3">
      <c r="A53" s="1">
        <v>46099</v>
      </c>
      <c r="B53" s="8">
        <v>60.2</v>
      </c>
      <c r="C53" s="8">
        <v>201.48</v>
      </c>
      <c r="D53" s="9">
        <v>-6.9525193148816397E-3</v>
      </c>
      <c r="E53" s="9">
        <v>-8.0575833259446394E-3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60.2</v>
      </c>
      <c r="M53" s="8">
        <v>201.48</v>
      </c>
      <c r="N53" s="10">
        <v>3.34684385382059</v>
      </c>
      <c r="O53" s="10">
        <v>3.3517078484942102</v>
      </c>
      <c r="P53" s="10">
        <v>3.3504212363966701</v>
      </c>
      <c r="Q53" s="10">
        <v>3.3506378605339102</v>
      </c>
      <c r="R53" s="8">
        <v>201.77281247935099</v>
      </c>
      <c r="S53" s="8">
        <v>201.72572624717199</v>
      </c>
      <c r="T53" s="8">
        <v>201.72173197154299</v>
      </c>
      <c r="U53" s="9">
        <v>1.45225288827644E-3</v>
      </c>
      <c r="V53" s="9">
        <v>1.21886303491041E-3</v>
      </c>
      <c r="W53" s="9">
        <v>1.19906231217969E-3</v>
      </c>
      <c r="X53" s="10">
        <v>3.34684385382059</v>
      </c>
      <c r="Y53" s="10">
        <v>3.3517078484942102</v>
      </c>
      <c r="Z53" s="10">
        <v>3.3504212363966701</v>
      </c>
      <c r="AA53" s="10">
        <v>3.3506378605339102</v>
      </c>
      <c r="AB53" s="8">
        <v>201.77281247935099</v>
      </c>
      <c r="AC53" s="8">
        <v>201.72572624717199</v>
      </c>
      <c r="AD53" s="8">
        <v>201.72173197154299</v>
      </c>
      <c r="AE53" s="9">
        <v>1.45225288827644E-3</v>
      </c>
      <c r="AF53" s="9">
        <v>1.21886303491041E-3</v>
      </c>
      <c r="AG53" s="9">
        <v>1.19906231217969E-3</v>
      </c>
      <c r="AZ53" s="9"/>
      <c r="BB53">
        <f t="shared" si="2"/>
        <v>0</v>
      </c>
      <c r="BC53">
        <f t="shared" si="3"/>
        <v>1</v>
      </c>
      <c r="BD53">
        <f t="shared" si="4"/>
        <v>0</v>
      </c>
      <c r="BE53">
        <f t="shared" si="0"/>
        <v>1</v>
      </c>
      <c r="BF53">
        <f t="shared" si="5"/>
        <v>0</v>
      </c>
      <c r="BG53" s="9">
        <f t="shared" si="6"/>
        <v>0</v>
      </c>
      <c r="BH53" s="9">
        <f t="shared" si="7"/>
        <v>0</v>
      </c>
      <c r="BI53" s="9">
        <f t="shared" si="8"/>
        <v>0</v>
      </c>
      <c r="BJ53" s="12">
        <f t="shared" si="9"/>
        <v>0</v>
      </c>
      <c r="BL53" s="9"/>
      <c r="BN53">
        <f t="shared" si="10"/>
        <v>0</v>
      </c>
      <c r="BO53">
        <f t="shared" si="11"/>
        <v>0</v>
      </c>
      <c r="BP53">
        <f t="shared" si="12"/>
        <v>0</v>
      </c>
      <c r="BQ53">
        <f t="shared" si="1"/>
        <v>1</v>
      </c>
      <c r="BR53">
        <f t="shared" si="13"/>
        <v>0</v>
      </c>
      <c r="BS53" s="9">
        <f t="shared" si="14"/>
        <v>0</v>
      </c>
      <c r="BT53" s="9">
        <f t="shared" si="15"/>
        <v>0</v>
      </c>
      <c r="BU53" s="9">
        <f t="shared" si="16"/>
        <v>0</v>
      </c>
      <c r="BV53" s="12">
        <f t="shared" si="17"/>
        <v>0</v>
      </c>
      <c r="BX53" s="12">
        <f t="shared" si="18"/>
        <v>0</v>
      </c>
      <c r="BY53" s="12">
        <f t="shared" si="19"/>
        <v>0</v>
      </c>
    </row>
    <row r="54" spans="1:77" x14ac:dyDescent="0.3">
      <c r="A54" s="1">
        <v>46100</v>
      </c>
      <c r="B54" s="8">
        <v>59.91</v>
      </c>
      <c r="C54" s="8">
        <v>200.77</v>
      </c>
      <c r="D54" s="9">
        <v>-4.82891621894196E-3</v>
      </c>
      <c r="E54" s="9">
        <v>-3.53014661196259E-3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59.91</v>
      </c>
      <c r="M54" s="8">
        <v>200.77</v>
      </c>
      <c r="N54" s="10">
        <v>3.3511934568519401</v>
      </c>
      <c r="O54" s="10">
        <v>3.3517078484942102</v>
      </c>
      <c r="P54" s="10">
        <v>3.3504752171968799</v>
      </c>
      <c r="Q54" s="10">
        <v>3.35059840703242</v>
      </c>
      <c r="R54" s="8">
        <v>200.80081720328801</v>
      </c>
      <c r="S54" s="8">
        <v>200.72373627252401</v>
      </c>
      <c r="T54" s="8">
        <v>200.736714224586</v>
      </c>
      <c r="U54" s="9">
        <v>1.53483281297251E-4</v>
      </c>
      <c r="V54" s="9">
        <v>-2.30458029603688E-4</v>
      </c>
      <c r="W54" s="9">
        <v>-1.6580432809939501E-4</v>
      </c>
      <c r="X54" s="10">
        <v>3.3511934568519401</v>
      </c>
      <c r="Y54" s="10">
        <v>3.3517078484942102</v>
      </c>
      <c r="Z54" s="10">
        <v>3.3504752171968799</v>
      </c>
      <c r="AA54" s="10">
        <v>3.35059840703242</v>
      </c>
      <c r="AB54" s="8">
        <v>200.80081720328801</v>
      </c>
      <c r="AC54" s="8">
        <v>200.72373627252401</v>
      </c>
      <c r="AD54" s="8">
        <v>200.736714224586</v>
      </c>
      <c r="AE54" s="9">
        <v>1.53483281297251E-4</v>
      </c>
      <c r="AF54" s="9">
        <v>-2.30458029603688E-4</v>
      </c>
      <c r="AG54" s="9">
        <v>-1.6580432809939501E-4</v>
      </c>
      <c r="AZ54" s="9"/>
      <c r="BB54">
        <f t="shared" si="2"/>
        <v>0</v>
      </c>
      <c r="BC54">
        <f t="shared" si="3"/>
        <v>0</v>
      </c>
      <c r="BD54">
        <f t="shared" si="4"/>
        <v>0</v>
      </c>
      <c r="BE54">
        <f t="shared" si="0"/>
        <v>0</v>
      </c>
      <c r="BF54">
        <f t="shared" si="5"/>
        <v>0</v>
      </c>
      <c r="BG54" s="9">
        <f t="shared" si="6"/>
        <v>0</v>
      </c>
      <c r="BH54" s="9">
        <f t="shared" si="7"/>
        <v>0</v>
      </c>
      <c r="BI54" s="9">
        <f t="shared" si="8"/>
        <v>0</v>
      </c>
      <c r="BJ54" s="12">
        <f t="shared" si="9"/>
        <v>0</v>
      </c>
      <c r="BL54" s="9"/>
      <c r="BN54">
        <f t="shared" si="10"/>
        <v>0</v>
      </c>
      <c r="BO54">
        <f t="shared" si="11"/>
        <v>1</v>
      </c>
      <c r="BP54">
        <f t="shared" si="12"/>
        <v>0</v>
      </c>
      <c r="BQ54">
        <f t="shared" si="1"/>
        <v>0</v>
      </c>
      <c r="BR54">
        <f t="shared" si="13"/>
        <v>0</v>
      </c>
      <c r="BS54" s="9">
        <f t="shared" si="14"/>
        <v>0</v>
      </c>
      <c r="BT54" s="9">
        <f t="shared" si="15"/>
        <v>0</v>
      </c>
      <c r="BU54" s="9">
        <f t="shared" si="16"/>
        <v>0</v>
      </c>
      <c r="BV54" s="12">
        <f t="shared" si="17"/>
        <v>0</v>
      </c>
      <c r="BX54" s="12">
        <f t="shared" si="18"/>
        <v>0</v>
      </c>
      <c r="BY54" s="12">
        <f t="shared" si="19"/>
        <v>0</v>
      </c>
    </row>
    <row r="55" spans="1:77" x14ac:dyDescent="0.3">
      <c r="A55" s="1">
        <v>46101</v>
      </c>
      <c r="B55" s="8">
        <v>57.11</v>
      </c>
      <c r="C55" s="8">
        <v>192.75</v>
      </c>
      <c r="D55" s="9">
        <v>-4.7864203419061897E-2</v>
      </c>
      <c r="E55" s="9">
        <v>-4.0765961822048197E-2</v>
      </c>
      <c r="F55" s="8">
        <v>0.38600000000000001</v>
      </c>
      <c r="G55" s="8">
        <v>0.38600000000000001</v>
      </c>
      <c r="H55" s="8">
        <v>0</v>
      </c>
      <c r="I55" s="8">
        <v>0</v>
      </c>
      <c r="J55" s="8">
        <v>0</v>
      </c>
      <c r="K55" s="8">
        <v>0</v>
      </c>
      <c r="L55" s="8">
        <v>57.11</v>
      </c>
      <c r="M55" s="8">
        <v>192.75</v>
      </c>
      <c r="N55" s="10">
        <v>3.37506566275608</v>
      </c>
      <c r="O55" s="10">
        <v>3.3517078484942102</v>
      </c>
      <c r="P55" s="10">
        <v>3.3529867685173498</v>
      </c>
      <c r="Q55" s="10">
        <v>3.3518684125782499</v>
      </c>
      <c r="R55" s="8">
        <v>191.41603522750401</v>
      </c>
      <c r="S55" s="8">
        <v>191.345639654113</v>
      </c>
      <c r="T55" s="8">
        <v>191.35267502562101</v>
      </c>
      <c r="U55" s="9">
        <v>-6.9447583157165498E-3</v>
      </c>
      <c r="V55" s="9">
        <v>-7.3125881106200904E-3</v>
      </c>
      <c r="W55" s="9">
        <v>-7.27582091704412E-3</v>
      </c>
      <c r="X55" s="10">
        <v>3.37506566275608</v>
      </c>
      <c r="Y55" s="10">
        <v>3.3517078484942102</v>
      </c>
      <c r="Z55" s="10">
        <v>3.3529867685173498</v>
      </c>
      <c r="AA55" s="10">
        <v>3.3518684125782499</v>
      </c>
      <c r="AB55" s="8">
        <v>191.41603522750401</v>
      </c>
      <c r="AC55" s="8">
        <v>191.345639654113</v>
      </c>
      <c r="AD55" s="8">
        <v>191.35267502562101</v>
      </c>
      <c r="AE55" s="9">
        <v>-6.9447583157165498E-3</v>
      </c>
      <c r="AF55" s="9">
        <v>-7.3125881106200904E-3</v>
      </c>
      <c r="AG55" s="9">
        <v>-7.27582091704412E-3</v>
      </c>
      <c r="AZ55" s="9"/>
      <c r="BB55">
        <f t="shared" si="2"/>
        <v>1</v>
      </c>
      <c r="BC55">
        <f t="shared" si="3"/>
        <v>0</v>
      </c>
      <c r="BD55">
        <f t="shared" si="4"/>
        <v>0</v>
      </c>
      <c r="BE55">
        <f t="shared" si="0"/>
        <v>1</v>
      </c>
      <c r="BF55">
        <f t="shared" si="5"/>
        <v>0</v>
      </c>
      <c r="BG55" s="9">
        <f t="shared" si="6"/>
        <v>0</v>
      </c>
      <c r="BH55" s="9">
        <f t="shared" si="7"/>
        <v>0</v>
      </c>
      <c r="BI55" s="9">
        <f t="shared" si="8"/>
        <v>0</v>
      </c>
      <c r="BJ55" s="12">
        <f t="shared" si="9"/>
        <v>0</v>
      </c>
      <c r="BL55" s="9"/>
      <c r="BN55">
        <f t="shared" si="10"/>
        <v>0</v>
      </c>
      <c r="BO55">
        <f t="shared" si="11"/>
        <v>1</v>
      </c>
      <c r="BP55">
        <f t="shared" si="12"/>
        <v>0</v>
      </c>
      <c r="BQ55">
        <f t="shared" si="1"/>
        <v>1</v>
      </c>
      <c r="BR55">
        <f t="shared" si="13"/>
        <v>0</v>
      </c>
      <c r="BS55" s="9">
        <f t="shared" si="14"/>
        <v>0</v>
      </c>
      <c r="BT55" s="9">
        <f t="shared" si="15"/>
        <v>0</v>
      </c>
      <c r="BU55" s="9">
        <f t="shared" si="16"/>
        <v>0</v>
      </c>
      <c r="BV55" s="12">
        <f t="shared" si="17"/>
        <v>0</v>
      </c>
      <c r="BX55" s="12">
        <f t="shared" si="18"/>
        <v>0</v>
      </c>
      <c r="BY55" s="12">
        <f t="shared" si="19"/>
        <v>0</v>
      </c>
    </row>
    <row r="56" spans="1:77" x14ac:dyDescent="0.3">
      <c r="A56" s="1">
        <v>46104</v>
      </c>
      <c r="B56" s="8">
        <v>57.74</v>
      </c>
      <c r="C56" s="8">
        <v>194.78</v>
      </c>
      <c r="D56" s="9">
        <v>1.0970941558017399E-2</v>
      </c>
      <c r="E56" s="9">
        <v>1.04767040896143E-2</v>
      </c>
      <c r="F56" s="8">
        <v>0</v>
      </c>
      <c r="G56" s="8">
        <v>0.38600000000000001</v>
      </c>
      <c r="H56" s="8">
        <v>0</v>
      </c>
      <c r="I56" s="8">
        <v>0</v>
      </c>
      <c r="J56" s="8">
        <v>0</v>
      </c>
      <c r="K56" s="8">
        <v>0</v>
      </c>
      <c r="L56" s="8">
        <v>57.74</v>
      </c>
      <c r="M56" s="8">
        <v>194.78</v>
      </c>
      <c r="N56" s="10">
        <v>3.3733979909941101</v>
      </c>
      <c r="O56" s="10">
        <v>3.3517078484942102</v>
      </c>
      <c r="P56" s="10">
        <v>3.3552469920199401</v>
      </c>
      <c r="Q56" s="10">
        <v>3.3529103201066799</v>
      </c>
      <c r="R56" s="8">
        <v>193.527611172055</v>
      </c>
      <c r="S56" s="8">
        <v>193.601456014192</v>
      </c>
      <c r="T56" s="8">
        <v>193.53688214226801</v>
      </c>
      <c r="U56" s="9">
        <v>-6.4505208473133796E-3</v>
      </c>
      <c r="V56" s="9">
        <v>-6.0690209843938404E-3</v>
      </c>
      <c r="W56" s="9">
        <v>-6.4026168397158098E-3</v>
      </c>
      <c r="X56" s="10">
        <v>3.3733979909941101</v>
      </c>
      <c r="Y56" s="10">
        <v>3.3517078484942102</v>
      </c>
      <c r="Z56" s="10">
        <v>3.3552469920199401</v>
      </c>
      <c r="AA56" s="10">
        <v>3.3529103201066799</v>
      </c>
      <c r="AB56" s="8">
        <v>193.527611172055</v>
      </c>
      <c r="AC56" s="8">
        <v>193.601456014192</v>
      </c>
      <c r="AD56" s="8">
        <v>193.53688214226801</v>
      </c>
      <c r="AE56" s="9">
        <v>-6.4505208473133796E-3</v>
      </c>
      <c r="AF56" s="9">
        <v>-6.0690209843938404E-3</v>
      </c>
      <c r="AG56" s="9">
        <v>-6.4026168397158098E-3</v>
      </c>
      <c r="AZ56" s="9"/>
      <c r="BB56">
        <f t="shared" si="2"/>
        <v>1</v>
      </c>
      <c r="BC56">
        <f t="shared" si="3"/>
        <v>0</v>
      </c>
      <c r="BD56">
        <f t="shared" si="4"/>
        <v>1</v>
      </c>
      <c r="BE56">
        <f t="shared" si="0"/>
        <v>0</v>
      </c>
      <c r="BF56">
        <f t="shared" si="5"/>
        <v>1</v>
      </c>
      <c r="BG56" s="9">
        <f t="shared" si="6"/>
        <v>1.0970941558017399E-2</v>
      </c>
      <c r="BH56" s="9">
        <f t="shared" si="7"/>
        <v>-1.04767040896143E-2</v>
      </c>
      <c r="BI56" s="9">
        <f t="shared" si="8"/>
        <v>4.942374684030991E-4</v>
      </c>
      <c r="BJ56" s="12">
        <f t="shared" si="9"/>
        <v>4.942374684030991E-4</v>
      </c>
      <c r="BL56" s="9"/>
      <c r="BN56">
        <f t="shared" si="10"/>
        <v>0</v>
      </c>
      <c r="BO56">
        <f t="shared" si="11"/>
        <v>1</v>
      </c>
      <c r="BP56">
        <f t="shared" si="12"/>
        <v>0</v>
      </c>
      <c r="BQ56">
        <f t="shared" si="1"/>
        <v>0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0</v>
      </c>
      <c r="BX56" s="12">
        <f t="shared" si="18"/>
        <v>4.942374684030991E-4</v>
      </c>
      <c r="BY56" s="12">
        <f t="shared" si="19"/>
        <v>4.942374684030991E-4</v>
      </c>
    </row>
    <row r="57" spans="1:77" x14ac:dyDescent="0.3">
      <c r="A57" s="1">
        <v>46105</v>
      </c>
      <c r="B57" s="8">
        <v>58.13</v>
      </c>
      <c r="C57" s="8">
        <v>194.89</v>
      </c>
      <c r="D57" s="9">
        <v>6.7317074784700899E-3</v>
      </c>
      <c r="E57" s="9">
        <v>5.6458030087958499E-4</v>
      </c>
      <c r="F57" s="8">
        <v>0</v>
      </c>
      <c r="G57" s="8">
        <v>0.38600000000000001</v>
      </c>
      <c r="H57" s="8">
        <v>1.2768999999999999</v>
      </c>
      <c r="I57" s="8">
        <v>1.2768999999999999</v>
      </c>
      <c r="J57" s="8">
        <v>0</v>
      </c>
      <c r="K57" s="8">
        <v>0</v>
      </c>
      <c r="L57" s="8">
        <v>58.13</v>
      </c>
      <c r="M57" s="8">
        <v>194.89</v>
      </c>
      <c r="N57" s="10">
        <v>3.35265783588508</v>
      </c>
      <c r="O57" s="10">
        <v>3.3517078484942102</v>
      </c>
      <c r="P57" s="10">
        <v>3.3555002651831001</v>
      </c>
      <c r="Q57" s="10">
        <v>3.3530078616871899</v>
      </c>
      <c r="R57" s="8">
        <v>194.83477723296801</v>
      </c>
      <c r="S57" s="8">
        <v>195.04050764611901</v>
      </c>
      <c r="T57" s="8">
        <v>194.90467690780099</v>
      </c>
      <c r="U57" s="9">
        <v>-2.83393669722809E-4</v>
      </c>
      <c r="V57" s="9">
        <v>7.7197167517190904E-4</v>
      </c>
      <c r="W57" s="9">
        <v>7.5305840114671499E-5</v>
      </c>
      <c r="X57" s="10">
        <v>3.35265783588508</v>
      </c>
      <c r="Y57" s="10">
        <v>3.3517078484942102</v>
      </c>
      <c r="Z57" s="10">
        <v>3.3555002651831001</v>
      </c>
      <c r="AA57" s="10">
        <v>3.3530078616871899</v>
      </c>
      <c r="AB57" s="8">
        <v>194.83477723296801</v>
      </c>
      <c r="AC57" s="8">
        <v>195.04050764611901</v>
      </c>
      <c r="AD57" s="8">
        <v>194.90467690780099</v>
      </c>
      <c r="AE57" s="9">
        <v>-2.83393669722809E-4</v>
      </c>
      <c r="AF57" s="9">
        <v>7.7197167517190904E-4</v>
      </c>
      <c r="AG57" s="9">
        <v>7.5305840114671499E-5</v>
      </c>
      <c r="AZ57" s="9"/>
      <c r="BB57">
        <f t="shared" si="2"/>
        <v>0</v>
      </c>
      <c r="BC57">
        <f t="shared" si="3"/>
        <v>1</v>
      </c>
      <c r="BD57">
        <f t="shared" si="4"/>
        <v>0</v>
      </c>
      <c r="BE57">
        <f t="shared" si="0"/>
        <v>1</v>
      </c>
      <c r="BF57">
        <f t="shared" si="5"/>
        <v>0</v>
      </c>
      <c r="BG57" s="9">
        <f t="shared" si="6"/>
        <v>0</v>
      </c>
      <c r="BH57" s="9">
        <f t="shared" si="7"/>
        <v>0</v>
      </c>
      <c r="BI57" s="9">
        <f t="shared" si="8"/>
        <v>0</v>
      </c>
      <c r="BJ57" s="12">
        <f t="shared" si="9"/>
        <v>4.942374684030991E-4</v>
      </c>
      <c r="BL57" s="9"/>
      <c r="BN57">
        <f t="shared" si="10"/>
        <v>0</v>
      </c>
      <c r="BO57">
        <f t="shared" si="11"/>
        <v>0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0</v>
      </c>
      <c r="BX57" s="12">
        <f t="shared" si="18"/>
        <v>0</v>
      </c>
      <c r="BY57" s="12">
        <f t="shared" si="19"/>
        <v>4.942374684030991E-4</v>
      </c>
    </row>
    <row r="58" spans="1:77" x14ac:dyDescent="0.3">
      <c r="A58" s="1">
        <v>46106</v>
      </c>
      <c r="B58" s="8">
        <v>58.34</v>
      </c>
      <c r="C58" s="8">
        <v>195.48</v>
      </c>
      <c r="D58" s="9">
        <v>3.6060827263160798E-3</v>
      </c>
      <c r="E58" s="9">
        <v>3.02277556802123E-3</v>
      </c>
      <c r="F58" s="8">
        <v>0</v>
      </c>
      <c r="G58" s="8">
        <v>0.38600000000000001</v>
      </c>
      <c r="H58" s="8">
        <v>0</v>
      </c>
      <c r="I58" s="8">
        <v>1.2768999999999999</v>
      </c>
      <c r="J58" s="8">
        <v>0</v>
      </c>
      <c r="K58" s="8">
        <v>0</v>
      </c>
      <c r="L58" s="8">
        <v>58.34</v>
      </c>
      <c r="M58" s="8">
        <v>195.48</v>
      </c>
      <c r="N58" s="10">
        <v>3.3507027768255</v>
      </c>
      <c r="O58" s="10">
        <v>3.3517078484942102</v>
      </c>
      <c r="P58" s="10">
        <v>3.35549993089524</v>
      </c>
      <c r="Q58" s="10">
        <v>3.3530438193951499</v>
      </c>
      <c r="R58" s="8">
        <v>195.538635881152</v>
      </c>
      <c r="S58" s="8">
        <v>195.759885470782</v>
      </c>
      <c r="T58" s="8">
        <v>195.61447865082999</v>
      </c>
      <c r="U58" s="9">
        <v>2.9991348857229499E-4</v>
      </c>
      <c r="V58" s="9">
        <v>1.43076168316066E-3</v>
      </c>
      <c r="W58" s="9">
        <v>6.8770419155312604E-4</v>
      </c>
      <c r="X58" s="10">
        <v>3.3507027768255</v>
      </c>
      <c r="Y58" s="10">
        <v>3.3517078484942102</v>
      </c>
      <c r="Z58" s="10">
        <v>3.35549993089524</v>
      </c>
      <c r="AA58" s="10">
        <v>3.3530438193951499</v>
      </c>
      <c r="AB58" s="8">
        <v>195.538635881152</v>
      </c>
      <c r="AC58" s="8">
        <v>195.759885470782</v>
      </c>
      <c r="AD58" s="8">
        <v>195.61447865082999</v>
      </c>
      <c r="AE58" s="9">
        <v>2.9991348857229499E-4</v>
      </c>
      <c r="AF58" s="9">
        <v>1.43076168316066E-3</v>
      </c>
      <c r="AG58" s="9">
        <v>6.8770419155312604E-4</v>
      </c>
      <c r="AZ58" s="9"/>
      <c r="BB58">
        <f t="shared" si="2"/>
        <v>0</v>
      </c>
      <c r="BC58">
        <f t="shared" si="3"/>
        <v>1</v>
      </c>
      <c r="BD58">
        <f t="shared" si="4"/>
        <v>0</v>
      </c>
      <c r="BE58">
        <f t="shared" si="0"/>
        <v>1</v>
      </c>
      <c r="BF58">
        <f t="shared" si="5"/>
        <v>0</v>
      </c>
      <c r="BG58" s="9">
        <f t="shared" si="6"/>
        <v>0</v>
      </c>
      <c r="BH58" s="9">
        <f t="shared" si="7"/>
        <v>0</v>
      </c>
      <c r="BI58" s="9">
        <f t="shared" si="8"/>
        <v>0</v>
      </c>
      <c r="BJ58" s="12">
        <f t="shared" si="9"/>
        <v>4.942374684030991E-4</v>
      </c>
      <c r="BL58" s="9"/>
      <c r="BN58">
        <f t="shared" si="10"/>
        <v>0</v>
      </c>
      <c r="BO58">
        <f t="shared" si="11"/>
        <v>0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0</v>
      </c>
      <c r="BX58" s="12">
        <f t="shared" si="18"/>
        <v>0</v>
      </c>
      <c r="BY58" s="12">
        <f t="shared" si="19"/>
        <v>4.942374684030991E-4</v>
      </c>
    </row>
    <row r="59" spans="1:77" x14ac:dyDescent="0.3">
      <c r="A59" s="1">
        <v>46107</v>
      </c>
      <c r="B59" s="8">
        <v>58.47</v>
      </c>
      <c r="C59" s="8">
        <v>195.92</v>
      </c>
      <c r="D59" s="9">
        <v>2.2258377480037701E-3</v>
      </c>
      <c r="E59" s="9">
        <v>2.2483402419581802E-3</v>
      </c>
      <c r="F59" s="8">
        <v>0</v>
      </c>
      <c r="G59" s="8">
        <v>0.38600000000000001</v>
      </c>
      <c r="H59" s="8">
        <v>0</v>
      </c>
      <c r="I59" s="8">
        <v>1.2768999999999999</v>
      </c>
      <c r="J59" s="8">
        <v>0</v>
      </c>
      <c r="K59" s="8">
        <v>0</v>
      </c>
      <c r="L59" s="8">
        <v>58.47</v>
      </c>
      <c r="M59" s="8">
        <v>195.92</v>
      </c>
      <c r="N59" s="10">
        <v>3.35077817684282</v>
      </c>
      <c r="O59" s="10">
        <v>3.3517078484942102</v>
      </c>
      <c r="P59" s="10">
        <v>3.35558025317127</v>
      </c>
      <c r="Q59" s="10">
        <v>3.3530280497304701</v>
      </c>
      <c r="R59" s="8">
        <v>195.97435790145599</v>
      </c>
      <c r="S59" s="8">
        <v>196.196080959444</v>
      </c>
      <c r="T59" s="8">
        <v>196.052472120034</v>
      </c>
      <c r="U59" s="9">
        <v>2.7741099461746799E-4</v>
      </c>
      <c r="V59" s="9">
        <v>1.40815956535012E-3</v>
      </c>
      <c r="W59" s="9">
        <v>6.7592565550243398E-4</v>
      </c>
      <c r="X59" s="10">
        <v>3.35077817684282</v>
      </c>
      <c r="Y59" s="10">
        <v>3.3517078484942102</v>
      </c>
      <c r="Z59" s="10">
        <v>3.35558025317127</v>
      </c>
      <c r="AA59" s="10">
        <v>3.3530280497304701</v>
      </c>
      <c r="AB59" s="8">
        <v>195.97435790145599</v>
      </c>
      <c r="AC59" s="8">
        <v>196.196080959444</v>
      </c>
      <c r="AD59" s="8">
        <v>196.052472120034</v>
      </c>
      <c r="AE59" s="9">
        <v>2.7741099461746799E-4</v>
      </c>
      <c r="AF59" s="9">
        <v>1.40815956535012E-3</v>
      </c>
      <c r="AG59" s="9">
        <v>6.7592565550243398E-4</v>
      </c>
      <c r="AZ59" s="9"/>
      <c r="BB59">
        <f t="shared" si="2"/>
        <v>0</v>
      </c>
      <c r="BC59">
        <f t="shared" si="3"/>
        <v>1</v>
      </c>
      <c r="BD59">
        <f t="shared" si="4"/>
        <v>0</v>
      </c>
      <c r="BE59">
        <f t="shared" si="0"/>
        <v>1</v>
      </c>
      <c r="BF59">
        <f t="shared" si="5"/>
        <v>0</v>
      </c>
      <c r="BG59" s="9">
        <f t="shared" si="6"/>
        <v>0</v>
      </c>
      <c r="BH59" s="9">
        <f t="shared" si="7"/>
        <v>0</v>
      </c>
      <c r="BI59" s="9">
        <f t="shared" si="8"/>
        <v>0</v>
      </c>
      <c r="BJ59" s="12">
        <f t="shared" si="9"/>
        <v>4.942374684030991E-4</v>
      </c>
      <c r="BL59" s="9"/>
      <c r="BN59">
        <f t="shared" si="10"/>
        <v>0</v>
      </c>
      <c r="BO59">
        <f t="shared" si="11"/>
        <v>0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0</v>
      </c>
      <c r="BX59" s="12">
        <f t="shared" si="18"/>
        <v>0</v>
      </c>
      <c r="BY59" s="12">
        <f t="shared" si="19"/>
        <v>4.942374684030991E-4</v>
      </c>
    </row>
    <row r="60" spans="1:77" x14ac:dyDescent="0.3">
      <c r="A60" s="1">
        <v>46108</v>
      </c>
      <c r="B60" s="8">
        <v>58.74</v>
      </c>
      <c r="C60" s="8">
        <v>196.88</v>
      </c>
      <c r="D60" s="9">
        <v>4.6071235828948299E-3</v>
      </c>
      <c r="E60" s="9">
        <v>4.8879934388880997E-3</v>
      </c>
      <c r="F60" s="8">
        <v>0</v>
      </c>
      <c r="G60" s="8">
        <v>0.38600000000000001</v>
      </c>
      <c r="H60" s="8">
        <v>0</v>
      </c>
      <c r="I60" s="8">
        <v>1.2768999999999999</v>
      </c>
      <c r="J60" s="8">
        <v>0</v>
      </c>
      <c r="K60" s="8">
        <v>0</v>
      </c>
      <c r="L60" s="8">
        <v>58.74</v>
      </c>
      <c r="M60" s="8">
        <v>196.88</v>
      </c>
      <c r="N60" s="10">
        <v>3.3517194416070799</v>
      </c>
      <c r="O60" s="10">
        <v>3.3517078484942102</v>
      </c>
      <c r="P60" s="10">
        <v>3.3555602714550798</v>
      </c>
      <c r="Q60" s="10">
        <v>3.3530765869149901</v>
      </c>
      <c r="R60" s="8">
        <v>196.87931902055001</v>
      </c>
      <c r="S60" s="8">
        <v>197.10678407128</v>
      </c>
      <c r="T60" s="8">
        <v>196.95686764116701</v>
      </c>
      <c r="U60" s="9">
        <v>-3.4588613756216601E-6</v>
      </c>
      <c r="V60" s="9">
        <v>1.1512269217980101E-3</v>
      </c>
      <c r="W60" s="9">
        <v>3.9035269909760999E-4</v>
      </c>
      <c r="X60" s="10">
        <v>3.3517194416070799</v>
      </c>
      <c r="Y60" s="10">
        <v>3.3517078484942102</v>
      </c>
      <c r="Z60" s="10">
        <v>3.3555602714550798</v>
      </c>
      <c r="AA60" s="10">
        <v>3.3530765869149901</v>
      </c>
      <c r="AB60" s="8">
        <v>196.87931902055001</v>
      </c>
      <c r="AC60" s="8">
        <v>197.10678407128</v>
      </c>
      <c r="AD60" s="8">
        <v>196.95686764116701</v>
      </c>
      <c r="AE60" s="9">
        <v>-3.4588613756216601E-6</v>
      </c>
      <c r="AF60" s="9">
        <v>1.1512269217980101E-3</v>
      </c>
      <c r="AG60" s="9">
        <v>3.9035269909760999E-4</v>
      </c>
      <c r="AZ60" s="9"/>
      <c r="BB60">
        <f t="shared" si="2"/>
        <v>0</v>
      </c>
      <c r="BC60">
        <f t="shared" si="3"/>
        <v>1</v>
      </c>
      <c r="BD60">
        <f t="shared" si="4"/>
        <v>0</v>
      </c>
      <c r="BE60">
        <f t="shared" si="0"/>
        <v>1</v>
      </c>
      <c r="BF60">
        <f t="shared" si="5"/>
        <v>0</v>
      </c>
      <c r="BG60" s="9">
        <f t="shared" si="6"/>
        <v>0</v>
      </c>
      <c r="BH60" s="9">
        <f t="shared" si="7"/>
        <v>0</v>
      </c>
      <c r="BI60" s="9">
        <f t="shared" si="8"/>
        <v>0</v>
      </c>
      <c r="BJ60" s="12">
        <f t="shared" si="9"/>
        <v>4.942374684030991E-4</v>
      </c>
      <c r="BL60" s="9"/>
      <c r="BN60">
        <f t="shared" si="10"/>
        <v>0</v>
      </c>
      <c r="BO60">
        <f t="shared" si="11"/>
        <v>0</v>
      </c>
      <c r="BP60">
        <f t="shared" si="12"/>
        <v>0</v>
      </c>
      <c r="BQ60">
        <f t="shared" si="1"/>
        <v>1</v>
      </c>
      <c r="BR60">
        <f t="shared" si="13"/>
        <v>0</v>
      </c>
      <c r="BS60" s="9">
        <f t="shared" si="14"/>
        <v>0</v>
      </c>
      <c r="BT60" s="9">
        <f t="shared" si="15"/>
        <v>0</v>
      </c>
      <c r="BU60" s="9">
        <f t="shared" si="16"/>
        <v>0</v>
      </c>
      <c r="BV60" s="12">
        <f t="shared" si="17"/>
        <v>0</v>
      </c>
      <c r="BX60" s="12">
        <f t="shared" si="18"/>
        <v>0</v>
      </c>
      <c r="BY60" s="12">
        <f t="shared" si="19"/>
        <v>4.942374684030991E-4</v>
      </c>
    </row>
    <row r="61" spans="1:77" x14ac:dyDescent="0.3">
      <c r="A61" s="1">
        <v>46111</v>
      </c>
      <c r="B61" s="8">
        <v>59.13</v>
      </c>
      <c r="C61" s="8">
        <v>198.11</v>
      </c>
      <c r="D61" s="9">
        <v>6.6174840622645502E-3</v>
      </c>
      <c r="E61" s="9">
        <v>6.2280259034349396E-3</v>
      </c>
      <c r="F61" s="8">
        <v>0</v>
      </c>
      <c r="G61" s="8">
        <v>0.38600000000000001</v>
      </c>
      <c r="H61" s="8">
        <v>0</v>
      </c>
      <c r="I61" s="8">
        <v>1.2768999999999999</v>
      </c>
      <c r="J61" s="8">
        <v>0</v>
      </c>
      <c r="K61" s="8">
        <v>0</v>
      </c>
      <c r="L61" s="8">
        <v>59.13</v>
      </c>
      <c r="M61" s="8">
        <v>198.11</v>
      </c>
      <c r="N61" s="10">
        <v>3.3504143412819198</v>
      </c>
      <c r="O61" s="10">
        <v>3.3517078484942102</v>
      </c>
      <c r="P61" s="10">
        <v>3.3553317911658902</v>
      </c>
      <c r="Q61" s="10">
        <v>3.3530813282294498</v>
      </c>
      <c r="R61" s="8">
        <v>198.186485081462</v>
      </c>
      <c r="S61" s="8">
        <v>198.41427885113899</v>
      </c>
      <c r="T61" s="8">
        <v>198.26741858428301</v>
      </c>
      <c r="U61" s="9">
        <v>3.8599929745408202E-4</v>
      </c>
      <c r="V61" s="9">
        <v>1.5347302906417301E-3</v>
      </c>
      <c r="W61" s="9">
        <v>7.9428638050007595E-4</v>
      </c>
      <c r="X61" s="10">
        <v>3.3504143412819198</v>
      </c>
      <c r="Y61" s="10">
        <v>3.3517078484942102</v>
      </c>
      <c r="Z61" s="10">
        <v>3.3553317911658902</v>
      </c>
      <c r="AA61" s="10">
        <v>3.3530813282294498</v>
      </c>
      <c r="AB61" s="8">
        <v>198.186485081462</v>
      </c>
      <c r="AC61" s="8">
        <v>198.41427885113899</v>
      </c>
      <c r="AD61" s="8">
        <v>198.26741858428301</v>
      </c>
      <c r="AE61" s="9">
        <v>3.8599929745408202E-4</v>
      </c>
      <c r="AF61" s="9">
        <v>1.5347302906417301E-3</v>
      </c>
      <c r="AG61" s="9">
        <v>7.9428638050007595E-4</v>
      </c>
      <c r="AZ61" s="9"/>
      <c r="BB61">
        <f t="shared" si="2"/>
        <v>0</v>
      </c>
      <c r="BC61">
        <f t="shared" si="3"/>
        <v>1</v>
      </c>
      <c r="BD61">
        <f t="shared" si="4"/>
        <v>0</v>
      </c>
      <c r="BE61">
        <f t="shared" si="0"/>
        <v>1</v>
      </c>
      <c r="BF61">
        <f t="shared" si="5"/>
        <v>0</v>
      </c>
      <c r="BG61" s="9">
        <f t="shared" si="6"/>
        <v>0</v>
      </c>
      <c r="BH61" s="9">
        <f t="shared" si="7"/>
        <v>0</v>
      </c>
      <c r="BI61" s="9">
        <f t="shared" si="8"/>
        <v>0</v>
      </c>
      <c r="BJ61" s="12">
        <f t="shared" si="9"/>
        <v>4.942374684030991E-4</v>
      </c>
      <c r="BL61" s="9"/>
      <c r="BN61">
        <f t="shared" si="10"/>
        <v>0</v>
      </c>
      <c r="BO61">
        <f t="shared" si="11"/>
        <v>0</v>
      </c>
      <c r="BP61">
        <f t="shared" si="12"/>
        <v>0</v>
      </c>
      <c r="BQ61">
        <f t="shared" si="1"/>
        <v>1</v>
      </c>
      <c r="BR61">
        <f t="shared" si="13"/>
        <v>0</v>
      </c>
      <c r="BS61" s="9">
        <f t="shared" si="14"/>
        <v>0</v>
      </c>
      <c r="BT61" s="9">
        <f t="shared" si="15"/>
        <v>0</v>
      </c>
      <c r="BU61" s="9">
        <f t="shared" si="16"/>
        <v>0</v>
      </c>
      <c r="BV61" s="12">
        <f t="shared" si="17"/>
        <v>0</v>
      </c>
      <c r="BX61" s="12">
        <f t="shared" si="18"/>
        <v>0</v>
      </c>
      <c r="BY61" s="12">
        <f t="shared" si="19"/>
        <v>4.942374684030991E-4</v>
      </c>
    </row>
    <row r="62" spans="1:77" x14ac:dyDescent="0.3">
      <c r="A62" s="1">
        <v>46112</v>
      </c>
      <c r="B62" s="8">
        <v>59.07</v>
      </c>
      <c r="C62" s="8">
        <v>198.14</v>
      </c>
      <c r="D62" s="9">
        <v>-1.01522851359466E-3</v>
      </c>
      <c r="E62" s="9">
        <v>1.5141955864871E-4</v>
      </c>
      <c r="F62" s="8">
        <v>0</v>
      </c>
      <c r="G62" s="8">
        <v>0.38600000000000001</v>
      </c>
      <c r="H62" s="8">
        <v>0</v>
      </c>
      <c r="I62" s="8">
        <v>1.2768999999999999</v>
      </c>
      <c r="J62" s="8">
        <v>0</v>
      </c>
      <c r="K62" s="8">
        <v>0</v>
      </c>
      <c r="L62" s="8">
        <v>59.07</v>
      </c>
      <c r="M62" s="8">
        <v>198.14</v>
      </c>
      <c r="N62" s="10">
        <v>3.3543253766717398</v>
      </c>
      <c r="O62" s="10">
        <v>3.3517078484942102</v>
      </c>
      <c r="P62" s="10">
        <v>3.35570989135369</v>
      </c>
      <c r="Q62" s="10">
        <v>3.3533177882613301</v>
      </c>
      <c r="R62" s="8">
        <v>197.98538261055299</v>
      </c>
      <c r="S62" s="8">
        <v>198.199448904169</v>
      </c>
      <c r="T62" s="8">
        <v>198.066514058514</v>
      </c>
      <c r="U62" s="9">
        <v>-7.8064877478954903E-4</v>
      </c>
      <c r="V62" s="9">
        <v>2.9998984345218198E-4</v>
      </c>
      <c r="W62" s="9">
        <v>-3.7094767360524802E-4</v>
      </c>
      <c r="X62" s="10">
        <v>3.3543253766717398</v>
      </c>
      <c r="Y62" s="10">
        <v>3.3517078484942102</v>
      </c>
      <c r="Z62" s="10">
        <v>3.35570989135369</v>
      </c>
      <c r="AA62" s="10">
        <v>3.3533177882613301</v>
      </c>
      <c r="AB62" s="8">
        <v>197.98538261055299</v>
      </c>
      <c r="AC62" s="8">
        <v>198.199448904169</v>
      </c>
      <c r="AD62" s="8">
        <v>198.066514058514</v>
      </c>
      <c r="AE62" s="9">
        <v>-7.8064877478954903E-4</v>
      </c>
      <c r="AF62" s="9">
        <v>2.9998984345218198E-4</v>
      </c>
      <c r="AG62" s="9">
        <v>-3.7094767360524802E-4</v>
      </c>
      <c r="AZ62" s="9"/>
      <c r="BB62">
        <f t="shared" si="2"/>
        <v>0</v>
      </c>
      <c r="BC62">
        <f t="shared" si="3"/>
        <v>0</v>
      </c>
      <c r="BD62">
        <f t="shared" si="4"/>
        <v>0</v>
      </c>
      <c r="BE62">
        <f t="shared" si="0"/>
        <v>1</v>
      </c>
      <c r="BF62">
        <f t="shared" si="5"/>
        <v>0</v>
      </c>
      <c r="BG62" s="9">
        <f t="shared" si="6"/>
        <v>0</v>
      </c>
      <c r="BH62" s="9">
        <f t="shared" si="7"/>
        <v>0</v>
      </c>
      <c r="BI62" s="9">
        <f t="shared" si="8"/>
        <v>0</v>
      </c>
      <c r="BJ62" s="12">
        <f t="shared" si="9"/>
        <v>4.942374684030991E-4</v>
      </c>
      <c r="BL62" s="9"/>
      <c r="BN62">
        <f t="shared" si="10"/>
        <v>0</v>
      </c>
      <c r="BO62">
        <f t="shared" si="11"/>
        <v>1</v>
      </c>
      <c r="BP62">
        <f t="shared" si="12"/>
        <v>0</v>
      </c>
      <c r="BQ62">
        <f t="shared" si="1"/>
        <v>1</v>
      </c>
      <c r="BR62">
        <f t="shared" si="13"/>
        <v>0</v>
      </c>
      <c r="BS62" s="9">
        <f t="shared" si="14"/>
        <v>0</v>
      </c>
      <c r="BT62" s="9">
        <f t="shared" si="15"/>
        <v>0</v>
      </c>
      <c r="BU62" s="9">
        <f t="shared" si="16"/>
        <v>0</v>
      </c>
      <c r="BV62" s="12">
        <f t="shared" si="17"/>
        <v>0</v>
      </c>
      <c r="BX62" s="12">
        <f t="shared" si="18"/>
        <v>0</v>
      </c>
      <c r="BY62" s="12">
        <f t="shared" si="19"/>
        <v>4.942374684030991E-4</v>
      </c>
    </row>
    <row r="63" spans="1:77" x14ac:dyDescent="0.3">
      <c r="A63" s="1">
        <v>46113</v>
      </c>
      <c r="B63" s="8">
        <v>59.36</v>
      </c>
      <c r="C63" s="8">
        <v>198.97</v>
      </c>
      <c r="D63" s="9">
        <v>4.8974175399811096E-3</v>
      </c>
      <c r="E63" s="9">
        <v>4.1802080462725096E-3</v>
      </c>
      <c r="F63" s="8">
        <v>0</v>
      </c>
      <c r="G63" s="8">
        <v>0.38600000000000001</v>
      </c>
      <c r="H63" s="8">
        <v>0</v>
      </c>
      <c r="I63" s="8">
        <v>1.2768999999999999</v>
      </c>
      <c r="J63" s="8">
        <v>0</v>
      </c>
      <c r="K63" s="8">
        <v>0</v>
      </c>
      <c r="L63" s="8">
        <v>59.36</v>
      </c>
      <c r="M63" s="8">
        <v>198.97</v>
      </c>
      <c r="N63" s="10">
        <v>3.3519204851751998</v>
      </c>
      <c r="O63" s="10">
        <v>3.3517078484942102</v>
      </c>
      <c r="P63" s="10">
        <v>3.3562175544891502</v>
      </c>
      <c r="Q63" s="10">
        <v>3.3533193954429099</v>
      </c>
      <c r="R63" s="8">
        <v>198.957377886616</v>
      </c>
      <c r="S63" s="8">
        <v>199.194939150755</v>
      </c>
      <c r="T63" s="8">
        <v>199.05294391119199</v>
      </c>
      <c r="U63" s="9">
        <v>-6.3439281080802595E-5</v>
      </c>
      <c r="V63" s="9">
        <v>1.1298793669031501E-3</v>
      </c>
      <c r="W63" s="9">
        <v>4.1677955335009501E-4</v>
      </c>
      <c r="X63" s="10">
        <v>3.3519204851751998</v>
      </c>
      <c r="Y63" s="10">
        <v>3.3517078484942102</v>
      </c>
      <c r="Z63" s="10">
        <v>3.3562175544891502</v>
      </c>
      <c r="AA63" s="10">
        <v>3.3533193954429099</v>
      </c>
      <c r="AB63" s="8">
        <v>198.957377886616</v>
      </c>
      <c r="AC63" s="8">
        <v>199.194939150755</v>
      </c>
      <c r="AD63" s="8">
        <v>199.05294391119199</v>
      </c>
      <c r="AE63" s="9">
        <v>-6.3439281080802595E-5</v>
      </c>
      <c r="AF63" s="9">
        <v>1.1298793669031501E-3</v>
      </c>
      <c r="AG63" s="9">
        <v>4.1677955335009501E-4</v>
      </c>
      <c r="AZ63" s="9"/>
      <c r="BB63">
        <f t="shared" si="2"/>
        <v>0</v>
      </c>
      <c r="BC63">
        <f t="shared" si="3"/>
        <v>1</v>
      </c>
      <c r="BD63">
        <f t="shared" si="4"/>
        <v>0</v>
      </c>
      <c r="BE63">
        <f t="shared" si="0"/>
        <v>1</v>
      </c>
      <c r="BF63">
        <f t="shared" si="5"/>
        <v>0</v>
      </c>
      <c r="BG63" s="9">
        <f t="shared" si="6"/>
        <v>0</v>
      </c>
      <c r="BH63" s="9">
        <f t="shared" si="7"/>
        <v>0</v>
      </c>
      <c r="BI63" s="9">
        <f t="shared" si="8"/>
        <v>0</v>
      </c>
      <c r="BJ63" s="12">
        <f t="shared" si="9"/>
        <v>4.942374684030991E-4</v>
      </c>
      <c r="BL63" s="9"/>
      <c r="BN63">
        <f t="shared" si="10"/>
        <v>0</v>
      </c>
      <c r="BO63">
        <f t="shared" si="11"/>
        <v>0</v>
      </c>
      <c r="BP63">
        <f t="shared" si="12"/>
        <v>0</v>
      </c>
      <c r="BQ63">
        <f t="shared" si="1"/>
        <v>1</v>
      </c>
      <c r="BR63">
        <f t="shared" si="13"/>
        <v>0</v>
      </c>
      <c r="BS63" s="9">
        <f t="shared" si="14"/>
        <v>0</v>
      </c>
      <c r="BT63" s="9">
        <f t="shared" si="15"/>
        <v>0</v>
      </c>
      <c r="BU63" s="9">
        <f t="shared" si="16"/>
        <v>0</v>
      </c>
      <c r="BV63" s="12">
        <f t="shared" si="17"/>
        <v>0</v>
      </c>
      <c r="BX63" s="12">
        <f t="shared" si="18"/>
        <v>0</v>
      </c>
      <c r="BY63" s="12">
        <f t="shared" si="19"/>
        <v>4.942374684030991E-4</v>
      </c>
    </row>
    <row r="64" spans="1:77" x14ac:dyDescent="0.3">
      <c r="A64" s="1">
        <v>46114</v>
      </c>
      <c r="B64" s="8">
        <v>59.75</v>
      </c>
      <c r="C64" s="8">
        <v>200.14</v>
      </c>
      <c r="D64" s="9">
        <v>6.5485919524950901E-3</v>
      </c>
      <c r="E64" s="9">
        <v>5.8630620711533103E-3</v>
      </c>
      <c r="F64" s="8">
        <v>0</v>
      </c>
      <c r="G64" s="8">
        <v>0.38600000000000001</v>
      </c>
      <c r="H64" s="8">
        <v>0</v>
      </c>
      <c r="I64" s="8">
        <v>1.2768999999999999</v>
      </c>
      <c r="J64" s="8">
        <v>0</v>
      </c>
      <c r="K64" s="8">
        <v>0</v>
      </c>
      <c r="L64" s="8">
        <v>59.75</v>
      </c>
      <c r="M64" s="8">
        <v>200.14</v>
      </c>
      <c r="N64" s="10">
        <v>3.3496234309623398</v>
      </c>
      <c r="O64" s="10">
        <v>3.3517078484942102</v>
      </c>
      <c r="P64" s="10">
        <v>3.3560605519001898</v>
      </c>
      <c r="Q64" s="10">
        <v>3.3532678845485302</v>
      </c>
      <c r="R64" s="8">
        <v>200.26454394752901</v>
      </c>
      <c r="S64" s="8">
        <v>200.53399888072599</v>
      </c>
      <c r="T64" s="8">
        <v>200.36083387771399</v>
      </c>
      <c r="U64" s="9">
        <v>6.22090600260885E-4</v>
      </c>
      <c r="V64" s="9">
        <v>1.96668118630593E-3</v>
      </c>
      <c r="W64" s="9">
        <v>1.1027887156012501E-3</v>
      </c>
      <c r="X64" s="10">
        <v>3.3496234309623398</v>
      </c>
      <c r="Y64" s="10">
        <v>3.3517078484942102</v>
      </c>
      <c r="Z64" s="10">
        <v>3.3560605519001898</v>
      </c>
      <c r="AA64" s="10">
        <v>3.3532678845485302</v>
      </c>
      <c r="AB64" s="8">
        <v>200.26454394752901</v>
      </c>
      <c r="AC64" s="8">
        <v>200.53399888072599</v>
      </c>
      <c r="AD64" s="8">
        <v>200.36083387771399</v>
      </c>
      <c r="AE64" s="9">
        <v>6.22090600260885E-4</v>
      </c>
      <c r="AF64" s="9">
        <v>1.96668118630593E-3</v>
      </c>
      <c r="AG64" s="9">
        <v>1.1027887156012501E-3</v>
      </c>
      <c r="AZ64" s="9"/>
      <c r="BB64">
        <f t="shared" si="2"/>
        <v>0</v>
      </c>
      <c r="BC64">
        <f t="shared" si="3"/>
        <v>1</v>
      </c>
      <c r="BD64">
        <f t="shared" si="4"/>
        <v>0</v>
      </c>
      <c r="BE64">
        <f t="shared" si="0"/>
        <v>1</v>
      </c>
      <c r="BF64">
        <f t="shared" si="5"/>
        <v>0</v>
      </c>
      <c r="BG64" s="9">
        <f t="shared" si="6"/>
        <v>0</v>
      </c>
      <c r="BH64" s="9">
        <f t="shared" si="7"/>
        <v>0</v>
      </c>
      <c r="BI64" s="9">
        <f t="shared" si="8"/>
        <v>0</v>
      </c>
      <c r="BJ64" s="12">
        <f t="shared" si="9"/>
        <v>4.942374684030991E-4</v>
      </c>
      <c r="BL64" s="9"/>
      <c r="BN64">
        <f t="shared" si="10"/>
        <v>0</v>
      </c>
      <c r="BO64">
        <f t="shared" si="11"/>
        <v>0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0</v>
      </c>
      <c r="BX64" s="12">
        <f t="shared" si="18"/>
        <v>0</v>
      </c>
      <c r="BY64" s="12">
        <f t="shared" si="19"/>
        <v>4.942374684030991E-4</v>
      </c>
    </row>
    <row r="65" spans="1:77" x14ac:dyDescent="0.3">
      <c r="A65" s="1">
        <v>46118</v>
      </c>
      <c r="B65" s="8">
        <v>59.48</v>
      </c>
      <c r="C65" s="8">
        <v>199.4</v>
      </c>
      <c r="D65" s="9">
        <v>-4.5290692196657701E-3</v>
      </c>
      <c r="E65" s="9">
        <v>-3.70426413457194E-3</v>
      </c>
      <c r="F65" s="8">
        <v>0</v>
      </c>
      <c r="G65" s="8">
        <v>0.38600000000000001</v>
      </c>
      <c r="H65" s="8">
        <v>0</v>
      </c>
      <c r="I65" s="8">
        <v>1.2768999999999999</v>
      </c>
      <c r="J65" s="8">
        <v>0</v>
      </c>
      <c r="K65" s="8">
        <v>0</v>
      </c>
      <c r="L65" s="8">
        <v>59.48</v>
      </c>
      <c r="M65" s="8">
        <v>199.4</v>
      </c>
      <c r="N65" s="10">
        <v>3.3523873570948202</v>
      </c>
      <c r="O65" s="10">
        <v>3.3517078484942102</v>
      </c>
      <c r="P65" s="10">
        <v>3.3537927213340599</v>
      </c>
      <c r="Q65" s="10">
        <v>3.3533897449257002</v>
      </c>
      <c r="R65" s="8">
        <v>199.35958282843501</v>
      </c>
      <c r="S65" s="8">
        <v>199.61848162702299</v>
      </c>
      <c r="T65" s="8">
        <v>199.452373772946</v>
      </c>
      <c r="U65" s="9">
        <v>-2.0271448483300699E-4</v>
      </c>
      <c r="V65" s="9">
        <v>1.0950953848886001E-3</v>
      </c>
      <c r="W65" s="9">
        <v>2.6262234697277598E-4</v>
      </c>
      <c r="X65" s="10">
        <v>3.3523873570948202</v>
      </c>
      <c r="Y65" s="10">
        <v>3.3517078484942102</v>
      </c>
      <c r="Z65" s="10">
        <v>3.3537927213340599</v>
      </c>
      <c r="AA65" s="10">
        <v>3.3533897449257002</v>
      </c>
      <c r="AB65" s="8">
        <v>199.35958282843501</v>
      </c>
      <c r="AC65" s="8">
        <v>199.61848162702299</v>
      </c>
      <c r="AD65" s="8">
        <v>199.452373772946</v>
      </c>
      <c r="AE65" s="9">
        <v>-2.0271448483300699E-4</v>
      </c>
      <c r="AF65" s="9">
        <v>1.0950953848886001E-3</v>
      </c>
      <c r="AG65" s="9">
        <v>2.6262234697277598E-4</v>
      </c>
      <c r="AZ65" s="9"/>
      <c r="BB65">
        <f t="shared" si="2"/>
        <v>0</v>
      </c>
      <c r="BC65">
        <f t="shared" si="3"/>
        <v>1</v>
      </c>
      <c r="BD65">
        <f t="shared" si="4"/>
        <v>0</v>
      </c>
      <c r="BE65">
        <f t="shared" si="0"/>
        <v>1</v>
      </c>
      <c r="BF65">
        <f t="shared" si="5"/>
        <v>0</v>
      </c>
      <c r="BG65" s="9">
        <f t="shared" si="6"/>
        <v>0</v>
      </c>
      <c r="BH65" s="9">
        <f t="shared" si="7"/>
        <v>0</v>
      </c>
      <c r="BI65" s="9">
        <f t="shared" si="8"/>
        <v>0</v>
      </c>
      <c r="BJ65" s="12">
        <f t="shared" si="9"/>
        <v>4.942374684030991E-4</v>
      </c>
      <c r="BL65" s="9"/>
      <c r="BN65">
        <f t="shared" si="10"/>
        <v>0</v>
      </c>
      <c r="BO65">
        <f t="shared" si="11"/>
        <v>0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0</v>
      </c>
      <c r="BX65" s="12">
        <f t="shared" si="18"/>
        <v>0</v>
      </c>
      <c r="BY65" s="12">
        <f t="shared" si="19"/>
        <v>4.942374684030991E-4</v>
      </c>
    </row>
    <row r="66" spans="1:77" x14ac:dyDescent="0.3">
      <c r="A66" s="1">
        <v>46119</v>
      </c>
      <c r="B66" s="8">
        <v>59.67</v>
      </c>
      <c r="C66" s="8">
        <v>199.98</v>
      </c>
      <c r="D66" s="9">
        <v>3.1892599420363299E-3</v>
      </c>
      <c r="E66" s="9">
        <v>2.9045040199651901E-3</v>
      </c>
      <c r="F66" s="8">
        <v>0</v>
      </c>
      <c r="G66" s="8">
        <v>0.38600000000000001</v>
      </c>
      <c r="H66" s="8">
        <v>0</v>
      </c>
      <c r="I66" s="8">
        <v>1.2768999999999999</v>
      </c>
      <c r="J66" s="8">
        <v>0</v>
      </c>
      <c r="K66" s="8">
        <v>0</v>
      </c>
      <c r="L66" s="8">
        <v>59.67</v>
      </c>
      <c r="M66" s="8">
        <v>199.98</v>
      </c>
      <c r="N66" s="10">
        <v>3.3514328808446399</v>
      </c>
      <c r="O66" s="10">
        <v>3.3517078484942102</v>
      </c>
      <c r="P66" s="10">
        <v>3.3515962103191099</v>
      </c>
      <c r="Q66" s="10">
        <v>3.3534216011695301</v>
      </c>
      <c r="R66" s="8">
        <v>199.99640731964899</v>
      </c>
      <c r="S66" s="8">
        <v>200.12081168200299</v>
      </c>
      <c r="T66" s="8">
        <v>200.09676607971701</v>
      </c>
      <c r="U66" s="9">
        <v>8.2041437238027695E-5</v>
      </c>
      <c r="V66" s="9">
        <v>7.0388104050775899E-4</v>
      </c>
      <c r="W66" s="9">
        <v>5.8371839073149696E-4</v>
      </c>
      <c r="X66" s="10">
        <v>3.3514328808446399</v>
      </c>
      <c r="Y66" s="10">
        <v>3.3517078484942102</v>
      </c>
      <c r="Z66" s="10">
        <v>3.3515962103191099</v>
      </c>
      <c r="AA66" s="10">
        <v>3.3534216011695301</v>
      </c>
      <c r="AB66" s="8">
        <v>199.99640731964899</v>
      </c>
      <c r="AC66" s="8">
        <v>200.12081168200299</v>
      </c>
      <c r="AD66" s="8">
        <v>200.09676607971701</v>
      </c>
      <c r="AE66" s="9">
        <v>8.2041437238027695E-5</v>
      </c>
      <c r="AF66" s="9">
        <v>7.0388104050775899E-4</v>
      </c>
      <c r="AG66" s="9">
        <v>5.8371839073149696E-4</v>
      </c>
      <c r="AZ66" s="9"/>
      <c r="BB66">
        <f t="shared" si="2"/>
        <v>0</v>
      </c>
      <c r="BC66">
        <f t="shared" si="3"/>
        <v>1</v>
      </c>
      <c r="BD66">
        <f t="shared" si="4"/>
        <v>0</v>
      </c>
      <c r="BE66">
        <f t="shared" si="0"/>
        <v>1</v>
      </c>
      <c r="BF66">
        <f t="shared" si="5"/>
        <v>0</v>
      </c>
      <c r="BG66" s="9">
        <f t="shared" si="6"/>
        <v>0</v>
      </c>
      <c r="BH66" s="9">
        <f t="shared" si="7"/>
        <v>0</v>
      </c>
      <c r="BI66" s="9">
        <f t="shared" si="8"/>
        <v>0</v>
      </c>
      <c r="BJ66" s="12">
        <f t="shared" si="9"/>
        <v>4.942374684030991E-4</v>
      </c>
      <c r="BL66" s="9"/>
      <c r="BN66">
        <f t="shared" si="10"/>
        <v>0</v>
      </c>
      <c r="BO66">
        <f t="shared" si="11"/>
        <v>0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0</v>
      </c>
      <c r="BX66" s="12">
        <f t="shared" si="18"/>
        <v>0</v>
      </c>
      <c r="BY66" s="12">
        <f t="shared" si="19"/>
        <v>4.942374684030991E-4</v>
      </c>
    </row>
    <row r="67" spans="1:77" x14ac:dyDescent="0.3">
      <c r="A67" s="1">
        <v>46120</v>
      </c>
      <c r="B67" s="8">
        <v>60.3</v>
      </c>
      <c r="C67" s="8">
        <v>202.09</v>
      </c>
      <c r="D67" s="9">
        <v>1.05027221991492E-2</v>
      </c>
      <c r="E67" s="9">
        <v>1.0495781182453701E-2</v>
      </c>
      <c r="F67" s="8">
        <v>0</v>
      </c>
      <c r="G67" s="8">
        <v>0.38600000000000001</v>
      </c>
      <c r="H67" s="8">
        <v>0</v>
      </c>
      <c r="I67" s="8">
        <v>1.2768999999999999</v>
      </c>
      <c r="J67" s="8">
        <v>0</v>
      </c>
      <c r="K67" s="8">
        <v>0</v>
      </c>
      <c r="L67" s="8">
        <v>60.3</v>
      </c>
      <c r="M67" s="8">
        <v>202.09</v>
      </c>
      <c r="N67" s="10">
        <v>3.3514096185737898</v>
      </c>
      <c r="O67" s="10">
        <v>3.3517078484942102</v>
      </c>
      <c r="P67" s="10">
        <v>3.3514713885879801</v>
      </c>
      <c r="Q67" s="10">
        <v>3.3534858268855401</v>
      </c>
      <c r="R67" s="8">
        <v>202.10798326420101</v>
      </c>
      <c r="S67" s="8">
        <v>202.10125148224199</v>
      </c>
      <c r="T67" s="8">
        <v>202.211322550522</v>
      </c>
      <c r="U67" s="9">
        <v>8.8982453933395995E-5</v>
      </c>
      <c r="V67" s="9">
        <v>5.5674051352823099E-5</v>
      </c>
      <c r="W67" s="9">
        <v>6.00159076399391E-4</v>
      </c>
      <c r="X67" s="10">
        <v>3.3514096185737898</v>
      </c>
      <c r="Y67" s="10">
        <v>3.3517078484942102</v>
      </c>
      <c r="Z67" s="10">
        <v>3.3514713885879801</v>
      </c>
      <c r="AA67" s="10">
        <v>3.3534858268855401</v>
      </c>
      <c r="AB67" s="8">
        <v>202.10798326420101</v>
      </c>
      <c r="AC67" s="8">
        <v>202.10125148224199</v>
      </c>
      <c r="AD67" s="8">
        <v>202.211322550522</v>
      </c>
      <c r="AE67" s="9">
        <v>8.8982453933395995E-5</v>
      </c>
      <c r="AF67" s="9">
        <v>5.5674051352823099E-5</v>
      </c>
      <c r="AG67" s="9">
        <v>6.00159076399391E-4</v>
      </c>
      <c r="AZ67" s="9"/>
      <c r="BB67">
        <f t="shared" si="2"/>
        <v>0</v>
      </c>
      <c r="BC67">
        <f t="shared" si="3"/>
        <v>1</v>
      </c>
      <c r="BD67">
        <f t="shared" si="4"/>
        <v>0</v>
      </c>
      <c r="BE67">
        <f t="shared" si="0"/>
        <v>1</v>
      </c>
      <c r="BF67">
        <f t="shared" si="5"/>
        <v>0</v>
      </c>
      <c r="BG67" s="9">
        <f t="shared" si="6"/>
        <v>0</v>
      </c>
      <c r="BH67" s="9">
        <f t="shared" si="7"/>
        <v>0</v>
      </c>
      <c r="BI67" s="9">
        <f t="shared" si="8"/>
        <v>0</v>
      </c>
      <c r="BJ67" s="12">
        <f t="shared" si="9"/>
        <v>4.942374684030991E-4</v>
      </c>
      <c r="BL67" s="9"/>
      <c r="BN67">
        <f t="shared" si="10"/>
        <v>0</v>
      </c>
      <c r="BO67">
        <f t="shared" si="11"/>
        <v>0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0</v>
      </c>
      <c r="BX67" s="12">
        <f t="shared" si="18"/>
        <v>0</v>
      </c>
      <c r="BY67" s="12">
        <f t="shared" si="19"/>
        <v>4.942374684030991E-4</v>
      </c>
    </row>
    <row r="68" spans="1:77" x14ac:dyDescent="0.3">
      <c r="A68" s="1">
        <v>46121</v>
      </c>
      <c r="B68" s="8">
        <v>60.76</v>
      </c>
      <c r="C68" s="8">
        <v>203.63</v>
      </c>
      <c r="D68" s="9">
        <v>7.5995739944322901E-3</v>
      </c>
      <c r="E68" s="9">
        <v>7.5914788322665799E-3</v>
      </c>
      <c r="F68" s="8">
        <v>0</v>
      </c>
      <c r="G68" s="8">
        <v>0.38600000000000001</v>
      </c>
      <c r="H68" s="8">
        <v>0</v>
      </c>
      <c r="I68" s="8">
        <v>1.2768999999999999</v>
      </c>
      <c r="J68" s="8">
        <v>0</v>
      </c>
      <c r="K68" s="8">
        <v>0</v>
      </c>
      <c r="L68" s="8">
        <v>60.76</v>
      </c>
      <c r="M68" s="8">
        <v>203.63</v>
      </c>
      <c r="N68" s="10">
        <v>3.3513824884792598</v>
      </c>
      <c r="O68" s="10">
        <v>3.3517078484942102</v>
      </c>
      <c r="P68" s="10">
        <v>3.3515393597533598</v>
      </c>
      <c r="Q68" s="10">
        <v>3.3535196453243001</v>
      </c>
      <c r="R68" s="8">
        <v>203.649768874508</v>
      </c>
      <c r="S68" s="8">
        <v>203.63540157060601</v>
      </c>
      <c r="T68" s="8">
        <v>203.75779884156501</v>
      </c>
      <c r="U68" s="9">
        <v>9.7077616099282505E-5</v>
      </c>
      <c r="V68" s="9">
        <v>2.65260470725271E-5</v>
      </c>
      <c r="W68" s="9">
        <v>6.2740634904355995E-4</v>
      </c>
      <c r="X68" s="10">
        <v>3.3513824884792598</v>
      </c>
      <c r="Y68" s="10">
        <v>3.3517078484942102</v>
      </c>
      <c r="Z68" s="10">
        <v>3.3515393597533598</v>
      </c>
      <c r="AA68" s="10">
        <v>3.3535196453243001</v>
      </c>
      <c r="AB68" s="8">
        <v>203.649768874508</v>
      </c>
      <c r="AC68" s="8">
        <v>203.63540157060601</v>
      </c>
      <c r="AD68" s="8">
        <v>203.75779884156501</v>
      </c>
      <c r="AE68" s="9">
        <v>9.7077616099282505E-5</v>
      </c>
      <c r="AF68" s="9">
        <v>2.65260470725271E-5</v>
      </c>
      <c r="AG68" s="9">
        <v>6.2740634904355995E-4</v>
      </c>
      <c r="AZ68" s="9"/>
      <c r="BB68">
        <f t="shared" si="2"/>
        <v>0</v>
      </c>
      <c r="BC68">
        <f t="shared" si="3"/>
        <v>1</v>
      </c>
      <c r="BD68">
        <f t="shared" si="4"/>
        <v>0</v>
      </c>
      <c r="BE68">
        <f t="shared" si="0"/>
        <v>1</v>
      </c>
      <c r="BF68">
        <f t="shared" si="5"/>
        <v>0</v>
      </c>
      <c r="BG68" s="9">
        <f t="shared" si="6"/>
        <v>0</v>
      </c>
      <c r="BH68" s="9">
        <f t="shared" si="7"/>
        <v>0</v>
      </c>
      <c r="BI68" s="9">
        <f t="shared" si="8"/>
        <v>0</v>
      </c>
      <c r="BJ68" s="12">
        <f t="shared" si="9"/>
        <v>4.942374684030991E-4</v>
      </c>
      <c r="BL68" s="9"/>
      <c r="BN68">
        <f t="shared" si="10"/>
        <v>0</v>
      </c>
      <c r="BO68">
        <f t="shared" si="11"/>
        <v>0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0</v>
      </c>
      <c r="BX68" s="12">
        <f t="shared" si="18"/>
        <v>0</v>
      </c>
      <c r="BY68" s="12">
        <f t="shared" si="19"/>
        <v>4.942374684030991E-4</v>
      </c>
    </row>
    <row r="69" spans="1:77" x14ac:dyDescent="0.3">
      <c r="A69" s="1">
        <v>46122</v>
      </c>
      <c r="B69" s="8">
        <v>60.52</v>
      </c>
      <c r="C69" s="8">
        <v>202.89</v>
      </c>
      <c r="D69" s="9">
        <v>-3.9577888074168004E-3</v>
      </c>
      <c r="E69" s="9">
        <v>-3.6406613074653101E-3</v>
      </c>
      <c r="F69" s="8">
        <v>0</v>
      </c>
      <c r="G69" s="8">
        <v>0.38600000000000001</v>
      </c>
      <c r="H69" s="8">
        <v>0</v>
      </c>
      <c r="I69" s="8">
        <v>1.2768999999999999</v>
      </c>
      <c r="J69" s="8">
        <v>0</v>
      </c>
      <c r="K69" s="8">
        <v>0</v>
      </c>
      <c r="L69" s="8">
        <v>60.52</v>
      </c>
      <c r="M69" s="8">
        <v>202.89</v>
      </c>
      <c r="N69" s="10">
        <v>3.3524454725710502</v>
      </c>
      <c r="O69" s="10">
        <v>3.3517078484942102</v>
      </c>
      <c r="P69" s="10">
        <v>3.3517060893261799</v>
      </c>
      <c r="Q69" s="10">
        <v>3.3536431712487298</v>
      </c>
      <c r="R69" s="8">
        <v>202.84535899086899</v>
      </c>
      <c r="S69" s="8">
        <v>202.83516205227301</v>
      </c>
      <c r="T69" s="8">
        <v>202.955008935026</v>
      </c>
      <c r="U69" s="9">
        <v>-2.2004988385220599E-4</v>
      </c>
      <c r="V69" s="9">
        <v>-2.7032066625051201E-4</v>
      </c>
      <c r="W69" s="9">
        <v>3.2036336114364E-4</v>
      </c>
      <c r="X69" s="10">
        <v>3.3524454725710502</v>
      </c>
      <c r="Y69" s="10">
        <v>3.3517078484942102</v>
      </c>
      <c r="Z69" s="10">
        <v>3.3517060893261799</v>
      </c>
      <c r="AA69" s="10">
        <v>3.3536431712487298</v>
      </c>
      <c r="AB69" s="8">
        <v>202.84535899086899</v>
      </c>
      <c r="AC69" s="8">
        <v>202.83516205227301</v>
      </c>
      <c r="AD69" s="8">
        <v>202.955008935026</v>
      </c>
      <c r="AE69" s="9">
        <v>-2.2004988385220599E-4</v>
      </c>
      <c r="AF69" s="9">
        <v>-2.7032066625051201E-4</v>
      </c>
      <c r="AG69" s="9">
        <v>3.2036336114364E-4</v>
      </c>
      <c r="AZ69" s="9"/>
      <c r="BB69">
        <f t="shared" si="2"/>
        <v>0</v>
      </c>
      <c r="BC69">
        <f t="shared" si="3"/>
        <v>1</v>
      </c>
      <c r="BD69">
        <f t="shared" si="4"/>
        <v>0</v>
      </c>
      <c r="BE69">
        <f t="shared" si="0"/>
        <v>1</v>
      </c>
      <c r="BF69">
        <f t="shared" si="5"/>
        <v>0</v>
      </c>
      <c r="BG69" s="9">
        <f t="shared" si="6"/>
        <v>0</v>
      </c>
      <c r="BH69" s="9">
        <f t="shared" si="7"/>
        <v>0</v>
      </c>
      <c r="BI69" s="9">
        <f t="shared" si="8"/>
        <v>0</v>
      </c>
      <c r="BJ69" s="12">
        <f t="shared" si="9"/>
        <v>4.942374684030991E-4</v>
      </c>
      <c r="BL69" s="9"/>
      <c r="BN69">
        <f t="shared" si="10"/>
        <v>0</v>
      </c>
      <c r="BO69">
        <f t="shared" si="11"/>
        <v>0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0</v>
      </c>
      <c r="BX69" s="12">
        <f t="shared" si="18"/>
        <v>0</v>
      </c>
      <c r="BY69" s="12">
        <f t="shared" si="19"/>
        <v>4.942374684030991E-4</v>
      </c>
    </row>
    <row r="70" spans="1:77" x14ac:dyDescent="0.3">
      <c r="A70" s="1">
        <v>46125</v>
      </c>
      <c r="B70" s="8">
        <v>59.76</v>
      </c>
      <c r="C70" s="8">
        <v>200.25</v>
      </c>
      <c r="D70" s="9">
        <v>-1.26373480955933E-2</v>
      </c>
      <c r="E70" s="9">
        <v>-1.3097374306489599E-2</v>
      </c>
      <c r="F70" s="8">
        <v>0</v>
      </c>
      <c r="G70" s="8">
        <v>0.38600000000000001</v>
      </c>
      <c r="H70" s="8">
        <v>0</v>
      </c>
      <c r="I70" s="8">
        <v>1.2768999999999999</v>
      </c>
      <c r="J70" s="8">
        <v>0</v>
      </c>
      <c r="K70" s="8">
        <v>0</v>
      </c>
      <c r="L70" s="8">
        <v>59.76</v>
      </c>
      <c r="M70" s="8">
        <v>200.25</v>
      </c>
      <c r="N70" s="10">
        <v>3.3509036144578301</v>
      </c>
      <c r="O70" s="10">
        <v>3.3517078484942102</v>
      </c>
      <c r="P70" s="10">
        <v>3.3516245066112602</v>
      </c>
      <c r="Q70" s="10">
        <v>3.35359238903317</v>
      </c>
      <c r="R70" s="8">
        <v>200.29806102601401</v>
      </c>
      <c r="S70" s="8">
        <v>200.29795589813199</v>
      </c>
      <c r="T70" s="8">
        <v>200.41371591382401</v>
      </c>
      <c r="U70" s="9">
        <v>2.39976327043948E-4</v>
      </c>
      <c r="V70" s="9">
        <v>2.3945146969747699E-4</v>
      </c>
      <c r="W70" s="9">
        <v>8.1722360390108295E-4</v>
      </c>
      <c r="X70" s="10">
        <v>3.3509036144578301</v>
      </c>
      <c r="Y70" s="10">
        <v>3.3517078484942102</v>
      </c>
      <c r="Z70" s="10">
        <v>3.3516245066112602</v>
      </c>
      <c r="AA70" s="10">
        <v>3.35359238903317</v>
      </c>
      <c r="AB70" s="8">
        <v>200.29806102601401</v>
      </c>
      <c r="AC70" s="8">
        <v>200.29795589813199</v>
      </c>
      <c r="AD70" s="8">
        <v>200.41371591382401</v>
      </c>
      <c r="AE70" s="9">
        <v>2.39976327043948E-4</v>
      </c>
      <c r="AF70" s="9">
        <v>2.3945146969747699E-4</v>
      </c>
      <c r="AG70" s="9">
        <v>8.1722360390108295E-4</v>
      </c>
      <c r="AZ70" s="9"/>
      <c r="BB70">
        <f t="shared" si="2"/>
        <v>0</v>
      </c>
      <c r="BC70">
        <f t="shared" si="3"/>
        <v>1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4.942374684030991E-4</v>
      </c>
      <c r="BL70" s="9"/>
      <c r="BN70">
        <f t="shared" si="10"/>
        <v>0</v>
      </c>
      <c r="BO70">
        <f t="shared" si="11"/>
        <v>0</v>
      </c>
      <c r="BP70">
        <f t="shared" si="12"/>
        <v>0</v>
      </c>
      <c r="BQ70">
        <f t="shared" si="1"/>
        <v>1</v>
      </c>
      <c r="BR70">
        <f t="shared" si="13"/>
        <v>0</v>
      </c>
      <c r="BS70" s="9">
        <f t="shared" si="14"/>
        <v>0</v>
      </c>
      <c r="BT70" s="9">
        <f t="shared" si="15"/>
        <v>0</v>
      </c>
      <c r="BU70" s="9">
        <f t="shared" si="16"/>
        <v>0</v>
      </c>
      <c r="BV70" s="12">
        <f t="shared" si="17"/>
        <v>0</v>
      </c>
      <c r="BX70" s="12">
        <f t="shared" si="18"/>
        <v>0</v>
      </c>
      <c r="BY70" s="12">
        <f t="shared" si="19"/>
        <v>4.942374684030991E-4</v>
      </c>
    </row>
    <row r="71" spans="1:77" x14ac:dyDescent="0.3">
      <c r="A71" s="1">
        <v>46126</v>
      </c>
      <c r="B71" s="8">
        <v>59.96</v>
      </c>
      <c r="C71" s="8">
        <v>200.91</v>
      </c>
      <c r="D71" s="9">
        <v>3.3411324098351299E-3</v>
      </c>
      <c r="E71" s="9">
        <v>3.29046064159981E-3</v>
      </c>
      <c r="F71" s="8">
        <v>0</v>
      </c>
      <c r="G71" s="8">
        <v>0.38600000000000001</v>
      </c>
      <c r="H71" s="8">
        <v>0</v>
      </c>
      <c r="I71" s="8">
        <v>1.2768999999999999</v>
      </c>
      <c r="J71" s="8">
        <v>0</v>
      </c>
      <c r="K71" s="8">
        <v>0</v>
      </c>
      <c r="L71" s="8">
        <v>59.96</v>
      </c>
      <c r="M71" s="8">
        <v>200.91</v>
      </c>
      <c r="N71" s="10">
        <v>3.3507338225483601</v>
      </c>
      <c r="O71" s="10">
        <v>3.3517078484942102</v>
      </c>
      <c r="P71" s="10">
        <v>3.3516564547379</v>
      </c>
      <c r="Q71" s="10">
        <v>3.3534941229519002</v>
      </c>
      <c r="R71" s="8">
        <v>200.968402595713</v>
      </c>
      <c r="S71" s="8">
        <v>200.96340541641101</v>
      </c>
      <c r="T71" s="8">
        <v>201.08139964642899</v>
      </c>
      <c r="U71" s="9">
        <v>2.9064809527917503E-4</v>
      </c>
      <c r="V71" s="9">
        <v>2.6578228868005398E-4</v>
      </c>
      <c r="W71" s="9">
        <v>8.5275285474508496E-4</v>
      </c>
      <c r="X71" s="10">
        <v>3.3507338225483601</v>
      </c>
      <c r="Y71" s="10">
        <v>3.3517078484942102</v>
      </c>
      <c r="Z71" s="10">
        <v>3.3516564547379</v>
      </c>
      <c r="AA71" s="10">
        <v>3.3534941229519002</v>
      </c>
      <c r="AB71" s="8">
        <v>200.968402595713</v>
      </c>
      <c r="AC71" s="8">
        <v>200.96340541641101</v>
      </c>
      <c r="AD71" s="8">
        <v>201.08139964642899</v>
      </c>
      <c r="AE71" s="9">
        <v>2.9064809527917503E-4</v>
      </c>
      <c r="AF71" s="9">
        <v>2.6578228868005398E-4</v>
      </c>
      <c r="AG71" s="9">
        <v>8.5275285474508496E-4</v>
      </c>
      <c r="AZ71" s="9"/>
      <c r="BB71">
        <f t="shared" si="2"/>
        <v>0</v>
      </c>
      <c r="BC71">
        <f t="shared" si="3"/>
        <v>1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4.942374684030991E-4</v>
      </c>
      <c r="BL71" s="9"/>
      <c r="BN71">
        <f t="shared" si="10"/>
        <v>0</v>
      </c>
      <c r="BO71">
        <f t="shared" si="11"/>
        <v>0</v>
      </c>
      <c r="BP71">
        <f t="shared" si="12"/>
        <v>0</v>
      </c>
      <c r="BQ71">
        <f t="shared" si="1"/>
        <v>1</v>
      </c>
      <c r="BR71">
        <f t="shared" si="13"/>
        <v>0</v>
      </c>
      <c r="BS71" s="9">
        <f t="shared" si="14"/>
        <v>0</v>
      </c>
      <c r="BT71" s="9">
        <f t="shared" si="15"/>
        <v>0</v>
      </c>
      <c r="BU71" s="9">
        <f t="shared" si="16"/>
        <v>0</v>
      </c>
      <c r="BV71" s="12">
        <f t="shared" si="17"/>
        <v>0</v>
      </c>
      <c r="BX71" s="12">
        <f t="shared" si="18"/>
        <v>0</v>
      </c>
      <c r="BY71" s="12">
        <f t="shared" si="19"/>
        <v>4.942374684030991E-4</v>
      </c>
    </row>
    <row r="72" spans="1:77" x14ac:dyDescent="0.3">
      <c r="A72" s="1">
        <v>46127</v>
      </c>
      <c r="B72" s="8">
        <v>59.46</v>
      </c>
      <c r="C72" s="8">
        <v>199.25</v>
      </c>
      <c r="D72" s="9">
        <v>-8.3738556644453298E-3</v>
      </c>
      <c r="E72" s="9">
        <v>-8.2967289197441001E-3</v>
      </c>
      <c r="F72" s="8">
        <v>0</v>
      </c>
      <c r="G72" s="8">
        <v>0.38600000000000001</v>
      </c>
      <c r="H72" s="8">
        <v>0</v>
      </c>
      <c r="I72" s="8">
        <v>1.2768999999999999</v>
      </c>
      <c r="J72" s="8">
        <v>0</v>
      </c>
      <c r="K72" s="8">
        <v>0</v>
      </c>
      <c r="L72" s="8">
        <v>59.46</v>
      </c>
      <c r="M72" s="8">
        <v>199.25</v>
      </c>
      <c r="N72" s="10">
        <v>3.35099226370669</v>
      </c>
      <c r="O72" s="10">
        <v>3.3517078484942102</v>
      </c>
      <c r="P72" s="10">
        <v>3.3513231434413999</v>
      </c>
      <c r="Q72" s="10">
        <v>3.3535165173975399</v>
      </c>
      <c r="R72" s="8">
        <v>199.292548671465</v>
      </c>
      <c r="S72" s="8">
        <v>199.289492798715</v>
      </c>
      <c r="T72" s="8">
        <v>199.39876055072</v>
      </c>
      <c r="U72" s="9">
        <v>2.1352135057798501E-4</v>
      </c>
      <c r="V72" s="9">
        <v>1.9818763037962299E-4</v>
      </c>
      <c r="W72" s="9">
        <v>7.4632394401275199E-4</v>
      </c>
      <c r="X72" s="10">
        <v>3.35099226370669</v>
      </c>
      <c r="Y72" s="10">
        <v>3.3517078484942102</v>
      </c>
      <c r="Z72" s="10">
        <v>3.3513231434413999</v>
      </c>
      <c r="AA72" s="10">
        <v>3.3535165173975399</v>
      </c>
      <c r="AB72" s="8">
        <v>199.292548671465</v>
      </c>
      <c r="AC72" s="8">
        <v>199.289492798715</v>
      </c>
      <c r="AD72" s="8">
        <v>199.39876055072</v>
      </c>
      <c r="AE72" s="9">
        <v>2.1352135057798501E-4</v>
      </c>
      <c r="AF72" s="9">
        <v>1.9818763037962299E-4</v>
      </c>
      <c r="AG72" s="9">
        <v>7.4632394401275199E-4</v>
      </c>
      <c r="AZ72" s="9"/>
      <c r="BB72">
        <f t="shared" si="2"/>
        <v>0</v>
      </c>
      <c r="BC72">
        <f t="shared" si="3"/>
        <v>1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4.942374684030991E-4</v>
      </c>
      <c r="BL72" s="9"/>
      <c r="BN72">
        <f t="shared" si="10"/>
        <v>0</v>
      </c>
      <c r="BO72">
        <f t="shared" si="11"/>
        <v>0</v>
      </c>
      <c r="BP72">
        <f t="shared" si="12"/>
        <v>0</v>
      </c>
      <c r="BQ72">
        <f t="shared" si="1"/>
        <v>1</v>
      </c>
      <c r="BR72">
        <f t="shared" si="13"/>
        <v>0</v>
      </c>
      <c r="BS72" s="9">
        <f t="shared" si="14"/>
        <v>0</v>
      </c>
      <c r="BT72" s="9">
        <f t="shared" si="15"/>
        <v>0</v>
      </c>
      <c r="BU72" s="9">
        <f t="shared" si="16"/>
        <v>0</v>
      </c>
      <c r="BV72" s="12">
        <f t="shared" si="17"/>
        <v>0</v>
      </c>
      <c r="BX72" s="12">
        <f t="shared" si="18"/>
        <v>0</v>
      </c>
      <c r="BY72" s="12">
        <f t="shared" si="19"/>
        <v>4.942374684030991E-4</v>
      </c>
    </row>
    <row r="73" spans="1:77" x14ac:dyDescent="0.3">
      <c r="A73" s="1">
        <v>46128</v>
      </c>
      <c r="B73" s="8">
        <v>59.85</v>
      </c>
      <c r="C73" s="8">
        <v>200.51</v>
      </c>
      <c r="D73" s="9">
        <v>6.5376144340305101E-3</v>
      </c>
      <c r="E73" s="9">
        <v>6.3038031442880097E-3</v>
      </c>
      <c r="F73" s="8">
        <v>0</v>
      </c>
      <c r="G73" s="8">
        <v>0.38600000000000001</v>
      </c>
      <c r="H73" s="8">
        <v>0</v>
      </c>
      <c r="I73" s="8">
        <v>1.2768999999999999</v>
      </c>
      <c r="J73" s="8">
        <v>0</v>
      </c>
      <c r="K73" s="8">
        <v>0</v>
      </c>
      <c r="L73" s="8">
        <v>59.85</v>
      </c>
      <c r="M73" s="8">
        <v>200.51</v>
      </c>
      <c r="N73" s="10">
        <v>3.35020885547201</v>
      </c>
      <c r="O73" s="10">
        <v>3.3517078484942102</v>
      </c>
      <c r="P73" s="10">
        <v>3.3511519804710801</v>
      </c>
      <c r="Q73" s="10">
        <v>3.35368476748011</v>
      </c>
      <c r="R73" s="8">
        <v>200.599714732378</v>
      </c>
      <c r="S73" s="8">
        <v>200.57669013496701</v>
      </c>
      <c r="T73" s="8">
        <v>200.707963566243</v>
      </c>
      <c r="U73" s="9">
        <v>4.4733264032043902E-4</v>
      </c>
      <c r="V73" s="9">
        <v>3.3254723840409002E-4</v>
      </c>
      <c r="W73" s="9">
        <v>9.8681315536460292E-4</v>
      </c>
      <c r="X73" s="10">
        <v>3.35020885547201</v>
      </c>
      <c r="Y73" s="10">
        <v>3.3517078484942102</v>
      </c>
      <c r="Z73" s="10">
        <v>3.3511519804710801</v>
      </c>
      <c r="AA73" s="10">
        <v>3.35368476748011</v>
      </c>
      <c r="AB73" s="8">
        <v>200.599714732378</v>
      </c>
      <c r="AC73" s="8">
        <v>200.57669013496701</v>
      </c>
      <c r="AD73" s="8">
        <v>200.707963566243</v>
      </c>
      <c r="AE73" s="9">
        <v>4.4733264032043902E-4</v>
      </c>
      <c r="AF73" s="9">
        <v>3.3254723840409002E-4</v>
      </c>
      <c r="AG73" s="9">
        <v>9.8681315536460292E-4</v>
      </c>
      <c r="AZ73" s="9"/>
      <c r="BB73">
        <f t="shared" si="2"/>
        <v>0</v>
      </c>
      <c r="BC73">
        <f t="shared" si="3"/>
        <v>1</v>
      </c>
      <c r="BD73">
        <f t="shared" si="4"/>
        <v>0</v>
      </c>
      <c r="BE73">
        <f t="shared" si="0"/>
        <v>1</v>
      </c>
      <c r="BF73">
        <f t="shared" si="5"/>
        <v>0</v>
      </c>
      <c r="BG73" s="9">
        <f t="shared" si="6"/>
        <v>0</v>
      </c>
      <c r="BH73" s="9">
        <f t="shared" si="7"/>
        <v>0</v>
      </c>
      <c r="BI73" s="9">
        <f t="shared" si="8"/>
        <v>0</v>
      </c>
      <c r="BJ73" s="12">
        <f t="shared" si="9"/>
        <v>4.942374684030991E-4</v>
      </c>
      <c r="BL73" s="9"/>
      <c r="BN73">
        <f t="shared" si="10"/>
        <v>0</v>
      </c>
      <c r="BO73">
        <f t="shared" si="11"/>
        <v>0</v>
      </c>
      <c r="BP73">
        <f t="shared" si="12"/>
        <v>0</v>
      </c>
      <c r="BQ73">
        <f t="shared" si="1"/>
        <v>1</v>
      </c>
      <c r="BR73">
        <f t="shared" si="13"/>
        <v>0</v>
      </c>
      <c r="BS73" s="9">
        <f t="shared" si="14"/>
        <v>0</v>
      </c>
      <c r="BT73" s="9">
        <f t="shared" si="15"/>
        <v>0</v>
      </c>
      <c r="BU73" s="9">
        <f t="shared" si="16"/>
        <v>0</v>
      </c>
      <c r="BV73" s="12">
        <f t="shared" si="17"/>
        <v>0</v>
      </c>
      <c r="BX73" s="12">
        <f t="shared" si="18"/>
        <v>0</v>
      </c>
      <c r="BY73" s="12">
        <f t="shared" si="19"/>
        <v>4.942374684030991E-4</v>
      </c>
    </row>
    <row r="74" spans="1:77" x14ac:dyDescent="0.3">
      <c r="A74" s="1">
        <v>46129</v>
      </c>
      <c r="B74" s="8">
        <v>59.59</v>
      </c>
      <c r="C74" s="8">
        <v>199.7</v>
      </c>
      <c r="D74" s="9">
        <v>-4.35365724509457E-3</v>
      </c>
      <c r="E74" s="9">
        <v>-4.04788039284305E-3</v>
      </c>
      <c r="F74" s="8">
        <v>0</v>
      </c>
      <c r="G74" s="8">
        <v>0.38600000000000001</v>
      </c>
      <c r="H74" s="8">
        <v>0</v>
      </c>
      <c r="I74" s="8">
        <v>1.2768999999999999</v>
      </c>
      <c r="J74" s="8">
        <v>0</v>
      </c>
      <c r="K74" s="8">
        <v>0</v>
      </c>
      <c r="L74" s="8">
        <v>59.59</v>
      </c>
      <c r="M74" s="8">
        <v>199.7</v>
      </c>
      <c r="N74" s="10">
        <v>3.3512334284275802</v>
      </c>
      <c r="O74" s="10">
        <v>3.3517078484942102</v>
      </c>
      <c r="P74" s="10">
        <v>3.3513129802176</v>
      </c>
      <c r="Q74" s="10">
        <v>3.3536867660588898</v>
      </c>
      <c r="R74" s="8">
        <v>199.72827069177001</v>
      </c>
      <c r="S74" s="8">
        <v>199.695146516271</v>
      </c>
      <c r="T74" s="8">
        <v>199.84607529414001</v>
      </c>
      <c r="U74" s="9">
        <v>1.41555788068748E-4</v>
      </c>
      <c r="V74" s="9">
        <v>-2.4304169796455701E-5</v>
      </c>
      <c r="W74" s="9">
        <v>7.3120628473728202E-4</v>
      </c>
      <c r="X74" s="10">
        <v>3.3512334284275802</v>
      </c>
      <c r="Y74" s="10">
        <v>3.3517078484942102</v>
      </c>
      <c r="Z74" s="10">
        <v>3.3513129802176</v>
      </c>
      <c r="AA74" s="10">
        <v>3.3536867660588898</v>
      </c>
      <c r="AB74" s="8">
        <v>199.72827069177001</v>
      </c>
      <c r="AC74" s="8">
        <v>199.695146516271</v>
      </c>
      <c r="AD74" s="8">
        <v>199.84607529414001</v>
      </c>
      <c r="AE74" s="9">
        <v>1.41555788068748E-4</v>
      </c>
      <c r="AF74" s="9">
        <v>-2.4304169796455701E-5</v>
      </c>
      <c r="AG74" s="9">
        <v>7.3120628473728202E-4</v>
      </c>
      <c r="AZ74" s="9"/>
      <c r="BB74">
        <f t="shared" si="2"/>
        <v>0</v>
      </c>
      <c r="BC74">
        <f t="shared" si="3"/>
        <v>1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4.942374684030991E-4</v>
      </c>
      <c r="BL74" s="9"/>
      <c r="BN74">
        <f t="shared" si="10"/>
        <v>0</v>
      </c>
      <c r="BO74">
        <f t="shared" si="11"/>
        <v>0</v>
      </c>
      <c r="BP74">
        <f t="shared" si="12"/>
        <v>0</v>
      </c>
      <c r="BQ74">
        <f t="shared" si="1"/>
        <v>1</v>
      </c>
      <c r="BR74">
        <f t="shared" si="13"/>
        <v>0</v>
      </c>
      <c r="BS74" s="9">
        <f t="shared" si="14"/>
        <v>0</v>
      </c>
      <c r="BT74" s="9">
        <f t="shared" si="15"/>
        <v>0</v>
      </c>
      <c r="BU74" s="9">
        <f t="shared" si="16"/>
        <v>0</v>
      </c>
      <c r="BV74" s="12">
        <f t="shared" si="17"/>
        <v>0</v>
      </c>
      <c r="BX74" s="12">
        <f t="shared" si="18"/>
        <v>0</v>
      </c>
      <c r="BY74" s="12">
        <f t="shared" si="19"/>
        <v>4.942374684030991E-4</v>
      </c>
    </row>
    <row r="75" spans="1:77" x14ac:dyDescent="0.3">
      <c r="A75" s="1">
        <v>46132</v>
      </c>
      <c r="B75" s="8">
        <v>59.11</v>
      </c>
      <c r="C75" s="8">
        <v>198.05</v>
      </c>
      <c r="D75" s="9">
        <v>-8.0876599226094407E-3</v>
      </c>
      <c r="E75" s="9">
        <v>-8.2967163538437902E-3</v>
      </c>
      <c r="F75" s="8">
        <v>0</v>
      </c>
      <c r="G75" s="8">
        <v>0.38600000000000001</v>
      </c>
      <c r="H75" s="8">
        <v>0</v>
      </c>
      <c r="I75" s="8">
        <v>1.2768999999999999</v>
      </c>
      <c r="J75" s="8">
        <v>0</v>
      </c>
      <c r="K75" s="8">
        <v>0</v>
      </c>
      <c r="L75" s="8">
        <v>59.11</v>
      </c>
      <c r="M75" s="8">
        <v>198.05</v>
      </c>
      <c r="N75" s="10">
        <v>3.3505329047538401</v>
      </c>
      <c r="O75" s="10">
        <v>3.3517078484942102</v>
      </c>
      <c r="P75" s="10">
        <v>3.3511275349835001</v>
      </c>
      <c r="Q75" s="10">
        <v>3.3524601281587798</v>
      </c>
      <c r="R75" s="8">
        <v>198.11945092449201</v>
      </c>
      <c r="S75" s="8">
        <v>198.09611026066199</v>
      </c>
      <c r="T75" s="8">
        <v>198.23642474174099</v>
      </c>
      <c r="U75" s="9">
        <v>3.5061221930313E-4</v>
      </c>
      <c r="V75" s="9">
        <v>2.32794212421709E-4</v>
      </c>
      <c r="W75" s="9">
        <v>9.4085865098780396E-4</v>
      </c>
      <c r="X75" s="10">
        <v>3.3505329047538401</v>
      </c>
      <c r="Y75" s="10">
        <v>3.3517078484942102</v>
      </c>
      <c r="Z75" s="10">
        <v>3.3511275349835001</v>
      </c>
      <c r="AA75" s="10">
        <v>3.3524601281587798</v>
      </c>
      <c r="AB75" s="8">
        <v>198.11945092449201</v>
      </c>
      <c r="AC75" s="8">
        <v>198.09611026066199</v>
      </c>
      <c r="AD75" s="8">
        <v>198.23642474174099</v>
      </c>
      <c r="AE75" s="9">
        <v>3.5061221930313E-4</v>
      </c>
      <c r="AF75" s="9">
        <v>2.32794212421709E-4</v>
      </c>
      <c r="AG75" s="9">
        <v>9.4085865098780396E-4</v>
      </c>
      <c r="AZ75" s="9"/>
      <c r="BB75">
        <f t="shared" si="2"/>
        <v>0</v>
      </c>
      <c r="BC75">
        <f t="shared" si="3"/>
        <v>1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4.942374684030991E-4</v>
      </c>
      <c r="BL75" s="9"/>
      <c r="BN75">
        <f t="shared" si="10"/>
        <v>0</v>
      </c>
      <c r="BO75">
        <f t="shared" si="11"/>
        <v>0</v>
      </c>
      <c r="BP75">
        <f t="shared" si="12"/>
        <v>0</v>
      </c>
      <c r="BQ75">
        <f t="shared" si="1"/>
        <v>1</v>
      </c>
      <c r="BR75">
        <f t="shared" si="13"/>
        <v>0</v>
      </c>
      <c r="BS75" s="9">
        <f t="shared" si="14"/>
        <v>0</v>
      </c>
      <c r="BT75" s="9">
        <f t="shared" si="15"/>
        <v>0</v>
      </c>
      <c r="BU75" s="9">
        <f t="shared" si="16"/>
        <v>0</v>
      </c>
      <c r="BV75" s="12">
        <f t="shared" si="17"/>
        <v>0</v>
      </c>
      <c r="BX75" s="12">
        <f t="shared" si="18"/>
        <v>0</v>
      </c>
      <c r="BY75" s="12">
        <f t="shared" si="19"/>
        <v>4.942374684030991E-4</v>
      </c>
    </row>
    <row r="76" spans="1:77" x14ac:dyDescent="0.3">
      <c r="A76" s="1">
        <v>46133</v>
      </c>
      <c r="B76" s="8">
        <v>58.04</v>
      </c>
      <c r="C76" s="8">
        <v>194.44</v>
      </c>
      <c r="D76" s="9">
        <v>-1.8267686820291E-2</v>
      </c>
      <c r="E76" s="9">
        <v>-1.8395891890671E-2</v>
      </c>
      <c r="F76" s="8">
        <v>0</v>
      </c>
      <c r="G76" s="8">
        <v>0.38600000000000001</v>
      </c>
      <c r="H76" s="8">
        <v>0</v>
      </c>
      <c r="I76" s="8">
        <v>1.2768999999999999</v>
      </c>
      <c r="J76" s="8">
        <v>0</v>
      </c>
      <c r="K76" s="8">
        <v>0</v>
      </c>
      <c r="L76" s="8">
        <v>58.04</v>
      </c>
      <c r="M76" s="8">
        <v>194.44</v>
      </c>
      <c r="N76" s="10">
        <v>3.3501033769813899</v>
      </c>
      <c r="O76" s="10">
        <v>3.3517078484942102</v>
      </c>
      <c r="P76" s="10">
        <v>3.35099458459718</v>
      </c>
      <c r="Q76" s="10">
        <v>3.3512953974581499</v>
      </c>
      <c r="R76" s="8">
        <v>194.53312352660399</v>
      </c>
      <c r="S76" s="8">
        <v>194.49944213044199</v>
      </c>
      <c r="T76" s="8">
        <v>194.57678583833501</v>
      </c>
      <c r="U76" s="9">
        <v>4.78817289682971E-4</v>
      </c>
      <c r="V76" s="9">
        <v>3.0566265318882898E-4</v>
      </c>
      <c r="W76" s="9">
        <v>7.0323877504886495E-4</v>
      </c>
      <c r="X76" s="10">
        <v>3.3501033769813899</v>
      </c>
      <c r="Y76" s="10">
        <v>3.3517078484942102</v>
      </c>
      <c r="Z76" s="10">
        <v>3.35099458459718</v>
      </c>
      <c r="AA76" s="10">
        <v>3.3512953974581499</v>
      </c>
      <c r="AB76" s="8">
        <v>194.53312352660399</v>
      </c>
      <c r="AC76" s="8">
        <v>194.49944213044199</v>
      </c>
      <c r="AD76" s="8">
        <v>194.57678583833501</v>
      </c>
      <c r="AE76" s="9">
        <v>4.78817289682971E-4</v>
      </c>
      <c r="AF76" s="9">
        <v>3.0566265318882898E-4</v>
      </c>
      <c r="AG76" s="9">
        <v>7.0323877504886495E-4</v>
      </c>
      <c r="AZ76" s="9"/>
      <c r="BB76">
        <f t="shared" si="2"/>
        <v>0</v>
      </c>
      <c r="BC76">
        <f t="shared" si="3"/>
        <v>1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4.942374684030991E-4</v>
      </c>
      <c r="BL76" s="9"/>
      <c r="BN76">
        <f t="shared" si="10"/>
        <v>0</v>
      </c>
      <c r="BO76">
        <f t="shared" si="11"/>
        <v>0</v>
      </c>
      <c r="BP76">
        <f t="shared" si="12"/>
        <v>0</v>
      </c>
      <c r="BQ76">
        <f t="shared" si="1"/>
        <v>1</v>
      </c>
      <c r="BR76">
        <f t="shared" si="13"/>
        <v>0</v>
      </c>
      <c r="BS76" s="9">
        <f t="shared" si="14"/>
        <v>0</v>
      </c>
      <c r="BT76" s="9">
        <f t="shared" si="15"/>
        <v>0</v>
      </c>
      <c r="BU76" s="9">
        <f t="shared" si="16"/>
        <v>0</v>
      </c>
      <c r="BV76" s="12">
        <f t="shared" si="17"/>
        <v>0</v>
      </c>
      <c r="BX76" s="12">
        <f t="shared" si="18"/>
        <v>0</v>
      </c>
      <c r="BY76" s="12">
        <f t="shared" si="19"/>
        <v>4.942374684030991E-4</v>
      </c>
    </row>
    <row r="77" spans="1:77" x14ac:dyDescent="0.3">
      <c r="A77" s="1">
        <v>46134</v>
      </c>
      <c r="B77" s="8">
        <v>57.97</v>
      </c>
      <c r="C77" s="8">
        <v>194.34</v>
      </c>
      <c r="D77" s="9">
        <v>-1.2067926643455501E-3</v>
      </c>
      <c r="E77" s="9">
        <v>-5.1442976596172802E-4</v>
      </c>
      <c r="F77" s="8">
        <v>0</v>
      </c>
      <c r="G77" s="8">
        <v>0.38600000000000001</v>
      </c>
      <c r="H77" s="8">
        <v>0</v>
      </c>
      <c r="I77" s="8">
        <v>1.2768999999999999</v>
      </c>
      <c r="J77" s="8">
        <v>0</v>
      </c>
      <c r="K77" s="8">
        <v>0</v>
      </c>
      <c r="L77" s="8">
        <v>57.97</v>
      </c>
      <c r="M77" s="8">
        <v>194.34</v>
      </c>
      <c r="N77" s="10">
        <v>3.3524236674141799</v>
      </c>
      <c r="O77" s="10">
        <v>3.3517078484942102</v>
      </c>
      <c r="P77" s="10">
        <v>3.35109598948122</v>
      </c>
      <c r="Q77" s="10">
        <v>3.3512836890346001</v>
      </c>
      <c r="R77" s="8">
        <v>194.29850397720901</v>
      </c>
      <c r="S77" s="8">
        <v>194.25715606909799</v>
      </c>
      <c r="T77" s="8">
        <v>194.274594190649</v>
      </c>
      <c r="U77" s="9">
        <v>-2.1354560870076299E-4</v>
      </c>
      <c r="V77" s="9">
        <v>-4.2637436153321302E-4</v>
      </c>
      <c r="W77" s="9">
        <v>-3.3661015796268399E-4</v>
      </c>
      <c r="X77" s="10">
        <v>3.3524236674141799</v>
      </c>
      <c r="Y77" s="10">
        <v>3.3517078484942102</v>
      </c>
      <c r="Z77" s="10">
        <v>3.35109598948122</v>
      </c>
      <c r="AA77" s="10">
        <v>3.3512836890346001</v>
      </c>
      <c r="AB77" s="8">
        <v>194.29850397720901</v>
      </c>
      <c r="AC77" s="8">
        <v>194.25715606909799</v>
      </c>
      <c r="AD77" s="8">
        <v>194.274594190649</v>
      </c>
      <c r="AE77" s="9">
        <v>-2.1354560870076299E-4</v>
      </c>
      <c r="AF77" s="9">
        <v>-4.2637436153321302E-4</v>
      </c>
      <c r="AG77" s="9">
        <v>-3.3661015796268399E-4</v>
      </c>
      <c r="AZ77" s="9"/>
      <c r="BB77">
        <f t="shared" si="2"/>
        <v>0</v>
      </c>
      <c r="BC77">
        <f t="shared" si="3"/>
        <v>0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4.942374684030991E-4</v>
      </c>
      <c r="BL77" s="9"/>
      <c r="BN77">
        <f t="shared" si="10"/>
        <v>0</v>
      </c>
      <c r="BO77">
        <f t="shared" si="11"/>
        <v>1</v>
      </c>
      <c r="BP77">
        <f t="shared" si="12"/>
        <v>0</v>
      </c>
      <c r="BQ77">
        <f t="shared" si="1"/>
        <v>1</v>
      </c>
      <c r="BR77">
        <f t="shared" si="13"/>
        <v>0</v>
      </c>
      <c r="BS77" s="9">
        <f t="shared" si="14"/>
        <v>0</v>
      </c>
      <c r="BT77" s="9">
        <f t="shared" si="15"/>
        <v>0</v>
      </c>
      <c r="BU77" s="9">
        <f t="shared" si="16"/>
        <v>0</v>
      </c>
      <c r="BV77" s="12">
        <f t="shared" si="17"/>
        <v>0</v>
      </c>
      <c r="BX77" s="12">
        <f t="shared" si="18"/>
        <v>0</v>
      </c>
      <c r="BY77" s="12">
        <f t="shared" si="19"/>
        <v>4.942374684030991E-4</v>
      </c>
    </row>
    <row r="78" spans="1:77" x14ac:dyDescent="0.3">
      <c r="A78" s="1">
        <v>46135</v>
      </c>
      <c r="B78" s="8">
        <v>59.59</v>
      </c>
      <c r="C78" s="8">
        <v>199.69</v>
      </c>
      <c r="D78" s="9">
        <v>2.7562139407246101E-2</v>
      </c>
      <c r="E78" s="9">
        <v>2.7156961644007199E-2</v>
      </c>
      <c r="F78" s="8">
        <v>0</v>
      </c>
      <c r="G78" s="8">
        <v>0.38600000000000001</v>
      </c>
      <c r="H78" s="8">
        <v>0</v>
      </c>
      <c r="I78" s="8">
        <v>1.2768999999999999</v>
      </c>
      <c r="J78" s="8">
        <v>0</v>
      </c>
      <c r="K78" s="8">
        <v>0</v>
      </c>
      <c r="L78" s="8">
        <v>59.59</v>
      </c>
      <c r="M78" s="8">
        <v>199.69</v>
      </c>
      <c r="N78" s="10">
        <v>3.3510656150360698</v>
      </c>
      <c r="O78" s="10">
        <v>3.3517078484942102</v>
      </c>
      <c r="P78" s="10">
        <v>3.3510643021369</v>
      </c>
      <c r="Q78" s="10">
        <v>3.3513018309451299</v>
      </c>
      <c r="R78" s="8">
        <v>199.72827069177001</v>
      </c>
      <c r="S78" s="8">
        <v>199.691810013186</v>
      </c>
      <c r="T78" s="8">
        <v>199.70299502957201</v>
      </c>
      <c r="U78" s="9">
        <v>1.9163215453815599E-4</v>
      </c>
      <c r="V78" s="9">
        <v>9.0640742303647494E-6</v>
      </c>
      <c r="W78" s="9">
        <v>6.5073898333233598E-5</v>
      </c>
      <c r="X78" s="10">
        <v>3.3510656150360698</v>
      </c>
      <c r="Y78" s="10">
        <v>3.3517078484942102</v>
      </c>
      <c r="Z78" s="10">
        <v>3.3510643021369</v>
      </c>
      <c r="AA78" s="10">
        <v>3.3513018309451299</v>
      </c>
      <c r="AB78" s="8">
        <v>199.72827069177001</v>
      </c>
      <c r="AC78" s="8">
        <v>199.691810013186</v>
      </c>
      <c r="AD78" s="8">
        <v>199.70299502957201</v>
      </c>
      <c r="AE78" s="9">
        <v>1.9163215453815599E-4</v>
      </c>
      <c r="AF78" s="9">
        <v>9.0640742303647494E-6</v>
      </c>
      <c r="AG78" s="9">
        <v>6.5073898333233598E-5</v>
      </c>
      <c r="AZ78" s="9"/>
      <c r="BB78">
        <f t="shared" si="2"/>
        <v>0</v>
      </c>
      <c r="BC78">
        <f t="shared" si="3"/>
        <v>1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4.942374684030991E-4</v>
      </c>
      <c r="BL78" s="9"/>
      <c r="BN78">
        <f t="shared" si="10"/>
        <v>0</v>
      </c>
      <c r="BO78">
        <f t="shared" si="11"/>
        <v>0</v>
      </c>
      <c r="BP78">
        <f t="shared" si="12"/>
        <v>0</v>
      </c>
      <c r="BQ78">
        <f t="shared" si="1"/>
        <v>1</v>
      </c>
      <c r="BR78">
        <f t="shared" si="13"/>
        <v>0</v>
      </c>
      <c r="BS78" s="9">
        <f t="shared" si="14"/>
        <v>0</v>
      </c>
      <c r="BT78" s="9">
        <f t="shared" si="15"/>
        <v>0</v>
      </c>
      <c r="BU78" s="9">
        <f t="shared" si="16"/>
        <v>0</v>
      </c>
      <c r="BV78" s="12">
        <f t="shared" si="17"/>
        <v>0</v>
      </c>
      <c r="BX78" s="12">
        <f t="shared" si="18"/>
        <v>0</v>
      </c>
      <c r="BY78" s="12">
        <f t="shared" si="19"/>
        <v>4.942374684030991E-4</v>
      </c>
    </row>
    <row r="79" spans="1:77" x14ac:dyDescent="0.3">
      <c r="A79" s="1">
        <v>46136</v>
      </c>
      <c r="B79" s="8">
        <v>59.65</v>
      </c>
      <c r="C79" s="8">
        <v>199.84</v>
      </c>
      <c r="D79" s="9">
        <v>1.0063737850374501E-3</v>
      </c>
      <c r="E79" s="9">
        <v>7.50882321967343E-4</v>
      </c>
      <c r="F79" s="8">
        <v>0</v>
      </c>
      <c r="G79" s="8">
        <v>0.38600000000000001</v>
      </c>
      <c r="H79" s="8">
        <v>0</v>
      </c>
      <c r="I79" s="8">
        <v>1.2768999999999999</v>
      </c>
      <c r="J79" s="8">
        <v>0</v>
      </c>
      <c r="K79" s="8">
        <v>0</v>
      </c>
      <c r="L79" s="8">
        <v>59.65</v>
      </c>
      <c r="M79" s="8">
        <v>199.84</v>
      </c>
      <c r="N79" s="10">
        <v>3.3502095557418201</v>
      </c>
      <c r="O79" s="10">
        <v>3.3517078484942102</v>
      </c>
      <c r="P79" s="10">
        <v>3.3508407104539799</v>
      </c>
      <c r="Q79" s="10">
        <v>3.3512733998900801</v>
      </c>
      <c r="R79" s="8">
        <v>199.92937316267901</v>
      </c>
      <c r="S79" s="8">
        <v>199.89098562246599</v>
      </c>
      <c r="T79" s="8">
        <v>199.90515421587699</v>
      </c>
      <c r="U79" s="9">
        <v>4.4712361760828202E-4</v>
      </c>
      <c r="V79" s="9">
        <v>2.5509967741644499E-4</v>
      </c>
      <c r="W79" s="9">
        <v>3.2597876805803301E-4</v>
      </c>
      <c r="X79" s="10">
        <v>3.3502095557418201</v>
      </c>
      <c r="Y79" s="10">
        <v>3.3517078484942102</v>
      </c>
      <c r="Z79" s="10">
        <v>3.3508407104539799</v>
      </c>
      <c r="AA79" s="10">
        <v>3.3512733998900801</v>
      </c>
      <c r="AB79" s="8">
        <v>199.92937316267901</v>
      </c>
      <c r="AC79" s="8">
        <v>199.89098562246599</v>
      </c>
      <c r="AD79" s="8">
        <v>199.90515421587699</v>
      </c>
      <c r="AE79" s="9">
        <v>4.4712361760828202E-4</v>
      </c>
      <c r="AF79" s="9">
        <v>2.5509967741644499E-4</v>
      </c>
      <c r="AG79" s="9">
        <v>3.2597876805803301E-4</v>
      </c>
      <c r="AZ79" s="9"/>
      <c r="BB79">
        <f t="shared" si="2"/>
        <v>0</v>
      </c>
      <c r="BC79">
        <f t="shared" si="3"/>
        <v>1</v>
      </c>
      <c r="BD79">
        <f t="shared" si="4"/>
        <v>0</v>
      </c>
      <c r="BE79">
        <f t="shared" si="0"/>
        <v>1</v>
      </c>
      <c r="BF79">
        <f t="shared" si="5"/>
        <v>0</v>
      </c>
      <c r="BG79" s="9">
        <f t="shared" si="6"/>
        <v>0</v>
      </c>
      <c r="BH79" s="9">
        <f t="shared" si="7"/>
        <v>0</v>
      </c>
      <c r="BI79" s="9">
        <f t="shared" si="8"/>
        <v>0</v>
      </c>
      <c r="BJ79" s="12">
        <f t="shared" si="9"/>
        <v>4.942374684030991E-4</v>
      </c>
      <c r="BL79" s="9"/>
      <c r="BN79">
        <f t="shared" si="10"/>
        <v>0</v>
      </c>
      <c r="BO79">
        <f t="shared" si="11"/>
        <v>0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0</v>
      </c>
      <c r="BX79" s="12">
        <f t="shared" si="18"/>
        <v>0</v>
      </c>
      <c r="BY79" s="12">
        <f t="shared" si="19"/>
        <v>4.942374684030991E-4</v>
      </c>
    </row>
    <row r="80" spans="1:77" x14ac:dyDescent="0.3">
      <c r="A80" s="1">
        <v>46139</v>
      </c>
      <c r="B80" s="8">
        <v>59.72</v>
      </c>
      <c r="C80" s="8">
        <v>200.11</v>
      </c>
      <c r="D80" s="9">
        <v>1.1728241270646E-3</v>
      </c>
      <c r="E80" s="9">
        <v>1.35016897620455E-3</v>
      </c>
      <c r="F80" s="8">
        <v>0</v>
      </c>
      <c r="G80" s="8">
        <v>0.38600000000000001</v>
      </c>
      <c r="H80" s="8">
        <v>0</v>
      </c>
      <c r="I80" s="8">
        <v>1.2768999999999999</v>
      </c>
      <c r="J80" s="8">
        <v>0</v>
      </c>
      <c r="K80" s="8">
        <v>0</v>
      </c>
      <c r="L80" s="8">
        <v>59.72</v>
      </c>
      <c r="M80" s="8">
        <v>200.11</v>
      </c>
      <c r="N80" s="10">
        <v>3.3508037508372399</v>
      </c>
      <c r="O80" s="10">
        <v>3.3517078484942102</v>
      </c>
      <c r="P80" s="10">
        <v>3.35083072409192</v>
      </c>
      <c r="Q80" s="10">
        <v>3.3512276153515899</v>
      </c>
      <c r="R80" s="8">
        <v>200.16399271207399</v>
      </c>
      <c r="S80" s="8">
        <v>200.11220722831101</v>
      </c>
      <c r="T80" s="8">
        <v>200.13804744143499</v>
      </c>
      <c r="U80" s="9">
        <v>2.6977876846821601E-4</v>
      </c>
      <c r="V80" s="9">
        <v>1.10300141869626E-5</v>
      </c>
      <c r="W80" s="9">
        <v>1.4015029760176901E-4</v>
      </c>
      <c r="X80" s="10">
        <v>3.3508037508372399</v>
      </c>
      <c r="Y80" s="10">
        <v>3.3517078484942102</v>
      </c>
      <c r="Z80" s="10">
        <v>3.35083072409192</v>
      </c>
      <c r="AA80" s="10">
        <v>3.3512276153515899</v>
      </c>
      <c r="AB80" s="8">
        <v>200.16399271207399</v>
      </c>
      <c r="AC80" s="8">
        <v>200.11220722831101</v>
      </c>
      <c r="AD80" s="8">
        <v>200.13804744143499</v>
      </c>
      <c r="AE80" s="9">
        <v>2.6977876846821601E-4</v>
      </c>
      <c r="AF80" s="9">
        <v>1.10300141869626E-5</v>
      </c>
      <c r="AG80" s="9">
        <v>1.4015029760176901E-4</v>
      </c>
      <c r="AZ80" s="9"/>
      <c r="BB80">
        <f t="shared" si="2"/>
        <v>0</v>
      </c>
      <c r="BC80">
        <f t="shared" si="3"/>
        <v>1</v>
      </c>
      <c r="BD80">
        <f t="shared" si="4"/>
        <v>0</v>
      </c>
      <c r="BE80">
        <f t="shared" si="0"/>
        <v>1</v>
      </c>
      <c r="BF80">
        <f t="shared" si="5"/>
        <v>0</v>
      </c>
      <c r="BG80" s="9">
        <f t="shared" si="6"/>
        <v>0</v>
      </c>
      <c r="BH80" s="9">
        <f t="shared" si="7"/>
        <v>0</v>
      </c>
      <c r="BI80" s="9">
        <f t="shared" si="8"/>
        <v>0</v>
      </c>
      <c r="BJ80" s="12">
        <f t="shared" si="9"/>
        <v>4.942374684030991E-4</v>
      </c>
      <c r="BL80" s="9"/>
      <c r="BN80">
        <f t="shared" si="10"/>
        <v>0</v>
      </c>
      <c r="BO80">
        <f t="shared" si="11"/>
        <v>0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0</v>
      </c>
      <c r="BX80" s="12">
        <f t="shared" si="18"/>
        <v>0</v>
      </c>
      <c r="BY80" s="12">
        <f t="shared" si="19"/>
        <v>4.942374684030991E-4</v>
      </c>
    </row>
    <row r="81" spans="1:77" x14ac:dyDescent="0.3">
      <c r="A81" s="1">
        <v>46140</v>
      </c>
      <c r="B81" s="8">
        <v>59.75</v>
      </c>
      <c r="C81" s="8">
        <v>200.26</v>
      </c>
      <c r="D81" s="9">
        <v>5.0221814063035005E-4</v>
      </c>
      <c r="E81" s="9">
        <v>7.49306926184563E-4</v>
      </c>
      <c r="F81" s="8">
        <v>0</v>
      </c>
      <c r="G81" s="8">
        <v>0.38600000000000001</v>
      </c>
      <c r="H81" s="8">
        <v>0</v>
      </c>
      <c r="I81" s="8">
        <v>1.2768999999999999</v>
      </c>
      <c r="J81" s="8">
        <v>0</v>
      </c>
      <c r="K81" s="8">
        <v>0</v>
      </c>
      <c r="L81" s="8">
        <v>59.75</v>
      </c>
      <c r="M81" s="8">
        <v>200.26</v>
      </c>
      <c r="N81" s="10">
        <v>3.3516317991631799</v>
      </c>
      <c r="O81" s="10">
        <v>3.3517078484942102</v>
      </c>
      <c r="P81" s="10">
        <v>3.3509205217533999</v>
      </c>
      <c r="Q81" s="10">
        <v>3.35128848824565</v>
      </c>
      <c r="R81" s="8">
        <v>200.26454394752901</v>
      </c>
      <c r="S81" s="8">
        <v>200.21213576449199</v>
      </c>
      <c r="T81" s="8">
        <v>200.23585001725701</v>
      </c>
      <c r="U81" s="9">
        <v>2.2689982914135499E-5</v>
      </c>
      <c r="V81" s="9">
        <v>-2.39039031487696E-4</v>
      </c>
      <c r="W81" s="9">
        <v>-1.2060041456390599E-4</v>
      </c>
      <c r="X81" s="10">
        <v>3.3516317991631799</v>
      </c>
      <c r="Y81" s="10">
        <v>3.3517078484942102</v>
      </c>
      <c r="Z81" s="10">
        <v>3.3509205217533999</v>
      </c>
      <c r="AA81" s="10">
        <v>3.35128848824565</v>
      </c>
      <c r="AB81" s="8">
        <v>200.26454394752901</v>
      </c>
      <c r="AC81" s="8">
        <v>200.21213576449199</v>
      </c>
      <c r="AD81" s="8">
        <v>200.23585001725701</v>
      </c>
      <c r="AE81" s="9">
        <v>2.2689982914135499E-5</v>
      </c>
      <c r="AF81" s="9">
        <v>-2.39039031487696E-4</v>
      </c>
      <c r="AG81" s="9">
        <v>-1.2060041456390599E-4</v>
      </c>
      <c r="AZ81" s="9"/>
      <c r="BB81">
        <f t="shared" si="2"/>
        <v>0</v>
      </c>
      <c r="BC81">
        <f t="shared" si="3"/>
        <v>0</v>
      </c>
      <c r="BD81">
        <f t="shared" si="4"/>
        <v>0</v>
      </c>
      <c r="BE81">
        <f t="shared" si="0"/>
        <v>1</v>
      </c>
      <c r="BF81">
        <f t="shared" si="5"/>
        <v>0</v>
      </c>
      <c r="BG81" s="9">
        <f t="shared" si="6"/>
        <v>0</v>
      </c>
      <c r="BH81" s="9">
        <f t="shared" si="7"/>
        <v>0</v>
      </c>
      <c r="BI81" s="9">
        <f t="shared" si="8"/>
        <v>0</v>
      </c>
      <c r="BJ81" s="12">
        <f t="shared" si="9"/>
        <v>4.942374684030991E-4</v>
      </c>
      <c r="BL81" s="9"/>
      <c r="BN81">
        <f t="shared" si="10"/>
        <v>0</v>
      </c>
      <c r="BO81">
        <f t="shared" si="11"/>
        <v>1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0</v>
      </c>
      <c r="BX81" s="12">
        <f t="shared" si="18"/>
        <v>0</v>
      </c>
      <c r="BY81" s="12">
        <f t="shared" si="19"/>
        <v>4.942374684030991E-4</v>
      </c>
    </row>
    <row r="82" spans="1:77" x14ac:dyDescent="0.3">
      <c r="A82" s="1">
        <v>46141</v>
      </c>
      <c r="B82" s="8">
        <v>59</v>
      </c>
      <c r="C82" s="8">
        <v>197.6</v>
      </c>
      <c r="D82" s="9">
        <v>-1.26317469059005E-2</v>
      </c>
      <c r="E82" s="9">
        <v>-1.3371736965889299E-2</v>
      </c>
      <c r="F82" s="8">
        <v>0</v>
      </c>
      <c r="G82" s="8">
        <v>0.38600000000000001</v>
      </c>
      <c r="H82" s="8">
        <v>0</v>
      </c>
      <c r="I82" s="8">
        <v>1.2768999999999999</v>
      </c>
      <c r="J82" s="8">
        <v>0</v>
      </c>
      <c r="K82" s="8">
        <v>0</v>
      </c>
      <c r="L82" s="8">
        <v>59</v>
      </c>
      <c r="M82" s="8">
        <v>197.6</v>
      </c>
      <c r="N82" s="10">
        <v>3.3491525423728801</v>
      </c>
      <c r="O82" s="10">
        <v>3.3517078484942102</v>
      </c>
      <c r="P82" s="10">
        <v>3.3507365496200201</v>
      </c>
      <c r="Q82" s="10">
        <v>3.35102984653071</v>
      </c>
      <c r="R82" s="8">
        <v>197.75076306115801</v>
      </c>
      <c r="S82" s="8">
        <v>197.70431078345001</v>
      </c>
      <c r="T82" s="8">
        <v>197.72602080649301</v>
      </c>
      <c r="U82" s="9">
        <v>7.6268004290264504E-4</v>
      </c>
      <c r="V82" s="9">
        <v>5.2774929605586699E-4</v>
      </c>
      <c r="W82" s="9">
        <v>6.37553837236875E-4</v>
      </c>
      <c r="X82" s="10">
        <v>3.3491525423728801</v>
      </c>
      <c r="Y82" s="10">
        <v>3.3517078484942102</v>
      </c>
      <c r="Z82" s="10">
        <v>3.3507365496200201</v>
      </c>
      <c r="AA82" s="10">
        <v>3.35102984653071</v>
      </c>
      <c r="AB82" s="8">
        <v>197.75076306115801</v>
      </c>
      <c r="AC82" s="8">
        <v>197.70431078345001</v>
      </c>
      <c r="AD82" s="8">
        <v>197.72602080649301</v>
      </c>
      <c r="AE82" s="9">
        <v>7.6268004290264504E-4</v>
      </c>
      <c r="AF82" s="9">
        <v>5.2774929605586699E-4</v>
      </c>
      <c r="AG82" s="9">
        <v>6.37553837236875E-4</v>
      </c>
      <c r="AZ82" s="9"/>
      <c r="BB82">
        <f t="shared" si="2"/>
        <v>0</v>
      </c>
      <c r="BC82">
        <f t="shared" si="3"/>
        <v>1</v>
      </c>
      <c r="BD82">
        <f t="shared" si="4"/>
        <v>0</v>
      </c>
      <c r="BE82">
        <f t="shared" si="0"/>
        <v>1</v>
      </c>
      <c r="BF82">
        <f t="shared" si="5"/>
        <v>0</v>
      </c>
      <c r="BG82" s="9">
        <f t="shared" si="6"/>
        <v>0</v>
      </c>
      <c r="BH82" s="9">
        <f t="shared" si="7"/>
        <v>0</v>
      </c>
      <c r="BI82" s="9">
        <f t="shared" si="8"/>
        <v>0</v>
      </c>
      <c r="BJ82" s="12">
        <f t="shared" si="9"/>
        <v>4.942374684030991E-4</v>
      </c>
      <c r="BL82" s="9"/>
      <c r="BN82">
        <f t="shared" si="10"/>
        <v>0</v>
      </c>
      <c r="BO82">
        <f t="shared" si="11"/>
        <v>0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0</v>
      </c>
      <c r="BX82" s="12">
        <f t="shared" si="18"/>
        <v>0</v>
      </c>
      <c r="BY82" s="12">
        <f t="shared" si="19"/>
        <v>4.942374684030991E-4</v>
      </c>
    </row>
    <row r="83" spans="1:77" x14ac:dyDescent="0.3">
      <c r="A83" s="1">
        <v>46142</v>
      </c>
      <c r="B83" s="8">
        <v>60.4</v>
      </c>
      <c r="C83" s="8">
        <v>202.49</v>
      </c>
      <c r="D83" s="9">
        <v>2.3451661035049799E-2</v>
      </c>
      <c r="E83" s="9">
        <v>2.4445717297410501E-2</v>
      </c>
      <c r="F83" s="8">
        <v>0</v>
      </c>
      <c r="G83" s="8">
        <v>0.38600000000000001</v>
      </c>
      <c r="H83" s="8">
        <v>0</v>
      </c>
      <c r="I83" s="8">
        <v>1.2768999999999999</v>
      </c>
      <c r="J83" s="8">
        <v>0</v>
      </c>
      <c r="K83" s="8">
        <v>0</v>
      </c>
      <c r="L83" s="8">
        <v>60.4</v>
      </c>
      <c r="M83" s="8">
        <v>202.49</v>
      </c>
      <c r="N83" s="10">
        <v>3.3524834437086</v>
      </c>
      <c r="O83" s="10">
        <v>3.3517078484942102</v>
      </c>
      <c r="P83" s="10">
        <v>3.3509640084436798</v>
      </c>
      <c r="Q83" s="10">
        <v>3.35105799445738</v>
      </c>
      <c r="R83" s="8">
        <v>202.44315404905001</v>
      </c>
      <c r="S83" s="8">
        <v>202.384487597049</v>
      </c>
      <c r="T83" s="8">
        <v>202.402202730455</v>
      </c>
      <c r="U83" s="9">
        <v>-2.3137621945803599E-4</v>
      </c>
      <c r="V83" s="9">
        <v>-5.2121044210726403E-4</v>
      </c>
      <c r="W83" s="9">
        <v>-4.3368220147989002E-4</v>
      </c>
      <c r="X83" s="10">
        <v>3.3524834437086</v>
      </c>
      <c r="Y83" s="10">
        <v>3.3517078484942102</v>
      </c>
      <c r="Z83" s="10">
        <v>3.3509640084436798</v>
      </c>
      <c r="AA83" s="10">
        <v>3.35105799445738</v>
      </c>
      <c r="AB83" s="8">
        <v>202.44315404905001</v>
      </c>
      <c r="AC83" s="8">
        <v>202.384487597049</v>
      </c>
      <c r="AD83" s="8">
        <v>202.402202730455</v>
      </c>
      <c r="AE83" s="9">
        <v>-2.3137621945803599E-4</v>
      </c>
      <c r="AF83" s="9">
        <v>-5.2121044210726403E-4</v>
      </c>
      <c r="AG83" s="9">
        <v>-4.3368220147989002E-4</v>
      </c>
      <c r="AZ83" s="9"/>
      <c r="BB83">
        <f t="shared" si="2"/>
        <v>0</v>
      </c>
      <c r="BC83">
        <f t="shared" si="3"/>
        <v>0</v>
      </c>
      <c r="BD83">
        <f t="shared" si="4"/>
        <v>0</v>
      </c>
      <c r="BE83">
        <f t="shared" si="0"/>
        <v>1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4.942374684030991E-4</v>
      </c>
      <c r="BL83" s="9"/>
      <c r="BN83">
        <f t="shared" si="10"/>
        <v>0</v>
      </c>
      <c r="BO83">
        <f t="shared" si="11"/>
        <v>1</v>
      </c>
      <c r="BP83">
        <f t="shared" si="12"/>
        <v>0</v>
      </c>
      <c r="BQ83">
        <f t="shared" si="1"/>
        <v>1</v>
      </c>
      <c r="BR83">
        <f t="shared" si="13"/>
        <v>0</v>
      </c>
      <c r="BS83" s="9">
        <f t="shared" si="14"/>
        <v>0</v>
      </c>
      <c r="BT83" s="9">
        <f t="shared" si="15"/>
        <v>0</v>
      </c>
      <c r="BU83" s="9">
        <f t="shared" si="16"/>
        <v>0</v>
      </c>
      <c r="BV83" s="12">
        <f t="shared" si="17"/>
        <v>0</v>
      </c>
      <c r="BX83" s="12">
        <f t="shared" si="18"/>
        <v>0</v>
      </c>
      <c r="BY83" s="12">
        <f t="shared" si="19"/>
        <v>4.942374684030991E-4</v>
      </c>
    </row>
    <row r="84" spans="1:77" x14ac:dyDescent="0.3">
      <c r="A84" s="1">
        <v>46143</v>
      </c>
      <c r="B84" s="8">
        <v>60.03</v>
      </c>
      <c r="C84" s="8">
        <v>201.12</v>
      </c>
      <c r="D84" s="9">
        <v>-6.1446676770174902E-3</v>
      </c>
      <c r="E84" s="9">
        <v>-6.7887577692406498E-3</v>
      </c>
      <c r="F84" s="8">
        <v>0</v>
      </c>
      <c r="G84" s="8">
        <v>0.38600000000000001</v>
      </c>
      <c r="H84" s="8">
        <v>0</v>
      </c>
      <c r="I84" s="8">
        <v>1.2768999999999999</v>
      </c>
      <c r="J84" s="8">
        <v>0</v>
      </c>
      <c r="K84" s="8">
        <v>0</v>
      </c>
      <c r="L84" s="8">
        <v>60.03</v>
      </c>
      <c r="M84" s="8">
        <v>201.12</v>
      </c>
      <c r="N84" s="10">
        <v>3.3503248375812</v>
      </c>
      <c r="O84" s="10">
        <v>3.3517078484942102</v>
      </c>
      <c r="P84" s="10">
        <v>3.3508731493590398</v>
      </c>
      <c r="Q84" s="10">
        <v>3.3510930647883201</v>
      </c>
      <c r="R84" s="8">
        <v>201.20302214510701</v>
      </c>
      <c r="S84" s="8">
        <v>201.158369426874</v>
      </c>
      <c r="T84" s="8">
        <v>201.16401140727601</v>
      </c>
      <c r="U84" s="9">
        <v>4.1271387276529698E-4</v>
      </c>
      <c r="V84" s="9">
        <v>1.90760577285211E-4</v>
      </c>
      <c r="W84" s="9">
        <v>2.1880763940035399E-4</v>
      </c>
      <c r="X84" s="10">
        <v>3.3503248375812</v>
      </c>
      <c r="Y84" s="10">
        <v>3.3517078484942102</v>
      </c>
      <c r="Z84" s="10">
        <v>3.3508731493590398</v>
      </c>
      <c r="AA84" s="10">
        <v>3.3510930647883201</v>
      </c>
      <c r="AB84" s="8">
        <v>201.20302214510701</v>
      </c>
      <c r="AC84" s="8">
        <v>201.158369426874</v>
      </c>
      <c r="AD84" s="8">
        <v>201.16401140727601</v>
      </c>
      <c r="AE84" s="9">
        <v>4.1271387276529698E-4</v>
      </c>
      <c r="AF84" s="9">
        <v>1.90760577285211E-4</v>
      </c>
      <c r="AG84" s="9">
        <v>2.1880763940035399E-4</v>
      </c>
      <c r="AZ84" s="9"/>
      <c r="BB84">
        <f t="shared" si="2"/>
        <v>0</v>
      </c>
      <c r="BC84">
        <f t="shared" si="3"/>
        <v>1</v>
      </c>
      <c r="BD84">
        <f t="shared" si="4"/>
        <v>0</v>
      </c>
      <c r="BE84">
        <f t="shared" si="0"/>
        <v>1</v>
      </c>
      <c r="BF84">
        <f t="shared" si="5"/>
        <v>0</v>
      </c>
      <c r="BG84" s="9">
        <f t="shared" si="6"/>
        <v>0</v>
      </c>
      <c r="BH84" s="9">
        <f t="shared" si="7"/>
        <v>0</v>
      </c>
      <c r="BI84" s="9">
        <f t="shared" si="8"/>
        <v>0</v>
      </c>
      <c r="BJ84" s="12">
        <f t="shared" si="9"/>
        <v>4.942374684030991E-4</v>
      </c>
      <c r="BL84" s="9"/>
      <c r="BN84">
        <f t="shared" si="10"/>
        <v>0</v>
      </c>
      <c r="BO84">
        <f t="shared" si="11"/>
        <v>0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0</v>
      </c>
      <c r="BX84" s="12">
        <f t="shared" si="18"/>
        <v>0</v>
      </c>
      <c r="BY84" s="12">
        <f t="shared" si="19"/>
        <v>4.942374684030991E-4</v>
      </c>
    </row>
    <row r="85" spans="1:77" x14ac:dyDescent="0.3">
      <c r="A85" s="1">
        <v>46146</v>
      </c>
      <c r="B85" s="8">
        <v>59.85</v>
      </c>
      <c r="C85" s="8">
        <v>200.51</v>
      </c>
      <c r="D85" s="9">
        <v>-3.0030052597695401E-3</v>
      </c>
      <c r="E85" s="9">
        <v>-3.0376240273247302E-3</v>
      </c>
      <c r="F85" s="8">
        <v>0</v>
      </c>
      <c r="G85" s="8">
        <v>0.38600000000000001</v>
      </c>
      <c r="H85" s="8">
        <v>0</v>
      </c>
      <c r="I85" s="8">
        <v>1.2768999999999999</v>
      </c>
      <c r="J85" s="8">
        <v>0</v>
      </c>
      <c r="K85" s="8">
        <v>0</v>
      </c>
      <c r="L85" s="8">
        <v>59.85</v>
      </c>
      <c r="M85" s="8">
        <v>200.51</v>
      </c>
      <c r="N85" s="10">
        <v>3.35020885547201</v>
      </c>
      <c r="O85" s="10">
        <v>3.3517078484942102</v>
      </c>
      <c r="P85" s="10">
        <v>3.3508407444308599</v>
      </c>
      <c r="Q85" s="10">
        <v>3.35098413970718</v>
      </c>
      <c r="R85" s="8">
        <v>200.599714732378</v>
      </c>
      <c r="S85" s="8">
        <v>200.54975798913799</v>
      </c>
      <c r="T85" s="8">
        <v>200.56291992758099</v>
      </c>
      <c r="U85" s="9">
        <v>4.4733264032043902E-4</v>
      </c>
      <c r="V85" s="9">
        <v>1.98264664938805E-4</v>
      </c>
      <c r="W85" s="9">
        <v>2.6389180250784998E-4</v>
      </c>
      <c r="X85" s="10">
        <v>3.35020885547201</v>
      </c>
      <c r="Y85" s="10">
        <v>3.3517078484942102</v>
      </c>
      <c r="Z85" s="10">
        <v>3.3508407444308599</v>
      </c>
      <c r="AA85" s="10">
        <v>3.35098413970718</v>
      </c>
      <c r="AB85" s="8">
        <v>200.599714732378</v>
      </c>
      <c r="AC85" s="8">
        <v>200.54975798913799</v>
      </c>
      <c r="AD85" s="8">
        <v>200.56291992758099</v>
      </c>
      <c r="AE85" s="9">
        <v>4.4733264032043902E-4</v>
      </c>
      <c r="AF85" s="9">
        <v>1.98264664938805E-4</v>
      </c>
      <c r="AG85" s="9">
        <v>2.6389180250784998E-4</v>
      </c>
      <c r="AZ85" s="9"/>
      <c r="BB85">
        <f t="shared" si="2"/>
        <v>0</v>
      </c>
      <c r="BC85">
        <f t="shared" si="3"/>
        <v>1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4.942374684030991E-4</v>
      </c>
      <c r="BL85" s="9"/>
      <c r="BN85">
        <f t="shared" si="10"/>
        <v>0</v>
      </c>
      <c r="BO85">
        <f t="shared" si="11"/>
        <v>0</v>
      </c>
      <c r="BP85">
        <f t="shared" si="12"/>
        <v>0</v>
      </c>
      <c r="BQ85">
        <f t="shared" si="1"/>
        <v>1</v>
      </c>
      <c r="BR85">
        <f t="shared" si="13"/>
        <v>0</v>
      </c>
      <c r="BS85" s="9">
        <f t="shared" si="14"/>
        <v>0</v>
      </c>
      <c r="BT85" s="9">
        <f t="shared" si="15"/>
        <v>0</v>
      </c>
      <c r="BU85" s="9">
        <f t="shared" si="16"/>
        <v>0</v>
      </c>
      <c r="BV85" s="12">
        <f t="shared" si="17"/>
        <v>0</v>
      </c>
      <c r="BX85" s="12">
        <f t="shared" si="18"/>
        <v>0</v>
      </c>
      <c r="BY85" s="12">
        <f t="shared" si="19"/>
        <v>4.942374684030991E-4</v>
      </c>
    </row>
    <row r="86" spans="1:77" x14ac:dyDescent="0.3">
      <c r="A86" s="1">
        <v>46147</v>
      </c>
      <c r="B86" s="8">
        <v>59.85</v>
      </c>
      <c r="C86" s="8">
        <v>200.54</v>
      </c>
      <c r="D86" s="9">
        <v>0</v>
      </c>
      <c r="E86" s="9">
        <v>1.49607281166782E-4</v>
      </c>
      <c r="F86" s="8">
        <v>0</v>
      </c>
      <c r="G86" s="8">
        <v>0.38600000000000001</v>
      </c>
      <c r="H86" s="8">
        <v>0</v>
      </c>
      <c r="I86" s="8">
        <v>1.2768999999999999</v>
      </c>
      <c r="J86" s="8">
        <v>0</v>
      </c>
      <c r="K86" s="8">
        <v>0</v>
      </c>
      <c r="L86" s="8">
        <v>59.85</v>
      </c>
      <c r="M86" s="8">
        <v>200.54</v>
      </c>
      <c r="N86" s="10">
        <v>3.3507101086048401</v>
      </c>
      <c r="O86" s="10">
        <v>3.3517078484942102</v>
      </c>
      <c r="P86" s="10">
        <v>3.3509014175931999</v>
      </c>
      <c r="Q86" s="10">
        <v>3.35094800109519</v>
      </c>
      <c r="R86" s="8">
        <v>200.599714732378</v>
      </c>
      <c r="S86" s="8">
        <v>200.54781855418699</v>
      </c>
      <c r="T86" s="8">
        <v>200.556400761475</v>
      </c>
      <c r="U86" s="9">
        <v>2.9772535915368898E-4</v>
      </c>
      <c r="V86" s="9">
        <v>3.8986744679898003E-5</v>
      </c>
      <c r="W86" s="9">
        <v>8.177964924686E-5</v>
      </c>
      <c r="X86" s="10">
        <v>3.3507101086048401</v>
      </c>
      <c r="Y86" s="10">
        <v>3.3517078484942102</v>
      </c>
      <c r="Z86" s="10">
        <v>3.3509014175931999</v>
      </c>
      <c r="AA86" s="10">
        <v>3.35094800109519</v>
      </c>
      <c r="AB86" s="8">
        <v>200.599714732378</v>
      </c>
      <c r="AC86" s="8">
        <v>200.54781855418699</v>
      </c>
      <c r="AD86" s="8">
        <v>200.556400761475</v>
      </c>
      <c r="AE86" s="9">
        <v>2.9772535915368898E-4</v>
      </c>
      <c r="AF86" s="9">
        <v>3.8986744679898003E-5</v>
      </c>
      <c r="AG86" s="9">
        <v>8.177964924686E-5</v>
      </c>
      <c r="AZ86" s="9"/>
      <c r="BB86">
        <f t="shared" si="2"/>
        <v>0</v>
      </c>
      <c r="BC86">
        <f t="shared" si="3"/>
        <v>1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4.942374684030991E-4</v>
      </c>
      <c r="BL86" s="9"/>
      <c r="BN86">
        <f t="shared" si="10"/>
        <v>0</v>
      </c>
      <c r="BO86">
        <f t="shared" si="11"/>
        <v>0</v>
      </c>
      <c r="BP86">
        <f t="shared" si="12"/>
        <v>0</v>
      </c>
      <c r="BQ86">
        <f t="shared" ref="BQ86:BQ149" si="21">IF(F87+H87&gt;0,0,1)</f>
        <v>1</v>
      </c>
      <c r="BR86">
        <f t="shared" si="13"/>
        <v>0</v>
      </c>
      <c r="BS86" s="9">
        <f t="shared" si="14"/>
        <v>0</v>
      </c>
      <c r="BT86" s="9">
        <f t="shared" si="15"/>
        <v>0</v>
      </c>
      <c r="BU86" s="9">
        <f t="shared" si="16"/>
        <v>0</v>
      </c>
      <c r="BV86" s="12">
        <f t="shared" si="17"/>
        <v>0</v>
      </c>
      <c r="BX86" s="12">
        <f t="shared" si="18"/>
        <v>0</v>
      </c>
      <c r="BY86" s="12">
        <f t="shared" si="19"/>
        <v>4.942374684030991E-4</v>
      </c>
    </row>
    <row r="87" spans="1:77" x14ac:dyDescent="0.3">
      <c r="A87" s="1">
        <v>46148</v>
      </c>
      <c r="B87" s="8">
        <v>59.09</v>
      </c>
      <c r="C87" s="8">
        <v>198.05</v>
      </c>
      <c r="D87" s="9">
        <v>-1.2779726646398801E-2</v>
      </c>
      <c r="E87" s="9">
        <v>-1.24942040278534E-2</v>
      </c>
      <c r="F87" s="8">
        <v>0</v>
      </c>
      <c r="G87" s="8">
        <v>0.38600000000000001</v>
      </c>
      <c r="H87" s="8">
        <v>0</v>
      </c>
      <c r="I87" s="8">
        <v>1.2768999999999999</v>
      </c>
      <c r="J87" s="8">
        <v>0</v>
      </c>
      <c r="K87" s="8">
        <v>0</v>
      </c>
      <c r="L87" s="8">
        <v>59.09</v>
      </c>
      <c r="M87" s="8">
        <v>198.05</v>
      </c>
      <c r="N87" s="10">
        <v>3.3516669487222801</v>
      </c>
      <c r="O87" s="10">
        <v>3.3517078484942102</v>
      </c>
      <c r="P87" s="10">
        <v>3.35082574572401</v>
      </c>
      <c r="Q87" s="10">
        <v>3.3509608676026201</v>
      </c>
      <c r="R87" s="8">
        <v>198.052416767523</v>
      </c>
      <c r="S87" s="8">
        <v>198.004764765582</v>
      </c>
      <c r="T87" s="8">
        <v>198.00751738471499</v>
      </c>
      <c r="U87" s="9">
        <v>1.2202740608237001E-5</v>
      </c>
      <c r="V87" s="9">
        <v>-2.28429190295885E-4</v>
      </c>
      <c r="W87" s="9">
        <v>-2.1452750463299799E-4</v>
      </c>
      <c r="X87" s="10">
        <v>3.3516669487222801</v>
      </c>
      <c r="Y87" s="10">
        <v>3.3517078484942102</v>
      </c>
      <c r="Z87" s="10">
        <v>3.35082574572401</v>
      </c>
      <c r="AA87" s="10">
        <v>3.3509608676026201</v>
      </c>
      <c r="AB87" s="8">
        <v>198.052416767523</v>
      </c>
      <c r="AC87" s="8">
        <v>198.004764765582</v>
      </c>
      <c r="AD87" s="8">
        <v>198.00751738471499</v>
      </c>
      <c r="AE87" s="9">
        <v>1.2202740608237001E-5</v>
      </c>
      <c r="AF87" s="9">
        <v>-2.28429190295885E-4</v>
      </c>
      <c r="AG87" s="9">
        <v>-2.1452750463299799E-4</v>
      </c>
      <c r="AZ87" s="9"/>
      <c r="BB87">
        <f t="shared" ref="BB87:BB150" si="22">IF($AG87&lt;BA$20,1,0)</f>
        <v>0</v>
      </c>
      <c r="BC87">
        <f t="shared" ref="BC87:BC150" si="23">IF($AG87&gt;BA$21,1,0)</f>
        <v>0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4.942374684030991E-4</v>
      </c>
      <c r="BL87" s="9"/>
      <c r="BN87">
        <f t="shared" ref="BN87:BN150" si="30">IF($AG87&gt;BM$20,1,0)</f>
        <v>0</v>
      </c>
      <c r="BO87">
        <f t="shared" ref="BO87:BO150" si="31">IF($AG87&lt;BM$21,1,0)</f>
        <v>1</v>
      </c>
      <c r="BP87">
        <f t="shared" ref="BP87:BP150" si="32">BR87</f>
        <v>0</v>
      </c>
      <c r="BQ87">
        <f t="shared" si="21"/>
        <v>1</v>
      </c>
      <c r="BR87">
        <f t="shared" ref="BR87:BR150" si="33">IF(BN86,1,IF(BO86,0,BP86))*BQ86</f>
        <v>0</v>
      </c>
      <c r="BS87" s="9">
        <f t="shared" ref="BS87:BS150" si="34">-BR87*D87</f>
        <v>0</v>
      </c>
      <c r="BT87" s="9">
        <f t="shared" ref="BT87:BT150" si="35">BR87*$E87</f>
        <v>0</v>
      </c>
      <c r="BU87" s="9">
        <f t="shared" ref="BU87:BU150" si="36">BS87+BT87</f>
        <v>0</v>
      </c>
      <c r="BV87" s="12">
        <f t="shared" ref="BV87:BV150" si="37">BV86+BU87</f>
        <v>0</v>
      </c>
      <c r="BX87" s="12">
        <f t="shared" ref="BX87:BX150" si="38">BI87+BU87</f>
        <v>0</v>
      </c>
      <c r="BY87" s="12">
        <f t="shared" ref="BY87:BY150" si="39">BY86+BX87</f>
        <v>4.942374684030991E-4</v>
      </c>
    </row>
    <row r="88" spans="1:77" x14ac:dyDescent="0.3">
      <c r="A88" s="1">
        <v>46149</v>
      </c>
      <c r="B88" s="8">
        <v>58.3</v>
      </c>
      <c r="C88" s="8">
        <v>195.44</v>
      </c>
      <c r="D88" s="9">
        <v>-1.3459612001136601E-2</v>
      </c>
      <c r="E88" s="9">
        <v>-1.32660971184406E-2</v>
      </c>
      <c r="F88" s="8">
        <v>0</v>
      </c>
      <c r="G88" s="8">
        <v>0.38600000000000001</v>
      </c>
      <c r="H88" s="8">
        <v>0</v>
      </c>
      <c r="I88" s="8">
        <v>1.2768999999999999</v>
      </c>
      <c r="J88" s="8">
        <v>0</v>
      </c>
      <c r="K88" s="8">
        <v>0</v>
      </c>
      <c r="L88" s="8">
        <v>58.3</v>
      </c>
      <c r="M88" s="8">
        <v>195.44</v>
      </c>
      <c r="N88" s="10">
        <v>3.3523156089193802</v>
      </c>
      <c r="O88" s="10">
        <v>3.3517078484942102</v>
      </c>
      <c r="P88" s="10">
        <v>3.3509507451123399</v>
      </c>
      <c r="Q88" s="10">
        <v>3.3510075236246202</v>
      </c>
      <c r="R88" s="8">
        <v>195.40456756721201</v>
      </c>
      <c r="S88" s="8">
        <v>195.35314097571001</v>
      </c>
      <c r="T88" s="8">
        <v>195.361018581232</v>
      </c>
      <c r="U88" s="9">
        <v>-1.81312142087601E-4</v>
      </c>
      <c r="V88" s="9">
        <v>-4.4452686914223002E-4</v>
      </c>
      <c r="W88" s="9">
        <v>-4.04202732783502E-4</v>
      </c>
      <c r="X88" s="10">
        <v>3.3523156089193802</v>
      </c>
      <c r="Y88" s="10">
        <v>3.3517078484942102</v>
      </c>
      <c r="Z88" s="10">
        <v>3.3509507451123399</v>
      </c>
      <c r="AA88" s="10">
        <v>3.3510075236246202</v>
      </c>
      <c r="AB88" s="8">
        <v>195.40456756721201</v>
      </c>
      <c r="AC88" s="8">
        <v>195.35314097571001</v>
      </c>
      <c r="AD88" s="8">
        <v>195.361018581232</v>
      </c>
      <c r="AE88" s="9">
        <v>-1.81312142087601E-4</v>
      </c>
      <c r="AF88" s="9">
        <v>-4.4452686914223002E-4</v>
      </c>
      <c r="AG88" s="9">
        <v>-4.04202732783502E-4</v>
      </c>
      <c r="AZ88" s="9"/>
      <c r="BB88">
        <f t="shared" si="22"/>
        <v>0</v>
      </c>
      <c r="BC88">
        <f t="shared" si="23"/>
        <v>0</v>
      </c>
      <c r="BD88">
        <f t="shared" si="24"/>
        <v>0</v>
      </c>
      <c r="BE88">
        <f t="shared" si="20"/>
        <v>1</v>
      </c>
      <c r="BF88">
        <f t="shared" si="25"/>
        <v>0</v>
      </c>
      <c r="BG88" s="9">
        <f t="shared" si="26"/>
        <v>0</v>
      </c>
      <c r="BH88" s="9">
        <f t="shared" si="27"/>
        <v>0</v>
      </c>
      <c r="BI88" s="9">
        <f t="shared" si="28"/>
        <v>0</v>
      </c>
      <c r="BJ88" s="12">
        <f t="shared" si="29"/>
        <v>4.942374684030991E-4</v>
      </c>
      <c r="BL88" s="9"/>
      <c r="BN88">
        <f t="shared" si="30"/>
        <v>0</v>
      </c>
      <c r="BO88">
        <f t="shared" si="31"/>
        <v>1</v>
      </c>
      <c r="BP88">
        <f t="shared" si="32"/>
        <v>0</v>
      </c>
      <c r="BQ88">
        <f t="shared" si="21"/>
        <v>1</v>
      </c>
      <c r="BR88">
        <f t="shared" si="33"/>
        <v>0</v>
      </c>
      <c r="BS88" s="9">
        <f t="shared" si="34"/>
        <v>0</v>
      </c>
      <c r="BT88" s="9">
        <f t="shared" si="35"/>
        <v>0</v>
      </c>
      <c r="BU88" s="9">
        <f t="shared" si="36"/>
        <v>0</v>
      </c>
      <c r="BV88" s="12">
        <f t="shared" si="37"/>
        <v>0</v>
      </c>
      <c r="BX88" s="12">
        <f t="shared" si="38"/>
        <v>0</v>
      </c>
      <c r="BY88" s="12">
        <f t="shared" si="39"/>
        <v>4.942374684030991E-4</v>
      </c>
    </row>
    <row r="89" spans="1:77" x14ac:dyDescent="0.3">
      <c r="A89" s="1">
        <v>46150</v>
      </c>
      <c r="B89" s="8">
        <v>57.85</v>
      </c>
      <c r="C89" s="8">
        <v>193.9</v>
      </c>
      <c r="D89" s="9">
        <v>-7.74863971676108E-3</v>
      </c>
      <c r="E89" s="9">
        <v>-7.9108647008788308E-3</v>
      </c>
      <c r="F89" s="8">
        <v>0</v>
      </c>
      <c r="G89" s="8">
        <v>0.38600000000000001</v>
      </c>
      <c r="H89" s="8">
        <v>0</v>
      </c>
      <c r="I89" s="8">
        <v>1.2768999999999999</v>
      </c>
      <c r="J89" s="8">
        <v>0</v>
      </c>
      <c r="K89" s="8">
        <v>0</v>
      </c>
      <c r="L89" s="8">
        <v>57.85</v>
      </c>
      <c r="M89" s="8">
        <v>193.9</v>
      </c>
      <c r="N89" s="10">
        <v>3.3517718236819301</v>
      </c>
      <c r="O89" s="10">
        <v>3.3517078484942102</v>
      </c>
      <c r="P89" s="10">
        <v>3.3511069719063502</v>
      </c>
      <c r="Q89" s="10">
        <v>3.3509738411801702</v>
      </c>
      <c r="R89" s="8">
        <v>193.89629903539</v>
      </c>
      <c r="S89" s="8">
        <v>193.852500604749</v>
      </c>
      <c r="T89" s="8">
        <v>193.855785241684</v>
      </c>
      <c r="U89" s="9">
        <v>-1.9087157969740701E-5</v>
      </c>
      <c r="V89" s="9">
        <v>-2.4499852567917197E-4</v>
      </c>
      <c r="W89" s="9">
        <v>-2.2805466837563099E-4</v>
      </c>
      <c r="X89" s="10">
        <v>3.3517718236819301</v>
      </c>
      <c r="Y89" s="10">
        <v>3.3517078484942102</v>
      </c>
      <c r="Z89" s="10">
        <v>3.3511069719063502</v>
      </c>
      <c r="AA89" s="10">
        <v>3.3509738411801702</v>
      </c>
      <c r="AB89" s="8">
        <v>193.89629903539</v>
      </c>
      <c r="AC89" s="8">
        <v>193.852500604749</v>
      </c>
      <c r="AD89" s="8">
        <v>193.855785241684</v>
      </c>
      <c r="AE89" s="9">
        <v>-1.9087157969740701E-5</v>
      </c>
      <c r="AF89" s="9">
        <v>-2.4499852567917197E-4</v>
      </c>
      <c r="AG89" s="9">
        <v>-2.2805466837563099E-4</v>
      </c>
      <c r="AZ89" s="9"/>
      <c r="BB89">
        <f t="shared" si="22"/>
        <v>0</v>
      </c>
      <c r="BC89">
        <f t="shared" si="23"/>
        <v>0</v>
      </c>
      <c r="BD89">
        <f t="shared" si="24"/>
        <v>0</v>
      </c>
      <c r="BE89">
        <f t="shared" si="20"/>
        <v>1</v>
      </c>
      <c r="BF89">
        <f t="shared" si="25"/>
        <v>0</v>
      </c>
      <c r="BG89" s="9">
        <f t="shared" si="26"/>
        <v>0</v>
      </c>
      <c r="BH89" s="9">
        <f t="shared" si="27"/>
        <v>0</v>
      </c>
      <c r="BI89" s="9">
        <f t="shared" si="28"/>
        <v>0</v>
      </c>
      <c r="BJ89" s="12">
        <f t="shared" si="29"/>
        <v>4.942374684030991E-4</v>
      </c>
      <c r="BL89" s="9"/>
      <c r="BN89">
        <f t="shared" si="30"/>
        <v>0</v>
      </c>
      <c r="BO89">
        <f t="shared" si="31"/>
        <v>1</v>
      </c>
      <c r="BP89">
        <f t="shared" si="32"/>
        <v>0</v>
      </c>
      <c r="BQ89">
        <f t="shared" si="21"/>
        <v>1</v>
      </c>
      <c r="BR89">
        <f t="shared" si="33"/>
        <v>0</v>
      </c>
      <c r="BS89" s="9">
        <f t="shared" si="34"/>
        <v>0</v>
      </c>
      <c r="BT89" s="9">
        <f t="shared" si="35"/>
        <v>0</v>
      </c>
      <c r="BU89" s="9">
        <f t="shared" si="36"/>
        <v>0</v>
      </c>
      <c r="BV89" s="12">
        <f t="shared" si="37"/>
        <v>0</v>
      </c>
      <c r="BX89" s="12">
        <f t="shared" si="38"/>
        <v>0</v>
      </c>
      <c r="BY89" s="12">
        <f t="shared" si="39"/>
        <v>4.942374684030991E-4</v>
      </c>
    </row>
    <row r="90" spans="1:77" x14ac:dyDescent="0.3">
      <c r="A90" s="1">
        <v>46153</v>
      </c>
      <c r="B90" s="8">
        <v>58.38</v>
      </c>
      <c r="C90" s="8">
        <v>195.62</v>
      </c>
      <c r="D90" s="9">
        <v>9.1199117862830695E-3</v>
      </c>
      <c r="E90" s="9">
        <v>8.8314396137408203E-3</v>
      </c>
      <c r="F90" s="8">
        <v>0</v>
      </c>
      <c r="G90" s="8">
        <v>0.38600000000000001</v>
      </c>
      <c r="H90" s="8">
        <v>0</v>
      </c>
      <c r="I90" s="8">
        <v>1.2768999999999999</v>
      </c>
      <c r="J90" s="8">
        <v>0</v>
      </c>
      <c r="K90" s="8">
        <v>0</v>
      </c>
      <c r="L90" s="8">
        <v>58.38</v>
      </c>
      <c r="M90" s="8">
        <v>195.62</v>
      </c>
      <c r="N90" s="10">
        <v>3.35080507022953</v>
      </c>
      <c r="O90" s="10">
        <v>3.3517078484942102</v>
      </c>
      <c r="P90" s="10">
        <v>3.35110710384558</v>
      </c>
      <c r="Q90" s="10">
        <v>3.35096891396875</v>
      </c>
      <c r="R90" s="8">
        <v>195.672704195092</v>
      </c>
      <c r="S90" s="8">
        <v>195.63762501989299</v>
      </c>
      <c r="T90" s="8">
        <v>195.62985284809801</v>
      </c>
      <c r="U90" s="9">
        <v>2.6938501457265599E-4</v>
      </c>
      <c r="V90" s="9">
        <v>9.0094192563029997E-5</v>
      </c>
      <c r="W90" s="9">
        <v>5.03660156226948E-5</v>
      </c>
      <c r="X90" s="10">
        <v>3.35080507022953</v>
      </c>
      <c r="Y90" s="10">
        <v>3.3517078484942102</v>
      </c>
      <c r="Z90" s="10">
        <v>3.35110710384558</v>
      </c>
      <c r="AA90" s="10">
        <v>3.35096891396875</v>
      </c>
      <c r="AB90" s="8">
        <v>195.672704195092</v>
      </c>
      <c r="AC90" s="8">
        <v>195.63762501989299</v>
      </c>
      <c r="AD90" s="8">
        <v>195.62985284809801</v>
      </c>
      <c r="AE90" s="9">
        <v>2.6938501457265599E-4</v>
      </c>
      <c r="AF90" s="9">
        <v>9.0094192563029997E-5</v>
      </c>
      <c r="AG90" s="9">
        <v>5.03660156226948E-5</v>
      </c>
      <c r="AZ90" s="9"/>
      <c r="BB90">
        <f t="shared" si="22"/>
        <v>0</v>
      </c>
      <c r="BC90">
        <f t="shared" si="23"/>
        <v>1</v>
      </c>
      <c r="BD90">
        <f t="shared" si="24"/>
        <v>0</v>
      </c>
      <c r="BE90">
        <f t="shared" si="20"/>
        <v>1</v>
      </c>
      <c r="BF90">
        <f t="shared" si="25"/>
        <v>0</v>
      </c>
      <c r="BG90" s="9">
        <f t="shared" si="26"/>
        <v>0</v>
      </c>
      <c r="BH90" s="9">
        <f t="shared" si="27"/>
        <v>0</v>
      </c>
      <c r="BI90" s="9">
        <f t="shared" si="28"/>
        <v>0</v>
      </c>
      <c r="BJ90" s="12">
        <f t="shared" si="29"/>
        <v>4.942374684030991E-4</v>
      </c>
      <c r="BL90" s="9"/>
      <c r="BN90">
        <f t="shared" si="30"/>
        <v>0</v>
      </c>
      <c r="BO90">
        <f t="shared" si="31"/>
        <v>0</v>
      </c>
      <c r="BP90">
        <f t="shared" si="32"/>
        <v>0</v>
      </c>
      <c r="BQ90">
        <f t="shared" si="21"/>
        <v>1</v>
      </c>
      <c r="BR90">
        <f t="shared" si="33"/>
        <v>0</v>
      </c>
      <c r="BS90" s="9">
        <f t="shared" si="34"/>
        <v>0</v>
      </c>
      <c r="BT90" s="9">
        <f t="shared" si="35"/>
        <v>0</v>
      </c>
      <c r="BU90" s="9">
        <f t="shared" si="36"/>
        <v>0</v>
      </c>
      <c r="BV90" s="12">
        <f t="shared" si="37"/>
        <v>0</v>
      </c>
      <c r="BX90" s="12">
        <f t="shared" si="38"/>
        <v>0</v>
      </c>
      <c r="BY90" s="12">
        <f t="shared" si="39"/>
        <v>4.942374684030991E-4</v>
      </c>
    </row>
    <row r="91" spans="1:77" x14ac:dyDescent="0.3">
      <c r="A91" s="1">
        <v>46154</v>
      </c>
      <c r="B91" s="8">
        <v>58.44</v>
      </c>
      <c r="C91" s="8">
        <v>195.91</v>
      </c>
      <c r="D91" s="9">
        <v>1.0272214565298699E-3</v>
      </c>
      <c r="E91" s="9">
        <v>1.48136823759388E-3</v>
      </c>
      <c r="F91" s="8">
        <v>0</v>
      </c>
      <c r="G91" s="8">
        <v>0.38600000000000001</v>
      </c>
      <c r="H91" s="8">
        <v>0</v>
      </c>
      <c r="I91" s="8">
        <v>1.2768999999999999</v>
      </c>
      <c r="J91" s="8">
        <v>0</v>
      </c>
      <c r="K91" s="8">
        <v>0</v>
      </c>
      <c r="L91" s="8">
        <v>58.44</v>
      </c>
      <c r="M91" s="8">
        <v>195.91</v>
      </c>
      <c r="N91" s="10">
        <v>3.3523271731690598</v>
      </c>
      <c r="O91" s="10">
        <v>3.3517078484942102</v>
      </c>
      <c r="P91" s="10">
        <v>3.3511766412461701</v>
      </c>
      <c r="Q91" s="10">
        <v>3.3510485814997901</v>
      </c>
      <c r="R91" s="8">
        <v>195.873806666001</v>
      </c>
      <c r="S91" s="8">
        <v>195.838699148736</v>
      </c>
      <c r="T91" s="8">
        <v>195.830623332334</v>
      </c>
      <c r="U91" s="9">
        <v>-1.8476176649138501E-4</v>
      </c>
      <c r="V91" s="9">
        <v>-3.6401321666728801E-4</v>
      </c>
      <c r="W91" s="9">
        <v>-4.0525114846167701E-4</v>
      </c>
      <c r="X91" s="10">
        <v>3.3523271731690598</v>
      </c>
      <c r="Y91" s="10">
        <v>3.3517078484942102</v>
      </c>
      <c r="Z91" s="10">
        <v>3.3511766412461701</v>
      </c>
      <c r="AA91" s="10">
        <v>3.3510485814997901</v>
      </c>
      <c r="AB91" s="8">
        <v>195.873806666001</v>
      </c>
      <c r="AC91" s="8">
        <v>195.838699148736</v>
      </c>
      <c r="AD91" s="8">
        <v>195.830623332334</v>
      </c>
      <c r="AE91" s="9">
        <v>-1.8476176649138501E-4</v>
      </c>
      <c r="AF91" s="9">
        <v>-3.6401321666728801E-4</v>
      </c>
      <c r="AG91" s="9">
        <v>-4.0525114846167701E-4</v>
      </c>
      <c r="AZ91" s="9"/>
      <c r="BB91">
        <f t="shared" si="22"/>
        <v>0</v>
      </c>
      <c r="BC91">
        <f t="shared" si="23"/>
        <v>0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4.942374684030991E-4</v>
      </c>
      <c r="BL91" s="9"/>
      <c r="BN91">
        <f t="shared" si="30"/>
        <v>0</v>
      </c>
      <c r="BO91">
        <f t="shared" si="31"/>
        <v>1</v>
      </c>
      <c r="BP91">
        <f t="shared" si="32"/>
        <v>0</v>
      </c>
      <c r="BQ91">
        <f t="shared" si="21"/>
        <v>1</v>
      </c>
      <c r="BR91">
        <f t="shared" si="33"/>
        <v>0</v>
      </c>
      <c r="BS91" s="9">
        <f t="shared" si="34"/>
        <v>0</v>
      </c>
      <c r="BT91" s="9">
        <f t="shared" si="35"/>
        <v>0</v>
      </c>
      <c r="BU91" s="9">
        <f t="shared" si="36"/>
        <v>0</v>
      </c>
      <c r="BV91" s="12">
        <f t="shared" si="37"/>
        <v>0</v>
      </c>
      <c r="BX91" s="12">
        <f t="shared" si="38"/>
        <v>0</v>
      </c>
      <c r="BY91" s="12">
        <f t="shared" si="39"/>
        <v>4.942374684030991E-4</v>
      </c>
    </row>
    <row r="92" spans="1:77" x14ac:dyDescent="0.3">
      <c r="A92" s="1">
        <v>46155</v>
      </c>
      <c r="B92" s="8">
        <v>57.74</v>
      </c>
      <c r="C92" s="8">
        <v>193.52</v>
      </c>
      <c r="D92" s="9">
        <v>-1.2050412647709599E-2</v>
      </c>
      <c r="E92" s="9">
        <v>-1.22745037981689E-2</v>
      </c>
      <c r="F92" s="8">
        <v>0</v>
      </c>
      <c r="G92" s="8">
        <v>0.38600000000000001</v>
      </c>
      <c r="H92" s="8">
        <v>0</v>
      </c>
      <c r="I92" s="8">
        <v>1.2768999999999999</v>
      </c>
      <c r="J92" s="8">
        <v>0</v>
      </c>
      <c r="K92" s="8">
        <v>0</v>
      </c>
      <c r="L92" s="8">
        <v>57.74</v>
      </c>
      <c r="M92" s="8">
        <v>193.52</v>
      </c>
      <c r="N92" s="10">
        <v>3.3515760304814601</v>
      </c>
      <c r="O92" s="10">
        <v>3.3517078484942102</v>
      </c>
      <c r="P92" s="10">
        <v>3.3514189900570299</v>
      </c>
      <c r="Q92" s="10">
        <v>3.3510777698385201</v>
      </c>
      <c r="R92" s="8">
        <v>193.527611172055</v>
      </c>
      <c r="S92" s="8">
        <v>193.496939265554</v>
      </c>
      <c r="T92" s="8">
        <v>193.48954509579701</v>
      </c>
      <c r="U92" s="9">
        <v>3.9329383967864701E-5</v>
      </c>
      <c r="V92" s="9">
        <v>-1.19171706111176E-4</v>
      </c>
      <c r="W92" s="9">
        <v>-1.57385804308454E-4</v>
      </c>
      <c r="X92" s="10">
        <v>3.3515760304814601</v>
      </c>
      <c r="Y92" s="10">
        <v>3.3517078484942102</v>
      </c>
      <c r="Z92" s="10">
        <v>3.3514189900570299</v>
      </c>
      <c r="AA92" s="10">
        <v>3.3510777698385201</v>
      </c>
      <c r="AB92" s="8">
        <v>193.527611172055</v>
      </c>
      <c r="AC92" s="8">
        <v>193.496939265554</v>
      </c>
      <c r="AD92" s="8">
        <v>193.48954509579701</v>
      </c>
      <c r="AE92" s="9">
        <v>3.9329383967864701E-5</v>
      </c>
      <c r="AF92" s="9">
        <v>-1.19171706111176E-4</v>
      </c>
      <c r="AG92" s="9">
        <v>-1.57385804308454E-4</v>
      </c>
      <c r="AZ92" s="9"/>
      <c r="BB92">
        <f t="shared" si="22"/>
        <v>0</v>
      </c>
      <c r="BC92">
        <f t="shared" si="23"/>
        <v>0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4.942374684030991E-4</v>
      </c>
      <c r="BL92" s="9"/>
      <c r="BN92">
        <f t="shared" si="30"/>
        <v>0</v>
      </c>
      <c r="BO92">
        <f t="shared" si="31"/>
        <v>1</v>
      </c>
      <c r="BP92">
        <f t="shared" si="32"/>
        <v>0</v>
      </c>
      <c r="BQ92">
        <f t="shared" si="21"/>
        <v>1</v>
      </c>
      <c r="BR92">
        <f t="shared" si="33"/>
        <v>0</v>
      </c>
      <c r="BS92" s="9">
        <f t="shared" si="34"/>
        <v>0</v>
      </c>
      <c r="BT92" s="9">
        <f t="shared" si="35"/>
        <v>0</v>
      </c>
      <c r="BU92" s="9">
        <f t="shared" si="36"/>
        <v>0</v>
      </c>
      <c r="BV92" s="12">
        <f t="shared" si="37"/>
        <v>0</v>
      </c>
      <c r="BX92" s="12">
        <f t="shared" si="38"/>
        <v>0</v>
      </c>
      <c r="BY92" s="12">
        <f t="shared" si="39"/>
        <v>4.942374684030991E-4</v>
      </c>
    </row>
    <row r="93" spans="1:77" x14ac:dyDescent="0.3">
      <c r="A93" s="1">
        <v>46156</v>
      </c>
      <c r="B93" s="8">
        <v>58.05</v>
      </c>
      <c r="C93" s="8">
        <v>194.56</v>
      </c>
      <c r="D93" s="9">
        <v>5.3545339091113104E-3</v>
      </c>
      <c r="E93" s="9">
        <v>5.3597324760303903E-3</v>
      </c>
      <c r="F93" s="8">
        <v>0</v>
      </c>
      <c r="G93" s="8">
        <v>0.38600000000000001</v>
      </c>
      <c r="H93" s="8">
        <v>0</v>
      </c>
      <c r="I93" s="8">
        <v>1.2768999999999999</v>
      </c>
      <c r="J93" s="8">
        <v>0</v>
      </c>
      <c r="K93" s="8">
        <v>0</v>
      </c>
      <c r="L93" s="8">
        <v>58.05</v>
      </c>
      <c r="M93" s="8">
        <v>194.56</v>
      </c>
      <c r="N93" s="10">
        <v>3.3515934539190302</v>
      </c>
      <c r="O93" s="10">
        <v>3.3517078484942102</v>
      </c>
      <c r="P93" s="10">
        <v>3.3513299910780701</v>
      </c>
      <c r="Q93" s="10">
        <v>3.3511469997608798</v>
      </c>
      <c r="R93" s="8">
        <v>194.56664060508899</v>
      </c>
      <c r="S93" s="8">
        <v>194.54987237281</v>
      </c>
      <c r="T93" s="8">
        <v>194.53006453912599</v>
      </c>
      <c r="U93" s="9">
        <v>3.41308170490645E-5</v>
      </c>
      <c r="V93" s="9">
        <v>-5.2055359735350397E-5</v>
      </c>
      <c r="W93" s="9">
        <v>-1.5387419860187499E-4</v>
      </c>
      <c r="X93" s="10">
        <v>3.3515934539190302</v>
      </c>
      <c r="Y93" s="10">
        <v>3.3517078484942102</v>
      </c>
      <c r="Z93" s="10">
        <v>3.3513299910780701</v>
      </c>
      <c r="AA93" s="10">
        <v>3.3511469997608798</v>
      </c>
      <c r="AB93" s="8">
        <v>194.56664060508899</v>
      </c>
      <c r="AC93" s="8">
        <v>194.54987237281</v>
      </c>
      <c r="AD93" s="8">
        <v>194.53006453912599</v>
      </c>
      <c r="AE93" s="9">
        <v>3.41308170490645E-5</v>
      </c>
      <c r="AF93" s="9">
        <v>-5.2055359735350397E-5</v>
      </c>
      <c r="AG93" s="9">
        <v>-1.5387419860187499E-4</v>
      </c>
      <c r="AZ93" s="9"/>
      <c r="BB93">
        <f t="shared" si="22"/>
        <v>0</v>
      </c>
      <c r="BC93">
        <f t="shared" si="23"/>
        <v>0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4.942374684030991E-4</v>
      </c>
      <c r="BL93" s="9"/>
      <c r="BN93">
        <f t="shared" si="30"/>
        <v>0</v>
      </c>
      <c r="BO93">
        <f t="shared" si="31"/>
        <v>1</v>
      </c>
      <c r="BP93">
        <f t="shared" si="32"/>
        <v>0</v>
      </c>
      <c r="BQ93">
        <f t="shared" si="21"/>
        <v>1</v>
      </c>
      <c r="BR93">
        <f t="shared" si="33"/>
        <v>0</v>
      </c>
      <c r="BS93" s="9">
        <f t="shared" si="34"/>
        <v>0</v>
      </c>
      <c r="BT93" s="9">
        <f t="shared" si="35"/>
        <v>0</v>
      </c>
      <c r="BU93" s="9">
        <f t="shared" si="36"/>
        <v>0</v>
      </c>
      <c r="BV93" s="12">
        <f t="shared" si="37"/>
        <v>0</v>
      </c>
      <c r="BX93" s="12">
        <f t="shared" si="38"/>
        <v>0</v>
      </c>
      <c r="BY93" s="12">
        <f t="shared" si="39"/>
        <v>4.942374684030991E-4</v>
      </c>
    </row>
    <row r="94" spans="1:77" x14ac:dyDescent="0.3">
      <c r="A94" s="1">
        <v>46157</v>
      </c>
      <c r="B94" s="8">
        <v>56.69</v>
      </c>
      <c r="C94" s="8">
        <v>190.2</v>
      </c>
      <c r="D94" s="9">
        <v>-2.3706879807688101E-2</v>
      </c>
      <c r="E94" s="9">
        <v>-2.26644486665123E-2</v>
      </c>
      <c r="F94" s="8">
        <v>0</v>
      </c>
      <c r="G94" s="8">
        <v>0.38600000000000001</v>
      </c>
      <c r="H94" s="8">
        <v>0</v>
      </c>
      <c r="I94" s="8">
        <v>1.2768999999999999</v>
      </c>
      <c r="J94" s="8">
        <v>0</v>
      </c>
      <c r="K94" s="8">
        <v>0</v>
      </c>
      <c r="L94" s="8">
        <v>56.69</v>
      </c>
      <c r="M94" s="8">
        <v>190.2</v>
      </c>
      <c r="N94" s="10">
        <v>3.35508908096666</v>
      </c>
      <c r="O94" s="10">
        <v>3.3517078484942102</v>
      </c>
      <c r="P94" s="10">
        <v>3.3518064154166201</v>
      </c>
      <c r="Q94" s="10">
        <v>3.3513397823878299</v>
      </c>
      <c r="R94" s="8">
        <v>190.00831793113599</v>
      </c>
      <c r="S94" s="8">
        <v>189.986897194216</v>
      </c>
      <c r="T94" s="8">
        <v>189.976523416444</v>
      </c>
      <c r="U94" s="9">
        <v>-1.0083003241268299E-3</v>
      </c>
      <c r="V94" s="9">
        <v>-1.12104246450536E-3</v>
      </c>
      <c r="W94" s="9">
        <v>-1.1756465511714601E-3</v>
      </c>
      <c r="X94" s="10">
        <v>3.35508908096666</v>
      </c>
      <c r="Y94" s="10">
        <v>3.3517078484942102</v>
      </c>
      <c r="Z94" s="10">
        <v>3.3518064154166201</v>
      </c>
      <c r="AA94" s="10">
        <v>3.3513397823878299</v>
      </c>
      <c r="AB94" s="8">
        <v>190.00831793113599</v>
      </c>
      <c r="AC94" s="8">
        <v>189.986897194216</v>
      </c>
      <c r="AD94" s="8">
        <v>189.976523416444</v>
      </c>
      <c r="AE94" s="9">
        <v>-1.0083003241268299E-3</v>
      </c>
      <c r="AF94" s="9">
        <v>-1.12104246450536E-3</v>
      </c>
      <c r="AG94" s="9">
        <v>-1.1756465511714601E-3</v>
      </c>
      <c r="AZ94" s="9"/>
      <c r="BB94">
        <f t="shared" si="22"/>
        <v>1</v>
      </c>
      <c r="BC94">
        <f t="shared" si="23"/>
        <v>0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4.942374684030991E-4</v>
      </c>
      <c r="BL94" s="9"/>
      <c r="BN94">
        <f t="shared" si="30"/>
        <v>0</v>
      </c>
      <c r="BO94">
        <f t="shared" si="31"/>
        <v>1</v>
      </c>
      <c r="BP94">
        <f t="shared" si="32"/>
        <v>0</v>
      </c>
      <c r="BQ94">
        <f t="shared" si="21"/>
        <v>1</v>
      </c>
      <c r="BR94">
        <f t="shared" si="33"/>
        <v>0</v>
      </c>
      <c r="BS94" s="9">
        <f t="shared" si="34"/>
        <v>0</v>
      </c>
      <c r="BT94" s="9">
        <f t="shared" si="35"/>
        <v>0</v>
      </c>
      <c r="BU94" s="9">
        <f t="shared" si="36"/>
        <v>0</v>
      </c>
      <c r="BV94" s="12">
        <f t="shared" si="37"/>
        <v>0</v>
      </c>
      <c r="BX94" s="12">
        <f t="shared" si="38"/>
        <v>0</v>
      </c>
      <c r="BY94" s="12">
        <f t="shared" si="39"/>
        <v>4.942374684030991E-4</v>
      </c>
    </row>
    <row r="95" spans="1:77" x14ac:dyDescent="0.3">
      <c r="A95" s="1">
        <v>46160</v>
      </c>
      <c r="B95" s="8">
        <v>56.81</v>
      </c>
      <c r="C95" s="8">
        <v>190.32</v>
      </c>
      <c r="D95" s="9">
        <v>2.11453823282336E-3</v>
      </c>
      <c r="E95" s="9">
        <v>6.3071588341234502E-4</v>
      </c>
      <c r="F95" s="8">
        <v>0</v>
      </c>
      <c r="G95" s="8">
        <v>0.38600000000000001</v>
      </c>
      <c r="H95" s="8">
        <v>0</v>
      </c>
      <c r="I95" s="8">
        <v>1.2768999999999999</v>
      </c>
      <c r="J95" s="8">
        <v>0</v>
      </c>
      <c r="K95" s="8">
        <v>0</v>
      </c>
      <c r="L95" s="8">
        <v>56.81</v>
      </c>
      <c r="M95" s="8">
        <v>190.32</v>
      </c>
      <c r="N95" s="10">
        <v>3.3501144164759702</v>
      </c>
      <c r="O95" s="10">
        <v>3.3517078484942102</v>
      </c>
      <c r="P95" s="10">
        <v>3.3517969715170102</v>
      </c>
      <c r="Q95" s="10">
        <v>3.3513188579739399</v>
      </c>
      <c r="R95" s="8">
        <v>190.41052287295599</v>
      </c>
      <c r="S95" s="8">
        <v>190.41612245981801</v>
      </c>
      <c r="T95" s="8">
        <v>190.38961303745199</v>
      </c>
      <c r="U95" s="9">
        <v>4.75522025284218E-4</v>
      </c>
      <c r="V95" s="9">
        <v>5.0492956244640704E-4</v>
      </c>
      <c r="W95" s="9">
        <v>3.6570149975067299E-4</v>
      </c>
      <c r="X95" s="10">
        <v>3.3501144164759702</v>
      </c>
      <c r="Y95" s="10">
        <v>3.3517078484942102</v>
      </c>
      <c r="Z95" s="10">
        <v>3.3517969715170102</v>
      </c>
      <c r="AA95" s="10">
        <v>3.3513188579739399</v>
      </c>
      <c r="AB95" s="8">
        <v>190.41052287295599</v>
      </c>
      <c r="AC95" s="8">
        <v>190.41612245981801</v>
      </c>
      <c r="AD95" s="8">
        <v>190.38961303745199</v>
      </c>
      <c r="AE95" s="9">
        <v>4.75522025284218E-4</v>
      </c>
      <c r="AF95" s="9">
        <v>5.0492956244640704E-4</v>
      </c>
      <c r="AG95" s="9">
        <v>3.6570149975067299E-4</v>
      </c>
      <c r="AZ95" s="9"/>
      <c r="BB95">
        <f t="shared" si="22"/>
        <v>0</v>
      </c>
      <c r="BC95">
        <f t="shared" si="23"/>
        <v>1</v>
      </c>
      <c r="BD95">
        <f t="shared" si="24"/>
        <v>1</v>
      </c>
      <c r="BE95">
        <f t="shared" si="20"/>
        <v>1</v>
      </c>
      <c r="BF95">
        <f t="shared" si="25"/>
        <v>1</v>
      </c>
      <c r="BG95" s="9">
        <f t="shared" si="26"/>
        <v>2.11453823282336E-3</v>
      </c>
      <c r="BH95" s="9">
        <f t="shared" si="27"/>
        <v>-6.3071588341234502E-4</v>
      </c>
      <c r="BI95" s="9">
        <f t="shared" si="28"/>
        <v>1.483822349411015E-3</v>
      </c>
      <c r="BJ95" s="12">
        <f t="shared" si="29"/>
        <v>1.9780598178141141E-3</v>
      </c>
      <c r="BL95" s="9"/>
      <c r="BN95">
        <f t="shared" si="30"/>
        <v>0</v>
      </c>
      <c r="BO95">
        <f t="shared" si="31"/>
        <v>0</v>
      </c>
      <c r="BP95">
        <f t="shared" si="32"/>
        <v>0</v>
      </c>
      <c r="BQ95">
        <f t="shared" si="21"/>
        <v>1</v>
      </c>
      <c r="BR95">
        <f t="shared" si="33"/>
        <v>0</v>
      </c>
      <c r="BS95" s="9">
        <f t="shared" si="34"/>
        <v>0</v>
      </c>
      <c r="BT95" s="9">
        <f t="shared" si="35"/>
        <v>0</v>
      </c>
      <c r="BU95" s="9">
        <f t="shared" si="36"/>
        <v>0</v>
      </c>
      <c r="BV95" s="12">
        <f t="shared" si="37"/>
        <v>0</v>
      </c>
      <c r="BX95" s="12">
        <f t="shared" si="38"/>
        <v>1.483822349411015E-3</v>
      </c>
      <c r="BY95" s="12">
        <f t="shared" si="39"/>
        <v>1.9780598178141141E-3</v>
      </c>
    </row>
    <row r="96" spans="1:77" x14ac:dyDescent="0.3">
      <c r="A96" s="1">
        <v>46161</v>
      </c>
      <c r="B96" s="8">
        <v>57.31</v>
      </c>
      <c r="C96" s="8">
        <v>192.06</v>
      </c>
      <c r="D96" s="9">
        <v>8.7627619946105805E-3</v>
      </c>
      <c r="E96" s="9">
        <v>9.1009572151245395E-3</v>
      </c>
      <c r="F96" s="8">
        <v>0</v>
      </c>
      <c r="G96" s="8">
        <v>0.38600000000000001</v>
      </c>
      <c r="H96" s="8">
        <v>0</v>
      </c>
      <c r="I96" s="8">
        <v>1.2768999999999999</v>
      </c>
      <c r="J96" s="8">
        <v>0</v>
      </c>
      <c r="K96" s="8">
        <v>0</v>
      </c>
      <c r="L96" s="8">
        <v>57.31</v>
      </c>
      <c r="M96" s="8">
        <v>192.06</v>
      </c>
      <c r="N96" s="10">
        <v>3.3512476007677501</v>
      </c>
      <c r="O96" s="10">
        <v>3.3517078484942102</v>
      </c>
      <c r="P96" s="10">
        <v>3.3518507207332999</v>
      </c>
      <c r="Q96" s="10">
        <v>3.3513760691632499</v>
      </c>
      <c r="R96" s="8">
        <v>192.086376797203</v>
      </c>
      <c r="S96" s="8">
        <v>192.09148443763999</v>
      </c>
      <c r="T96" s="8">
        <v>192.06408375048599</v>
      </c>
      <c r="U96" s="9">
        <v>1.3732680477008299E-4</v>
      </c>
      <c r="V96" s="9">
        <v>1.6391678276031201E-4</v>
      </c>
      <c r="W96" s="9">
        <v>2.1262663078934602E-5</v>
      </c>
      <c r="X96" s="10">
        <v>3.3512476007677501</v>
      </c>
      <c r="Y96" s="10">
        <v>3.3517078484942102</v>
      </c>
      <c r="Z96" s="10">
        <v>3.3518507207332999</v>
      </c>
      <c r="AA96" s="10">
        <v>3.3513760691632499</v>
      </c>
      <c r="AB96" s="8">
        <v>192.086376797203</v>
      </c>
      <c r="AC96" s="8">
        <v>192.09148443763999</v>
      </c>
      <c r="AD96" s="8">
        <v>192.06408375048599</v>
      </c>
      <c r="AE96" s="9">
        <v>1.3732680477008299E-4</v>
      </c>
      <c r="AF96" s="9">
        <v>1.6391678276031201E-4</v>
      </c>
      <c r="AG96" s="9">
        <v>2.1262663078934602E-5</v>
      </c>
      <c r="AZ96" s="9"/>
      <c r="BB96">
        <f t="shared" si="22"/>
        <v>0</v>
      </c>
      <c r="BC96">
        <f t="shared" si="23"/>
        <v>1</v>
      </c>
      <c r="BD96">
        <f t="shared" si="24"/>
        <v>0</v>
      </c>
      <c r="BE96">
        <f t="shared" si="20"/>
        <v>1</v>
      </c>
      <c r="BF96">
        <f t="shared" si="25"/>
        <v>0</v>
      </c>
      <c r="BG96" s="9">
        <f t="shared" si="26"/>
        <v>0</v>
      </c>
      <c r="BH96" s="9">
        <f t="shared" si="27"/>
        <v>0</v>
      </c>
      <c r="BI96" s="9">
        <f t="shared" si="28"/>
        <v>0</v>
      </c>
      <c r="BJ96" s="12">
        <f t="shared" si="29"/>
        <v>1.9780598178141141E-3</v>
      </c>
      <c r="BL96" s="9"/>
      <c r="BN96">
        <f t="shared" si="30"/>
        <v>0</v>
      </c>
      <c r="BO96">
        <f t="shared" si="31"/>
        <v>0</v>
      </c>
      <c r="BP96">
        <f t="shared" si="32"/>
        <v>0</v>
      </c>
      <c r="BQ96">
        <f t="shared" si="21"/>
        <v>1</v>
      </c>
      <c r="BR96">
        <f t="shared" si="33"/>
        <v>0</v>
      </c>
      <c r="BS96" s="9">
        <f t="shared" si="34"/>
        <v>0</v>
      </c>
      <c r="BT96" s="9">
        <f t="shared" si="35"/>
        <v>0</v>
      </c>
      <c r="BU96" s="9">
        <f t="shared" si="36"/>
        <v>0</v>
      </c>
      <c r="BV96" s="12">
        <f t="shared" si="37"/>
        <v>0</v>
      </c>
      <c r="BX96" s="12">
        <f t="shared" si="38"/>
        <v>0</v>
      </c>
      <c r="BY96" s="12">
        <f t="shared" si="39"/>
        <v>1.9780598178141141E-3</v>
      </c>
    </row>
    <row r="97" spans="1:77" x14ac:dyDescent="0.3">
      <c r="A97" s="1">
        <v>46162</v>
      </c>
      <c r="B97" s="8">
        <v>57.58</v>
      </c>
      <c r="C97" s="8">
        <v>192.92</v>
      </c>
      <c r="D97" s="9">
        <v>4.7001566203836399E-3</v>
      </c>
      <c r="E97" s="9">
        <v>4.4677719909443497E-3</v>
      </c>
      <c r="F97" s="8">
        <v>0</v>
      </c>
      <c r="G97" s="8">
        <v>0.38600000000000001</v>
      </c>
      <c r="H97" s="8">
        <v>0</v>
      </c>
      <c r="I97" s="8">
        <v>1.2768999999999999</v>
      </c>
      <c r="J97" s="8">
        <v>0</v>
      </c>
      <c r="K97" s="8">
        <v>0</v>
      </c>
      <c r="L97" s="8">
        <v>57.58</v>
      </c>
      <c r="M97" s="8">
        <v>192.92</v>
      </c>
      <c r="N97" s="10">
        <v>3.3504689128169498</v>
      </c>
      <c r="O97" s="10">
        <v>3.3517078484942102</v>
      </c>
      <c r="P97" s="10">
        <v>3.35173091714277</v>
      </c>
      <c r="Q97" s="10">
        <v>3.3512783314333898</v>
      </c>
      <c r="R97" s="8">
        <v>192.991337916296</v>
      </c>
      <c r="S97" s="8">
        <v>192.99956449982301</v>
      </c>
      <c r="T97" s="8">
        <v>192.97223406242</v>
      </c>
      <c r="U97" s="9">
        <v>3.6971143420952098E-4</v>
      </c>
      <c r="V97" s="9">
        <v>4.1233722397253798E-4</v>
      </c>
      <c r="W97" s="9">
        <v>2.7071839300583901E-4</v>
      </c>
      <c r="X97" s="10">
        <v>3.3504689128169498</v>
      </c>
      <c r="Y97" s="10">
        <v>3.3517078484942102</v>
      </c>
      <c r="Z97" s="10">
        <v>3.35173091714277</v>
      </c>
      <c r="AA97" s="10">
        <v>3.3512783314333898</v>
      </c>
      <c r="AB97" s="8">
        <v>192.991337916296</v>
      </c>
      <c r="AC97" s="8">
        <v>192.99956449982301</v>
      </c>
      <c r="AD97" s="8">
        <v>192.97223406242</v>
      </c>
      <c r="AE97" s="9">
        <v>3.6971143420952098E-4</v>
      </c>
      <c r="AF97" s="9">
        <v>4.1233722397253798E-4</v>
      </c>
      <c r="AG97" s="9">
        <v>2.7071839300583901E-4</v>
      </c>
      <c r="AZ97" s="9"/>
      <c r="BB97">
        <f t="shared" si="22"/>
        <v>0</v>
      </c>
      <c r="BC97">
        <f t="shared" si="23"/>
        <v>1</v>
      </c>
      <c r="BD97">
        <f t="shared" si="24"/>
        <v>0</v>
      </c>
      <c r="BE97">
        <f t="shared" si="20"/>
        <v>1</v>
      </c>
      <c r="BF97">
        <f t="shared" si="25"/>
        <v>0</v>
      </c>
      <c r="BG97" s="9">
        <f t="shared" si="26"/>
        <v>0</v>
      </c>
      <c r="BH97" s="9">
        <f t="shared" si="27"/>
        <v>0</v>
      </c>
      <c r="BI97" s="9">
        <f t="shared" si="28"/>
        <v>0</v>
      </c>
      <c r="BJ97" s="12">
        <f t="shared" si="29"/>
        <v>1.9780598178141141E-3</v>
      </c>
      <c r="BL97" s="9"/>
      <c r="BN97">
        <f t="shared" si="30"/>
        <v>0</v>
      </c>
      <c r="BO97">
        <f t="shared" si="31"/>
        <v>0</v>
      </c>
      <c r="BP97">
        <f t="shared" si="32"/>
        <v>0</v>
      </c>
      <c r="BQ97">
        <f t="shared" si="21"/>
        <v>1</v>
      </c>
      <c r="BR97">
        <f t="shared" si="33"/>
        <v>0</v>
      </c>
      <c r="BS97" s="9">
        <f t="shared" si="34"/>
        <v>0</v>
      </c>
      <c r="BT97" s="9">
        <f t="shared" si="35"/>
        <v>0</v>
      </c>
      <c r="BU97" s="9">
        <f t="shared" si="36"/>
        <v>0</v>
      </c>
      <c r="BV97" s="12">
        <f t="shared" si="37"/>
        <v>0</v>
      </c>
      <c r="BX97" s="12">
        <f t="shared" si="38"/>
        <v>0</v>
      </c>
      <c r="BY97" s="12">
        <f t="shared" si="39"/>
        <v>1.9780598178141141E-3</v>
      </c>
    </row>
    <row r="98" spans="1:77" x14ac:dyDescent="0.3">
      <c r="A98" s="1">
        <v>46163</v>
      </c>
      <c r="B98" s="8">
        <v>58.16</v>
      </c>
      <c r="C98" s="8">
        <v>194.93</v>
      </c>
      <c r="D98" s="9">
        <v>1.0022548041234E-2</v>
      </c>
      <c r="E98" s="9">
        <v>1.0364924557282501E-2</v>
      </c>
      <c r="F98" s="8">
        <v>0</v>
      </c>
      <c r="G98" s="8">
        <v>0.38600000000000001</v>
      </c>
      <c r="H98" s="8">
        <v>0</v>
      </c>
      <c r="I98" s="8">
        <v>1.2768999999999999</v>
      </c>
      <c r="J98" s="8">
        <v>0</v>
      </c>
      <c r="K98" s="8">
        <v>0</v>
      </c>
      <c r="L98" s="8">
        <v>58.16</v>
      </c>
      <c r="M98" s="8">
        <v>194.93</v>
      </c>
      <c r="N98" s="10">
        <v>3.3516162310866502</v>
      </c>
      <c r="O98" s="10">
        <v>3.3517078484942102</v>
      </c>
      <c r="P98" s="10">
        <v>3.3516609793595</v>
      </c>
      <c r="Q98" s="10">
        <v>3.35130586223592</v>
      </c>
      <c r="R98" s="8">
        <v>194.93532846842299</v>
      </c>
      <c r="S98" s="8">
        <v>194.936670141023</v>
      </c>
      <c r="T98" s="8">
        <v>194.910347756166</v>
      </c>
      <c r="U98" s="9">
        <v>2.7334918160962298E-5</v>
      </c>
      <c r="V98" s="9">
        <v>3.4217549410150602E-5</v>
      </c>
      <c r="W98" s="9">
        <v>-1.00822010668995E-4</v>
      </c>
      <c r="X98" s="10">
        <v>3.3516162310866502</v>
      </c>
      <c r="Y98" s="10">
        <v>3.3517078484942102</v>
      </c>
      <c r="Z98" s="10">
        <v>3.3516609793595</v>
      </c>
      <c r="AA98" s="10">
        <v>3.35130586223592</v>
      </c>
      <c r="AB98" s="8">
        <v>194.93532846842299</v>
      </c>
      <c r="AC98" s="8">
        <v>194.936670141023</v>
      </c>
      <c r="AD98" s="8">
        <v>194.910347756166</v>
      </c>
      <c r="AE98" s="9">
        <v>2.7334918160962298E-5</v>
      </c>
      <c r="AF98" s="9">
        <v>3.4217549410150602E-5</v>
      </c>
      <c r="AG98" s="9">
        <v>-1.00822010668995E-4</v>
      </c>
      <c r="AZ98" s="9"/>
      <c r="BB98">
        <f t="shared" si="22"/>
        <v>0</v>
      </c>
      <c r="BC98">
        <f t="shared" si="23"/>
        <v>0</v>
      </c>
      <c r="BD98">
        <f t="shared" si="24"/>
        <v>0</v>
      </c>
      <c r="BE98">
        <f t="shared" si="20"/>
        <v>1</v>
      </c>
      <c r="BF98">
        <f t="shared" si="25"/>
        <v>0</v>
      </c>
      <c r="BG98" s="9">
        <f t="shared" si="26"/>
        <v>0</v>
      </c>
      <c r="BH98" s="9">
        <f t="shared" si="27"/>
        <v>0</v>
      </c>
      <c r="BI98" s="9">
        <f t="shared" si="28"/>
        <v>0</v>
      </c>
      <c r="BJ98" s="12">
        <f t="shared" si="29"/>
        <v>1.9780598178141141E-3</v>
      </c>
      <c r="BL98" s="9"/>
      <c r="BN98">
        <f t="shared" si="30"/>
        <v>0</v>
      </c>
      <c r="BO98">
        <f t="shared" si="31"/>
        <v>1</v>
      </c>
      <c r="BP98">
        <f t="shared" si="32"/>
        <v>0</v>
      </c>
      <c r="BQ98">
        <f t="shared" si="21"/>
        <v>1</v>
      </c>
      <c r="BR98">
        <f t="shared" si="33"/>
        <v>0</v>
      </c>
      <c r="BS98" s="9">
        <f t="shared" si="34"/>
        <v>0</v>
      </c>
      <c r="BT98" s="9">
        <f t="shared" si="35"/>
        <v>0</v>
      </c>
      <c r="BU98" s="9">
        <f t="shared" si="36"/>
        <v>0</v>
      </c>
      <c r="BV98" s="12">
        <f t="shared" si="37"/>
        <v>0</v>
      </c>
      <c r="BX98" s="12">
        <f t="shared" si="38"/>
        <v>0</v>
      </c>
      <c r="BY98" s="12">
        <f t="shared" si="39"/>
        <v>1.9780598178141141E-3</v>
      </c>
    </row>
    <row r="99" spans="1:77" x14ac:dyDescent="0.3">
      <c r="A99" s="1">
        <v>46164</v>
      </c>
      <c r="B99" s="8">
        <v>58.63</v>
      </c>
      <c r="C99" s="8">
        <v>196.47</v>
      </c>
      <c r="D99" s="9">
        <v>8.0486777508598801E-3</v>
      </c>
      <c r="E99" s="9">
        <v>7.8692281400181592E-3</v>
      </c>
      <c r="F99" s="8">
        <v>0</v>
      </c>
      <c r="G99" s="8">
        <v>0.38600000000000001</v>
      </c>
      <c r="H99" s="8">
        <v>0</v>
      </c>
      <c r="I99" s="8">
        <v>1.2768999999999999</v>
      </c>
      <c r="J99" s="8">
        <v>0</v>
      </c>
      <c r="K99" s="8">
        <v>0</v>
      </c>
      <c r="L99" s="8">
        <v>58.63</v>
      </c>
      <c r="M99" s="8">
        <v>196.47</v>
      </c>
      <c r="N99" s="10">
        <v>3.3510148388197099</v>
      </c>
      <c r="O99" s="10">
        <v>3.3517078484942102</v>
      </c>
      <c r="P99" s="10">
        <v>3.3515852808732798</v>
      </c>
      <c r="Q99" s="10">
        <v>3.3513461263898199</v>
      </c>
      <c r="R99" s="8">
        <v>196.51063115721499</v>
      </c>
      <c r="S99" s="8">
        <v>196.507883219847</v>
      </c>
      <c r="T99" s="8">
        <v>196.48706270289199</v>
      </c>
      <c r="U99" s="9">
        <v>2.0678452900253899E-4</v>
      </c>
      <c r="V99" s="9">
        <v>1.92800773695577E-4</v>
      </c>
      <c r="W99" s="9">
        <v>8.6842581658560204E-5</v>
      </c>
      <c r="X99" s="10">
        <v>3.3510148388197099</v>
      </c>
      <c r="Y99" s="10">
        <v>3.3517078484942102</v>
      </c>
      <c r="Z99" s="10">
        <v>3.3515852808732798</v>
      </c>
      <c r="AA99" s="10">
        <v>3.3513461263898199</v>
      </c>
      <c r="AB99" s="8">
        <v>196.51063115721499</v>
      </c>
      <c r="AC99" s="8">
        <v>196.507883219847</v>
      </c>
      <c r="AD99" s="8">
        <v>196.48706270289199</v>
      </c>
      <c r="AE99" s="9">
        <v>2.0678452900253899E-4</v>
      </c>
      <c r="AF99" s="9">
        <v>1.92800773695577E-4</v>
      </c>
      <c r="AG99" s="9">
        <v>8.6842581658560204E-5</v>
      </c>
      <c r="AZ99" s="9"/>
      <c r="BB99">
        <f t="shared" si="22"/>
        <v>0</v>
      </c>
      <c r="BC99">
        <f t="shared" si="23"/>
        <v>1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1.9780598178141141E-3</v>
      </c>
      <c r="BL99" s="9"/>
      <c r="BN99">
        <f t="shared" si="30"/>
        <v>0</v>
      </c>
      <c r="BO99">
        <f t="shared" si="31"/>
        <v>0</v>
      </c>
      <c r="BP99">
        <f t="shared" si="32"/>
        <v>0</v>
      </c>
      <c r="BQ99">
        <f t="shared" si="21"/>
        <v>1</v>
      </c>
      <c r="BR99">
        <f t="shared" si="33"/>
        <v>0</v>
      </c>
      <c r="BS99" s="9">
        <f t="shared" si="34"/>
        <v>0</v>
      </c>
      <c r="BT99" s="9">
        <f t="shared" si="35"/>
        <v>0</v>
      </c>
      <c r="BU99" s="9">
        <f t="shared" si="36"/>
        <v>0</v>
      </c>
      <c r="BV99" s="12">
        <f t="shared" si="37"/>
        <v>0</v>
      </c>
      <c r="BX99" s="12">
        <f t="shared" si="38"/>
        <v>0</v>
      </c>
      <c r="BY99" s="12">
        <f t="shared" si="39"/>
        <v>1.9780598178141141E-3</v>
      </c>
    </row>
    <row r="100" spans="1:77" x14ac:dyDescent="0.3">
      <c r="A100" s="1">
        <v>46168</v>
      </c>
      <c r="B100" s="8">
        <v>58.68</v>
      </c>
      <c r="C100" s="8">
        <v>196.65</v>
      </c>
      <c r="D100" s="9">
        <v>8.5244229865729499E-4</v>
      </c>
      <c r="E100" s="9">
        <v>9.1575097974666998E-4</v>
      </c>
      <c r="F100" s="8">
        <v>0</v>
      </c>
      <c r="G100" s="8">
        <v>0.38600000000000001</v>
      </c>
      <c r="H100" s="8">
        <v>0</v>
      </c>
      <c r="I100" s="8">
        <v>1.2768999999999999</v>
      </c>
      <c r="J100" s="8">
        <v>0</v>
      </c>
      <c r="K100" s="8">
        <v>0</v>
      </c>
      <c r="L100" s="8">
        <v>58.68</v>
      </c>
      <c r="M100" s="8">
        <v>196.65</v>
      </c>
      <c r="N100" s="10">
        <v>3.3512269938650299</v>
      </c>
      <c r="O100" s="10">
        <v>3.3517078484942102</v>
      </c>
      <c r="P100" s="10">
        <v>3.3516274732368299</v>
      </c>
      <c r="Q100" s="10">
        <v>3.3513672885412</v>
      </c>
      <c r="R100" s="8">
        <v>196.67821654964001</v>
      </c>
      <c r="S100" s="8">
        <v>196.67102428164401</v>
      </c>
      <c r="T100" s="8">
        <v>196.656990696554</v>
      </c>
      <c r="U100" s="9">
        <v>1.43475847913229E-4</v>
      </c>
      <c r="V100" s="9">
        <v>1.06906472658328E-4</v>
      </c>
      <c r="W100" s="9">
        <v>3.5548295457253497E-5</v>
      </c>
      <c r="X100" s="10">
        <v>3.3512269938650299</v>
      </c>
      <c r="Y100" s="10">
        <v>3.3517078484942102</v>
      </c>
      <c r="Z100" s="10">
        <v>3.3516274732368299</v>
      </c>
      <c r="AA100" s="10">
        <v>3.3513672885412</v>
      </c>
      <c r="AB100" s="8">
        <v>196.67821654964001</v>
      </c>
      <c r="AC100" s="8">
        <v>196.67102428164401</v>
      </c>
      <c r="AD100" s="8">
        <v>196.656990696554</v>
      </c>
      <c r="AE100" s="9">
        <v>1.43475847913229E-4</v>
      </c>
      <c r="AF100" s="9">
        <v>1.06906472658328E-4</v>
      </c>
      <c r="AG100" s="9">
        <v>3.5548295457253497E-5</v>
      </c>
      <c r="AZ100" s="9"/>
      <c r="BB100">
        <f t="shared" si="22"/>
        <v>0</v>
      </c>
      <c r="BC100">
        <f t="shared" si="23"/>
        <v>1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1.9780598178141141E-3</v>
      </c>
      <c r="BL100" s="9"/>
      <c r="BN100">
        <f t="shared" si="30"/>
        <v>0</v>
      </c>
      <c r="BO100">
        <f t="shared" si="31"/>
        <v>0</v>
      </c>
      <c r="BP100">
        <f t="shared" si="32"/>
        <v>0</v>
      </c>
      <c r="BQ100">
        <f t="shared" si="21"/>
        <v>1</v>
      </c>
      <c r="BR100">
        <f t="shared" si="33"/>
        <v>0</v>
      </c>
      <c r="BS100" s="9">
        <f t="shared" si="34"/>
        <v>0</v>
      </c>
      <c r="BT100" s="9">
        <f t="shared" si="35"/>
        <v>0</v>
      </c>
      <c r="BU100" s="9">
        <f t="shared" si="36"/>
        <v>0</v>
      </c>
      <c r="BV100" s="12">
        <f t="shared" si="37"/>
        <v>0</v>
      </c>
      <c r="BX100" s="12">
        <f t="shared" si="38"/>
        <v>0</v>
      </c>
      <c r="BY100" s="12">
        <f t="shared" si="39"/>
        <v>1.9780598178141141E-3</v>
      </c>
    </row>
    <row r="101" spans="1:77" x14ac:dyDescent="0.3">
      <c r="A101" s="1">
        <v>46169</v>
      </c>
      <c r="B101" s="8">
        <v>58.4</v>
      </c>
      <c r="C101" s="8">
        <v>195.7</v>
      </c>
      <c r="D101" s="9">
        <v>-4.7830634405996199E-3</v>
      </c>
      <c r="E101" s="9">
        <v>-4.8426244757881201E-3</v>
      </c>
      <c r="F101" s="8">
        <v>0</v>
      </c>
      <c r="G101" s="8">
        <v>0.38600000000000001</v>
      </c>
      <c r="H101" s="8">
        <v>0</v>
      </c>
      <c r="I101" s="8">
        <v>1.2768999999999999</v>
      </c>
      <c r="J101" s="8">
        <v>0</v>
      </c>
      <c r="K101" s="8">
        <v>0</v>
      </c>
      <c r="L101" s="8">
        <v>58.4</v>
      </c>
      <c r="M101" s="8">
        <v>195.7</v>
      </c>
      <c r="N101" s="10">
        <v>3.3510273972602702</v>
      </c>
      <c r="O101" s="10">
        <v>3.3517078484942102</v>
      </c>
      <c r="P101" s="10">
        <v>3.3514974956459498</v>
      </c>
      <c r="Q101" s="10">
        <v>3.3513370684460599</v>
      </c>
      <c r="R101" s="8">
        <v>195.73973835206201</v>
      </c>
      <c r="S101" s="8">
        <v>195.73504443703001</v>
      </c>
      <c r="T101" s="8">
        <v>195.719849650806</v>
      </c>
      <c r="U101" s="9">
        <v>2.0303688310161901E-4</v>
      </c>
      <c r="V101" s="9">
        <v>1.7905620675830999E-4</v>
      </c>
      <c r="W101" s="9">
        <v>1.01423833468685E-4</v>
      </c>
      <c r="X101" s="10">
        <v>3.3510273972602702</v>
      </c>
      <c r="Y101" s="10">
        <v>3.3517078484942102</v>
      </c>
      <c r="Z101" s="10">
        <v>3.3514974956459498</v>
      </c>
      <c r="AA101" s="10">
        <v>3.3513370684460599</v>
      </c>
      <c r="AB101" s="8">
        <v>195.73973835206201</v>
      </c>
      <c r="AC101" s="8">
        <v>195.73504443703001</v>
      </c>
      <c r="AD101" s="8">
        <v>195.719849650806</v>
      </c>
      <c r="AE101" s="9">
        <v>2.0303688310161901E-4</v>
      </c>
      <c r="AF101" s="9">
        <v>1.7905620675830999E-4</v>
      </c>
      <c r="AG101" s="9">
        <v>1.01423833468685E-4</v>
      </c>
      <c r="AZ101" s="9"/>
      <c r="BB101">
        <f t="shared" si="22"/>
        <v>0</v>
      </c>
      <c r="BC101">
        <f t="shared" si="23"/>
        <v>1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1.9780598178141141E-3</v>
      </c>
      <c r="BL101" s="9"/>
      <c r="BN101">
        <f t="shared" si="30"/>
        <v>0</v>
      </c>
      <c r="BO101">
        <f t="shared" si="31"/>
        <v>0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0</v>
      </c>
      <c r="BX101" s="12">
        <f t="shared" si="38"/>
        <v>0</v>
      </c>
      <c r="BY101" s="12">
        <f t="shared" si="39"/>
        <v>1.9780598178141141E-3</v>
      </c>
    </row>
    <row r="102" spans="1:77" x14ac:dyDescent="0.3">
      <c r="A102" s="1">
        <v>46170</v>
      </c>
      <c r="B102" s="8">
        <v>57.75</v>
      </c>
      <c r="C102" s="8">
        <v>193.55</v>
      </c>
      <c r="D102" s="9">
        <v>-1.11925404322784E-2</v>
      </c>
      <c r="E102" s="9">
        <v>-1.10469973783732E-2</v>
      </c>
      <c r="F102" s="8">
        <v>0</v>
      </c>
      <c r="G102" s="8">
        <v>0.38600000000000001</v>
      </c>
      <c r="H102" s="8">
        <v>0</v>
      </c>
      <c r="I102" s="8">
        <v>1.2768999999999999</v>
      </c>
      <c r="J102" s="8">
        <v>0</v>
      </c>
      <c r="K102" s="8">
        <v>0</v>
      </c>
      <c r="L102" s="8">
        <v>57.75</v>
      </c>
      <c r="M102" s="8">
        <v>193.55</v>
      </c>
      <c r="N102" s="10">
        <v>3.3515151515151498</v>
      </c>
      <c r="O102" s="10">
        <v>3.3517078484942102</v>
      </c>
      <c r="P102" s="10">
        <v>3.3514914077493199</v>
      </c>
      <c r="Q102" s="10">
        <v>3.35145519890317</v>
      </c>
      <c r="R102" s="8">
        <v>193.56112825054001</v>
      </c>
      <c r="S102" s="8">
        <v>193.54898037355301</v>
      </c>
      <c r="T102" s="8">
        <v>193.53971570275999</v>
      </c>
      <c r="U102" s="9">
        <v>5.7493829196642101E-5</v>
      </c>
      <c r="V102" s="9">
        <v>-5.2680399483562602E-6</v>
      </c>
      <c r="W102" s="9">
        <v>-5.31365046657471E-5</v>
      </c>
      <c r="X102" s="10">
        <v>3.3515151515151498</v>
      </c>
      <c r="Y102" s="10">
        <v>3.3517078484942102</v>
      </c>
      <c r="Z102" s="10">
        <v>3.3514914077493199</v>
      </c>
      <c r="AA102" s="10">
        <v>3.35145519890317</v>
      </c>
      <c r="AB102" s="8">
        <v>193.56112825054001</v>
      </c>
      <c r="AC102" s="8">
        <v>193.54898037355301</v>
      </c>
      <c r="AD102" s="8">
        <v>193.53971570275999</v>
      </c>
      <c r="AE102" s="9">
        <v>5.7493829196642101E-5</v>
      </c>
      <c r="AF102" s="9">
        <v>-5.2680399483562602E-6</v>
      </c>
      <c r="AG102" s="9">
        <v>-5.31365046657471E-5</v>
      </c>
      <c r="AZ102" s="9"/>
      <c r="BB102">
        <f t="shared" si="22"/>
        <v>0</v>
      </c>
      <c r="BC102">
        <f t="shared" si="23"/>
        <v>0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1.9780598178141141E-3</v>
      </c>
      <c r="BL102" s="9"/>
      <c r="BN102">
        <f t="shared" si="30"/>
        <v>0</v>
      </c>
      <c r="BO102">
        <f t="shared" si="31"/>
        <v>1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0</v>
      </c>
      <c r="BX102" s="12">
        <f t="shared" si="38"/>
        <v>0</v>
      </c>
      <c r="BY102" s="12">
        <f t="shared" si="39"/>
        <v>1.9780598178141141E-3</v>
      </c>
    </row>
    <row r="103" spans="1:77" x14ac:dyDescent="0.3">
      <c r="A103" s="1">
        <v>46171</v>
      </c>
      <c r="B103" s="8">
        <v>57.53</v>
      </c>
      <c r="C103" s="8">
        <v>192.66</v>
      </c>
      <c r="D103" s="9">
        <v>-3.8167985267008502E-3</v>
      </c>
      <c r="E103" s="9">
        <v>-4.6088996941795997E-3</v>
      </c>
      <c r="F103" s="8">
        <v>0</v>
      </c>
      <c r="G103" s="8">
        <v>0.38600000000000001</v>
      </c>
      <c r="H103" s="8">
        <v>0</v>
      </c>
      <c r="I103" s="8">
        <v>1.2768999999999999</v>
      </c>
      <c r="J103" s="8">
        <v>0</v>
      </c>
      <c r="K103" s="8">
        <v>0</v>
      </c>
      <c r="L103" s="8">
        <v>57.53</v>
      </c>
      <c r="M103" s="8">
        <v>192.66</v>
      </c>
      <c r="N103" s="10">
        <v>3.34886146358421</v>
      </c>
      <c r="O103" s="10">
        <v>3.3517078484942102</v>
      </c>
      <c r="P103" s="10">
        <v>3.3512182087158302</v>
      </c>
      <c r="Q103" s="10">
        <v>3.3512740998969499</v>
      </c>
      <c r="R103" s="8">
        <v>192.823752523872</v>
      </c>
      <c r="S103" s="8">
        <v>192.811300687818</v>
      </c>
      <c r="T103" s="8">
        <v>192.80921759289899</v>
      </c>
      <c r="U103" s="9">
        <v>8.4959499667531298E-4</v>
      </c>
      <c r="V103" s="9">
        <v>7.8501665529123505E-4</v>
      </c>
      <c r="W103" s="9">
        <v>7.7421279595342105E-4</v>
      </c>
      <c r="X103" s="10">
        <v>3.34886146358421</v>
      </c>
      <c r="Y103" s="10">
        <v>3.3517078484942102</v>
      </c>
      <c r="Z103" s="10">
        <v>3.3512182087158302</v>
      </c>
      <c r="AA103" s="10">
        <v>3.3512740998969499</v>
      </c>
      <c r="AB103" s="8">
        <v>192.823752523872</v>
      </c>
      <c r="AC103" s="8">
        <v>192.811300687818</v>
      </c>
      <c r="AD103" s="8">
        <v>192.80921759289899</v>
      </c>
      <c r="AE103" s="9">
        <v>8.4959499667531298E-4</v>
      </c>
      <c r="AF103" s="9">
        <v>7.8501665529123505E-4</v>
      </c>
      <c r="AG103" s="9">
        <v>7.7421279595342105E-4</v>
      </c>
      <c r="AZ103" s="9"/>
      <c r="BB103">
        <f t="shared" si="22"/>
        <v>0</v>
      </c>
      <c r="BC103">
        <f t="shared" si="23"/>
        <v>1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1.9780598178141141E-3</v>
      </c>
      <c r="BL103" s="9"/>
      <c r="BN103">
        <f t="shared" si="30"/>
        <v>0</v>
      </c>
      <c r="BO103">
        <f t="shared" si="31"/>
        <v>0</v>
      </c>
      <c r="BP103">
        <f t="shared" si="32"/>
        <v>0</v>
      </c>
      <c r="BQ103">
        <f t="shared" si="21"/>
        <v>1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0</v>
      </c>
      <c r="BX103" s="12">
        <f t="shared" si="38"/>
        <v>0</v>
      </c>
      <c r="BY103" s="12">
        <f t="shared" si="39"/>
        <v>1.9780598178141141E-3</v>
      </c>
    </row>
    <row r="104" spans="1:77" x14ac:dyDescent="0.3">
      <c r="A104" s="1">
        <v>46174</v>
      </c>
      <c r="B104" s="8">
        <v>55.83</v>
      </c>
      <c r="C104" s="8">
        <v>187.11</v>
      </c>
      <c r="D104" s="9">
        <v>-2.9995191552932999E-2</v>
      </c>
      <c r="E104" s="9">
        <v>-2.9230298123336499E-2</v>
      </c>
      <c r="F104" s="8">
        <v>0</v>
      </c>
      <c r="G104" s="8">
        <v>0.38600000000000001</v>
      </c>
      <c r="H104" s="8">
        <v>0</v>
      </c>
      <c r="I104" s="8">
        <v>1.2768999999999999</v>
      </c>
      <c r="J104" s="8">
        <v>0</v>
      </c>
      <c r="K104" s="8">
        <v>0</v>
      </c>
      <c r="L104" s="8">
        <v>55.83</v>
      </c>
      <c r="M104" s="8">
        <v>187.11</v>
      </c>
      <c r="N104" s="10">
        <v>3.3514239656098801</v>
      </c>
      <c r="O104" s="10">
        <v>3.3517078484942102</v>
      </c>
      <c r="P104" s="10">
        <v>3.3508516971801598</v>
      </c>
      <c r="Q104" s="10">
        <v>3.3513290562983902</v>
      </c>
      <c r="R104" s="8">
        <v>187.12584918143099</v>
      </c>
      <c r="S104" s="8">
        <v>187.098512592605</v>
      </c>
      <c r="T104" s="8">
        <v>187.10163299724701</v>
      </c>
      <c r="U104" s="9">
        <v>8.4701567078752203E-5</v>
      </c>
      <c r="V104" s="9">
        <v>-6.1395756706761193E-5</v>
      </c>
      <c r="W104" s="9">
        <v>-4.4718025932337198E-5</v>
      </c>
      <c r="X104" s="10">
        <v>3.3514239656098801</v>
      </c>
      <c r="Y104" s="10">
        <v>3.3517078484942102</v>
      </c>
      <c r="Z104" s="10">
        <v>3.3508516971801598</v>
      </c>
      <c r="AA104" s="10">
        <v>3.3513290562983902</v>
      </c>
      <c r="AB104" s="8">
        <v>187.12584918143099</v>
      </c>
      <c r="AC104" s="8">
        <v>187.098512592605</v>
      </c>
      <c r="AD104" s="8">
        <v>187.10163299724701</v>
      </c>
      <c r="AE104" s="9">
        <v>8.4701567078752203E-5</v>
      </c>
      <c r="AF104" s="9">
        <v>-6.1395756706761193E-5</v>
      </c>
      <c r="AG104" s="9">
        <v>-4.4718025932337198E-5</v>
      </c>
      <c r="AZ104" s="9"/>
      <c r="BB104">
        <f t="shared" si="22"/>
        <v>0</v>
      </c>
      <c r="BC104">
        <f t="shared" si="23"/>
        <v>0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1.9780598178141141E-3</v>
      </c>
      <c r="BL104" s="9"/>
      <c r="BN104">
        <f t="shared" si="30"/>
        <v>0</v>
      </c>
      <c r="BO104">
        <f t="shared" si="31"/>
        <v>1</v>
      </c>
      <c r="BP104">
        <f t="shared" si="32"/>
        <v>0</v>
      </c>
      <c r="BQ104">
        <f t="shared" si="21"/>
        <v>1</v>
      </c>
      <c r="BR104">
        <f t="shared" si="33"/>
        <v>0</v>
      </c>
      <c r="BS104" s="9">
        <f t="shared" si="34"/>
        <v>0</v>
      </c>
      <c r="BT104" s="9">
        <f t="shared" si="35"/>
        <v>0</v>
      </c>
      <c r="BU104" s="9">
        <f t="shared" si="36"/>
        <v>0</v>
      </c>
      <c r="BV104" s="12">
        <f t="shared" si="37"/>
        <v>0</v>
      </c>
      <c r="BX104" s="12">
        <f t="shared" si="38"/>
        <v>0</v>
      </c>
      <c r="BY104" s="12">
        <f t="shared" si="39"/>
        <v>1.9780598178141141E-3</v>
      </c>
    </row>
    <row r="105" spans="1:77" x14ac:dyDescent="0.3">
      <c r="A105" s="1">
        <v>46175</v>
      </c>
      <c r="B105" s="8">
        <v>56.94</v>
      </c>
      <c r="C105" s="8">
        <v>190.78</v>
      </c>
      <c r="D105" s="9">
        <v>1.9686722527622401E-2</v>
      </c>
      <c r="E105" s="9">
        <v>1.9424252510920999E-2</v>
      </c>
      <c r="F105" s="8">
        <v>0</v>
      </c>
      <c r="G105" s="8">
        <v>0.38600000000000001</v>
      </c>
      <c r="H105" s="8">
        <v>0</v>
      </c>
      <c r="I105" s="8">
        <v>1.2768999999999999</v>
      </c>
      <c r="J105" s="8">
        <v>0</v>
      </c>
      <c r="K105" s="8">
        <v>0</v>
      </c>
      <c r="L105" s="8">
        <v>56.94</v>
      </c>
      <c r="M105" s="8">
        <v>190.78</v>
      </c>
      <c r="N105" s="10">
        <v>3.3505444327362102</v>
      </c>
      <c r="O105" s="10">
        <v>3.3517078484942102</v>
      </c>
      <c r="P105" s="10">
        <v>3.3508946988061798</v>
      </c>
      <c r="Q105" s="10">
        <v>3.3513458351616001</v>
      </c>
      <c r="R105" s="8">
        <v>190.84624489326001</v>
      </c>
      <c r="S105" s="8">
        <v>190.797495637438</v>
      </c>
      <c r="T105" s="8">
        <v>190.82467646563001</v>
      </c>
      <c r="U105" s="9">
        <v>3.4717158378011801E-4</v>
      </c>
      <c r="V105" s="9">
        <v>9.1701621037282196E-5</v>
      </c>
      <c r="W105" s="9">
        <v>2.3415051538853201E-4</v>
      </c>
      <c r="X105" s="10">
        <v>3.3505444327362102</v>
      </c>
      <c r="Y105" s="10">
        <v>3.3517078484942102</v>
      </c>
      <c r="Z105" s="10">
        <v>3.3508946988061798</v>
      </c>
      <c r="AA105" s="10">
        <v>3.3513458351616001</v>
      </c>
      <c r="AB105" s="8">
        <v>190.84624489326001</v>
      </c>
      <c r="AC105" s="8">
        <v>190.797495637438</v>
      </c>
      <c r="AD105" s="8">
        <v>190.82467646563001</v>
      </c>
      <c r="AE105" s="9">
        <v>3.4717158378011801E-4</v>
      </c>
      <c r="AF105" s="9">
        <v>9.1701621037282196E-5</v>
      </c>
      <c r="AG105" s="9">
        <v>2.3415051538853201E-4</v>
      </c>
      <c r="AZ105" s="9"/>
      <c r="BB105">
        <f t="shared" si="22"/>
        <v>0</v>
      </c>
      <c r="BC105">
        <f t="shared" si="23"/>
        <v>1</v>
      </c>
      <c r="BD105">
        <f t="shared" si="24"/>
        <v>0</v>
      </c>
      <c r="BE105">
        <f t="shared" si="20"/>
        <v>1</v>
      </c>
      <c r="BF105">
        <f t="shared" si="25"/>
        <v>0</v>
      </c>
      <c r="BG105" s="9">
        <f t="shared" si="26"/>
        <v>0</v>
      </c>
      <c r="BH105" s="9">
        <f t="shared" si="27"/>
        <v>0</v>
      </c>
      <c r="BI105" s="9">
        <f t="shared" si="28"/>
        <v>0</v>
      </c>
      <c r="BJ105" s="12">
        <f t="shared" si="29"/>
        <v>1.9780598178141141E-3</v>
      </c>
      <c r="BL105" s="9"/>
      <c r="BN105">
        <f t="shared" si="30"/>
        <v>0</v>
      </c>
      <c r="BO105">
        <f t="shared" si="31"/>
        <v>0</v>
      </c>
      <c r="BP105">
        <f t="shared" si="32"/>
        <v>0</v>
      </c>
      <c r="BQ105">
        <f t="shared" si="21"/>
        <v>1</v>
      </c>
      <c r="BR105">
        <f t="shared" si="33"/>
        <v>0</v>
      </c>
      <c r="BS105" s="9">
        <f t="shared" si="34"/>
        <v>0</v>
      </c>
      <c r="BT105" s="9">
        <f t="shared" si="35"/>
        <v>0</v>
      </c>
      <c r="BU105" s="9">
        <f t="shared" si="36"/>
        <v>0</v>
      </c>
      <c r="BV105" s="12">
        <f t="shared" si="37"/>
        <v>0</v>
      </c>
      <c r="BX105" s="12">
        <f t="shared" si="38"/>
        <v>0</v>
      </c>
      <c r="BY105" s="12">
        <f t="shared" si="39"/>
        <v>1.9780598178141141E-3</v>
      </c>
    </row>
    <row r="106" spans="1:77" x14ac:dyDescent="0.3">
      <c r="A106" s="1">
        <v>46176</v>
      </c>
      <c r="B106" s="8">
        <v>56.6</v>
      </c>
      <c r="C106" s="8">
        <v>189.68</v>
      </c>
      <c r="D106" s="9">
        <v>-5.9890966407541704E-3</v>
      </c>
      <c r="E106" s="9">
        <v>-5.7824899599119304E-3</v>
      </c>
      <c r="F106" s="8">
        <v>0</v>
      </c>
      <c r="G106" s="8">
        <v>0.38600000000000001</v>
      </c>
      <c r="H106" s="8">
        <v>0</v>
      </c>
      <c r="I106" s="8">
        <v>1.2768999999999999</v>
      </c>
      <c r="J106" s="8">
        <v>0</v>
      </c>
      <c r="K106" s="8">
        <v>0</v>
      </c>
      <c r="L106" s="8">
        <v>56.6</v>
      </c>
      <c r="M106" s="8">
        <v>189.68</v>
      </c>
      <c r="N106" s="10">
        <v>3.3512367491166</v>
      </c>
      <c r="O106" s="10">
        <v>3.3517078484942102</v>
      </c>
      <c r="P106" s="10">
        <v>3.3508936136410701</v>
      </c>
      <c r="Q106" s="10">
        <v>3.3513721671871899</v>
      </c>
      <c r="R106" s="8">
        <v>189.706664224772</v>
      </c>
      <c r="S106" s="8">
        <v>189.66063995242999</v>
      </c>
      <c r="T106" s="8">
        <v>189.68617427014601</v>
      </c>
      <c r="U106" s="9">
        <v>1.4056490293796301E-4</v>
      </c>
      <c r="V106" s="9">
        <v>-1.02072098518967E-4</v>
      </c>
      <c r="W106" s="9">
        <v>3.2550451600194901E-5</v>
      </c>
      <c r="X106" s="10">
        <v>3.3512367491166</v>
      </c>
      <c r="Y106" s="10">
        <v>3.3517078484942102</v>
      </c>
      <c r="Z106" s="10">
        <v>3.3508936136410701</v>
      </c>
      <c r="AA106" s="10">
        <v>3.3513721671871899</v>
      </c>
      <c r="AB106" s="8">
        <v>189.706664224772</v>
      </c>
      <c r="AC106" s="8">
        <v>189.66063995242999</v>
      </c>
      <c r="AD106" s="8">
        <v>189.68617427014601</v>
      </c>
      <c r="AE106" s="9">
        <v>1.4056490293796301E-4</v>
      </c>
      <c r="AF106" s="9">
        <v>-1.02072098518967E-4</v>
      </c>
      <c r="AG106" s="9">
        <v>3.2550451600194901E-5</v>
      </c>
      <c r="AZ106" s="9"/>
      <c r="BB106">
        <f t="shared" si="22"/>
        <v>0</v>
      </c>
      <c r="BC106">
        <f t="shared" si="23"/>
        <v>1</v>
      </c>
      <c r="BD106">
        <f t="shared" si="24"/>
        <v>0</v>
      </c>
      <c r="BE106">
        <f t="shared" si="20"/>
        <v>1</v>
      </c>
      <c r="BF106">
        <f t="shared" si="25"/>
        <v>0</v>
      </c>
      <c r="BG106" s="9">
        <f t="shared" si="26"/>
        <v>0</v>
      </c>
      <c r="BH106" s="9">
        <f t="shared" si="27"/>
        <v>0</v>
      </c>
      <c r="BI106" s="9">
        <f t="shared" si="28"/>
        <v>0</v>
      </c>
      <c r="BJ106" s="12">
        <f t="shared" si="29"/>
        <v>1.9780598178141141E-3</v>
      </c>
      <c r="BL106" s="9"/>
      <c r="BN106">
        <f t="shared" si="30"/>
        <v>0</v>
      </c>
      <c r="BO106">
        <f t="shared" si="31"/>
        <v>0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0</v>
      </c>
      <c r="BX106" s="12">
        <f t="shared" si="38"/>
        <v>0</v>
      </c>
      <c r="BY106" s="12">
        <f t="shared" si="39"/>
        <v>1.9780598178141141E-3</v>
      </c>
    </row>
    <row r="107" spans="1:77" x14ac:dyDescent="0.3">
      <c r="A107" s="1">
        <v>46177</v>
      </c>
      <c r="B107" s="8">
        <v>56.94</v>
      </c>
      <c r="C107" s="8">
        <v>190.85</v>
      </c>
      <c r="D107" s="9">
        <v>5.9890966407542398E-3</v>
      </c>
      <c r="E107" s="9">
        <v>6.1493374340885901E-3</v>
      </c>
      <c r="F107" s="8">
        <v>0</v>
      </c>
      <c r="G107" s="8">
        <v>0.38600000000000001</v>
      </c>
      <c r="H107" s="8">
        <v>0</v>
      </c>
      <c r="I107" s="8">
        <v>1.2768999999999999</v>
      </c>
      <c r="J107" s="8">
        <v>0</v>
      </c>
      <c r="K107" s="8">
        <v>0</v>
      </c>
      <c r="L107" s="8">
        <v>56.94</v>
      </c>
      <c r="M107" s="8">
        <v>190.85</v>
      </c>
      <c r="N107" s="10">
        <v>3.3517737969792698</v>
      </c>
      <c r="O107" s="10">
        <v>3.3517078484942102</v>
      </c>
      <c r="P107" s="10">
        <v>3.3510241020573002</v>
      </c>
      <c r="Q107" s="10">
        <v>3.35137750960003</v>
      </c>
      <c r="R107" s="8">
        <v>190.84624489326001</v>
      </c>
      <c r="S107" s="8">
        <v>190.79988236072199</v>
      </c>
      <c r="T107" s="8">
        <v>190.82713119963799</v>
      </c>
      <c r="U107" s="9">
        <v>-1.9675890396543199E-5</v>
      </c>
      <c r="V107" s="9">
        <v>-2.6263673530051E-4</v>
      </c>
      <c r="W107" s="9">
        <v>-1.19833223001293E-4</v>
      </c>
      <c r="X107" s="10">
        <v>3.3517737969792698</v>
      </c>
      <c r="Y107" s="10">
        <v>3.3517078484942102</v>
      </c>
      <c r="Z107" s="10">
        <v>3.3510241020573002</v>
      </c>
      <c r="AA107" s="10">
        <v>3.35137750960003</v>
      </c>
      <c r="AB107" s="8">
        <v>190.84624489326001</v>
      </c>
      <c r="AC107" s="8">
        <v>190.79988236072199</v>
      </c>
      <c r="AD107" s="8">
        <v>190.82713119963799</v>
      </c>
      <c r="AE107" s="9">
        <v>-1.9675890396543199E-5</v>
      </c>
      <c r="AF107" s="9">
        <v>-2.6263673530051E-4</v>
      </c>
      <c r="AG107" s="9">
        <v>-1.19833223001293E-4</v>
      </c>
      <c r="AZ107" s="9"/>
      <c r="BB107">
        <f t="shared" si="22"/>
        <v>0</v>
      </c>
      <c r="BC107">
        <f t="shared" si="23"/>
        <v>0</v>
      </c>
      <c r="BD107">
        <f t="shared" si="24"/>
        <v>0</v>
      </c>
      <c r="BE107">
        <f t="shared" si="20"/>
        <v>1</v>
      </c>
      <c r="BF107">
        <f t="shared" si="25"/>
        <v>0</v>
      </c>
      <c r="BG107" s="9">
        <f t="shared" si="26"/>
        <v>0</v>
      </c>
      <c r="BH107" s="9">
        <f t="shared" si="27"/>
        <v>0</v>
      </c>
      <c r="BI107" s="9">
        <f t="shared" si="28"/>
        <v>0</v>
      </c>
      <c r="BJ107" s="12">
        <f t="shared" si="29"/>
        <v>1.9780598178141141E-3</v>
      </c>
      <c r="BL107" s="9"/>
      <c r="BN107">
        <f t="shared" si="30"/>
        <v>0</v>
      </c>
      <c r="BO107">
        <f t="shared" si="31"/>
        <v>1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0</v>
      </c>
      <c r="BX107" s="12">
        <f t="shared" si="38"/>
        <v>0</v>
      </c>
      <c r="BY107" s="12">
        <f t="shared" si="39"/>
        <v>1.9780598178141141E-3</v>
      </c>
    </row>
    <row r="108" spans="1:77" x14ac:dyDescent="0.3">
      <c r="A108" s="1">
        <v>46178</v>
      </c>
      <c r="B108" s="8">
        <v>57.39</v>
      </c>
      <c r="C108" s="8">
        <v>192.36</v>
      </c>
      <c r="D108" s="9">
        <v>7.8719902703797105E-3</v>
      </c>
      <c r="E108" s="9">
        <v>7.8808372182231703E-3</v>
      </c>
      <c r="F108" s="8">
        <v>0</v>
      </c>
      <c r="G108" s="8">
        <v>0.38600000000000001</v>
      </c>
      <c r="H108" s="8">
        <v>0</v>
      </c>
      <c r="I108" s="8">
        <v>1.2768999999999999</v>
      </c>
      <c r="J108" s="8">
        <v>0</v>
      </c>
      <c r="K108" s="8">
        <v>0</v>
      </c>
      <c r="L108" s="8">
        <v>57.39</v>
      </c>
      <c r="M108" s="8">
        <v>192.36</v>
      </c>
      <c r="N108" s="10">
        <v>3.35180345007841</v>
      </c>
      <c r="O108" s="10">
        <v>3.3517078484942102</v>
      </c>
      <c r="P108" s="10">
        <v>3.3510428239564698</v>
      </c>
      <c r="Q108" s="10">
        <v>3.3513519016579898</v>
      </c>
      <c r="R108" s="8">
        <v>192.35451342508199</v>
      </c>
      <c r="S108" s="8">
        <v>192.31527321706801</v>
      </c>
      <c r="T108" s="8">
        <v>192.33555527594601</v>
      </c>
      <c r="U108" s="9">
        <v>-2.8522838240064399E-5</v>
      </c>
      <c r="V108" s="9">
        <v>-2.3254306292623501E-4</v>
      </c>
      <c r="W108" s="9">
        <v>-1.2708607495669899E-4</v>
      </c>
      <c r="X108" s="10">
        <v>3.35180345007841</v>
      </c>
      <c r="Y108" s="10">
        <v>3.3517078484942102</v>
      </c>
      <c r="Z108" s="10">
        <v>3.3510428239564698</v>
      </c>
      <c r="AA108" s="10">
        <v>3.3513519016579898</v>
      </c>
      <c r="AB108" s="8">
        <v>192.35451342508199</v>
      </c>
      <c r="AC108" s="8">
        <v>192.31527321706801</v>
      </c>
      <c r="AD108" s="8">
        <v>192.33555527594601</v>
      </c>
      <c r="AE108" s="9">
        <v>-2.8522838240064399E-5</v>
      </c>
      <c r="AF108" s="9">
        <v>-2.3254306292623501E-4</v>
      </c>
      <c r="AG108" s="9">
        <v>-1.2708607495669899E-4</v>
      </c>
      <c r="AZ108" s="9"/>
      <c r="BB108">
        <f t="shared" si="22"/>
        <v>0</v>
      </c>
      <c r="BC108">
        <f t="shared" si="23"/>
        <v>0</v>
      </c>
      <c r="BD108">
        <f t="shared" si="24"/>
        <v>0</v>
      </c>
      <c r="BE108">
        <f t="shared" si="20"/>
        <v>1</v>
      </c>
      <c r="BF108">
        <f t="shared" si="25"/>
        <v>0</v>
      </c>
      <c r="BG108" s="9">
        <f t="shared" si="26"/>
        <v>0</v>
      </c>
      <c r="BH108" s="9">
        <f t="shared" si="27"/>
        <v>0</v>
      </c>
      <c r="BI108" s="9">
        <f t="shared" si="28"/>
        <v>0</v>
      </c>
      <c r="BJ108" s="12">
        <f t="shared" si="29"/>
        <v>1.9780598178141141E-3</v>
      </c>
      <c r="BL108" s="9"/>
      <c r="BN108">
        <f t="shared" si="30"/>
        <v>0</v>
      </c>
      <c r="BO108">
        <f t="shared" si="31"/>
        <v>1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0</v>
      </c>
      <c r="BX108" s="12">
        <f t="shared" si="38"/>
        <v>0</v>
      </c>
      <c r="BY108" s="12">
        <f t="shared" si="39"/>
        <v>1.9780598178141141E-3</v>
      </c>
    </row>
    <row r="109" spans="1:77" x14ac:dyDescent="0.3">
      <c r="A109" s="1">
        <v>46181</v>
      </c>
      <c r="B109" s="8">
        <v>56.32</v>
      </c>
      <c r="C109" s="8">
        <v>188.75</v>
      </c>
      <c r="D109" s="9">
        <v>-1.8820360270484199E-2</v>
      </c>
      <c r="E109" s="9">
        <v>-1.8945228280327901E-2</v>
      </c>
      <c r="F109" s="8">
        <v>0</v>
      </c>
      <c r="G109" s="8">
        <v>0.38600000000000001</v>
      </c>
      <c r="H109" s="8">
        <v>0</v>
      </c>
      <c r="I109" s="8">
        <v>1.2768999999999999</v>
      </c>
      <c r="J109" s="8">
        <v>0</v>
      </c>
      <c r="K109" s="8">
        <v>0</v>
      </c>
      <c r="L109" s="8">
        <v>56.32</v>
      </c>
      <c r="M109" s="8">
        <v>188.75</v>
      </c>
      <c r="N109" s="10">
        <v>3.3513849431818099</v>
      </c>
      <c r="O109" s="10">
        <v>3.3517078484942102</v>
      </c>
      <c r="P109" s="10">
        <v>3.3510798343926802</v>
      </c>
      <c r="Q109" s="10">
        <v>3.35133255763298</v>
      </c>
      <c r="R109" s="8">
        <v>188.76818602719399</v>
      </c>
      <c r="S109" s="8">
        <v>188.73073184522801</v>
      </c>
      <c r="T109" s="8">
        <v>188.748139101378</v>
      </c>
      <c r="U109" s="9">
        <v>9.6345171603602395E-5</v>
      </c>
      <c r="V109" s="9">
        <v>-1.0208815000254E-4</v>
      </c>
      <c r="W109" s="9">
        <v>-9.8591141477528394E-6</v>
      </c>
      <c r="X109" s="10">
        <v>3.3513849431818099</v>
      </c>
      <c r="Y109" s="10">
        <v>3.3517078484942102</v>
      </c>
      <c r="Z109" s="10">
        <v>3.3510798343926802</v>
      </c>
      <c r="AA109" s="10">
        <v>3.35133255763298</v>
      </c>
      <c r="AB109" s="8">
        <v>188.76818602719399</v>
      </c>
      <c r="AC109" s="8">
        <v>188.73073184522801</v>
      </c>
      <c r="AD109" s="8">
        <v>188.748139101378</v>
      </c>
      <c r="AE109" s="9">
        <v>9.6345171603602395E-5</v>
      </c>
      <c r="AF109" s="9">
        <v>-1.0208815000254E-4</v>
      </c>
      <c r="AG109" s="9">
        <v>-9.8591141477528394E-6</v>
      </c>
      <c r="AZ109" s="9"/>
      <c r="BB109">
        <f t="shared" si="22"/>
        <v>0</v>
      </c>
      <c r="BC109">
        <f t="shared" si="23"/>
        <v>0</v>
      </c>
      <c r="BD109">
        <f t="shared" si="24"/>
        <v>0</v>
      </c>
      <c r="BE109">
        <f t="shared" si="20"/>
        <v>1</v>
      </c>
      <c r="BF109">
        <f t="shared" si="25"/>
        <v>0</v>
      </c>
      <c r="BG109" s="9">
        <f t="shared" si="26"/>
        <v>0</v>
      </c>
      <c r="BH109" s="9">
        <f t="shared" si="27"/>
        <v>0</v>
      </c>
      <c r="BI109" s="9">
        <f t="shared" si="28"/>
        <v>0</v>
      </c>
      <c r="BJ109" s="12">
        <f t="shared" si="29"/>
        <v>1.9780598178141141E-3</v>
      </c>
      <c r="BL109" s="9"/>
      <c r="BN109">
        <f t="shared" si="30"/>
        <v>0</v>
      </c>
      <c r="BO109">
        <f t="shared" si="31"/>
        <v>1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0</v>
      </c>
      <c r="BX109" s="12">
        <f t="shared" si="38"/>
        <v>0</v>
      </c>
      <c r="BY109" s="12">
        <f t="shared" si="39"/>
        <v>1.9780598178141141E-3</v>
      </c>
    </row>
    <row r="110" spans="1:77" x14ac:dyDescent="0.3">
      <c r="A110" s="1">
        <v>46182</v>
      </c>
      <c r="B110" s="8">
        <v>56.86</v>
      </c>
      <c r="C110" s="8">
        <v>190.6</v>
      </c>
      <c r="D110" s="9">
        <v>9.5423943730667E-3</v>
      </c>
      <c r="E110" s="9">
        <v>9.7536030909676705E-3</v>
      </c>
      <c r="F110" s="8">
        <v>0</v>
      </c>
      <c r="G110" s="8">
        <v>0.38600000000000001</v>
      </c>
      <c r="H110" s="8">
        <v>0</v>
      </c>
      <c r="I110" s="8">
        <v>1.2768999999999999</v>
      </c>
      <c r="J110" s="8">
        <v>0</v>
      </c>
      <c r="K110" s="8">
        <v>0</v>
      </c>
      <c r="L110" s="8">
        <v>56.86</v>
      </c>
      <c r="M110" s="8">
        <v>190.6</v>
      </c>
      <c r="N110" s="10">
        <v>3.3520928596552899</v>
      </c>
      <c r="O110" s="10">
        <v>3.3517078484942102</v>
      </c>
      <c r="P110" s="10">
        <v>3.35116642097171</v>
      </c>
      <c r="Q110" s="10">
        <v>3.3513969471042699</v>
      </c>
      <c r="R110" s="8">
        <v>190.57810826538</v>
      </c>
      <c r="S110" s="8">
        <v>190.54239938356801</v>
      </c>
      <c r="T110" s="8">
        <v>190.55676922701099</v>
      </c>
      <c r="U110" s="9">
        <v>-1.14863546297352E-4</v>
      </c>
      <c r="V110" s="9">
        <v>-3.0225247552304198E-4</v>
      </c>
      <c r="W110" s="9">
        <v>-2.2683985522028099E-4</v>
      </c>
      <c r="X110" s="10">
        <v>3.3520928596552899</v>
      </c>
      <c r="Y110" s="10">
        <v>3.3517078484942102</v>
      </c>
      <c r="Z110" s="10">
        <v>3.35116642097171</v>
      </c>
      <c r="AA110" s="10">
        <v>3.3513969471042699</v>
      </c>
      <c r="AB110" s="8">
        <v>190.57810826538</v>
      </c>
      <c r="AC110" s="8">
        <v>190.54239938356801</v>
      </c>
      <c r="AD110" s="8">
        <v>190.55676922701099</v>
      </c>
      <c r="AE110" s="9">
        <v>-1.14863546297352E-4</v>
      </c>
      <c r="AF110" s="9">
        <v>-3.0225247552304198E-4</v>
      </c>
      <c r="AG110" s="9">
        <v>-2.2683985522028099E-4</v>
      </c>
      <c r="AZ110" s="9"/>
      <c r="BB110">
        <f t="shared" si="22"/>
        <v>0</v>
      </c>
      <c r="BC110">
        <f t="shared" si="23"/>
        <v>0</v>
      </c>
      <c r="BD110">
        <f t="shared" si="24"/>
        <v>0</v>
      </c>
      <c r="BE110">
        <f t="shared" si="20"/>
        <v>1</v>
      </c>
      <c r="BF110">
        <f t="shared" si="25"/>
        <v>0</v>
      </c>
      <c r="BG110" s="9">
        <f t="shared" si="26"/>
        <v>0</v>
      </c>
      <c r="BH110" s="9">
        <f t="shared" si="27"/>
        <v>0</v>
      </c>
      <c r="BI110" s="9">
        <f t="shared" si="28"/>
        <v>0</v>
      </c>
      <c r="BJ110" s="12">
        <f t="shared" si="29"/>
        <v>1.9780598178141141E-3</v>
      </c>
      <c r="BL110" s="9"/>
      <c r="BN110">
        <f t="shared" si="30"/>
        <v>0</v>
      </c>
      <c r="BO110">
        <f t="shared" si="31"/>
        <v>1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0</v>
      </c>
      <c r="BX110" s="12">
        <f t="shared" si="38"/>
        <v>0</v>
      </c>
      <c r="BY110" s="12">
        <f t="shared" si="39"/>
        <v>1.9780598178141141E-3</v>
      </c>
    </row>
    <row r="111" spans="1:77" x14ac:dyDescent="0.3">
      <c r="A111" s="1">
        <v>46183</v>
      </c>
      <c r="B111" s="8">
        <v>56.89</v>
      </c>
      <c r="C111" s="8">
        <v>190.57</v>
      </c>
      <c r="D111" s="9">
        <v>5.2747253970240199E-4</v>
      </c>
      <c r="E111" s="9">
        <v>-1.57410079817172E-4</v>
      </c>
      <c r="F111" s="8">
        <v>0</v>
      </c>
      <c r="G111" s="8">
        <v>0.38600000000000001</v>
      </c>
      <c r="H111" s="8">
        <v>0</v>
      </c>
      <c r="I111" s="8">
        <v>1.2768999999999999</v>
      </c>
      <c r="J111" s="8">
        <v>0</v>
      </c>
      <c r="K111" s="8">
        <v>0</v>
      </c>
      <c r="L111" s="8">
        <v>56.89</v>
      </c>
      <c r="M111" s="8">
        <v>190.57</v>
      </c>
      <c r="N111" s="10">
        <v>3.34979785551063</v>
      </c>
      <c r="O111" s="10">
        <v>3.3517078484942102</v>
      </c>
      <c r="P111" s="10">
        <v>3.3510434667967499</v>
      </c>
      <c r="Q111" s="10">
        <v>3.3512704812213499</v>
      </c>
      <c r="R111" s="8">
        <v>190.67865950083501</v>
      </c>
      <c r="S111" s="8">
        <v>190.64785768908001</v>
      </c>
      <c r="T111" s="8">
        <v>190.660972320762</v>
      </c>
      <c r="U111" s="9">
        <v>5.70019073222104E-4</v>
      </c>
      <c r="V111" s="9">
        <v>4.0846822148048298E-4</v>
      </c>
      <c r="W111" s="9">
        <v>4.7725567487365799E-4</v>
      </c>
      <c r="X111" s="10">
        <v>3.34979785551063</v>
      </c>
      <c r="Y111" s="10">
        <v>3.3517078484942102</v>
      </c>
      <c r="Z111" s="10">
        <v>3.3510434667967499</v>
      </c>
      <c r="AA111" s="10">
        <v>3.3512704812213499</v>
      </c>
      <c r="AB111" s="8">
        <v>190.67865950083501</v>
      </c>
      <c r="AC111" s="8">
        <v>190.64785768908001</v>
      </c>
      <c r="AD111" s="8">
        <v>190.660972320762</v>
      </c>
      <c r="AE111" s="9">
        <v>5.70019073222104E-4</v>
      </c>
      <c r="AF111" s="9">
        <v>4.0846822148048298E-4</v>
      </c>
      <c r="AG111" s="9">
        <v>4.7725567487365799E-4</v>
      </c>
      <c r="AZ111" s="9"/>
      <c r="BB111">
        <f t="shared" si="22"/>
        <v>0</v>
      </c>
      <c r="BC111">
        <f t="shared" si="23"/>
        <v>1</v>
      </c>
      <c r="BD111">
        <f t="shared" si="24"/>
        <v>0</v>
      </c>
      <c r="BE111">
        <f t="shared" si="20"/>
        <v>1</v>
      </c>
      <c r="BF111">
        <f t="shared" si="25"/>
        <v>0</v>
      </c>
      <c r="BG111" s="9">
        <f t="shared" si="26"/>
        <v>0</v>
      </c>
      <c r="BH111" s="9">
        <f t="shared" si="27"/>
        <v>0</v>
      </c>
      <c r="BI111" s="9">
        <f t="shared" si="28"/>
        <v>0</v>
      </c>
      <c r="BJ111" s="12">
        <f t="shared" si="29"/>
        <v>1.9780598178141141E-3</v>
      </c>
      <c r="BL111" s="9"/>
      <c r="BN111">
        <f t="shared" si="30"/>
        <v>0</v>
      </c>
      <c r="BO111">
        <f t="shared" si="31"/>
        <v>0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0</v>
      </c>
      <c r="BX111" s="12">
        <f t="shared" si="38"/>
        <v>0</v>
      </c>
      <c r="BY111" s="12">
        <f t="shared" si="39"/>
        <v>1.9780598178141141E-3</v>
      </c>
    </row>
    <row r="112" spans="1:77" x14ac:dyDescent="0.3">
      <c r="A112" s="1">
        <v>46184</v>
      </c>
      <c r="B112" s="8">
        <v>56.89</v>
      </c>
      <c r="C112" s="8">
        <v>190.7</v>
      </c>
      <c r="D112" s="9">
        <v>0</v>
      </c>
      <c r="E112" s="9">
        <v>6.8193146608878203E-4</v>
      </c>
      <c r="F112" s="8">
        <v>0</v>
      </c>
      <c r="G112" s="8">
        <v>0.38600000000000001</v>
      </c>
      <c r="H112" s="8">
        <v>0</v>
      </c>
      <c r="I112" s="8">
        <v>1.2768999999999999</v>
      </c>
      <c r="J112" s="8">
        <v>0</v>
      </c>
      <c r="K112" s="8">
        <v>0</v>
      </c>
      <c r="L112" s="8">
        <v>56.89</v>
      </c>
      <c r="M112" s="8">
        <v>190.7</v>
      </c>
      <c r="N112" s="10">
        <v>3.3520829671295398</v>
      </c>
      <c r="O112" s="10">
        <v>3.3517078484942102</v>
      </c>
      <c r="P112" s="10">
        <v>3.3511002483581902</v>
      </c>
      <c r="Q112" s="10">
        <v>3.3512958280537499</v>
      </c>
      <c r="R112" s="8">
        <v>190.67865950083501</v>
      </c>
      <c r="S112" s="8">
        <v>190.64086282606701</v>
      </c>
      <c r="T112" s="8">
        <v>190.65377767668201</v>
      </c>
      <c r="U112" s="9">
        <v>-1.11912392866518E-4</v>
      </c>
      <c r="V112" s="9">
        <v>-3.1015388158844702E-4</v>
      </c>
      <c r="W112" s="9">
        <v>-2.4241177745905999E-4</v>
      </c>
      <c r="X112" s="10">
        <v>3.3520829671295398</v>
      </c>
      <c r="Y112" s="10">
        <v>3.3517078484942102</v>
      </c>
      <c r="Z112" s="10">
        <v>3.3511002483581902</v>
      </c>
      <c r="AA112" s="10">
        <v>3.3512958280537499</v>
      </c>
      <c r="AB112" s="8">
        <v>190.67865950083501</v>
      </c>
      <c r="AC112" s="8">
        <v>190.64086282606701</v>
      </c>
      <c r="AD112" s="8">
        <v>190.65377767668201</v>
      </c>
      <c r="AE112" s="9">
        <v>-1.11912392866518E-4</v>
      </c>
      <c r="AF112" s="9">
        <v>-3.1015388158844702E-4</v>
      </c>
      <c r="AG112" s="9">
        <v>-2.4241177745905999E-4</v>
      </c>
      <c r="AZ112" s="9"/>
      <c r="BB112">
        <f t="shared" si="22"/>
        <v>0</v>
      </c>
      <c r="BC112">
        <f t="shared" si="23"/>
        <v>0</v>
      </c>
      <c r="BD112">
        <f t="shared" si="24"/>
        <v>0</v>
      </c>
      <c r="BE112">
        <f t="shared" si="20"/>
        <v>1</v>
      </c>
      <c r="BF112">
        <f t="shared" si="25"/>
        <v>0</v>
      </c>
      <c r="BG112" s="9">
        <f t="shared" si="26"/>
        <v>0</v>
      </c>
      <c r="BH112" s="9">
        <f t="shared" si="27"/>
        <v>0</v>
      </c>
      <c r="BI112" s="9">
        <f t="shared" si="28"/>
        <v>0</v>
      </c>
      <c r="BJ112" s="12">
        <f t="shared" si="29"/>
        <v>1.9780598178141141E-3</v>
      </c>
      <c r="BL112" s="9"/>
      <c r="BN112">
        <f t="shared" si="30"/>
        <v>0</v>
      </c>
      <c r="BO112">
        <f t="shared" si="31"/>
        <v>1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0</v>
      </c>
      <c r="BX112" s="12">
        <f t="shared" si="38"/>
        <v>0</v>
      </c>
      <c r="BY112" s="12">
        <f t="shared" si="39"/>
        <v>1.9780598178141141E-3</v>
      </c>
    </row>
    <row r="113" spans="1:77" x14ac:dyDescent="0.3">
      <c r="A113" s="1">
        <v>46185</v>
      </c>
      <c r="B113" s="8">
        <v>57.54</v>
      </c>
      <c r="C113" s="8">
        <v>192.89</v>
      </c>
      <c r="D113" s="9">
        <v>1.13607793608457E-2</v>
      </c>
      <c r="E113" s="9">
        <v>1.1418565629775499E-2</v>
      </c>
      <c r="F113" s="8">
        <v>0</v>
      </c>
      <c r="G113" s="8">
        <v>0.38600000000000001</v>
      </c>
      <c r="H113" s="8">
        <v>0</v>
      </c>
      <c r="I113" s="8">
        <v>1.2768999999999999</v>
      </c>
      <c r="J113" s="8">
        <v>0</v>
      </c>
      <c r="K113" s="8">
        <v>0</v>
      </c>
      <c r="L113" s="8">
        <v>57.54</v>
      </c>
      <c r="M113" s="8">
        <v>192.89</v>
      </c>
      <c r="N113" s="10">
        <v>3.3522766770941899</v>
      </c>
      <c r="O113" s="10">
        <v>3.3517078484942102</v>
      </c>
      <c r="P113" s="10">
        <v>3.3514417697091798</v>
      </c>
      <c r="Q113" s="10">
        <v>3.3513299892125099</v>
      </c>
      <c r="R113" s="8">
        <v>192.85726960235701</v>
      </c>
      <c r="S113" s="8">
        <v>192.82230829053</v>
      </c>
      <c r="T113" s="8">
        <v>192.833561946213</v>
      </c>
      <c r="U113" s="9">
        <v>-1.69698661796168E-4</v>
      </c>
      <c r="V113" s="9">
        <v>-3.50995852139821E-4</v>
      </c>
      <c r="W113" s="9">
        <v>-2.9263472474871298E-4</v>
      </c>
      <c r="X113" s="10">
        <v>3.3522766770941899</v>
      </c>
      <c r="Y113" s="10">
        <v>3.3517078484942102</v>
      </c>
      <c r="Z113" s="10">
        <v>3.3514417697091798</v>
      </c>
      <c r="AA113" s="10">
        <v>3.3513299892125099</v>
      </c>
      <c r="AB113" s="8">
        <v>192.85726960235701</v>
      </c>
      <c r="AC113" s="8">
        <v>192.82230829053</v>
      </c>
      <c r="AD113" s="8">
        <v>192.833561946213</v>
      </c>
      <c r="AE113" s="9">
        <v>-1.69698661796168E-4</v>
      </c>
      <c r="AF113" s="9">
        <v>-3.50995852139821E-4</v>
      </c>
      <c r="AG113" s="9">
        <v>-2.9263472474871298E-4</v>
      </c>
      <c r="AZ113" s="9"/>
      <c r="BB113">
        <f t="shared" si="22"/>
        <v>0</v>
      </c>
      <c r="BC113">
        <f t="shared" si="23"/>
        <v>0</v>
      </c>
      <c r="BD113">
        <f t="shared" si="24"/>
        <v>0</v>
      </c>
      <c r="BE113">
        <f t="shared" si="20"/>
        <v>1</v>
      </c>
      <c r="BF113">
        <f t="shared" si="25"/>
        <v>0</v>
      </c>
      <c r="BG113" s="9">
        <f t="shared" si="26"/>
        <v>0</v>
      </c>
      <c r="BH113" s="9">
        <f t="shared" si="27"/>
        <v>0</v>
      </c>
      <c r="BI113" s="9">
        <f t="shared" si="28"/>
        <v>0</v>
      </c>
      <c r="BJ113" s="12">
        <f t="shared" si="29"/>
        <v>1.9780598178141141E-3</v>
      </c>
      <c r="BL113" s="9"/>
      <c r="BN113">
        <f t="shared" si="30"/>
        <v>0</v>
      </c>
      <c r="BO113">
        <f t="shared" si="31"/>
        <v>1</v>
      </c>
      <c r="BP113">
        <f t="shared" si="32"/>
        <v>0</v>
      </c>
      <c r="BQ113">
        <f t="shared" si="21"/>
        <v>1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0</v>
      </c>
      <c r="BX113" s="12">
        <f t="shared" si="38"/>
        <v>0</v>
      </c>
      <c r="BY113" s="12">
        <f t="shared" si="39"/>
        <v>1.9780598178141141E-3</v>
      </c>
    </row>
    <row r="114" spans="1:77" x14ac:dyDescent="0.3">
      <c r="A114" s="1">
        <v>46188</v>
      </c>
      <c r="B114" s="8">
        <v>57.88</v>
      </c>
      <c r="C114" s="8">
        <v>194</v>
      </c>
      <c r="D114" s="9">
        <v>5.8915436398813597E-3</v>
      </c>
      <c r="E114" s="9">
        <v>5.7380808271792604E-3</v>
      </c>
      <c r="F114" s="8">
        <v>0</v>
      </c>
      <c r="G114" s="8">
        <v>0.38600000000000001</v>
      </c>
      <c r="H114" s="8">
        <v>0</v>
      </c>
      <c r="I114" s="8">
        <v>1.2768999999999999</v>
      </c>
      <c r="J114" s="8">
        <v>0</v>
      </c>
      <c r="K114" s="8">
        <v>0</v>
      </c>
      <c r="L114" s="8">
        <v>57.88</v>
      </c>
      <c r="M114" s="8">
        <v>194</v>
      </c>
      <c r="N114" s="10">
        <v>3.3517622667588101</v>
      </c>
      <c r="O114" s="10">
        <v>3.3517078484942102</v>
      </c>
      <c r="P114" s="10">
        <v>3.3514755998240799</v>
      </c>
      <c r="Q114" s="10">
        <v>3.3511636485021201</v>
      </c>
      <c r="R114" s="8">
        <v>193.99685027084499</v>
      </c>
      <c r="S114" s="8">
        <v>193.981449630767</v>
      </c>
      <c r="T114" s="8">
        <v>193.97497977562</v>
      </c>
      <c r="U114" s="9">
        <v>-1.6235849094273499E-5</v>
      </c>
      <c r="V114" s="9">
        <v>-9.56250318871081E-5</v>
      </c>
      <c r="W114" s="9">
        <v>-1.2897854613654999E-4</v>
      </c>
      <c r="X114" s="10">
        <v>3.3517622667588101</v>
      </c>
      <c r="Y114" s="10">
        <v>3.3517078484942102</v>
      </c>
      <c r="Z114" s="10">
        <v>3.3514755998240799</v>
      </c>
      <c r="AA114" s="10">
        <v>3.3511636485021201</v>
      </c>
      <c r="AB114" s="8">
        <v>193.99685027084499</v>
      </c>
      <c r="AC114" s="8">
        <v>193.981449630767</v>
      </c>
      <c r="AD114" s="8">
        <v>193.97497977562</v>
      </c>
      <c r="AE114" s="9">
        <v>-1.6235849094273499E-5</v>
      </c>
      <c r="AF114" s="9">
        <v>-9.56250318871081E-5</v>
      </c>
      <c r="AG114" s="9">
        <v>-1.2897854613654999E-4</v>
      </c>
      <c r="AZ114" s="9"/>
      <c r="BB114">
        <f t="shared" si="22"/>
        <v>0</v>
      </c>
      <c r="BC114">
        <f t="shared" si="23"/>
        <v>0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1.9780598178141141E-3</v>
      </c>
      <c r="BL114" s="9"/>
      <c r="BN114">
        <f t="shared" si="30"/>
        <v>0</v>
      </c>
      <c r="BO114">
        <f t="shared" si="31"/>
        <v>1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0</v>
      </c>
      <c r="BX114" s="12">
        <f t="shared" si="38"/>
        <v>0</v>
      </c>
      <c r="BY114" s="12">
        <f t="shared" si="39"/>
        <v>1.9780598178141141E-3</v>
      </c>
    </row>
    <row r="115" spans="1:77" x14ac:dyDescent="0.3">
      <c r="A115" s="1">
        <v>46189</v>
      </c>
      <c r="B115" s="8">
        <v>58.25</v>
      </c>
      <c r="C115" s="8">
        <v>195.09</v>
      </c>
      <c r="D115" s="9">
        <v>6.3721906825267198E-3</v>
      </c>
      <c r="E115" s="9">
        <v>5.6028314858420298E-3</v>
      </c>
      <c r="F115" s="8">
        <v>0</v>
      </c>
      <c r="G115" s="8">
        <v>0.38600000000000001</v>
      </c>
      <c r="H115" s="8">
        <v>0</v>
      </c>
      <c r="I115" s="8">
        <v>1.2768999999999999</v>
      </c>
      <c r="J115" s="8">
        <v>0</v>
      </c>
      <c r="K115" s="8">
        <v>0</v>
      </c>
      <c r="L115" s="8">
        <v>58.25</v>
      </c>
      <c r="M115" s="8">
        <v>195.09</v>
      </c>
      <c r="N115" s="10">
        <v>3.3491845493562198</v>
      </c>
      <c r="O115" s="10">
        <v>3.3517078484942102</v>
      </c>
      <c r="P115" s="10">
        <v>3.3513396114860798</v>
      </c>
      <c r="Q115" s="10">
        <v>3.3511171551461301</v>
      </c>
      <c r="R115" s="8">
        <v>195.23698217478699</v>
      </c>
      <c r="S115" s="8">
        <v>195.22345368975201</v>
      </c>
      <c r="T115" s="8">
        <v>195.20528252524801</v>
      </c>
      <c r="U115" s="9">
        <v>7.5312334759040304E-4</v>
      </c>
      <c r="V115" s="9">
        <v>6.8382831127983702E-4</v>
      </c>
      <c r="W115" s="9">
        <v>5.9074518070165996E-4</v>
      </c>
      <c r="X115" s="10">
        <v>3.3491845493562198</v>
      </c>
      <c r="Y115" s="10">
        <v>3.3517078484942102</v>
      </c>
      <c r="Z115" s="10">
        <v>3.3513396114860798</v>
      </c>
      <c r="AA115" s="10">
        <v>3.3511171551461301</v>
      </c>
      <c r="AB115" s="8">
        <v>195.23698217478699</v>
      </c>
      <c r="AC115" s="8">
        <v>195.22345368975201</v>
      </c>
      <c r="AD115" s="8">
        <v>195.20528252524801</v>
      </c>
      <c r="AE115" s="9">
        <v>7.5312334759040304E-4</v>
      </c>
      <c r="AF115" s="9">
        <v>6.8382831127983702E-4</v>
      </c>
      <c r="AG115" s="9">
        <v>5.9074518070165996E-4</v>
      </c>
      <c r="AZ115" s="9"/>
      <c r="BB115">
        <f t="shared" si="22"/>
        <v>0</v>
      </c>
      <c r="BC115">
        <f t="shared" si="23"/>
        <v>1</v>
      </c>
      <c r="BD115">
        <f t="shared" si="24"/>
        <v>0</v>
      </c>
      <c r="BE115">
        <f t="shared" si="20"/>
        <v>1</v>
      </c>
      <c r="BF115">
        <f t="shared" si="25"/>
        <v>0</v>
      </c>
      <c r="BG115" s="9">
        <f t="shared" si="26"/>
        <v>0</v>
      </c>
      <c r="BH115" s="9">
        <f t="shared" si="27"/>
        <v>0</v>
      </c>
      <c r="BI115" s="9">
        <f t="shared" si="28"/>
        <v>0</v>
      </c>
      <c r="BJ115" s="12">
        <f t="shared" si="29"/>
        <v>1.9780598178141141E-3</v>
      </c>
      <c r="BL115" s="9"/>
      <c r="BN115">
        <f t="shared" si="30"/>
        <v>0</v>
      </c>
      <c r="BO115">
        <f t="shared" si="31"/>
        <v>0</v>
      </c>
      <c r="BP115">
        <f t="shared" si="32"/>
        <v>0</v>
      </c>
      <c r="BQ115">
        <f t="shared" si="21"/>
        <v>1</v>
      </c>
      <c r="BR115">
        <f t="shared" si="33"/>
        <v>0</v>
      </c>
      <c r="BS115" s="9">
        <f t="shared" si="34"/>
        <v>0</v>
      </c>
      <c r="BT115" s="9">
        <f t="shared" si="35"/>
        <v>0</v>
      </c>
      <c r="BU115" s="9">
        <f t="shared" si="36"/>
        <v>0</v>
      </c>
      <c r="BV115" s="12">
        <f t="shared" si="37"/>
        <v>0</v>
      </c>
      <c r="BX115" s="12">
        <f t="shared" si="38"/>
        <v>0</v>
      </c>
      <c r="BY115" s="12">
        <f t="shared" si="39"/>
        <v>1.9780598178141141E-3</v>
      </c>
    </row>
    <row r="116" spans="1:77" x14ac:dyDescent="0.3">
      <c r="A116" s="1">
        <v>46190</v>
      </c>
      <c r="B116" s="8">
        <v>57.49</v>
      </c>
      <c r="C116" s="8">
        <v>192.6</v>
      </c>
      <c r="D116" s="9">
        <v>-1.31330728106103E-2</v>
      </c>
      <c r="E116" s="9">
        <v>-1.2845491185145001E-2</v>
      </c>
      <c r="F116" s="8">
        <v>0</v>
      </c>
      <c r="G116" s="8">
        <v>0.38600000000000001</v>
      </c>
      <c r="H116" s="8">
        <v>0</v>
      </c>
      <c r="I116" s="8">
        <v>1.2768999999999999</v>
      </c>
      <c r="J116" s="8">
        <v>0</v>
      </c>
      <c r="K116" s="8">
        <v>0</v>
      </c>
      <c r="L116" s="8">
        <v>57.49</v>
      </c>
      <c r="M116" s="8">
        <v>192.6</v>
      </c>
      <c r="N116" s="10">
        <v>3.3501478518003101</v>
      </c>
      <c r="O116" s="10">
        <v>3.3517078484942102</v>
      </c>
      <c r="P116" s="10">
        <v>3.3512307217544501</v>
      </c>
      <c r="Q116" s="10">
        <v>3.3510621676977599</v>
      </c>
      <c r="R116" s="8">
        <v>192.68968420993201</v>
      </c>
      <c r="S116" s="8">
        <v>192.66851426433399</v>
      </c>
      <c r="T116" s="8">
        <v>192.65572524935101</v>
      </c>
      <c r="U116" s="9">
        <v>4.6554172212520499E-4</v>
      </c>
      <c r="V116" s="9">
        <v>3.5567020153683999E-4</v>
      </c>
      <c r="W116" s="9">
        <v>2.8928966443672702E-4</v>
      </c>
      <c r="X116" s="10">
        <v>3.3501478518003101</v>
      </c>
      <c r="Y116" s="10">
        <v>3.3517078484942102</v>
      </c>
      <c r="Z116" s="10">
        <v>3.3512307217544501</v>
      </c>
      <c r="AA116" s="10">
        <v>3.3510621676977599</v>
      </c>
      <c r="AB116" s="8">
        <v>192.68968420993201</v>
      </c>
      <c r="AC116" s="8">
        <v>192.66851426433399</v>
      </c>
      <c r="AD116" s="8">
        <v>192.65572524935101</v>
      </c>
      <c r="AE116" s="9">
        <v>4.6554172212520499E-4</v>
      </c>
      <c r="AF116" s="9">
        <v>3.5567020153683999E-4</v>
      </c>
      <c r="AG116" s="9">
        <v>2.8928966443672702E-4</v>
      </c>
      <c r="AZ116" s="9"/>
      <c r="BB116">
        <f t="shared" si="22"/>
        <v>0</v>
      </c>
      <c r="BC116">
        <f t="shared" si="23"/>
        <v>1</v>
      </c>
      <c r="BD116">
        <f t="shared" si="24"/>
        <v>0</v>
      </c>
      <c r="BE116">
        <f t="shared" si="20"/>
        <v>0</v>
      </c>
      <c r="BF116">
        <f t="shared" si="25"/>
        <v>0</v>
      </c>
      <c r="BG116" s="9">
        <f t="shared" si="26"/>
        <v>0</v>
      </c>
      <c r="BH116" s="9">
        <f t="shared" si="27"/>
        <v>0</v>
      </c>
      <c r="BI116" s="9">
        <f t="shared" si="28"/>
        <v>0</v>
      </c>
      <c r="BJ116" s="12">
        <f t="shared" si="29"/>
        <v>1.9780598178141141E-3</v>
      </c>
      <c r="BL116" s="9"/>
      <c r="BN116">
        <f t="shared" si="30"/>
        <v>0</v>
      </c>
      <c r="BO116">
        <f t="shared" si="31"/>
        <v>0</v>
      </c>
      <c r="BP116">
        <f t="shared" si="32"/>
        <v>0</v>
      </c>
      <c r="BQ116">
        <f t="shared" si="21"/>
        <v>0</v>
      </c>
      <c r="BR116">
        <f t="shared" si="33"/>
        <v>0</v>
      </c>
      <c r="BS116" s="9">
        <f t="shared" si="34"/>
        <v>0</v>
      </c>
      <c r="BT116" s="9">
        <f t="shared" si="35"/>
        <v>0</v>
      </c>
      <c r="BU116" s="9">
        <f t="shared" si="36"/>
        <v>0</v>
      </c>
      <c r="BV116" s="12">
        <f t="shared" si="37"/>
        <v>0</v>
      </c>
      <c r="BX116" s="12">
        <f t="shared" si="38"/>
        <v>0</v>
      </c>
      <c r="BY116" s="12">
        <f t="shared" si="39"/>
        <v>1.9780598178141141E-3</v>
      </c>
    </row>
    <row r="117" spans="1:77" x14ac:dyDescent="0.3">
      <c r="A117" s="1">
        <v>46191</v>
      </c>
      <c r="B117" s="8">
        <v>57.5</v>
      </c>
      <c r="C117" s="8">
        <v>193.95</v>
      </c>
      <c r="D117" s="9">
        <v>1.7392816810527E-4</v>
      </c>
      <c r="E117" s="9">
        <v>6.9848945219509601E-3</v>
      </c>
      <c r="F117" s="8">
        <v>0.40100000000000002</v>
      </c>
      <c r="G117" s="8">
        <v>0.78700000000000003</v>
      </c>
      <c r="H117" s="8">
        <v>0</v>
      </c>
      <c r="I117" s="8">
        <v>1.2768999999999999</v>
      </c>
      <c r="J117" s="8">
        <v>0</v>
      </c>
      <c r="K117" s="8">
        <v>0</v>
      </c>
      <c r="L117" s="8">
        <v>57.5</v>
      </c>
      <c r="M117" s="8">
        <v>193.95</v>
      </c>
      <c r="N117" s="10">
        <v>3.3730434782608598</v>
      </c>
      <c r="O117" s="10">
        <v>3.3517078484942102</v>
      </c>
      <c r="P117" s="10">
        <v>3.3533576898826101</v>
      </c>
      <c r="Q117" s="10">
        <v>3.35219089596995</v>
      </c>
      <c r="R117" s="8">
        <v>192.72320128841699</v>
      </c>
      <c r="S117" s="8">
        <v>192.69576650088101</v>
      </c>
      <c r="T117" s="8">
        <v>192.68607464262101</v>
      </c>
      <c r="U117" s="9">
        <v>-6.3454246317206E-3</v>
      </c>
      <c r="V117" s="9">
        <v>-6.4877880848736302E-3</v>
      </c>
      <c r="W117" s="9">
        <v>-6.5380855157697601E-3</v>
      </c>
      <c r="X117" s="10">
        <v>3.3730434782608598</v>
      </c>
      <c r="Y117" s="10">
        <v>3.3517078484942102</v>
      </c>
      <c r="Z117" s="10">
        <v>3.3533576898826101</v>
      </c>
      <c r="AA117" s="10">
        <v>3.35219089596995</v>
      </c>
      <c r="AB117" s="8">
        <v>192.72320128841699</v>
      </c>
      <c r="AC117" s="8">
        <v>192.69576650088101</v>
      </c>
      <c r="AD117" s="8">
        <v>192.68607464262101</v>
      </c>
      <c r="AE117" s="9">
        <v>-6.3454246317206E-3</v>
      </c>
      <c r="AF117" s="9">
        <v>-6.4877880848736302E-3</v>
      </c>
      <c r="AG117" s="9">
        <v>-6.5380855157697601E-3</v>
      </c>
      <c r="AZ117" s="9"/>
      <c r="BB117">
        <f t="shared" si="22"/>
        <v>1</v>
      </c>
      <c r="BC117">
        <f t="shared" si="23"/>
        <v>0</v>
      </c>
      <c r="BD117">
        <f t="shared" si="24"/>
        <v>0</v>
      </c>
      <c r="BE117">
        <f t="shared" si="20"/>
        <v>1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1.9780598178141141E-3</v>
      </c>
      <c r="BL117" s="9"/>
      <c r="BN117">
        <f t="shared" si="30"/>
        <v>0</v>
      </c>
      <c r="BO117">
        <f t="shared" si="31"/>
        <v>1</v>
      </c>
      <c r="BP117">
        <f t="shared" si="32"/>
        <v>0</v>
      </c>
      <c r="BQ117">
        <f t="shared" si="21"/>
        <v>1</v>
      </c>
      <c r="BR117">
        <f t="shared" si="33"/>
        <v>0</v>
      </c>
      <c r="BS117" s="9">
        <f t="shared" si="34"/>
        <v>0</v>
      </c>
      <c r="BT117" s="9">
        <f t="shared" si="35"/>
        <v>0</v>
      </c>
      <c r="BU117" s="9">
        <f t="shared" si="36"/>
        <v>0</v>
      </c>
      <c r="BV117" s="12">
        <f t="shared" si="37"/>
        <v>0</v>
      </c>
      <c r="BX117" s="12">
        <f t="shared" si="38"/>
        <v>0</v>
      </c>
      <c r="BY117" s="12">
        <f t="shared" si="39"/>
        <v>1.9780598178141141E-3</v>
      </c>
    </row>
    <row r="118" spans="1:77" x14ac:dyDescent="0.3">
      <c r="A118" s="1">
        <v>46195</v>
      </c>
      <c r="B118" s="8">
        <v>57.75</v>
      </c>
      <c r="C118" s="8">
        <v>194.82</v>
      </c>
      <c r="D118" s="9">
        <v>4.3384015985981402E-3</v>
      </c>
      <c r="E118" s="9">
        <v>4.4756614568333998E-3</v>
      </c>
      <c r="F118" s="8">
        <v>0</v>
      </c>
      <c r="G118" s="8">
        <v>0.78700000000000003</v>
      </c>
      <c r="H118" s="8">
        <v>0</v>
      </c>
      <c r="I118" s="8">
        <v>1.2768999999999999</v>
      </c>
      <c r="J118" s="8">
        <v>0</v>
      </c>
      <c r="K118" s="8">
        <v>0</v>
      </c>
      <c r="L118" s="8">
        <v>57.75</v>
      </c>
      <c r="M118" s="8">
        <v>194.82</v>
      </c>
      <c r="N118" s="10">
        <v>3.3735064935064898</v>
      </c>
      <c r="O118" s="10">
        <v>3.3517078484942102</v>
      </c>
      <c r="P118" s="10">
        <v>3.3555279942254201</v>
      </c>
      <c r="Q118" s="10">
        <v>3.3532854090909399</v>
      </c>
      <c r="R118" s="8">
        <v>193.56112825054001</v>
      </c>
      <c r="S118" s="8">
        <v>193.65640659072</v>
      </c>
      <c r="T118" s="8">
        <v>193.589024242265</v>
      </c>
      <c r="U118" s="9">
        <v>-6.4826844899558197E-3</v>
      </c>
      <c r="V118" s="9">
        <v>-5.9905665793248001E-3</v>
      </c>
      <c r="W118" s="9">
        <v>-6.33857507094681E-3</v>
      </c>
      <c r="X118" s="10">
        <v>3.3735064935064898</v>
      </c>
      <c r="Y118" s="10">
        <v>3.3517078484942102</v>
      </c>
      <c r="Z118" s="10">
        <v>3.3555279942254201</v>
      </c>
      <c r="AA118" s="10">
        <v>3.3532854090909399</v>
      </c>
      <c r="AB118" s="8">
        <v>193.56112825054001</v>
      </c>
      <c r="AC118" s="8">
        <v>193.65640659072</v>
      </c>
      <c r="AD118" s="8">
        <v>193.589024242265</v>
      </c>
      <c r="AE118" s="9">
        <v>-6.4826844899558197E-3</v>
      </c>
      <c r="AF118" s="9">
        <v>-5.9905665793248001E-3</v>
      </c>
      <c r="AG118" s="9">
        <v>-6.33857507094681E-3</v>
      </c>
      <c r="AZ118" s="9"/>
      <c r="BB118">
        <f t="shared" si="22"/>
        <v>1</v>
      </c>
      <c r="BC118">
        <f t="shared" si="23"/>
        <v>0</v>
      </c>
      <c r="BD118">
        <f t="shared" si="24"/>
        <v>1</v>
      </c>
      <c r="BE118">
        <f t="shared" si="20"/>
        <v>1</v>
      </c>
      <c r="BF118">
        <f t="shared" si="25"/>
        <v>1</v>
      </c>
      <c r="BG118" s="9">
        <f t="shared" si="26"/>
        <v>4.3384015985981402E-3</v>
      </c>
      <c r="BH118" s="9">
        <f t="shared" si="27"/>
        <v>-4.4756614568333998E-3</v>
      </c>
      <c r="BI118" s="9">
        <f t="shared" si="28"/>
        <v>-1.3725985823525959E-4</v>
      </c>
      <c r="BJ118" s="12">
        <f t="shared" si="29"/>
        <v>1.8407999595788545E-3</v>
      </c>
      <c r="BL118" s="9"/>
      <c r="BN118">
        <f t="shared" si="30"/>
        <v>0</v>
      </c>
      <c r="BO118">
        <f t="shared" si="31"/>
        <v>1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0</v>
      </c>
      <c r="BX118" s="12">
        <f t="shared" si="38"/>
        <v>-1.3725985823525959E-4</v>
      </c>
      <c r="BY118" s="12">
        <f t="shared" si="39"/>
        <v>1.8407999595788545E-3</v>
      </c>
    </row>
    <row r="119" spans="1:77" x14ac:dyDescent="0.3">
      <c r="A119" s="1">
        <v>46196</v>
      </c>
      <c r="B119" s="8">
        <v>58.2</v>
      </c>
      <c r="C119" s="8">
        <v>196.29</v>
      </c>
      <c r="D119" s="9">
        <v>7.7620053354893297E-3</v>
      </c>
      <c r="E119" s="9">
        <v>7.5171022069473797E-3</v>
      </c>
      <c r="F119" s="8">
        <v>0</v>
      </c>
      <c r="G119" s="8">
        <v>0.78700000000000003</v>
      </c>
      <c r="H119" s="8">
        <v>0</v>
      </c>
      <c r="I119" s="8">
        <v>1.2768999999999999</v>
      </c>
      <c r="J119" s="8">
        <v>0</v>
      </c>
      <c r="K119" s="8">
        <v>0</v>
      </c>
      <c r="L119" s="8">
        <v>58.2</v>
      </c>
      <c r="M119" s="8">
        <v>196.29</v>
      </c>
      <c r="N119" s="10">
        <v>3.37268041237113</v>
      </c>
      <c r="O119" s="10">
        <v>3.3517078484942102</v>
      </c>
      <c r="P119" s="10">
        <v>3.3576575411443499</v>
      </c>
      <c r="Q119" s="10">
        <v>3.3543686877685199</v>
      </c>
      <c r="R119" s="8">
        <v>195.06939678236299</v>
      </c>
      <c r="S119" s="8">
        <v>195.291729263919</v>
      </c>
      <c r="T119" s="8">
        <v>195.16121080909301</v>
      </c>
      <c r="U119" s="9">
        <v>-6.2377813614141299E-3</v>
      </c>
      <c r="V119" s="9">
        <v>-5.0986694429235998E-3</v>
      </c>
      <c r="W119" s="9">
        <v>-5.7672184345797803E-3</v>
      </c>
      <c r="X119" s="10">
        <v>3.37268041237113</v>
      </c>
      <c r="Y119" s="10">
        <v>3.3517078484942102</v>
      </c>
      <c r="Z119" s="10">
        <v>3.3576575411443499</v>
      </c>
      <c r="AA119" s="10">
        <v>3.3543686877685199</v>
      </c>
      <c r="AB119" s="8">
        <v>195.06939678236299</v>
      </c>
      <c r="AC119" s="8">
        <v>195.291729263919</v>
      </c>
      <c r="AD119" s="8">
        <v>195.16121080909301</v>
      </c>
      <c r="AE119" s="9">
        <v>-6.2377813614141299E-3</v>
      </c>
      <c r="AF119" s="9">
        <v>-5.0986694429235998E-3</v>
      </c>
      <c r="AG119" s="9">
        <v>-5.7672184345797803E-3</v>
      </c>
      <c r="AZ119" s="9"/>
      <c r="BB119">
        <f t="shared" si="22"/>
        <v>1</v>
      </c>
      <c r="BC119">
        <f t="shared" si="23"/>
        <v>0</v>
      </c>
      <c r="BD119">
        <f t="shared" si="24"/>
        <v>1</v>
      </c>
      <c r="BE119">
        <f t="shared" si="20"/>
        <v>0</v>
      </c>
      <c r="BF119">
        <f t="shared" si="25"/>
        <v>1</v>
      </c>
      <c r="BG119" s="9">
        <f t="shared" si="26"/>
        <v>7.7620053354893297E-3</v>
      </c>
      <c r="BH119" s="9">
        <f t="shared" si="27"/>
        <v>-7.5171022069473797E-3</v>
      </c>
      <c r="BI119" s="9">
        <f t="shared" si="28"/>
        <v>2.4490312854194996E-4</v>
      </c>
      <c r="BJ119" s="12">
        <f t="shared" si="29"/>
        <v>2.0857030881208044E-3</v>
      </c>
      <c r="BL119" s="9"/>
      <c r="BN119">
        <f t="shared" si="30"/>
        <v>0</v>
      </c>
      <c r="BO119">
        <f t="shared" si="31"/>
        <v>1</v>
      </c>
      <c r="BP119">
        <f t="shared" si="32"/>
        <v>0</v>
      </c>
      <c r="BQ119">
        <f t="shared" si="21"/>
        <v>0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0</v>
      </c>
      <c r="BX119" s="12">
        <f t="shared" si="38"/>
        <v>2.4490312854194996E-4</v>
      </c>
      <c r="BY119" s="12">
        <f t="shared" si="39"/>
        <v>2.0857030881208044E-3</v>
      </c>
    </row>
    <row r="120" spans="1:77" x14ac:dyDescent="0.3">
      <c r="A120" s="1">
        <v>46197</v>
      </c>
      <c r="B120" s="8">
        <v>58.73</v>
      </c>
      <c r="C120" s="8">
        <v>196.86</v>
      </c>
      <c r="D120" s="9">
        <v>9.0653147970359404E-3</v>
      </c>
      <c r="E120" s="9">
        <v>2.8996586513082298E-3</v>
      </c>
      <c r="F120" s="8">
        <v>0</v>
      </c>
      <c r="G120" s="8">
        <v>0.78700000000000003</v>
      </c>
      <c r="H120" s="8">
        <v>1.3008999999999999</v>
      </c>
      <c r="I120" s="8">
        <v>2.5777999999999999</v>
      </c>
      <c r="J120" s="8">
        <v>0</v>
      </c>
      <c r="K120" s="8">
        <v>0</v>
      </c>
      <c r="L120" s="8">
        <v>58.73</v>
      </c>
      <c r="M120" s="8">
        <v>196.86</v>
      </c>
      <c r="N120" s="10">
        <v>3.3519495998637798</v>
      </c>
      <c r="O120" s="10">
        <v>3.3517078484942102</v>
      </c>
      <c r="P120" s="10">
        <v>3.3576432151651998</v>
      </c>
      <c r="Q120" s="10">
        <v>3.35440481806845</v>
      </c>
      <c r="R120" s="8">
        <v>196.84580194206501</v>
      </c>
      <c r="S120" s="8">
        <v>197.195227391407</v>
      </c>
      <c r="T120" s="8">
        <v>197.002073032645</v>
      </c>
      <c r="U120" s="9">
        <v>-7.21252156865039E-5</v>
      </c>
      <c r="V120" s="9">
        <v>1.7014238054706399E-3</v>
      </c>
      <c r="W120" s="9">
        <v>7.2143548990787195E-4</v>
      </c>
      <c r="X120" s="10">
        <v>3.3519495998637798</v>
      </c>
      <c r="Y120" s="10">
        <v>3.3517078484942102</v>
      </c>
      <c r="Z120" s="10">
        <v>3.3576432151651998</v>
      </c>
      <c r="AA120" s="10">
        <v>3.35440481806845</v>
      </c>
      <c r="AB120" s="8">
        <v>196.84580194206501</v>
      </c>
      <c r="AC120" s="8">
        <v>197.195227391407</v>
      </c>
      <c r="AD120" s="8">
        <v>197.002073032645</v>
      </c>
      <c r="AE120" s="9">
        <v>-7.21252156865039E-5</v>
      </c>
      <c r="AF120" s="9">
        <v>1.7014238054706399E-3</v>
      </c>
      <c r="AG120" s="9">
        <v>7.2143548990787195E-4</v>
      </c>
      <c r="AZ120" s="9"/>
      <c r="BB120">
        <f t="shared" si="22"/>
        <v>0</v>
      </c>
      <c r="BC120">
        <f t="shared" si="23"/>
        <v>1</v>
      </c>
      <c r="BD120">
        <f t="shared" si="24"/>
        <v>0</v>
      </c>
      <c r="BE120">
        <f t="shared" si="20"/>
        <v>1</v>
      </c>
      <c r="BF120">
        <f t="shared" si="25"/>
        <v>0</v>
      </c>
      <c r="BG120" s="9">
        <f t="shared" si="26"/>
        <v>0</v>
      </c>
      <c r="BH120" s="9">
        <f t="shared" si="27"/>
        <v>0</v>
      </c>
      <c r="BI120" s="9">
        <f t="shared" si="28"/>
        <v>0</v>
      </c>
      <c r="BJ120" s="12">
        <f t="shared" si="29"/>
        <v>2.0857030881208044E-3</v>
      </c>
      <c r="BL120" s="9"/>
      <c r="BN120">
        <f t="shared" si="30"/>
        <v>0</v>
      </c>
      <c r="BO120">
        <f t="shared" si="31"/>
        <v>0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0</v>
      </c>
      <c r="BX120" s="12">
        <f t="shared" si="38"/>
        <v>0</v>
      </c>
      <c r="BY120" s="12">
        <f t="shared" si="39"/>
        <v>2.0857030881208044E-3</v>
      </c>
    </row>
    <row r="121" spans="1:77" x14ac:dyDescent="0.3">
      <c r="A121" s="1">
        <v>46198</v>
      </c>
      <c r="B121" s="8">
        <v>59.1</v>
      </c>
      <c r="C121" s="8">
        <v>198.16</v>
      </c>
      <c r="D121" s="9">
        <v>6.2802548776244096E-3</v>
      </c>
      <c r="E121" s="9">
        <v>6.58196898003887E-3</v>
      </c>
      <c r="F121" s="8">
        <v>0</v>
      </c>
      <c r="G121" s="8">
        <v>0.78700000000000003</v>
      </c>
      <c r="H121" s="8">
        <v>0</v>
      </c>
      <c r="I121" s="8">
        <v>2.5777999999999999</v>
      </c>
      <c r="J121" s="8">
        <v>0</v>
      </c>
      <c r="K121" s="8">
        <v>0</v>
      </c>
      <c r="L121" s="8">
        <v>59.1</v>
      </c>
      <c r="M121" s="8">
        <v>198.16</v>
      </c>
      <c r="N121" s="10">
        <v>3.35296108291032</v>
      </c>
      <c r="O121" s="10">
        <v>3.3517078484942102</v>
      </c>
      <c r="P121" s="10">
        <v>3.3579595379051601</v>
      </c>
      <c r="Q121" s="10">
        <v>3.3545015023509599</v>
      </c>
      <c r="R121" s="8">
        <v>198.08593384600701</v>
      </c>
      <c r="S121" s="8">
        <v>198.43671401626301</v>
      </c>
      <c r="T121" s="8">
        <v>198.24532474784499</v>
      </c>
      <c r="U121" s="9">
        <v>-3.7383931810088097E-4</v>
      </c>
      <c r="V121" s="9">
        <v>1.39544303513766E-3</v>
      </c>
      <c r="W121" s="9">
        <v>4.30492447183225E-4</v>
      </c>
      <c r="X121" s="10">
        <v>3.35296108291032</v>
      </c>
      <c r="Y121" s="10">
        <v>3.3517078484942102</v>
      </c>
      <c r="Z121" s="10">
        <v>3.3579595379051601</v>
      </c>
      <c r="AA121" s="10">
        <v>3.3545015023509599</v>
      </c>
      <c r="AB121" s="8">
        <v>198.08593384600701</v>
      </c>
      <c r="AC121" s="8">
        <v>198.43671401626301</v>
      </c>
      <c r="AD121" s="8">
        <v>198.24532474784499</v>
      </c>
      <c r="AE121" s="9">
        <v>-3.7383931810088097E-4</v>
      </c>
      <c r="AF121" s="9">
        <v>1.39544303513766E-3</v>
      </c>
      <c r="AG121" s="9">
        <v>4.30492447183225E-4</v>
      </c>
      <c r="AZ121" s="9"/>
      <c r="BB121">
        <f t="shared" si="22"/>
        <v>0</v>
      </c>
      <c r="BC121">
        <f t="shared" si="23"/>
        <v>1</v>
      </c>
      <c r="BD121">
        <f t="shared" si="24"/>
        <v>0</v>
      </c>
      <c r="BE121">
        <f t="shared" si="20"/>
        <v>1</v>
      </c>
      <c r="BF121">
        <f t="shared" si="25"/>
        <v>0</v>
      </c>
      <c r="BG121" s="9">
        <f t="shared" si="26"/>
        <v>0</v>
      </c>
      <c r="BH121" s="9">
        <f t="shared" si="27"/>
        <v>0</v>
      </c>
      <c r="BI121" s="9">
        <f t="shared" si="28"/>
        <v>0</v>
      </c>
      <c r="BJ121" s="12">
        <f t="shared" si="29"/>
        <v>2.0857030881208044E-3</v>
      </c>
      <c r="BL121" s="9"/>
      <c r="BN121">
        <f t="shared" si="30"/>
        <v>0</v>
      </c>
      <c r="BO121">
        <f t="shared" si="31"/>
        <v>0</v>
      </c>
      <c r="BP121">
        <f t="shared" si="32"/>
        <v>0</v>
      </c>
      <c r="BQ121">
        <f t="shared" si="21"/>
        <v>1</v>
      </c>
      <c r="BR121">
        <f t="shared" si="33"/>
        <v>0</v>
      </c>
      <c r="BS121" s="9">
        <f t="shared" si="34"/>
        <v>0</v>
      </c>
      <c r="BT121" s="9">
        <f t="shared" si="35"/>
        <v>0</v>
      </c>
      <c r="BU121" s="9">
        <f t="shared" si="36"/>
        <v>0</v>
      </c>
      <c r="BV121" s="12">
        <f t="shared" si="37"/>
        <v>0</v>
      </c>
      <c r="BX121" s="12">
        <f t="shared" si="38"/>
        <v>0</v>
      </c>
      <c r="BY121" s="12">
        <f t="shared" si="39"/>
        <v>2.0857030881208044E-3</v>
      </c>
    </row>
    <row r="122" spans="1:77" x14ac:dyDescent="0.3">
      <c r="A122" s="1">
        <v>46199</v>
      </c>
      <c r="B122" s="8">
        <v>59.51</v>
      </c>
      <c r="C122" s="8">
        <v>199.66</v>
      </c>
      <c r="D122" s="9">
        <v>6.9134412447080301E-3</v>
      </c>
      <c r="E122" s="9">
        <v>7.5411347271750204E-3</v>
      </c>
      <c r="F122" s="8">
        <v>0</v>
      </c>
      <c r="G122" s="8">
        <v>0.78700000000000003</v>
      </c>
      <c r="H122" s="8">
        <v>0</v>
      </c>
      <c r="I122" s="8">
        <v>2.5777999999999999</v>
      </c>
      <c r="J122" s="8">
        <v>0</v>
      </c>
      <c r="K122" s="8">
        <v>0</v>
      </c>
      <c r="L122" s="8">
        <v>59.51</v>
      </c>
      <c r="M122" s="8">
        <v>199.66</v>
      </c>
      <c r="N122" s="10">
        <v>3.3550663753990899</v>
      </c>
      <c r="O122" s="10">
        <v>3.3517078484942102</v>
      </c>
      <c r="P122" s="10">
        <v>3.35825787873212</v>
      </c>
      <c r="Q122" s="10">
        <v>3.35467906354515</v>
      </c>
      <c r="R122" s="8">
        <v>199.46013406389</v>
      </c>
      <c r="S122" s="8">
        <v>199.83217210073599</v>
      </c>
      <c r="T122" s="8">
        <v>199.626384404905</v>
      </c>
      <c r="U122" s="9">
        <v>-1.00153280056775E-3</v>
      </c>
      <c r="V122" s="9">
        <v>8.6195486880808597E-4</v>
      </c>
      <c r="W122" s="9">
        <v>-1.68378369444702E-4</v>
      </c>
      <c r="X122" s="10">
        <v>3.3550663753990899</v>
      </c>
      <c r="Y122" s="10">
        <v>3.3517078484942102</v>
      </c>
      <c r="Z122" s="10">
        <v>3.35825787873212</v>
      </c>
      <c r="AA122" s="10">
        <v>3.35467906354515</v>
      </c>
      <c r="AB122" s="8">
        <v>199.46013406389</v>
      </c>
      <c r="AC122" s="8">
        <v>199.83217210073599</v>
      </c>
      <c r="AD122" s="8">
        <v>199.626384404905</v>
      </c>
      <c r="AE122" s="9">
        <v>-1.00153280056775E-3</v>
      </c>
      <c r="AF122" s="9">
        <v>8.6195486880808597E-4</v>
      </c>
      <c r="AG122" s="9">
        <v>-1.68378369444702E-4</v>
      </c>
      <c r="AZ122" s="9"/>
      <c r="BB122">
        <f t="shared" si="22"/>
        <v>0</v>
      </c>
      <c r="BC122">
        <f t="shared" si="23"/>
        <v>0</v>
      </c>
      <c r="BD122">
        <f t="shared" si="24"/>
        <v>0</v>
      </c>
      <c r="BE122">
        <f t="shared" si="20"/>
        <v>1</v>
      </c>
      <c r="BF122">
        <f t="shared" si="25"/>
        <v>0</v>
      </c>
      <c r="BG122" s="9">
        <f t="shared" si="26"/>
        <v>0</v>
      </c>
      <c r="BH122" s="9">
        <f t="shared" si="27"/>
        <v>0</v>
      </c>
      <c r="BI122" s="9">
        <f t="shared" si="28"/>
        <v>0</v>
      </c>
      <c r="BJ122" s="12">
        <f t="shared" si="29"/>
        <v>2.0857030881208044E-3</v>
      </c>
      <c r="BL122" s="9"/>
      <c r="BN122">
        <f t="shared" si="30"/>
        <v>0</v>
      </c>
      <c r="BO122">
        <f t="shared" si="31"/>
        <v>1</v>
      </c>
      <c r="BP122">
        <f t="shared" si="32"/>
        <v>0</v>
      </c>
      <c r="BQ122">
        <f t="shared" si="21"/>
        <v>1</v>
      </c>
      <c r="BR122">
        <f t="shared" si="33"/>
        <v>0</v>
      </c>
      <c r="BS122" s="9">
        <f t="shared" si="34"/>
        <v>0</v>
      </c>
      <c r="BT122" s="9">
        <f t="shared" si="35"/>
        <v>0</v>
      </c>
      <c r="BU122" s="9">
        <f t="shared" si="36"/>
        <v>0</v>
      </c>
      <c r="BV122" s="12">
        <f t="shared" si="37"/>
        <v>0</v>
      </c>
      <c r="BX122" s="12">
        <f t="shared" si="38"/>
        <v>0</v>
      </c>
      <c r="BY122" s="12">
        <f t="shared" si="39"/>
        <v>2.0857030881208044E-3</v>
      </c>
    </row>
    <row r="123" spans="1:77" x14ac:dyDescent="0.3">
      <c r="A123" s="1">
        <v>46202</v>
      </c>
      <c r="B123" s="8">
        <v>59.27</v>
      </c>
      <c r="C123" s="8">
        <v>198.78</v>
      </c>
      <c r="D123" s="9">
        <v>-4.04108985701383E-3</v>
      </c>
      <c r="E123" s="9">
        <v>-4.4172343684195804E-3</v>
      </c>
      <c r="F123" s="8">
        <v>0</v>
      </c>
      <c r="G123" s="8">
        <v>0.78700000000000003</v>
      </c>
      <c r="H123" s="8">
        <v>0</v>
      </c>
      <c r="I123" s="8">
        <v>2.5777999999999999</v>
      </c>
      <c r="J123" s="8">
        <v>0</v>
      </c>
      <c r="K123" s="8">
        <v>0</v>
      </c>
      <c r="L123" s="8">
        <v>59.27</v>
      </c>
      <c r="M123" s="8">
        <v>198.78</v>
      </c>
      <c r="N123" s="10">
        <v>3.3538046229120901</v>
      </c>
      <c r="O123" s="10">
        <v>3.3517078484942102</v>
      </c>
      <c r="P123" s="10">
        <v>3.3584106733139101</v>
      </c>
      <c r="Q123" s="10">
        <v>3.3549262215115498</v>
      </c>
      <c r="R123" s="8">
        <v>198.65572418025201</v>
      </c>
      <c r="S123" s="8">
        <v>199.04394447245301</v>
      </c>
      <c r="T123" s="8">
        <v>198.831828096321</v>
      </c>
      <c r="U123" s="9">
        <v>-6.2538828916193295E-4</v>
      </c>
      <c r="V123" s="9">
        <v>1.32694130079017E-3</v>
      </c>
      <c r="W123" s="9">
        <v>2.60696955938726E-4</v>
      </c>
      <c r="X123" s="10">
        <v>3.3538046229120901</v>
      </c>
      <c r="Y123" s="10">
        <v>3.3517078484942102</v>
      </c>
      <c r="Z123" s="10">
        <v>3.3584106733139101</v>
      </c>
      <c r="AA123" s="10">
        <v>3.3549262215115498</v>
      </c>
      <c r="AB123" s="8">
        <v>198.65572418025201</v>
      </c>
      <c r="AC123" s="8">
        <v>199.04394447245301</v>
      </c>
      <c r="AD123" s="8">
        <v>198.831828096321</v>
      </c>
      <c r="AE123" s="9">
        <v>-6.2538828916193295E-4</v>
      </c>
      <c r="AF123" s="9">
        <v>1.32694130079017E-3</v>
      </c>
      <c r="AG123" s="9">
        <v>2.60696955938726E-4</v>
      </c>
      <c r="AZ123" s="9"/>
      <c r="BB123">
        <f t="shared" si="22"/>
        <v>0</v>
      </c>
      <c r="BC123">
        <f t="shared" si="23"/>
        <v>1</v>
      </c>
      <c r="BD123">
        <f t="shared" si="24"/>
        <v>0</v>
      </c>
      <c r="BE123">
        <f t="shared" si="20"/>
        <v>1</v>
      </c>
      <c r="BF123">
        <f t="shared" si="25"/>
        <v>0</v>
      </c>
      <c r="BG123" s="9">
        <f t="shared" si="26"/>
        <v>0</v>
      </c>
      <c r="BH123" s="9">
        <f t="shared" si="27"/>
        <v>0</v>
      </c>
      <c r="BI123" s="9">
        <f t="shared" si="28"/>
        <v>0</v>
      </c>
      <c r="BJ123" s="12">
        <f t="shared" si="29"/>
        <v>2.0857030881208044E-3</v>
      </c>
      <c r="BL123" s="9"/>
      <c r="BN123">
        <f t="shared" si="30"/>
        <v>0</v>
      </c>
      <c r="BO123">
        <f t="shared" si="31"/>
        <v>0</v>
      </c>
      <c r="BP123">
        <f t="shared" si="32"/>
        <v>0</v>
      </c>
      <c r="BQ123">
        <f t="shared" si="21"/>
        <v>1</v>
      </c>
      <c r="BR123">
        <f t="shared" si="33"/>
        <v>0</v>
      </c>
      <c r="BS123" s="9">
        <f t="shared" si="34"/>
        <v>0</v>
      </c>
      <c r="BT123" s="9">
        <f t="shared" si="35"/>
        <v>0</v>
      </c>
      <c r="BU123" s="9">
        <f t="shared" si="36"/>
        <v>0</v>
      </c>
      <c r="BV123" s="12">
        <f t="shared" si="37"/>
        <v>0</v>
      </c>
      <c r="BX123" s="12">
        <f t="shared" si="38"/>
        <v>0</v>
      </c>
      <c r="BY123" s="12">
        <f t="shared" si="39"/>
        <v>2.0857030881208044E-3</v>
      </c>
    </row>
    <row r="124" spans="1:77" x14ac:dyDescent="0.3">
      <c r="A124" s="1">
        <v>46203</v>
      </c>
      <c r="B124" s="8">
        <v>58.42</v>
      </c>
      <c r="C124" s="8">
        <v>195.73</v>
      </c>
      <c r="D124" s="9">
        <v>-1.44449788401518E-2</v>
      </c>
      <c r="E124" s="9">
        <v>-1.54625270254271E-2</v>
      </c>
      <c r="F124" s="8">
        <v>0</v>
      </c>
      <c r="G124" s="8">
        <v>0.78700000000000003</v>
      </c>
      <c r="H124" s="8">
        <v>0</v>
      </c>
      <c r="I124" s="8">
        <v>2.5777999999999999</v>
      </c>
      <c r="J124" s="8">
        <v>0</v>
      </c>
      <c r="K124" s="8">
        <v>0</v>
      </c>
      <c r="L124" s="8">
        <v>58.42</v>
      </c>
      <c r="M124" s="8">
        <v>195.73</v>
      </c>
      <c r="N124" s="10">
        <v>3.3503937007874001</v>
      </c>
      <c r="O124" s="10">
        <v>3.3517078484942102</v>
      </c>
      <c r="P124" s="10">
        <v>3.3582738167167698</v>
      </c>
      <c r="Q124" s="10">
        <v>3.3548747082704198</v>
      </c>
      <c r="R124" s="8">
        <v>195.80677250903099</v>
      </c>
      <c r="S124" s="8">
        <v>196.19835153499801</v>
      </c>
      <c r="T124" s="8">
        <v>195.994789860704</v>
      </c>
      <c r="U124" s="9">
        <v>3.9215989611326399E-4</v>
      </c>
      <c r="V124" s="9">
        <v>2.3899866192442902E-3</v>
      </c>
      <c r="W124" s="9">
        <v>1.3519180194252699E-3</v>
      </c>
      <c r="X124" s="10">
        <v>3.3503937007874001</v>
      </c>
      <c r="Y124" s="10">
        <v>3.3517078484942102</v>
      </c>
      <c r="Z124" s="10">
        <v>3.3582738167167698</v>
      </c>
      <c r="AA124" s="10">
        <v>3.3548747082704198</v>
      </c>
      <c r="AB124" s="8">
        <v>195.80677250903099</v>
      </c>
      <c r="AC124" s="8">
        <v>196.19835153499801</v>
      </c>
      <c r="AD124" s="8">
        <v>195.994789860704</v>
      </c>
      <c r="AE124" s="9">
        <v>3.9215989611326399E-4</v>
      </c>
      <c r="AF124" s="9">
        <v>2.3899866192442902E-3</v>
      </c>
      <c r="AG124" s="9">
        <v>1.3519180194252699E-3</v>
      </c>
      <c r="AZ124" s="9"/>
      <c r="BB124">
        <f t="shared" si="22"/>
        <v>0</v>
      </c>
      <c r="BC124">
        <f t="shared" si="23"/>
        <v>1</v>
      </c>
      <c r="BD124">
        <f t="shared" si="24"/>
        <v>0</v>
      </c>
      <c r="BE124">
        <f t="shared" si="20"/>
        <v>1</v>
      </c>
      <c r="BF124">
        <f t="shared" si="25"/>
        <v>0</v>
      </c>
      <c r="BG124" s="9">
        <f t="shared" si="26"/>
        <v>0</v>
      </c>
      <c r="BH124" s="9">
        <f t="shared" si="27"/>
        <v>0</v>
      </c>
      <c r="BI124" s="9">
        <f t="shared" si="28"/>
        <v>0</v>
      </c>
      <c r="BJ124" s="12">
        <f t="shared" si="29"/>
        <v>2.0857030881208044E-3</v>
      </c>
      <c r="BL124" s="9"/>
      <c r="BN124">
        <f t="shared" si="30"/>
        <v>0</v>
      </c>
      <c r="BO124">
        <f t="shared" si="31"/>
        <v>0</v>
      </c>
      <c r="BP124">
        <f t="shared" si="32"/>
        <v>0</v>
      </c>
      <c r="BQ124">
        <f t="shared" si="21"/>
        <v>1</v>
      </c>
      <c r="BR124">
        <f t="shared" si="33"/>
        <v>0</v>
      </c>
      <c r="BS124" s="9">
        <f t="shared" si="34"/>
        <v>0</v>
      </c>
      <c r="BT124" s="9">
        <f t="shared" si="35"/>
        <v>0</v>
      </c>
      <c r="BU124" s="9">
        <f t="shared" si="36"/>
        <v>0</v>
      </c>
      <c r="BV124" s="12">
        <f t="shared" si="37"/>
        <v>0</v>
      </c>
      <c r="BX124" s="12">
        <f t="shared" si="38"/>
        <v>0</v>
      </c>
      <c r="BY124" s="12">
        <f t="shared" si="39"/>
        <v>2.0857030881208044E-3</v>
      </c>
    </row>
    <row r="125" spans="1:77" x14ac:dyDescent="0.3">
      <c r="A125" s="1">
        <v>46204</v>
      </c>
      <c r="B125" s="8">
        <v>57.73</v>
      </c>
      <c r="C125" s="8">
        <v>193.38</v>
      </c>
      <c r="D125" s="9">
        <v>-1.18813278867527E-2</v>
      </c>
      <c r="E125" s="9">
        <v>-1.20789934590309E-2</v>
      </c>
      <c r="F125" s="8">
        <v>0</v>
      </c>
      <c r="G125" s="8">
        <v>0.78700000000000003</v>
      </c>
      <c r="H125" s="8">
        <v>0</v>
      </c>
      <c r="I125" s="8">
        <v>2.5777999999999999</v>
      </c>
      <c r="J125" s="8">
        <v>0</v>
      </c>
      <c r="K125" s="8">
        <v>0</v>
      </c>
      <c r="L125" s="8">
        <v>57.73</v>
      </c>
      <c r="M125" s="8">
        <v>193.38</v>
      </c>
      <c r="N125" s="10">
        <v>3.3497315087476101</v>
      </c>
      <c r="O125" s="10">
        <v>3.3517078484942102</v>
      </c>
      <c r="P125" s="10">
        <v>3.3583285126559099</v>
      </c>
      <c r="Q125" s="10">
        <v>3.35483406207099</v>
      </c>
      <c r="R125" s="8">
        <v>193.49409409357</v>
      </c>
      <c r="S125" s="8">
        <v>193.87314743905901</v>
      </c>
      <c r="T125" s="8">
        <v>193.67691690845101</v>
      </c>
      <c r="U125" s="9">
        <v>5.8982546839157703E-4</v>
      </c>
      <c r="V125" s="9">
        <v>2.5469009555925399E-3</v>
      </c>
      <c r="W125" s="9">
        <v>1.53422896593621E-3</v>
      </c>
      <c r="X125" s="10">
        <v>3.3497315087476101</v>
      </c>
      <c r="Y125" s="10">
        <v>3.3517078484942102</v>
      </c>
      <c r="Z125" s="10">
        <v>3.3583285126559099</v>
      </c>
      <c r="AA125" s="10">
        <v>3.35483406207099</v>
      </c>
      <c r="AB125" s="8">
        <v>193.49409409357</v>
      </c>
      <c r="AC125" s="8">
        <v>193.87314743905901</v>
      </c>
      <c r="AD125" s="8">
        <v>193.67691690845101</v>
      </c>
      <c r="AE125" s="9">
        <v>5.8982546839157703E-4</v>
      </c>
      <c r="AF125" s="9">
        <v>2.5469009555925399E-3</v>
      </c>
      <c r="AG125" s="9">
        <v>1.53422896593621E-3</v>
      </c>
      <c r="AZ125" s="9"/>
      <c r="BB125">
        <f t="shared" si="22"/>
        <v>0</v>
      </c>
      <c r="BC125">
        <f t="shared" si="23"/>
        <v>1</v>
      </c>
      <c r="BD125">
        <f t="shared" si="24"/>
        <v>0</v>
      </c>
      <c r="BE125">
        <f t="shared" si="20"/>
        <v>1</v>
      </c>
      <c r="BF125">
        <f t="shared" si="25"/>
        <v>0</v>
      </c>
      <c r="BG125" s="9">
        <f t="shared" si="26"/>
        <v>0</v>
      </c>
      <c r="BH125" s="9">
        <f t="shared" si="27"/>
        <v>0</v>
      </c>
      <c r="BI125" s="9">
        <f t="shared" si="28"/>
        <v>0</v>
      </c>
      <c r="BJ125" s="12">
        <f t="shared" si="29"/>
        <v>2.0857030881208044E-3</v>
      </c>
      <c r="BL125" s="9"/>
      <c r="BN125">
        <f t="shared" si="30"/>
        <v>0</v>
      </c>
      <c r="BO125">
        <f t="shared" si="31"/>
        <v>0</v>
      </c>
      <c r="BP125">
        <f t="shared" si="32"/>
        <v>0</v>
      </c>
      <c r="BQ125">
        <f t="shared" si="21"/>
        <v>1</v>
      </c>
      <c r="BR125">
        <f t="shared" si="33"/>
        <v>0</v>
      </c>
      <c r="BS125" s="9">
        <f t="shared" si="34"/>
        <v>0</v>
      </c>
      <c r="BT125" s="9">
        <f t="shared" si="35"/>
        <v>0</v>
      </c>
      <c r="BU125" s="9">
        <f t="shared" si="36"/>
        <v>0</v>
      </c>
      <c r="BV125" s="12">
        <f t="shared" si="37"/>
        <v>0</v>
      </c>
      <c r="BX125" s="12">
        <f t="shared" si="38"/>
        <v>0</v>
      </c>
      <c r="BY125" s="12">
        <f t="shared" si="39"/>
        <v>2.0857030881208044E-3</v>
      </c>
    </row>
    <row r="126" spans="1:77" x14ac:dyDescent="0.3">
      <c r="A126" s="1">
        <v>46205</v>
      </c>
      <c r="B126" s="8">
        <v>58.98</v>
      </c>
      <c r="C126" s="8">
        <v>197.54</v>
      </c>
      <c r="D126" s="9">
        <v>2.1421434314287901E-2</v>
      </c>
      <c r="E126" s="9">
        <v>2.1283930424579801E-2</v>
      </c>
      <c r="F126" s="8">
        <v>0</v>
      </c>
      <c r="G126" s="8">
        <v>0.78700000000000003</v>
      </c>
      <c r="H126" s="8">
        <v>0</v>
      </c>
      <c r="I126" s="8">
        <v>2.5777999999999999</v>
      </c>
      <c r="J126" s="8">
        <v>0</v>
      </c>
      <c r="K126" s="8">
        <v>0</v>
      </c>
      <c r="L126" s="8">
        <v>58.98</v>
      </c>
      <c r="M126" s="8">
        <v>197.54</v>
      </c>
      <c r="N126" s="10">
        <v>3.3492709393014501</v>
      </c>
      <c r="O126" s="10">
        <v>3.3517078484942102</v>
      </c>
      <c r="P126" s="10">
        <v>3.35824082140602</v>
      </c>
      <c r="Q126" s="10">
        <v>3.3547357715802399</v>
      </c>
      <c r="R126" s="8">
        <v>197.683728904188</v>
      </c>
      <c r="S126" s="8">
        <v>198.07421567644499</v>
      </c>
      <c r="T126" s="8">
        <v>197.86811298094699</v>
      </c>
      <c r="U126" s="9">
        <v>7.2732935809970102E-4</v>
      </c>
      <c r="V126" s="9">
        <v>2.7006916333101399E-3</v>
      </c>
      <c r="W126" s="9">
        <v>1.6596172181937701E-3</v>
      </c>
      <c r="X126" s="10">
        <v>3.3492709393014501</v>
      </c>
      <c r="Y126" s="10">
        <v>3.3517078484942102</v>
      </c>
      <c r="Z126" s="10">
        <v>3.35824082140602</v>
      </c>
      <c r="AA126" s="10">
        <v>3.3547357715802399</v>
      </c>
      <c r="AB126" s="8">
        <v>197.683728904188</v>
      </c>
      <c r="AC126" s="8">
        <v>198.07421567644499</v>
      </c>
      <c r="AD126" s="8">
        <v>197.86811298094699</v>
      </c>
      <c r="AE126" s="9">
        <v>7.2732935809970102E-4</v>
      </c>
      <c r="AF126" s="9">
        <v>2.7006916333101399E-3</v>
      </c>
      <c r="AG126" s="9">
        <v>1.6596172181937701E-3</v>
      </c>
      <c r="AZ126" s="9"/>
      <c r="BB126">
        <f t="shared" si="22"/>
        <v>0</v>
      </c>
      <c r="BC126">
        <f t="shared" si="23"/>
        <v>1</v>
      </c>
      <c r="BD126">
        <f t="shared" si="24"/>
        <v>0</v>
      </c>
      <c r="BE126">
        <f t="shared" si="20"/>
        <v>1</v>
      </c>
      <c r="BF126">
        <f t="shared" si="25"/>
        <v>0</v>
      </c>
      <c r="BG126" s="9">
        <f t="shared" si="26"/>
        <v>0</v>
      </c>
      <c r="BH126" s="9">
        <f t="shared" si="27"/>
        <v>0</v>
      </c>
      <c r="BI126" s="9">
        <f t="shared" si="28"/>
        <v>0</v>
      </c>
      <c r="BJ126" s="12">
        <f t="shared" si="29"/>
        <v>2.0857030881208044E-3</v>
      </c>
      <c r="BL126" s="9"/>
      <c r="BN126">
        <f t="shared" si="30"/>
        <v>0</v>
      </c>
      <c r="BO126">
        <f t="shared" si="31"/>
        <v>0</v>
      </c>
      <c r="BP126">
        <f t="shared" si="32"/>
        <v>0</v>
      </c>
      <c r="BQ126">
        <f t="shared" si="21"/>
        <v>1</v>
      </c>
      <c r="BR126">
        <f t="shared" si="33"/>
        <v>0</v>
      </c>
      <c r="BS126" s="9">
        <f t="shared" si="34"/>
        <v>0</v>
      </c>
      <c r="BT126" s="9">
        <f t="shared" si="35"/>
        <v>0</v>
      </c>
      <c r="BU126" s="9">
        <f t="shared" si="36"/>
        <v>0</v>
      </c>
      <c r="BV126" s="12">
        <f t="shared" si="37"/>
        <v>0</v>
      </c>
      <c r="BX126" s="12">
        <f t="shared" si="38"/>
        <v>0</v>
      </c>
      <c r="BY126" s="12">
        <f t="shared" si="39"/>
        <v>2.0857030881208044E-3</v>
      </c>
    </row>
    <row r="127" spans="1:77" x14ac:dyDescent="0.3">
      <c r="A127" s="1">
        <v>46209</v>
      </c>
      <c r="B127" s="8">
        <v>58.35</v>
      </c>
      <c r="C127" s="8">
        <v>195.62</v>
      </c>
      <c r="D127" s="9">
        <v>-1.07390446545651E-2</v>
      </c>
      <c r="E127" s="9">
        <v>-9.7670936176343197E-3</v>
      </c>
      <c r="F127" s="8">
        <v>0</v>
      </c>
      <c r="G127" s="8">
        <v>0.78700000000000003</v>
      </c>
      <c r="H127" s="8">
        <v>0</v>
      </c>
      <c r="I127" s="8">
        <v>2.5777999999999999</v>
      </c>
      <c r="J127" s="8">
        <v>0</v>
      </c>
      <c r="K127" s="8">
        <v>0</v>
      </c>
      <c r="L127" s="8">
        <v>58.35</v>
      </c>
      <c r="M127" s="8">
        <v>195.62</v>
      </c>
      <c r="N127" s="10">
        <v>3.35252784918594</v>
      </c>
      <c r="O127" s="10">
        <v>3.3517078484942102</v>
      </c>
      <c r="P127" s="10">
        <v>3.3561892584985298</v>
      </c>
      <c r="Q127" s="10">
        <v>3.3547734741905701</v>
      </c>
      <c r="R127" s="8">
        <v>195.57215295963701</v>
      </c>
      <c r="S127" s="8">
        <v>195.95335192904099</v>
      </c>
      <c r="T127" s="8">
        <v>195.74883227170699</v>
      </c>
      <c r="U127" s="9">
        <v>-2.4462167883114401E-4</v>
      </c>
      <c r="V127" s="9">
        <v>1.70262867955739E-3</v>
      </c>
      <c r="W127" s="9">
        <v>6.58367584422637E-4</v>
      </c>
      <c r="X127" s="10">
        <v>3.35252784918594</v>
      </c>
      <c r="Y127" s="10">
        <v>3.3517078484942102</v>
      </c>
      <c r="Z127" s="10">
        <v>3.3561892584985298</v>
      </c>
      <c r="AA127" s="10">
        <v>3.3547734741905701</v>
      </c>
      <c r="AB127" s="8">
        <v>195.57215295963701</v>
      </c>
      <c r="AC127" s="8">
        <v>195.95335192904099</v>
      </c>
      <c r="AD127" s="8">
        <v>195.74883227170699</v>
      </c>
      <c r="AE127" s="9">
        <v>-2.4462167883114401E-4</v>
      </c>
      <c r="AF127" s="9">
        <v>1.70262867955739E-3</v>
      </c>
      <c r="AG127" s="9">
        <v>6.58367584422637E-4</v>
      </c>
      <c r="AZ127" s="9"/>
      <c r="BB127">
        <f t="shared" si="22"/>
        <v>0</v>
      </c>
      <c r="BC127">
        <f t="shared" si="23"/>
        <v>1</v>
      </c>
      <c r="BD127">
        <f t="shared" si="24"/>
        <v>0</v>
      </c>
      <c r="BE127">
        <f t="shared" si="20"/>
        <v>1</v>
      </c>
      <c r="BF127">
        <f t="shared" si="25"/>
        <v>0</v>
      </c>
      <c r="BG127" s="9">
        <f t="shared" si="26"/>
        <v>0</v>
      </c>
      <c r="BH127" s="9">
        <f t="shared" si="27"/>
        <v>0</v>
      </c>
      <c r="BI127" s="9">
        <f t="shared" si="28"/>
        <v>0</v>
      </c>
      <c r="BJ127" s="12">
        <f t="shared" si="29"/>
        <v>2.0857030881208044E-3</v>
      </c>
      <c r="BL127" s="9"/>
      <c r="BN127">
        <f t="shared" si="30"/>
        <v>0</v>
      </c>
      <c r="BO127">
        <f t="shared" si="31"/>
        <v>0</v>
      </c>
      <c r="BP127">
        <f t="shared" si="32"/>
        <v>0</v>
      </c>
      <c r="BQ127">
        <f t="shared" si="21"/>
        <v>1</v>
      </c>
      <c r="BR127">
        <f t="shared" si="33"/>
        <v>0</v>
      </c>
      <c r="BS127" s="9">
        <f t="shared" si="34"/>
        <v>0</v>
      </c>
      <c r="BT127" s="9">
        <f t="shared" si="35"/>
        <v>0</v>
      </c>
      <c r="BU127" s="9">
        <f t="shared" si="36"/>
        <v>0</v>
      </c>
      <c r="BV127" s="12">
        <f t="shared" si="37"/>
        <v>0</v>
      </c>
      <c r="BX127" s="12">
        <f t="shared" si="38"/>
        <v>0</v>
      </c>
      <c r="BY127" s="12">
        <f t="shared" si="39"/>
        <v>2.0857030881208044E-3</v>
      </c>
    </row>
    <row r="128" spans="1:77" x14ac:dyDescent="0.3">
      <c r="A128" s="1">
        <v>46210</v>
      </c>
      <c r="B128" s="8">
        <v>58.87</v>
      </c>
      <c r="C128" s="8">
        <v>197.25</v>
      </c>
      <c r="D128" s="9">
        <v>8.8722643076050295E-3</v>
      </c>
      <c r="E128" s="9">
        <v>8.2979578636367297E-3</v>
      </c>
      <c r="F128" s="8">
        <v>0</v>
      </c>
      <c r="G128" s="8">
        <v>0.78700000000000003</v>
      </c>
      <c r="H128" s="8">
        <v>0</v>
      </c>
      <c r="I128" s="8">
        <v>2.5777999999999999</v>
      </c>
      <c r="J128" s="8">
        <v>0</v>
      </c>
      <c r="K128" s="8">
        <v>0</v>
      </c>
      <c r="L128" s="8">
        <v>58.87</v>
      </c>
      <c r="M128" s="8">
        <v>197.25</v>
      </c>
      <c r="N128" s="10">
        <v>3.35060302361134</v>
      </c>
      <c r="O128" s="10">
        <v>3.3517078484942102</v>
      </c>
      <c r="P128" s="10">
        <v>3.3538989115090101</v>
      </c>
      <c r="Q128" s="10">
        <v>3.3547134528672098</v>
      </c>
      <c r="R128" s="8">
        <v>197.315041040854</v>
      </c>
      <c r="S128" s="8">
        <v>197.578861647808</v>
      </c>
      <c r="T128" s="8">
        <v>197.495514425599</v>
      </c>
      <c r="U128" s="9">
        <v>3.2968476513716203E-4</v>
      </c>
      <c r="V128" s="9">
        <v>1.66584439894557E-3</v>
      </c>
      <c r="W128" s="9">
        <v>1.2439125881581201E-3</v>
      </c>
      <c r="X128" s="10">
        <v>3.35060302361134</v>
      </c>
      <c r="Y128" s="10">
        <v>3.3517078484942102</v>
      </c>
      <c r="Z128" s="10">
        <v>3.3538989115090101</v>
      </c>
      <c r="AA128" s="10">
        <v>3.3547134528672098</v>
      </c>
      <c r="AB128" s="8">
        <v>197.315041040854</v>
      </c>
      <c r="AC128" s="8">
        <v>197.578861647808</v>
      </c>
      <c r="AD128" s="8">
        <v>197.495514425599</v>
      </c>
      <c r="AE128" s="9">
        <v>3.2968476513716203E-4</v>
      </c>
      <c r="AF128" s="9">
        <v>1.66584439894557E-3</v>
      </c>
      <c r="AG128" s="9">
        <v>1.2439125881581201E-3</v>
      </c>
      <c r="AZ128" s="9"/>
      <c r="BB128">
        <f t="shared" si="22"/>
        <v>0</v>
      </c>
      <c r="BC128">
        <f t="shared" si="23"/>
        <v>1</v>
      </c>
      <c r="BD128">
        <f t="shared" si="24"/>
        <v>0</v>
      </c>
      <c r="BE128">
        <f t="shared" si="20"/>
        <v>1</v>
      </c>
      <c r="BF128">
        <f t="shared" si="25"/>
        <v>0</v>
      </c>
      <c r="BG128" s="9">
        <f t="shared" si="26"/>
        <v>0</v>
      </c>
      <c r="BH128" s="9">
        <f t="shared" si="27"/>
        <v>0</v>
      </c>
      <c r="BI128" s="9">
        <f t="shared" si="28"/>
        <v>0</v>
      </c>
      <c r="BJ128" s="12">
        <f t="shared" si="29"/>
        <v>2.0857030881208044E-3</v>
      </c>
      <c r="BL128" s="9"/>
      <c r="BN128">
        <f t="shared" si="30"/>
        <v>0</v>
      </c>
      <c r="BO128">
        <f t="shared" si="31"/>
        <v>0</v>
      </c>
      <c r="BP128">
        <f t="shared" si="32"/>
        <v>0</v>
      </c>
      <c r="BQ128">
        <f t="shared" si="21"/>
        <v>1</v>
      </c>
      <c r="BR128">
        <f t="shared" si="33"/>
        <v>0</v>
      </c>
      <c r="BS128" s="9">
        <f t="shared" si="34"/>
        <v>0</v>
      </c>
      <c r="BT128" s="9">
        <f t="shared" si="35"/>
        <v>0</v>
      </c>
      <c r="BU128" s="9">
        <f t="shared" si="36"/>
        <v>0</v>
      </c>
      <c r="BV128" s="12">
        <f t="shared" si="37"/>
        <v>0</v>
      </c>
      <c r="BX128" s="12">
        <f t="shared" si="38"/>
        <v>0</v>
      </c>
      <c r="BY128" s="12">
        <f t="shared" si="39"/>
        <v>2.0857030881208044E-3</v>
      </c>
    </row>
    <row r="129" spans="1:77" x14ac:dyDescent="0.3">
      <c r="A129" s="1">
        <v>46211</v>
      </c>
      <c r="B129" s="8">
        <v>58.43</v>
      </c>
      <c r="C129" s="8">
        <v>195.85</v>
      </c>
      <c r="D129" s="9">
        <v>-7.5021664738242301E-3</v>
      </c>
      <c r="E129" s="9">
        <v>-7.1228996141433796E-3</v>
      </c>
      <c r="F129" s="8">
        <v>0</v>
      </c>
      <c r="G129" s="8">
        <v>0.78700000000000003</v>
      </c>
      <c r="H129" s="8">
        <v>0</v>
      </c>
      <c r="I129" s="8">
        <v>2.5777999999999999</v>
      </c>
      <c r="J129" s="8">
        <v>0</v>
      </c>
      <c r="K129" s="8">
        <v>0</v>
      </c>
      <c r="L129" s="8">
        <v>58.43</v>
      </c>
      <c r="M129" s="8">
        <v>195.85</v>
      </c>
      <c r="N129" s="10">
        <v>3.3518740373095999</v>
      </c>
      <c r="O129" s="10">
        <v>3.3517078484942102</v>
      </c>
      <c r="P129" s="10">
        <v>3.3518182740028601</v>
      </c>
      <c r="Q129" s="10">
        <v>3.3547379075735999</v>
      </c>
      <c r="R129" s="8">
        <v>195.840289587516</v>
      </c>
      <c r="S129" s="8">
        <v>195.96831339947201</v>
      </c>
      <c r="T129" s="8">
        <v>196.01590705103101</v>
      </c>
      <c r="U129" s="9">
        <v>-4.9582094543946403E-5</v>
      </c>
      <c r="V129" s="9">
        <v>6.0391972004297898E-4</v>
      </c>
      <c r="W129" s="9">
        <v>8.4675424914102803E-4</v>
      </c>
      <c r="X129" s="10">
        <v>3.3518740373095999</v>
      </c>
      <c r="Y129" s="10">
        <v>3.3517078484942102</v>
      </c>
      <c r="Z129" s="10">
        <v>3.3518182740028601</v>
      </c>
      <c r="AA129" s="10">
        <v>3.3547379075735999</v>
      </c>
      <c r="AB129" s="8">
        <v>195.840289587516</v>
      </c>
      <c r="AC129" s="8">
        <v>195.96831339947201</v>
      </c>
      <c r="AD129" s="8">
        <v>196.01590705103101</v>
      </c>
      <c r="AE129" s="9">
        <v>-4.9582094543946403E-5</v>
      </c>
      <c r="AF129" s="9">
        <v>6.0391972004297898E-4</v>
      </c>
      <c r="AG129" s="9">
        <v>8.4675424914102803E-4</v>
      </c>
      <c r="AZ129" s="9"/>
      <c r="BB129">
        <f t="shared" si="22"/>
        <v>0</v>
      </c>
      <c r="BC129">
        <f t="shared" si="23"/>
        <v>1</v>
      </c>
      <c r="BD129">
        <f t="shared" si="24"/>
        <v>0</v>
      </c>
      <c r="BE129">
        <f t="shared" si="20"/>
        <v>1</v>
      </c>
      <c r="BF129">
        <f t="shared" si="25"/>
        <v>0</v>
      </c>
      <c r="BG129" s="9">
        <f t="shared" si="26"/>
        <v>0</v>
      </c>
      <c r="BH129" s="9">
        <f t="shared" si="27"/>
        <v>0</v>
      </c>
      <c r="BI129" s="9">
        <f t="shared" si="28"/>
        <v>0</v>
      </c>
      <c r="BJ129" s="12">
        <f t="shared" si="29"/>
        <v>2.0857030881208044E-3</v>
      </c>
      <c r="BL129" s="9"/>
      <c r="BN129">
        <f t="shared" si="30"/>
        <v>0</v>
      </c>
      <c r="BO129">
        <f t="shared" si="31"/>
        <v>0</v>
      </c>
      <c r="BP129">
        <f t="shared" si="32"/>
        <v>0</v>
      </c>
      <c r="BQ129">
        <f t="shared" si="21"/>
        <v>1</v>
      </c>
      <c r="BR129">
        <f t="shared" si="33"/>
        <v>0</v>
      </c>
      <c r="BS129" s="9">
        <f t="shared" si="34"/>
        <v>0</v>
      </c>
      <c r="BT129" s="9">
        <f t="shared" si="35"/>
        <v>0</v>
      </c>
      <c r="BU129" s="9">
        <f t="shared" si="36"/>
        <v>0</v>
      </c>
      <c r="BV129" s="12">
        <f t="shared" si="37"/>
        <v>0</v>
      </c>
      <c r="BX129" s="12">
        <f t="shared" si="38"/>
        <v>0</v>
      </c>
      <c r="BY129" s="12">
        <f t="shared" si="39"/>
        <v>2.0857030881208044E-3</v>
      </c>
    </row>
    <row r="130" spans="1:77" x14ac:dyDescent="0.3">
      <c r="A130" s="1">
        <v>46212</v>
      </c>
      <c r="B130" s="8">
        <v>58.18</v>
      </c>
      <c r="C130" s="8">
        <v>194.97</v>
      </c>
      <c r="D130" s="9">
        <v>-4.2878034992901099E-3</v>
      </c>
      <c r="E130" s="9">
        <v>-4.5033595374730298E-3</v>
      </c>
      <c r="F130" s="8">
        <v>0</v>
      </c>
      <c r="G130" s="8">
        <v>0.78700000000000003</v>
      </c>
      <c r="H130" s="8">
        <v>0</v>
      </c>
      <c r="I130" s="8">
        <v>2.5777999999999999</v>
      </c>
      <c r="J130" s="8">
        <v>0</v>
      </c>
      <c r="K130" s="8">
        <v>0</v>
      </c>
      <c r="L130" s="8">
        <v>58.18</v>
      </c>
      <c r="M130" s="8">
        <v>194.97</v>
      </c>
      <c r="N130" s="10">
        <v>3.35115159848745</v>
      </c>
      <c r="O130" s="10">
        <v>3.3517078484942102</v>
      </c>
      <c r="P130" s="10">
        <v>3.3517384738652298</v>
      </c>
      <c r="Q130" s="10">
        <v>3.3546908445152099</v>
      </c>
      <c r="R130" s="8">
        <v>195.002362625393</v>
      </c>
      <c r="S130" s="8">
        <v>195.00878718148601</v>
      </c>
      <c r="T130" s="8">
        <v>195.17865146263199</v>
      </c>
      <c r="U130" s="9">
        <v>1.65973943639149E-4</v>
      </c>
      <c r="V130" s="9">
        <v>1.98919443260101E-4</v>
      </c>
      <c r="W130" s="9">
        <v>1.0695999165579301E-3</v>
      </c>
      <c r="X130" s="10">
        <v>3.35115159848745</v>
      </c>
      <c r="Y130" s="10">
        <v>3.3517078484942102</v>
      </c>
      <c r="Z130" s="10">
        <v>3.3517384738652298</v>
      </c>
      <c r="AA130" s="10">
        <v>3.3546908445152099</v>
      </c>
      <c r="AB130" s="8">
        <v>195.002362625393</v>
      </c>
      <c r="AC130" s="8">
        <v>195.00878718148601</v>
      </c>
      <c r="AD130" s="8">
        <v>195.17865146263199</v>
      </c>
      <c r="AE130" s="9">
        <v>1.65973943639149E-4</v>
      </c>
      <c r="AF130" s="9">
        <v>1.98919443260101E-4</v>
      </c>
      <c r="AG130" s="9">
        <v>1.0695999165579301E-3</v>
      </c>
      <c r="AZ130" s="9"/>
      <c r="BB130">
        <f t="shared" si="22"/>
        <v>0</v>
      </c>
      <c r="BC130">
        <f t="shared" si="23"/>
        <v>1</v>
      </c>
      <c r="BD130">
        <f t="shared" si="24"/>
        <v>0</v>
      </c>
      <c r="BE130">
        <f t="shared" si="20"/>
        <v>1</v>
      </c>
      <c r="BF130">
        <f t="shared" si="25"/>
        <v>0</v>
      </c>
      <c r="BG130" s="9">
        <f t="shared" si="26"/>
        <v>0</v>
      </c>
      <c r="BH130" s="9">
        <f t="shared" si="27"/>
        <v>0</v>
      </c>
      <c r="BI130" s="9">
        <f t="shared" si="28"/>
        <v>0</v>
      </c>
      <c r="BJ130" s="12">
        <f t="shared" si="29"/>
        <v>2.0857030881208044E-3</v>
      </c>
      <c r="BL130" s="9"/>
      <c r="BN130">
        <f t="shared" si="30"/>
        <v>0</v>
      </c>
      <c r="BO130">
        <f t="shared" si="31"/>
        <v>0</v>
      </c>
      <c r="BP130">
        <f t="shared" si="32"/>
        <v>0</v>
      </c>
      <c r="BQ130">
        <f t="shared" si="21"/>
        <v>1</v>
      </c>
      <c r="BR130">
        <f t="shared" si="33"/>
        <v>0</v>
      </c>
      <c r="BS130" s="9">
        <f t="shared" si="34"/>
        <v>0</v>
      </c>
      <c r="BT130" s="9">
        <f t="shared" si="35"/>
        <v>0</v>
      </c>
      <c r="BU130" s="9">
        <f t="shared" si="36"/>
        <v>0</v>
      </c>
      <c r="BV130" s="12">
        <f t="shared" si="37"/>
        <v>0</v>
      </c>
      <c r="BX130" s="12">
        <f t="shared" si="38"/>
        <v>0</v>
      </c>
      <c r="BY130" s="12">
        <f t="shared" si="39"/>
        <v>2.0857030881208044E-3</v>
      </c>
    </row>
    <row r="131" spans="1:77" x14ac:dyDescent="0.3">
      <c r="A131" s="1">
        <v>46213</v>
      </c>
      <c r="B131" s="8">
        <v>58.53</v>
      </c>
      <c r="C131" s="8">
        <v>196.17</v>
      </c>
      <c r="D131" s="9">
        <v>5.9977902360739896E-3</v>
      </c>
      <c r="E131" s="9">
        <v>6.1359296669270102E-3</v>
      </c>
      <c r="F131" s="8">
        <v>0</v>
      </c>
      <c r="G131" s="8">
        <v>0.78700000000000003</v>
      </c>
      <c r="H131" s="8">
        <v>0</v>
      </c>
      <c r="I131" s="8">
        <v>2.5777999999999999</v>
      </c>
      <c r="J131" s="8">
        <v>0</v>
      </c>
      <c r="K131" s="8">
        <v>0</v>
      </c>
      <c r="L131" s="8">
        <v>58.53</v>
      </c>
      <c r="M131" s="8">
        <v>196.17</v>
      </c>
      <c r="N131" s="10">
        <v>3.3516145566376201</v>
      </c>
      <c r="O131" s="10">
        <v>3.3517078484942102</v>
      </c>
      <c r="P131" s="10">
        <v>3.3516038212379602</v>
      </c>
      <c r="Q131" s="10">
        <v>3.3547816795715599</v>
      </c>
      <c r="R131" s="8">
        <v>196.17546037236599</v>
      </c>
      <c r="S131" s="8">
        <v>196.17725287533199</v>
      </c>
      <c r="T131" s="8">
        <v>196.35005512947501</v>
      </c>
      <c r="U131" s="9">
        <v>2.7834512786020099E-5</v>
      </c>
      <c r="V131" s="9">
        <v>3.6971714621714698E-5</v>
      </c>
      <c r="W131" s="9">
        <v>9.1743155414245796E-4</v>
      </c>
      <c r="X131" s="10">
        <v>3.3516145566376201</v>
      </c>
      <c r="Y131" s="10">
        <v>3.3517078484942102</v>
      </c>
      <c r="Z131" s="10">
        <v>3.3516038212379602</v>
      </c>
      <c r="AA131" s="10">
        <v>3.3547816795715599</v>
      </c>
      <c r="AB131" s="8">
        <v>196.17546037236599</v>
      </c>
      <c r="AC131" s="8">
        <v>196.17725287533199</v>
      </c>
      <c r="AD131" s="8">
        <v>196.35005512947501</v>
      </c>
      <c r="AE131" s="9">
        <v>2.7834512786020099E-5</v>
      </c>
      <c r="AF131" s="9">
        <v>3.6971714621714698E-5</v>
      </c>
      <c r="AG131" s="9">
        <v>9.1743155414245796E-4</v>
      </c>
      <c r="AZ131" s="9"/>
      <c r="BB131">
        <f t="shared" si="22"/>
        <v>0</v>
      </c>
      <c r="BC131">
        <f t="shared" si="23"/>
        <v>1</v>
      </c>
      <c r="BD131">
        <f t="shared" si="24"/>
        <v>0</v>
      </c>
      <c r="BE131">
        <f t="shared" si="20"/>
        <v>1</v>
      </c>
      <c r="BF131">
        <f t="shared" si="25"/>
        <v>0</v>
      </c>
      <c r="BG131" s="9">
        <f t="shared" si="26"/>
        <v>0</v>
      </c>
      <c r="BH131" s="9">
        <f t="shared" si="27"/>
        <v>0</v>
      </c>
      <c r="BI131" s="9">
        <f t="shared" si="28"/>
        <v>0</v>
      </c>
      <c r="BJ131" s="12">
        <f t="shared" si="29"/>
        <v>2.0857030881208044E-3</v>
      </c>
      <c r="BL131" s="9"/>
      <c r="BN131">
        <f t="shared" si="30"/>
        <v>0</v>
      </c>
      <c r="BO131">
        <f t="shared" si="31"/>
        <v>0</v>
      </c>
      <c r="BP131">
        <f t="shared" si="32"/>
        <v>0</v>
      </c>
      <c r="BQ131">
        <f t="shared" si="21"/>
        <v>1</v>
      </c>
      <c r="BR131">
        <f t="shared" si="33"/>
        <v>0</v>
      </c>
      <c r="BS131" s="9">
        <f t="shared" si="34"/>
        <v>0</v>
      </c>
      <c r="BT131" s="9">
        <f t="shared" si="35"/>
        <v>0</v>
      </c>
      <c r="BU131" s="9">
        <f t="shared" si="36"/>
        <v>0</v>
      </c>
      <c r="BV131" s="12">
        <f t="shared" si="37"/>
        <v>0</v>
      </c>
      <c r="BX131" s="12">
        <f t="shared" si="38"/>
        <v>0</v>
      </c>
      <c r="BY131" s="12">
        <f t="shared" si="39"/>
        <v>2.0857030881208044E-3</v>
      </c>
    </row>
    <row r="132" spans="1:77" x14ac:dyDescent="0.3">
      <c r="A132" s="1">
        <v>46216</v>
      </c>
      <c r="B132" s="8">
        <v>58.92</v>
      </c>
      <c r="C132" s="8">
        <v>197.48</v>
      </c>
      <c r="D132" s="9">
        <v>6.6411482913000704E-3</v>
      </c>
      <c r="E132" s="9">
        <v>6.6556831493678097E-3</v>
      </c>
      <c r="F132" s="8">
        <v>0</v>
      </c>
      <c r="G132" s="8">
        <v>0.78700000000000003</v>
      </c>
      <c r="H132" s="8">
        <v>0</v>
      </c>
      <c r="I132" s="8">
        <v>2.5777999999999999</v>
      </c>
      <c r="J132" s="8">
        <v>0</v>
      </c>
      <c r="K132" s="8">
        <v>0</v>
      </c>
      <c r="L132" s="8">
        <v>58.92</v>
      </c>
      <c r="M132" s="8">
        <v>197.48</v>
      </c>
      <c r="N132" s="10">
        <v>3.3516632722335302</v>
      </c>
      <c r="O132" s="10">
        <v>3.3517078484942102</v>
      </c>
      <c r="P132" s="10">
        <v>3.3512635109214002</v>
      </c>
      <c r="Q132" s="10">
        <v>3.3547606948267599</v>
      </c>
      <c r="R132" s="8">
        <v>197.48262643327899</v>
      </c>
      <c r="S132" s="8">
        <v>197.47649714734001</v>
      </c>
      <c r="T132" s="8">
        <v>197.663736560356</v>
      </c>
      <c r="U132" s="9">
        <v>1.3299654718200999E-5</v>
      </c>
      <c r="V132" s="9">
        <v>-1.77379163760187E-5</v>
      </c>
      <c r="W132" s="9">
        <v>9.2997335702777199E-4</v>
      </c>
      <c r="X132" s="10">
        <v>3.3516632722335302</v>
      </c>
      <c r="Y132" s="10">
        <v>3.3517078484942102</v>
      </c>
      <c r="Z132" s="10">
        <v>3.3512635109214002</v>
      </c>
      <c r="AA132" s="10">
        <v>3.3547606948267599</v>
      </c>
      <c r="AB132" s="8">
        <v>197.48262643327899</v>
      </c>
      <c r="AC132" s="8">
        <v>197.47649714734001</v>
      </c>
      <c r="AD132" s="8">
        <v>197.663736560356</v>
      </c>
      <c r="AE132" s="9">
        <v>1.3299654718200999E-5</v>
      </c>
      <c r="AF132" s="9">
        <v>-1.77379163760187E-5</v>
      </c>
      <c r="AG132" s="9">
        <v>9.2997335702777199E-4</v>
      </c>
      <c r="AZ132" s="9"/>
      <c r="BB132">
        <f t="shared" si="22"/>
        <v>0</v>
      </c>
      <c r="BC132">
        <f t="shared" si="23"/>
        <v>1</v>
      </c>
      <c r="BD132">
        <f t="shared" si="24"/>
        <v>0</v>
      </c>
      <c r="BE132">
        <f t="shared" si="20"/>
        <v>1</v>
      </c>
      <c r="BF132">
        <f t="shared" si="25"/>
        <v>0</v>
      </c>
      <c r="BG132" s="9">
        <f t="shared" si="26"/>
        <v>0</v>
      </c>
      <c r="BH132" s="9">
        <f t="shared" si="27"/>
        <v>0</v>
      </c>
      <c r="BI132" s="9">
        <f t="shared" si="28"/>
        <v>0</v>
      </c>
      <c r="BJ132" s="12">
        <f t="shared" si="29"/>
        <v>2.0857030881208044E-3</v>
      </c>
      <c r="BL132" s="9"/>
      <c r="BN132">
        <f t="shared" si="30"/>
        <v>0</v>
      </c>
      <c r="BO132">
        <f t="shared" si="31"/>
        <v>0</v>
      </c>
      <c r="BP132">
        <f t="shared" si="32"/>
        <v>0</v>
      </c>
      <c r="BQ132">
        <f t="shared" si="21"/>
        <v>1</v>
      </c>
      <c r="BR132">
        <f t="shared" si="33"/>
        <v>0</v>
      </c>
      <c r="BS132" s="9">
        <f t="shared" si="34"/>
        <v>0</v>
      </c>
      <c r="BT132" s="9">
        <f t="shared" si="35"/>
        <v>0</v>
      </c>
      <c r="BU132" s="9">
        <f t="shared" si="36"/>
        <v>0</v>
      </c>
      <c r="BV132" s="12">
        <f t="shared" si="37"/>
        <v>0</v>
      </c>
      <c r="BX132" s="12">
        <f t="shared" si="38"/>
        <v>0</v>
      </c>
      <c r="BY132" s="12">
        <f t="shared" si="39"/>
        <v>2.0857030881208044E-3</v>
      </c>
    </row>
    <row r="133" spans="1:77" x14ac:dyDescent="0.3">
      <c r="A133" s="1">
        <v>46217</v>
      </c>
      <c r="B133" s="8">
        <v>58.92</v>
      </c>
      <c r="C133" s="8">
        <v>197.39</v>
      </c>
      <c r="D133" s="9">
        <v>0</v>
      </c>
      <c r="E133" s="9">
        <v>-4.5584623576605998E-4</v>
      </c>
      <c r="F133" s="8">
        <v>0</v>
      </c>
      <c r="G133" s="8">
        <v>0.78700000000000003</v>
      </c>
      <c r="H133" s="8">
        <v>0</v>
      </c>
      <c r="I133" s="8">
        <v>2.5777999999999999</v>
      </c>
      <c r="J133" s="8">
        <v>0</v>
      </c>
      <c r="K133" s="8">
        <v>0</v>
      </c>
      <c r="L133" s="8">
        <v>58.92</v>
      </c>
      <c r="M133" s="8">
        <v>197.39</v>
      </c>
      <c r="N133" s="10">
        <v>3.3501357773251801</v>
      </c>
      <c r="O133" s="10">
        <v>3.3517078484942102</v>
      </c>
      <c r="P133" s="10">
        <v>3.3508966263627098</v>
      </c>
      <c r="Q133" s="10">
        <v>3.3546536498383102</v>
      </c>
      <c r="R133" s="8">
        <v>197.48262643327899</v>
      </c>
      <c r="S133" s="8">
        <v>197.45644606348901</v>
      </c>
      <c r="T133" s="8">
        <v>197.66250013919301</v>
      </c>
      <c r="U133" s="9">
        <v>4.6914589048431099E-4</v>
      </c>
      <c r="V133" s="9">
        <v>3.3656660597592602E-4</v>
      </c>
      <c r="W133" s="9">
        <v>1.37956439873445E-3</v>
      </c>
      <c r="X133" s="10">
        <v>3.3501357773251801</v>
      </c>
      <c r="Y133" s="10">
        <v>3.3517078484942102</v>
      </c>
      <c r="Z133" s="10">
        <v>3.3508966263627098</v>
      </c>
      <c r="AA133" s="10">
        <v>3.3546536498383102</v>
      </c>
      <c r="AB133" s="8">
        <v>197.48262643327899</v>
      </c>
      <c r="AC133" s="8">
        <v>197.45644606348901</v>
      </c>
      <c r="AD133" s="8">
        <v>197.66250013919301</v>
      </c>
      <c r="AE133" s="9">
        <v>4.6914589048431099E-4</v>
      </c>
      <c r="AF133" s="9">
        <v>3.3656660597592602E-4</v>
      </c>
      <c r="AG133" s="9">
        <v>1.37956439873445E-3</v>
      </c>
      <c r="AZ133" s="9"/>
      <c r="BB133">
        <f t="shared" si="22"/>
        <v>0</v>
      </c>
      <c r="BC133">
        <f t="shared" si="23"/>
        <v>1</v>
      </c>
      <c r="BD133">
        <f t="shared" si="24"/>
        <v>0</v>
      </c>
      <c r="BE133">
        <f t="shared" si="20"/>
        <v>1</v>
      </c>
      <c r="BF133">
        <f t="shared" si="25"/>
        <v>0</v>
      </c>
      <c r="BG133" s="9">
        <f t="shared" si="26"/>
        <v>0</v>
      </c>
      <c r="BH133" s="9">
        <f t="shared" si="27"/>
        <v>0</v>
      </c>
      <c r="BI133" s="9">
        <f t="shared" si="28"/>
        <v>0</v>
      </c>
      <c r="BJ133" s="12">
        <f t="shared" si="29"/>
        <v>2.0857030881208044E-3</v>
      </c>
      <c r="BL133" s="9"/>
      <c r="BN133">
        <f t="shared" si="30"/>
        <v>0</v>
      </c>
      <c r="BO133">
        <f t="shared" si="31"/>
        <v>0</v>
      </c>
      <c r="BP133">
        <f t="shared" si="32"/>
        <v>0</v>
      </c>
      <c r="BQ133">
        <f t="shared" si="21"/>
        <v>1</v>
      </c>
      <c r="BR133">
        <f t="shared" si="33"/>
        <v>0</v>
      </c>
      <c r="BS133" s="9">
        <f t="shared" si="34"/>
        <v>0</v>
      </c>
      <c r="BT133" s="9">
        <f t="shared" si="35"/>
        <v>0</v>
      </c>
      <c r="BU133" s="9">
        <f t="shared" si="36"/>
        <v>0</v>
      </c>
      <c r="BV133" s="12">
        <f t="shared" si="37"/>
        <v>0</v>
      </c>
      <c r="BX133" s="12">
        <f t="shared" si="38"/>
        <v>0</v>
      </c>
      <c r="BY133" s="12">
        <f t="shared" si="39"/>
        <v>2.0857030881208044E-3</v>
      </c>
    </row>
    <row r="134" spans="1:77" x14ac:dyDescent="0.3">
      <c r="A134" s="1">
        <v>46218</v>
      </c>
      <c r="B134" s="8">
        <v>58.38</v>
      </c>
      <c r="C134" s="8">
        <v>195.62</v>
      </c>
      <c r="D134" s="9">
        <v>-9.2072261684607998E-3</v>
      </c>
      <c r="E134" s="9">
        <v>-9.0074652925491404E-3</v>
      </c>
      <c r="F134" s="8">
        <v>0</v>
      </c>
      <c r="G134" s="8">
        <v>0.78700000000000003</v>
      </c>
      <c r="H134" s="8">
        <v>0</v>
      </c>
      <c r="I134" s="8">
        <v>2.5777999999999999</v>
      </c>
      <c r="J134" s="8">
        <v>0</v>
      </c>
      <c r="K134" s="8">
        <v>0</v>
      </c>
      <c r="L134" s="8">
        <v>58.38</v>
      </c>
      <c r="M134" s="8">
        <v>195.62</v>
      </c>
      <c r="N134" s="10">
        <v>3.35080507022953</v>
      </c>
      <c r="O134" s="10">
        <v>3.3517078484942102</v>
      </c>
      <c r="P134" s="10">
        <v>3.3509377633069199</v>
      </c>
      <c r="Q134" s="10">
        <v>3.35460579001185</v>
      </c>
      <c r="R134" s="8">
        <v>195.672704195092</v>
      </c>
      <c r="S134" s="8">
        <v>195.62534504705499</v>
      </c>
      <c r="T134" s="8">
        <v>195.84468007756001</v>
      </c>
      <c r="U134" s="9">
        <v>2.6938501457265599E-4</v>
      </c>
      <c r="V134" s="9">
        <v>2.7323249328664301E-5</v>
      </c>
      <c r="W134" s="9">
        <v>1.1478946309402399E-3</v>
      </c>
      <c r="X134" s="10">
        <v>3.35080507022953</v>
      </c>
      <c r="Y134" s="10">
        <v>3.3517078484942102</v>
      </c>
      <c r="Z134" s="10">
        <v>3.3509377633069199</v>
      </c>
      <c r="AA134" s="10">
        <v>3.35460579001185</v>
      </c>
      <c r="AB134" s="8">
        <v>195.672704195092</v>
      </c>
      <c r="AC134" s="8">
        <v>195.62534504705499</v>
      </c>
      <c r="AD134" s="8">
        <v>195.84468007756001</v>
      </c>
      <c r="AE134" s="9">
        <v>2.6938501457265599E-4</v>
      </c>
      <c r="AF134" s="9">
        <v>2.7323249328664301E-5</v>
      </c>
      <c r="AG134" s="9">
        <v>1.1478946309402399E-3</v>
      </c>
      <c r="AZ134" s="9"/>
      <c r="BB134">
        <f t="shared" si="22"/>
        <v>0</v>
      </c>
      <c r="BC134">
        <f t="shared" si="23"/>
        <v>1</v>
      </c>
      <c r="BD134">
        <f t="shared" si="24"/>
        <v>0</v>
      </c>
      <c r="BE134">
        <f t="shared" si="20"/>
        <v>1</v>
      </c>
      <c r="BF134">
        <f t="shared" si="25"/>
        <v>0</v>
      </c>
      <c r="BG134" s="9">
        <f t="shared" si="26"/>
        <v>0</v>
      </c>
      <c r="BH134" s="9">
        <f t="shared" si="27"/>
        <v>0</v>
      </c>
      <c r="BI134" s="9">
        <f t="shared" si="28"/>
        <v>0</v>
      </c>
      <c r="BJ134" s="12">
        <f t="shared" si="29"/>
        <v>2.0857030881208044E-3</v>
      </c>
      <c r="BL134" s="9"/>
      <c r="BN134">
        <f t="shared" si="30"/>
        <v>0</v>
      </c>
      <c r="BO134">
        <f t="shared" si="31"/>
        <v>0</v>
      </c>
      <c r="BP134">
        <f t="shared" si="32"/>
        <v>0</v>
      </c>
      <c r="BQ134">
        <f t="shared" si="21"/>
        <v>1</v>
      </c>
      <c r="BR134">
        <f t="shared" si="33"/>
        <v>0</v>
      </c>
      <c r="BS134" s="9">
        <f t="shared" si="34"/>
        <v>0</v>
      </c>
      <c r="BT134" s="9">
        <f t="shared" si="35"/>
        <v>0</v>
      </c>
      <c r="BU134" s="9">
        <f t="shared" si="36"/>
        <v>0</v>
      </c>
      <c r="BV134" s="12">
        <f t="shared" si="37"/>
        <v>0</v>
      </c>
      <c r="BX134" s="12">
        <f t="shared" si="38"/>
        <v>0</v>
      </c>
      <c r="BY134" s="12">
        <f t="shared" si="39"/>
        <v>2.0857030881208044E-3</v>
      </c>
    </row>
    <row r="135" spans="1:77" x14ac:dyDescent="0.3">
      <c r="A135" s="1">
        <v>46219</v>
      </c>
      <c r="B135" s="8">
        <v>58.66</v>
      </c>
      <c r="C135" s="8">
        <v>196.49</v>
      </c>
      <c r="D135" s="9">
        <v>4.7846981233362496E-3</v>
      </c>
      <c r="E135" s="9">
        <v>4.4375375667575299E-3</v>
      </c>
      <c r="F135" s="8">
        <v>0</v>
      </c>
      <c r="G135" s="8">
        <v>0.78700000000000003</v>
      </c>
      <c r="H135" s="8">
        <v>0</v>
      </c>
      <c r="I135" s="8">
        <v>2.5777999999999999</v>
      </c>
      <c r="J135" s="8">
        <v>0</v>
      </c>
      <c r="K135" s="8">
        <v>0</v>
      </c>
      <c r="L135" s="8">
        <v>58.66</v>
      </c>
      <c r="M135" s="8">
        <v>196.49</v>
      </c>
      <c r="N135" s="10">
        <v>3.34964200477327</v>
      </c>
      <c r="O135" s="10">
        <v>3.3517078484942102</v>
      </c>
      <c r="P135" s="10">
        <v>3.3509288129094901</v>
      </c>
      <c r="Q135" s="10">
        <v>3.3546286627827002</v>
      </c>
      <c r="R135" s="8">
        <v>196.61118239267</v>
      </c>
      <c r="S135" s="8">
        <v>196.566009195584</v>
      </c>
      <c r="T135" s="8">
        <v>196.78117564209501</v>
      </c>
      <c r="U135" s="9">
        <v>6.1654557115111395E-4</v>
      </c>
      <c r="V135" s="9">
        <v>3.86760129618798E-4</v>
      </c>
      <c r="W135" s="9">
        <v>1.48078838895668E-3</v>
      </c>
      <c r="X135" s="10">
        <v>3.34964200477327</v>
      </c>
      <c r="Y135" s="10">
        <v>3.3517078484942102</v>
      </c>
      <c r="Z135" s="10">
        <v>3.3509288129094901</v>
      </c>
      <c r="AA135" s="10">
        <v>3.3546286627827002</v>
      </c>
      <c r="AB135" s="8">
        <v>196.61118239267</v>
      </c>
      <c r="AC135" s="8">
        <v>196.566009195584</v>
      </c>
      <c r="AD135" s="8">
        <v>196.78117564209501</v>
      </c>
      <c r="AE135" s="9">
        <v>6.1654557115111395E-4</v>
      </c>
      <c r="AF135" s="9">
        <v>3.86760129618798E-4</v>
      </c>
      <c r="AG135" s="9">
        <v>1.48078838895668E-3</v>
      </c>
      <c r="AZ135" s="9"/>
      <c r="BB135">
        <f t="shared" si="22"/>
        <v>0</v>
      </c>
      <c r="BC135">
        <f t="shared" si="23"/>
        <v>1</v>
      </c>
      <c r="BD135">
        <f t="shared" si="24"/>
        <v>0</v>
      </c>
      <c r="BE135">
        <f t="shared" si="20"/>
        <v>1</v>
      </c>
      <c r="BF135">
        <f t="shared" si="25"/>
        <v>0</v>
      </c>
      <c r="BG135" s="9">
        <f t="shared" si="26"/>
        <v>0</v>
      </c>
      <c r="BH135" s="9">
        <f t="shared" si="27"/>
        <v>0</v>
      </c>
      <c r="BI135" s="9">
        <f t="shared" si="28"/>
        <v>0</v>
      </c>
      <c r="BJ135" s="12">
        <f t="shared" si="29"/>
        <v>2.0857030881208044E-3</v>
      </c>
      <c r="BL135" s="9"/>
      <c r="BN135">
        <f t="shared" si="30"/>
        <v>0</v>
      </c>
      <c r="BO135">
        <f t="shared" si="31"/>
        <v>0</v>
      </c>
      <c r="BP135">
        <f t="shared" si="32"/>
        <v>0</v>
      </c>
      <c r="BQ135">
        <f t="shared" si="21"/>
        <v>1</v>
      </c>
      <c r="BR135">
        <f t="shared" si="33"/>
        <v>0</v>
      </c>
      <c r="BS135" s="9">
        <f t="shared" si="34"/>
        <v>0</v>
      </c>
      <c r="BT135" s="9">
        <f t="shared" si="35"/>
        <v>0</v>
      </c>
      <c r="BU135" s="9">
        <f t="shared" si="36"/>
        <v>0</v>
      </c>
      <c r="BV135" s="12">
        <f t="shared" si="37"/>
        <v>0</v>
      </c>
      <c r="BX135" s="12">
        <f t="shared" si="38"/>
        <v>0</v>
      </c>
      <c r="BY135" s="12">
        <f t="shared" si="39"/>
        <v>2.0857030881208044E-3</v>
      </c>
    </row>
    <row r="136" spans="1:77" x14ac:dyDescent="0.3">
      <c r="A136" s="1">
        <v>46220</v>
      </c>
      <c r="B136" s="8">
        <v>58.28</v>
      </c>
      <c r="C136" s="8">
        <v>195.22</v>
      </c>
      <c r="D136" s="9">
        <v>-6.4990822223008502E-3</v>
      </c>
      <c r="E136" s="9">
        <v>-6.4844116822854597E-3</v>
      </c>
      <c r="F136" s="8">
        <v>0</v>
      </c>
      <c r="G136" s="8">
        <v>0.78700000000000003</v>
      </c>
      <c r="H136" s="8">
        <v>0</v>
      </c>
      <c r="I136" s="8">
        <v>2.5777999999999999</v>
      </c>
      <c r="J136" s="8">
        <v>0</v>
      </c>
      <c r="K136" s="8">
        <v>0</v>
      </c>
      <c r="L136" s="8">
        <v>58.28</v>
      </c>
      <c r="M136" s="8">
        <v>195.22</v>
      </c>
      <c r="N136" s="10">
        <v>3.3496911461907999</v>
      </c>
      <c r="O136" s="10">
        <v>3.3517078484942102</v>
      </c>
      <c r="P136" s="10">
        <v>3.3509708335984301</v>
      </c>
      <c r="Q136" s="10">
        <v>3.3546058275022199</v>
      </c>
      <c r="R136" s="8">
        <v>195.337533410242</v>
      </c>
      <c r="S136" s="8">
        <v>195.29213121636499</v>
      </c>
      <c r="T136" s="8">
        <v>195.50775846697599</v>
      </c>
      <c r="U136" s="9">
        <v>6.0187503113576799E-4</v>
      </c>
      <c r="V136" s="9">
        <v>3.6941857330284199E-4</v>
      </c>
      <c r="W136" s="9">
        <v>1.4729361442367801E-3</v>
      </c>
      <c r="X136" s="10">
        <v>3.3496911461907999</v>
      </c>
      <c r="Y136" s="10">
        <v>3.3517078484942102</v>
      </c>
      <c r="Z136" s="10">
        <v>3.3509708335984301</v>
      </c>
      <c r="AA136" s="10">
        <v>3.3546058275022199</v>
      </c>
      <c r="AB136" s="8">
        <v>195.337533410242</v>
      </c>
      <c r="AC136" s="8">
        <v>195.29213121636499</v>
      </c>
      <c r="AD136" s="8">
        <v>195.50775846697599</v>
      </c>
      <c r="AE136" s="9">
        <v>6.0187503113576799E-4</v>
      </c>
      <c r="AF136" s="9">
        <v>3.6941857330284199E-4</v>
      </c>
      <c r="AG136" s="9">
        <v>1.4729361442367801E-3</v>
      </c>
      <c r="AZ136" s="9"/>
      <c r="BB136">
        <f t="shared" si="22"/>
        <v>0</v>
      </c>
      <c r="BC136">
        <f t="shared" si="23"/>
        <v>1</v>
      </c>
      <c r="BD136">
        <f t="shared" si="24"/>
        <v>0</v>
      </c>
      <c r="BE136">
        <f t="shared" si="20"/>
        <v>1</v>
      </c>
      <c r="BF136">
        <f t="shared" si="25"/>
        <v>0</v>
      </c>
      <c r="BG136" s="9">
        <f t="shared" si="26"/>
        <v>0</v>
      </c>
      <c r="BH136" s="9">
        <f t="shared" si="27"/>
        <v>0</v>
      </c>
      <c r="BI136" s="9">
        <f t="shared" si="28"/>
        <v>0</v>
      </c>
      <c r="BJ136" s="12">
        <f t="shared" si="29"/>
        <v>2.0857030881208044E-3</v>
      </c>
      <c r="BL136" s="9"/>
      <c r="BN136">
        <f t="shared" si="30"/>
        <v>0</v>
      </c>
      <c r="BO136">
        <f t="shared" si="31"/>
        <v>0</v>
      </c>
      <c r="BP136">
        <f t="shared" si="32"/>
        <v>0</v>
      </c>
      <c r="BQ136">
        <f t="shared" si="21"/>
        <v>1</v>
      </c>
      <c r="BR136">
        <f t="shared" si="33"/>
        <v>0</v>
      </c>
      <c r="BS136" s="9">
        <f t="shared" si="34"/>
        <v>0</v>
      </c>
      <c r="BT136" s="9">
        <f t="shared" si="35"/>
        <v>0</v>
      </c>
      <c r="BU136" s="9">
        <f t="shared" si="36"/>
        <v>0</v>
      </c>
      <c r="BV136" s="12">
        <f t="shared" si="37"/>
        <v>0</v>
      </c>
      <c r="BX136" s="12">
        <f t="shared" si="38"/>
        <v>0</v>
      </c>
      <c r="BY136" s="12">
        <f t="shared" si="39"/>
        <v>2.0857030881208044E-3</v>
      </c>
    </row>
    <row r="137" spans="1:77" x14ac:dyDescent="0.3">
      <c r="A137" s="1">
        <v>46223</v>
      </c>
      <c r="B137" s="8">
        <v>57.94</v>
      </c>
      <c r="C137" s="8">
        <v>194.21</v>
      </c>
      <c r="D137" s="9">
        <v>-5.8509889857997497E-3</v>
      </c>
      <c r="E137" s="9">
        <v>-5.1870799094590097E-3</v>
      </c>
      <c r="F137" s="8">
        <v>0</v>
      </c>
      <c r="G137" s="8">
        <v>0.78700000000000003</v>
      </c>
      <c r="H137" s="8">
        <v>0</v>
      </c>
      <c r="I137" s="8">
        <v>2.5777999999999999</v>
      </c>
      <c r="J137" s="8">
        <v>0</v>
      </c>
      <c r="K137" s="8">
        <v>0</v>
      </c>
      <c r="L137" s="8">
        <v>57.94</v>
      </c>
      <c r="M137" s="8">
        <v>194.21</v>
      </c>
      <c r="N137" s="10">
        <v>3.3519157749395898</v>
      </c>
      <c r="O137" s="10">
        <v>3.3517078484942102</v>
      </c>
      <c r="P137" s="10">
        <v>3.3509096261737898</v>
      </c>
      <c r="Q137" s="10">
        <v>3.3535494423361598</v>
      </c>
      <c r="R137" s="8">
        <v>194.19795274175399</v>
      </c>
      <c r="S137" s="8">
        <v>194.15525009869299</v>
      </c>
      <c r="T137" s="8">
        <v>194.36586164547899</v>
      </c>
      <c r="U137" s="9">
        <v>-6.2034045205022298E-5</v>
      </c>
      <c r="V137" s="9">
        <v>-2.8195056924259099E-4</v>
      </c>
      <c r="W137" s="9">
        <v>8.0221994839256095E-4</v>
      </c>
      <c r="X137" s="10">
        <v>3.3519157749395898</v>
      </c>
      <c r="Y137" s="10">
        <v>3.3517078484942102</v>
      </c>
      <c r="Z137" s="10">
        <v>3.3509096261737898</v>
      </c>
      <c r="AA137" s="10">
        <v>3.3535494423361598</v>
      </c>
      <c r="AB137" s="8">
        <v>194.19795274175399</v>
      </c>
      <c r="AC137" s="8">
        <v>194.15525009869299</v>
      </c>
      <c r="AD137" s="8">
        <v>194.36586164547899</v>
      </c>
      <c r="AE137" s="9">
        <v>-6.2034045205022298E-5</v>
      </c>
      <c r="AF137" s="9">
        <v>-2.8195056924259099E-4</v>
      </c>
      <c r="AG137" s="9">
        <v>8.0221994839256095E-4</v>
      </c>
      <c r="AZ137" s="9"/>
      <c r="BB137">
        <f t="shared" si="22"/>
        <v>0</v>
      </c>
      <c r="BC137">
        <f t="shared" si="23"/>
        <v>1</v>
      </c>
      <c r="BD137">
        <f t="shared" si="24"/>
        <v>0</v>
      </c>
      <c r="BE137">
        <f t="shared" si="20"/>
        <v>1</v>
      </c>
      <c r="BF137">
        <f t="shared" si="25"/>
        <v>0</v>
      </c>
      <c r="BG137" s="9">
        <f t="shared" si="26"/>
        <v>0</v>
      </c>
      <c r="BH137" s="9">
        <f t="shared" si="27"/>
        <v>0</v>
      </c>
      <c r="BI137" s="9">
        <f t="shared" si="28"/>
        <v>0</v>
      </c>
      <c r="BJ137" s="12">
        <f t="shared" si="29"/>
        <v>2.0857030881208044E-3</v>
      </c>
      <c r="BL137" s="9"/>
      <c r="BN137">
        <f t="shared" si="30"/>
        <v>0</v>
      </c>
      <c r="BO137">
        <f t="shared" si="31"/>
        <v>0</v>
      </c>
      <c r="BP137">
        <f t="shared" si="32"/>
        <v>0</v>
      </c>
      <c r="BQ137">
        <f t="shared" si="21"/>
        <v>1</v>
      </c>
      <c r="BR137">
        <f t="shared" si="33"/>
        <v>0</v>
      </c>
      <c r="BS137" s="9">
        <f t="shared" si="34"/>
        <v>0</v>
      </c>
      <c r="BT137" s="9">
        <f t="shared" si="35"/>
        <v>0</v>
      </c>
      <c r="BU137" s="9">
        <f t="shared" si="36"/>
        <v>0</v>
      </c>
      <c r="BV137" s="12">
        <f t="shared" si="37"/>
        <v>0</v>
      </c>
      <c r="BX137" s="12">
        <f t="shared" si="38"/>
        <v>0</v>
      </c>
      <c r="BY137" s="12">
        <f t="shared" si="39"/>
        <v>2.0857030881208044E-3</v>
      </c>
    </row>
    <row r="138" spans="1:77" x14ac:dyDescent="0.3">
      <c r="A138" s="1">
        <v>46224</v>
      </c>
      <c r="B138" s="8">
        <v>57.95</v>
      </c>
      <c r="C138" s="8">
        <v>194.22</v>
      </c>
      <c r="D138" s="9">
        <v>1.7257744455639E-4</v>
      </c>
      <c r="E138" s="9">
        <v>5.14893288479629E-5</v>
      </c>
      <c r="F138" s="8">
        <v>0</v>
      </c>
      <c r="G138" s="8">
        <v>0.78700000000000003</v>
      </c>
      <c r="H138" s="8">
        <v>0</v>
      </c>
      <c r="I138" s="8">
        <v>2.5777999999999999</v>
      </c>
      <c r="J138" s="8">
        <v>0</v>
      </c>
      <c r="K138" s="8">
        <v>0</v>
      </c>
      <c r="L138" s="8">
        <v>57.95</v>
      </c>
      <c r="M138" s="8">
        <v>194.22</v>
      </c>
      <c r="N138" s="10">
        <v>3.3515099223468501</v>
      </c>
      <c r="O138" s="10">
        <v>3.3517078484942102</v>
      </c>
      <c r="P138" s="10">
        <v>3.3510003160473398</v>
      </c>
      <c r="Q138" s="10">
        <v>3.3524496137781798</v>
      </c>
      <c r="R138" s="8">
        <v>194.231469820239</v>
      </c>
      <c r="S138" s="8">
        <v>194.185212836771</v>
      </c>
      <c r="T138" s="8">
        <v>194.33819018337999</v>
      </c>
      <c r="U138" s="9">
        <v>5.9054070503545602E-5</v>
      </c>
      <c r="V138" s="9">
        <v>-1.7912819999266801E-4</v>
      </c>
      <c r="W138" s="9">
        <v>6.0835257118139097E-4</v>
      </c>
      <c r="X138" s="10">
        <v>3.3515099223468501</v>
      </c>
      <c r="Y138" s="10">
        <v>3.3517078484942102</v>
      </c>
      <c r="Z138" s="10">
        <v>3.3510003160473398</v>
      </c>
      <c r="AA138" s="10">
        <v>3.3524496137781798</v>
      </c>
      <c r="AB138" s="8">
        <v>194.231469820239</v>
      </c>
      <c r="AC138" s="8">
        <v>194.185212836771</v>
      </c>
      <c r="AD138" s="8">
        <v>194.33819018337999</v>
      </c>
      <c r="AE138" s="9">
        <v>5.9054070503545602E-5</v>
      </c>
      <c r="AF138" s="9">
        <v>-1.7912819999266801E-4</v>
      </c>
      <c r="AG138" s="9">
        <v>6.0835257118139097E-4</v>
      </c>
      <c r="AZ138" s="9"/>
      <c r="BB138">
        <f t="shared" si="22"/>
        <v>0</v>
      </c>
      <c r="BC138">
        <f t="shared" si="23"/>
        <v>1</v>
      </c>
      <c r="BD138">
        <f t="shared" si="24"/>
        <v>0</v>
      </c>
      <c r="BE138">
        <f t="shared" si="20"/>
        <v>1</v>
      </c>
      <c r="BF138">
        <f t="shared" si="25"/>
        <v>0</v>
      </c>
      <c r="BG138" s="9">
        <f t="shared" si="26"/>
        <v>0</v>
      </c>
      <c r="BH138" s="9">
        <f t="shared" si="27"/>
        <v>0</v>
      </c>
      <c r="BI138" s="9">
        <f t="shared" si="28"/>
        <v>0</v>
      </c>
      <c r="BJ138" s="12">
        <f t="shared" si="29"/>
        <v>2.0857030881208044E-3</v>
      </c>
      <c r="BL138" s="9"/>
      <c r="BN138">
        <f t="shared" si="30"/>
        <v>0</v>
      </c>
      <c r="BO138">
        <f t="shared" si="31"/>
        <v>0</v>
      </c>
      <c r="BP138">
        <f t="shared" si="32"/>
        <v>0</v>
      </c>
      <c r="BQ138">
        <f t="shared" si="21"/>
        <v>1</v>
      </c>
      <c r="BR138">
        <f t="shared" si="33"/>
        <v>0</v>
      </c>
      <c r="BS138" s="9">
        <f t="shared" si="34"/>
        <v>0</v>
      </c>
      <c r="BT138" s="9">
        <f t="shared" si="35"/>
        <v>0</v>
      </c>
      <c r="BU138" s="9">
        <f t="shared" si="36"/>
        <v>0</v>
      </c>
      <c r="BV138" s="12">
        <f t="shared" si="37"/>
        <v>0</v>
      </c>
      <c r="BX138" s="12">
        <f t="shared" si="38"/>
        <v>0</v>
      </c>
      <c r="BY138" s="12">
        <f t="shared" si="39"/>
        <v>2.0857030881208044E-3</v>
      </c>
    </row>
    <row r="139" spans="1:77" x14ac:dyDescent="0.3">
      <c r="A139" s="1">
        <v>46225</v>
      </c>
      <c r="B139" s="8">
        <v>59.23</v>
      </c>
      <c r="C139" s="8">
        <v>198.41</v>
      </c>
      <c r="D139" s="9">
        <v>2.18476005031129E-2</v>
      </c>
      <c r="E139" s="9">
        <v>2.1344059640170901E-2</v>
      </c>
      <c r="F139" s="8">
        <v>0</v>
      </c>
      <c r="G139" s="8">
        <v>0.78700000000000003</v>
      </c>
      <c r="H139" s="8">
        <v>0</v>
      </c>
      <c r="I139" s="8">
        <v>2.5777999999999999</v>
      </c>
      <c r="J139" s="8">
        <v>0</v>
      </c>
      <c r="K139" s="8">
        <v>0</v>
      </c>
      <c r="L139" s="8">
        <v>59.23</v>
      </c>
      <c r="M139" s="8">
        <v>198.41</v>
      </c>
      <c r="N139" s="10">
        <v>3.34982272497045</v>
      </c>
      <c r="O139" s="10">
        <v>3.3517078484942102</v>
      </c>
      <c r="P139" s="10">
        <v>3.3507951848134199</v>
      </c>
      <c r="Q139" s="10">
        <v>3.3513067294081398</v>
      </c>
      <c r="R139" s="8">
        <v>198.52165586631199</v>
      </c>
      <c r="S139" s="8">
        <v>198.47974871948401</v>
      </c>
      <c r="T139" s="8">
        <v>198.56559062408101</v>
      </c>
      <c r="U139" s="9">
        <v>5.6259493344541203E-4</v>
      </c>
      <c r="V139" s="9">
        <v>3.5147655200116503E-4</v>
      </c>
      <c r="W139" s="9">
        <v>7.8388009602430096E-4</v>
      </c>
      <c r="X139" s="10">
        <v>3.34982272497045</v>
      </c>
      <c r="Y139" s="10">
        <v>3.3517078484942102</v>
      </c>
      <c r="Z139" s="10">
        <v>3.3507951848134199</v>
      </c>
      <c r="AA139" s="10">
        <v>3.3513067294081398</v>
      </c>
      <c r="AB139" s="8">
        <v>198.52165586631199</v>
      </c>
      <c r="AC139" s="8">
        <v>198.47974871948401</v>
      </c>
      <c r="AD139" s="8">
        <v>198.56559062408101</v>
      </c>
      <c r="AE139" s="9">
        <v>5.6259493344541203E-4</v>
      </c>
      <c r="AF139" s="9">
        <v>3.5147655200116503E-4</v>
      </c>
      <c r="AG139" s="9">
        <v>7.8388009602430096E-4</v>
      </c>
      <c r="AZ139" s="9"/>
      <c r="BB139">
        <f t="shared" si="22"/>
        <v>0</v>
      </c>
      <c r="BC139">
        <f t="shared" si="23"/>
        <v>1</v>
      </c>
      <c r="BD139">
        <f t="shared" si="24"/>
        <v>0</v>
      </c>
      <c r="BE139">
        <f t="shared" si="20"/>
        <v>1</v>
      </c>
      <c r="BF139">
        <f t="shared" si="25"/>
        <v>0</v>
      </c>
      <c r="BG139" s="9">
        <f t="shared" si="26"/>
        <v>0</v>
      </c>
      <c r="BH139" s="9">
        <f t="shared" si="27"/>
        <v>0</v>
      </c>
      <c r="BI139" s="9">
        <f t="shared" si="28"/>
        <v>0</v>
      </c>
      <c r="BJ139" s="12">
        <f t="shared" si="29"/>
        <v>2.0857030881208044E-3</v>
      </c>
      <c r="BL139" s="9"/>
      <c r="BN139">
        <f t="shared" si="30"/>
        <v>0</v>
      </c>
      <c r="BO139">
        <f t="shared" si="31"/>
        <v>0</v>
      </c>
      <c r="BP139">
        <f t="shared" si="32"/>
        <v>0</v>
      </c>
      <c r="BQ139">
        <f t="shared" si="21"/>
        <v>1</v>
      </c>
      <c r="BR139">
        <f t="shared" si="33"/>
        <v>0</v>
      </c>
      <c r="BS139" s="9">
        <f t="shared" si="34"/>
        <v>0</v>
      </c>
      <c r="BT139" s="9">
        <f t="shared" si="35"/>
        <v>0</v>
      </c>
      <c r="BU139" s="9">
        <f t="shared" si="36"/>
        <v>0</v>
      </c>
      <c r="BV139" s="12">
        <f t="shared" si="37"/>
        <v>0</v>
      </c>
      <c r="BX139" s="12">
        <f t="shared" si="38"/>
        <v>0</v>
      </c>
      <c r="BY139" s="12">
        <f t="shared" si="39"/>
        <v>2.0857030881208044E-3</v>
      </c>
    </row>
    <row r="140" spans="1:77" x14ac:dyDescent="0.3">
      <c r="A140" s="1">
        <v>46226</v>
      </c>
      <c r="B140" s="8">
        <v>59.5</v>
      </c>
      <c r="C140" s="8">
        <v>199.43</v>
      </c>
      <c r="D140" s="9">
        <v>4.5481422627103203E-3</v>
      </c>
      <c r="E140" s="9">
        <v>5.12770075875125E-3</v>
      </c>
      <c r="F140" s="8">
        <v>0</v>
      </c>
      <c r="G140" s="8">
        <v>0.78700000000000003</v>
      </c>
      <c r="H140" s="8">
        <v>0</v>
      </c>
      <c r="I140" s="8">
        <v>2.5777999999999999</v>
      </c>
      <c r="J140" s="8">
        <v>0</v>
      </c>
      <c r="K140" s="8">
        <v>0</v>
      </c>
      <c r="L140" s="8">
        <v>59.5</v>
      </c>
      <c r="M140" s="8">
        <v>199.43</v>
      </c>
      <c r="N140" s="10">
        <v>3.3517647058823501</v>
      </c>
      <c r="O140" s="10">
        <v>3.3517078484942102</v>
      </c>
      <c r="P140" s="10">
        <v>3.3508564955529101</v>
      </c>
      <c r="Q140" s="10">
        <v>3.35129748470907</v>
      </c>
      <c r="R140" s="8">
        <v>199.42661698540499</v>
      </c>
      <c r="S140" s="8">
        <v>199.37231349639899</v>
      </c>
      <c r="T140" s="8">
        <v>199.402750399784</v>
      </c>
      <c r="U140" s="9">
        <v>-1.6963562595457901E-5</v>
      </c>
      <c r="V140" s="9">
        <v>-2.8929874301635098E-4</v>
      </c>
      <c r="W140" s="9">
        <v>-1.3664675345878899E-4</v>
      </c>
      <c r="X140" s="10">
        <v>3.3517647058823501</v>
      </c>
      <c r="Y140" s="10">
        <v>3.3517078484942102</v>
      </c>
      <c r="Z140" s="10">
        <v>3.3508564955529101</v>
      </c>
      <c r="AA140" s="10">
        <v>3.35129748470907</v>
      </c>
      <c r="AB140" s="8">
        <v>199.42661698540499</v>
      </c>
      <c r="AC140" s="8">
        <v>199.37231349639899</v>
      </c>
      <c r="AD140" s="8">
        <v>199.402750399784</v>
      </c>
      <c r="AE140" s="9">
        <v>-1.6963562595457901E-5</v>
      </c>
      <c r="AF140" s="9">
        <v>-2.8929874301635098E-4</v>
      </c>
      <c r="AG140" s="9">
        <v>-1.3664675345878899E-4</v>
      </c>
      <c r="AZ140" s="9"/>
      <c r="BB140">
        <f t="shared" si="22"/>
        <v>0</v>
      </c>
      <c r="BC140">
        <f t="shared" si="23"/>
        <v>0</v>
      </c>
      <c r="BD140">
        <f t="shared" si="24"/>
        <v>0</v>
      </c>
      <c r="BE140">
        <f t="shared" si="20"/>
        <v>1</v>
      </c>
      <c r="BF140">
        <f t="shared" si="25"/>
        <v>0</v>
      </c>
      <c r="BG140" s="9">
        <f t="shared" si="26"/>
        <v>0</v>
      </c>
      <c r="BH140" s="9">
        <f t="shared" si="27"/>
        <v>0</v>
      </c>
      <c r="BI140" s="9">
        <f t="shared" si="28"/>
        <v>0</v>
      </c>
      <c r="BJ140" s="12">
        <f t="shared" si="29"/>
        <v>2.0857030881208044E-3</v>
      </c>
      <c r="BL140" s="9"/>
      <c r="BN140">
        <f t="shared" si="30"/>
        <v>0</v>
      </c>
      <c r="BO140">
        <f t="shared" si="31"/>
        <v>1</v>
      </c>
      <c r="BP140">
        <f t="shared" si="32"/>
        <v>0</v>
      </c>
      <c r="BQ140">
        <f t="shared" si="21"/>
        <v>1</v>
      </c>
      <c r="BR140">
        <f t="shared" si="33"/>
        <v>0</v>
      </c>
      <c r="BS140" s="9">
        <f t="shared" si="34"/>
        <v>0</v>
      </c>
      <c r="BT140" s="9">
        <f t="shared" si="35"/>
        <v>0</v>
      </c>
      <c r="BU140" s="9">
        <f t="shared" si="36"/>
        <v>0</v>
      </c>
      <c r="BV140" s="12">
        <f t="shared" si="37"/>
        <v>0</v>
      </c>
      <c r="BX140" s="12">
        <f t="shared" si="38"/>
        <v>0</v>
      </c>
      <c r="BY140" s="12">
        <f t="shared" si="39"/>
        <v>2.0857030881208044E-3</v>
      </c>
    </row>
    <row r="141" spans="1:77" x14ac:dyDescent="0.3">
      <c r="A141" s="1">
        <v>46227</v>
      </c>
      <c r="B141" s="8">
        <v>59.52</v>
      </c>
      <c r="C141" s="8">
        <v>199.46</v>
      </c>
      <c r="D141" s="9">
        <v>3.3607797325239301E-4</v>
      </c>
      <c r="E141" s="9">
        <v>1.5041740859158599E-4</v>
      </c>
      <c r="F141" s="8">
        <v>0</v>
      </c>
      <c r="G141" s="8">
        <v>0.78700000000000003</v>
      </c>
      <c r="H141" s="8">
        <v>0</v>
      </c>
      <c r="I141" s="8">
        <v>2.5777999999999999</v>
      </c>
      <c r="J141" s="8">
        <v>0</v>
      </c>
      <c r="K141" s="8">
        <v>0</v>
      </c>
      <c r="L141" s="8">
        <v>59.52</v>
      </c>
      <c r="M141" s="8">
        <v>199.46</v>
      </c>
      <c r="N141" s="10">
        <v>3.3511424731182702</v>
      </c>
      <c r="O141" s="10">
        <v>3.3517078484942102</v>
      </c>
      <c r="P141" s="10">
        <v>3.3508092872009798</v>
      </c>
      <c r="Q141" s="10">
        <v>3.3512065542194698</v>
      </c>
      <c r="R141" s="8">
        <v>199.493651142375</v>
      </c>
      <c r="S141" s="8">
        <v>199.44297861530899</v>
      </c>
      <c r="T141" s="8">
        <v>199.46922628988401</v>
      </c>
      <c r="U141" s="9">
        <v>1.68697002065418E-4</v>
      </c>
      <c r="V141" s="9">
        <v>-8.5340975691120704E-5</v>
      </c>
      <c r="W141" s="9">
        <v>4.62552717519611E-5</v>
      </c>
      <c r="X141" s="10">
        <v>3.3511424731182702</v>
      </c>
      <c r="Y141" s="10">
        <v>3.3517078484942102</v>
      </c>
      <c r="Z141" s="10">
        <v>3.3508092872009798</v>
      </c>
      <c r="AA141" s="10">
        <v>3.3512065542194698</v>
      </c>
      <c r="AB141" s="8">
        <v>199.493651142375</v>
      </c>
      <c r="AC141" s="8">
        <v>199.44297861530899</v>
      </c>
      <c r="AD141" s="8">
        <v>199.46922628988401</v>
      </c>
      <c r="AE141" s="9">
        <v>1.68697002065418E-4</v>
      </c>
      <c r="AF141" s="9">
        <v>-8.5340975691120704E-5</v>
      </c>
      <c r="AG141" s="9">
        <v>4.62552717519611E-5</v>
      </c>
      <c r="AZ141" s="9"/>
      <c r="BB141">
        <f t="shared" si="22"/>
        <v>0</v>
      </c>
      <c r="BC141">
        <f t="shared" si="23"/>
        <v>1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2.0857030881208044E-3</v>
      </c>
      <c r="BL141" s="9"/>
      <c r="BN141">
        <f t="shared" si="30"/>
        <v>0</v>
      </c>
      <c r="BO141">
        <f t="shared" si="31"/>
        <v>0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0</v>
      </c>
      <c r="BX141" s="12">
        <f t="shared" si="38"/>
        <v>0</v>
      </c>
      <c r="BY141" s="12">
        <f t="shared" si="39"/>
        <v>2.0857030881208044E-3</v>
      </c>
    </row>
    <row r="142" spans="1:77" x14ac:dyDescent="0.3">
      <c r="A142" s="1">
        <v>46230</v>
      </c>
      <c r="B142" s="8">
        <v>58.78</v>
      </c>
      <c r="C142" s="8">
        <v>197.01</v>
      </c>
      <c r="D142" s="9">
        <v>-1.2510729534065099E-2</v>
      </c>
      <c r="E142" s="9">
        <v>-1.2359226102730899E-2</v>
      </c>
      <c r="F142" s="8">
        <v>0</v>
      </c>
      <c r="G142" s="8">
        <v>0.78700000000000003</v>
      </c>
      <c r="H142" s="8">
        <v>0</v>
      </c>
      <c r="I142" s="8">
        <v>2.5777999999999999</v>
      </c>
      <c r="J142" s="8">
        <v>0</v>
      </c>
      <c r="K142" s="8">
        <v>0</v>
      </c>
      <c r="L142" s="8">
        <v>58.78</v>
      </c>
      <c r="M142" s="8">
        <v>197.01</v>
      </c>
      <c r="N142" s="10">
        <v>3.3516502211636601</v>
      </c>
      <c r="O142" s="10">
        <v>3.3517078484942102</v>
      </c>
      <c r="P142" s="10">
        <v>3.3508079820939898</v>
      </c>
      <c r="Q142" s="10">
        <v>3.3510357465077001</v>
      </c>
      <c r="R142" s="8">
        <v>197.01338733448901</v>
      </c>
      <c r="S142" s="8">
        <v>196.96056990167301</v>
      </c>
      <c r="T142" s="8">
        <v>196.98392125702</v>
      </c>
      <c r="U142" s="9">
        <v>1.7193570731079601E-5</v>
      </c>
      <c r="V142" s="9">
        <v>-2.5093294962486701E-4</v>
      </c>
      <c r="W142" s="9">
        <v>-1.3238144859783999E-4</v>
      </c>
      <c r="X142" s="10">
        <v>3.3516502211636601</v>
      </c>
      <c r="Y142" s="10">
        <v>3.3517078484942102</v>
      </c>
      <c r="Z142" s="10">
        <v>3.3508079820939898</v>
      </c>
      <c r="AA142" s="10">
        <v>3.3510357465077001</v>
      </c>
      <c r="AB142" s="8">
        <v>197.01338733448901</v>
      </c>
      <c r="AC142" s="8">
        <v>196.96056990167301</v>
      </c>
      <c r="AD142" s="8">
        <v>196.98392125702</v>
      </c>
      <c r="AE142" s="9">
        <v>1.7193570731079601E-5</v>
      </c>
      <c r="AF142" s="9">
        <v>-2.5093294962486701E-4</v>
      </c>
      <c r="AG142" s="9">
        <v>-1.3238144859783999E-4</v>
      </c>
      <c r="AZ142" s="9"/>
      <c r="BB142">
        <f t="shared" si="22"/>
        <v>0</v>
      </c>
      <c r="BC142">
        <f t="shared" si="23"/>
        <v>0</v>
      </c>
      <c r="BD142">
        <f t="shared" si="24"/>
        <v>0</v>
      </c>
      <c r="BE142">
        <f t="shared" si="20"/>
        <v>1</v>
      </c>
      <c r="BF142">
        <f t="shared" si="25"/>
        <v>0</v>
      </c>
      <c r="BG142" s="9">
        <f t="shared" si="26"/>
        <v>0</v>
      </c>
      <c r="BH142" s="9">
        <f t="shared" si="27"/>
        <v>0</v>
      </c>
      <c r="BI142" s="9">
        <f t="shared" si="28"/>
        <v>0</v>
      </c>
      <c r="BJ142" s="12">
        <f t="shared" si="29"/>
        <v>2.0857030881208044E-3</v>
      </c>
      <c r="BL142" s="9"/>
      <c r="BN142">
        <f t="shared" si="30"/>
        <v>0</v>
      </c>
      <c r="BO142">
        <f t="shared" si="31"/>
        <v>1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0</v>
      </c>
      <c r="BX142" s="12">
        <f t="shared" si="38"/>
        <v>0</v>
      </c>
      <c r="BY142" s="12">
        <f t="shared" si="39"/>
        <v>2.0857030881208044E-3</v>
      </c>
    </row>
    <row r="143" spans="1:77" x14ac:dyDescent="0.3">
      <c r="A143" s="1">
        <v>46231</v>
      </c>
      <c r="B143" s="8">
        <v>58.57</v>
      </c>
      <c r="C143" s="8">
        <v>196.22</v>
      </c>
      <c r="D143" s="9">
        <v>-3.5790408890804398E-3</v>
      </c>
      <c r="E143" s="9">
        <v>-4.0180101357461199E-3</v>
      </c>
      <c r="F143" s="8">
        <v>0</v>
      </c>
      <c r="G143" s="8">
        <v>0.78700000000000003</v>
      </c>
      <c r="H143" s="8">
        <v>0</v>
      </c>
      <c r="I143" s="8">
        <v>2.5777999999999999</v>
      </c>
      <c r="J143" s="8">
        <v>0</v>
      </c>
      <c r="K143" s="8">
        <v>0</v>
      </c>
      <c r="L143" s="8">
        <v>58.57</v>
      </c>
      <c r="M143" s="8">
        <v>196.22</v>
      </c>
      <c r="N143" s="10">
        <v>3.35017927266518</v>
      </c>
      <c r="O143" s="10">
        <v>3.3517078484942102</v>
      </c>
      <c r="P143" s="10">
        <v>3.3508123316279899</v>
      </c>
      <c r="Q143" s="10">
        <v>3.35085447899535</v>
      </c>
      <c r="R143" s="8">
        <v>196.30952868630601</v>
      </c>
      <c r="S143" s="8">
        <v>196.25682351124499</v>
      </c>
      <c r="T143" s="8">
        <v>196.27016367295599</v>
      </c>
      <c r="U143" s="9">
        <v>4.5616281739675599E-4</v>
      </c>
      <c r="V143" s="9">
        <v>1.87646806881816E-4</v>
      </c>
      <c r="W143" s="9">
        <v>2.5561747973442599E-4</v>
      </c>
      <c r="X143" s="10">
        <v>3.35017927266518</v>
      </c>
      <c r="Y143" s="10">
        <v>3.3517078484942102</v>
      </c>
      <c r="Z143" s="10">
        <v>3.3508123316279899</v>
      </c>
      <c r="AA143" s="10">
        <v>3.35085447899535</v>
      </c>
      <c r="AB143" s="8">
        <v>196.30952868630601</v>
      </c>
      <c r="AC143" s="8">
        <v>196.25682351124499</v>
      </c>
      <c r="AD143" s="8">
        <v>196.27016367295599</v>
      </c>
      <c r="AE143" s="9">
        <v>4.5616281739675599E-4</v>
      </c>
      <c r="AF143" s="9">
        <v>1.87646806881816E-4</v>
      </c>
      <c r="AG143" s="9">
        <v>2.5561747973442599E-4</v>
      </c>
      <c r="AZ143" s="9"/>
      <c r="BB143">
        <f t="shared" si="22"/>
        <v>0</v>
      </c>
      <c r="BC143">
        <f t="shared" si="23"/>
        <v>1</v>
      </c>
      <c r="BD143">
        <f t="shared" si="24"/>
        <v>0</v>
      </c>
      <c r="BE143">
        <f t="shared" si="20"/>
        <v>1</v>
      </c>
      <c r="BF143">
        <f t="shared" si="25"/>
        <v>0</v>
      </c>
      <c r="BG143" s="9">
        <f t="shared" si="26"/>
        <v>0</v>
      </c>
      <c r="BH143" s="9">
        <f t="shared" si="27"/>
        <v>0</v>
      </c>
      <c r="BI143" s="9">
        <f t="shared" si="28"/>
        <v>0</v>
      </c>
      <c r="BJ143" s="12">
        <f t="shared" si="29"/>
        <v>2.0857030881208044E-3</v>
      </c>
      <c r="BL143" s="9"/>
      <c r="BN143">
        <f t="shared" si="30"/>
        <v>0</v>
      </c>
      <c r="BO143">
        <f t="shared" si="31"/>
        <v>0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0</v>
      </c>
      <c r="BX143" s="12">
        <f t="shared" si="38"/>
        <v>0</v>
      </c>
      <c r="BY143" s="12">
        <f t="shared" si="39"/>
        <v>2.0857030881208044E-3</v>
      </c>
    </row>
    <row r="144" spans="1:77" x14ac:dyDescent="0.3">
      <c r="A144" s="1">
        <v>46232</v>
      </c>
      <c r="B144" s="8">
        <v>57.77</v>
      </c>
      <c r="C144" s="8">
        <v>193.47</v>
      </c>
      <c r="D144" s="9">
        <v>-1.3753010308516601E-2</v>
      </c>
      <c r="E144" s="9">
        <v>-1.4114017044849001E-2</v>
      </c>
      <c r="F144" s="8">
        <v>0</v>
      </c>
      <c r="G144" s="8">
        <v>0.78700000000000003</v>
      </c>
      <c r="H144" s="8">
        <v>0</v>
      </c>
      <c r="I144" s="8">
        <v>2.5777999999999999</v>
      </c>
      <c r="J144" s="8">
        <v>0</v>
      </c>
      <c r="K144" s="8">
        <v>0</v>
      </c>
      <c r="L144" s="8">
        <v>57.77</v>
      </c>
      <c r="M144" s="8">
        <v>193.47</v>
      </c>
      <c r="N144" s="10">
        <v>3.34897005366106</v>
      </c>
      <c r="O144" s="10">
        <v>3.3517078484942102</v>
      </c>
      <c r="P144" s="10">
        <v>3.35062882997115</v>
      </c>
      <c r="Q144" s="10">
        <v>3.3507832966390398</v>
      </c>
      <c r="R144" s="8">
        <v>193.62816240750999</v>
      </c>
      <c r="S144" s="8">
        <v>193.57642839814901</v>
      </c>
      <c r="T144" s="8">
        <v>193.57886325156099</v>
      </c>
      <c r="U144" s="9">
        <v>8.1716955372931497E-4</v>
      </c>
      <c r="V144" s="9">
        <v>5.49951597653798E-4</v>
      </c>
      <c r="W144" s="9">
        <v>5.6252977217395605E-4</v>
      </c>
      <c r="X144" s="10">
        <v>3.34897005366106</v>
      </c>
      <c r="Y144" s="10">
        <v>3.3517078484942102</v>
      </c>
      <c r="Z144" s="10">
        <v>3.35062882997115</v>
      </c>
      <c r="AA144" s="10">
        <v>3.3507832966390398</v>
      </c>
      <c r="AB144" s="8">
        <v>193.62816240750999</v>
      </c>
      <c r="AC144" s="8">
        <v>193.57642839814901</v>
      </c>
      <c r="AD144" s="8">
        <v>193.57886325156099</v>
      </c>
      <c r="AE144" s="9">
        <v>8.1716955372931497E-4</v>
      </c>
      <c r="AF144" s="9">
        <v>5.49951597653798E-4</v>
      </c>
      <c r="AG144" s="9">
        <v>5.6252977217395605E-4</v>
      </c>
      <c r="AZ144" s="9"/>
      <c r="BB144">
        <f t="shared" si="22"/>
        <v>0</v>
      </c>
      <c r="BC144">
        <f t="shared" si="23"/>
        <v>1</v>
      </c>
      <c r="BD144">
        <f t="shared" si="24"/>
        <v>0</v>
      </c>
      <c r="BE144">
        <f t="shared" si="20"/>
        <v>1</v>
      </c>
      <c r="BF144">
        <f t="shared" si="25"/>
        <v>0</v>
      </c>
      <c r="BG144" s="9">
        <f t="shared" si="26"/>
        <v>0</v>
      </c>
      <c r="BH144" s="9">
        <f t="shared" si="27"/>
        <v>0</v>
      </c>
      <c r="BI144" s="9">
        <f t="shared" si="28"/>
        <v>0</v>
      </c>
      <c r="BJ144" s="12">
        <f t="shared" si="29"/>
        <v>2.0857030881208044E-3</v>
      </c>
      <c r="BL144" s="9"/>
      <c r="BN144">
        <f t="shared" si="30"/>
        <v>0</v>
      </c>
      <c r="BO144">
        <f t="shared" si="31"/>
        <v>0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0</v>
      </c>
      <c r="BX144" s="12">
        <f t="shared" si="38"/>
        <v>0</v>
      </c>
      <c r="BY144" s="12">
        <f t="shared" si="39"/>
        <v>2.0857030881208044E-3</v>
      </c>
    </row>
    <row r="145" spans="1:77" x14ac:dyDescent="0.3">
      <c r="A145" s="1">
        <v>46233</v>
      </c>
      <c r="B145" s="8">
        <v>57.49</v>
      </c>
      <c r="C145" s="8">
        <v>192.58</v>
      </c>
      <c r="D145" s="9">
        <v>-4.8585901579746398E-3</v>
      </c>
      <c r="E145" s="9">
        <v>-4.61080987825771E-3</v>
      </c>
      <c r="F145" s="8">
        <v>0</v>
      </c>
      <c r="G145" s="8">
        <v>0.78700000000000003</v>
      </c>
      <c r="H145" s="8">
        <v>0</v>
      </c>
      <c r="I145" s="8">
        <v>2.5777999999999999</v>
      </c>
      <c r="J145" s="8">
        <v>0</v>
      </c>
      <c r="K145" s="8">
        <v>0</v>
      </c>
      <c r="L145" s="8">
        <v>57.49</v>
      </c>
      <c r="M145" s="8">
        <v>192.58</v>
      </c>
      <c r="N145" s="10">
        <v>3.3497999652113402</v>
      </c>
      <c r="O145" s="10">
        <v>3.3517078484942102</v>
      </c>
      <c r="P145" s="10">
        <v>3.3506446260149501</v>
      </c>
      <c r="Q145" s="10">
        <v>3.3507867194622198</v>
      </c>
      <c r="R145" s="8">
        <v>192.68968420993201</v>
      </c>
      <c r="S145" s="8">
        <v>192.627651435041</v>
      </c>
      <c r="T145" s="8">
        <v>192.63653172377801</v>
      </c>
      <c r="U145" s="9">
        <v>5.6938927401231805E-4</v>
      </c>
      <c r="V145" s="9">
        <v>2.4740648378637601E-4</v>
      </c>
      <c r="W145" s="9">
        <v>2.9350622067726402E-4</v>
      </c>
      <c r="X145" s="10">
        <v>3.3497999652113402</v>
      </c>
      <c r="Y145" s="10">
        <v>3.3517078484942102</v>
      </c>
      <c r="Z145" s="10">
        <v>3.3506446260149501</v>
      </c>
      <c r="AA145" s="10">
        <v>3.3507867194622198</v>
      </c>
      <c r="AB145" s="8">
        <v>192.68968420993201</v>
      </c>
      <c r="AC145" s="8">
        <v>192.627651435041</v>
      </c>
      <c r="AD145" s="8">
        <v>192.63653172377801</v>
      </c>
      <c r="AE145" s="9">
        <v>5.6938927401231805E-4</v>
      </c>
      <c r="AF145" s="9">
        <v>2.4740648378637601E-4</v>
      </c>
      <c r="AG145" s="9">
        <v>2.9350622067726402E-4</v>
      </c>
      <c r="AZ145" s="9"/>
      <c r="BB145">
        <f t="shared" si="22"/>
        <v>0</v>
      </c>
      <c r="BC145">
        <f t="shared" si="23"/>
        <v>1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2.0857030881208044E-3</v>
      </c>
      <c r="BL145" s="9"/>
      <c r="BN145">
        <f t="shared" si="30"/>
        <v>0</v>
      </c>
      <c r="BO145">
        <f t="shared" si="31"/>
        <v>0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0</v>
      </c>
      <c r="BX145" s="12">
        <f t="shared" si="38"/>
        <v>0</v>
      </c>
      <c r="BY145" s="12">
        <f t="shared" si="39"/>
        <v>2.0857030881208044E-3</v>
      </c>
    </row>
    <row r="146" spans="1:77" x14ac:dyDescent="0.3">
      <c r="A146" s="1">
        <v>46234</v>
      </c>
      <c r="B146" s="8">
        <v>57.09</v>
      </c>
      <c r="C146" s="8">
        <v>191.22</v>
      </c>
      <c r="D146" s="9">
        <v>-6.9820496590317499E-3</v>
      </c>
      <c r="E146" s="9">
        <v>-7.0870541548379304E-3</v>
      </c>
      <c r="F146" s="8">
        <v>0</v>
      </c>
      <c r="G146" s="8">
        <v>0.78700000000000003</v>
      </c>
      <c r="H146" s="8">
        <v>0</v>
      </c>
      <c r="I146" s="8">
        <v>2.5777999999999999</v>
      </c>
      <c r="J146" s="8">
        <v>0</v>
      </c>
      <c r="K146" s="8">
        <v>0</v>
      </c>
      <c r="L146" s="8">
        <v>57.09</v>
      </c>
      <c r="M146" s="8">
        <v>191.22</v>
      </c>
      <c r="N146" s="10">
        <v>3.3494482396216498</v>
      </c>
      <c r="O146" s="10">
        <v>3.3517078484942102</v>
      </c>
      <c r="P146" s="10">
        <v>3.3506203353580402</v>
      </c>
      <c r="Q146" s="10">
        <v>3.35079558447823</v>
      </c>
      <c r="R146" s="8">
        <v>191.349001070534</v>
      </c>
      <c r="S146" s="8">
        <v>191.28830169919399</v>
      </c>
      <c r="T146" s="8">
        <v>191.296413814098</v>
      </c>
      <c r="U146" s="9">
        <v>6.7439376981868495E-4</v>
      </c>
      <c r="V146" s="9">
        <v>3.5712532050456898E-4</v>
      </c>
      <c r="W146" s="9">
        <v>3.99532215379158E-4</v>
      </c>
      <c r="X146" s="10">
        <v>3.3494482396216498</v>
      </c>
      <c r="Y146" s="10">
        <v>3.3517078484942102</v>
      </c>
      <c r="Z146" s="10">
        <v>3.3506203353580402</v>
      </c>
      <c r="AA146" s="10">
        <v>3.35079558447823</v>
      </c>
      <c r="AB146" s="8">
        <v>191.349001070534</v>
      </c>
      <c r="AC146" s="8">
        <v>191.28830169919399</v>
      </c>
      <c r="AD146" s="8">
        <v>191.296413814098</v>
      </c>
      <c r="AE146" s="9">
        <v>6.7439376981868495E-4</v>
      </c>
      <c r="AF146" s="9">
        <v>3.5712532050456898E-4</v>
      </c>
      <c r="AG146" s="9">
        <v>3.99532215379158E-4</v>
      </c>
      <c r="AZ146" s="9"/>
      <c r="BB146">
        <f t="shared" si="22"/>
        <v>0</v>
      </c>
      <c r="BC146">
        <f t="shared" si="23"/>
        <v>1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2.0857030881208044E-3</v>
      </c>
      <c r="BL146" s="9"/>
      <c r="BN146">
        <f t="shared" si="30"/>
        <v>0</v>
      </c>
      <c r="BO146">
        <f t="shared" si="31"/>
        <v>0</v>
      </c>
      <c r="BP146">
        <f t="shared" si="32"/>
        <v>0</v>
      </c>
      <c r="BQ146">
        <f t="shared" si="21"/>
        <v>1</v>
      </c>
      <c r="BR146">
        <f t="shared" si="33"/>
        <v>0</v>
      </c>
      <c r="BS146" s="9">
        <f t="shared" si="34"/>
        <v>0</v>
      </c>
      <c r="BT146" s="9">
        <f t="shared" si="35"/>
        <v>0</v>
      </c>
      <c r="BU146" s="9">
        <f t="shared" si="36"/>
        <v>0</v>
      </c>
      <c r="BV146" s="12">
        <f t="shared" si="37"/>
        <v>0</v>
      </c>
      <c r="BX146" s="12">
        <f t="shared" si="38"/>
        <v>0</v>
      </c>
      <c r="BY146" s="12">
        <f t="shared" si="39"/>
        <v>2.0857030881208044E-3</v>
      </c>
    </row>
    <row r="147" spans="1:77" x14ac:dyDescent="0.3">
      <c r="A147" s="1">
        <v>46237</v>
      </c>
      <c r="B147" s="8">
        <v>57.18</v>
      </c>
      <c r="C147" s="8">
        <v>191.55</v>
      </c>
      <c r="D147" s="9">
        <v>1.5752169179979599E-3</v>
      </c>
      <c r="E147" s="9">
        <v>1.72427348935793E-3</v>
      </c>
      <c r="F147" s="8">
        <v>0</v>
      </c>
      <c r="G147" s="8">
        <v>0.78700000000000003</v>
      </c>
      <c r="H147" s="8">
        <v>0</v>
      </c>
      <c r="I147" s="8">
        <v>2.5777999999999999</v>
      </c>
      <c r="J147" s="8">
        <v>0</v>
      </c>
      <c r="K147" s="8">
        <v>0</v>
      </c>
      <c r="L147" s="8">
        <v>57.18</v>
      </c>
      <c r="M147" s="8">
        <v>191.55</v>
      </c>
      <c r="N147" s="10">
        <v>3.3499475341028302</v>
      </c>
      <c r="O147" s="10">
        <v>3.3517078484942102</v>
      </c>
      <c r="P147" s="10">
        <v>3.3504235112743599</v>
      </c>
      <c r="Q147" s="10">
        <v>3.3506665687240802</v>
      </c>
      <c r="R147" s="8">
        <v>191.65065477689899</v>
      </c>
      <c r="S147" s="8">
        <v>191.58847077577201</v>
      </c>
      <c r="T147" s="8">
        <v>191.59849152046499</v>
      </c>
      <c r="U147" s="9">
        <v>5.25337198458564E-4</v>
      </c>
      <c r="V147" s="9">
        <v>2.0081917550240799E-4</v>
      </c>
      <c r="W147" s="9">
        <v>2.5312129264571298E-4</v>
      </c>
      <c r="X147" s="10">
        <v>3.3499475341028302</v>
      </c>
      <c r="Y147" s="10">
        <v>3.3517078484942102</v>
      </c>
      <c r="Z147" s="10">
        <v>3.3504235112743599</v>
      </c>
      <c r="AA147" s="10">
        <v>3.3506665687240802</v>
      </c>
      <c r="AB147" s="8">
        <v>191.65065477689899</v>
      </c>
      <c r="AC147" s="8">
        <v>191.58847077577201</v>
      </c>
      <c r="AD147" s="8">
        <v>191.59849152046499</v>
      </c>
      <c r="AE147" s="9">
        <v>5.25337198458564E-4</v>
      </c>
      <c r="AF147" s="9">
        <v>2.0081917550240799E-4</v>
      </c>
      <c r="AG147" s="9">
        <v>2.5312129264571298E-4</v>
      </c>
      <c r="AZ147" s="9"/>
      <c r="BB147">
        <f t="shared" si="22"/>
        <v>0</v>
      </c>
      <c r="BC147">
        <f t="shared" si="23"/>
        <v>1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2.0857030881208044E-3</v>
      </c>
      <c r="BL147" s="9"/>
      <c r="BN147">
        <f t="shared" si="30"/>
        <v>0</v>
      </c>
      <c r="BO147">
        <f t="shared" si="31"/>
        <v>0</v>
      </c>
      <c r="BP147">
        <f t="shared" si="32"/>
        <v>0</v>
      </c>
      <c r="BQ147">
        <f t="shared" si="21"/>
        <v>1</v>
      </c>
      <c r="BR147">
        <f t="shared" si="33"/>
        <v>0</v>
      </c>
      <c r="BS147" s="9">
        <f t="shared" si="34"/>
        <v>0</v>
      </c>
      <c r="BT147" s="9">
        <f t="shared" si="35"/>
        <v>0</v>
      </c>
      <c r="BU147" s="9">
        <f t="shared" si="36"/>
        <v>0</v>
      </c>
      <c r="BV147" s="12">
        <f t="shared" si="37"/>
        <v>0</v>
      </c>
      <c r="BX147" s="12">
        <f t="shared" si="38"/>
        <v>0</v>
      </c>
      <c r="BY147" s="12">
        <f t="shared" si="39"/>
        <v>2.0857030881208044E-3</v>
      </c>
    </row>
    <row r="148" spans="1:77" x14ac:dyDescent="0.3">
      <c r="A148" s="1">
        <v>46238</v>
      </c>
      <c r="B148" s="8">
        <v>56.88</v>
      </c>
      <c r="C148" s="8">
        <v>190.54</v>
      </c>
      <c r="D148" s="9">
        <v>-5.2604013991802701E-3</v>
      </c>
      <c r="E148" s="9">
        <v>-5.2867248680247498E-3</v>
      </c>
      <c r="F148" s="8">
        <v>0</v>
      </c>
      <c r="G148" s="8">
        <v>0.78700000000000003</v>
      </c>
      <c r="H148" s="8">
        <v>0</v>
      </c>
      <c r="I148" s="8">
        <v>2.5777999999999999</v>
      </c>
      <c r="J148" s="8">
        <v>0</v>
      </c>
      <c r="K148" s="8">
        <v>0</v>
      </c>
      <c r="L148" s="8">
        <v>56.88</v>
      </c>
      <c r="M148" s="8">
        <v>190.54</v>
      </c>
      <c r="N148" s="10">
        <v>3.3498593530238998</v>
      </c>
      <c r="O148" s="10">
        <v>3.3517078484942102</v>
      </c>
      <c r="P148" s="10">
        <v>3.3502584543420699</v>
      </c>
      <c r="Q148" s="10">
        <v>3.3506293851947002</v>
      </c>
      <c r="R148" s="8">
        <v>190.64514242235001</v>
      </c>
      <c r="S148" s="8">
        <v>190.572089321286</v>
      </c>
      <c r="T148" s="8">
        <v>190.585914429025</v>
      </c>
      <c r="U148" s="9">
        <v>5.5166066730280995E-4</v>
      </c>
      <c r="V148" s="9">
        <v>1.6839833876195799E-4</v>
      </c>
      <c r="W148" s="9">
        <v>2.4094099881215501E-4</v>
      </c>
      <c r="X148" s="10">
        <v>3.3498593530238998</v>
      </c>
      <c r="Y148" s="10">
        <v>3.3517078484942102</v>
      </c>
      <c r="Z148" s="10">
        <v>3.3502584543420699</v>
      </c>
      <c r="AA148" s="10">
        <v>3.3506293851947002</v>
      </c>
      <c r="AB148" s="8">
        <v>190.64514242235001</v>
      </c>
      <c r="AC148" s="8">
        <v>190.572089321286</v>
      </c>
      <c r="AD148" s="8">
        <v>190.585914429025</v>
      </c>
      <c r="AE148" s="9">
        <v>5.5166066730280995E-4</v>
      </c>
      <c r="AF148" s="9">
        <v>1.6839833876195799E-4</v>
      </c>
      <c r="AG148" s="9">
        <v>2.4094099881215501E-4</v>
      </c>
      <c r="AZ148" s="9"/>
      <c r="BB148">
        <f t="shared" si="22"/>
        <v>0</v>
      </c>
      <c r="BC148">
        <f t="shared" si="23"/>
        <v>1</v>
      </c>
      <c r="BD148">
        <f t="shared" si="24"/>
        <v>0</v>
      </c>
      <c r="BE148">
        <f t="shared" si="20"/>
        <v>1</v>
      </c>
      <c r="BF148">
        <f t="shared" si="25"/>
        <v>0</v>
      </c>
      <c r="BG148" s="9">
        <f t="shared" si="26"/>
        <v>0</v>
      </c>
      <c r="BH148" s="9">
        <f t="shared" si="27"/>
        <v>0</v>
      </c>
      <c r="BI148" s="9">
        <f t="shared" si="28"/>
        <v>0</v>
      </c>
      <c r="BJ148" s="12">
        <f t="shared" si="29"/>
        <v>2.0857030881208044E-3</v>
      </c>
      <c r="BL148" s="9"/>
      <c r="BN148">
        <f t="shared" si="30"/>
        <v>0</v>
      </c>
      <c r="BO148">
        <f t="shared" si="31"/>
        <v>0</v>
      </c>
      <c r="BP148">
        <f t="shared" si="32"/>
        <v>0</v>
      </c>
      <c r="BQ148">
        <f t="shared" si="21"/>
        <v>1</v>
      </c>
      <c r="BR148">
        <f t="shared" si="33"/>
        <v>0</v>
      </c>
      <c r="BS148" s="9">
        <f t="shared" si="34"/>
        <v>0</v>
      </c>
      <c r="BT148" s="9">
        <f t="shared" si="35"/>
        <v>0</v>
      </c>
      <c r="BU148" s="9">
        <f t="shared" si="36"/>
        <v>0</v>
      </c>
      <c r="BV148" s="12">
        <f t="shared" si="37"/>
        <v>0</v>
      </c>
      <c r="BX148" s="12">
        <f t="shared" si="38"/>
        <v>0</v>
      </c>
      <c r="BY148" s="12">
        <f t="shared" si="39"/>
        <v>2.0857030881208044E-3</v>
      </c>
    </row>
    <row r="149" spans="1:77" x14ac:dyDescent="0.3">
      <c r="A149" s="1">
        <v>46239</v>
      </c>
      <c r="B149" s="8">
        <v>56.28</v>
      </c>
      <c r="C149" s="8">
        <v>188.61</v>
      </c>
      <c r="D149" s="9">
        <v>-1.06045532487971E-2</v>
      </c>
      <c r="E149" s="9">
        <v>-1.01807552155538E-2</v>
      </c>
      <c r="F149" s="8">
        <v>0</v>
      </c>
      <c r="G149" s="8">
        <v>0.78700000000000003</v>
      </c>
      <c r="H149" s="8">
        <v>0</v>
      </c>
      <c r="I149" s="8">
        <v>2.5777999999999999</v>
      </c>
      <c r="J149" s="8">
        <v>0</v>
      </c>
      <c r="K149" s="8">
        <v>0</v>
      </c>
      <c r="L149" s="8">
        <v>56.28</v>
      </c>
      <c r="M149" s="8">
        <v>188.61</v>
      </c>
      <c r="N149" s="10">
        <v>3.35127931769722</v>
      </c>
      <c r="O149" s="10">
        <v>3.3517078484942102</v>
      </c>
      <c r="P149" s="10">
        <v>3.3504041136147502</v>
      </c>
      <c r="Q149" s="10">
        <v>3.3505996492140899</v>
      </c>
      <c r="R149" s="8">
        <v>188.634117713254</v>
      </c>
      <c r="S149" s="8">
        <v>188.55254581037099</v>
      </c>
      <c r="T149" s="8">
        <v>188.57342179875801</v>
      </c>
      <c r="U149" s="9">
        <v>1.27862634059578E-4</v>
      </c>
      <c r="V149" s="9">
        <v>-3.0466540599389402E-4</v>
      </c>
      <c r="W149" s="9">
        <v>-1.93954448909851E-4</v>
      </c>
      <c r="X149" s="10">
        <v>3.35127931769722</v>
      </c>
      <c r="Y149" s="10">
        <v>3.3517078484942102</v>
      </c>
      <c r="Z149" s="10">
        <v>3.3504041136147502</v>
      </c>
      <c r="AA149" s="10">
        <v>3.3505996492140899</v>
      </c>
      <c r="AB149" s="8">
        <v>188.634117713254</v>
      </c>
      <c r="AC149" s="8">
        <v>188.55254581037099</v>
      </c>
      <c r="AD149" s="8">
        <v>188.57342179875801</v>
      </c>
      <c r="AE149" s="9">
        <v>1.27862634059578E-4</v>
      </c>
      <c r="AF149" s="9">
        <v>-3.0466540599389402E-4</v>
      </c>
      <c r="AG149" s="9">
        <v>-1.93954448909851E-4</v>
      </c>
      <c r="AZ149" s="9"/>
      <c r="BB149">
        <f t="shared" si="22"/>
        <v>0</v>
      </c>
      <c r="BC149">
        <f t="shared" si="23"/>
        <v>0</v>
      </c>
      <c r="BD149">
        <f t="shared" si="24"/>
        <v>0</v>
      </c>
      <c r="BE149">
        <f t="shared" si="20"/>
        <v>1</v>
      </c>
      <c r="BF149">
        <f t="shared" si="25"/>
        <v>0</v>
      </c>
      <c r="BG149" s="9">
        <f t="shared" si="26"/>
        <v>0</v>
      </c>
      <c r="BH149" s="9">
        <f t="shared" si="27"/>
        <v>0</v>
      </c>
      <c r="BI149" s="9">
        <f t="shared" si="28"/>
        <v>0</v>
      </c>
      <c r="BJ149" s="12">
        <f t="shared" si="29"/>
        <v>2.0857030881208044E-3</v>
      </c>
      <c r="BL149" s="9"/>
      <c r="BN149">
        <f t="shared" si="30"/>
        <v>0</v>
      </c>
      <c r="BO149">
        <f t="shared" si="31"/>
        <v>1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0</v>
      </c>
      <c r="BX149" s="12">
        <f t="shared" si="38"/>
        <v>0</v>
      </c>
      <c r="BY149" s="12">
        <f t="shared" si="39"/>
        <v>2.0857030881208044E-3</v>
      </c>
    </row>
    <row r="150" spans="1:77" x14ac:dyDescent="0.3">
      <c r="A150" s="1">
        <v>46240</v>
      </c>
      <c r="B150" s="8">
        <v>55.99</v>
      </c>
      <c r="C150" s="8">
        <v>187.64</v>
      </c>
      <c r="D150" s="9">
        <v>-5.1661288853864099E-3</v>
      </c>
      <c r="E150" s="9">
        <v>-5.1561576028222502E-3</v>
      </c>
      <c r="F150" s="8">
        <v>0</v>
      </c>
      <c r="G150" s="8">
        <v>0.78700000000000003</v>
      </c>
      <c r="H150" s="8">
        <v>0</v>
      </c>
      <c r="I150" s="8">
        <v>2.5777999999999999</v>
      </c>
      <c r="J150" s="8">
        <v>0</v>
      </c>
      <c r="K150" s="8">
        <v>0</v>
      </c>
      <c r="L150" s="8">
        <v>55.99</v>
      </c>
      <c r="M150" s="8">
        <v>187.64</v>
      </c>
      <c r="N150" s="10">
        <v>3.3513127344168598</v>
      </c>
      <c r="O150" s="10">
        <v>3.3517078484942102</v>
      </c>
      <c r="P150" s="10">
        <v>3.3503589164681999</v>
      </c>
      <c r="Q150" s="10">
        <v>3.3506077060105599</v>
      </c>
      <c r="R150" s="8">
        <v>187.66212243719099</v>
      </c>
      <c r="S150" s="8">
        <v>187.589126321289</v>
      </c>
      <c r="T150" s="8">
        <v>187.60007435949601</v>
      </c>
      <c r="U150" s="9">
        <v>1.17891351495519E-4</v>
      </c>
      <c r="V150" s="9">
        <v>-2.7116060802911501E-4</v>
      </c>
      <c r="W150" s="9">
        <v>-2.1280051562652799E-4</v>
      </c>
      <c r="X150" s="10">
        <v>3.3513127344168598</v>
      </c>
      <c r="Y150" s="10">
        <v>3.3517078484942102</v>
      </c>
      <c r="Z150" s="10">
        <v>3.3503589164681999</v>
      </c>
      <c r="AA150" s="10">
        <v>3.3506077060105599</v>
      </c>
      <c r="AB150" s="8">
        <v>187.66212243719099</v>
      </c>
      <c r="AC150" s="8">
        <v>187.589126321289</v>
      </c>
      <c r="AD150" s="8">
        <v>187.60007435949601</v>
      </c>
      <c r="AE150" s="9">
        <v>1.17891351495519E-4</v>
      </c>
      <c r="AF150" s="9">
        <v>-2.7116060802911501E-4</v>
      </c>
      <c r="AG150" s="9">
        <v>-2.1280051562652799E-4</v>
      </c>
      <c r="AZ150" s="9"/>
      <c r="BB150">
        <f t="shared" si="22"/>
        <v>0</v>
      </c>
      <c r="BC150">
        <f t="shared" si="23"/>
        <v>0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2.0857030881208044E-3</v>
      </c>
      <c r="BL150" s="9"/>
      <c r="BN150">
        <f t="shared" si="30"/>
        <v>0</v>
      </c>
      <c r="BO150">
        <f t="shared" si="31"/>
        <v>1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0</v>
      </c>
      <c r="BX150" s="12">
        <f t="shared" si="38"/>
        <v>0</v>
      </c>
      <c r="BY150" s="12">
        <f t="shared" si="39"/>
        <v>2.0857030881208044E-3</v>
      </c>
    </row>
    <row r="151" spans="1:77" x14ac:dyDescent="0.3">
      <c r="A151" s="1">
        <v>46241</v>
      </c>
      <c r="B151" s="8">
        <v>56.36</v>
      </c>
      <c r="C151" s="8">
        <v>188.86</v>
      </c>
      <c r="D151" s="9">
        <v>6.5865836696775001E-3</v>
      </c>
      <c r="E151" s="9">
        <v>6.4807663746659899E-3</v>
      </c>
      <c r="F151" s="8">
        <v>0</v>
      </c>
      <c r="G151" s="8">
        <v>0.78700000000000003</v>
      </c>
      <c r="H151" s="8">
        <v>0</v>
      </c>
      <c r="I151" s="8">
        <v>2.5777999999999999</v>
      </c>
      <c r="J151" s="8">
        <v>0</v>
      </c>
      <c r="K151" s="8">
        <v>0</v>
      </c>
      <c r="L151" s="8">
        <v>56.36</v>
      </c>
      <c r="M151" s="8">
        <v>188.86</v>
      </c>
      <c r="N151" s="10">
        <v>3.3509581263307302</v>
      </c>
      <c r="O151" s="10">
        <v>3.3517078484942102</v>
      </c>
      <c r="P151" s="10">
        <v>3.35034048178944</v>
      </c>
      <c r="Q151" s="10">
        <v>3.3505748844952099</v>
      </c>
      <c r="R151" s="8">
        <v>188.90225434113299</v>
      </c>
      <c r="S151" s="8">
        <v>188.82622853214701</v>
      </c>
      <c r="T151" s="8">
        <v>188.84025031075501</v>
      </c>
      <c r="U151" s="9">
        <v>2.2370864650705601E-4</v>
      </c>
      <c r="V151" s="9">
        <v>-1.7883346222836801E-4</v>
      </c>
      <c r="W151" s="9">
        <v>-1.04578640053961E-4</v>
      </c>
      <c r="X151" s="10">
        <v>3.3509581263307302</v>
      </c>
      <c r="Y151" s="10">
        <v>3.3517078484942102</v>
      </c>
      <c r="Z151" s="10">
        <v>3.35034048178944</v>
      </c>
      <c r="AA151" s="10">
        <v>3.3505748844952099</v>
      </c>
      <c r="AB151" s="8">
        <v>188.90225434113299</v>
      </c>
      <c r="AC151" s="8">
        <v>188.82622853214701</v>
      </c>
      <c r="AD151" s="8">
        <v>188.84025031075501</v>
      </c>
      <c r="AE151" s="9">
        <v>2.2370864650705601E-4</v>
      </c>
      <c r="AF151" s="9">
        <v>-1.7883346222836801E-4</v>
      </c>
      <c r="AG151" s="9">
        <v>-1.04578640053961E-4</v>
      </c>
      <c r="AZ151" s="9"/>
      <c r="BB151">
        <f t="shared" ref="BB151:BB167" si="42">IF($AG151&lt;BA$20,1,0)</f>
        <v>0</v>
      </c>
      <c r="BC151">
        <f t="shared" ref="BC151:BC167" si="43">IF($AG151&gt;BA$21,1,0)</f>
        <v>0</v>
      </c>
      <c r="BD151">
        <f t="shared" ref="BD151:BD167" si="44">BF151</f>
        <v>0</v>
      </c>
      <c r="BE151">
        <f t="shared" si="40"/>
        <v>1</v>
      </c>
      <c r="BF151">
        <f t="shared" ref="BF151:BF167" si="45">IF(BB150,1,IF(BC150,0,BD150))*BE150</f>
        <v>0</v>
      </c>
      <c r="BG151" s="9">
        <f t="shared" ref="BG151:BG167" si="46">BF151*D151</f>
        <v>0</v>
      </c>
      <c r="BH151" s="9">
        <f t="shared" ref="BH151:BH167" si="47">-BF151*$E151</f>
        <v>0</v>
      </c>
      <c r="BI151" s="9">
        <f t="shared" ref="BI151:BI167" si="48">BG151+BH151</f>
        <v>0</v>
      </c>
      <c r="BJ151" s="12">
        <f t="shared" ref="BJ151:BJ167" si="49">BJ150+BI151</f>
        <v>2.0857030881208044E-3</v>
      </c>
      <c r="BL151" s="9"/>
      <c r="BN151">
        <f t="shared" ref="BN151:BN167" si="50">IF($AG151&gt;BM$20,1,0)</f>
        <v>0</v>
      </c>
      <c r="BO151">
        <f t="shared" ref="BO151:BO167" si="51">IF($AG151&lt;BM$21,1,0)</f>
        <v>1</v>
      </c>
      <c r="BP151">
        <f t="shared" ref="BP151:BP167" si="52">BR151</f>
        <v>0</v>
      </c>
      <c r="BQ151">
        <f t="shared" si="41"/>
        <v>1</v>
      </c>
      <c r="BR151">
        <f t="shared" ref="BR151:BR167" si="53">IF(BN150,1,IF(BO150,0,BP150))*BQ150</f>
        <v>0</v>
      </c>
      <c r="BS151" s="9">
        <f t="shared" ref="BS151:BS167" si="54">-BR151*D151</f>
        <v>0</v>
      </c>
      <c r="BT151" s="9">
        <f t="shared" ref="BT151:BT167" si="55">BR151*$E151</f>
        <v>0</v>
      </c>
      <c r="BU151" s="9">
        <f t="shared" ref="BU151:BU167" si="56">BS151+BT151</f>
        <v>0</v>
      </c>
      <c r="BV151" s="12">
        <f t="shared" ref="BV151:BV167" si="57">BV150+BU151</f>
        <v>0</v>
      </c>
      <c r="BX151" s="12">
        <f t="shared" ref="BX151:BX167" si="58">BI151+BU151</f>
        <v>0</v>
      </c>
      <c r="BY151" s="12">
        <f t="shared" ref="BY151:BY167" si="59">BY150+BX151</f>
        <v>2.0857030881208044E-3</v>
      </c>
    </row>
    <row r="152" spans="1:77" x14ac:dyDescent="0.3">
      <c r="A152" s="1">
        <v>46244</v>
      </c>
      <c r="B152" s="8">
        <v>55.76</v>
      </c>
      <c r="C152" s="8">
        <v>186.8</v>
      </c>
      <c r="D152" s="9">
        <v>-1.0702920578210999E-2</v>
      </c>
      <c r="E152" s="9">
        <v>-1.0967474040180799E-2</v>
      </c>
      <c r="F152" s="8">
        <v>0</v>
      </c>
      <c r="G152" s="8">
        <v>0.78700000000000003</v>
      </c>
      <c r="H152" s="8">
        <v>0</v>
      </c>
      <c r="I152" s="8">
        <v>2.5777999999999999</v>
      </c>
      <c r="J152" s="8">
        <v>0</v>
      </c>
      <c r="K152" s="8">
        <v>0</v>
      </c>
      <c r="L152" s="8">
        <v>55.76</v>
      </c>
      <c r="M152" s="8">
        <v>186.8</v>
      </c>
      <c r="N152" s="10">
        <v>3.3500717360114698</v>
      </c>
      <c r="O152" s="10">
        <v>3.3517078484942102</v>
      </c>
      <c r="P152" s="10">
        <v>3.3501826332742199</v>
      </c>
      <c r="Q152" s="10">
        <v>3.3504953076841102</v>
      </c>
      <c r="R152" s="8">
        <v>186.89122963203701</v>
      </c>
      <c r="S152" s="8">
        <v>186.81498526457901</v>
      </c>
      <c r="T152" s="8">
        <v>186.82805555945299</v>
      </c>
      <c r="U152" s="9">
        <v>4.8826210847676798E-4</v>
      </c>
      <c r="V152" s="9">
        <v>8.0217684935660104E-5</v>
      </c>
      <c r="W152" s="9">
        <v>1.50179083655634E-4</v>
      </c>
      <c r="X152" s="10">
        <v>3.3500717360114698</v>
      </c>
      <c r="Y152" s="10">
        <v>3.3517078484942102</v>
      </c>
      <c r="Z152" s="10">
        <v>3.3501826332742199</v>
      </c>
      <c r="AA152" s="10">
        <v>3.3504953076841102</v>
      </c>
      <c r="AB152" s="8">
        <v>186.89122963203701</v>
      </c>
      <c r="AC152" s="8">
        <v>186.81498526457901</v>
      </c>
      <c r="AD152" s="8">
        <v>186.82805555945299</v>
      </c>
      <c r="AE152" s="9">
        <v>4.8826210847676798E-4</v>
      </c>
      <c r="AF152" s="9">
        <v>8.0217684935660104E-5</v>
      </c>
      <c r="AG152" s="9">
        <v>1.50179083655634E-4</v>
      </c>
      <c r="AZ152" s="9"/>
      <c r="BB152">
        <f t="shared" si="42"/>
        <v>0</v>
      </c>
      <c r="BC152">
        <f t="shared" si="43"/>
        <v>1</v>
      </c>
      <c r="BD152">
        <f t="shared" si="44"/>
        <v>0</v>
      </c>
      <c r="BE152">
        <f t="shared" si="40"/>
        <v>1</v>
      </c>
      <c r="BF152">
        <f t="shared" si="45"/>
        <v>0</v>
      </c>
      <c r="BG152" s="9">
        <f t="shared" si="46"/>
        <v>0</v>
      </c>
      <c r="BH152" s="9">
        <f t="shared" si="47"/>
        <v>0</v>
      </c>
      <c r="BI152" s="9">
        <f t="shared" si="48"/>
        <v>0</v>
      </c>
      <c r="BJ152" s="12">
        <f t="shared" si="49"/>
        <v>2.0857030881208044E-3</v>
      </c>
      <c r="BL152" s="9"/>
      <c r="BN152">
        <f t="shared" si="50"/>
        <v>0</v>
      </c>
      <c r="BO152">
        <f t="shared" si="51"/>
        <v>0</v>
      </c>
      <c r="BP152">
        <f t="shared" si="52"/>
        <v>0</v>
      </c>
      <c r="BQ152">
        <f t="shared" si="41"/>
        <v>1</v>
      </c>
      <c r="BR152">
        <f t="shared" si="53"/>
        <v>0</v>
      </c>
      <c r="BS152" s="9">
        <f t="shared" si="54"/>
        <v>0</v>
      </c>
      <c r="BT152" s="9">
        <f t="shared" si="55"/>
        <v>0</v>
      </c>
      <c r="BU152" s="9">
        <f t="shared" si="56"/>
        <v>0</v>
      </c>
      <c r="BV152" s="12">
        <f t="shared" si="57"/>
        <v>0</v>
      </c>
      <c r="BX152" s="12">
        <f t="shared" si="58"/>
        <v>0</v>
      </c>
      <c r="BY152" s="12">
        <f t="shared" si="59"/>
        <v>2.0857030881208044E-3</v>
      </c>
    </row>
    <row r="153" spans="1:77" x14ac:dyDescent="0.3">
      <c r="A153" s="1">
        <v>46245</v>
      </c>
      <c r="B153" s="8">
        <v>56.38</v>
      </c>
      <c r="C153" s="8">
        <v>188.87</v>
      </c>
      <c r="D153" s="9">
        <v>1.10577192336981E-2</v>
      </c>
      <c r="E153" s="9">
        <v>1.1020421913012401E-2</v>
      </c>
      <c r="F153" s="8">
        <v>0</v>
      </c>
      <c r="G153" s="8">
        <v>0.78700000000000003</v>
      </c>
      <c r="H153" s="8">
        <v>0</v>
      </c>
      <c r="I153" s="8">
        <v>2.5777999999999999</v>
      </c>
      <c r="J153" s="8">
        <v>0</v>
      </c>
      <c r="K153" s="8">
        <v>0</v>
      </c>
      <c r="L153" s="8">
        <v>56.38</v>
      </c>
      <c r="M153" s="8">
        <v>188.87</v>
      </c>
      <c r="N153" s="10">
        <v>3.3499467896417099</v>
      </c>
      <c r="O153" s="10">
        <v>3.3517078484942102</v>
      </c>
      <c r="P153" s="10">
        <v>3.3501593849718798</v>
      </c>
      <c r="Q153" s="10">
        <v>3.3504858582999302</v>
      </c>
      <c r="R153" s="8">
        <v>188.969288498103</v>
      </c>
      <c r="S153" s="8">
        <v>188.88329686400101</v>
      </c>
      <c r="T153" s="8">
        <v>188.90092544723001</v>
      </c>
      <c r="U153" s="9">
        <v>5.2555942916264996E-4</v>
      </c>
      <c r="V153" s="9">
        <v>7.0399724459835304E-5</v>
      </c>
      <c r="W153" s="9">
        <v>1.637259260372E-4</v>
      </c>
      <c r="X153" s="10">
        <v>3.3499467896417099</v>
      </c>
      <c r="Y153" s="10">
        <v>3.3517078484942102</v>
      </c>
      <c r="Z153" s="10">
        <v>3.3501593849718798</v>
      </c>
      <c r="AA153" s="10">
        <v>3.3504858582999302</v>
      </c>
      <c r="AB153" s="8">
        <v>188.969288498103</v>
      </c>
      <c r="AC153" s="8">
        <v>188.88329686400101</v>
      </c>
      <c r="AD153" s="8">
        <v>188.90092544723001</v>
      </c>
      <c r="AE153" s="9">
        <v>5.2555942916264996E-4</v>
      </c>
      <c r="AF153" s="9">
        <v>7.0399724459835304E-5</v>
      </c>
      <c r="AG153" s="9">
        <v>1.637259260372E-4</v>
      </c>
      <c r="AZ153" s="9"/>
      <c r="BB153">
        <f t="shared" si="42"/>
        <v>0</v>
      </c>
      <c r="BC153">
        <f t="shared" si="43"/>
        <v>1</v>
      </c>
      <c r="BD153">
        <f t="shared" si="44"/>
        <v>0</v>
      </c>
      <c r="BE153">
        <f t="shared" si="40"/>
        <v>1</v>
      </c>
      <c r="BF153">
        <f t="shared" si="45"/>
        <v>0</v>
      </c>
      <c r="BG153" s="9">
        <f t="shared" si="46"/>
        <v>0</v>
      </c>
      <c r="BH153" s="9">
        <f t="shared" si="47"/>
        <v>0</v>
      </c>
      <c r="BI153" s="9">
        <f t="shared" si="48"/>
        <v>0</v>
      </c>
      <c r="BJ153" s="12">
        <f t="shared" si="49"/>
        <v>2.0857030881208044E-3</v>
      </c>
      <c r="BL153" s="9"/>
      <c r="BN153">
        <f t="shared" si="50"/>
        <v>0</v>
      </c>
      <c r="BO153">
        <f t="shared" si="51"/>
        <v>0</v>
      </c>
      <c r="BP153">
        <f t="shared" si="52"/>
        <v>0</v>
      </c>
      <c r="BQ153">
        <f t="shared" si="41"/>
        <v>1</v>
      </c>
      <c r="BR153">
        <f t="shared" si="53"/>
        <v>0</v>
      </c>
      <c r="BS153" s="9">
        <f t="shared" si="54"/>
        <v>0</v>
      </c>
      <c r="BT153" s="9">
        <f t="shared" si="55"/>
        <v>0</v>
      </c>
      <c r="BU153" s="9">
        <f t="shared" si="56"/>
        <v>0</v>
      </c>
      <c r="BV153" s="12">
        <f t="shared" si="57"/>
        <v>0</v>
      </c>
      <c r="BX153" s="12">
        <f t="shared" si="58"/>
        <v>0</v>
      </c>
      <c r="BY153" s="12">
        <f t="shared" si="59"/>
        <v>2.0857030881208044E-3</v>
      </c>
    </row>
    <row r="154" spans="1:77" x14ac:dyDescent="0.3">
      <c r="A154" s="1">
        <v>46246</v>
      </c>
      <c r="B154" s="8">
        <v>56.64</v>
      </c>
      <c r="C154" s="8">
        <v>189.77</v>
      </c>
      <c r="D154" s="9">
        <v>4.6009636994977796E-3</v>
      </c>
      <c r="E154" s="9">
        <v>4.7538648581327298E-3</v>
      </c>
      <c r="F154" s="8">
        <v>0</v>
      </c>
      <c r="G154" s="8">
        <v>0.78700000000000003</v>
      </c>
      <c r="H154" s="8">
        <v>0</v>
      </c>
      <c r="I154" s="8">
        <v>2.5777999999999999</v>
      </c>
      <c r="J154" s="8">
        <v>0</v>
      </c>
      <c r="K154" s="8">
        <v>0</v>
      </c>
      <c r="L154" s="8">
        <v>56.64</v>
      </c>
      <c r="M154" s="8">
        <v>189.77</v>
      </c>
      <c r="N154" s="10">
        <v>3.3504590395480198</v>
      </c>
      <c r="O154" s="10">
        <v>3.3517078484942102</v>
      </c>
      <c r="P154" s="10">
        <v>3.3503082835605702</v>
      </c>
      <c r="Q154" s="10">
        <v>3.3504685567658599</v>
      </c>
      <c r="R154" s="8">
        <v>189.84073253871199</v>
      </c>
      <c r="S154" s="8">
        <v>189.75302756480701</v>
      </c>
      <c r="T154" s="8">
        <v>189.77151901410801</v>
      </c>
      <c r="U154" s="9">
        <v>3.7265827052754302E-4</v>
      </c>
      <c r="V154" s="9">
        <v>-8.9440871679571295E-5</v>
      </c>
      <c r="W154" s="9">
        <v>8.0044687205969797E-6</v>
      </c>
      <c r="X154" s="10">
        <v>3.3504590395480198</v>
      </c>
      <c r="Y154" s="10">
        <v>3.3517078484942102</v>
      </c>
      <c r="Z154" s="10">
        <v>3.3503082835605702</v>
      </c>
      <c r="AA154" s="10">
        <v>3.3504685567658599</v>
      </c>
      <c r="AB154" s="8">
        <v>189.84073253871199</v>
      </c>
      <c r="AC154" s="8">
        <v>189.75302756480701</v>
      </c>
      <c r="AD154" s="8">
        <v>189.77151901410801</v>
      </c>
      <c r="AE154" s="9">
        <v>3.7265827052754302E-4</v>
      </c>
      <c r="AF154" s="9">
        <v>-8.9440871679571295E-5</v>
      </c>
      <c r="AG154" s="9">
        <v>8.0044687205969797E-6</v>
      </c>
      <c r="AZ154" s="9"/>
      <c r="BB154">
        <f t="shared" si="42"/>
        <v>0</v>
      </c>
      <c r="BC154">
        <f t="shared" si="43"/>
        <v>1</v>
      </c>
      <c r="BD154">
        <f t="shared" si="44"/>
        <v>0</v>
      </c>
      <c r="BE154">
        <f t="shared" si="40"/>
        <v>1</v>
      </c>
      <c r="BF154">
        <f t="shared" si="45"/>
        <v>0</v>
      </c>
      <c r="BG154" s="9">
        <f t="shared" si="46"/>
        <v>0</v>
      </c>
      <c r="BH154" s="9">
        <f t="shared" si="47"/>
        <v>0</v>
      </c>
      <c r="BI154" s="9">
        <f t="shared" si="48"/>
        <v>0</v>
      </c>
      <c r="BJ154" s="12">
        <f t="shared" si="49"/>
        <v>2.0857030881208044E-3</v>
      </c>
      <c r="BL154" s="9"/>
      <c r="BN154">
        <f t="shared" si="50"/>
        <v>0</v>
      </c>
      <c r="BO154">
        <f t="shared" si="51"/>
        <v>0</v>
      </c>
      <c r="BP154">
        <f t="shared" si="52"/>
        <v>0</v>
      </c>
      <c r="BQ154">
        <f t="shared" si="41"/>
        <v>1</v>
      </c>
      <c r="BR154">
        <f t="shared" si="53"/>
        <v>0</v>
      </c>
      <c r="BS154" s="9">
        <f t="shared" si="54"/>
        <v>0</v>
      </c>
      <c r="BT154" s="9">
        <f t="shared" si="55"/>
        <v>0</v>
      </c>
      <c r="BU154" s="9">
        <f t="shared" si="56"/>
        <v>0</v>
      </c>
      <c r="BV154" s="12">
        <f t="shared" si="57"/>
        <v>0</v>
      </c>
      <c r="BX154" s="12">
        <f t="shared" si="58"/>
        <v>0</v>
      </c>
      <c r="BY154" s="12">
        <f t="shared" si="59"/>
        <v>2.0857030881208044E-3</v>
      </c>
    </row>
    <row r="155" spans="1:77" x14ac:dyDescent="0.3">
      <c r="A155" s="1">
        <v>46247</v>
      </c>
      <c r="B155" s="8">
        <v>56.87</v>
      </c>
      <c r="C155" s="8">
        <v>190.62</v>
      </c>
      <c r="D155" s="9">
        <v>4.0525119332439604E-3</v>
      </c>
      <c r="E155" s="9">
        <v>4.4691049435923603E-3</v>
      </c>
      <c r="F155" s="8">
        <v>0</v>
      </c>
      <c r="G155" s="8">
        <v>0.78700000000000003</v>
      </c>
      <c r="H155" s="8">
        <v>0</v>
      </c>
      <c r="I155" s="8">
        <v>2.5777999999999999</v>
      </c>
      <c r="J155" s="8">
        <v>0</v>
      </c>
      <c r="K155" s="8">
        <v>0</v>
      </c>
      <c r="L155" s="8">
        <v>56.87</v>
      </c>
      <c r="M155" s="8">
        <v>190.62</v>
      </c>
      <c r="N155" s="10">
        <v>3.3518551081413701</v>
      </c>
      <c r="O155" s="10">
        <v>3.3517078484942102</v>
      </c>
      <c r="P155" s="10">
        <v>3.3505137978535799</v>
      </c>
      <c r="Q155" s="10">
        <v>3.3505792119342699</v>
      </c>
      <c r="R155" s="8">
        <v>190.611625343865</v>
      </c>
      <c r="S155" s="8">
        <v>190.53203208609</v>
      </c>
      <c r="T155" s="8">
        <v>190.541146823274</v>
      </c>
      <c r="U155" s="9">
        <v>-4.3934739820788598E-5</v>
      </c>
      <c r="V155" s="9">
        <v>-4.61589644375905E-4</v>
      </c>
      <c r="W155" s="9">
        <v>-4.1375244306714702E-4</v>
      </c>
      <c r="X155" s="10">
        <v>3.3518551081413701</v>
      </c>
      <c r="Y155" s="10">
        <v>3.3517078484942102</v>
      </c>
      <c r="Z155" s="10">
        <v>3.3505137978535799</v>
      </c>
      <c r="AA155" s="10">
        <v>3.3505792119342699</v>
      </c>
      <c r="AB155" s="8">
        <v>190.611625343865</v>
      </c>
      <c r="AC155" s="8">
        <v>190.53203208609</v>
      </c>
      <c r="AD155" s="8">
        <v>190.541146823274</v>
      </c>
      <c r="AE155" s="9">
        <v>-4.3934739820788598E-5</v>
      </c>
      <c r="AF155" s="9">
        <v>-4.61589644375905E-4</v>
      </c>
      <c r="AG155" s="9">
        <v>-4.1375244306714702E-4</v>
      </c>
      <c r="AZ155" s="9"/>
      <c r="BB155">
        <f t="shared" si="42"/>
        <v>0</v>
      </c>
      <c r="BC155">
        <f t="shared" si="43"/>
        <v>0</v>
      </c>
      <c r="BD155">
        <f t="shared" si="44"/>
        <v>0</v>
      </c>
      <c r="BE155">
        <f t="shared" si="40"/>
        <v>1</v>
      </c>
      <c r="BF155">
        <f t="shared" si="45"/>
        <v>0</v>
      </c>
      <c r="BG155" s="9">
        <f t="shared" si="46"/>
        <v>0</v>
      </c>
      <c r="BH155" s="9">
        <f t="shared" si="47"/>
        <v>0</v>
      </c>
      <c r="BI155" s="9">
        <f t="shared" si="48"/>
        <v>0</v>
      </c>
      <c r="BJ155" s="12">
        <f t="shared" si="49"/>
        <v>2.0857030881208044E-3</v>
      </c>
      <c r="BL155" s="9"/>
      <c r="BN155">
        <f t="shared" si="50"/>
        <v>0</v>
      </c>
      <c r="BO155">
        <f t="shared" si="51"/>
        <v>1</v>
      </c>
      <c r="BP155">
        <f t="shared" si="52"/>
        <v>0</v>
      </c>
      <c r="BQ155">
        <f t="shared" si="41"/>
        <v>1</v>
      </c>
      <c r="BR155">
        <f t="shared" si="53"/>
        <v>0</v>
      </c>
      <c r="BS155" s="9">
        <f t="shared" si="54"/>
        <v>0</v>
      </c>
      <c r="BT155" s="9">
        <f t="shared" si="55"/>
        <v>0</v>
      </c>
      <c r="BU155" s="9">
        <f t="shared" si="56"/>
        <v>0</v>
      </c>
      <c r="BV155" s="12">
        <f t="shared" si="57"/>
        <v>0</v>
      </c>
      <c r="BX155" s="12">
        <f t="shared" si="58"/>
        <v>0</v>
      </c>
      <c r="BY155" s="12">
        <f t="shared" si="59"/>
        <v>2.0857030881208044E-3</v>
      </c>
    </row>
    <row r="156" spans="1:77" x14ac:dyDescent="0.3">
      <c r="A156" s="1">
        <v>46248</v>
      </c>
      <c r="B156" s="8">
        <v>57.2</v>
      </c>
      <c r="C156" s="8">
        <v>191.73</v>
      </c>
      <c r="D156" s="9">
        <v>5.7859370670439196E-3</v>
      </c>
      <c r="E156" s="9">
        <v>5.8062148208202899E-3</v>
      </c>
      <c r="F156" s="8">
        <v>0</v>
      </c>
      <c r="G156" s="8">
        <v>0.78700000000000003</v>
      </c>
      <c r="H156" s="8">
        <v>0</v>
      </c>
      <c r="I156" s="8">
        <v>2.5777999999999999</v>
      </c>
      <c r="J156" s="8">
        <v>0</v>
      </c>
      <c r="K156" s="8">
        <v>0</v>
      </c>
      <c r="L156" s="8">
        <v>57.2</v>
      </c>
      <c r="M156" s="8">
        <v>191.73</v>
      </c>
      <c r="N156" s="10">
        <v>3.3519230769230699</v>
      </c>
      <c r="O156" s="10">
        <v>3.3517078484942102</v>
      </c>
      <c r="P156" s="10">
        <v>3.3507612815837202</v>
      </c>
      <c r="Q156" s="10">
        <v>3.3506908084708802</v>
      </c>
      <c r="R156" s="8">
        <v>191.717688933869</v>
      </c>
      <c r="S156" s="8">
        <v>191.649389237224</v>
      </c>
      <c r="T156" s="8">
        <v>191.65313092264</v>
      </c>
      <c r="U156" s="9">
        <v>-6.4212493597025504E-5</v>
      </c>
      <c r="V156" s="9">
        <v>-4.2052737432493403E-4</v>
      </c>
      <c r="W156" s="9">
        <v>-4.0100396804005001E-4</v>
      </c>
      <c r="X156" s="10">
        <v>3.3519230769230699</v>
      </c>
      <c r="Y156" s="10">
        <v>3.3517078484942102</v>
      </c>
      <c r="Z156" s="10">
        <v>3.3507612815837202</v>
      </c>
      <c r="AA156" s="10">
        <v>3.3506908084708802</v>
      </c>
      <c r="AB156" s="8">
        <v>191.717688933869</v>
      </c>
      <c r="AC156" s="8">
        <v>191.649389237224</v>
      </c>
      <c r="AD156" s="8">
        <v>191.65313092264</v>
      </c>
      <c r="AE156" s="9">
        <v>-6.4212493597025504E-5</v>
      </c>
      <c r="AF156" s="9">
        <v>-4.2052737432493403E-4</v>
      </c>
      <c r="AG156" s="9">
        <v>-4.0100396804005001E-4</v>
      </c>
      <c r="AZ156" s="9"/>
      <c r="BB156">
        <f t="shared" si="42"/>
        <v>0</v>
      </c>
      <c r="BC156">
        <f t="shared" si="43"/>
        <v>0</v>
      </c>
      <c r="BD156">
        <f t="shared" si="44"/>
        <v>0</v>
      </c>
      <c r="BE156">
        <f t="shared" si="40"/>
        <v>1</v>
      </c>
      <c r="BF156">
        <f t="shared" si="45"/>
        <v>0</v>
      </c>
      <c r="BG156" s="9">
        <f t="shared" si="46"/>
        <v>0</v>
      </c>
      <c r="BH156" s="9">
        <f t="shared" si="47"/>
        <v>0</v>
      </c>
      <c r="BI156" s="9">
        <f t="shared" si="48"/>
        <v>0</v>
      </c>
      <c r="BJ156" s="12">
        <f t="shared" si="49"/>
        <v>2.0857030881208044E-3</v>
      </c>
      <c r="BL156" s="9"/>
      <c r="BN156">
        <f t="shared" si="50"/>
        <v>0</v>
      </c>
      <c r="BO156">
        <f t="shared" si="51"/>
        <v>1</v>
      </c>
      <c r="BP156">
        <f t="shared" si="52"/>
        <v>0</v>
      </c>
      <c r="BQ156">
        <f t="shared" si="41"/>
        <v>1</v>
      </c>
      <c r="BR156">
        <f t="shared" si="53"/>
        <v>0</v>
      </c>
      <c r="BS156" s="9">
        <f t="shared" si="54"/>
        <v>0</v>
      </c>
      <c r="BT156" s="9">
        <f t="shared" si="55"/>
        <v>0</v>
      </c>
      <c r="BU156" s="9">
        <f t="shared" si="56"/>
        <v>0</v>
      </c>
      <c r="BV156" s="12">
        <f t="shared" si="57"/>
        <v>0</v>
      </c>
      <c r="BX156" s="12">
        <f t="shared" si="58"/>
        <v>0</v>
      </c>
      <c r="BY156" s="12">
        <f t="shared" si="59"/>
        <v>2.0857030881208044E-3</v>
      </c>
    </row>
    <row r="157" spans="1:77" x14ac:dyDescent="0.3">
      <c r="A157" s="1">
        <v>46251</v>
      </c>
      <c r="B157" s="8">
        <v>57.01</v>
      </c>
      <c r="C157" s="8">
        <v>191.01</v>
      </c>
      <c r="D157" s="9">
        <v>-3.3272073422617901E-3</v>
      </c>
      <c r="E157" s="9">
        <v>-3.7623496332564099E-3</v>
      </c>
      <c r="F157" s="8">
        <v>0</v>
      </c>
      <c r="G157" s="8">
        <v>0.78700000000000003</v>
      </c>
      <c r="H157" s="8">
        <v>0</v>
      </c>
      <c r="I157" s="8">
        <v>2.5777999999999999</v>
      </c>
      <c r="J157" s="8">
        <v>0</v>
      </c>
      <c r="K157" s="8">
        <v>0</v>
      </c>
      <c r="L157" s="8">
        <v>57.01</v>
      </c>
      <c r="M157" s="8">
        <v>191.01</v>
      </c>
      <c r="N157" s="10">
        <v>3.35046483073145</v>
      </c>
      <c r="O157" s="10">
        <v>3.3517078484942102</v>
      </c>
      <c r="P157" s="10">
        <v>3.3508130112465802</v>
      </c>
      <c r="Q157" s="10">
        <v>3.35061826126047</v>
      </c>
      <c r="R157" s="8">
        <v>191.08086444265501</v>
      </c>
      <c r="S157" s="8">
        <v>191.02690066308801</v>
      </c>
      <c r="T157" s="8">
        <v>191.02288299092501</v>
      </c>
      <c r="U157" s="9">
        <v>3.70929797397657E-4</v>
      </c>
      <c r="V157" s="9">
        <v>8.8476600400597794E-5</v>
      </c>
      <c r="W157" s="9">
        <v>6.7444408602014406E-5</v>
      </c>
      <c r="X157" s="10">
        <v>3.35046483073145</v>
      </c>
      <c r="Y157" s="10">
        <v>3.3517078484942102</v>
      </c>
      <c r="Z157" s="10">
        <v>3.3508130112465802</v>
      </c>
      <c r="AA157" s="10">
        <v>3.35061826126047</v>
      </c>
      <c r="AB157" s="8">
        <v>191.08086444265501</v>
      </c>
      <c r="AC157" s="8">
        <v>191.02690066308801</v>
      </c>
      <c r="AD157" s="8">
        <v>191.02288299092501</v>
      </c>
      <c r="AE157" s="9">
        <v>3.70929797397657E-4</v>
      </c>
      <c r="AF157" s="9">
        <v>8.8476600400597794E-5</v>
      </c>
      <c r="AG157" s="9">
        <v>6.7444408602014406E-5</v>
      </c>
      <c r="BB157">
        <f t="shared" si="42"/>
        <v>0</v>
      </c>
      <c r="BC157">
        <f t="shared" si="43"/>
        <v>1</v>
      </c>
      <c r="BD157">
        <f t="shared" si="44"/>
        <v>0</v>
      </c>
      <c r="BE157">
        <f t="shared" si="40"/>
        <v>1</v>
      </c>
      <c r="BF157">
        <f t="shared" si="45"/>
        <v>0</v>
      </c>
      <c r="BG157" s="9">
        <f t="shared" si="46"/>
        <v>0</v>
      </c>
      <c r="BH157" s="9">
        <f t="shared" si="47"/>
        <v>0</v>
      </c>
      <c r="BI157" s="9">
        <f t="shared" si="48"/>
        <v>0</v>
      </c>
      <c r="BJ157" s="12">
        <f t="shared" si="49"/>
        <v>2.0857030881208044E-3</v>
      </c>
      <c r="BL157" s="9"/>
      <c r="BN157">
        <f t="shared" si="50"/>
        <v>0</v>
      </c>
      <c r="BO157">
        <f t="shared" si="51"/>
        <v>0</v>
      </c>
      <c r="BP157">
        <f t="shared" si="52"/>
        <v>0</v>
      </c>
      <c r="BQ157">
        <f t="shared" si="41"/>
        <v>1</v>
      </c>
      <c r="BR157">
        <f t="shared" si="53"/>
        <v>0</v>
      </c>
      <c r="BS157" s="9">
        <f t="shared" si="54"/>
        <v>0</v>
      </c>
      <c r="BT157" s="9">
        <f t="shared" si="55"/>
        <v>0</v>
      </c>
      <c r="BU157" s="9">
        <f t="shared" si="56"/>
        <v>0</v>
      </c>
      <c r="BV157" s="12">
        <f t="shared" si="57"/>
        <v>0</v>
      </c>
      <c r="BX157" s="12">
        <f t="shared" si="58"/>
        <v>0</v>
      </c>
      <c r="BY157" s="12">
        <f t="shared" si="59"/>
        <v>2.0857030881208044E-3</v>
      </c>
    </row>
    <row r="158" spans="1:77" x14ac:dyDescent="0.3">
      <c r="A158" s="1">
        <v>46252</v>
      </c>
      <c r="B158" s="8">
        <v>56.79</v>
      </c>
      <c r="C158" s="8">
        <v>190.24</v>
      </c>
      <c r="D158" s="9">
        <v>-3.8664371541492701E-3</v>
      </c>
      <c r="E158" s="9">
        <v>-4.0393497545719104E-3</v>
      </c>
      <c r="F158" s="8">
        <v>0</v>
      </c>
      <c r="G158" s="8">
        <v>0.78700000000000003</v>
      </c>
      <c r="H158" s="8">
        <v>0</v>
      </c>
      <c r="I158" s="8">
        <v>2.5777999999999999</v>
      </c>
      <c r="J158" s="8">
        <v>0</v>
      </c>
      <c r="K158" s="8">
        <v>0</v>
      </c>
      <c r="L158" s="8">
        <v>56.79</v>
      </c>
      <c r="M158" s="8">
        <v>190.24</v>
      </c>
      <c r="N158" s="10">
        <v>3.3498855432294401</v>
      </c>
      <c r="O158" s="10">
        <v>3.3517078484942102</v>
      </c>
      <c r="P158" s="10">
        <v>3.3508156302671299</v>
      </c>
      <c r="Q158" s="10">
        <v>3.3505370423045999</v>
      </c>
      <c r="R158" s="8">
        <v>190.34348871598601</v>
      </c>
      <c r="S158" s="8">
        <v>190.292670908693</v>
      </c>
      <c r="T158" s="8">
        <v>190.281611056982</v>
      </c>
      <c r="U158" s="9">
        <v>5.43842397820185E-4</v>
      </c>
      <c r="V158" s="9">
        <v>2.7682726376241002E-4</v>
      </c>
      <c r="W158" s="9">
        <v>2.1870535569708599E-4</v>
      </c>
      <c r="X158" s="10">
        <v>3.3498855432294401</v>
      </c>
      <c r="Y158" s="10">
        <v>3.3517078484942102</v>
      </c>
      <c r="Z158" s="10">
        <v>3.3508156302671299</v>
      </c>
      <c r="AA158" s="10">
        <v>3.3505370423045999</v>
      </c>
      <c r="AB158" s="8">
        <v>190.34348871598601</v>
      </c>
      <c r="AC158" s="8">
        <v>190.292670908693</v>
      </c>
      <c r="AD158" s="8">
        <v>190.281611056982</v>
      </c>
      <c r="AE158" s="9">
        <v>5.43842397820185E-4</v>
      </c>
      <c r="AF158" s="9">
        <v>2.7682726376241002E-4</v>
      </c>
      <c r="AG158" s="9">
        <v>2.1870535569708599E-4</v>
      </c>
      <c r="BB158">
        <f t="shared" si="42"/>
        <v>0</v>
      </c>
      <c r="BC158">
        <f t="shared" si="43"/>
        <v>1</v>
      </c>
      <c r="BD158">
        <f t="shared" si="44"/>
        <v>0</v>
      </c>
      <c r="BE158">
        <f t="shared" si="40"/>
        <v>1</v>
      </c>
      <c r="BF158">
        <f t="shared" si="45"/>
        <v>0</v>
      </c>
      <c r="BG158" s="9">
        <f t="shared" si="46"/>
        <v>0</v>
      </c>
      <c r="BH158" s="9">
        <f t="shared" si="47"/>
        <v>0</v>
      </c>
      <c r="BI158" s="9">
        <f t="shared" si="48"/>
        <v>0</v>
      </c>
      <c r="BJ158" s="12">
        <f t="shared" si="49"/>
        <v>2.0857030881208044E-3</v>
      </c>
      <c r="BL158" s="9"/>
      <c r="BN158">
        <f t="shared" si="50"/>
        <v>0</v>
      </c>
      <c r="BO158">
        <f t="shared" si="51"/>
        <v>0</v>
      </c>
      <c r="BP158">
        <f t="shared" si="52"/>
        <v>0</v>
      </c>
      <c r="BQ158">
        <f t="shared" si="41"/>
        <v>1</v>
      </c>
      <c r="BR158">
        <f t="shared" si="53"/>
        <v>0</v>
      </c>
      <c r="BS158" s="9">
        <f t="shared" si="54"/>
        <v>0</v>
      </c>
      <c r="BT158" s="9">
        <f t="shared" si="55"/>
        <v>0</v>
      </c>
      <c r="BU158" s="9">
        <f t="shared" si="56"/>
        <v>0</v>
      </c>
      <c r="BV158" s="12">
        <f t="shared" si="57"/>
        <v>0</v>
      </c>
      <c r="BX158" s="12">
        <f t="shared" si="58"/>
        <v>0</v>
      </c>
      <c r="BY158" s="12">
        <f t="shared" si="59"/>
        <v>2.0857030881208044E-3</v>
      </c>
    </row>
    <row r="159" spans="1:77" x14ac:dyDescent="0.3">
      <c r="A159" s="1">
        <v>46253</v>
      </c>
      <c r="B159" s="8">
        <v>56.84</v>
      </c>
      <c r="C159" s="8">
        <v>190.36</v>
      </c>
      <c r="D159" s="9">
        <v>8.8004933955874E-4</v>
      </c>
      <c r="E159" s="9">
        <v>6.3058331043810804E-4</v>
      </c>
      <c r="F159" s="8">
        <v>0</v>
      </c>
      <c r="G159" s="8">
        <v>0.78700000000000003</v>
      </c>
      <c r="H159" s="8">
        <v>0</v>
      </c>
      <c r="I159" s="8">
        <v>2.5777999999999999</v>
      </c>
      <c r="J159" s="8">
        <v>0</v>
      </c>
      <c r="K159" s="8">
        <v>0</v>
      </c>
      <c r="L159" s="8">
        <v>56.84</v>
      </c>
      <c r="M159" s="8">
        <v>190.36</v>
      </c>
      <c r="N159" s="10">
        <v>3.3490499648135099</v>
      </c>
      <c r="O159" s="10">
        <v>3.3517078484942102</v>
      </c>
      <c r="P159" s="10">
        <v>3.3505926949787601</v>
      </c>
      <c r="Q159" s="10">
        <v>3.3504984042967498</v>
      </c>
      <c r="R159" s="8">
        <v>190.51107410841101</v>
      </c>
      <c r="S159" s="8">
        <v>190.46036042438399</v>
      </c>
      <c r="T159" s="8">
        <v>190.44452548459299</v>
      </c>
      <c r="U159" s="9">
        <v>7.9330842694079603E-4</v>
      </c>
      <c r="V159" s="9">
        <v>5.2707490006937601E-4</v>
      </c>
      <c r="W159" s="9">
        <v>4.4393110021148701E-4</v>
      </c>
      <c r="X159" s="10">
        <v>3.3490499648135099</v>
      </c>
      <c r="Y159" s="10">
        <v>3.3517078484942102</v>
      </c>
      <c r="Z159" s="10">
        <v>3.3505926949787601</v>
      </c>
      <c r="AA159" s="10">
        <v>3.3504984042967498</v>
      </c>
      <c r="AB159" s="8">
        <v>190.51107410841101</v>
      </c>
      <c r="AC159" s="8">
        <v>190.46036042438399</v>
      </c>
      <c r="AD159" s="8">
        <v>190.44452548459299</v>
      </c>
      <c r="AE159" s="9">
        <v>7.9330842694079603E-4</v>
      </c>
      <c r="AF159" s="9">
        <v>5.2707490006937601E-4</v>
      </c>
      <c r="AG159" s="9">
        <v>4.4393110021148701E-4</v>
      </c>
      <c r="BB159">
        <f t="shared" si="42"/>
        <v>0</v>
      </c>
      <c r="BC159">
        <f t="shared" si="43"/>
        <v>1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2.0857030881208044E-3</v>
      </c>
      <c r="BL159" s="9"/>
      <c r="BN159">
        <f t="shared" si="50"/>
        <v>0</v>
      </c>
      <c r="BO159">
        <f t="shared" si="51"/>
        <v>0</v>
      </c>
      <c r="BP159">
        <f t="shared" si="52"/>
        <v>0</v>
      </c>
      <c r="BQ159">
        <f t="shared" si="41"/>
        <v>1</v>
      </c>
      <c r="BR159">
        <f t="shared" si="53"/>
        <v>0</v>
      </c>
      <c r="BS159" s="9">
        <f t="shared" si="54"/>
        <v>0</v>
      </c>
      <c r="BT159" s="9">
        <f t="shared" si="55"/>
        <v>0</v>
      </c>
      <c r="BU159" s="9">
        <f t="shared" si="56"/>
        <v>0</v>
      </c>
      <c r="BV159" s="12">
        <f t="shared" si="57"/>
        <v>0</v>
      </c>
      <c r="BX159" s="12">
        <f t="shared" si="58"/>
        <v>0</v>
      </c>
      <c r="BY159" s="12">
        <f t="shared" si="59"/>
        <v>2.0857030881208044E-3</v>
      </c>
    </row>
    <row r="160" spans="1:77" x14ac:dyDescent="0.3">
      <c r="A160" s="1">
        <v>46254</v>
      </c>
      <c r="B160" s="8">
        <v>56.51</v>
      </c>
      <c r="C160" s="8">
        <v>189.31</v>
      </c>
      <c r="D160" s="9">
        <v>-5.8226895871480297E-3</v>
      </c>
      <c r="E160" s="9">
        <v>-5.5311332310912197E-3</v>
      </c>
      <c r="F160" s="8">
        <v>0</v>
      </c>
      <c r="G160" s="8">
        <v>0.78700000000000003</v>
      </c>
      <c r="H160" s="8">
        <v>0</v>
      </c>
      <c r="I160" s="8">
        <v>2.5777999999999999</v>
      </c>
      <c r="J160" s="8">
        <v>0</v>
      </c>
      <c r="K160" s="8">
        <v>0</v>
      </c>
      <c r="L160" s="8">
        <v>56.51</v>
      </c>
      <c r="M160" s="8">
        <v>189.31</v>
      </c>
      <c r="N160" s="10">
        <v>3.3500265439745101</v>
      </c>
      <c r="O160" s="10">
        <v>3.3517078484942102</v>
      </c>
      <c r="P160" s="10">
        <v>3.3504640759345299</v>
      </c>
      <c r="Q160" s="10">
        <v>3.3504114962013598</v>
      </c>
      <c r="R160" s="8">
        <v>189.40501051840701</v>
      </c>
      <c r="S160" s="8">
        <v>189.34199319325</v>
      </c>
      <c r="T160" s="8">
        <v>189.336664826809</v>
      </c>
      <c r="U160" s="9">
        <v>5.0175207088421902E-4</v>
      </c>
      <c r="V160" s="9">
        <v>1.6898468198422799E-4</v>
      </c>
      <c r="W160" s="9">
        <v>1.40842792665897E-4</v>
      </c>
      <c r="X160" s="10">
        <v>3.3500265439745101</v>
      </c>
      <c r="Y160" s="10">
        <v>3.3517078484942102</v>
      </c>
      <c r="Z160" s="10">
        <v>3.3504640759345299</v>
      </c>
      <c r="AA160" s="10">
        <v>3.3504114962013598</v>
      </c>
      <c r="AB160" s="8">
        <v>189.40501051840701</v>
      </c>
      <c r="AC160" s="8">
        <v>189.34199319325</v>
      </c>
      <c r="AD160" s="8">
        <v>189.336664826809</v>
      </c>
      <c r="AE160" s="9">
        <v>5.0175207088421902E-4</v>
      </c>
      <c r="AF160" s="9">
        <v>1.6898468198422799E-4</v>
      </c>
      <c r="AG160" s="9">
        <v>1.40842792665897E-4</v>
      </c>
      <c r="BB160">
        <f t="shared" si="42"/>
        <v>0</v>
      </c>
      <c r="BC160">
        <f t="shared" si="43"/>
        <v>1</v>
      </c>
      <c r="BD160">
        <f t="shared" si="44"/>
        <v>0</v>
      </c>
      <c r="BE160">
        <f t="shared" si="40"/>
        <v>1</v>
      </c>
      <c r="BF160">
        <f t="shared" si="45"/>
        <v>0</v>
      </c>
      <c r="BG160" s="9">
        <f t="shared" si="46"/>
        <v>0</v>
      </c>
      <c r="BH160" s="9">
        <f t="shared" si="47"/>
        <v>0</v>
      </c>
      <c r="BI160" s="9">
        <f t="shared" si="48"/>
        <v>0</v>
      </c>
      <c r="BJ160" s="12">
        <f t="shared" si="49"/>
        <v>2.0857030881208044E-3</v>
      </c>
      <c r="BL160" s="9"/>
      <c r="BN160">
        <f t="shared" si="50"/>
        <v>0</v>
      </c>
      <c r="BO160">
        <f t="shared" si="51"/>
        <v>0</v>
      </c>
      <c r="BP160">
        <f t="shared" si="52"/>
        <v>0</v>
      </c>
      <c r="BQ160">
        <f t="shared" si="41"/>
        <v>1</v>
      </c>
      <c r="BR160">
        <f t="shared" si="53"/>
        <v>0</v>
      </c>
      <c r="BS160" s="9">
        <f t="shared" si="54"/>
        <v>0</v>
      </c>
      <c r="BT160" s="9">
        <f t="shared" si="55"/>
        <v>0</v>
      </c>
      <c r="BU160" s="9">
        <f t="shared" si="56"/>
        <v>0</v>
      </c>
      <c r="BV160" s="12">
        <f t="shared" si="57"/>
        <v>0</v>
      </c>
      <c r="BX160" s="12">
        <f t="shared" si="58"/>
        <v>0</v>
      </c>
      <c r="BY160" s="12">
        <f t="shared" si="59"/>
        <v>2.0857030881208044E-3</v>
      </c>
    </row>
    <row r="161" spans="1:77" x14ac:dyDescent="0.3">
      <c r="A161" s="1">
        <v>46255</v>
      </c>
      <c r="B161" s="8">
        <v>55.25</v>
      </c>
      <c r="C161" s="8">
        <v>185.03</v>
      </c>
      <c r="D161" s="9">
        <v>-2.2549273243889601E-2</v>
      </c>
      <c r="E161" s="9">
        <v>-2.2867908928193799E-2</v>
      </c>
      <c r="F161" s="8">
        <v>0</v>
      </c>
      <c r="G161" s="8">
        <v>0.78700000000000003</v>
      </c>
      <c r="H161" s="8">
        <v>0</v>
      </c>
      <c r="I161" s="8">
        <v>2.5777999999999999</v>
      </c>
      <c r="J161" s="8">
        <v>0</v>
      </c>
      <c r="K161" s="8">
        <v>0</v>
      </c>
      <c r="L161" s="8">
        <v>55.25</v>
      </c>
      <c r="M161" s="8">
        <v>185.03</v>
      </c>
      <c r="N161" s="10">
        <v>3.34895927601809</v>
      </c>
      <c r="O161" s="10">
        <v>3.3517078484942102</v>
      </c>
      <c r="P161" s="10">
        <v>3.35026419090326</v>
      </c>
      <c r="Q161" s="10">
        <v>3.35030233634635</v>
      </c>
      <c r="R161" s="8">
        <v>185.181858629305</v>
      </c>
      <c r="S161" s="8">
        <v>185.11314019538199</v>
      </c>
      <c r="T161" s="8">
        <v>185.110235165125</v>
      </c>
      <c r="U161" s="9">
        <v>8.2038775518807798E-4</v>
      </c>
      <c r="V161" s="9">
        <v>4.4923267651112098E-4</v>
      </c>
      <c r="W161" s="9">
        <v>4.3353928462527299E-4</v>
      </c>
      <c r="X161" s="10">
        <v>3.34895927601809</v>
      </c>
      <c r="Y161" s="10">
        <v>3.3517078484942102</v>
      </c>
      <c r="Z161" s="10">
        <v>3.35026419090326</v>
      </c>
      <c r="AA161" s="10">
        <v>3.35030233634635</v>
      </c>
      <c r="AB161" s="8">
        <v>185.181858629305</v>
      </c>
      <c r="AC161" s="8">
        <v>185.11314019538199</v>
      </c>
      <c r="AD161" s="8">
        <v>185.110235165125</v>
      </c>
      <c r="AE161" s="9">
        <v>8.2038775518807798E-4</v>
      </c>
      <c r="AF161" s="9">
        <v>4.4923267651112098E-4</v>
      </c>
      <c r="AG161" s="9">
        <v>4.3353928462527299E-4</v>
      </c>
      <c r="BB161">
        <f t="shared" si="42"/>
        <v>0</v>
      </c>
      <c r="BC161">
        <f t="shared" si="43"/>
        <v>1</v>
      </c>
      <c r="BD161">
        <f t="shared" si="44"/>
        <v>0</v>
      </c>
      <c r="BE161">
        <f t="shared" si="40"/>
        <v>1</v>
      </c>
      <c r="BF161">
        <f t="shared" si="45"/>
        <v>0</v>
      </c>
      <c r="BG161" s="9">
        <f t="shared" si="46"/>
        <v>0</v>
      </c>
      <c r="BH161" s="9">
        <f t="shared" si="47"/>
        <v>0</v>
      </c>
      <c r="BI161" s="9">
        <f t="shared" si="48"/>
        <v>0</v>
      </c>
      <c r="BJ161" s="12">
        <f t="shared" si="49"/>
        <v>2.0857030881208044E-3</v>
      </c>
      <c r="BL161" s="9"/>
      <c r="BN161">
        <f t="shared" si="50"/>
        <v>0</v>
      </c>
      <c r="BO161">
        <f t="shared" si="51"/>
        <v>0</v>
      </c>
      <c r="BP161">
        <f t="shared" si="52"/>
        <v>0</v>
      </c>
      <c r="BQ161">
        <f t="shared" si="41"/>
        <v>1</v>
      </c>
      <c r="BR161">
        <f t="shared" si="53"/>
        <v>0</v>
      </c>
      <c r="BS161" s="9">
        <f t="shared" si="54"/>
        <v>0</v>
      </c>
      <c r="BT161" s="9">
        <f t="shared" si="55"/>
        <v>0</v>
      </c>
      <c r="BU161" s="9">
        <f t="shared" si="56"/>
        <v>0</v>
      </c>
      <c r="BV161" s="12">
        <f t="shared" si="57"/>
        <v>0</v>
      </c>
      <c r="BX161" s="12">
        <f t="shared" si="58"/>
        <v>0</v>
      </c>
      <c r="BY161" s="12">
        <f t="shared" si="59"/>
        <v>2.0857030881208044E-3</v>
      </c>
    </row>
    <row r="162" spans="1:77" x14ac:dyDescent="0.3">
      <c r="A162" s="1">
        <v>46258</v>
      </c>
      <c r="B162" s="8">
        <v>55.79</v>
      </c>
      <c r="C162" s="8">
        <v>186.88</v>
      </c>
      <c r="D162" s="9">
        <v>9.7263014595747807E-3</v>
      </c>
      <c r="E162" s="9">
        <v>9.9487255462373698E-3</v>
      </c>
      <c r="F162" s="8">
        <v>0</v>
      </c>
      <c r="G162" s="8">
        <v>0.78700000000000003</v>
      </c>
      <c r="H162" s="8">
        <v>0</v>
      </c>
      <c r="I162" s="8">
        <v>2.5777999999999999</v>
      </c>
      <c r="J162" s="8">
        <v>0</v>
      </c>
      <c r="K162" s="8">
        <v>0</v>
      </c>
      <c r="L162" s="8">
        <v>55.79</v>
      </c>
      <c r="M162" s="8">
        <v>186.88</v>
      </c>
      <c r="N162" s="10">
        <v>3.3497042480731301</v>
      </c>
      <c r="O162" s="10">
        <v>3.3517078484942102</v>
      </c>
      <c r="P162" s="10">
        <v>3.3502274421094298</v>
      </c>
      <c r="Q162" s="10">
        <v>3.35020503769183</v>
      </c>
      <c r="R162" s="8">
        <v>186.991780867492</v>
      </c>
      <c r="S162" s="8">
        <v>186.91123921049299</v>
      </c>
      <c r="T162" s="8">
        <v>186.913367344763</v>
      </c>
      <c r="U162" s="9">
        <v>5.9796366852543203E-4</v>
      </c>
      <c r="V162" s="9">
        <v>1.6714790123011799E-4</v>
      </c>
      <c r="W162" s="9">
        <v>1.7853363792407999E-4</v>
      </c>
      <c r="X162" s="10">
        <v>3.3497042480731301</v>
      </c>
      <c r="Y162" s="10">
        <v>3.3517078484942102</v>
      </c>
      <c r="Z162" s="10">
        <v>3.3502274421094298</v>
      </c>
      <c r="AA162" s="10">
        <v>3.35020503769183</v>
      </c>
      <c r="AB162" s="8">
        <v>186.991780867492</v>
      </c>
      <c r="AC162" s="8">
        <v>186.91123921049299</v>
      </c>
      <c r="AD162" s="8">
        <v>186.913367344763</v>
      </c>
      <c r="AE162" s="9">
        <v>5.9796366852543203E-4</v>
      </c>
      <c r="AF162" s="9">
        <v>1.6714790123011799E-4</v>
      </c>
      <c r="AG162" s="9">
        <v>1.7853363792407999E-4</v>
      </c>
      <c r="BB162">
        <f t="shared" si="42"/>
        <v>0</v>
      </c>
      <c r="BC162">
        <f t="shared" si="43"/>
        <v>1</v>
      </c>
      <c r="BD162">
        <f t="shared" si="44"/>
        <v>0</v>
      </c>
      <c r="BE162">
        <f t="shared" si="40"/>
        <v>1</v>
      </c>
      <c r="BF162">
        <f t="shared" si="45"/>
        <v>0</v>
      </c>
      <c r="BG162" s="9">
        <f t="shared" si="46"/>
        <v>0</v>
      </c>
      <c r="BH162" s="9">
        <f t="shared" si="47"/>
        <v>0</v>
      </c>
      <c r="BI162" s="9">
        <f t="shared" si="48"/>
        <v>0</v>
      </c>
      <c r="BJ162" s="12">
        <f t="shared" si="49"/>
        <v>2.0857030881208044E-3</v>
      </c>
      <c r="BL162" s="9"/>
      <c r="BN162">
        <f t="shared" si="50"/>
        <v>0</v>
      </c>
      <c r="BO162">
        <f t="shared" si="51"/>
        <v>0</v>
      </c>
      <c r="BP162">
        <f t="shared" si="52"/>
        <v>0</v>
      </c>
      <c r="BQ162">
        <f t="shared" si="41"/>
        <v>1</v>
      </c>
      <c r="BR162">
        <f t="shared" si="53"/>
        <v>0</v>
      </c>
      <c r="BS162" s="9">
        <f t="shared" si="54"/>
        <v>0</v>
      </c>
      <c r="BT162" s="9">
        <f t="shared" si="55"/>
        <v>0</v>
      </c>
      <c r="BU162" s="9">
        <f t="shared" si="56"/>
        <v>0</v>
      </c>
      <c r="BV162" s="12">
        <f t="shared" si="57"/>
        <v>0</v>
      </c>
      <c r="BX162" s="12">
        <f t="shared" si="58"/>
        <v>0</v>
      </c>
      <c r="BY162" s="12">
        <f t="shared" si="59"/>
        <v>2.0857030881208044E-3</v>
      </c>
    </row>
    <row r="163" spans="1:77" x14ac:dyDescent="0.3">
      <c r="A163" s="1">
        <v>46259</v>
      </c>
      <c r="B163" s="8">
        <v>55.93</v>
      </c>
      <c r="C163" s="8">
        <v>187.32</v>
      </c>
      <c r="D163" s="9">
        <v>2.5062669760595301E-3</v>
      </c>
      <c r="E163" s="9">
        <v>2.3516846754787E-3</v>
      </c>
      <c r="F163" s="8">
        <v>0</v>
      </c>
      <c r="G163" s="8">
        <v>0.78700000000000003</v>
      </c>
      <c r="H163" s="8">
        <v>0</v>
      </c>
      <c r="I163" s="8">
        <v>2.5777999999999999</v>
      </c>
      <c r="J163" s="8">
        <v>0</v>
      </c>
      <c r="K163" s="8">
        <v>0</v>
      </c>
      <c r="L163" s="8">
        <v>55.93</v>
      </c>
      <c r="M163" s="8">
        <v>187.32</v>
      </c>
      <c r="N163" s="10">
        <v>3.3491864831038698</v>
      </c>
      <c r="O163" s="10">
        <v>3.3517078484942102</v>
      </c>
      <c r="P163" s="10">
        <v>3.3501514114556499</v>
      </c>
      <c r="Q163" s="10">
        <v>3.3501553982137602</v>
      </c>
      <c r="R163" s="8">
        <v>187.46101996628099</v>
      </c>
      <c r="S163" s="8">
        <v>187.37822083718001</v>
      </c>
      <c r="T163" s="8">
        <v>187.376967758104</v>
      </c>
      <c r="U163" s="9">
        <v>7.5254596910629204E-4</v>
      </c>
      <c r="V163" s="9">
        <v>3.1076121748935498E-4</v>
      </c>
      <c r="W163" s="9">
        <v>3.0407376330745102E-4</v>
      </c>
      <c r="X163" s="10">
        <v>3.3491864831038698</v>
      </c>
      <c r="Y163" s="10">
        <v>3.3517078484942102</v>
      </c>
      <c r="Z163" s="10">
        <v>3.3501514114556499</v>
      </c>
      <c r="AA163" s="10">
        <v>3.3501553982137602</v>
      </c>
      <c r="AB163" s="8">
        <v>187.46101996628099</v>
      </c>
      <c r="AC163" s="8">
        <v>187.37822083718001</v>
      </c>
      <c r="AD163" s="8">
        <v>187.376967758104</v>
      </c>
      <c r="AE163" s="9">
        <v>7.5254596910629204E-4</v>
      </c>
      <c r="AF163" s="9">
        <v>3.1076121748935498E-4</v>
      </c>
      <c r="AG163" s="9">
        <v>3.0407376330745102E-4</v>
      </c>
      <c r="BB163">
        <f t="shared" si="42"/>
        <v>0</v>
      </c>
      <c r="BC163">
        <f t="shared" si="43"/>
        <v>1</v>
      </c>
      <c r="BD163">
        <f t="shared" si="44"/>
        <v>0</v>
      </c>
      <c r="BE163">
        <f t="shared" si="40"/>
        <v>1</v>
      </c>
      <c r="BF163">
        <f t="shared" si="45"/>
        <v>0</v>
      </c>
      <c r="BG163" s="9">
        <f t="shared" si="46"/>
        <v>0</v>
      </c>
      <c r="BH163" s="9">
        <f t="shared" si="47"/>
        <v>0</v>
      </c>
      <c r="BI163" s="9">
        <f t="shared" si="48"/>
        <v>0</v>
      </c>
      <c r="BJ163" s="12">
        <f t="shared" si="49"/>
        <v>2.0857030881208044E-3</v>
      </c>
      <c r="BL163" s="9"/>
      <c r="BN163">
        <f t="shared" si="50"/>
        <v>0</v>
      </c>
      <c r="BO163">
        <f t="shared" si="51"/>
        <v>0</v>
      </c>
      <c r="BP163">
        <f t="shared" si="52"/>
        <v>0</v>
      </c>
      <c r="BQ163">
        <f t="shared" si="41"/>
        <v>1</v>
      </c>
      <c r="BR163">
        <f t="shared" si="53"/>
        <v>0</v>
      </c>
      <c r="BS163" s="9">
        <f t="shared" si="54"/>
        <v>0</v>
      </c>
      <c r="BT163" s="9">
        <f t="shared" si="55"/>
        <v>0</v>
      </c>
      <c r="BU163" s="9">
        <f t="shared" si="56"/>
        <v>0</v>
      </c>
      <c r="BV163" s="12">
        <f t="shared" si="57"/>
        <v>0</v>
      </c>
      <c r="BX163" s="12">
        <f t="shared" si="58"/>
        <v>0</v>
      </c>
      <c r="BY163" s="12">
        <f t="shared" si="59"/>
        <v>2.0857030881208044E-3</v>
      </c>
    </row>
    <row r="164" spans="1:77" x14ac:dyDescent="0.3">
      <c r="A164" s="1">
        <v>46260</v>
      </c>
      <c r="B164" s="8">
        <v>56.15</v>
      </c>
      <c r="C164" s="8">
        <v>188.05</v>
      </c>
      <c r="D164" s="9">
        <v>3.9257723509555703E-3</v>
      </c>
      <c r="E164" s="9">
        <v>3.88950060100459E-3</v>
      </c>
      <c r="F164" s="8">
        <v>0</v>
      </c>
      <c r="G164" s="8">
        <v>0.78700000000000003</v>
      </c>
      <c r="H164" s="8">
        <v>0</v>
      </c>
      <c r="I164" s="8">
        <v>2.5777999999999999</v>
      </c>
      <c r="J164" s="8">
        <v>0</v>
      </c>
      <c r="K164" s="8">
        <v>0</v>
      </c>
      <c r="L164" s="8">
        <v>56.15</v>
      </c>
      <c r="M164" s="8">
        <v>188.05</v>
      </c>
      <c r="N164" s="10">
        <v>3.3490650044523602</v>
      </c>
      <c r="O164" s="10">
        <v>3.3517078484942102</v>
      </c>
      <c r="P164" s="10">
        <v>3.3500120079460798</v>
      </c>
      <c r="Q164" s="10">
        <v>3.3501601457533301</v>
      </c>
      <c r="R164" s="8">
        <v>188.19839569294999</v>
      </c>
      <c r="S164" s="8">
        <v>188.11100175323401</v>
      </c>
      <c r="T164" s="8">
        <v>188.11122560970199</v>
      </c>
      <c r="U164" s="9">
        <v>7.8881771905733801E-4</v>
      </c>
      <c r="V164" s="9">
        <v>3.2433853315566997E-4</v>
      </c>
      <c r="W164" s="9">
        <v>3.25528555711063E-4</v>
      </c>
      <c r="X164" s="10">
        <v>3.3490650044523602</v>
      </c>
      <c r="Y164" s="10">
        <v>3.3517078484942102</v>
      </c>
      <c r="Z164" s="10">
        <v>3.3500120079460798</v>
      </c>
      <c r="AA164" s="10">
        <v>3.3501601457533301</v>
      </c>
      <c r="AB164" s="8">
        <v>188.19839569294999</v>
      </c>
      <c r="AC164" s="8">
        <v>188.11100175323401</v>
      </c>
      <c r="AD164" s="8">
        <v>188.11122560970199</v>
      </c>
      <c r="AE164" s="9">
        <v>7.8881771905733801E-4</v>
      </c>
      <c r="AF164" s="9">
        <v>3.2433853315566997E-4</v>
      </c>
      <c r="AG164" s="9">
        <v>3.25528555711063E-4</v>
      </c>
      <c r="BB164">
        <f t="shared" si="42"/>
        <v>0</v>
      </c>
      <c r="BC164">
        <f t="shared" si="43"/>
        <v>1</v>
      </c>
      <c r="BD164">
        <f t="shared" si="44"/>
        <v>0</v>
      </c>
      <c r="BE164">
        <f t="shared" si="40"/>
        <v>1</v>
      </c>
      <c r="BF164">
        <f t="shared" si="45"/>
        <v>0</v>
      </c>
      <c r="BG164" s="9">
        <f t="shared" si="46"/>
        <v>0</v>
      </c>
      <c r="BH164" s="9">
        <f t="shared" si="47"/>
        <v>0</v>
      </c>
      <c r="BI164" s="9">
        <f t="shared" si="48"/>
        <v>0</v>
      </c>
      <c r="BJ164" s="12">
        <f t="shared" si="49"/>
        <v>2.0857030881208044E-3</v>
      </c>
      <c r="BL164" s="9"/>
      <c r="BN164">
        <f t="shared" si="50"/>
        <v>0</v>
      </c>
      <c r="BO164">
        <f t="shared" si="51"/>
        <v>0</v>
      </c>
      <c r="BP164">
        <f t="shared" si="52"/>
        <v>0</v>
      </c>
      <c r="BQ164">
        <f t="shared" si="41"/>
        <v>1</v>
      </c>
      <c r="BR164">
        <f t="shared" si="53"/>
        <v>0</v>
      </c>
      <c r="BS164" s="9">
        <f t="shared" si="54"/>
        <v>0</v>
      </c>
      <c r="BT164" s="9">
        <f t="shared" si="55"/>
        <v>0</v>
      </c>
      <c r="BU164" s="9">
        <f t="shared" si="56"/>
        <v>0</v>
      </c>
      <c r="BV164" s="12">
        <f t="shared" si="57"/>
        <v>0</v>
      </c>
      <c r="BX164" s="12">
        <f t="shared" si="58"/>
        <v>0</v>
      </c>
      <c r="BY164" s="12">
        <f t="shared" si="59"/>
        <v>2.0857030881208044E-3</v>
      </c>
    </row>
    <row r="165" spans="1:77" x14ac:dyDescent="0.3">
      <c r="A165" s="1">
        <v>46261</v>
      </c>
      <c r="B165" s="8">
        <v>55.75</v>
      </c>
      <c r="C165" s="8">
        <v>186.74</v>
      </c>
      <c r="D165" s="9">
        <v>-7.1492708442240597E-3</v>
      </c>
      <c r="E165" s="9">
        <v>-6.9906098605656197E-3</v>
      </c>
      <c r="F165" s="8">
        <v>0</v>
      </c>
      <c r="G165" s="8">
        <v>0.78700000000000003</v>
      </c>
      <c r="H165" s="8">
        <v>0</v>
      </c>
      <c r="I165" s="8">
        <v>2.5777999999999999</v>
      </c>
      <c r="J165" s="8">
        <v>0</v>
      </c>
      <c r="K165" s="8">
        <v>0</v>
      </c>
      <c r="L165" s="8">
        <v>55.75</v>
      </c>
      <c r="M165" s="8">
        <v>186.74</v>
      </c>
      <c r="N165" s="10">
        <v>3.3495964125560498</v>
      </c>
      <c r="O165" s="10">
        <v>3.3517078484942102</v>
      </c>
      <c r="P165" s="10">
        <v>3.3497861383875498</v>
      </c>
      <c r="Q165" s="10">
        <v>3.3501499681205602</v>
      </c>
      <c r="R165" s="8">
        <v>186.85771255355201</v>
      </c>
      <c r="S165" s="8">
        <v>186.76316944299401</v>
      </c>
      <c r="T165" s="8">
        <v>186.771428125748</v>
      </c>
      <c r="U165" s="9">
        <v>6.3015673539909296E-4</v>
      </c>
      <c r="V165" s="9">
        <v>1.2406557651667099E-4</v>
      </c>
      <c r="W165" s="9">
        <v>1.6828468130181099E-4</v>
      </c>
      <c r="X165" s="10">
        <v>3.3495964125560498</v>
      </c>
      <c r="Y165" s="10">
        <v>3.3517078484942102</v>
      </c>
      <c r="Z165" s="10">
        <v>3.3497861383875498</v>
      </c>
      <c r="AA165" s="10">
        <v>3.3501499681205602</v>
      </c>
      <c r="AB165" s="8">
        <v>186.85771255355201</v>
      </c>
      <c r="AC165" s="8">
        <v>186.76316944299401</v>
      </c>
      <c r="AD165" s="8">
        <v>186.771428125748</v>
      </c>
      <c r="AE165" s="9">
        <v>6.3015673539909296E-4</v>
      </c>
      <c r="AF165" s="9">
        <v>1.2406557651667099E-4</v>
      </c>
      <c r="AG165" s="9">
        <v>1.6828468130181099E-4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2.0857030881208044E-3</v>
      </c>
      <c r="BL165" s="9"/>
      <c r="BN165">
        <f t="shared" si="50"/>
        <v>0</v>
      </c>
      <c r="BO165">
        <f t="shared" si="51"/>
        <v>0</v>
      </c>
      <c r="BP165">
        <f t="shared" si="52"/>
        <v>0</v>
      </c>
      <c r="BQ165">
        <f t="shared" si="41"/>
        <v>1</v>
      </c>
      <c r="BR165">
        <f t="shared" si="53"/>
        <v>0</v>
      </c>
      <c r="BS165" s="9">
        <f t="shared" si="54"/>
        <v>0</v>
      </c>
      <c r="BT165" s="9">
        <f t="shared" si="55"/>
        <v>0</v>
      </c>
      <c r="BU165" s="9">
        <f t="shared" si="56"/>
        <v>0</v>
      </c>
      <c r="BV165" s="12">
        <f t="shared" si="57"/>
        <v>0</v>
      </c>
      <c r="BX165" s="12">
        <f t="shared" si="58"/>
        <v>0</v>
      </c>
      <c r="BY165" s="12">
        <f t="shared" si="59"/>
        <v>2.0857030881208044E-3</v>
      </c>
    </row>
    <row r="166" spans="1:77" x14ac:dyDescent="0.3">
      <c r="A166" s="1">
        <v>46262</v>
      </c>
      <c r="B166" s="8">
        <v>55.14</v>
      </c>
      <c r="C166" s="8">
        <v>184.76</v>
      </c>
      <c r="D166" s="9">
        <v>-1.1002004744577401E-2</v>
      </c>
      <c r="E166" s="9">
        <v>-1.0659589493375201E-2</v>
      </c>
      <c r="F166" s="8">
        <v>0</v>
      </c>
      <c r="G166" s="8">
        <v>0.78700000000000003</v>
      </c>
      <c r="H166" s="8">
        <v>0</v>
      </c>
      <c r="I166" s="8">
        <v>2.5777999999999999</v>
      </c>
      <c r="J166" s="8">
        <v>0</v>
      </c>
      <c r="K166" s="8">
        <v>0</v>
      </c>
      <c r="L166" s="8">
        <v>55.14</v>
      </c>
      <c r="M166" s="8">
        <v>184.76</v>
      </c>
      <c r="N166" s="10">
        <v>3.35074356184258</v>
      </c>
      <c r="O166" s="10">
        <v>3.3517078484942102</v>
      </c>
      <c r="P166" s="10">
        <v>3.3496681868795002</v>
      </c>
      <c r="Q166" s="10">
        <v>3.35021473423161</v>
      </c>
      <c r="R166" s="8">
        <v>184.81317076597</v>
      </c>
      <c r="S166" s="8">
        <v>184.707207670689</v>
      </c>
      <c r="T166" s="8">
        <v>184.72726924216801</v>
      </c>
      <c r="U166" s="9">
        <v>2.8774148419684901E-4</v>
      </c>
      <c r="V166" s="9">
        <v>-2.8577545489054097E-4</v>
      </c>
      <c r="W166" s="9">
        <v>-1.7716852861910301E-4</v>
      </c>
      <c r="X166" s="10">
        <v>3.35074356184258</v>
      </c>
      <c r="Y166" s="10">
        <v>3.3517078484942102</v>
      </c>
      <c r="Z166" s="10">
        <v>3.3496681868795002</v>
      </c>
      <c r="AA166" s="10">
        <v>3.35021473423161</v>
      </c>
      <c r="AB166" s="8">
        <v>184.81317076597</v>
      </c>
      <c r="AC166" s="8">
        <v>184.707207670689</v>
      </c>
      <c r="AD166" s="8">
        <v>184.72726924216801</v>
      </c>
      <c r="AE166" s="9">
        <v>2.8774148419684901E-4</v>
      </c>
      <c r="AF166" s="9">
        <v>-2.8577545489054097E-4</v>
      </c>
      <c r="AG166" s="9">
        <v>-1.7716852861910301E-4</v>
      </c>
      <c r="BB166">
        <f t="shared" si="42"/>
        <v>0</v>
      </c>
      <c r="BC166">
        <f t="shared" si="43"/>
        <v>0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2.0857030881208044E-3</v>
      </c>
      <c r="BL166" s="9"/>
      <c r="BN166">
        <f t="shared" si="50"/>
        <v>0</v>
      </c>
      <c r="BO166">
        <f t="shared" si="51"/>
        <v>1</v>
      </c>
      <c r="BP166">
        <f t="shared" si="52"/>
        <v>0</v>
      </c>
      <c r="BQ166">
        <f t="shared" si="41"/>
        <v>1</v>
      </c>
      <c r="BR166">
        <f t="shared" si="53"/>
        <v>0</v>
      </c>
      <c r="BS166" s="9">
        <f t="shared" si="54"/>
        <v>0</v>
      </c>
      <c r="BT166" s="9">
        <f t="shared" si="55"/>
        <v>0</v>
      </c>
      <c r="BU166" s="9">
        <f t="shared" si="56"/>
        <v>0</v>
      </c>
      <c r="BV166" s="12">
        <f t="shared" si="57"/>
        <v>0</v>
      </c>
      <c r="BX166" s="12">
        <f t="shared" si="58"/>
        <v>0</v>
      </c>
      <c r="BY166" s="12">
        <f t="shared" si="59"/>
        <v>2.0857030881208044E-3</v>
      </c>
    </row>
    <row r="167" spans="1:77" x14ac:dyDescent="0.3">
      <c r="A167" s="1">
        <v>46265</v>
      </c>
      <c r="B167" s="8">
        <v>54.58</v>
      </c>
      <c r="C167" s="8">
        <v>182.86</v>
      </c>
      <c r="D167" s="9">
        <v>-1.0207890315458301E-2</v>
      </c>
      <c r="E167" s="9">
        <v>-1.0336852826124E-2</v>
      </c>
      <c r="F167" s="8">
        <v>0</v>
      </c>
      <c r="G167" s="8">
        <v>0.78700000000000003</v>
      </c>
      <c r="H167" s="8">
        <v>0</v>
      </c>
      <c r="I167" s="8">
        <v>2.5777999999999999</v>
      </c>
      <c r="J167" s="8">
        <v>0</v>
      </c>
      <c r="K167" s="8">
        <v>0</v>
      </c>
      <c r="L167" s="8">
        <v>54.58</v>
      </c>
      <c r="M167" s="8">
        <v>182.86</v>
      </c>
      <c r="N167" s="10">
        <v>3.3503114694027101</v>
      </c>
      <c r="O167" s="10">
        <v>3.3517078484942102</v>
      </c>
      <c r="P167" s="10">
        <v>3.3496528507466201</v>
      </c>
      <c r="Q167" s="10">
        <v>3.3502329309965999</v>
      </c>
      <c r="R167" s="8">
        <v>182.93621437081401</v>
      </c>
      <c r="S167" s="8">
        <v>182.824889639883</v>
      </c>
      <c r="T167" s="8">
        <v>182.85472019436099</v>
      </c>
      <c r="U167" s="9">
        <v>4.1670399486253901E-4</v>
      </c>
      <c r="V167" s="9">
        <v>-1.9202521744456099E-4</v>
      </c>
      <c r="W167" s="9">
        <v>-2.8873902784949298E-5</v>
      </c>
      <c r="X167" s="10">
        <v>3.3503114694027101</v>
      </c>
      <c r="Y167" s="10">
        <v>3.3517078484942102</v>
      </c>
      <c r="Z167" s="10">
        <v>3.3496528507466201</v>
      </c>
      <c r="AA167" s="10">
        <v>3.3502329309965999</v>
      </c>
      <c r="AB167" s="8">
        <v>182.93621437081401</v>
      </c>
      <c r="AC167" s="8">
        <v>182.824889639883</v>
      </c>
      <c r="AD167" s="8">
        <v>182.85472019436099</v>
      </c>
      <c r="AE167" s="9">
        <v>4.1670399486253901E-4</v>
      </c>
      <c r="AF167" s="9">
        <v>-1.9202521744456099E-4</v>
      </c>
      <c r="AG167" s="9">
        <v>-2.8873902784949298E-5</v>
      </c>
      <c r="BB167">
        <f t="shared" si="42"/>
        <v>0</v>
      </c>
      <c r="BC167">
        <f t="shared" si="43"/>
        <v>0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2.0857030881208044E-3</v>
      </c>
      <c r="BL167" s="9"/>
      <c r="BN167">
        <f t="shared" si="50"/>
        <v>0</v>
      </c>
      <c r="BO167">
        <f t="shared" si="51"/>
        <v>1</v>
      </c>
      <c r="BP167">
        <f t="shared" si="52"/>
        <v>0</v>
      </c>
      <c r="BQ167">
        <f t="shared" si="41"/>
        <v>1</v>
      </c>
      <c r="BR167">
        <f t="shared" si="53"/>
        <v>0</v>
      </c>
      <c r="BS167" s="9">
        <f t="shared" si="54"/>
        <v>0</v>
      </c>
      <c r="BT167" s="9">
        <f t="shared" si="55"/>
        <v>0</v>
      </c>
      <c r="BU167" s="9">
        <f t="shared" si="56"/>
        <v>0</v>
      </c>
      <c r="BV167" s="12">
        <f t="shared" si="57"/>
        <v>0</v>
      </c>
      <c r="BX167" s="12">
        <f t="shared" si="58"/>
        <v>0</v>
      </c>
      <c r="BY167" s="12">
        <f t="shared" si="59"/>
        <v>2.0857030881208044E-3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2026-09-04T02:26:44Z</dcterms:modified>
</cp:coreProperties>
</file>