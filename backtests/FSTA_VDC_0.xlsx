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9F6F9553-5BDC-4EB1-A0ED-5288FD2FE8E1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U35" i="1" s="1"/>
  <c r="BP35" i="1"/>
  <c r="BR36" i="1" s="1"/>
  <c r="BV34" i="1" l="1"/>
  <c r="BV35" i="1" s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P44" i="1"/>
  <c r="BR45" i="1" s="1"/>
  <c r="BX42" i="1"/>
  <c r="BY42" i="1" s="1"/>
  <c r="BV42" i="1"/>
  <c r="BV43" i="1" s="1"/>
  <c r="BU44" i="1" l="1"/>
  <c r="BV44" i="1" s="1"/>
  <c r="BI44" i="1"/>
  <c r="BG45" i="1"/>
  <c r="BD45" i="1"/>
  <c r="BF46" i="1" s="1"/>
  <c r="BH45" i="1"/>
  <c r="BX43" i="1"/>
  <c r="BY43" i="1" s="1"/>
  <c r="BS45" i="1"/>
  <c r="BT45" i="1"/>
  <c r="BP45" i="1"/>
  <c r="BR46" i="1" s="1"/>
  <c r="BX44" i="1" l="1"/>
  <c r="BY44" i="1" s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X46" i="1" s="1"/>
  <c r="BJ45" i="1"/>
  <c r="BH47" i="1"/>
  <c r="BD47" i="1"/>
  <c r="BF48" i="1" s="1"/>
  <c r="BG47" i="1"/>
  <c r="BX45" i="1"/>
  <c r="BY45" i="1" s="1"/>
  <c r="BV45" i="1"/>
  <c r="BS47" i="1"/>
  <c r="BT47" i="1"/>
  <c r="BP47" i="1"/>
  <c r="BR48" i="1" s="1"/>
  <c r="BJ46" i="1" l="1"/>
  <c r="BV46" i="1"/>
  <c r="BU47" i="1"/>
  <c r="BI47" i="1"/>
  <c r="BY46" i="1"/>
  <c r="BH48" i="1"/>
  <c r="BG48" i="1"/>
  <c r="BI48" i="1" s="1"/>
  <c r="BD48" i="1"/>
  <c r="BF49" i="1" s="1"/>
  <c r="BS48" i="1"/>
  <c r="BT48" i="1"/>
  <c r="BP48" i="1"/>
  <c r="BR49" i="1" s="1"/>
  <c r="BJ47" i="1" l="1"/>
  <c r="BJ48" i="1" s="1"/>
  <c r="BV47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X50" i="1" s="1"/>
  <c r="BJ49" i="1"/>
  <c r="BY49" i="1"/>
  <c r="BD51" i="1"/>
  <c r="BF52" i="1" s="1"/>
  <c r="BH51" i="1"/>
  <c r="BG51" i="1"/>
  <c r="BI50" i="1"/>
  <c r="BS51" i="1"/>
  <c r="BT51" i="1"/>
  <c r="BP51" i="1"/>
  <c r="BR52" i="1" s="1"/>
  <c r="BV50" i="1" l="1"/>
  <c r="BJ50" i="1"/>
  <c r="BI51" i="1"/>
  <c r="BY50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J53" i="1" l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J57" i="1" l="1"/>
  <c r="BY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V70" i="1" l="1"/>
  <c r="BX70" i="1"/>
  <c r="BY70" i="1" s="1"/>
  <c r="BJ70" i="1"/>
  <c r="BJ71" i="1" s="1"/>
  <c r="BU71" i="1"/>
  <c r="BS72" i="1"/>
  <c r="BP72" i="1"/>
  <c r="BR73" i="1" s="1"/>
  <c r="BT72" i="1"/>
  <c r="BG72" i="1"/>
  <c r="BD72" i="1"/>
  <c r="BF73" i="1" s="1"/>
  <c r="BH72" i="1"/>
  <c r="BV71" i="1" l="1"/>
  <c r="BI72" i="1"/>
  <c r="BJ72" i="1" s="1"/>
  <c r="BX71" i="1"/>
  <c r="BY71" i="1" s="1"/>
  <c r="BU72" i="1"/>
  <c r="BS73" i="1"/>
  <c r="BP73" i="1"/>
  <c r="BR74" i="1" s="1"/>
  <c r="BT73" i="1"/>
  <c r="BD73" i="1"/>
  <c r="BF74" i="1" s="1"/>
  <c r="BH73" i="1"/>
  <c r="BG73" i="1"/>
  <c r="BV72" i="1" l="1"/>
  <c r="BX72" i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V75" i="1" s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J75" i="1" l="1"/>
  <c r="BX75" i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V81" i="1" l="1"/>
  <c r="BX81" i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J105" i="1"/>
  <c r="BX105" i="1"/>
  <c r="BV105" i="1"/>
  <c r="BU106" i="1"/>
  <c r="BI106" i="1"/>
  <c r="BP107" i="1"/>
  <c r="BR108" i="1" s="1"/>
  <c r="BS107" i="1"/>
  <c r="BT107" i="1"/>
  <c r="BD107" i="1"/>
  <c r="BF108" i="1" s="1"/>
  <c r="BH107" i="1"/>
  <c r="BG107" i="1"/>
  <c r="BY105" i="1" l="1"/>
  <c r="BJ106" i="1"/>
  <c r="BV106" i="1"/>
  <c r="BX106" i="1"/>
  <c r="BI107" i="1"/>
  <c r="BU107" i="1"/>
  <c r="BS108" i="1"/>
  <c r="BT108" i="1"/>
  <c r="BP108" i="1"/>
  <c r="BR109" i="1" s="1"/>
  <c r="BD108" i="1"/>
  <c r="BF109" i="1" s="1"/>
  <c r="BH108" i="1"/>
  <c r="BG108" i="1"/>
  <c r="BI108" i="1" l="1"/>
  <c r="BY106" i="1"/>
  <c r="BX107" i="1"/>
  <c r="BY107" i="1" s="1"/>
  <c r="BJ107" i="1"/>
  <c r="BD109" i="1"/>
  <c r="BF110" i="1" s="1"/>
  <c r="BH109" i="1"/>
  <c r="BG109" i="1"/>
  <c r="BT109" i="1"/>
  <c r="BS109" i="1"/>
  <c r="BP109" i="1"/>
  <c r="BR110" i="1" s="1"/>
  <c r="BU108" i="1"/>
  <c r="BV107" i="1"/>
  <c r="BV108" i="1" s="1"/>
  <c r="BX108" i="1" l="1"/>
  <c r="BJ108" i="1"/>
  <c r="BY108" i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 s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2" i="1"/>
  <c r="BX111" i="1"/>
  <c r="BY111" i="1" s="1"/>
  <c r="BJ111" i="1"/>
  <c r="BJ112" i="1" s="1"/>
  <c r="BU112" i="1"/>
  <c r="BX112" i="1" s="1"/>
  <c r="BI113" i="1" l="1"/>
  <c r="BJ113" i="1" s="1"/>
  <c r="BY112" i="1"/>
  <c r="BG114" i="1"/>
  <c r="BD114" i="1"/>
  <c r="BF115" i="1" s="1"/>
  <c r="BH114" i="1"/>
  <c r="BT114" i="1"/>
  <c r="BS114" i="1"/>
  <c r="BU114" i="1" s="1"/>
  <c r="BP114" i="1"/>
  <c r="BR115" i="1" s="1"/>
  <c r="BU113" i="1"/>
  <c r="BV112" i="1"/>
  <c r="BV113" i="1" s="1"/>
  <c r="BV114" i="1" s="1"/>
  <c r="BX113" i="1" l="1"/>
  <c r="BY113" i="1" s="1"/>
  <c r="BI114" i="1"/>
  <c r="BJ114" i="1" s="1"/>
  <c r="BS115" i="1"/>
  <c r="BT115" i="1"/>
  <c r="BP115" i="1"/>
  <c r="BR116" i="1" s="1"/>
  <c r="BG115" i="1"/>
  <c r="BH115" i="1"/>
  <c r="BD115" i="1"/>
  <c r="BF116" i="1" s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l="1"/>
  <c r="BI125" i="1"/>
  <c r="BJ125" i="1" s="1"/>
  <c r="BX124" i="1"/>
  <c r="BS126" i="1"/>
  <c r="BT126" i="1"/>
  <c r="BP126" i="1"/>
  <c r="BR127" i="1" s="1"/>
  <c r="BU125" i="1"/>
  <c r="BV125" i="1" s="1"/>
  <c r="BH126" i="1"/>
  <c r="BG126" i="1"/>
  <c r="BD126" i="1"/>
  <c r="BF127" i="1" s="1"/>
  <c r="BY124" i="1" l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Y126" i="1" s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X127" i="1" l="1"/>
  <c r="BY127" i="1" s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X133" i="1"/>
  <c r="BY133" i="1" s="1"/>
  <c r="BJ134" i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J142" i="1" l="1"/>
  <c r="BX142" i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s="1"/>
  <c r="BI144" i="1" l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T146" i="1"/>
  <c r="BS146" i="1"/>
  <c r="BP146" i="1"/>
  <c r="BR147" i="1" s="1"/>
  <c r="BJ145" i="1" l="1"/>
  <c r="BU146" i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I147" i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 s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I156" i="1" s="1"/>
  <c r="BS156" i="1"/>
  <c r="BP156" i="1"/>
  <c r="BR157" i="1" s="1"/>
  <c r="BT156" i="1"/>
  <c r="BU156" i="1" s="1"/>
  <c r="BV155" i="1" l="1"/>
  <c r="BV156" i="1" s="1"/>
  <c r="BY155" i="1"/>
  <c r="BG157" i="1"/>
  <c r="BD157" i="1"/>
  <c r="BF158" i="1" s="1"/>
  <c r="BH157" i="1"/>
  <c r="BT157" i="1"/>
  <c r="BS157" i="1"/>
  <c r="BP157" i="1"/>
  <c r="BR158" i="1" s="1"/>
  <c r="BX156" i="1"/>
  <c r="BJ156" i="1"/>
  <c r="BY156" i="1" l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P161" i="1"/>
  <c r="BR162" i="1" s="1"/>
  <c r="BT161" i="1"/>
  <c r="BS161" i="1"/>
  <c r="BH161" i="1"/>
  <c r="BG161" i="1"/>
  <c r="BD161" i="1"/>
  <c r="BF162" i="1" s="1"/>
  <c r="BV160" i="1" l="1"/>
  <c r="BV161" i="1" s="1"/>
  <c r="BY160" i="1"/>
  <c r="BG162" i="1"/>
  <c r="BD162" i="1"/>
  <c r="BF163" i="1" s="1"/>
  <c r="BH162" i="1"/>
  <c r="BI161" i="1"/>
  <c r="BU161" i="1"/>
  <c r="BP162" i="1"/>
  <c r="BR163" i="1" s="1"/>
  <c r="BS162" i="1"/>
  <c r="BT162" i="1"/>
  <c r="BI162" i="1" l="1"/>
  <c r="BT163" i="1"/>
  <c r="BP163" i="1"/>
  <c r="BR164" i="1" s="1"/>
  <c r="BS163" i="1"/>
  <c r="BX161" i="1"/>
  <c r="BY161" i="1" s="1"/>
  <c r="BJ161" i="1"/>
  <c r="BU162" i="1"/>
  <c r="BV162" i="1" s="1"/>
  <c r="BD163" i="1"/>
  <c r="BF164" i="1" s="1"/>
  <c r="BG163" i="1"/>
  <c r="BH163" i="1"/>
  <c r="BU163" i="1" l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Y163" i="1" s="1"/>
  <c r="BJ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I166" i="1" l="1"/>
  <c r="BX166" i="1" s="1"/>
  <c r="BV166" i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/>
  <c r="BV9" i="1" l="1"/>
  <c r="BV11" i="1" s="1"/>
  <c r="BX167" i="1"/>
  <c r="BY167" i="1" s="1"/>
  <c r="BY1" i="1" s="1"/>
  <c r="BJ9" i="1"/>
  <c r="BJ10" i="1"/>
  <c r="BJ167" i="1"/>
  <c r="BJ1" i="1" s="1"/>
  <c r="BY9" i="1" l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<sst xmlns="http://schemas.openxmlformats.org/spreadsheetml/2006/main" count="53" uniqueCount="42">
  <si>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</si>
  <si>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</si>
  <si>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</si>
  <si>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</si>
  <si>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</si>
  <si>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</si>
  <si>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</si>
  <si>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</si>
  <si>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</si>
  <si>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</si>
  <si>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FSTA</t>
  </si>
  <si>
    <t>VDC</t>
  </si>
  <si>
    <t>FSTA log rtn</t>
  </si>
  <si>
    <t>VDC log rtn</t>
  </si>
  <si>
    <t>FSTA div</t>
  </si>
  <si>
    <t>FSTA div cumsum</t>
  </si>
  <si>
    <t>VDC div</t>
  </si>
  <si>
    <t>VDC div cumsum</t>
  </si>
  <si>
    <t>FSTA div adjustment</t>
  </si>
  <si>
    <t>VDC div adjustment</t>
  </si>
  <si>
    <t>FSTA*</t>
  </si>
  <si>
    <t>VDC*</t>
  </si>
  <si>
    <t>VDC/FSTA</t>
  </si>
  <si>
    <t>VDC/FSTA avg</t>
  </si>
  <si>
    <t>VDC/FSTA 10 dma</t>
  </si>
  <si>
    <t>VDC/FSTA 20 dma</t>
  </si>
  <si>
    <t>FSTA x avg</t>
  </si>
  <si>
    <t>FSTA x 10 dma</t>
  </si>
  <si>
    <t>FSTA x 20 dma</t>
  </si>
  <si>
    <t>log diff FSTA x avg / VDC</t>
  </si>
  <si>
    <t>log diff FSTA x 10 dma / VDC</t>
  </si>
  <si>
    <t>log diff FSTA x 20 dma / VDC</t>
  </si>
  <si>
    <t>VDC*/FSTA*</t>
  </si>
  <si>
    <t>VDC*/FSTA* avg</t>
  </si>
  <si>
    <t>VDC*/FSTA* 10 dma</t>
  </si>
  <si>
    <t>VDC*/FSTA* 20 dma</t>
  </si>
  <si>
    <t>FSTA* x avg</t>
  </si>
  <si>
    <t>FSTA* x 10 dma</t>
  </si>
  <si>
    <t>FSTA* x 20 dma</t>
  </si>
  <si>
    <t>log diff FSTA* x avg / VDC*</t>
  </si>
  <si>
    <t>log diff FSTA* x 10 dma / VDC*</t>
  </si>
  <si>
    <t>log diff FSTA* x 20 dma / VDC*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</si>
</sst>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VDC/FSTA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4.2929927753205499</c:v>
                </c:pt>
                <c:pt idx="1">
                  <c:v>4.2929927753205499</c:v>
                </c:pt>
                <c:pt idx="2">
                  <c:v>4.2929927753205499</c:v>
                </c:pt>
                <c:pt idx="3">
                  <c:v>4.2929927753205499</c:v>
                </c:pt>
                <c:pt idx="4">
                  <c:v>4.2929927753205499</c:v>
                </c:pt>
                <c:pt idx="5">
                  <c:v>4.2929927753205499</c:v>
                </c:pt>
                <c:pt idx="6">
                  <c:v>4.2929927753205499</c:v>
                </c:pt>
                <c:pt idx="7">
                  <c:v>4.2929927753205499</c:v>
                </c:pt>
                <c:pt idx="8">
                  <c:v>4.2929927753205499</c:v>
                </c:pt>
                <c:pt idx="9">
                  <c:v>4.2929927753205499</c:v>
                </c:pt>
                <c:pt idx="10">
                  <c:v>4.2929927753205499</c:v>
                </c:pt>
                <c:pt idx="11">
                  <c:v>4.2929927753205499</c:v>
                </c:pt>
                <c:pt idx="12">
                  <c:v>4.2929927753205499</c:v>
                </c:pt>
                <c:pt idx="13">
                  <c:v>4.2929927753205499</c:v>
                </c:pt>
                <c:pt idx="14">
                  <c:v>4.2929927753205499</c:v>
                </c:pt>
                <c:pt idx="15">
                  <c:v>4.2929927753205499</c:v>
                </c:pt>
                <c:pt idx="16">
                  <c:v>4.2929927753205499</c:v>
                </c:pt>
                <c:pt idx="17">
                  <c:v>4.2929927753205499</c:v>
                </c:pt>
                <c:pt idx="18">
                  <c:v>4.2929927753205499</c:v>
                </c:pt>
                <c:pt idx="19">
                  <c:v>4.2929927753205499</c:v>
                </c:pt>
                <c:pt idx="20">
                  <c:v>4.2929927753205499</c:v>
                </c:pt>
                <c:pt idx="21">
                  <c:v>4.2929927753205499</c:v>
                </c:pt>
                <c:pt idx="22">
                  <c:v>4.2929927753205499</c:v>
                </c:pt>
                <c:pt idx="23">
                  <c:v>4.2929927753205499</c:v>
                </c:pt>
                <c:pt idx="24">
                  <c:v>4.2929927753205499</c:v>
                </c:pt>
                <c:pt idx="25">
                  <c:v>4.2929927753205499</c:v>
                </c:pt>
                <c:pt idx="26">
                  <c:v>4.2929927753205499</c:v>
                </c:pt>
                <c:pt idx="27">
                  <c:v>4.2929927753205499</c:v>
                </c:pt>
                <c:pt idx="28">
                  <c:v>4.2929927753205499</c:v>
                </c:pt>
                <c:pt idx="29">
                  <c:v>4.2929927753205499</c:v>
                </c:pt>
                <c:pt idx="30">
                  <c:v>4.2929927753205499</c:v>
                </c:pt>
                <c:pt idx="31">
                  <c:v>4.2929927753205499</c:v>
                </c:pt>
                <c:pt idx="32">
                  <c:v>4.2929927753205499</c:v>
                </c:pt>
                <c:pt idx="33">
                  <c:v>4.2929927753205499</c:v>
                </c:pt>
                <c:pt idx="34">
                  <c:v>4.2929927753205499</c:v>
                </c:pt>
                <c:pt idx="35">
                  <c:v>4.2929927753205499</c:v>
                </c:pt>
                <c:pt idx="36">
                  <c:v>4.2929927753205499</c:v>
                </c:pt>
                <c:pt idx="37">
                  <c:v>4.2929927753205499</c:v>
                </c:pt>
                <c:pt idx="38">
                  <c:v>4.2929927753205499</c:v>
                </c:pt>
                <c:pt idx="39">
                  <c:v>4.2929927753205499</c:v>
                </c:pt>
                <c:pt idx="40">
                  <c:v>4.2929927753205499</c:v>
                </c:pt>
                <c:pt idx="41">
                  <c:v>4.2929927753205499</c:v>
                </c:pt>
                <c:pt idx="42">
                  <c:v>4.2929927753205499</c:v>
                </c:pt>
                <c:pt idx="43">
                  <c:v>4.2929927753205499</c:v>
                </c:pt>
                <c:pt idx="44">
                  <c:v>4.2929927753205499</c:v>
                </c:pt>
                <c:pt idx="45">
                  <c:v>4.2929927753205499</c:v>
                </c:pt>
                <c:pt idx="46">
                  <c:v>4.2929927753205499</c:v>
                </c:pt>
                <c:pt idx="47">
                  <c:v>4.2929927753205499</c:v>
                </c:pt>
                <c:pt idx="48">
                  <c:v>4.2929927753205499</c:v>
                </c:pt>
                <c:pt idx="49">
                  <c:v>4.2929927753205499</c:v>
                </c:pt>
                <c:pt idx="50">
                  <c:v>4.2929927753205499</c:v>
                </c:pt>
                <c:pt idx="51">
                  <c:v>4.2929927753205499</c:v>
                </c:pt>
                <c:pt idx="52">
                  <c:v>4.2929927753205499</c:v>
                </c:pt>
                <c:pt idx="53">
                  <c:v>4.2929927753205499</c:v>
                </c:pt>
                <c:pt idx="54">
                  <c:v>4.2929927753205499</c:v>
                </c:pt>
                <c:pt idx="55">
                  <c:v>4.2929927753205499</c:v>
                </c:pt>
                <c:pt idx="56">
                  <c:v>4.2929927753205499</c:v>
                </c:pt>
                <c:pt idx="57">
                  <c:v>4.2929927753205499</c:v>
                </c:pt>
                <c:pt idx="58">
                  <c:v>4.2929927753205499</c:v>
                </c:pt>
                <c:pt idx="59">
                  <c:v>4.2929927753205499</c:v>
                </c:pt>
                <c:pt idx="60">
                  <c:v>4.2929927753205499</c:v>
                </c:pt>
                <c:pt idx="61">
                  <c:v>4.2929927753205499</c:v>
                </c:pt>
                <c:pt idx="62">
                  <c:v>4.2929927753205499</c:v>
                </c:pt>
                <c:pt idx="63">
                  <c:v>4.2929927753205499</c:v>
                </c:pt>
                <c:pt idx="64">
                  <c:v>4.2929927753205499</c:v>
                </c:pt>
                <c:pt idx="65">
                  <c:v>4.2929927753205499</c:v>
                </c:pt>
                <c:pt idx="66">
                  <c:v>4.2929927753205499</c:v>
                </c:pt>
                <c:pt idx="67">
                  <c:v>4.2929927753205499</c:v>
                </c:pt>
                <c:pt idx="68">
                  <c:v>4.2929927753205499</c:v>
                </c:pt>
                <c:pt idx="69">
                  <c:v>4.2929927753205499</c:v>
                </c:pt>
                <c:pt idx="70">
                  <c:v>4.2929927753205499</c:v>
                </c:pt>
                <c:pt idx="71">
                  <c:v>4.2929927753205499</c:v>
                </c:pt>
                <c:pt idx="72">
                  <c:v>4.2929927753205499</c:v>
                </c:pt>
                <c:pt idx="73">
                  <c:v>4.2929927753205499</c:v>
                </c:pt>
                <c:pt idx="74">
                  <c:v>4.2929927753205499</c:v>
                </c:pt>
                <c:pt idx="75">
                  <c:v>4.2929927753205499</c:v>
                </c:pt>
                <c:pt idx="76">
                  <c:v>4.2929927753205499</c:v>
                </c:pt>
                <c:pt idx="77">
                  <c:v>4.2929927753205499</c:v>
                </c:pt>
                <c:pt idx="78">
                  <c:v>4.2929927753205499</c:v>
                </c:pt>
                <c:pt idx="79">
                  <c:v>4.2929927753205499</c:v>
                </c:pt>
                <c:pt idx="80">
                  <c:v>4.2929927753205499</c:v>
                </c:pt>
                <c:pt idx="81">
                  <c:v>4.2929927753205499</c:v>
                </c:pt>
                <c:pt idx="82">
                  <c:v>4.2929927753205499</c:v>
                </c:pt>
                <c:pt idx="83">
                  <c:v>4.2929927753205499</c:v>
                </c:pt>
                <c:pt idx="84">
                  <c:v>4.2929927753205499</c:v>
                </c:pt>
                <c:pt idx="85">
                  <c:v>4.2929927753205499</c:v>
                </c:pt>
                <c:pt idx="86">
                  <c:v>4.2929927753205499</c:v>
                </c:pt>
                <c:pt idx="87">
                  <c:v>4.2929927753205499</c:v>
                </c:pt>
                <c:pt idx="88">
                  <c:v>4.2929927753205499</c:v>
                </c:pt>
                <c:pt idx="89">
                  <c:v>4.2929927753205499</c:v>
                </c:pt>
                <c:pt idx="90">
                  <c:v>4.2929927753205499</c:v>
                </c:pt>
                <c:pt idx="91">
                  <c:v>4.2929927753205499</c:v>
                </c:pt>
                <c:pt idx="92">
                  <c:v>4.2929927753205499</c:v>
                </c:pt>
                <c:pt idx="93">
                  <c:v>4.2929927753205499</c:v>
                </c:pt>
                <c:pt idx="94">
                  <c:v>4.2929927753205499</c:v>
                </c:pt>
                <c:pt idx="95">
                  <c:v>4.2929927753205499</c:v>
                </c:pt>
                <c:pt idx="96">
                  <c:v>4.2929927753205499</c:v>
                </c:pt>
                <c:pt idx="97">
                  <c:v>4.2929927753205499</c:v>
                </c:pt>
                <c:pt idx="98">
                  <c:v>4.2929927753205499</c:v>
                </c:pt>
                <c:pt idx="99">
                  <c:v>4.2929927753205499</c:v>
                </c:pt>
                <c:pt idx="100">
                  <c:v>4.2929927753205499</c:v>
                </c:pt>
                <c:pt idx="101">
                  <c:v>4.2929927753205499</c:v>
                </c:pt>
                <c:pt idx="102">
                  <c:v>4.2929927753205499</c:v>
                </c:pt>
                <c:pt idx="103">
                  <c:v>4.2929927753205499</c:v>
                </c:pt>
                <c:pt idx="104">
                  <c:v>4.2929927753205499</c:v>
                </c:pt>
                <c:pt idx="105">
                  <c:v>4.2929927753205499</c:v>
                </c:pt>
                <c:pt idx="106">
                  <c:v>4.2929927753205499</c:v>
                </c:pt>
                <c:pt idx="107">
                  <c:v>4.2929927753205499</c:v>
                </c:pt>
                <c:pt idx="108">
                  <c:v>4.2929927753205499</c:v>
                </c:pt>
                <c:pt idx="109">
                  <c:v>4.2929927753205499</c:v>
                </c:pt>
                <c:pt idx="110">
                  <c:v>4.2929927753205499</c:v>
                </c:pt>
                <c:pt idx="111">
                  <c:v>4.2929927753205499</c:v>
                </c:pt>
                <c:pt idx="112">
                  <c:v>4.2929927753205499</c:v>
                </c:pt>
                <c:pt idx="113">
                  <c:v>4.2929927753205499</c:v>
                </c:pt>
                <c:pt idx="114">
                  <c:v>4.2929927753205499</c:v>
                </c:pt>
                <c:pt idx="115">
                  <c:v>4.2929927753205499</c:v>
                </c:pt>
                <c:pt idx="116">
                  <c:v>4.2929927753205499</c:v>
                </c:pt>
                <c:pt idx="117">
                  <c:v>4.2929927753205499</c:v>
                </c:pt>
                <c:pt idx="118">
                  <c:v>4.2929927753205499</c:v>
                </c:pt>
                <c:pt idx="119">
                  <c:v>4.2929927753205499</c:v>
                </c:pt>
                <c:pt idx="120">
                  <c:v>4.2929927753205499</c:v>
                </c:pt>
                <c:pt idx="121">
                  <c:v>4.2929927753205499</c:v>
                </c:pt>
                <c:pt idx="122">
                  <c:v>4.2929927753205499</c:v>
                </c:pt>
                <c:pt idx="123">
                  <c:v>4.2929927753205499</c:v>
                </c:pt>
                <c:pt idx="124">
                  <c:v>4.2929927753205499</c:v>
                </c:pt>
                <c:pt idx="125">
                  <c:v>4.2929927753205499</c:v>
                </c:pt>
                <c:pt idx="126">
                  <c:v>4.2929927753205499</c:v>
                </c:pt>
                <c:pt idx="127">
                  <c:v>4.2929927753205499</c:v>
                </c:pt>
                <c:pt idx="128">
                  <c:v>4.2929927753205499</c:v>
                </c:pt>
                <c:pt idx="129">
                  <c:v>4.2929927753205499</c:v>
                </c:pt>
                <c:pt idx="130">
                  <c:v>4.2929927753205499</c:v>
                </c:pt>
                <c:pt idx="131">
                  <c:v>4.2929927753205499</c:v>
                </c:pt>
                <c:pt idx="132">
                  <c:v>4.2929927753205499</c:v>
                </c:pt>
                <c:pt idx="133">
                  <c:v>4.2929927753205499</c:v>
                </c:pt>
                <c:pt idx="134">
                  <c:v>4.2929927753205499</c:v>
                </c:pt>
                <c:pt idx="135">
                  <c:v>4.2929927753205499</c:v>
                </c:pt>
                <c:pt idx="136">
                  <c:v>4.2929927753205499</c:v>
                </c:pt>
                <c:pt idx="137">
                  <c:v>4.2929927753205499</c:v>
                </c:pt>
                <c:pt idx="138">
                  <c:v>4.2929927753205499</c:v>
                </c:pt>
                <c:pt idx="139">
                  <c:v>4.2929927753205499</c:v>
                </c:pt>
                <c:pt idx="140">
                  <c:v>4.2929927753205499</c:v>
                </c:pt>
                <c:pt idx="141">
                  <c:v>4.2929927753205499</c:v>
                </c:pt>
                <c:pt idx="142">
                  <c:v>4.2929927753205499</c:v>
                </c:pt>
                <c:pt idx="143">
                  <c:v>4.2929927753205499</c:v>
                </c:pt>
                <c:pt idx="144">
                  <c:v>4.2929927753205499</c:v>
                </c:pt>
                <c:pt idx="145">
                  <c:v>4.2929927753205499</c:v>
                </c:pt>
                <c:pt idx="146">
                  <c:v>4.2929927753205499</c:v>
                </c:pt>
                <c:pt idx="147">
                  <c:v>4.2929927753205499</c:v>
                </c:pt>
                <c:pt idx="148">
                  <c:v>4.2929927753205499</c:v>
                </c:pt>
                <c:pt idx="149">
                  <c:v>4.2929927753205499</c:v>
                </c:pt>
                <c:pt idx="150">
                  <c:v>4.2929927753205499</c:v>
                </c:pt>
                <c:pt idx="151">
                  <c:v>4.2929927753205499</c:v>
                </c:pt>
                <c:pt idx="152">
                  <c:v>4.2929927753205499</c:v>
                </c:pt>
                <c:pt idx="153">
                  <c:v>4.2929927753205499</c:v>
                </c:pt>
                <c:pt idx="154">
                  <c:v>4.2929927753205499</c:v>
                </c:pt>
                <c:pt idx="155">
                  <c:v>4.2929927753205499</c:v>
                </c:pt>
                <c:pt idx="156">
                  <c:v>4.2929927753205499</c:v>
                </c:pt>
                <c:pt idx="157">
                  <c:v>4.2929927753205499</c:v>
                </c:pt>
                <c:pt idx="158">
                  <c:v>4.2929927753205499</c:v>
                </c:pt>
                <c:pt idx="159">
                  <c:v>4.2929927753205499</c:v>
                </c:pt>
                <c:pt idx="160">
                  <c:v>4.2929927753205499</c:v>
                </c:pt>
                <c:pt idx="161">
                  <c:v>4.2929927753205499</c:v>
                </c:pt>
                <c:pt idx="162">
                  <c:v>4.2929927753205499</c:v>
                </c:pt>
                <c:pt idx="163">
                  <c:v>4.2929927753205499</c:v>
                </c:pt>
                <c:pt idx="164">
                  <c:v>4.2929927753205499</c:v>
                </c:pt>
                <c:pt idx="165">
                  <c:v>4.2929927753205499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VDC/FSTA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4.2921684164413101</c:v>
                </c:pt>
                <c:pt idx="10">
                  <c:v>4.2922772810321996</c:v>
                </c:pt>
                <c:pt idx="11">
                  <c:v>4.2920112480142398</c:v>
                </c:pt>
                <c:pt idx="12">
                  <c:v>4.2922496858229398</c:v>
                </c:pt>
                <c:pt idx="13">
                  <c:v>4.2922903319803503</c:v>
                </c:pt>
                <c:pt idx="14">
                  <c:v>4.2923668026873898</c:v>
                </c:pt>
                <c:pt idx="15">
                  <c:v>4.2922822303120798</c:v>
                </c:pt>
                <c:pt idx="16">
                  <c:v>4.2921625665500098</c:v>
                </c:pt>
                <c:pt idx="17">
                  <c:v>4.2921900763183203</c:v>
                </c:pt>
                <c:pt idx="18">
                  <c:v>4.2918068319191001</c:v>
                </c:pt>
                <c:pt idx="19">
                  <c:v>4.29193038840807</c:v>
                </c:pt>
                <c:pt idx="20">
                  <c:v>4.29175729655653</c:v>
                </c:pt>
                <c:pt idx="21">
                  <c:v>4.2918165661460002</c:v>
                </c:pt>
                <c:pt idx="22">
                  <c:v>4.2917787569363197</c:v>
                </c:pt>
                <c:pt idx="23">
                  <c:v>4.2914651355437599</c:v>
                </c:pt>
                <c:pt idx="24">
                  <c:v>4.2913601623750903</c:v>
                </c:pt>
                <c:pt idx="25">
                  <c:v>4.2913756245070003</c:v>
                </c:pt>
                <c:pt idx="26">
                  <c:v>4.2910918699665803</c:v>
                </c:pt>
                <c:pt idx="27">
                  <c:v>4.2909054989139301</c:v>
                </c:pt>
                <c:pt idx="28">
                  <c:v>4.2907963850256898</c:v>
                </c:pt>
                <c:pt idx="29">
                  <c:v>4.2903948086168198</c:v>
                </c:pt>
                <c:pt idx="30">
                  <c:v>4.2903145686062798</c:v>
                </c:pt>
                <c:pt idx="31">
                  <c:v>4.2905051289913203</c:v>
                </c:pt>
                <c:pt idx="32">
                  <c:v>4.2903122760571799</c:v>
                </c:pt>
                <c:pt idx="33">
                  <c:v>4.2906420391657303</c:v>
                </c:pt>
                <c:pt idx="34">
                  <c:v>4.2906718301507203</c:v>
                </c:pt>
                <c:pt idx="35">
                  <c:v>4.2905774865725101</c:v>
                </c:pt>
                <c:pt idx="36">
                  <c:v>4.2907106165991999</c:v>
                </c:pt>
                <c:pt idx="37">
                  <c:v>4.2905757417013</c:v>
                </c:pt>
                <c:pt idx="38">
                  <c:v>4.29075091242927</c:v>
                </c:pt>
                <c:pt idx="39">
                  <c:v>4.2909722869457099</c:v>
                </c:pt>
                <c:pt idx="40">
                  <c:v>4.2909711429062396</c:v>
                </c:pt>
                <c:pt idx="41">
                  <c:v>4.2907289352359603</c:v>
                </c:pt>
                <c:pt idx="42">
                  <c:v>4.2908346145530096</c:v>
                </c:pt>
                <c:pt idx="43">
                  <c:v>4.2906723328463103</c:v>
                </c:pt>
                <c:pt idx="44">
                  <c:v>4.2906018959257004</c:v>
                </c:pt>
                <c:pt idx="45">
                  <c:v>4.2907065822924801</c:v>
                </c:pt>
                <c:pt idx="46">
                  <c:v>4.2908064460956004</c:v>
                </c:pt>
                <c:pt idx="47">
                  <c:v>4.2912220018878502</c:v>
                </c:pt>
                <c:pt idx="48">
                  <c:v>4.29117863817907</c:v>
                </c:pt>
                <c:pt idx="49">
                  <c:v>4.2913730319996599</c:v>
                </c:pt>
                <c:pt idx="50">
                  <c:v>4.2916707915093504</c:v>
                </c:pt>
                <c:pt idx="51">
                  <c:v>4.2918124820846204</c:v>
                </c:pt>
                <c:pt idx="52">
                  <c:v>4.2918578145632296</c:v>
                </c:pt>
                <c:pt idx="53">
                  <c:v>4.29443036159077</c:v>
                </c:pt>
                <c:pt idx="54">
                  <c:v>4.2967643879935604</c:v>
                </c:pt>
                <c:pt idx="55">
                  <c:v>4.2969205733057496</c:v>
                </c:pt>
                <c:pt idx="56">
                  <c:v>4.2967888838788104</c:v>
                </c:pt>
                <c:pt idx="57">
                  <c:v>4.2961818680053696</c:v>
                </c:pt>
                <c:pt idx="58">
                  <c:v>4.2963365343106901</c:v>
                </c:pt>
                <c:pt idx="59">
                  <c:v>4.2960248391754003</c:v>
                </c:pt>
                <c:pt idx="60">
                  <c:v>4.2958709643551201</c:v>
                </c:pt>
                <c:pt idx="61">
                  <c:v>4.2961141962352096</c:v>
                </c:pt>
                <c:pt idx="62">
                  <c:v>4.2962827883860299</c:v>
                </c:pt>
                <c:pt idx="63">
                  <c:v>4.2938413281995498</c:v>
                </c:pt>
                <c:pt idx="64">
                  <c:v>4.2917416717233499</c:v>
                </c:pt>
                <c:pt idx="65">
                  <c:v>4.2917722054713296</c:v>
                </c:pt>
                <c:pt idx="66">
                  <c:v>4.29174601677909</c:v>
                </c:pt>
                <c:pt idx="67">
                  <c:v>4.2920223205013999</c:v>
                </c:pt>
                <c:pt idx="68">
                  <c:v>4.2919209219000001</c:v>
                </c:pt>
                <c:pt idx="69">
                  <c:v>4.2922665975571102</c:v>
                </c:pt>
                <c:pt idx="70">
                  <c:v>4.29222419330282</c:v>
                </c:pt>
                <c:pt idx="71">
                  <c:v>4.2920210374377996</c:v>
                </c:pt>
                <c:pt idx="72">
                  <c:v>4.29204173942738</c:v>
                </c:pt>
                <c:pt idx="73">
                  <c:v>4.2923456624967802</c:v>
                </c:pt>
                <c:pt idx="74">
                  <c:v>4.2924885549652601</c:v>
                </c:pt>
                <c:pt idx="75">
                  <c:v>4.2925204870533999</c:v>
                </c:pt>
                <c:pt idx="76">
                  <c:v>4.2928578831082698</c:v>
                </c:pt>
                <c:pt idx="77">
                  <c:v>4.2929538935360299</c:v>
                </c:pt>
                <c:pt idx="78">
                  <c:v>4.2931132684284599</c:v>
                </c:pt>
                <c:pt idx="79">
                  <c:v>4.2930336941911804</c:v>
                </c:pt>
                <c:pt idx="80">
                  <c:v>4.2934871560091104</c:v>
                </c:pt>
                <c:pt idx="81">
                  <c:v>4.2934397271693996</c:v>
                </c:pt>
                <c:pt idx="82">
                  <c:v>4.2933733403854299</c:v>
                </c:pt>
                <c:pt idx="83">
                  <c:v>4.2933451736932904</c:v>
                </c:pt>
                <c:pt idx="84">
                  <c:v>4.29329996699198</c:v>
                </c:pt>
                <c:pt idx="85">
                  <c:v>4.2932503011535497</c:v>
                </c:pt>
                <c:pt idx="86">
                  <c:v>4.2932514366248897</c:v>
                </c:pt>
                <c:pt idx="87">
                  <c:v>4.2936112452266304</c:v>
                </c:pt>
                <c:pt idx="88">
                  <c:v>4.2937571876583798</c:v>
                </c:pt>
                <c:pt idx="89">
                  <c:v>4.2939688432774199</c:v>
                </c:pt>
                <c:pt idx="90">
                  <c:v>4.2937740548337002</c:v>
                </c:pt>
                <c:pt idx="91">
                  <c:v>4.2941560108329604</c:v>
                </c:pt>
                <c:pt idx="92">
                  <c:v>4.29438300751554</c:v>
                </c:pt>
                <c:pt idx="93">
                  <c:v>4.2944505402764097</c:v>
                </c:pt>
                <c:pt idx="94">
                  <c:v>4.2943722683443504</c:v>
                </c:pt>
                <c:pt idx="95">
                  <c:v>4.2944826384685397</c:v>
                </c:pt>
                <c:pt idx="96">
                  <c:v>4.2945848750017799</c:v>
                </c:pt>
                <c:pt idx="97">
                  <c:v>4.2943597389995496</c:v>
                </c:pt>
                <c:pt idx="98">
                  <c:v>4.2941388680346897</c:v>
                </c:pt>
                <c:pt idx="99">
                  <c:v>4.29406545344857</c:v>
                </c:pt>
                <c:pt idx="100">
                  <c:v>4.2938881727369296</c:v>
                </c:pt>
                <c:pt idx="101">
                  <c:v>4.2937127745407997</c:v>
                </c:pt>
                <c:pt idx="102">
                  <c:v>4.2935712511379904</c:v>
                </c:pt>
                <c:pt idx="103">
                  <c:v>4.2933467950480004</c:v>
                </c:pt>
                <c:pt idx="104">
                  <c:v>4.2934049992609404</c:v>
                </c:pt>
                <c:pt idx="105">
                  <c:v>4.2931967865427296</c:v>
                </c:pt>
                <c:pt idx="106">
                  <c:v>4.2931288895331301</c:v>
                </c:pt>
                <c:pt idx="107">
                  <c:v>4.2928985855098798</c:v>
                </c:pt>
                <c:pt idx="108">
                  <c:v>4.2931683036723296</c:v>
                </c:pt>
                <c:pt idx="109">
                  <c:v>4.2928617053377698</c:v>
                </c:pt>
                <c:pt idx="110">
                  <c:v>4.2930061168995204</c:v>
                </c:pt>
                <c:pt idx="111">
                  <c:v>4.2928442186419096</c:v>
                </c:pt>
                <c:pt idx="112">
                  <c:v>4.2926954360264498</c:v>
                </c:pt>
                <c:pt idx="113">
                  <c:v>4.2923021487399202</c:v>
                </c:pt>
                <c:pt idx="114">
                  <c:v>4.2921185738606997</c:v>
                </c:pt>
                <c:pt idx="115">
                  <c:v>4.29431756876658</c:v>
                </c:pt>
                <c:pt idx="116">
                  <c:v>4.2962061809404197</c:v>
                </c:pt>
                <c:pt idx="117">
                  <c:v>4.2990262848983702</c:v>
                </c:pt>
                <c:pt idx="118">
                  <c:v>4.2987892247663</c:v>
                </c:pt>
                <c:pt idx="119">
                  <c:v>4.2986638296102999</c:v>
                </c:pt>
                <c:pt idx="120">
                  <c:v>4.2986328126095996</c:v>
                </c:pt>
                <c:pt idx="121">
                  <c:v>4.2987446341983304</c:v>
                </c:pt>
                <c:pt idx="122">
                  <c:v>4.2986993365783199</c:v>
                </c:pt>
                <c:pt idx="123">
                  <c:v>4.2995419281021299</c:v>
                </c:pt>
                <c:pt idx="124">
                  <c:v>4.2995548825187804</c:v>
                </c:pt>
                <c:pt idx="125">
                  <c:v>4.2972382694800997</c:v>
                </c:pt>
                <c:pt idx="126">
                  <c:v>4.2952933785472602</c:v>
                </c:pt>
                <c:pt idx="127">
                  <c:v>4.2926635302178298</c:v>
                </c:pt>
                <c:pt idx="128">
                  <c:v>4.2925976129898196</c:v>
                </c:pt>
                <c:pt idx="129">
                  <c:v>4.2932611303771697</c:v>
                </c:pt>
                <c:pt idx="130">
                  <c:v>4.29327311413555</c:v>
                </c:pt>
                <c:pt idx="131">
                  <c:v>4.2930101551742297</c:v>
                </c:pt>
                <c:pt idx="132">
                  <c:v>4.2934831071919799</c:v>
                </c:pt>
                <c:pt idx="133">
                  <c:v>4.2930622231809403</c:v>
                </c:pt>
                <c:pt idx="134">
                  <c:v>4.2932998928929402</c:v>
                </c:pt>
                <c:pt idx="135">
                  <c:v>4.2934334879234601</c:v>
                </c:pt>
                <c:pt idx="136">
                  <c:v>4.29332648753266</c:v>
                </c:pt>
                <c:pt idx="137">
                  <c:v>4.2931512133268903</c:v>
                </c:pt>
                <c:pt idx="138">
                  <c:v>4.2932592601767299</c:v>
                </c:pt>
                <c:pt idx="139">
                  <c:v>4.2929277460631097</c:v>
                </c:pt>
                <c:pt idx="140">
                  <c:v>4.2929435337847597</c:v>
                </c:pt>
                <c:pt idx="141">
                  <c:v>4.2927887822504598</c:v>
                </c:pt>
                <c:pt idx="142">
                  <c:v>4.2926086812524504</c:v>
                </c:pt>
                <c:pt idx="143">
                  <c:v>4.2924816937175896</c:v>
                </c:pt>
                <c:pt idx="144">
                  <c:v>4.2925266504604496</c:v>
                </c:pt>
                <c:pt idx="145">
                  <c:v>4.2928960184388698</c:v>
                </c:pt>
                <c:pt idx="146">
                  <c:v>4.2929083053433397</c:v>
                </c:pt>
                <c:pt idx="147">
                  <c:v>4.2931929968207001</c:v>
                </c:pt>
                <c:pt idx="148">
                  <c:v>4.2931598892398997</c:v>
                </c:pt>
                <c:pt idx="149">
                  <c:v>4.2930677077509802</c:v>
                </c:pt>
                <c:pt idx="150">
                  <c:v>4.2926591288083404</c:v>
                </c:pt>
                <c:pt idx="151">
                  <c:v>4.2925979335481301</c:v>
                </c:pt>
                <c:pt idx="152">
                  <c:v>4.2925215904301304</c:v>
                </c:pt>
                <c:pt idx="153">
                  <c:v>4.2926066821165998</c:v>
                </c:pt>
                <c:pt idx="154">
                  <c:v>4.2923986977412296</c:v>
                </c:pt>
                <c:pt idx="155">
                  <c:v>4.29214176564445</c:v>
                </c:pt>
                <c:pt idx="156">
                  <c:v>4.2922400965720202</c:v>
                </c:pt>
                <c:pt idx="157">
                  <c:v>4.2919904575534504</c:v>
                </c:pt>
                <c:pt idx="158">
                  <c:v>4.2919307672965203</c:v>
                </c:pt>
                <c:pt idx="159">
                  <c:v>4.2915612790818196</c:v>
                </c:pt>
                <c:pt idx="160">
                  <c:v>4.2917609940952604</c:v>
                </c:pt>
                <c:pt idx="161">
                  <c:v>4.2919563008801802</c:v>
                </c:pt>
                <c:pt idx="162">
                  <c:v>4.29206931282756</c:v>
                </c:pt>
                <c:pt idx="163">
                  <c:v>4.2917971645217703</c:v>
                </c:pt>
                <c:pt idx="164">
                  <c:v>4.2916961228108397</c:v>
                </c:pt>
                <c:pt idx="165">
                  <c:v>4.2916662594810902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VDC/FSTA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4.2920494024246896</c:v>
                </c:pt>
                <c:pt idx="20">
                  <c:v>4.2920172887943604</c:v>
                </c:pt>
                <c:pt idx="21">
                  <c:v>4.2919139070801204</c:v>
                </c:pt>
                <c:pt idx="22">
                  <c:v>4.2920142213796302</c:v>
                </c:pt>
                <c:pt idx="23">
                  <c:v>4.2918777337620497</c:v>
                </c:pt>
                <c:pt idx="24">
                  <c:v>4.2918634825312401</c:v>
                </c:pt>
                <c:pt idx="25">
                  <c:v>4.29182892740954</c:v>
                </c:pt>
                <c:pt idx="26">
                  <c:v>4.2916272182582897</c:v>
                </c:pt>
                <c:pt idx="27">
                  <c:v>4.2915477876161301</c:v>
                </c:pt>
                <c:pt idx="28">
                  <c:v>4.2913016084724003</c:v>
                </c:pt>
                <c:pt idx="29">
                  <c:v>4.2911625985124502</c:v>
                </c:pt>
                <c:pt idx="30">
                  <c:v>4.2910359325813996</c:v>
                </c:pt>
                <c:pt idx="31">
                  <c:v>4.2911608475686602</c:v>
                </c:pt>
                <c:pt idx="32">
                  <c:v>4.2910455164967498</c:v>
                </c:pt>
                <c:pt idx="33">
                  <c:v>4.2910535873547397</c:v>
                </c:pt>
                <c:pt idx="34">
                  <c:v>4.2910159962629004</c:v>
                </c:pt>
                <c:pt idx="35">
                  <c:v>4.2909765555397499</c:v>
                </c:pt>
                <c:pt idx="36">
                  <c:v>4.2909012432828897</c:v>
                </c:pt>
                <c:pt idx="37">
                  <c:v>4.2907406203076199</c:v>
                </c:pt>
                <c:pt idx="38">
                  <c:v>4.2907736487274803</c:v>
                </c:pt>
                <c:pt idx="39">
                  <c:v>4.2906835477812599</c:v>
                </c:pt>
                <c:pt idx="40">
                  <c:v>4.2906428557562597</c:v>
                </c:pt>
                <c:pt idx="41">
                  <c:v>4.2906170321136399</c:v>
                </c:pt>
                <c:pt idx="42">
                  <c:v>4.2905734453050899</c:v>
                </c:pt>
                <c:pt idx="43">
                  <c:v>4.2906571860060199</c:v>
                </c:pt>
                <c:pt idx="44">
                  <c:v>4.2906368630382099</c:v>
                </c:pt>
                <c:pt idx="45">
                  <c:v>4.2906420344324898</c:v>
                </c:pt>
                <c:pt idx="46">
                  <c:v>4.2907585313474002</c:v>
                </c:pt>
                <c:pt idx="47">
                  <c:v>4.29089887179458</c:v>
                </c:pt>
                <c:pt idx="48">
                  <c:v>4.29096477530417</c:v>
                </c:pt>
                <c:pt idx="49">
                  <c:v>4.2911726594726902</c:v>
                </c:pt>
                <c:pt idx="50">
                  <c:v>4.2913209672077901</c:v>
                </c:pt>
                <c:pt idx="51">
                  <c:v>4.2912707086602904</c:v>
                </c:pt>
                <c:pt idx="52">
                  <c:v>4.2913462145581196</c:v>
                </c:pt>
                <c:pt idx="53">
                  <c:v>4.2925513472185397</c:v>
                </c:pt>
                <c:pt idx="54">
                  <c:v>4.2936831419596304</c:v>
                </c:pt>
                <c:pt idx="55">
                  <c:v>4.2938135777991198</c:v>
                </c:pt>
                <c:pt idx="56">
                  <c:v>4.2937976649872098</c:v>
                </c:pt>
                <c:pt idx="57">
                  <c:v>4.2937019349466103</c:v>
                </c:pt>
                <c:pt idx="58">
                  <c:v>4.2937575862448796</c:v>
                </c:pt>
                <c:pt idx="59">
                  <c:v>4.2936989355875301</c:v>
                </c:pt>
                <c:pt idx="60">
                  <c:v>4.2937708779322303</c:v>
                </c:pt>
                <c:pt idx="61">
                  <c:v>4.2939633391599097</c:v>
                </c:pt>
                <c:pt idx="62">
                  <c:v>4.2940703014746298</c:v>
                </c:pt>
                <c:pt idx="63">
                  <c:v>4.2941358448951599</c:v>
                </c:pt>
                <c:pt idx="64">
                  <c:v>4.2942530298584503</c:v>
                </c:pt>
                <c:pt idx="65">
                  <c:v>4.2943463893885401</c:v>
                </c:pt>
                <c:pt idx="66">
                  <c:v>4.2942674503289497</c:v>
                </c:pt>
                <c:pt idx="67">
                  <c:v>4.2941020942533896</c:v>
                </c:pt>
                <c:pt idx="68">
                  <c:v>4.29412872810535</c:v>
                </c:pt>
                <c:pt idx="69">
                  <c:v>4.2941457183662601</c:v>
                </c:pt>
                <c:pt idx="70">
                  <c:v>4.2940475788289696</c:v>
                </c:pt>
                <c:pt idx="71">
                  <c:v>4.2940676168365002</c:v>
                </c:pt>
                <c:pt idx="72">
                  <c:v>4.2941622639067099</c:v>
                </c:pt>
                <c:pt idx="73">
                  <c:v>4.2930934953481703</c:v>
                </c:pt>
                <c:pt idx="74">
                  <c:v>4.2921151133443098</c:v>
                </c:pt>
                <c:pt idx="75">
                  <c:v>4.2921463462623697</c:v>
                </c:pt>
                <c:pt idx="76">
                  <c:v>4.2923019499436803</c:v>
                </c:pt>
                <c:pt idx="77">
                  <c:v>4.2924881070187197</c:v>
                </c:pt>
                <c:pt idx="78">
                  <c:v>4.2925170951642304</c:v>
                </c:pt>
                <c:pt idx="79">
                  <c:v>4.2926501458741404</c:v>
                </c:pt>
                <c:pt idx="80">
                  <c:v>4.2928556746559696</c:v>
                </c:pt>
                <c:pt idx="81">
                  <c:v>4.2927303823036</c:v>
                </c:pt>
                <c:pt idx="82">
                  <c:v>4.2927075399064103</c:v>
                </c:pt>
                <c:pt idx="83">
                  <c:v>4.2928454180950304</c:v>
                </c:pt>
                <c:pt idx="84">
                  <c:v>4.2928942609786196</c:v>
                </c:pt>
                <c:pt idx="85">
                  <c:v>4.2928853941034699</c:v>
                </c:pt>
                <c:pt idx="86">
                  <c:v>4.2930546598665797</c:v>
                </c:pt>
                <c:pt idx="87">
                  <c:v>4.2932825693813301</c:v>
                </c:pt>
                <c:pt idx="88">
                  <c:v>4.2934352280434203</c:v>
                </c:pt>
                <c:pt idx="89">
                  <c:v>4.2935012687342997</c:v>
                </c:pt>
                <c:pt idx="90">
                  <c:v>4.2936306054214004</c:v>
                </c:pt>
                <c:pt idx="91">
                  <c:v>4.29379786900118</c:v>
                </c:pt>
                <c:pt idx="92">
                  <c:v>4.2938781739504899</c:v>
                </c:pt>
                <c:pt idx="93">
                  <c:v>4.2938978569848496</c:v>
                </c:pt>
                <c:pt idx="94">
                  <c:v>4.2938361176681701</c:v>
                </c:pt>
                <c:pt idx="95">
                  <c:v>4.29386646981105</c:v>
                </c:pt>
                <c:pt idx="96">
                  <c:v>4.2939181558133397</c:v>
                </c:pt>
                <c:pt idx="97">
                  <c:v>4.29398549211309</c:v>
                </c:pt>
                <c:pt idx="98">
                  <c:v>4.2939480278465396</c:v>
                </c:pt>
                <c:pt idx="99">
                  <c:v>4.2940171483629896</c:v>
                </c:pt>
                <c:pt idx="100">
                  <c:v>4.29383111378531</c:v>
                </c:pt>
                <c:pt idx="101">
                  <c:v>4.2939343926868796</c:v>
                </c:pt>
                <c:pt idx="102">
                  <c:v>4.2939771293267599</c:v>
                </c:pt>
                <c:pt idx="103">
                  <c:v>4.2938986676622104</c:v>
                </c:pt>
                <c:pt idx="104">
                  <c:v>4.2938886338026503</c:v>
                </c:pt>
                <c:pt idx="105">
                  <c:v>4.2938397125056396</c:v>
                </c:pt>
                <c:pt idx="106">
                  <c:v>4.2938568822674599</c:v>
                </c:pt>
                <c:pt idx="107">
                  <c:v>4.29362916225472</c:v>
                </c:pt>
                <c:pt idx="108">
                  <c:v>4.2936535858535096</c:v>
                </c:pt>
                <c:pt idx="109">
                  <c:v>4.2934635793931699</c:v>
                </c:pt>
                <c:pt idx="110">
                  <c:v>4.2934471448182201</c:v>
                </c:pt>
                <c:pt idx="111">
                  <c:v>4.29327849659136</c:v>
                </c:pt>
                <c:pt idx="112">
                  <c:v>4.2931333435822197</c:v>
                </c:pt>
                <c:pt idx="113">
                  <c:v>4.2928244718939599</c:v>
                </c:pt>
                <c:pt idx="114">
                  <c:v>4.2927617865608196</c:v>
                </c:pt>
                <c:pt idx="115">
                  <c:v>4.2937571776546504</c:v>
                </c:pt>
                <c:pt idx="116">
                  <c:v>4.2946675352367798</c:v>
                </c:pt>
                <c:pt idx="117">
                  <c:v>4.2959624352041299</c:v>
                </c:pt>
                <c:pt idx="118">
                  <c:v>4.2959787642193197</c:v>
                </c:pt>
                <c:pt idx="119">
                  <c:v>4.2957627674740397</c:v>
                </c:pt>
                <c:pt idx="120">
                  <c:v>4.29581946475456</c:v>
                </c:pt>
                <c:pt idx="121">
                  <c:v>4.2957944264201204</c:v>
                </c:pt>
                <c:pt idx="122">
                  <c:v>4.2956973863023897</c:v>
                </c:pt>
                <c:pt idx="123">
                  <c:v>4.2959220384210299</c:v>
                </c:pt>
                <c:pt idx="124">
                  <c:v>4.2958367281897401</c:v>
                </c:pt>
                <c:pt idx="125">
                  <c:v>4.2957779191233403</c:v>
                </c:pt>
                <c:pt idx="126">
                  <c:v>4.29574977974384</c:v>
                </c:pt>
                <c:pt idx="127">
                  <c:v>4.2958449075580996</c:v>
                </c:pt>
                <c:pt idx="128">
                  <c:v>4.2956934188780602</c:v>
                </c:pt>
                <c:pt idx="129">
                  <c:v>4.2959624799937304</c:v>
                </c:pt>
                <c:pt idx="130">
                  <c:v>4.2959529633725797</c:v>
                </c:pt>
                <c:pt idx="131">
                  <c:v>4.29587739468628</c:v>
                </c:pt>
                <c:pt idx="132">
                  <c:v>4.2960912218851499</c:v>
                </c:pt>
                <c:pt idx="133">
                  <c:v>4.29630207564154</c:v>
                </c:pt>
                <c:pt idx="134">
                  <c:v>4.2964273877058599</c:v>
                </c:pt>
                <c:pt idx="135">
                  <c:v>4.2953358787017804</c:v>
                </c:pt>
                <c:pt idx="136">
                  <c:v>4.2943099330399601</c:v>
                </c:pt>
                <c:pt idx="137">
                  <c:v>4.29290737177236</c:v>
                </c:pt>
                <c:pt idx="138">
                  <c:v>4.2929284365832796</c:v>
                </c:pt>
                <c:pt idx="139">
                  <c:v>4.2930944382201401</c:v>
                </c:pt>
                <c:pt idx="140">
                  <c:v>4.2931083239601602</c:v>
                </c:pt>
                <c:pt idx="141">
                  <c:v>4.2928994687123403</c:v>
                </c:pt>
                <c:pt idx="142">
                  <c:v>4.29304589422222</c:v>
                </c:pt>
                <c:pt idx="143">
                  <c:v>4.2927719584492596</c:v>
                </c:pt>
                <c:pt idx="144">
                  <c:v>4.2929132716767002</c:v>
                </c:pt>
                <c:pt idx="145">
                  <c:v>4.2931647531811699</c:v>
                </c:pt>
                <c:pt idx="146">
                  <c:v>4.2931173964380003</c:v>
                </c:pt>
                <c:pt idx="147">
                  <c:v>4.2931721050737899</c:v>
                </c:pt>
                <c:pt idx="148">
                  <c:v>4.2932095747083201</c:v>
                </c:pt>
                <c:pt idx="149">
                  <c:v>4.2929977269070401</c:v>
                </c:pt>
                <c:pt idx="150">
                  <c:v>4.2928013312965501</c:v>
                </c:pt>
                <c:pt idx="151">
                  <c:v>4.2926933578992896</c:v>
                </c:pt>
                <c:pt idx="152">
                  <c:v>4.29256513584129</c:v>
                </c:pt>
                <c:pt idx="153">
                  <c:v>4.2925441879170902</c:v>
                </c:pt>
                <c:pt idx="154">
                  <c:v>4.2924626741008396</c:v>
                </c:pt>
                <c:pt idx="155">
                  <c:v>4.2925188920416604</c:v>
                </c:pt>
                <c:pt idx="156">
                  <c:v>4.2925742009576799</c:v>
                </c:pt>
                <c:pt idx="157">
                  <c:v>4.2925917271870802</c:v>
                </c:pt>
                <c:pt idx="158">
                  <c:v>4.2925453282682096</c:v>
                </c:pt>
                <c:pt idx="159">
                  <c:v>4.2923144934164004</c:v>
                </c:pt>
                <c:pt idx="160">
                  <c:v>4.2922100614518</c:v>
                </c:pt>
                <c:pt idx="161">
                  <c:v>4.2922771172141498</c:v>
                </c:pt>
                <c:pt idx="162">
                  <c:v>4.2922954516288403</c:v>
                </c:pt>
                <c:pt idx="163">
                  <c:v>4.2922019233191904</c:v>
                </c:pt>
                <c:pt idx="164">
                  <c:v>4.2920474102760302</c:v>
                </c:pt>
                <c:pt idx="165">
                  <c:v>4.2919040125627701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FSTA* x avg / VDC*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3.7386870738833701E-6</c:v>
                </c:pt>
                <c:pt idx="2">
                  <c:v>6.86460974996681E-4</c:v>
                </c:pt>
                <c:pt idx="3">
                  <c:v>3.8879324349201801E-4</c:v>
                </c:pt>
                <c:pt idx="4">
                  <c:v>5.3148953023530901E-4</c:v>
                </c:pt>
                <c:pt idx="5">
                  <c:v>1.9882555863833201E-4</c:v>
                </c:pt>
                <c:pt idx="6">
                  <c:v>-1.9467996273908299E-4</c:v>
                </c:pt>
                <c:pt idx="7">
                  <c:v>-1.4057193701983901E-5</c:v>
                </c:pt>
                <c:pt idx="8">
                  <c:v>-2.3038410400681199E-4</c:v>
                </c:pt>
                <c:pt idx="9">
                  <c:v>2.77263698998467E-4</c:v>
                </c:pt>
                <c:pt idx="10">
                  <c:v>1.9762071599925199E-5</c:v>
                </c:pt>
                <c:pt idx="11">
                  <c:v>6.2362437139238595E-4</c:v>
                </c:pt>
                <c:pt idx="12">
                  <c:v>1.3082234794622899E-4</c:v>
                </c:pt>
                <c:pt idx="13">
                  <c:v>2.9408067351160299E-4</c:v>
                </c:pt>
                <c:pt idx="14">
                  <c:v>3.5328158076919499E-4</c:v>
                </c:pt>
                <c:pt idx="15">
                  <c:v>3.9588511915665899E-4</c:v>
                </c:pt>
                <c:pt idx="16">
                  <c:v>8.4046670944692005E-5</c:v>
                </c:pt>
                <c:pt idx="17">
                  <c:v>-7.8134870257942499E-5</c:v>
                </c:pt>
                <c:pt idx="18">
                  <c:v>6.6252959085629697E-4</c:v>
                </c:pt>
                <c:pt idx="19">
                  <c:v>-1.0584361992495601E-5</c:v>
                </c:pt>
                <c:pt idx="20">
                  <c:v>4.23047581364165E-4</c:v>
                </c:pt>
                <c:pt idx="21">
                  <c:v>4.85486550256476E-4</c:v>
                </c:pt>
                <c:pt idx="22">
                  <c:v>2.1890966551608301E-4</c:v>
                </c:pt>
                <c:pt idx="23">
                  <c:v>1.0251052353884599E-3</c:v>
                </c:pt>
                <c:pt idx="24">
                  <c:v>5.9792002090733602E-4</c:v>
                </c:pt>
                <c:pt idx="25">
                  <c:v>3.5985436741575499E-4</c:v>
                </c:pt>
                <c:pt idx="26">
                  <c:v>7.4529219088772798E-4</c:v>
                </c:pt>
                <c:pt idx="27">
                  <c:v>3.5605395971064499E-4</c:v>
                </c:pt>
                <c:pt idx="28">
                  <c:v>9.1689780535670696E-4</c:v>
                </c:pt>
                <c:pt idx="29">
                  <c:v>9.2526648757137596E-4</c:v>
                </c:pt>
                <c:pt idx="30">
                  <c:v>6.10053414719876E-4</c:v>
                </c:pt>
                <c:pt idx="31">
                  <c:v>4.1482542348775902E-5</c:v>
                </c:pt>
                <c:pt idx="32">
                  <c:v>6.6833624410989295E-4</c:v>
                </c:pt>
                <c:pt idx="33">
                  <c:v>2.5647017458461599E-4</c:v>
                </c:pt>
                <c:pt idx="34">
                  <c:v>5.2848648199119901E-4</c:v>
                </c:pt>
                <c:pt idx="35">
                  <c:v>5.7971942368818395E-4</c:v>
                </c:pt>
                <c:pt idx="36">
                  <c:v>4.34999063418421E-4</c:v>
                </c:pt>
                <c:pt idx="37">
                  <c:v>6.7038976904255302E-4</c:v>
                </c:pt>
                <c:pt idx="38">
                  <c:v>5.0856816124940103E-4</c:v>
                </c:pt>
                <c:pt idx="39">
                  <c:v>4.0925751744885102E-4</c:v>
                </c:pt>
                <c:pt idx="40">
                  <c:v>6.1271994408924901E-4</c:v>
                </c:pt>
                <c:pt idx="41">
                  <c:v>6.0585823054893999E-4</c:v>
                </c:pt>
                <c:pt idx="42">
                  <c:v>4.22034997258259E-4</c:v>
                </c:pt>
                <c:pt idx="43">
                  <c:v>6.3465396596535002E-4</c:v>
                </c:pt>
                <c:pt idx="44">
                  <c:v>6.9266085702189898E-4</c:v>
                </c:pt>
                <c:pt idx="45">
                  <c:v>3.35753729478178E-4</c:v>
                </c:pt>
                <c:pt idx="46">
                  <c:v>2.0230444925891701E-4</c:v>
                </c:pt>
                <c:pt idx="47">
                  <c:v>-2.9777678916024901E-4</c:v>
                </c:pt>
                <c:pt idx="48">
                  <c:v>6.0963509178824104E-4</c:v>
                </c:pt>
                <c:pt idx="49">
                  <c:v>-4.3641821249343898E-5</c:v>
                </c:pt>
                <c:pt idx="50">
                  <c:v>-8.1058693369367302E-5</c:v>
                </c:pt>
                <c:pt idx="51">
                  <c:v>2.75661914460362E-4</c:v>
                </c:pt>
                <c:pt idx="52">
                  <c:v>3.1639955459440602E-4</c:v>
                </c:pt>
                <c:pt idx="53">
                  <c:v>-5.3436771731795096E-3</c:v>
                </c:pt>
                <c:pt idx="54">
                  <c:v>-4.7331879131001899E-3</c:v>
                </c:pt>
                <c:pt idx="55">
                  <c:v>-2.8116757956184199E-5</c:v>
                </c:pt>
                <c:pt idx="56">
                  <c:v>5.0916795533231503E-4</c:v>
                </c:pt>
                <c:pt idx="57">
                  <c:v>1.1167712355133401E-3</c:v>
                </c:pt>
                <c:pt idx="58">
                  <c:v>2.49204167267761E-4</c:v>
                </c:pt>
                <c:pt idx="59">
                  <c:v>6.8264575451783597E-4</c:v>
                </c:pt>
                <c:pt idx="60">
                  <c:v>2.7740901188048499E-4</c:v>
                </c:pt>
                <c:pt idx="61">
                  <c:v>-2.9091258226792902E-4</c:v>
                </c:pt>
                <c:pt idx="62">
                  <c:v>-7.6362311015726802E-5</c:v>
                </c:pt>
                <c:pt idx="63">
                  <c:v>3.29156067297546E-4</c:v>
                </c:pt>
                <c:pt idx="64">
                  <c:v>1.4649576169230299E-4</c:v>
                </c:pt>
                <c:pt idx="65">
                  <c:v>-9.9236849108163701E-5</c:v>
                </c:pt>
                <c:pt idx="66">
                  <c:v>5.7020423258964496E-4</c:v>
                </c:pt>
                <c:pt idx="67">
                  <c:v>4.7264393331596598E-4</c:v>
                </c:pt>
                <c:pt idx="68">
                  <c:v>4.8548655025625401E-4</c:v>
                </c:pt>
                <c:pt idx="69">
                  <c:v>-1.2278869151607E-4</c:v>
                </c:pt>
                <c:pt idx="70">
                  <c:v>3.7621680636881999E-4</c:v>
                </c:pt>
                <c:pt idx="71">
                  <c:v>1.8228837622654901E-4</c:v>
                </c:pt>
                <c:pt idx="72">
                  <c:v>-1.24580211249192E-4</c:v>
                </c:pt>
                <c:pt idx="73">
                  <c:v>-3.7877785769156898E-4</c:v>
                </c:pt>
                <c:pt idx="74">
                  <c:v>-1.8634807949620701E-4</c:v>
                </c:pt>
                <c:pt idx="75">
                  <c:v>-1.73608584242883E-4</c:v>
                </c:pt>
                <c:pt idx="76">
                  <c:v>-2.1585772162458199E-4</c:v>
                </c:pt>
                <c:pt idx="77">
                  <c:v>2.4891871967858099E-4</c:v>
                </c:pt>
                <c:pt idx="78">
                  <c:v>1.14130973830563E-4</c:v>
                </c:pt>
                <c:pt idx="79">
                  <c:v>6.2564150211710698E-5</c:v>
                </c:pt>
                <c:pt idx="80">
                  <c:v>-6.7990643908288895E-4</c:v>
                </c:pt>
                <c:pt idx="81">
                  <c:v>2.9279428625450299E-4</c:v>
                </c:pt>
                <c:pt idx="82">
                  <c:v>3.0052348699104801E-5</c:v>
                </c:pt>
                <c:pt idx="83">
                  <c:v>-3.13189700236262E-4</c:v>
                </c:pt>
                <c:pt idx="84">
                  <c:v>-8.1058693369367302E-5</c:v>
                </c:pt>
                <c:pt idx="85">
                  <c:v>-5.7931499468703801E-5</c:v>
                </c:pt>
                <c:pt idx="86">
                  <c:v>-2.1850208844086401E-4</c:v>
                </c:pt>
                <c:pt idx="87">
                  <c:v>-5.8906871890594204E-4</c:v>
                </c:pt>
                <c:pt idx="88">
                  <c:v>-2.25805033345298E-4</c:v>
                </c:pt>
                <c:pt idx="89">
                  <c:v>-4.30370982358527E-4</c:v>
                </c:pt>
                <c:pt idx="90">
                  <c:v>-2.2637622008308701E-4</c:v>
                </c:pt>
                <c:pt idx="91">
                  <c:v>-5.9679010057001698E-4</c:v>
                </c:pt>
                <c:pt idx="92">
                  <c:v>-4.9858471266665903E-4</c:v>
                </c:pt>
                <c:pt idx="93">
                  <c:v>-4.7043735769368103E-4</c:v>
                </c:pt>
                <c:pt idx="94">
                  <c:v>1.012680119432E-4</c:v>
                </c:pt>
                <c:pt idx="95">
                  <c:v>-3.1497723093098698E-4</c:v>
                </c:pt>
                <c:pt idx="96">
                  <c:v>-4.5656917986241499E-4</c:v>
                </c:pt>
                <c:pt idx="97">
                  <c:v>-6.4813456306719194E-5</c:v>
                </c:pt>
                <c:pt idx="98">
                  <c:v>2.8870295735703198E-4</c:v>
                </c:pt>
                <c:pt idx="99">
                  <c:v>-2.5941968125934E-4</c:v>
                </c:pt>
                <c:pt idx="100">
                  <c:v>1.86569226568912E-4</c:v>
                </c:pt>
                <c:pt idx="101">
                  <c:v>-1.8838189044602301E-4</c:v>
                </c:pt>
                <c:pt idx="102">
                  <c:v>-1.69033335159752E-4</c:v>
                </c:pt>
                <c:pt idx="103">
                  <c:v>5.22962617685244E-5</c:v>
                </c:pt>
                <c:pt idx="104">
                  <c:v>-3.4316100162304301E-5</c:v>
                </c:pt>
                <c:pt idx="105">
                  <c:v>1.69993589893004E-4</c:v>
                </c:pt>
                <c:pt idx="106">
                  <c:v>-2.9847112234270099E-4</c:v>
                </c:pt>
                <c:pt idx="107">
                  <c:v>4.7176067298063102E-4</c:v>
                </c:pt>
                <c:pt idx="108">
                  <c:v>-3.3955642755712602E-4</c:v>
                </c:pt>
                <c:pt idx="109">
                  <c:v>4.5483329399385799E-4</c:v>
                </c:pt>
                <c:pt idx="110">
                  <c:v>-1.4982596840292501E-4</c:v>
                </c:pt>
                <c:pt idx="111">
                  <c:v>1.8874030409147399E-4</c:v>
                </c:pt>
                <c:pt idx="112">
                  <c:v>1.77538986893084E-4</c:v>
                </c:pt>
                <c:pt idx="113">
                  <c:v>9.68878590606261E-4</c:v>
                </c:pt>
                <c:pt idx="114">
                  <c:v>3.9337583310925298E-4</c:v>
                </c:pt>
                <c:pt idx="115">
                  <c:v>-4.94008736601794E-3</c:v>
                </c:pt>
                <c:pt idx="116">
                  <c:v>-4.6868057779356799E-3</c:v>
                </c:pt>
                <c:pt idx="117">
                  <c:v>-6.07892263792439E-3</c:v>
                </c:pt>
                <c:pt idx="118">
                  <c:v>2.1261101153768899E-4</c:v>
                </c:pt>
                <c:pt idx="119">
                  <c:v>7.4710151612433198E-4</c:v>
                </c:pt>
                <c:pt idx="120">
                  <c:v>-7.7583885248330497E-5</c:v>
                </c:pt>
                <c:pt idx="121">
                  <c:v>-7.1749604702287504E-5</c:v>
                </c:pt>
                <c:pt idx="122">
                  <c:v>2.8307853936905802E-4</c:v>
                </c:pt>
                <c:pt idx="123">
                  <c:v>-9.9381021215802501E-4</c:v>
                </c:pt>
                <c:pt idx="124">
                  <c:v>3.6318869169719E-4</c:v>
                </c:pt>
                <c:pt idx="125">
                  <c:v>4.44054730294005E-4</c:v>
                </c:pt>
                <c:pt idx="126">
                  <c:v>-1.6740719116579601E-4</c:v>
                </c:pt>
                <c:pt idx="127">
                  <c:v>2.84726709372739E-5</c:v>
                </c:pt>
                <c:pt idx="128">
                  <c:v>3.6620155084840099E-4</c:v>
                </c:pt>
                <c:pt idx="129">
                  <c:v>-7.98441008463078E-4</c:v>
                </c:pt>
                <c:pt idx="130">
                  <c:v>-1.0549602502619E-4</c:v>
                </c:pt>
                <c:pt idx="131">
                  <c:v>5.4092473488702301E-4</c:v>
                </c:pt>
                <c:pt idx="132">
                  <c:v>-8.1831031931977303E-4</c:v>
                </c:pt>
                <c:pt idx="133">
                  <c:v>-1.3906439346049699E-5</c:v>
                </c:pt>
                <c:pt idx="134">
                  <c:v>-1.9048154704718199E-4</c:v>
                </c:pt>
                <c:pt idx="135">
                  <c:v>1.3277173237920999E-4</c:v>
                </c:pt>
                <c:pt idx="136">
                  <c:v>8.1826426594886097E-5</c:v>
                </c:pt>
                <c:pt idx="137">
                  <c:v>4.3684742900405502E-4</c:v>
                </c:pt>
                <c:pt idx="138">
                  <c:v>1.1445917606257E-4</c:v>
                </c:pt>
                <c:pt idx="139">
                  <c:v>-2.6538038109662801E-5</c:v>
                </c:pt>
                <c:pt idx="140">
                  <c:v>-1.42267030221589E-4</c:v>
                </c:pt>
                <c:pt idx="141">
                  <c:v>9.0165954833446797E-4</c:v>
                </c:pt>
                <c:pt idx="142">
                  <c:v>-3.99042418719567E-4</c:v>
                </c:pt>
                <c:pt idx="143">
                  <c:v>2.81935087381899E-4</c:v>
                </c:pt>
                <c:pt idx="144">
                  <c:v>-2.9517733782687898E-4</c:v>
                </c:pt>
                <c:pt idx="145">
                  <c:v>-7.2736987495286901E-4</c:v>
                </c:pt>
                <c:pt idx="146">
                  <c:v>5.3203657604126703E-5</c:v>
                </c:pt>
                <c:pt idx="147">
                  <c:v>-2.2637622008308701E-4</c:v>
                </c:pt>
                <c:pt idx="148">
                  <c:v>1.9159102602931601E-4</c:v>
                </c:pt>
                <c:pt idx="149">
                  <c:v>1.8820478866212899E-4</c:v>
                </c:pt>
                <c:pt idx="150">
                  <c:v>8.0978515873279496E-4</c:v>
                </c:pt>
                <c:pt idx="151">
                  <c:v>1.0443451652759901E-3</c:v>
                </c:pt>
                <c:pt idx="152">
                  <c:v>-2.21265638179793E-4</c:v>
                </c:pt>
                <c:pt idx="153">
                  <c:v>8.3688204706953905E-5</c:v>
                </c:pt>
                <c:pt idx="154">
                  <c:v>1.8927109032063999E-4</c:v>
                </c:pt>
                <c:pt idx="155">
                  <c:v>-1.29134335707337E-4</c:v>
                </c:pt>
                <c:pt idx="156">
                  <c:v>-1.7583213071046901E-4</c:v>
                </c:pt>
                <c:pt idx="157">
                  <c:v>3.5516468609690497E-4</c:v>
                </c:pt>
                <c:pt idx="158">
                  <c:v>3.3066846909104498E-4</c:v>
                </c:pt>
                <c:pt idx="159">
                  <c:v>1.0494149894289999E-3</c:v>
                </c:pt>
                <c:pt idx="160">
                  <c:v>3.4430501486947202E-4</c:v>
                </c:pt>
                <c:pt idx="161">
                  <c:v>5.8903027596877999E-4</c:v>
                </c:pt>
                <c:pt idx="162">
                  <c:v>-4.8442023575822203E-4</c:v>
                </c:pt>
                <c:pt idx="163">
                  <c:v>7.1787840680048504E-4</c:v>
                </c:pt>
                <c:pt idx="164">
                  <c:v>4.2470762489583503E-4</c:v>
                </c:pt>
                <c:pt idx="165">
                  <c:v>-5.9577936126171198E-5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FSTA* x 10 dma / VDC*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-1.72280654998155E-4</c:v>
                </c:pt>
                <c:pt idx="11">
                  <c:v>4.5694486444432502E-4</c:v>
                </c:pt>
                <c:pt idx="12">
                  <c:v>-9.7838537456978005E-5</c:v>
                </c:pt>
                <c:pt idx="13">
                  <c:v>1.20972108942385E-4</c:v>
                </c:pt>
                <c:pt idx="14">
                  <c:v>1.8964263421732201E-4</c:v>
                </c:pt>
                <c:pt idx="15">
                  <c:v>2.5006184208075603E-4</c:v>
                </c:pt>
                <c:pt idx="16">
                  <c:v>-8.1479770462932098E-5</c:v>
                </c:pt>
                <c:pt idx="17">
                  <c:v>-2.7154051991006099E-4</c:v>
                </c:pt>
                <c:pt idx="18">
                  <c:v>4.7553322317617599E-4</c:v>
                </c:pt>
                <c:pt idx="19">
                  <c:v>-2.8687349237359799E-4</c:v>
                </c:pt>
                <c:pt idx="20">
                  <c:v>1.7554695785513901E-4</c:v>
                </c:pt>
                <c:pt idx="21">
                  <c:v>1.97655509817712E-4</c:v>
                </c:pt>
                <c:pt idx="22">
                  <c:v>-5.5111372137957197E-5</c:v>
                </c:pt>
                <c:pt idx="23">
                  <c:v>7.4227455369604302E-4</c:v>
                </c:pt>
                <c:pt idx="24">
                  <c:v>2.42011748357949E-4</c:v>
                </c:pt>
                <c:pt idx="25">
                  <c:v>-2.0515120417425799E-5</c:v>
                </c:pt>
                <c:pt idx="26">
                  <c:v>3.6852578074446298E-4</c:v>
                </c:pt>
                <c:pt idx="27">
                  <c:v>-8.6836683517681196E-5</c:v>
                </c:pt>
                <c:pt idx="28">
                  <c:v>4.3057413723572601E-4</c:v>
                </c:pt>
                <c:pt idx="29">
                  <c:v>4.1351339071421902E-4</c:v>
                </c:pt>
                <c:pt idx="30">
                  <c:v>4.7057573632710797E-6</c:v>
                </c:pt>
                <c:pt idx="31">
                  <c:v>-5.8256753389210499E-4</c:v>
                </c:pt>
                <c:pt idx="32">
                  <c:v>8.8701594785510398E-5</c:v>
                </c:pt>
                <c:pt idx="33">
                  <c:v>-3.6811425634650599E-4</c:v>
                </c:pt>
                <c:pt idx="34">
                  <c:v>-1.92386401501165E-5</c:v>
                </c:pt>
                <c:pt idx="35">
                  <c:v>3.8937523866236899E-5</c:v>
                </c:pt>
                <c:pt idx="36">
                  <c:v>-1.2777114480353499E-4</c:v>
                </c:pt>
                <c:pt idx="37">
                  <c:v>1.3864754289033299E-4</c:v>
                </c:pt>
                <c:pt idx="38">
                  <c:v>-5.4608722195809899E-5</c:v>
                </c:pt>
                <c:pt idx="39">
                  <c:v>-1.1309334105794399E-4</c:v>
                </c:pt>
                <c:pt idx="40">
                  <c:v>1.4196117526921401E-4</c:v>
                </c:pt>
                <c:pt idx="41">
                  <c:v>1.3483284625262799E-4</c:v>
                </c:pt>
                <c:pt idx="42">
                  <c:v>-1.0543786670666699E-4</c:v>
                </c:pt>
                <c:pt idx="43">
                  <c:v>1.31810487178551E-4</c:v>
                </c:pt>
                <c:pt idx="44">
                  <c:v>1.5199611730467501E-4</c:v>
                </c:pt>
                <c:pt idx="45">
                  <c:v>-2.2132743482407001E-4</c:v>
                </c:pt>
                <c:pt idx="46">
                  <c:v>-3.3037801942481401E-4</c:v>
                </c:pt>
                <c:pt idx="47">
                  <c:v>-8.0718508630861204E-4</c:v>
                </c:pt>
                <c:pt idx="48">
                  <c:v>1.97070051473657E-4</c:v>
                </c:pt>
                <c:pt idx="49">
                  <c:v>-4.6631212478850898E-4</c:v>
                </c:pt>
                <c:pt idx="50">
                  <c:v>-4.5842922404396399E-4</c:v>
                </c:pt>
                <c:pt idx="51">
                  <c:v>-3.23254193145232E-5</c:v>
                </c:pt>
                <c:pt idx="52">
                  <c:v>4.1426923771022397E-5</c:v>
                </c:pt>
                <c:pt idx="53">
                  <c:v>-5.60808731102548E-3</c:v>
                </c:pt>
                <c:pt idx="54">
                  <c:v>-4.3983758837557998E-3</c:v>
                </c:pt>
                <c:pt idx="55">
                  <c:v>8.5004844361652899E-4</c:v>
                </c:pt>
                <c:pt idx="56">
                  <c:v>1.4236820137497701E-3</c:v>
                </c:pt>
                <c:pt idx="57">
                  <c:v>2.0006374281606198E-3</c:v>
                </c:pt>
                <c:pt idx="58">
                  <c:v>9.917884000489889E-4</c:v>
                </c:pt>
                <c:pt idx="59">
                  <c:v>1.46123021403108E-3</c:v>
                </c:pt>
                <c:pt idx="60">
                  <c:v>9.8344178929409194E-4</c:v>
                </c:pt>
                <c:pt idx="61">
                  <c:v>3.79301599618829E-4</c:v>
                </c:pt>
                <c:pt idx="62">
                  <c:v>6.5047019029393599E-4</c:v>
                </c:pt>
                <c:pt idx="63">
                  <c:v>1.09523073843381E-3</c:v>
                </c:pt>
                <c:pt idx="64">
                  <c:v>3.4413621253553701E-4</c:v>
                </c:pt>
                <c:pt idx="65">
                  <c:v>-3.9070855712054601E-4</c:v>
                </c:pt>
                <c:pt idx="66">
                  <c:v>2.8584703465389801E-4</c:v>
                </c:pt>
                <c:pt idx="67">
                  <c:v>1.8218464726961801E-4</c:v>
                </c:pt>
                <c:pt idx="68">
                  <c:v>2.5940545140064298E-4</c:v>
                </c:pt>
                <c:pt idx="69">
                  <c:v>-3.7249497020823001E-4</c:v>
                </c:pt>
                <c:pt idx="70">
                  <c:v>2.0704829703626501E-4</c:v>
                </c:pt>
                <c:pt idx="71">
                  <c:v>3.24059616824819E-6</c:v>
                </c:pt>
                <c:pt idx="72">
                  <c:v>-3.5096025165302799E-4</c:v>
                </c:pt>
                <c:pt idx="73">
                  <c:v>-6.0033454343837503E-4</c:v>
                </c:pt>
                <c:pt idx="74">
                  <c:v>-3.37096434888484E-4</c:v>
                </c:pt>
                <c:pt idx="75">
                  <c:v>-2.9106742818356E-4</c:v>
                </c:pt>
                <c:pt idx="76">
                  <c:v>-3.2587753131910701E-4</c:v>
                </c:pt>
                <c:pt idx="77">
                  <c:v>2.1749674003928001E-4</c:v>
                </c:pt>
                <c:pt idx="78">
                  <c:v>1.0507389811946601E-4</c:v>
                </c:pt>
                <c:pt idx="79">
                  <c:v>9.0631147593327906E-5</c:v>
                </c:pt>
                <c:pt idx="80">
                  <c:v>-6.7037493559151502E-4</c:v>
                </c:pt>
                <c:pt idx="81">
                  <c:v>4.0794757213256298E-4</c:v>
                </c:pt>
                <c:pt idx="82">
                  <c:v>1.3415887935004501E-4</c:v>
                </c:pt>
                <c:pt idx="83">
                  <c:v>-2.24545666192409E-4</c:v>
                </c:pt>
                <c:pt idx="84">
                  <c:v>1.02481534659622E-6</c:v>
                </c:pt>
                <c:pt idx="85">
                  <c:v>1.3622471677289199E-5</c:v>
                </c:pt>
                <c:pt idx="86">
                  <c:v>-1.58516404180966E-4</c:v>
                </c:pt>
                <c:pt idx="87">
                  <c:v>-5.2881855642819098E-4</c:v>
                </c:pt>
                <c:pt idx="88">
                  <c:v>-8.1750432558328696E-5</c:v>
                </c:pt>
                <c:pt idx="89">
                  <c:v>-2.5232635705836799E-4</c:v>
                </c:pt>
                <c:pt idx="90">
                  <c:v>9.6099287493117802E-7</c:v>
                </c:pt>
                <c:pt idx="91">
                  <c:v>-4.1481718089995398E-4</c:v>
                </c:pt>
                <c:pt idx="92">
                  <c:v>-2.2765997420153301E-4</c:v>
                </c:pt>
                <c:pt idx="93">
                  <c:v>-1.4665224748230501E-4</c:v>
                </c:pt>
                <c:pt idx="94">
                  <c:v>4.4077883403413002E-4</c:v>
                </c:pt>
                <c:pt idx="95">
                  <c:v>6.3071278121390496E-6</c:v>
                </c:pt>
                <c:pt idx="96">
                  <c:v>-1.09584043683673E-4</c:v>
                </c:pt>
                <c:pt idx="97">
                  <c:v>3.0597788073982599E-4</c:v>
                </c:pt>
                <c:pt idx="98">
                  <c:v>6.0706969221980503E-4</c:v>
                </c:pt>
                <c:pt idx="99">
                  <c:v>7.5129264032082903E-6</c:v>
                </c:pt>
                <c:pt idx="100">
                  <c:v>4.36405225119929E-4</c:v>
                </c:pt>
                <c:pt idx="101">
                  <c:v>2.0168204761732202E-5</c:v>
                </c:pt>
                <c:pt idx="102">
                  <c:v>-1.3324124334235199E-6</c:v>
                </c:pt>
                <c:pt idx="103">
                  <c:v>1.87036028812204E-4</c:v>
                </c:pt>
                <c:pt idx="104">
                  <c:v>4.8145052172932702E-5</c:v>
                </c:pt>
                <c:pt idx="105">
                  <c:v>2.6601148972393802E-4</c:v>
                </c:pt>
                <c:pt idx="106">
                  <c:v>-2.5095034010275201E-4</c:v>
                </c:pt>
                <c:pt idx="107">
                  <c:v>5.0346630630653498E-4</c:v>
                </c:pt>
                <c:pt idx="108">
                  <c:v>-3.6149702911102897E-4</c:v>
                </c:pt>
                <c:pt idx="109">
                  <c:v>4.9571963427866403E-4</c:v>
                </c:pt>
                <c:pt idx="110">
                  <c:v>-1.8035757899184399E-4</c:v>
                </c:pt>
                <c:pt idx="111">
                  <c:v>1.9184805640707199E-4</c:v>
                </c:pt>
                <c:pt idx="112">
                  <c:v>1.4293393237093901E-4</c:v>
                </c:pt>
                <c:pt idx="113">
                  <c:v>8.99614651152856E-4</c:v>
                </c:pt>
                <c:pt idx="114">
                  <c:v>2.32489902404705E-4</c:v>
                </c:pt>
                <c:pt idx="115">
                  <c:v>-5.1437426075908602E-3</c:v>
                </c:pt>
                <c:pt idx="116">
                  <c:v>-4.3782590028781801E-3</c:v>
                </c:pt>
                <c:pt idx="117">
                  <c:v>-5.3306792252006303E-3</c:v>
                </c:pt>
                <c:pt idx="118">
                  <c:v>1.6170563525622599E-3</c:v>
                </c:pt>
                <c:pt idx="119">
                  <c:v>2.09640258664096E-3</c:v>
                </c:pt>
                <c:pt idx="120">
                  <c:v>1.24254688210557E-3</c:v>
                </c:pt>
                <c:pt idx="121">
                  <c:v>1.2411656385192E-3</c:v>
                </c:pt>
                <c:pt idx="122">
                  <c:v>1.62200673582636E-3</c:v>
                </c:pt>
                <c:pt idx="123">
                  <c:v>3.3458052219653402E-4</c:v>
                </c:pt>
                <c:pt idx="124">
                  <c:v>1.8875710249308E-3</c:v>
                </c:pt>
                <c:pt idx="125">
                  <c:v>1.9714500349899398E-3</c:v>
                </c:pt>
                <c:pt idx="126">
                  <c:v>8.2103991417519298E-4</c:v>
                </c:pt>
                <c:pt idx="127">
                  <c:v>5.6422642681409798E-4</c:v>
                </c:pt>
                <c:pt idx="128">
                  <c:v>2.8950500228853602E-4</c:v>
                </c:pt>
                <c:pt idx="129">
                  <c:v>-8.9049346219768801E-4</c:v>
                </c:pt>
                <c:pt idx="130">
                  <c:v>-4.2987960471983502E-5</c:v>
                </c:pt>
                <c:pt idx="131">
                  <c:v>6.0622409055882903E-4</c:v>
                </c:pt>
                <c:pt idx="132">
                  <c:v>-8.1426190381817898E-4</c:v>
                </c:pt>
                <c:pt idx="133">
                  <c:v>1.00303832406458E-4</c:v>
                </c:pt>
                <c:pt idx="134">
                  <c:v>-1.74304650811527E-4</c:v>
                </c:pt>
                <c:pt idx="135">
                  <c:v>2.04308444297916E-4</c:v>
                </c:pt>
                <c:pt idx="136">
                  <c:v>1.8447975168996299E-4</c:v>
                </c:pt>
                <c:pt idx="137">
                  <c:v>5.1457857364501703E-4</c:v>
                </c:pt>
                <c:pt idx="138">
                  <c:v>1.5136468488413001E-4</c:v>
                </c:pt>
                <c:pt idx="139">
                  <c:v>3.5534413332485598E-5</c:v>
                </c:pt>
                <c:pt idx="140">
                  <c:v>-1.5741491268291501E-4</c:v>
                </c:pt>
                <c:pt idx="141">
                  <c:v>8.9018927089133302E-4</c:v>
                </c:pt>
                <c:pt idx="142">
                  <c:v>-4.4656123078320298E-4</c:v>
                </c:pt>
                <c:pt idx="143">
                  <c:v>1.92461083657825E-4</c:v>
                </c:pt>
                <c:pt idx="144">
                  <c:v>-4.1423461425409299E-4</c:v>
                </c:pt>
                <c:pt idx="145">
                  <c:v>-8.35953837655484E-4</c:v>
                </c:pt>
                <c:pt idx="146">
                  <c:v>3.0665075052237102E-5</c:v>
                </c:pt>
                <c:pt idx="147">
                  <c:v>-2.4605265856398998E-4</c:v>
                </c:pt>
                <c:pt idx="148">
                  <c:v>2.3822908057418999E-4</c:v>
                </c:pt>
                <c:pt idx="149">
                  <c:v>2.2713116835891599E-4</c:v>
                </c:pt>
                <c:pt idx="150">
                  <c:v>8.2723959679164097E-4</c:v>
                </c:pt>
                <c:pt idx="151">
                  <c:v>9.6662328320976402E-4</c:v>
                </c:pt>
                <c:pt idx="152">
                  <c:v>-3.1324341491877902E-4</c:v>
                </c:pt>
                <c:pt idx="153">
                  <c:v>-2.6074558668815499E-5</c:v>
                </c:pt>
                <c:pt idx="154">
                  <c:v>9.9331370648412002E-5</c:v>
                </c:pt>
                <c:pt idx="155">
                  <c:v>-2.67526995408758E-4</c:v>
                </c:pt>
                <c:pt idx="156">
                  <c:v>-3.7408404506805297E-4</c:v>
                </c:pt>
                <c:pt idx="157">
                  <c:v>1.7982203396677899E-4</c:v>
                </c:pt>
                <c:pt idx="158">
                  <c:v>9.7163581671164703E-5</c:v>
                </c:pt>
                <c:pt idx="159">
                  <c:v>8.0200264517790699E-4</c:v>
                </c:pt>
                <c:pt idx="160">
                  <c:v>1.07999212031099E-5</c:v>
                </c:pt>
                <c:pt idx="161">
                  <c:v>3.0206077938864303E-4</c:v>
                </c:pt>
                <c:pt idx="162">
                  <c:v>-7.2588339091630798E-4</c:v>
                </c:pt>
                <c:pt idx="163">
                  <c:v>5.0274600890488398E-4</c:v>
                </c:pt>
                <c:pt idx="164">
                  <c:v>1.4616596810964401E-4</c:v>
                </c:pt>
                <c:pt idx="165">
                  <c:v>-3.61662853811445E-4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FSTA* x 20 dma / VDC*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2.0327629075778101E-4</c:v>
                </c:pt>
                <c:pt idx="21">
                  <c:v>2.5823311127502101E-4</c:v>
                </c:pt>
                <c:pt idx="22">
                  <c:v>-3.2431038819562299E-5</c:v>
                </c:pt>
                <c:pt idx="23">
                  <c:v>7.9713711712537196E-4</c:v>
                </c:pt>
                <c:pt idx="24">
                  <c:v>3.3815103229339801E-4</c:v>
                </c:pt>
                <c:pt idx="25">
                  <c:v>9.6764861451832296E-5</c:v>
                </c:pt>
                <c:pt idx="26">
                  <c:v>4.74151342902864E-4</c:v>
                </c:pt>
                <c:pt idx="27">
                  <c:v>3.7913593615637298E-5</c:v>
                </c:pt>
                <c:pt idx="28">
                  <c:v>5.8024898706032703E-4</c:v>
                </c:pt>
                <c:pt idx="29">
                  <c:v>5.3125230436209495E-4</c:v>
                </c:pt>
                <c:pt idx="30">
                  <c:v>1.8364528109932599E-4</c:v>
                </c:pt>
                <c:pt idx="31">
                  <c:v>-4.14443885586179E-4</c:v>
                </c:pt>
                <c:pt idx="32">
                  <c:v>2.4152007558064201E-4</c:v>
                </c:pt>
                <c:pt idx="33">
                  <c:v>-1.9722278227415801E-4</c:v>
                </c:pt>
                <c:pt idx="34">
                  <c:v>7.6674383858510195E-5</c:v>
                </c:pt>
                <c:pt idx="35">
                  <c:v>1.19146946378351E-4</c:v>
                </c:pt>
                <c:pt idx="36">
                  <c:v>-3.4764921087477301E-5</c:v>
                </c:pt>
                <c:pt idx="37">
                  <c:v>1.8307432117754401E-4</c:v>
                </c:pt>
                <c:pt idx="38">
                  <c:v>-1.61813762314245E-5</c:v>
                </c:pt>
                <c:pt idx="39">
                  <c:v>-1.07794446194017E-4</c:v>
                </c:pt>
                <c:pt idx="40">
                  <c:v>7.4668995271819994E-5</c:v>
                </c:pt>
                <c:pt idx="41">
                  <c:v>5.8323427349881499E-5</c:v>
                </c:pt>
                <c:pt idx="42">
                  <c:v>-1.3151841927981799E-4</c:v>
                </c:pt>
                <c:pt idx="43">
                  <c:v>7.0941863713688594E-5</c:v>
                </c:pt>
                <c:pt idx="44">
                  <c:v>1.48465932323304E-4</c:v>
                </c:pt>
                <c:pt idx="45">
                  <c:v>-2.13177769375765E-4</c:v>
                </c:pt>
                <c:pt idx="46">
                  <c:v>-3.45421776035165E-4</c:v>
                </c:pt>
                <c:pt idx="47">
                  <c:v>-8.1835198846005105E-4</c:v>
                </c:pt>
                <c:pt idx="48">
                  <c:v>1.2176696539931701E-4</c:v>
                </c:pt>
                <c:pt idx="49">
                  <c:v>-5.1615116024565102E-4</c:v>
                </c:pt>
                <c:pt idx="50">
                  <c:v>-5.0512225294623296E-4</c:v>
                </c:pt>
                <c:pt idx="51">
                  <c:v>-1.13841121899312E-4</c:v>
                </c:pt>
                <c:pt idx="52">
                  <c:v>-8.48152232539738E-5</c:v>
                </c:pt>
                <c:pt idx="53">
                  <c:v>-5.7272968751886904E-3</c:v>
                </c:pt>
                <c:pt idx="54">
                  <c:v>-4.8360184608430296E-3</c:v>
                </c:pt>
                <c:pt idx="55">
                  <c:v>1.32682752173224E-4</c:v>
                </c:pt>
                <c:pt idx="56">
                  <c:v>7.0034554739995696E-4</c:v>
                </c:pt>
                <c:pt idx="57">
                  <c:v>1.3042428349686701E-3</c:v>
                </c:pt>
                <c:pt idx="58">
                  <c:v>4.1438055972177202E-4</c:v>
                </c:pt>
                <c:pt idx="59">
                  <c:v>8.60783209119741E-4</c:v>
                </c:pt>
                <c:pt idx="60">
                  <c:v>4.4188685558383198E-4</c:v>
                </c:pt>
                <c:pt idx="61">
                  <c:v>-1.09679548441045E-4</c:v>
                </c:pt>
                <c:pt idx="62">
                  <c:v>1.4969307591277E-4</c:v>
                </c:pt>
                <c:pt idx="63">
                  <c:v>5.8012107130450696E-4</c:v>
                </c:pt>
                <c:pt idx="64">
                  <c:v>4.1272435379149301E-4</c:v>
                </c:pt>
                <c:pt idx="65">
                  <c:v>1.9428090397470099E-4</c:v>
                </c:pt>
                <c:pt idx="66">
                  <c:v>8.8546232435602896E-4</c:v>
                </c:pt>
                <c:pt idx="67">
                  <c:v>7.6951976664776001E-4</c:v>
                </c:pt>
                <c:pt idx="68">
                  <c:v>7.4385540627993404E-4</c:v>
                </c:pt>
                <c:pt idx="69">
                  <c:v>1.4178257161891401E-4</c:v>
                </c:pt>
                <c:pt idx="70">
                  <c:v>6.4474468756801299E-4</c:v>
                </c:pt>
                <c:pt idx="71">
                  <c:v>4.2796173287317402E-4</c:v>
                </c:pt>
                <c:pt idx="72">
                  <c:v>1.25759595968097E-4</c:v>
                </c:pt>
                <c:pt idx="73">
                  <c:v>-1.0639693803968001E-4</c:v>
                </c:pt>
                <c:pt idx="74">
                  <c:v>-1.6288685992575501E-4</c:v>
                </c:pt>
                <c:pt idx="75">
                  <c:v>-3.7807007515968597E-4</c:v>
                </c:pt>
                <c:pt idx="76">
                  <c:v>-4.1304242624903999E-4</c:v>
                </c:pt>
                <c:pt idx="77">
                  <c:v>8.7986474376350099E-5</c:v>
                </c:pt>
                <c:pt idx="78">
                  <c:v>-3.4322260247391598E-6</c:v>
                </c:pt>
                <c:pt idx="79">
                  <c:v>-4.8245845694566903E-5</c:v>
                </c:pt>
                <c:pt idx="80">
                  <c:v>-7.59720950291593E-4</c:v>
                </c:pt>
                <c:pt idx="81">
                  <c:v>2.6085785844770699E-4</c:v>
                </c:pt>
                <c:pt idx="82">
                  <c:v>-3.1070753505699397E-5</c:v>
                </c:pt>
                <c:pt idx="83">
                  <c:v>-3.7963399802678501E-4</c:v>
                </c:pt>
                <c:pt idx="84">
                  <c:v>-1.15384340373145E-4</c:v>
                </c:pt>
                <c:pt idx="85">
                  <c:v>-8.0879470135330605E-5</c:v>
                </c:pt>
                <c:pt idx="86">
                  <c:v>-2.4351553842462501E-4</c:v>
                </c:pt>
                <c:pt idx="87">
                  <c:v>-5.7465357701397702E-4</c:v>
                </c:pt>
                <c:pt idx="88">
                  <c:v>-1.5830334040883501E-4</c:v>
                </c:pt>
                <c:pt idx="89">
                  <c:v>-3.2731235935656898E-4</c:v>
                </c:pt>
                <c:pt idx="90">
                  <c:v>-1.0793593194246E-4</c:v>
                </c:pt>
                <c:pt idx="91">
                  <c:v>-4.4822643968801199E-4</c:v>
                </c:pt>
                <c:pt idx="92">
                  <c:v>-3.1106559956933799E-4</c:v>
                </c:pt>
                <c:pt idx="93">
                  <c:v>-2.64215874150275E-4</c:v>
                </c:pt>
                <c:pt idx="94">
                  <c:v>3.1207346094908099E-4</c:v>
                </c:pt>
                <c:pt idx="95">
                  <c:v>-1.1855027032818E-4</c:v>
                </c:pt>
                <c:pt idx="96">
                  <c:v>-2.5307347355735E-4</c:v>
                </c:pt>
                <c:pt idx="97">
                  <c:v>1.5071934793325101E-4</c:v>
                </c:pt>
                <c:pt idx="98">
                  <c:v>5.1991742327202903E-4</c:v>
                </c:pt>
                <c:pt idx="99">
                  <c:v>-3.6930077143600102E-5</c:v>
                </c:pt>
                <c:pt idx="100">
                  <c:v>4.2515589559794198E-4</c:v>
                </c:pt>
                <c:pt idx="101">
                  <c:v>6.8797052861877299E-6</c:v>
                </c:pt>
                <c:pt idx="102">
                  <c:v>5.0280827330555599E-5</c:v>
                </c:pt>
                <c:pt idx="103">
                  <c:v>2.8156316766397301E-4</c:v>
                </c:pt>
                <c:pt idx="104">
                  <c:v>1.76678146367478E-4</c:v>
                </c:pt>
                <c:pt idx="105">
                  <c:v>3.7865106230213999E-4</c:v>
                </c:pt>
                <c:pt idx="106">
                  <c:v>-1.0120695327092799E-4</c:v>
                </c:pt>
                <c:pt idx="107">
                  <c:v>6.7302353055639398E-4</c:v>
                </c:pt>
                <c:pt idx="108">
                  <c:v>-1.9132888476719399E-4</c:v>
                </c:pt>
                <c:pt idx="109">
                  <c:v>6.0874915508196301E-4</c:v>
                </c:pt>
                <c:pt idx="110">
                  <c:v>-4.0163948672225901E-5</c:v>
                </c:pt>
                <c:pt idx="111">
                  <c:v>2.9457450367285101E-4</c:v>
                </c:pt>
                <c:pt idx="112">
                  <c:v>2.4409203695862901E-4</c:v>
                </c:pt>
                <c:pt idx="113">
                  <c:v>1.00162170659012E-3</c:v>
                </c:pt>
                <c:pt idx="114">
                  <c:v>3.5417084614985901E-4</c:v>
                </c:pt>
                <c:pt idx="115">
                  <c:v>-4.9938948113898499E-3</c:v>
                </c:pt>
                <c:pt idx="116">
                  <c:v>-4.5087634824658197E-3</c:v>
                </c:pt>
                <c:pt idx="117">
                  <c:v>-5.6888839366023396E-3</c:v>
                </c:pt>
                <c:pt idx="118">
                  <c:v>9.0411770335869503E-4</c:v>
                </c:pt>
                <c:pt idx="119">
                  <c:v>1.4424092151481E-3</c:v>
                </c:pt>
                <c:pt idx="120">
                  <c:v>5.6744372922425297E-4</c:v>
                </c:pt>
                <c:pt idx="121">
                  <c:v>5.8647634250877899E-4</c:v>
                </c:pt>
                <c:pt idx="122">
                  <c:v>9.3547593451697396E-4</c:v>
                </c:pt>
                <c:pt idx="123">
                  <c:v>-3.6400263490381902E-4</c:v>
                </c:pt>
                <c:pt idx="124">
                  <c:v>1.04529190905996E-3</c:v>
                </c:pt>
                <c:pt idx="125">
                  <c:v>1.1062993288080999E-3</c:v>
                </c:pt>
                <c:pt idx="126">
                  <c:v>4.8114753208971102E-4</c:v>
                </c:pt>
                <c:pt idx="127">
                  <c:v>6.7047689921943398E-4</c:v>
                </c:pt>
                <c:pt idx="128">
                  <c:v>1.03035016971785E-3</c:v>
                </c:pt>
                <c:pt idx="129">
                  <c:v>-1.69557012596748E-4</c:v>
                </c:pt>
                <c:pt idx="130">
                  <c:v>5.8602109277246597E-4</c:v>
                </c:pt>
                <c:pt idx="131">
                  <c:v>1.23022660249626E-3</c:v>
                </c:pt>
                <c:pt idx="132">
                  <c:v>-1.4659927535301101E-4</c:v>
                </c:pt>
                <c:pt idx="133">
                  <c:v>7.0757834297091701E-4</c:v>
                </c:pt>
                <c:pt idx="134">
                  <c:v>5.8008240311557303E-4</c:v>
                </c:pt>
                <c:pt idx="135">
                  <c:v>9.3250268119321499E-4</c:v>
                </c:pt>
                <c:pt idx="136">
                  <c:v>6.2747472063749395E-4</c:v>
                </c:pt>
                <c:pt idx="137">
                  <c:v>7.4361610235165905E-4</c:v>
                </c:pt>
                <c:pt idx="138">
                  <c:v>9.4565269371871705E-5</c:v>
                </c:pt>
                <c:pt idx="139">
                  <c:v>-4.1525069945137897E-5</c:v>
                </c:pt>
                <c:pt idx="140">
                  <c:v>-1.18586185369435E-4</c:v>
                </c:pt>
                <c:pt idx="141">
                  <c:v>9.2857482414586401E-4</c:v>
                </c:pt>
                <c:pt idx="142">
                  <c:v>-4.2077728460326798E-4</c:v>
                </c:pt>
                <c:pt idx="143">
                  <c:v>2.9430840730681801E-4</c:v>
                </c:pt>
                <c:pt idx="144">
                  <c:v>-3.4661524188731399E-4</c:v>
                </c:pt>
                <c:pt idx="145">
                  <c:v>-7.4588944491263995E-4</c:v>
                </c:pt>
                <c:pt idx="146">
                  <c:v>9.3262988002440795E-5</c:v>
                </c:pt>
                <c:pt idx="147">
                  <c:v>-1.97347680973488E-4</c:v>
                </c:pt>
                <c:pt idx="148">
                  <c:v>2.3336281955306599E-4</c:v>
                </c:pt>
                <c:pt idx="149">
                  <c:v>2.38704271199298E-4</c:v>
                </c:pt>
                <c:pt idx="150">
                  <c:v>8.1093856939563999E-4</c:v>
                </c:pt>
                <c:pt idx="151">
                  <c:v>9.9974963418042895E-4</c:v>
                </c:pt>
                <c:pt idx="152">
                  <c:v>-2.9101368550638501E-4</c:v>
                </c:pt>
                <c:pt idx="153">
                  <c:v>-1.5930127388621199E-5</c:v>
                </c:pt>
                <c:pt idx="154">
                  <c:v>8.47726982498436E-5</c:v>
                </c:pt>
                <c:pt idx="155">
                  <c:v>-2.5262253583925701E-4</c:v>
                </c:pt>
                <c:pt idx="156">
                  <c:v>-2.8622351976856798E-4</c:v>
                </c:pt>
                <c:pt idx="157">
                  <c:v>2.5765816978758299E-4</c:v>
                </c:pt>
                <c:pt idx="158">
                  <c:v>2.37244862662123E-4</c:v>
                </c:pt>
                <c:pt idx="159">
                  <c:v>9.4518225588509895E-4</c:v>
                </c:pt>
                <c:pt idx="160">
                  <c:v>1.8629508363970801E-4</c:v>
                </c:pt>
                <c:pt idx="161">
                  <c:v>4.0669005971608301E-4</c:v>
                </c:pt>
                <c:pt idx="162">
                  <c:v>-6.5113790847191801E-4</c:v>
                </c:pt>
                <c:pt idx="163">
                  <c:v>5.5543221400975796E-4</c:v>
                </c:pt>
                <c:pt idx="164">
                  <c:v>2.4047138300316401E-4</c:v>
                </c:pt>
                <c:pt idx="165">
                  <c:v>-2.79813375425189E-4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VDC*/FSTA*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4.2929927753205499</c:v>
                </c:pt>
                <c:pt idx="1">
                  <c:v>4.2929927753205499</c:v>
                </c:pt>
                <c:pt idx="2">
                  <c:v>4.2929927753205499</c:v>
                </c:pt>
                <c:pt idx="3">
                  <c:v>4.2929927753205499</c:v>
                </c:pt>
                <c:pt idx="4">
                  <c:v>4.2929927753205499</c:v>
                </c:pt>
                <c:pt idx="5">
                  <c:v>4.2929927753205499</c:v>
                </c:pt>
                <c:pt idx="6">
                  <c:v>4.2929927753205499</c:v>
                </c:pt>
                <c:pt idx="7">
                  <c:v>4.2929927753205499</c:v>
                </c:pt>
                <c:pt idx="8">
                  <c:v>4.2929927753205499</c:v>
                </c:pt>
                <c:pt idx="9">
                  <c:v>4.2929927753205499</c:v>
                </c:pt>
                <c:pt idx="10">
                  <c:v>4.2929927753205499</c:v>
                </c:pt>
                <c:pt idx="11">
                  <c:v>4.2929927753205499</c:v>
                </c:pt>
                <c:pt idx="12">
                  <c:v>4.2929927753205499</c:v>
                </c:pt>
                <c:pt idx="13">
                  <c:v>4.2929927753205499</c:v>
                </c:pt>
                <c:pt idx="14">
                  <c:v>4.2929927753205499</c:v>
                </c:pt>
                <c:pt idx="15">
                  <c:v>4.2929927753205499</c:v>
                </c:pt>
                <c:pt idx="16">
                  <c:v>4.2929927753205499</c:v>
                </c:pt>
                <c:pt idx="17">
                  <c:v>4.2929927753205499</c:v>
                </c:pt>
                <c:pt idx="18">
                  <c:v>4.2929927753205499</c:v>
                </c:pt>
                <c:pt idx="19">
                  <c:v>4.2929927753205499</c:v>
                </c:pt>
                <c:pt idx="20">
                  <c:v>4.2929927753205499</c:v>
                </c:pt>
                <c:pt idx="21">
                  <c:v>4.2929927753205499</c:v>
                </c:pt>
                <c:pt idx="22">
                  <c:v>4.2929927753205499</c:v>
                </c:pt>
                <c:pt idx="23">
                  <c:v>4.2929927753205499</c:v>
                </c:pt>
                <c:pt idx="24">
                  <c:v>4.2929927753205499</c:v>
                </c:pt>
                <c:pt idx="25">
                  <c:v>4.2929927753205499</c:v>
                </c:pt>
                <c:pt idx="26">
                  <c:v>4.2929927753205499</c:v>
                </c:pt>
                <c:pt idx="27">
                  <c:v>4.2929927753205499</c:v>
                </c:pt>
                <c:pt idx="28">
                  <c:v>4.2929927753205499</c:v>
                </c:pt>
                <c:pt idx="29">
                  <c:v>4.2929927753205499</c:v>
                </c:pt>
                <c:pt idx="30">
                  <c:v>4.2929927753205499</c:v>
                </c:pt>
                <c:pt idx="31">
                  <c:v>4.2929927753205499</c:v>
                </c:pt>
                <c:pt idx="32">
                  <c:v>4.2929927753205499</c:v>
                </c:pt>
                <c:pt idx="33">
                  <c:v>4.2929927753205499</c:v>
                </c:pt>
                <c:pt idx="34">
                  <c:v>4.2929927753205499</c:v>
                </c:pt>
                <c:pt idx="35">
                  <c:v>4.2929927753205499</c:v>
                </c:pt>
                <c:pt idx="36">
                  <c:v>4.2929927753205499</c:v>
                </c:pt>
                <c:pt idx="37">
                  <c:v>4.2929927753205499</c:v>
                </c:pt>
                <c:pt idx="38">
                  <c:v>4.2929927753205499</c:v>
                </c:pt>
                <c:pt idx="39">
                  <c:v>4.2929927753205499</c:v>
                </c:pt>
                <c:pt idx="40">
                  <c:v>4.2929927753205499</c:v>
                </c:pt>
                <c:pt idx="41">
                  <c:v>4.2929927753205499</c:v>
                </c:pt>
                <c:pt idx="42">
                  <c:v>4.2929927753205499</c:v>
                </c:pt>
                <c:pt idx="43">
                  <c:v>4.2929927753205499</c:v>
                </c:pt>
                <c:pt idx="44">
                  <c:v>4.2929927753205499</c:v>
                </c:pt>
                <c:pt idx="45">
                  <c:v>4.2929927753205499</c:v>
                </c:pt>
                <c:pt idx="46">
                  <c:v>4.2929927753205499</c:v>
                </c:pt>
                <c:pt idx="47">
                  <c:v>4.2929927753205499</c:v>
                </c:pt>
                <c:pt idx="48">
                  <c:v>4.2929927753205499</c:v>
                </c:pt>
                <c:pt idx="49">
                  <c:v>4.2929927753205499</c:v>
                </c:pt>
                <c:pt idx="50">
                  <c:v>4.2929927753205499</c:v>
                </c:pt>
                <c:pt idx="51">
                  <c:v>4.2929927753205499</c:v>
                </c:pt>
                <c:pt idx="52">
                  <c:v>4.2929927753205499</c:v>
                </c:pt>
                <c:pt idx="53">
                  <c:v>4.2929927753205499</c:v>
                </c:pt>
                <c:pt idx="54">
                  <c:v>4.2929927753205499</c:v>
                </c:pt>
                <c:pt idx="55">
                  <c:v>4.2929927753205499</c:v>
                </c:pt>
                <c:pt idx="56">
                  <c:v>4.2929927753205499</c:v>
                </c:pt>
                <c:pt idx="57">
                  <c:v>4.2929927753205499</c:v>
                </c:pt>
                <c:pt idx="58">
                  <c:v>4.2929927753205499</c:v>
                </c:pt>
                <c:pt idx="59">
                  <c:v>4.2929927753205499</c:v>
                </c:pt>
                <c:pt idx="60">
                  <c:v>4.2929927753205499</c:v>
                </c:pt>
                <c:pt idx="61">
                  <c:v>4.2929927753205499</c:v>
                </c:pt>
                <c:pt idx="62">
                  <c:v>4.2929927753205499</c:v>
                </c:pt>
                <c:pt idx="63">
                  <c:v>4.2929927753205499</c:v>
                </c:pt>
                <c:pt idx="64">
                  <c:v>4.2929927753205499</c:v>
                </c:pt>
                <c:pt idx="65">
                  <c:v>4.2929927753205499</c:v>
                </c:pt>
                <c:pt idx="66">
                  <c:v>4.2929927753205499</c:v>
                </c:pt>
                <c:pt idx="67">
                  <c:v>4.2929927753205499</c:v>
                </c:pt>
                <c:pt idx="68">
                  <c:v>4.2929927753205499</c:v>
                </c:pt>
                <c:pt idx="69">
                  <c:v>4.2929927753205499</c:v>
                </c:pt>
                <c:pt idx="70">
                  <c:v>4.2929927753205499</c:v>
                </c:pt>
                <c:pt idx="71">
                  <c:v>4.2929927753205499</c:v>
                </c:pt>
                <c:pt idx="72">
                  <c:v>4.2929927753205499</c:v>
                </c:pt>
                <c:pt idx="73">
                  <c:v>4.2929927753205499</c:v>
                </c:pt>
                <c:pt idx="74">
                  <c:v>4.2929927753205499</c:v>
                </c:pt>
                <c:pt idx="75">
                  <c:v>4.2929927753205499</c:v>
                </c:pt>
                <c:pt idx="76">
                  <c:v>4.2929927753205499</c:v>
                </c:pt>
                <c:pt idx="77">
                  <c:v>4.2929927753205499</c:v>
                </c:pt>
                <c:pt idx="78">
                  <c:v>4.2929927753205499</c:v>
                </c:pt>
                <c:pt idx="79">
                  <c:v>4.2929927753205499</c:v>
                </c:pt>
                <c:pt idx="80">
                  <c:v>4.2929927753205499</c:v>
                </c:pt>
                <c:pt idx="81">
                  <c:v>4.2929927753205499</c:v>
                </c:pt>
                <c:pt idx="82">
                  <c:v>4.2929927753205499</c:v>
                </c:pt>
                <c:pt idx="83">
                  <c:v>4.2929927753205499</c:v>
                </c:pt>
                <c:pt idx="84">
                  <c:v>4.2929927753205499</c:v>
                </c:pt>
                <c:pt idx="85">
                  <c:v>4.2929927753205499</c:v>
                </c:pt>
                <c:pt idx="86">
                  <c:v>4.2929927753205499</c:v>
                </c:pt>
                <c:pt idx="87">
                  <c:v>4.2929927753205499</c:v>
                </c:pt>
                <c:pt idx="88">
                  <c:v>4.2929927753205499</c:v>
                </c:pt>
                <c:pt idx="89">
                  <c:v>4.2929927753205499</c:v>
                </c:pt>
                <c:pt idx="90">
                  <c:v>4.2929927753205499</c:v>
                </c:pt>
                <c:pt idx="91">
                  <c:v>4.2929927753205499</c:v>
                </c:pt>
                <c:pt idx="92">
                  <c:v>4.2929927753205499</c:v>
                </c:pt>
                <c:pt idx="93">
                  <c:v>4.2929927753205499</c:v>
                </c:pt>
                <c:pt idx="94">
                  <c:v>4.2929927753205499</c:v>
                </c:pt>
                <c:pt idx="95">
                  <c:v>4.2929927753205499</c:v>
                </c:pt>
                <c:pt idx="96">
                  <c:v>4.2929927753205499</c:v>
                </c:pt>
                <c:pt idx="97">
                  <c:v>4.2929927753205499</c:v>
                </c:pt>
                <c:pt idx="98">
                  <c:v>4.2929927753205499</c:v>
                </c:pt>
                <c:pt idx="99">
                  <c:v>4.2929927753205499</c:v>
                </c:pt>
                <c:pt idx="100">
                  <c:v>4.2929927753205499</c:v>
                </c:pt>
                <c:pt idx="101">
                  <c:v>4.2929927753205499</c:v>
                </c:pt>
                <c:pt idx="102">
                  <c:v>4.2929927753205499</c:v>
                </c:pt>
                <c:pt idx="103">
                  <c:v>4.2929927753205499</c:v>
                </c:pt>
                <c:pt idx="104">
                  <c:v>4.2929927753205499</c:v>
                </c:pt>
                <c:pt idx="105">
                  <c:v>4.2929927753205499</c:v>
                </c:pt>
                <c:pt idx="106">
                  <c:v>4.2929927753205499</c:v>
                </c:pt>
                <c:pt idx="107">
                  <c:v>4.2929927753205499</c:v>
                </c:pt>
                <c:pt idx="108">
                  <c:v>4.2929927753205499</c:v>
                </c:pt>
                <c:pt idx="109">
                  <c:v>4.2929927753205499</c:v>
                </c:pt>
                <c:pt idx="110">
                  <c:v>4.2929927753205499</c:v>
                </c:pt>
                <c:pt idx="111">
                  <c:v>4.2929927753205499</c:v>
                </c:pt>
                <c:pt idx="112">
                  <c:v>4.2929927753205499</c:v>
                </c:pt>
                <c:pt idx="113">
                  <c:v>4.2929927753205499</c:v>
                </c:pt>
                <c:pt idx="114">
                  <c:v>4.2929927753205499</c:v>
                </c:pt>
                <c:pt idx="115">
                  <c:v>4.2929927753205499</c:v>
                </c:pt>
                <c:pt idx="116">
                  <c:v>4.2929927753205499</c:v>
                </c:pt>
                <c:pt idx="117">
                  <c:v>4.2929927753205499</c:v>
                </c:pt>
                <c:pt idx="118">
                  <c:v>4.2929927753205499</c:v>
                </c:pt>
                <c:pt idx="119">
                  <c:v>4.2929927753205499</c:v>
                </c:pt>
                <c:pt idx="120">
                  <c:v>4.2929927753205499</c:v>
                </c:pt>
                <c:pt idx="121">
                  <c:v>4.2929927753205499</c:v>
                </c:pt>
                <c:pt idx="122">
                  <c:v>4.2929927753205499</c:v>
                </c:pt>
                <c:pt idx="123">
                  <c:v>4.2929927753205499</c:v>
                </c:pt>
                <c:pt idx="124">
                  <c:v>4.2929927753205499</c:v>
                </c:pt>
                <c:pt idx="125">
                  <c:v>4.2929927753205499</c:v>
                </c:pt>
                <c:pt idx="126">
                  <c:v>4.2929927753205499</c:v>
                </c:pt>
                <c:pt idx="127">
                  <c:v>4.2929927753205499</c:v>
                </c:pt>
                <c:pt idx="128">
                  <c:v>4.2929927753205499</c:v>
                </c:pt>
                <c:pt idx="129">
                  <c:v>4.2929927753205499</c:v>
                </c:pt>
                <c:pt idx="130">
                  <c:v>4.2929927753205499</c:v>
                </c:pt>
                <c:pt idx="131">
                  <c:v>4.2929927753205499</c:v>
                </c:pt>
                <c:pt idx="132">
                  <c:v>4.2929927753205499</c:v>
                </c:pt>
                <c:pt idx="133">
                  <c:v>4.2929927753205499</c:v>
                </c:pt>
                <c:pt idx="134">
                  <c:v>4.2929927753205499</c:v>
                </c:pt>
                <c:pt idx="135">
                  <c:v>4.2929927753205499</c:v>
                </c:pt>
                <c:pt idx="136">
                  <c:v>4.2929927753205499</c:v>
                </c:pt>
                <c:pt idx="137">
                  <c:v>4.2929927753205499</c:v>
                </c:pt>
                <c:pt idx="138">
                  <c:v>4.2929927753205499</c:v>
                </c:pt>
                <c:pt idx="139">
                  <c:v>4.2929927753205499</c:v>
                </c:pt>
                <c:pt idx="140">
                  <c:v>4.2929927753205499</c:v>
                </c:pt>
                <c:pt idx="141">
                  <c:v>4.2929927753205499</c:v>
                </c:pt>
                <c:pt idx="142">
                  <c:v>4.2929927753205499</c:v>
                </c:pt>
                <c:pt idx="143">
                  <c:v>4.2929927753205499</c:v>
                </c:pt>
                <c:pt idx="144">
                  <c:v>4.2929927753205499</c:v>
                </c:pt>
                <c:pt idx="145">
                  <c:v>4.2929927753205499</c:v>
                </c:pt>
                <c:pt idx="146">
                  <c:v>4.2929927753205499</c:v>
                </c:pt>
                <c:pt idx="147">
                  <c:v>4.2929927753205499</c:v>
                </c:pt>
                <c:pt idx="148">
                  <c:v>4.2929927753205499</c:v>
                </c:pt>
                <c:pt idx="149">
                  <c:v>4.2929927753205499</c:v>
                </c:pt>
                <c:pt idx="150">
                  <c:v>4.2929927753205499</c:v>
                </c:pt>
                <c:pt idx="151">
                  <c:v>4.2929927753205499</c:v>
                </c:pt>
                <c:pt idx="152">
                  <c:v>4.2929927753205499</c:v>
                </c:pt>
                <c:pt idx="153">
                  <c:v>4.2929927753205499</c:v>
                </c:pt>
                <c:pt idx="154">
                  <c:v>4.2929927753205499</c:v>
                </c:pt>
                <c:pt idx="155">
                  <c:v>4.2929927753205499</c:v>
                </c:pt>
                <c:pt idx="156">
                  <c:v>4.2929927753205499</c:v>
                </c:pt>
                <c:pt idx="157">
                  <c:v>4.2929927753205499</c:v>
                </c:pt>
                <c:pt idx="158">
                  <c:v>4.2929927753205499</c:v>
                </c:pt>
                <c:pt idx="159">
                  <c:v>4.2929927753205499</c:v>
                </c:pt>
                <c:pt idx="160">
                  <c:v>4.2929927753205499</c:v>
                </c:pt>
                <c:pt idx="161">
                  <c:v>4.2929927753205499</c:v>
                </c:pt>
                <c:pt idx="162">
                  <c:v>4.2929927753205499</c:v>
                </c:pt>
                <c:pt idx="163">
                  <c:v>4.2929927753205499</c:v>
                </c:pt>
                <c:pt idx="164">
                  <c:v>4.2929927753205499</c:v>
                </c:pt>
                <c:pt idx="165">
                  <c:v>4.2929927753205499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VDC*/FSTA*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4.2921684164413101</c:v>
                </c:pt>
                <c:pt idx="10">
                  <c:v>4.2922772810321996</c:v>
                </c:pt>
                <c:pt idx="11">
                  <c:v>4.2920112480142398</c:v>
                </c:pt>
                <c:pt idx="12">
                  <c:v>4.2922496858229398</c:v>
                </c:pt>
                <c:pt idx="13">
                  <c:v>4.2922903319803503</c:v>
                </c:pt>
                <c:pt idx="14">
                  <c:v>4.2923668026873898</c:v>
                </c:pt>
                <c:pt idx="15">
                  <c:v>4.2922822303120798</c:v>
                </c:pt>
                <c:pt idx="16">
                  <c:v>4.2921625665500098</c:v>
                </c:pt>
                <c:pt idx="17">
                  <c:v>4.2921900763183203</c:v>
                </c:pt>
                <c:pt idx="18">
                  <c:v>4.2918068319191001</c:v>
                </c:pt>
                <c:pt idx="19">
                  <c:v>4.29193038840807</c:v>
                </c:pt>
                <c:pt idx="20">
                  <c:v>4.29175729655653</c:v>
                </c:pt>
                <c:pt idx="21">
                  <c:v>4.2918165661460002</c:v>
                </c:pt>
                <c:pt idx="22">
                  <c:v>4.2917787569363197</c:v>
                </c:pt>
                <c:pt idx="23">
                  <c:v>4.2914651355437599</c:v>
                </c:pt>
                <c:pt idx="24">
                  <c:v>4.2913601623750903</c:v>
                </c:pt>
                <c:pt idx="25">
                  <c:v>4.2913756245070003</c:v>
                </c:pt>
                <c:pt idx="26">
                  <c:v>4.2910918699665803</c:v>
                </c:pt>
                <c:pt idx="27">
                  <c:v>4.2909054989139301</c:v>
                </c:pt>
                <c:pt idx="28">
                  <c:v>4.2907963850256898</c:v>
                </c:pt>
                <c:pt idx="29">
                  <c:v>4.2903948086168198</c:v>
                </c:pt>
                <c:pt idx="30">
                  <c:v>4.2903145686062798</c:v>
                </c:pt>
                <c:pt idx="31">
                  <c:v>4.2905051289913203</c:v>
                </c:pt>
                <c:pt idx="32">
                  <c:v>4.2903122760571799</c:v>
                </c:pt>
                <c:pt idx="33">
                  <c:v>4.2906420391657303</c:v>
                </c:pt>
                <c:pt idx="34">
                  <c:v>4.2906718301507203</c:v>
                </c:pt>
                <c:pt idx="35">
                  <c:v>4.2905774865725101</c:v>
                </c:pt>
                <c:pt idx="36">
                  <c:v>4.2907106165991999</c:v>
                </c:pt>
                <c:pt idx="37">
                  <c:v>4.2905757417013</c:v>
                </c:pt>
                <c:pt idx="38">
                  <c:v>4.29075091242927</c:v>
                </c:pt>
                <c:pt idx="39">
                  <c:v>4.2909722869457099</c:v>
                </c:pt>
                <c:pt idx="40">
                  <c:v>4.2909711429062396</c:v>
                </c:pt>
                <c:pt idx="41">
                  <c:v>4.2907289352359603</c:v>
                </c:pt>
                <c:pt idx="42">
                  <c:v>4.2908346145530096</c:v>
                </c:pt>
                <c:pt idx="43">
                  <c:v>4.2906723328463103</c:v>
                </c:pt>
                <c:pt idx="44">
                  <c:v>4.2906018959257004</c:v>
                </c:pt>
                <c:pt idx="45">
                  <c:v>4.2907065822924801</c:v>
                </c:pt>
                <c:pt idx="46">
                  <c:v>4.2908064460956004</c:v>
                </c:pt>
                <c:pt idx="47">
                  <c:v>4.2912220018878502</c:v>
                </c:pt>
                <c:pt idx="48">
                  <c:v>4.29117863817907</c:v>
                </c:pt>
                <c:pt idx="49">
                  <c:v>4.2913730319996599</c:v>
                </c:pt>
                <c:pt idx="50">
                  <c:v>4.2916707915093504</c:v>
                </c:pt>
                <c:pt idx="51">
                  <c:v>4.2918124820846204</c:v>
                </c:pt>
                <c:pt idx="52">
                  <c:v>4.2918578145632296</c:v>
                </c:pt>
                <c:pt idx="53">
                  <c:v>4.29443036159077</c:v>
                </c:pt>
                <c:pt idx="54">
                  <c:v>4.2967643879935604</c:v>
                </c:pt>
                <c:pt idx="55">
                  <c:v>4.2969205733057496</c:v>
                </c:pt>
                <c:pt idx="56">
                  <c:v>4.2967888838788104</c:v>
                </c:pt>
                <c:pt idx="57">
                  <c:v>4.2961818680053696</c:v>
                </c:pt>
                <c:pt idx="58">
                  <c:v>4.2963365343106901</c:v>
                </c:pt>
                <c:pt idx="59">
                  <c:v>4.2960248391754003</c:v>
                </c:pt>
                <c:pt idx="60">
                  <c:v>4.2958709643551201</c:v>
                </c:pt>
                <c:pt idx="61">
                  <c:v>4.2961141962352096</c:v>
                </c:pt>
                <c:pt idx="62">
                  <c:v>4.2962827883860299</c:v>
                </c:pt>
                <c:pt idx="63">
                  <c:v>4.2938413281995498</c:v>
                </c:pt>
                <c:pt idx="64">
                  <c:v>4.2917416717233499</c:v>
                </c:pt>
                <c:pt idx="65">
                  <c:v>4.2917722054713296</c:v>
                </c:pt>
                <c:pt idx="66">
                  <c:v>4.29174601677909</c:v>
                </c:pt>
                <c:pt idx="67">
                  <c:v>4.2920223205013999</c:v>
                </c:pt>
                <c:pt idx="68">
                  <c:v>4.2919209219000001</c:v>
                </c:pt>
                <c:pt idx="69">
                  <c:v>4.2922665975571102</c:v>
                </c:pt>
                <c:pt idx="70">
                  <c:v>4.29222419330282</c:v>
                </c:pt>
                <c:pt idx="71">
                  <c:v>4.2920210374377996</c:v>
                </c:pt>
                <c:pt idx="72">
                  <c:v>4.29204173942738</c:v>
                </c:pt>
                <c:pt idx="73">
                  <c:v>4.2923456624967802</c:v>
                </c:pt>
                <c:pt idx="74">
                  <c:v>4.2924885549652601</c:v>
                </c:pt>
                <c:pt idx="75">
                  <c:v>4.2925204870533999</c:v>
                </c:pt>
                <c:pt idx="76">
                  <c:v>4.2928578831082698</c:v>
                </c:pt>
                <c:pt idx="77">
                  <c:v>4.2929538935360299</c:v>
                </c:pt>
                <c:pt idx="78">
                  <c:v>4.2931132684284599</c:v>
                </c:pt>
                <c:pt idx="79">
                  <c:v>4.2930336941911804</c:v>
                </c:pt>
                <c:pt idx="80">
                  <c:v>4.2934871560091104</c:v>
                </c:pt>
                <c:pt idx="81">
                  <c:v>4.2934397271693996</c:v>
                </c:pt>
                <c:pt idx="82">
                  <c:v>4.2933733403854299</c:v>
                </c:pt>
                <c:pt idx="83">
                  <c:v>4.2933451736932904</c:v>
                </c:pt>
                <c:pt idx="84">
                  <c:v>4.29329996699198</c:v>
                </c:pt>
                <c:pt idx="85">
                  <c:v>4.2932503011535497</c:v>
                </c:pt>
                <c:pt idx="86">
                  <c:v>4.2932514366248897</c:v>
                </c:pt>
                <c:pt idx="87">
                  <c:v>4.2936112452266304</c:v>
                </c:pt>
                <c:pt idx="88">
                  <c:v>4.2937571876583798</c:v>
                </c:pt>
                <c:pt idx="89">
                  <c:v>4.2939688432774199</c:v>
                </c:pt>
                <c:pt idx="90">
                  <c:v>4.2937740548337002</c:v>
                </c:pt>
                <c:pt idx="91">
                  <c:v>4.2941560108329604</c:v>
                </c:pt>
                <c:pt idx="92">
                  <c:v>4.29438300751554</c:v>
                </c:pt>
                <c:pt idx="93">
                  <c:v>4.2944505402764097</c:v>
                </c:pt>
                <c:pt idx="94">
                  <c:v>4.2943722683443504</c:v>
                </c:pt>
                <c:pt idx="95">
                  <c:v>4.2944826384685397</c:v>
                </c:pt>
                <c:pt idx="96">
                  <c:v>4.2945848750017799</c:v>
                </c:pt>
                <c:pt idx="97">
                  <c:v>4.2943597389995496</c:v>
                </c:pt>
                <c:pt idx="98">
                  <c:v>4.2941388680346897</c:v>
                </c:pt>
                <c:pt idx="99">
                  <c:v>4.29406545344857</c:v>
                </c:pt>
                <c:pt idx="100">
                  <c:v>4.2938881727369296</c:v>
                </c:pt>
                <c:pt idx="101">
                  <c:v>4.2937127745407997</c:v>
                </c:pt>
                <c:pt idx="102">
                  <c:v>4.2935712511379904</c:v>
                </c:pt>
                <c:pt idx="103">
                  <c:v>4.2933467950480004</c:v>
                </c:pt>
                <c:pt idx="104">
                  <c:v>4.2934049992609404</c:v>
                </c:pt>
                <c:pt idx="105">
                  <c:v>4.2931967865427296</c:v>
                </c:pt>
                <c:pt idx="106">
                  <c:v>4.2931288895331301</c:v>
                </c:pt>
                <c:pt idx="107">
                  <c:v>4.2928985855098798</c:v>
                </c:pt>
                <c:pt idx="108">
                  <c:v>4.2931683036723296</c:v>
                </c:pt>
                <c:pt idx="109">
                  <c:v>4.2928617053377698</c:v>
                </c:pt>
                <c:pt idx="110">
                  <c:v>4.2930061168995204</c:v>
                </c:pt>
                <c:pt idx="111">
                  <c:v>4.2928442186419096</c:v>
                </c:pt>
                <c:pt idx="112">
                  <c:v>4.2926954360264498</c:v>
                </c:pt>
                <c:pt idx="113">
                  <c:v>4.2923021487399202</c:v>
                </c:pt>
                <c:pt idx="114">
                  <c:v>4.2921185738606997</c:v>
                </c:pt>
                <c:pt idx="115">
                  <c:v>4.29431756876658</c:v>
                </c:pt>
                <c:pt idx="116">
                  <c:v>4.2962061809404197</c:v>
                </c:pt>
                <c:pt idx="117">
                  <c:v>4.2990262848983702</c:v>
                </c:pt>
                <c:pt idx="118">
                  <c:v>4.2987892247663</c:v>
                </c:pt>
                <c:pt idx="119">
                  <c:v>4.2986638296102999</c:v>
                </c:pt>
                <c:pt idx="120">
                  <c:v>4.2986328126095996</c:v>
                </c:pt>
                <c:pt idx="121">
                  <c:v>4.2987446341983304</c:v>
                </c:pt>
                <c:pt idx="122">
                  <c:v>4.2986993365783199</c:v>
                </c:pt>
                <c:pt idx="123">
                  <c:v>4.2995419281021299</c:v>
                </c:pt>
                <c:pt idx="124">
                  <c:v>4.2995548825187804</c:v>
                </c:pt>
                <c:pt idx="125">
                  <c:v>4.2972382694800997</c:v>
                </c:pt>
                <c:pt idx="126">
                  <c:v>4.2952933785472602</c:v>
                </c:pt>
                <c:pt idx="127">
                  <c:v>4.2926635302178298</c:v>
                </c:pt>
                <c:pt idx="128">
                  <c:v>4.2925976129898196</c:v>
                </c:pt>
                <c:pt idx="129">
                  <c:v>4.2932611303771697</c:v>
                </c:pt>
                <c:pt idx="130">
                  <c:v>4.29327311413555</c:v>
                </c:pt>
                <c:pt idx="131">
                  <c:v>4.2930101551742297</c:v>
                </c:pt>
                <c:pt idx="132">
                  <c:v>4.2934831071919799</c:v>
                </c:pt>
                <c:pt idx="133">
                  <c:v>4.2930622231809403</c:v>
                </c:pt>
                <c:pt idx="134">
                  <c:v>4.2932998928929402</c:v>
                </c:pt>
                <c:pt idx="135">
                  <c:v>4.2934334879234601</c:v>
                </c:pt>
                <c:pt idx="136">
                  <c:v>4.29332648753266</c:v>
                </c:pt>
                <c:pt idx="137">
                  <c:v>4.2931512133268903</c:v>
                </c:pt>
                <c:pt idx="138">
                  <c:v>4.2932592601767299</c:v>
                </c:pt>
                <c:pt idx="139">
                  <c:v>4.2929277460631097</c:v>
                </c:pt>
                <c:pt idx="140">
                  <c:v>4.2929435337847597</c:v>
                </c:pt>
                <c:pt idx="141">
                  <c:v>4.2927887822504598</c:v>
                </c:pt>
                <c:pt idx="142">
                  <c:v>4.2926086812524504</c:v>
                </c:pt>
                <c:pt idx="143">
                  <c:v>4.2924816937175896</c:v>
                </c:pt>
                <c:pt idx="144">
                  <c:v>4.2925266504604496</c:v>
                </c:pt>
                <c:pt idx="145">
                  <c:v>4.2928960184388698</c:v>
                </c:pt>
                <c:pt idx="146">
                  <c:v>4.2929083053433397</c:v>
                </c:pt>
                <c:pt idx="147">
                  <c:v>4.2931929968207001</c:v>
                </c:pt>
                <c:pt idx="148">
                  <c:v>4.2931598892398997</c:v>
                </c:pt>
                <c:pt idx="149">
                  <c:v>4.2930677077509802</c:v>
                </c:pt>
                <c:pt idx="150">
                  <c:v>4.2926591288083404</c:v>
                </c:pt>
                <c:pt idx="151">
                  <c:v>4.2925979335481301</c:v>
                </c:pt>
                <c:pt idx="152">
                  <c:v>4.2925215904301304</c:v>
                </c:pt>
                <c:pt idx="153">
                  <c:v>4.2926066821165998</c:v>
                </c:pt>
                <c:pt idx="154">
                  <c:v>4.2923986977412296</c:v>
                </c:pt>
                <c:pt idx="155">
                  <c:v>4.29214176564445</c:v>
                </c:pt>
                <c:pt idx="156">
                  <c:v>4.2922400965720202</c:v>
                </c:pt>
                <c:pt idx="157">
                  <c:v>4.2919904575534504</c:v>
                </c:pt>
                <c:pt idx="158">
                  <c:v>4.2919307672965203</c:v>
                </c:pt>
                <c:pt idx="159">
                  <c:v>4.2915612790818196</c:v>
                </c:pt>
                <c:pt idx="160">
                  <c:v>4.2917609940952604</c:v>
                </c:pt>
                <c:pt idx="161">
                  <c:v>4.2919563008801802</c:v>
                </c:pt>
                <c:pt idx="162">
                  <c:v>4.29206931282756</c:v>
                </c:pt>
                <c:pt idx="163">
                  <c:v>4.2917971645217703</c:v>
                </c:pt>
                <c:pt idx="164">
                  <c:v>4.2916961228108397</c:v>
                </c:pt>
                <c:pt idx="165">
                  <c:v>4.2916662594810902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VDC*/FSTA*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4.2920494024246896</c:v>
                </c:pt>
                <c:pt idx="20">
                  <c:v>4.2920172887943604</c:v>
                </c:pt>
                <c:pt idx="21">
                  <c:v>4.2919139070801204</c:v>
                </c:pt>
                <c:pt idx="22">
                  <c:v>4.2920142213796302</c:v>
                </c:pt>
                <c:pt idx="23">
                  <c:v>4.2918777337620497</c:v>
                </c:pt>
                <c:pt idx="24">
                  <c:v>4.2918634825312401</c:v>
                </c:pt>
                <c:pt idx="25">
                  <c:v>4.29182892740954</c:v>
                </c:pt>
                <c:pt idx="26">
                  <c:v>4.2916272182582897</c:v>
                </c:pt>
                <c:pt idx="27">
                  <c:v>4.2915477876161301</c:v>
                </c:pt>
                <c:pt idx="28">
                  <c:v>4.2913016084724003</c:v>
                </c:pt>
                <c:pt idx="29">
                  <c:v>4.2911625985124502</c:v>
                </c:pt>
                <c:pt idx="30">
                  <c:v>4.2910359325813996</c:v>
                </c:pt>
                <c:pt idx="31">
                  <c:v>4.2911608475686602</c:v>
                </c:pt>
                <c:pt idx="32">
                  <c:v>4.2910455164967498</c:v>
                </c:pt>
                <c:pt idx="33">
                  <c:v>4.2910535873547397</c:v>
                </c:pt>
                <c:pt idx="34">
                  <c:v>4.2910159962629004</c:v>
                </c:pt>
                <c:pt idx="35">
                  <c:v>4.2909765555397499</c:v>
                </c:pt>
                <c:pt idx="36">
                  <c:v>4.2909012432828897</c:v>
                </c:pt>
                <c:pt idx="37">
                  <c:v>4.2907406203076199</c:v>
                </c:pt>
                <c:pt idx="38">
                  <c:v>4.2907736487274803</c:v>
                </c:pt>
                <c:pt idx="39">
                  <c:v>4.2906835477812599</c:v>
                </c:pt>
                <c:pt idx="40">
                  <c:v>4.2906428557562597</c:v>
                </c:pt>
                <c:pt idx="41">
                  <c:v>4.2906170321136399</c:v>
                </c:pt>
                <c:pt idx="42">
                  <c:v>4.2905734453050899</c:v>
                </c:pt>
                <c:pt idx="43">
                  <c:v>4.2906571860060199</c:v>
                </c:pt>
                <c:pt idx="44">
                  <c:v>4.2906368630382099</c:v>
                </c:pt>
                <c:pt idx="45">
                  <c:v>4.2906420344324898</c:v>
                </c:pt>
                <c:pt idx="46">
                  <c:v>4.2907585313474002</c:v>
                </c:pt>
                <c:pt idx="47">
                  <c:v>4.29089887179458</c:v>
                </c:pt>
                <c:pt idx="48">
                  <c:v>4.29096477530417</c:v>
                </c:pt>
                <c:pt idx="49">
                  <c:v>4.2911726594726902</c:v>
                </c:pt>
                <c:pt idx="50">
                  <c:v>4.2913209672077901</c:v>
                </c:pt>
                <c:pt idx="51">
                  <c:v>4.2912707086602904</c:v>
                </c:pt>
                <c:pt idx="52">
                  <c:v>4.2913462145581196</c:v>
                </c:pt>
                <c:pt idx="53">
                  <c:v>4.2925513472185397</c:v>
                </c:pt>
                <c:pt idx="54">
                  <c:v>4.2936831419596304</c:v>
                </c:pt>
                <c:pt idx="55">
                  <c:v>4.2938135777991198</c:v>
                </c:pt>
                <c:pt idx="56">
                  <c:v>4.2937976649872098</c:v>
                </c:pt>
                <c:pt idx="57">
                  <c:v>4.2937019349466103</c:v>
                </c:pt>
                <c:pt idx="58">
                  <c:v>4.2937575862448796</c:v>
                </c:pt>
                <c:pt idx="59">
                  <c:v>4.2936989355875301</c:v>
                </c:pt>
                <c:pt idx="60">
                  <c:v>4.2937708779322303</c:v>
                </c:pt>
                <c:pt idx="61">
                  <c:v>4.2939633391599097</c:v>
                </c:pt>
                <c:pt idx="62">
                  <c:v>4.2940703014746298</c:v>
                </c:pt>
                <c:pt idx="63">
                  <c:v>4.2941358448951599</c:v>
                </c:pt>
                <c:pt idx="64">
                  <c:v>4.2942530298584503</c:v>
                </c:pt>
                <c:pt idx="65">
                  <c:v>4.2943463893885401</c:v>
                </c:pt>
                <c:pt idx="66">
                  <c:v>4.2942674503289497</c:v>
                </c:pt>
                <c:pt idx="67">
                  <c:v>4.2941020942533896</c:v>
                </c:pt>
                <c:pt idx="68">
                  <c:v>4.29412872810535</c:v>
                </c:pt>
                <c:pt idx="69">
                  <c:v>4.2941457183662601</c:v>
                </c:pt>
                <c:pt idx="70">
                  <c:v>4.2940475788289696</c:v>
                </c:pt>
                <c:pt idx="71">
                  <c:v>4.2940676168365002</c:v>
                </c:pt>
                <c:pt idx="72">
                  <c:v>4.2941622639067099</c:v>
                </c:pt>
                <c:pt idx="73">
                  <c:v>4.2930934953481703</c:v>
                </c:pt>
                <c:pt idx="74">
                  <c:v>4.2921151133443098</c:v>
                </c:pt>
                <c:pt idx="75">
                  <c:v>4.2921463462623697</c:v>
                </c:pt>
                <c:pt idx="76">
                  <c:v>4.2923019499436803</c:v>
                </c:pt>
                <c:pt idx="77">
                  <c:v>4.2924881070187197</c:v>
                </c:pt>
                <c:pt idx="78">
                  <c:v>4.2925170951642304</c:v>
                </c:pt>
                <c:pt idx="79">
                  <c:v>4.2926501458741404</c:v>
                </c:pt>
                <c:pt idx="80">
                  <c:v>4.2928556746559696</c:v>
                </c:pt>
                <c:pt idx="81">
                  <c:v>4.2927303823036</c:v>
                </c:pt>
                <c:pt idx="82">
                  <c:v>4.2927075399064103</c:v>
                </c:pt>
                <c:pt idx="83">
                  <c:v>4.2928454180950304</c:v>
                </c:pt>
                <c:pt idx="84">
                  <c:v>4.2928942609786196</c:v>
                </c:pt>
                <c:pt idx="85">
                  <c:v>4.2928853941034699</c:v>
                </c:pt>
                <c:pt idx="86">
                  <c:v>4.2930546598665797</c:v>
                </c:pt>
                <c:pt idx="87">
                  <c:v>4.2932825693813301</c:v>
                </c:pt>
                <c:pt idx="88">
                  <c:v>4.2934352280434203</c:v>
                </c:pt>
                <c:pt idx="89">
                  <c:v>4.2935012687342997</c:v>
                </c:pt>
                <c:pt idx="90">
                  <c:v>4.2936306054214004</c:v>
                </c:pt>
                <c:pt idx="91">
                  <c:v>4.29379786900118</c:v>
                </c:pt>
                <c:pt idx="92">
                  <c:v>4.2938781739504899</c:v>
                </c:pt>
                <c:pt idx="93">
                  <c:v>4.2938978569848496</c:v>
                </c:pt>
                <c:pt idx="94">
                  <c:v>4.2938361176681701</c:v>
                </c:pt>
                <c:pt idx="95">
                  <c:v>4.29386646981105</c:v>
                </c:pt>
                <c:pt idx="96">
                  <c:v>4.2939181558133397</c:v>
                </c:pt>
                <c:pt idx="97">
                  <c:v>4.29398549211309</c:v>
                </c:pt>
                <c:pt idx="98">
                  <c:v>4.2939480278465396</c:v>
                </c:pt>
                <c:pt idx="99">
                  <c:v>4.2940171483629896</c:v>
                </c:pt>
                <c:pt idx="100">
                  <c:v>4.29383111378531</c:v>
                </c:pt>
                <c:pt idx="101">
                  <c:v>4.2939343926868796</c:v>
                </c:pt>
                <c:pt idx="102">
                  <c:v>4.2939771293267599</c:v>
                </c:pt>
                <c:pt idx="103">
                  <c:v>4.2938986676622104</c:v>
                </c:pt>
                <c:pt idx="104">
                  <c:v>4.2938886338026503</c:v>
                </c:pt>
                <c:pt idx="105">
                  <c:v>4.2938397125056396</c:v>
                </c:pt>
                <c:pt idx="106">
                  <c:v>4.2938568822674599</c:v>
                </c:pt>
                <c:pt idx="107">
                  <c:v>4.29362916225472</c:v>
                </c:pt>
                <c:pt idx="108">
                  <c:v>4.2936535858535096</c:v>
                </c:pt>
                <c:pt idx="109">
                  <c:v>4.2934635793931699</c:v>
                </c:pt>
                <c:pt idx="110">
                  <c:v>4.2934471448182201</c:v>
                </c:pt>
                <c:pt idx="111">
                  <c:v>4.29327849659136</c:v>
                </c:pt>
                <c:pt idx="112">
                  <c:v>4.2931333435822197</c:v>
                </c:pt>
                <c:pt idx="113">
                  <c:v>4.2928244718939599</c:v>
                </c:pt>
                <c:pt idx="114">
                  <c:v>4.2927617865608196</c:v>
                </c:pt>
                <c:pt idx="115">
                  <c:v>4.2937571776546504</c:v>
                </c:pt>
                <c:pt idx="116">
                  <c:v>4.2946675352367798</c:v>
                </c:pt>
                <c:pt idx="117">
                  <c:v>4.2959624352041299</c:v>
                </c:pt>
                <c:pt idx="118">
                  <c:v>4.2959787642193197</c:v>
                </c:pt>
                <c:pt idx="119">
                  <c:v>4.2957627674740397</c:v>
                </c:pt>
                <c:pt idx="120">
                  <c:v>4.29581946475456</c:v>
                </c:pt>
                <c:pt idx="121">
                  <c:v>4.2957944264201204</c:v>
                </c:pt>
                <c:pt idx="122">
                  <c:v>4.2956973863023897</c:v>
                </c:pt>
                <c:pt idx="123">
                  <c:v>4.2959220384210299</c:v>
                </c:pt>
                <c:pt idx="124">
                  <c:v>4.2958367281897401</c:v>
                </c:pt>
                <c:pt idx="125">
                  <c:v>4.2957779191233403</c:v>
                </c:pt>
                <c:pt idx="126">
                  <c:v>4.29574977974384</c:v>
                </c:pt>
                <c:pt idx="127">
                  <c:v>4.2958449075580996</c:v>
                </c:pt>
                <c:pt idx="128">
                  <c:v>4.2956934188780602</c:v>
                </c:pt>
                <c:pt idx="129">
                  <c:v>4.2959624799937304</c:v>
                </c:pt>
                <c:pt idx="130">
                  <c:v>4.2959529633725797</c:v>
                </c:pt>
                <c:pt idx="131">
                  <c:v>4.29587739468628</c:v>
                </c:pt>
                <c:pt idx="132">
                  <c:v>4.2960912218851499</c:v>
                </c:pt>
                <c:pt idx="133">
                  <c:v>4.29630207564154</c:v>
                </c:pt>
                <c:pt idx="134">
                  <c:v>4.2964273877058599</c:v>
                </c:pt>
                <c:pt idx="135">
                  <c:v>4.2953358787017804</c:v>
                </c:pt>
                <c:pt idx="136">
                  <c:v>4.2943099330399601</c:v>
                </c:pt>
                <c:pt idx="137">
                  <c:v>4.29290737177236</c:v>
                </c:pt>
                <c:pt idx="138">
                  <c:v>4.2929284365832796</c:v>
                </c:pt>
                <c:pt idx="139">
                  <c:v>4.2930944382201401</c:v>
                </c:pt>
                <c:pt idx="140">
                  <c:v>4.2931083239601602</c:v>
                </c:pt>
                <c:pt idx="141">
                  <c:v>4.2928994687123403</c:v>
                </c:pt>
                <c:pt idx="142">
                  <c:v>4.29304589422222</c:v>
                </c:pt>
                <c:pt idx="143">
                  <c:v>4.2927719584492596</c:v>
                </c:pt>
                <c:pt idx="144">
                  <c:v>4.2929132716767002</c:v>
                </c:pt>
                <c:pt idx="145">
                  <c:v>4.2931647531811699</c:v>
                </c:pt>
                <c:pt idx="146">
                  <c:v>4.2931173964380003</c:v>
                </c:pt>
                <c:pt idx="147">
                  <c:v>4.2931721050737899</c:v>
                </c:pt>
                <c:pt idx="148">
                  <c:v>4.2932095747083201</c:v>
                </c:pt>
                <c:pt idx="149">
                  <c:v>4.2929977269070401</c:v>
                </c:pt>
                <c:pt idx="150">
                  <c:v>4.2928013312965501</c:v>
                </c:pt>
                <c:pt idx="151">
                  <c:v>4.2926933578992896</c:v>
                </c:pt>
                <c:pt idx="152">
                  <c:v>4.29256513584129</c:v>
                </c:pt>
                <c:pt idx="153">
                  <c:v>4.2925441879170902</c:v>
                </c:pt>
                <c:pt idx="154">
                  <c:v>4.2924626741008396</c:v>
                </c:pt>
                <c:pt idx="155">
                  <c:v>4.2925188920416604</c:v>
                </c:pt>
                <c:pt idx="156">
                  <c:v>4.2925742009576799</c:v>
                </c:pt>
                <c:pt idx="157">
                  <c:v>4.2925917271870802</c:v>
                </c:pt>
                <c:pt idx="158">
                  <c:v>4.2925453282682096</c:v>
                </c:pt>
                <c:pt idx="159">
                  <c:v>4.2923144934164004</c:v>
                </c:pt>
                <c:pt idx="160">
                  <c:v>4.2922100614518</c:v>
                </c:pt>
                <c:pt idx="161">
                  <c:v>4.2922771172141498</c:v>
                </c:pt>
                <c:pt idx="162">
                  <c:v>4.2922954516288403</c:v>
                </c:pt>
                <c:pt idx="163">
                  <c:v>4.2922019233191904</c:v>
                </c:pt>
                <c:pt idx="164">
                  <c:v>4.2920474102760302</c:v>
                </c:pt>
                <c:pt idx="165">
                  <c:v>4.2919040125627701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FSTA x avg / VDC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3.7386870738833701E-6</c:v>
                </c:pt>
                <c:pt idx="2">
                  <c:v>6.86460974996681E-4</c:v>
                </c:pt>
                <c:pt idx="3">
                  <c:v>3.8879324349201801E-4</c:v>
                </c:pt>
                <c:pt idx="4">
                  <c:v>5.3148953023530901E-4</c:v>
                </c:pt>
                <c:pt idx="5">
                  <c:v>1.9882555863833201E-4</c:v>
                </c:pt>
                <c:pt idx="6">
                  <c:v>-1.9467996273908299E-4</c:v>
                </c:pt>
                <c:pt idx="7">
                  <c:v>-1.4057193701983901E-5</c:v>
                </c:pt>
                <c:pt idx="8">
                  <c:v>-2.3038410400681199E-4</c:v>
                </c:pt>
                <c:pt idx="9">
                  <c:v>2.77263698998467E-4</c:v>
                </c:pt>
                <c:pt idx="10">
                  <c:v>1.9762071599925199E-5</c:v>
                </c:pt>
                <c:pt idx="11">
                  <c:v>6.2362437139238595E-4</c:v>
                </c:pt>
                <c:pt idx="12">
                  <c:v>1.3082234794622899E-4</c:v>
                </c:pt>
                <c:pt idx="13">
                  <c:v>2.9408067351160299E-4</c:v>
                </c:pt>
                <c:pt idx="14">
                  <c:v>3.5328158076919499E-4</c:v>
                </c:pt>
                <c:pt idx="15">
                  <c:v>3.9588511915665899E-4</c:v>
                </c:pt>
                <c:pt idx="16">
                  <c:v>8.4046670944692005E-5</c:v>
                </c:pt>
                <c:pt idx="17">
                  <c:v>-7.8134870257942499E-5</c:v>
                </c:pt>
                <c:pt idx="18">
                  <c:v>6.6252959085629697E-4</c:v>
                </c:pt>
                <c:pt idx="19">
                  <c:v>-1.0584361992495601E-5</c:v>
                </c:pt>
                <c:pt idx="20">
                  <c:v>4.23047581364165E-4</c:v>
                </c:pt>
                <c:pt idx="21">
                  <c:v>4.85486550256476E-4</c:v>
                </c:pt>
                <c:pt idx="22">
                  <c:v>2.1890966551608301E-4</c:v>
                </c:pt>
                <c:pt idx="23">
                  <c:v>1.0251052353884599E-3</c:v>
                </c:pt>
                <c:pt idx="24">
                  <c:v>5.9792002090733602E-4</c:v>
                </c:pt>
                <c:pt idx="25">
                  <c:v>3.5985436741575499E-4</c:v>
                </c:pt>
                <c:pt idx="26">
                  <c:v>7.4529219088772798E-4</c:v>
                </c:pt>
                <c:pt idx="27">
                  <c:v>3.5605395971064499E-4</c:v>
                </c:pt>
                <c:pt idx="28">
                  <c:v>9.1689780535670696E-4</c:v>
                </c:pt>
                <c:pt idx="29">
                  <c:v>9.2526648757137596E-4</c:v>
                </c:pt>
                <c:pt idx="30">
                  <c:v>6.10053414719876E-4</c:v>
                </c:pt>
                <c:pt idx="31">
                  <c:v>4.1482542348775902E-5</c:v>
                </c:pt>
                <c:pt idx="32">
                  <c:v>6.6833624410989295E-4</c:v>
                </c:pt>
                <c:pt idx="33">
                  <c:v>2.5647017458461599E-4</c:v>
                </c:pt>
                <c:pt idx="34">
                  <c:v>5.2848648199119901E-4</c:v>
                </c:pt>
                <c:pt idx="35">
                  <c:v>5.7971942368818395E-4</c:v>
                </c:pt>
                <c:pt idx="36">
                  <c:v>4.34999063418421E-4</c:v>
                </c:pt>
                <c:pt idx="37">
                  <c:v>6.7038976904255302E-4</c:v>
                </c:pt>
                <c:pt idx="38">
                  <c:v>5.0856816124940103E-4</c:v>
                </c:pt>
                <c:pt idx="39">
                  <c:v>4.0925751744885102E-4</c:v>
                </c:pt>
                <c:pt idx="40">
                  <c:v>6.1271994408924901E-4</c:v>
                </c:pt>
                <c:pt idx="41">
                  <c:v>6.0585823054893999E-4</c:v>
                </c:pt>
                <c:pt idx="42">
                  <c:v>4.22034997258259E-4</c:v>
                </c:pt>
                <c:pt idx="43">
                  <c:v>6.3465396596535002E-4</c:v>
                </c:pt>
                <c:pt idx="44">
                  <c:v>6.9266085702189898E-4</c:v>
                </c:pt>
                <c:pt idx="45">
                  <c:v>3.35753729478178E-4</c:v>
                </c:pt>
                <c:pt idx="46">
                  <c:v>2.0230444925891701E-4</c:v>
                </c:pt>
                <c:pt idx="47">
                  <c:v>-2.9777678916024901E-4</c:v>
                </c:pt>
                <c:pt idx="48">
                  <c:v>6.0963509178824104E-4</c:v>
                </c:pt>
                <c:pt idx="49">
                  <c:v>-4.3641821249343898E-5</c:v>
                </c:pt>
                <c:pt idx="50">
                  <c:v>-8.1058693369367302E-5</c:v>
                </c:pt>
                <c:pt idx="51">
                  <c:v>2.75661914460362E-4</c:v>
                </c:pt>
                <c:pt idx="52">
                  <c:v>3.1639955459440602E-4</c:v>
                </c:pt>
                <c:pt idx="53">
                  <c:v>-5.3436771731795096E-3</c:v>
                </c:pt>
                <c:pt idx="54">
                  <c:v>-4.7331879131001899E-3</c:v>
                </c:pt>
                <c:pt idx="55">
                  <c:v>-2.8116757956184199E-5</c:v>
                </c:pt>
                <c:pt idx="56">
                  <c:v>5.0916795533231503E-4</c:v>
                </c:pt>
                <c:pt idx="57">
                  <c:v>1.1167712355133401E-3</c:v>
                </c:pt>
                <c:pt idx="58">
                  <c:v>2.49204167267761E-4</c:v>
                </c:pt>
                <c:pt idx="59">
                  <c:v>6.8264575451783597E-4</c:v>
                </c:pt>
                <c:pt idx="60">
                  <c:v>2.7740901188048499E-4</c:v>
                </c:pt>
                <c:pt idx="61">
                  <c:v>-2.9091258226792902E-4</c:v>
                </c:pt>
                <c:pt idx="62">
                  <c:v>-7.6362311015726802E-5</c:v>
                </c:pt>
                <c:pt idx="63">
                  <c:v>3.29156067297546E-4</c:v>
                </c:pt>
                <c:pt idx="64">
                  <c:v>1.4649576169230299E-4</c:v>
                </c:pt>
                <c:pt idx="65">
                  <c:v>-9.9236849108163701E-5</c:v>
                </c:pt>
                <c:pt idx="66">
                  <c:v>5.7020423258964496E-4</c:v>
                </c:pt>
                <c:pt idx="67">
                  <c:v>4.7264393331596598E-4</c:v>
                </c:pt>
                <c:pt idx="68">
                  <c:v>4.8548655025625401E-4</c:v>
                </c:pt>
                <c:pt idx="69">
                  <c:v>-1.2278869151607E-4</c:v>
                </c:pt>
                <c:pt idx="70">
                  <c:v>3.7621680636881999E-4</c:v>
                </c:pt>
                <c:pt idx="71">
                  <c:v>1.8228837622654901E-4</c:v>
                </c:pt>
                <c:pt idx="72">
                  <c:v>-1.24580211249192E-4</c:v>
                </c:pt>
                <c:pt idx="73">
                  <c:v>-3.7877785769156898E-4</c:v>
                </c:pt>
                <c:pt idx="74">
                  <c:v>-1.8634807949620701E-4</c:v>
                </c:pt>
                <c:pt idx="75">
                  <c:v>-1.73608584242883E-4</c:v>
                </c:pt>
                <c:pt idx="76">
                  <c:v>-2.1585772162458199E-4</c:v>
                </c:pt>
                <c:pt idx="77">
                  <c:v>2.4891871967858099E-4</c:v>
                </c:pt>
                <c:pt idx="78">
                  <c:v>1.14130973830563E-4</c:v>
                </c:pt>
                <c:pt idx="79">
                  <c:v>6.2564150211710698E-5</c:v>
                </c:pt>
                <c:pt idx="80">
                  <c:v>-6.7990643908288895E-4</c:v>
                </c:pt>
                <c:pt idx="81">
                  <c:v>2.9279428625450299E-4</c:v>
                </c:pt>
                <c:pt idx="82">
                  <c:v>3.0052348699104801E-5</c:v>
                </c:pt>
                <c:pt idx="83">
                  <c:v>-3.13189700236262E-4</c:v>
                </c:pt>
                <c:pt idx="84">
                  <c:v>-8.1058693369367302E-5</c:v>
                </c:pt>
                <c:pt idx="85">
                  <c:v>-5.7931499468703801E-5</c:v>
                </c:pt>
                <c:pt idx="86">
                  <c:v>-2.1850208844086401E-4</c:v>
                </c:pt>
                <c:pt idx="87">
                  <c:v>-5.8906871890594204E-4</c:v>
                </c:pt>
                <c:pt idx="88">
                  <c:v>-2.25805033345298E-4</c:v>
                </c:pt>
                <c:pt idx="89">
                  <c:v>-4.30370982358527E-4</c:v>
                </c:pt>
                <c:pt idx="90">
                  <c:v>-2.2637622008308701E-4</c:v>
                </c:pt>
                <c:pt idx="91">
                  <c:v>-5.9679010057001698E-4</c:v>
                </c:pt>
                <c:pt idx="92">
                  <c:v>-4.9858471266665903E-4</c:v>
                </c:pt>
                <c:pt idx="93">
                  <c:v>-4.7043735769368103E-4</c:v>
                </c:pt>
                <c:pt idx="94">
                  <c:v>1.012680119432E-4</c:v>
                </c:pt>
                <c:pt idx="95">
                  <c:v>-3.1497723093098698E-4</c:v>
                </c:pt>
                <c:pt idx="96">
                  <c:v>-4.5656917986241499E-4</c:v>
                </c:pt>
                <c:pt idx="97">
                  <c:v>-6.4813456306719194E-5</c:v>
                </c:pt>
                <c:pt idx="98">
                  <c:v>2.8870295735703198E-4</c:v>
                </c:pt>
                <c:pt idx="99">
                  <c:v>-2.5941968125934E-4</c:v>
                </c:pt>
                <c:pt idx="100">
                  <c:v>1.86569226568912E-4</c:v>
                </c:pt>
                <c:pt idx="101">
                  <c:v>-1.8838189044602301E-4</c:v>
                </c:pt>
                <c:pt idx="102">
                  <c:v>-1.69033335159752E-4</c:v>
                </c:pt>
                <c:pt idx="103">
                  <c:v>5.22962617685244E-5</c:v>
                </c:pt>
                <c:pt idx="104">
                  <c:v>-3.4316100162304301E-5</c:v>
                </c:pt>
                <c:pt idx="105">
                  <c:v>1.69993589893004E-4</c:v>
                </c:pt>
                <c:pt idx="106">
                  <c:v>-2.9847112234270099E-4</c:v>
                </c:pt>
                <c:pt idx="107">
                  <c:v>4.7176067298063102E-4</c:v>
                </c:pt>
                <c:pt idx="108">
                  <c:v>-3.3955642755712602E-4</c:v>
                </c:pt>
                <c:pt idx="109">
                  <c:v>4.5483329399385799E-4</c:v>
                </c:pt>
                <c:pt idx="110">
                  <c:v>-1.4982596840292501E-4</c:v>
                </c:pt>
                <c:pt idx="111">
                  <c:v>1.8874030409147399E-4</c:v>
                </c:pt>
                <c:pt idx="112">
                  <c:v>1.77538986893084E-4</c:v>
                </c:pt>
                <c:pt idx="113">
                  <c:v>9.68878590606261E-4</c:v>
                </c:pt>
                <c:pt idx="114">
                  <c:v>3.9337583310925298E-4</c:v>
                </c:pt>
                <c:pt idx="115">
                  <c:v>-4.94008736601794E-3</c:v>
                </c:pt>
                <c:pt idx="116">
                  <c:v>-4.6868057779356799E-3</c:v>
                </c:pt>
                <c:pt idx="117">
                  <c:v>-6.07892263792439E-3</c:v>
                </c:pt>
                <c:pt idx="118">
                  <c:v>2.1261101153768899E-4</c:v>
                </c:pt>
                <c:pt idx="119">
                  <c:v>7.4710151612433198E-4</c:v>
                </c:pt>
                <c:pt idx="120">
                  <c:v>-7.7583885248330497E-5</c:v>
                </c:pt>
                <c:pt idx="121">
                  <c:v>-7.1749604702287504E-5</c:v>
                </c:pt>
                <c:pt idx="122">
                  <c:v>2.8307853936905802E-4</c:v>
                </c:pt>
                <c:pt idx="123">
                  <c:v>-9.9381021215802501E-4</c:v>
                </c:pt>
                <c:pt idx="124">
                  <c:v>3.6318869169719E-4</c:v>
                </c:pt>
                <c:pt idx="125">
                  <c:v>4.44054730294005E-4</c:v>
                </c:pt>
                <c:pt idx="126">
                  <c:v>-1.6740719116579601E-4</c:v>
                </c:pt>
                <c:pt idx="127">
                  <c:v>2.84726709372739E-5</c:v>
                </c:pt>
                <c:pt idx="128">
                  <c:v>3.6620155084840099E-4</c:v>
                </c:pt>
                <c:pt idx="129">
                  <c:v>-7.98441008463078E-4</c:v>
                </c:pt>
                <c:pt idx="130">
                  <c:v>-1.0549602502619E-4</c:v>
                </c:pt>
                <c:pt idx="131">
                  <c:v>5.4092473488702301E-4</c:v>
                </c:pt>
                <c:pt idx="132">
                  <c:v>-8.1831031931977303E-4</c:v>
                </c:pt>
                <c:pt idx="133">
                  <c:v>-1.3906439346049699E-5</c:v>
                </c:pt>
                <c:pt idx="134">
                  <c:v>-1.9048154704718199E-4</c:v>
                </c:pt>
                <c:pt idx="135">
                  <c:v>1.3277173237920999E-4</c:v>
                </c:pt>
                <c:pt idx="136">
                  <c:v>8.1826426594886097E-5</c:v>
                </c:pt>
                <c:pt idx="137">
                  <c:v>4.3684742900405502E-4</c:v>
                </c:pt>
                <c:pt idx="138">
                  <c:v>1.1445917606257E-4</c:v>
                </c:pt>
                <c:pt idx="139">
                  <c:v>-2.6538038109662801E-5</c:v>
                </c:pt>
                <c:pt idx="140">
                  <c:v>-1.42267030221589E-4</c:v>
                </c:pt>
                <c:pt idx="141">
                  <c:v>9.0165954833446797E-4</c:v>
                </c:pt>
                <c:pt idx="142">
                  <c:v>-3.99042418719567E-4</c:v>
                </c:pt>
                <c:pt idx="143">
                  <c:v>2.81935087381899E-4</c:v>
                </c:pt>
                <c:pt idx="144">
                  <c:v>-2.9517733782687898E-4</c:v>
                </c:pt>
                <c:pt idx="145">
                  <c:v>-7.2736987495286901E-4</c:v>
                </c:pt>
                <c:pt idx="146">
                  <c:v>5.3203657604126703E-5</c:v>
                </c:pt>
                <c:pt idx="147">
                  <c:v>-2.2637622008308701E-4</c:v>
                </c:pt>
                <c:pt idx="148">
                  <c:v>1.9159102602931601E-4</c:v>
                </c:pt>
                <c:pt idx="149">
                  <c:v>1.8820478866212899E-4</c:v>
                </c:pt>
                <c:pt idx="150">
                  <c:v>8.0978515873279496E-4</c:v>
                </c:pt>
                <c:pt idx="151">
                  <c:v>1.0443451652759901E-3</c:v>
                </c:pt>
                <c:pt idx="152">
                  <c:v>-2.21265638179793E-4</c:v>
                </c:pt>
                <c:pt idx="153">
                  <c:v>8.3688204706953905E-5</c:v>
                </c:pt>
                <c:pt idx="154">
                  <c:v>1.8927109032063999E-4</c:v>
                </c:pt>
                <c:pt idx="155">
                  <c:v>-1.29134335707337E-4</c:v>
                </c:pt>
                <c:pt idx="156">
                  <c:v>-1.7583213071046901E-4</c:v>
                </c:pt>
                <c:pt idx="157">
                  <c:v>3.5516468609690497E-4</c:v>
                </c:pt>
                <c:pt idx="158">
                  <c:v>3.3066846909104498E-4</c:v>
                </c:pt>
                <c:pt idx="159">
                  <c:v>1.0494149894289999E-3</c:v>
                </c:pt>
                <c:pt idx="160">
                  <c:v>3.4430501486947202E-4</c:v>
                </c:pt>
                <c:pt idx="161">
                  <c:v>5.8903027596877999E-4</c:v>
                </c:pt>
                <c:pt idx="162">
                  <c:v>-4.8442023575822203E-4</c:v>
                </c:pt>
                <c:pt idx="163">
                  <c:v>7.1787840680048504E-4</c:v>
                </c:pt>
                <c:pt idx="164">
                  <c:v>4.2470762489583503E-4</c:v>
                </c:pt>
                <c:pt idx="165">
                  <c:v>-5.9577936126171198E-5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FSTA x 10 dma / VDC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-1.72280654998155E-4</c:v>
                </c:pt>
                <c:pt idx="11">
                  <c:v>4.5694486444432502E-4</c:v>
                </c:pt>
                <c:pt idx="12">
                  <c:v>-9.7838537456978005E-5</c:v>
                </c:pt>
                <c:pt idx="13">
                  <c:v>1.20972108942385E-4</c:v>
                </c:pt>
                <c:pt idx="14">
                  <c:v>1.8964263421732201E-4</c:v>
                </c:pt>
                <c:pt idx="15">
                  <c:v>2.5006184208075603E-4</c:v>
                </c:pt>
                <c:pt idx="16">
                  <c:v>-8.1479770462932098E-5</c:v>
                </c:pt>
                <c:pt idx="17">
                  <c:v>-2.7154051991006099E-4</c:v>
                </c:pt>
                <c:pt idx="18">
                  <c:v>4.7553322317617599E-4</c:v>
                </c:pt>
                <c:pt idx="19">
                  <c:v>-2.8687349237359799E-4</c:v>
                </c:pt>
                <c:pt idx="20">
                  <c:v>1.7554695785513901E-4</c:v>
                </c:pt>
                <c:pt idx="21">
                  <c:v>1.97655509817712E-4</c:v>
                </c:pt>
                <c:pt idx="22">
                  <c:v>-5.5111372137957197E-5</c:v>
                </c:pt>
                <c:pt idx="23">
                  <c:v>7.4227455369604302E-4</c:v>
                </c:pt>
                <c:pt idx="24">
                  <c:v>2.42011748357949E-4</c:v>
                </c:pt>
                <c:pt idx="25">
                  <c:v>-2.0515120417425799E-5</c:v>
                </c:pt>
                <c:pt idx="26">
                  <c:v>3.6852578074446298E-4</c:v>
                </c:pt>
                <c:pt idx="27">
                  <c:v>-8.6836683517681196E-5</c:v>
                </c:pt>
                <c:pt idx="28">
                  <c:v>4.3057413723572601E-4</c:v>
                </c:pt>
                <c:pt idx="29">
                  <c:v>4.1351339071421902E-4</c:v>
                </c:pt>
                <c:pt idx="30">
                  <c:v>4.7057573632710797E-6</c:v>
                </c:pt>
                <c:pt idx="31">
                  <c:v>-5.8256753389210499E-4</c:v>
                </c:pt>
                <c:pt idx="32">
                  <c:v>8.8701594785510398E-5</c:v>
                </c:pt>
                <c:pt idx="33">
                  <c:v>-3.6811425634650599E-4</c:v>
                </c:pt>
                <c:pt idx="34">
                  <c:v>-1.92386401501165E-5</c:v>
                </c:pt>
                <c:pt idx="35">
                  <c:v>3.8937523866236899E-5</c:v>
                </c:pt>
                <c:pt idx="36">
                  <c:v>-1.2777114480353499E-4</c:v>
                </c:pt>
                <c:pt idx="37">
                  <c:v>1.3864754289033299E-4</c:v>
                </c:pt>
                <c:pt idx="38">
                  <c:v>-5.4608722195809899E-5</c:v>
                </c:pt>
                <c:pt idx="39">
                  <c:v>-1.1309334105794399E-4</c:v>
                </c:pt>
                <c:pt idx="40">
                  <c:v>1.4196117526921401E-4</c:v>
                </c:pt>
                <c:pt idx="41">
                  <c:v>1.3483284625262799E-4</c:v>
                </c:pt>
                <c:pt idx="42">
                  <c:v>-1.0543786670666699E-4</c:v>
                </c:pt>
                <c:pt idx="43">
                  <c:v>1.31810487178551E-4</c:v>
                </c:pt>
                <c:pt idx="44">
                  <c:v>1.5199611730467501E-4</c:v>
                </c:pt>
                <c:pt idx="45">
                  <c:v>-2.2132743482407001E-4</c:v>
                </c:pt>
                <c:pt idx="46">
                  <c:v>-3.3037801942481401E-4</c:v>
                </c:pt>
                <c:pt idx="47">
                  <c:v>-8.0718508630861204E-4</c:v>
                </c:pt>
                <c:pt idx="48">
                  <c:v>1.97070051473657E-4</c:v>
                </c:pt>
                <c:pt idx="49">
                  <c:v>-4.6631212478850898E-4</c:v>
                </c:pt>
                <c:pt idx="50">
                  <c:v>-4.5842922404396399E-4</c:v>
                </c:pt>
                <c:pt idx="51">
                  <c:v>-3.23254193145232E-5</c:v>
                </c:pt>
                <c:pt idx="52">
                  <c:v>4.1426923771022397E-5</c:v>
                </c:pt>
                <c:pt idx="53">
                  <c:v>-5.60808731102548E-3</c:v>
                </c:pt>
                <c:pt idx="54">
                  <c:v>-4.3983758837557998E-3</c:v>
                </c:pt>
                <c:pt idx="55">
                  <c:v>8.5004844361652899E-4</c:v>
                </c:pt>
                <c:pt idx="56">
                  <c:v>1.4236820137497701E-3</c:v>
                </c:pt>
                <c:pt idx="57">
                  <c:v>2.0006374281606198E-3</c:v>
                </c:pt>
                <c:pt idx="58">
                  <c:v>9.917884000489889E-4</c:v>
                </c:pt>
                <c:pt idx="59">
                  <c:v>1.46123021403108E-3</c:v>
                </c:pt>
                <c:pt idx="60">
                  <c:v>9.8344178929409194E-4</c:v>
                </c:pt>
                <c:pt idx="61">
                  <c:v>3.79301599618829E-4</c:v>
                </c:pt>
                <c:pt idx="62">
                  <c:v>6.5047019029393599E-4</c:v>
                </c:pt>
                <c:pt idx="63">
                  <c:v>1.09523073843381E-3</c:v>
                </c:pt>
                <c:pt idx="64">
                  <c:v>3.4413621253553701E-4</c:v>
                </c:pt>
                <c:pt idx="65">
                  <c:v>-3.9070855712054601E-4</c:v>
                </c:pt>
                <c:pt idx="66">
                  <c:v>2.8584703465389801E-4</c:v>
                </c:pt>
                <c:pt idx="67">
                  <c:v>1.8218464726961801E-4</c:v>
                </c:pt>
                <c:pt idx="68">
                  <c:v>2.5940545140064298E-4</c:v>
                </c:pt>
                <c:pt idx="69">
                  <c:v>-3.7249497020823001E-4</c:v>
                </c:pt>
                <c:pt idx="70">
                  <c:v>2.0704829703626501E-4</c:v>
                </c:pt>
                <c:pt idx="71">
                  <c:v>3.24059616824819E-6</c:v>
                </c:pt>
                <c:pt idx="72">
                  <c:v>-3.5096025165302799E-4</c:v>
                </c:pt>
                <c:pt idx="73">
                  <c:v>-6.0033454343837503E-4</c:v>
                </c:pt>
                <c:pt idx="74">
                  <c:v>-3.37096434888484E-4</c:v>
                </c:pt>
                <c:pt idx="75">
                  <c:v>-2.9106742818356E-4</c:v>
                </c:pt>
                <c:pt idx="76">
                  <c:v>-3.2587753131910701E-4</c:v>
                </c:pt>
                <c:pt idx="77">
                  <c:v>2.1749674003928001E-4</c:v>
                </c:pt>
                <c:pt idx="78">
                  <c:v>1.0507389811946601E-4</c:v>
                </c:pt>
                <c:pt idx="79">
                  <c:v>9.0631147593327906E-5</c:v>
                </c:pt>
                <c:pt idx="80">
                  <c:v>-6.7037493559151502E-4</c:v>
                </c:pt>
                <c:pt idx="81">
                  <c:v>4.0794757213256298E-4</c:v>
                </c:pt>
                <c:pt idx="82">
                  <c:v>1.3415887935004501E-4</c:v>
                </c:pt>
                <c:pt idx="83">
                  <c:v>-2.24545666192409E-4</c:v>
                </c:pt>
                <c:pt idx="84">
                  <c:v>1.02481534659622E-6</c:v>
                </c:pt>
                <c:pt idx="85">
                  <c:v>1.3622471677289199E-5</c:v>
                </c:pt>
                <c:pt idx="86">
                  <c:v>-1.58516404180966E-4</c:v>
                </c:pt>
                <c:pt idx="87">
                  <c:v>-5.2881855642819098E-4</c:v>
                </c:pt>
                <c:pt idx="88">
                  <c:v>-8.1750432558328696E-5</c:v>
                </c:pt>
                <c:pt idx="89">
                  <c:v>-2.5232635705836799E-4</c:v>
                </c:pt>
                <c:pt idx="90">
                  <c:v>9.6099287493117802E-7</c:v>
                </c:pt>
                <c:pt idx="91">
                  <c:v>-4.1481718089995398E-4</c:v>
                </c:pt>
                <c:pt idx="92">
                  <c:v>-2.2765997420153301E-4</c:v>
                </c:pt>
                <c:pt idx="93">
                  <c:v>-1.4665224748230501E-4</c:v>
                </c:pt>
                <c:pt idx="94">
                  <c:v>4.4077883403413002E-4</c:v>
                </c:pt>
                <c:pt idx="95">
                  <c:v>6.3071278121390496E-6</c:v>
                </c:pt>
                <c:pt idx="96">
                  <c:v>-1.09584043683673E-4</c:v>
                </c:pt>
                <c:pt idx="97">
                  <c:v>3.0597788073982599E-4</c:v>
                </c:pt>
                <c:pt idx="98">
                  <c:v>6.0706969221980503E-4</c:v>
                </c:pt>
                <c:pt idx="99">
                  <c:v>7.5129264032082903E-6</c:v>
                </c:pt>
                <c:pt idx="100">
                  <c:v>4.36405225119929E-4</c:v>
                </c:pt>
                <c:pt idx="101">
                  <c:v>2.0168204761732202E-5</c:v>
                </c:pt>
                <c:pt idx="102">
                  <c:v>-1.3324124334235199E-6</c:v>
                </c:pt>
                <c:pt idx="103">
                  <c:v>1.87036028812204E-4</c:v>
                </c:pt>
                <c:pt idx="104">
                  <c:v>4.8145052172932702E-5</c:v>
                </c:pt>
                <c:pt idx="105">
                  <c:v>2.6601148972393802E-4</c:v>
                </c:pt>
                <c:pt idx="106">
                  <c:v>-2.5095034010275201E-4</c:v>
                </c:pt>
                <c:pt idx="107">
                  <c:v>5.0346630630653498E-4</c:v>
                </c:pt>
                <c:pt idx="108">
                  <c:v>-3.6149702911102897E-4</c:v>
                </c:pt>
                <c:pt idx="109">
                  <c:v>4.9571963427866403E-4</c:v>
                </c:pt>
                <c:pt idx="110">
                  <c:v>-1.8035757899184399E-4</c:v>
                </c:pt>
                <c:pt idx="111">
                  <c:v>1.9184805640707199E-4</c:v>
                </c:pt>
                <c:pt idx="112">
                  <c:v>1.4293393237093901E-4</c:v>
                </c:pt>
                <c:pt idx="113">
                  <c:v>8.99614651152856E-4</c:v>
                </c:pt>
                <c:pt idx="114">
                  <c:v>2.32489902404705E-4</c:v>
                </c:pt>
                <c:pt idx="115">
                  <c:v>-5.1437426075908602E-3</c:v>
                </c:pt>
                <c:pt idx="116">
                  <c:v>-4.3782590028781801E-3</c:v>
                </c:pt>
                <c:pt idx="117">
                  <c:v>-5.3306792252006303E-3</c:v>
                </c:pt>
                <c:pt idx="118">
                  <c:v>1.6170563525622599E-3</c:v>
                </c:pt>
                <c:pt idx="119">
                  <c:v>2.09640258664096E-3</c:v>
                </c:pt>
                <c:pt idx="120">
                  <c:v>1.24254688210557E-3</c:v>
                </c:pt>
                <c:pt idx="121">
                  <c:v>1.2411656385192E-3</c:v>
                </c:pt>
                <c:pt idx="122">
                  <c:v>1.62200673582636E-3</c:v>
                </c:pt>
                <c:pt idx="123">
                  <c:v>3.3458052219653402E-4</c:v>
                </c:pt>
                <c:pt idx="124">
                  <c:v>1.8875710249308E-3</c:v>
                </c:pt>
                <c:pt idx="125">
                  <c:v>1.9714500349899398E-3</c:v>
                </c:pt>
                <c:pt idx="126">
                  <c:v>8.2103991417519298E-4</c:v>
                </c:pt>
                <c:pt idx="127">
                  <c:v>5.6422642681409798E-4</c:v>
                </c:pt>
                <c:pt idx="128">
                  <c:v>2.8950500228853602E-4</c:v>
                </c:pt>
                <c:pt idx="129">
                  <c:v>-8.9049346219768801E-4</c:v>
                </c:pt>
                <c:pt idx="130">
                  <c:v>-4.2987960471983502E-5</c:v>
                </c:pt>
                <c:pt idx="131">
                  <c:v>6.0622409055882903E-4</c:v>
                </c:pt>
                <c:pt idx="132">
                  <c:v>-8.1426190381817898E-4</c:v>
                </c:pt>
                <c:pt idx="133">
                  <c:v>1.00303832406458E-4</c:v>
                </c:pt>
                <c:pt idx="134">
                  <c:v>-1.74304650811527E-4</c:v>
                </c:pt>
                <c:pt idx="135">
                  <c:v>2.04308444297916E-4</c:v>
                </c:pt>
                <c:pt idx="136">
                  <c:v>1.8447975168996299E-4</c:v>
                </c:pt>
                <c:pt idx="137">
                  <c:v>5.1457857364501703E-4</c:v>
                </c:pt>
                <c:pt idx="138">
                  <c:v>1.5136468488413001E-4</c:v>
                </c:pt>
                <c:pt idx="139">
                  <c:v>3.5534413332485598E-5</c:v>
                </c:pt>
                <c:pt idx="140">
                  <c:v>-1.5741491268291501E-4</c:v>
                </c:pt>
                <c:pt idx="141">
                  <c:v>8.9018927089133302E-4</c:v>
                </c:pt>
                <c:pt idx="142">
                  <c:v>-4.4656123078320298E-4</c:v>
                </c:pt>
                <c:pt idx="143">
                  <c:v>1.92461083657825E-4</c:v>
                </c:pt>
                <c:pt idx="144">
                  <c:v>-4.1423461425409299E-4</c:v>
                </c:pt>
                <c:pt idx="145">
                  <c:v>-8.35953837655484E-4</c:v>
                </c:pt>
                <c:pt idx="146">
                  <c:v>3.0665075052237102E-5</c:v>
                </c:pt>
                <c:pt idx="147">
                  <c:v>-2.4605265856398998E-4</c:v>
                </c:pt>
                <c:pt idx="148">
                  <c:v>2.3822908057418999E-4</c:v>
                </c:pt>
                <c:pt idx="149">
                  <c:v>2.2713116835891599E-4</c:v>
                </c:pt>
                <c:pt idx="150">
                  <c:v>8.2723959679164097E-4</c:v>
                </c:pt>
                <c:pt idx="151">
                  <c:v>9.6662328320976402E-4</c:v>
                </c:pt>
                <c:pt idx="152">
                  <c:v>-3.1324341491877902E-4</c:v>
                </c:pt>
                <c:pt idx="153">
                  <c:v>-2.6074558668815499E-5</c:v>
                </c:pt>
                <c:pt idx="154">
                  <c:v>9.9331370648412002E-5</c:v>
                </c:pt>
                <c:pt idx="155">
                  <c:v>-2.67526995408758E-4</c:v>
                </c:pt>
                <c:pt idx="156">
                  <c:v>-3.7408404506805297E-4</c:v>
                </c:pt>
                <c:pt idx="157">
                  <c:v>1.7982203396677899E-4</c:v>
                </c:pt>
                <c:pt idx="158">
                  <c:v>9.7163581671164703E-5</c:v>
                </c:pt>
                <c:pt idx="159">
                  <c:v>8.0200264517790699E-4</c:v>
                </c:pt>
                <c:pt idx="160">
                  <c:v>1.07999212031099E-5</c:v>
                </c:pt>
                <c:pt idx="161">
                  <c:v>3.0206077938864303E-4</c:v>
                </c:pt>
                <c:pt idx="162">
                  <c:v>-7.2588339091630798E-4</c:v>
                </c:pt>
                <c:pt idx="163">
                  <c:v>5.0274600890488398E-4</c:v>
                </c:pt>
                <c:pt idx="164">
                  <c:v>1.4616596810964401E-4</c:v>
                </c:pt>
                <c:pt idx="165">
                  <c:v>-3.61662853811445E-4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FSTA x 20 dma / VDC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2.0327629075778101E-4</c:v>
                </c:pt>
                <c:pt idx="21">
                  <c:v>2.5823311127502101E-4</c:v>
                </c:pt>
                <c:pt idx="22">
                  <c:v>-3.2431038819562299E-5</c:v>
                </c:pt>
                <c:pt idx="23">
                  <c:v>7.9713711712537196E-4</c:v>
                </c:pt>
                <c:pt idx="24">
                  <c:v>3.3815103229339801E-4</c:v>
                </c:pt>
                <c:pt idx="25">
                  <c:v>9.6764861451832296E-5</c:v>
                </c:pt>
                <c:pt idx="26">
                  <c:v>4.74151342902864E-4</c:v>
                </c:pt>
                <c:pt idx="27">
                  <c:v>3.7913593615637298E-5</c:v>
                </c:pt>
                <c:pt idx="28">
                  <c:v>5.8024898706032703E-4</c:v>
                </c:pt>
                <c:pt idx="29">
                  <c:v>5.3125230436209495E-4</c:v>
                </c:pt>
                <c:pt idx="30">
                  <c:v>1.8364528109932599E-4</c:v>
                </c:pt>
                <c:pt idx="31">
                  <c:v>-4.14443885586179E-4</c:v>
                </c:pt>
                <c:pt idx="32">
                  <c:v>2.4152007558064201E-4</c:v>
                </c:pt>
                <c:pt idx="33">
                  <c:v>-1.9722278227415801E-4</c:v>
                </c:pt>
                <c:pt idx="34">
                  <c:v>7.6674383858510195E-5</c:v>
                </c:pt>
                <c:pt idx="35">
                  <c:v>1.19146946378351E-4</c:v>
                </c:pt>
                <c:pt idx="36">
                  <c:v>-3.4764921087477301E-5</c:v>
                </c:pt>
                <c:pt idx="37">
                  <c:v>1.8307432117754401E-4</c:v>
                </c:pt>
                <c:pt idx="38">
                  <c:v>-1.61813762314245E-5</c:v>
                </c:pt>
                <c:pt idx="39">
                  <c:v>-1.07794446194017E-4</c:v>
                </c:pt>
                <c:pt idx="40">
                  <c:v>7.4668995271819994E-5</c:v>
                </c:pt>
                <c:pt idx="41">
                  <c:v>5.8323427349881499E-5</c:v>
                </c:pt>
                <c:pt idx="42">
                  <c:v>-1.3151841927981799E-4</c:v>
                </c:pt>
                <c:pt idx="43">
                  <c:v>7.0941863713688594E-5</c:v>
                </c:pt>
                <c:pt idx="44">
                  <c:v>1.48465932323304E-4</c:v>
                </c:pt>
                <c:pt idx="45">
                  <c:v>-2.13177769375765E-4</c:v>
                </c:pt>
                <c:pt idx="46">
                  <c:v>-3.45421776035165E-4</c:v>
                </c:pt>
                <c:pt idx="47">
                  <c:v>-8.1835198846005105E-4</c:v>
                </c:pt>
                <c:pt idx="48">
                  <c:v>1.2176696539931701E-4</c:v>
                </c:pt>
                <c:pt idx="49">
                  <c:v>-5.1615116024565102E-4</c:v>
                </c:pt>
                <c:pt idx="50">
                  <c:v>-5.0512225294623296E-4</c:v>
                </c:pt>
                <c:pt idx="51">
                  <c:v>-1.13841121899312E-4</c:v>
                </c:pt>
                <c:pt idx="52">
                  <c:v>-8.48152232539738E-5</c:v>
                </c:pt>
                <c:pt idx="53">
                  <c:v>-5.7272968751886904E-3</c:v>
                </c:pt>
                <c:pt idx="54">
                  <c:v>-4.8360184608430296E-3</c:v>
                </c:pt>
                <c:pt idx="55">
                  <c:v>1.32682752173224E-4</c:v>
                </c:pt>
                <c:pt idx="56">
                  <c:v>7.0034554739995696E-4</c:v>
                </c:pt>
                <c:pt idx="57">
                  <c:v>1.3042428349686701E-3</c:v>
                </c:pt>
                <c:pt idx="58">
                  <c:v>4.1438055972177202E-4</c:v>
                </c:pt>
                <c:pt idx="59">
                  <c:v>8.60783209119741E-4</c:v>
                </c:pt>
                <c:pt idx="60">
                  <c:v>4.4188685558383198E-4</c:v>
                </c:pt>
                <c:pt idx="61">
                  <c:v>-1.09679548441045E-4</c:v>
                </c:pt>
                <c:pt idx="62">
                  <c:v>1.4969307591277E-4</c:v>
                </c:pt>
                <c:pt idx="63">
                  <c:v>5.8012107130450696E-4</c:v>
                </c:pt>
                <c:pt idx="64">
                  <c:v>4.1272435379149301E-4</c:v>
                </c:pt>
                <c:pt idx="65">
                  <c:v>1.9428090397470099E-4</c:v>
                </c:pt>
                <c:pt idx="66">
                  <c:v>8.8546232435602896E-4</c:v>
                </c:pt>
                <c:pt idx="67">
                  <c:v>7.6951976664776001E-4</c:v>
                </c:pt>
                <c:pt idx="68">
                  <c:v>7.4385540627993404E-4</c:v>
                </c:pt>
                <c:pt idx="69">
                  <c:v>1.4178257161891401E-4</c:v>
                </c:pt>
                <c:pt idx="70">
                  <c:v>6.4474468756801299E-4</c:v>
                </c:pt>
                <c:pt idx="71">
                  <c:v>4.2796173287317402E-4</c:v>
                </c:pt>
                <c:pt idx="72">
                  <c:v>1.25759595968097E-4</c:v>
                </c:pt>
                <c:pt idx="73">
                  <c:v>-1.0639693803968001E-4</c:v>
                </c:pt>
                <c:pt idx="74">
                  <c:v>-1.6288685992575501E-4</c:v>
                </c:pt>
                <c:pt idx="75">
                  <c:v>-3.7807007515968597E-4</c:v>
                </c:pt>
                <c:pt idx="76">
                  <c:v>-4.1304242624903999E-4</c:v>
                </c:pt>
                <c:pt idx="77">
                  <c:v>8.7986474376350099E-5</c:v>
                </c:pt>
                <c:pt idx="78">
                  <c:v>-3.4322260247391598E-6</c:v>
                </c:pt>
                <c:pt idx="79">
                  <c:v>-4.8245845694566903E-5</c:v>
                </c:pt>
                <c:pt idx="80">
                  <c:v>-7.59720950291593E-4</c:v>
                </c:pt>
                <c:pt idx="81">
                  <c:v>2.6085785844770699E-4</c:v>
                </c:pt>
                <c:pt idx="82">
                  <c:v>-3.1070753505699397E-5</c:v>
                </c:pt>
                <c:pt idx="83">
                  <c:v>-3.7963399802678501E-4</c:v>
                </c:pt>
                <c:pt idx="84">
                  <c:v>-1.15384340373145E-4</c:v>
                </c:pt>
                <c:pt idx="85">
                  <c:v>-8.0879470135330605E-5</c:v>
                </c:pt>
                <c:pt idx="86">
                  <c:v>-2.4351553842462501E-4</c:v>
                </c:pt>
                <c:pt idx="87">
                  <c:v>-5.7465357701397702E-4</c:v>
                </c:pt>
                <c:pt idx="88">
                  <c:v>-1.5830334040883501E-4</c:v>
                </c:pt>
                <c:pt idx="89">
                  <c:v>-3.2731235935656898E-4</c:v>
                </c:pt>
                <c:pt idx="90">
                  <c:v>-1.0793593194246E-4</c:v>
                </c:pt>
                <c:pt idx="91">
                  <c:v>-4.4822643968801199E-4</c:v>
                </c:pt>
                <c:pt idx="92">
                  <c:v>-3.1106559956933799E-4</c:v>
                </c:pt>
                <c:pt idx="93">
                  <c:v>-2.64215874150275E-4</c:v>
                </c:pt>
                <c:pt idx="94">
                  <c:v>3.1207346094908099E-4</c:v>
                </c:pt>
                <c:pt idx="95">
                  <c:v>-1.1855027032818E-4</c:v>
                </c:pt>
                <c:pt idx="96">
                  <c:v>-2.5307347355735E-4</c:v>
                </c:pt>
                <c:pt idx="97">
                  <c:v>1.5071934793325101E-4</c:v>
                </c:pt>
                <c:pt idx="98">
                  <c:v>5.1991742327202903E-4</c:v>
                </c:pt>
                <c:pt idx="99">
                  <c:v>-3.6930077143600102E-5</c:v>
                </c:pt>
                <c:pt idx="100">
                  <c:v>4.2515589559794198E-4</c:v>
                </c:pt>
                <c:pt idx="101">
                  <c:v>6.8797052861877299E-6</c:v>
                </c:pt>
                <c:pt idx="102">
                  <c:v>5.0280827330555599E-5</c:v>
                </c:pt>
                <c:pt idx="103">
                  <c:v>2.8156316766397301E-4</c:v>
                </c:pt>
                <c:pt idx="104">
                  <c:v>1.76678146367478E-4</c:v>
                </c:pt>
                <c:pt idx="105">
                  <c:v>3.7865106230213999E-4</c:v>
                </c:pt>
                <c:pt idx="106">
                  <c:v>-1.0120695327092799E-4</c:v>
                </c:pt>
                <c:pt idx="107">
                  <c:v>6.7302353055639398E-4</c:v>
                </c:pt>
                <c:pt idx="108">
                  <c:v>-1.9132888476719399E-4</c:v>
                </c:pt>
                <c:pt idx="109">
                  <c:v>6.0874915508196301E-4</c:v>
                </c:pt>
                <c:pt idx="110">
                  <c:v>-4.0163948672225901E-5</c:v>
                </c:pt>
                <c:pt idx="111">
                  <c:v>2.9457450367285101E-4</c:v>
                </c:pt>
                <c:pt idx="112">
                  <c:v>2.4409203695862901E-4</c:v>
                </c:pt>
                <c:pt idx="113">
                  <c:v>1.00162170659012E-3</c:v>
                </c:pt>
                <c:pt idx="114">
                  <c:v>3.5417084614985901E-4</c:v>
                </c:pt>
                <c:pt idx="115">
                  <c:v>-4.9938948113898499E-3</c:v>
                </c:pt>
                <c:pt idx="116">
                  <c:v>-4.5087634824658197E-3</c:v>
                </c:pt>
                <c:pt idx="117">
                  <c:v>-5.6888839366023396E-3</c:v>
                </c:pt>
                <c:pt idx="118">
                  <c:v>9.0411770335869503E-4</c:v>
                </c:pt>
                <c:pt idx="119">
                  <c:v>1.4424092151481E-3</c:v>
                </c:pt>
                <c:pt idx="120">
                  <c:v>5.6744372922425297E-4</c:v>
                </c:pt>
                <c:pt idx="121">
                  <c:v>5.8647634250877899E-4</c:v>
                </c:pt>
                <c:pt idx="122">
                  <c:v>9.3547593451697396E-4</c:v>
                </c:pt>
                <c:pt idx="123">
                  <c:v>-3.6400263490381902E-4</c:v>
                </c:pt>
                <c:pt idx="124">
                  <c:v>1.04529190905996E-3</c:v>
                </c:pt>
                <c:pt idx="125">
                  <c:v>1.1062993288080999E-3</c:v>
                </c:pt>
                <c:pt idx="126">
                  <c:v>4.8114753208971102E-4</c:v>
                </c:pt>
                <c:pt idx="127">
                  <c:v>6.7047689921943398E-4</c:v>
                </c:pt>
                <c:pt idx="128">
                  <c:v>1.03035016971785E-3</c:v>
                </c:pt>
                <c:pt idx="129">
                  <c:v>-1.69557012596748E-4</c:v>
                </c:pt>
                <c:pt idx="130">
                  <c:v>5.8602109277246597E-4</c:v>
                </c:pt>
                <c:pt idx="131">
                  <c:v>1.23022660249626E-3</c:v>
                </c:pt>
                <c:pt idx="132">
                  <c:v>-1.4659927535301101E-4</c:v>
                </c:pt>
                <c:pt idx="133">
                  <c:v>7.0757834297091701E-4</c:v>
                </c:pt>
                <c:pt idx="134">
                  <c:v>5.8008240311557303E-4</c:v>
                </c:pt>
                <c:pt idx="135">
                  <c:v>9.3250268119321499E-4</c:v>
                </c:pt>
                <c:pt idx="136">
                  <c:v>6.2747472063749395E-4</c:v>
                </c:pt>
                <c:pt idx="137">
                  <c:v>7.4361610235165905E-4</c:v>
                </c:pt>
                <c:pt idx="138">
                  <c:v>9.4565269371871705E-5</c:v>
                </c:pt>
                <c:pt idx="139">
                  <c:v>-4.1525069945137897E-5</c:v>
                </c:pt>
                <c:pt idx="140">
                  <c:v>-1.18586185369435E-4</c:v>
                </c:pt>
                <c:pt idx="141">
                  <c:v>9.2857482414586401E-4</c:v>
                </c:pt>
                <c:pt idx="142">
                  <c:v>-4.2077728460326798E-4</c:v>
                </c:pt>
                <c:pt idx="143">
                  <c:v>2.9430840730681801E-4</c:v>
                </c:pt>
                <c:pt idx="144">
                  <c:v>-3.4661524188731399E-4</c:v>
                </c:pt>
                <c:pt idx="145">
                  <c:v>-7.4588944491263995E-4</c:v>
                </c:pt>
                <c:pt idx="146">
                  <c:v>9.3262988002440795E-5</c:v>
                </c:pt>
                <c:pt idx="147">
                  <c:v>-1.97347680973488E-4</c:v>
                </c:pt>
                <c:pt idx="148">
                  <c:v>2.3336281955306599E-4</c:v>
                </c:pt>
                <c:pt idx="149">
                  <c:v>2.38704271199298E-4</c:v>
                </c:pt>
                <c:pt idx="150">
                  <c:v>8.1093856939563999E-4</c:v>
                </c:pt>
                <c:pt idx="151">
                  <c:v>9.9974963418042895E-4</c:v>
                </c:pt>
                <c:pt idx="152">
                  <c:v>-2.9101368550638501E-4</c:v>
                </c:pt>
                <c:pt idx="153">
                  <c:v>-1.5930127388621199E-5</c:v>
                </c:pt>
                <c:pt idx="154">
                  <c:v>8.47726982498436E-5</c:v>
                </c:pt>
                <c:pt idx="155">
                  <c:v>-2.5262253583925701E-4</c:v>
                </c:pt>
                <c:pt idx="156">
                  <c:v>-2.8622351976856798E-4</c:v>
                </c:pt>
                <c:pt idx="157">
                  <c:v>2.5765816978758299E-4</c:v>
                </c:pt>
                <c:pt idx="158">
                  <c:v>2.37244862662123E-4</c:v>
                </c:pt>
                <c:pt idx="159">
                  <c:v>9.4518225588509895E-4</c:v>
                </c:pt>
                <c:pt idx="160">
                  <c:v>1.8629508363970801E-4</c:v>
                </c:pt>
                <c:pt idx="161">
                  <c:v>4.0669005971608301E-4</c:v>
                </c:pt>
                <c:pt idx="162">
                  <c:v>-6.5113790847191801E-4</c:v>
                </c:pt>
                <c:pt idx="163">
                  <c:v>5.5543221400975796E-4</c:v>
                </c:pt>
                <c:pt idx="164">
                  <c:v>2.4047138300316401E-4</c:v>
                </c:pt>
                <c:pt idx="165">
                  <c:v>-2.79813375425189E-4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6.1048926007925986E-4</c:v>
                </c:pt>
                <c:pt idx="35">
                  <c:v>6.1048926007925986E-4</c:v>
                </c:pt>
                <c:pt idx="36">
                  <c:v>6.1048926007925986E-4</c:v>
                </c:pt>
                <c:pt idx="37">
                  <c:v>6.1048926007925986E-4</c:v>
                </c:pt>
                <c:pt idx="38">
                  <c:v>6.1048926007925986E-4</c:v>
                </c:pt>
                <c:pt idx="39">
                  <c:v>6.1048926007925986E-4</c:v>
                </c:pt>
                <c:pt idx="40">
                  <c:v>6.1048926007925986E-4</c:v>
                </c:pt>
                <c:pt idx="41">
                  <c:v>6.1048926007925986E-4</c:v>
                </c:pt>
                <c:pt idx="42">
                  <c:v>6.1048926007925986E-4</c:v>
                </c:pt>
                <c:pt idx="43">
                  <c:v>6.1048926007925986E-4</c:v>
                </c:pt>
                <c:pt idx="44">
                  <c:v>6.1048926007925986E-4</c:v>
                </c:pt>
                <c:pt idx="45">
                  <c:v>6.1048926007925986E-4</c:v>
                </c:pt>
                <c:pt idx="46">
                  <c:v>6.1048926007925986E-4</c:v>
                </c:pt>
                <c:pt idx="47">
                  <c:v>6.1048926007925986E-4</c:v>
                </c:pt>
                <c:pt idx="48">
                  <c:v>6.1048926007925986E-4</c:v>
                </c:pt>
                <c:pt idx="49">
                  <c:v>6.1048926007925986E-4</c:v>
                </c:pt>
                <c:pt idx="50">
                  <c:v>6.1048926007925986E-4</c:v>
                </c:pt>
                <c:pt idx="51">
                  <c:v>6.1048926007925986E-4</c:v>
                </c:pt>
                <c:pt idx="52">
                  <c:v>6.1048926007925986E-4</c:v>
                </c:pt>
                <c:pt idx="53">
                  <c:v>6.1048926007925986E-4</c:v>
                </c:pt>
                <c:pt idx="54">
                  <c:v>6.1048926007925986E-4</c:v>
                </c:pt>
                <c:pt idx="55">
                  <c:v>6.1048926007925986E-4</c:v>
                </c:pt>
                <c:pt idx="56">
                  <c:v>6.1048926007925986E-4</c:v>
                </c:pt>
                <c:pt idx="57">
                  <c:v>6.1048926007925986E-4</c:v>
                </c:pt>
                <c:pt idx="58">
                  <c:v>6.1048926007925986E-4</c:v>
                </c:pt>
                <c:pt idx="59">
                  <c:v>6.1048926007925986E-4</c:v>
                </c:pt>
                <c:pt idx="60">
                  <c:v>6.1048926007925986E-4</c:v>
                </c:pt>
                <c:pt idx="61">
                  <c:v>6.1048926007925986E-4</c:v>
                </c:pt>
                <c:pt idx="62">
                  <c:v>6.1048926007925986E-4</c:v>
                </c:pt>
                <c:pt idx="63">
                  <c:v>6.1048926007925986E-4</c:v>
                </c:pt>
                <c:pt idx="64">
                  <c:v>6.1048926007925986E-4</c:v>
                </c:pt>
                <c:pt idx="65">
                  <c:v>6.1048926007925986E-4</c:v>
                </c:pt>
                <c:pt idx="66">
                  <c:v>6.1048926007925986E-4</c:v>
                </c:pt>
                <c:pt idx="67">
                  <c:v>6.1048926007925986E-4</c:v>
                </c:pt>
                <c:pt idx="68">
                  <c:v>6.1048926007925986E-4</c:v>
                </c:pt>
                <c:pt idx="69">
                  <c:v>6.1048926007925986E-4</c:v>
                </c:pt>
                <c:pt idx="70">
                  <c:v>6.1048926007925986E-4</c:v>
                </c:pt>
                <c:pt idx="71">
                  <c:v>6.1048926007925986E-4</c:v>
                </c:pt>
                <c:pt idx="72">
                  <c:v>6.1048926007925986E-4</c:v>
                </c:pt>
                <c:pt idx="73">
                  <c:v>6.1048926007925986E-4</c:v>
                </c:pt>
                <c:pt idx="74">
                  <c:v>6.1048926007925986E-4</c:v>
                </c:pt>
                <c:pt idx="75">
                  <c:v>6.1048926007925986E-4</c:v>
                </c:pt>
                <c:pt idx="76">
                  <c:v>6.1048926007925986E-4</c:v>
                </c:pt>
                <c:pt idx="77">
                  <c:v>6.1048926007925986E-4</c:v>
                </c:pt>
                <c:pt idx="78">
                  <c:v>6.1048926007925986E-4</c:v>
                </c:pt>
                <c:pt idx="79">
                  <c:v>6.1048926007925986E-4</c:v>
                </c:pt>
                <c:pt idx="80">
                  <c:v>6.1048926007925986E-4</c:v>
                </c:pt>
                <c:pt idx="81">
                  <c:v>6.1048926007925986E-4</c:v>
                </c:pt>
                <c:pt idx="82">
                  <c:v>6.1048926007925986E-4</c:v>
                </c:pt>
                <c:pt idx="83">
                  <c:v>6.1048926007925986E-4</c:v>
                </c:pt>
                <c:pt idx="84">
                  <c:v>6.1048926007925986E-4</c:v>
                </c:pt>
                <c:pt idx="85">
                  <c:v>6.1048926007925986E-4</c:v>
                </c:pt>
                <c:pt idx="86">
                  <c:v>6.1048926007925986E-4</c:v>
                </c:pt>
                <c:pt idx="87">
                  <c:v>6.1048926007925986E-4</c:v>
                </c:pt>
                <c:pt idx="88">
                  <c:v>6.1048926007925986E-4</c:v>
                </c:pt>
                <c:pt idx="89">
                  <c:v>6.1048926007925986E-4</c:v>
                </c:pt>
                <c:pt idx="90">
                  <c:v>6.1048926007925986E-4</c:v>
                </c:pt>
                <c:pt idx="91">
                  <c:v>6.1048926007925986E-4</c:v>
                </c:pt>
                <c:pt idx="92">
                  <c:v>6.1048926007925986E-4</c:v>
                </c:pt>
                <c:pt idx="93">
                  <c:v>6.1048926007925986E-4</c:v>
                </c:pt>
                <c:pt idx="94">
                  <c:v>6.1048926007925986E-4</c:v>
                </c:pt>
                <c:pt idx="95">
                  <c:v>6.1048926007925986E-4</c:v>
                </c:pt>
                <c:pt idx="96">
                  <c:v>8.6377084816144974E-4</c:v>
                </c:pt>
                <c:pt idx="97">
                  <c:v>-5.2834601182734798E-4</c:v>
                </c:pt>
                <c:pt idx="98">
                  <c:v>-5.2834601182734798E-4</c:v>
                </c:pt>
                <c:pt idx="99">
                  <c:v>-5.2834601182734798E-4</c:v>
                </c:pt>
                <c:pt idx="100">
                  <c:v>-5.2834601182734798E-4</c:v>
                </c:pt>
                <c:pt idx="101">
                  <c:v>-5.2834601182734798E-4</c:v>
                </c:pt>
                <c:pt idx="102">
                  <c:v>-5.2834601182734798E-4</c:v>
                </c:pt>
                <c:pt idx="103">
                  <c:v>-5.2834601182734798E-4</c:v>
                </c:pt>
                <c:pt idx="104">
                  <c:v>-5.2834601182734798E-4</c:v>
                </c:pt>
                <c:pt idx="105">
                  <c:v>-5.2834601182734798E-4</c:v>
                </c:pt>
                <c:pt idx="106">
                  <c:v>-5.2834601182734798E-4</c:v>
                </c:pt>
                <c:pt idx="107">
                  <c:v>-5.2834601182734798E-4</c:v>
                </c:pt>
                <c:pt idx="108">
                  <c:v>-5.2834601182734798E-4</c:v>
                </c:pt>
                <c:pt idx="109">
                  <c:v>-5.2834601182734798E-4</c:v>
                </c:pt>
                <c:pt idx="110">
                  <c:v>-5.2834601182734798E-4</c:v>
                </c:pt>
                <c:pt idx="111">
                  <c:v>-5.2834601182734798E-4</c:v>
                </c:pt>
                <c:pt idx="112">
                  <c:v>-5.2834601182734798E-4</c:v>
                </c:pt>
                <c:pt idx="113">
                  <c:v>-5.2834601182734798E-4</c:v>
                </c:pt>
                <c:pt idx="114">
                  <c:v>-5.2834601182734798E-4</c:v>
                </c:pt>
                <c:pt idx="115">
                  <c:v>-5.2834601182734798E-4</c:v>
                </c:pt>
                <c:pt idx="116">
                  <c:v>-5.2834601182734798E-4</c:v>
                </c:pt>
                <c:pt idx="117">
                  <c:v>-5.2834601182734798E-4</c:v>
                </c:pt>
                <c:pt idx="118">
                  <c:v>-5.2834601182734798E-4</c:v>
                </c:pt>
                <c:pt idx="119">
                  <c:v>-5.2834601182734798E-4</c:v>
                </c:pt>
                <c:pt idx="120">
                  <c:v>-5.2834601182734798E-4</c:v>
                </c:pt>
                <c:pt idx="121">
                  <c:v>-5.2834601182734798E-4</c:v>
                </c:pt>
                <c:pt idx="122">
                  <c:v>-5.2834601182734798E-4</c:v>
                </c:pt>
                <c:pt idx="123">
                  <c:v>-5.2834601182734798E-4</c:v>
                </c:pt>
                <c:pt idx="124">
                  <c:v>-5.2834601182734798E-4</c:v>
                </c:pt>
                <c:pt idx="125">
                  <c:v>-5.2834601182734798E-4</c:v>
                </c:pt>
                <c:pt idx="126">
                  <c:v>-5.2834601182734798E-4</c:v>
                </c:pt>
                <c:pt idx="127">
                  <c:v>-5.2834601182734798E-4</c:v>
                </c:pt>
                <c:pt idx="128">
                  <c:v>-5.2834601182734798E-4</c:v>
                </c:pt>
                <c:pt idx="129">
                  <c:v>-5.2834601182734798E-4</c:v>
                </c:pt>
                <c:pt idx="130">
                  <c:v>-5.2834601182734798E-4</c:v>
                </c:pt>
                <c:pt idx="131">
                  <c:v>-5.2834601182734798E-4</c:v>
                </c:pt>
                <c:pt idx="132">
                  <c:v>-5.2834601182734798E-4</c:v>
                </c:pt>
                <c:pt idx="133">
                  <c:v>-5.2834601182734798E-4</c:v>
                </c:pt>
                <c:pt idx="134">
                  <c:v>-5.2834601182734798E-4</c:v>
                </c:pt>
                <c:pt idx="135">
                  <c:v>-5.2834601182734798E-4</c:v>
                </c:pt>
                <c:pt idx="136">
                  <c:v>-5.2834601182734798E-4</c:v>
                </c:pt>
                <c:pt idx="137">
                  <c:v>-5.2834601182734798E-4</c:v>
                </c:pt>
                <c:pt idx="138">
                  <c:v>-5.2834601182734798E-4</c:v>
                </c:pt>
                <c:pt idx="139">
                  <c:v>-5.2834601182734798E-4</c:v>
                </c:pt>
                <c:pt idx="140">
                  <c:v>-5.2834601182734798E-4</c:v>
                </c:pt>
                <c:pt idx="141">
                  <c:v>-5.2834601182734798E-4</c:v>
                </c:pt>
                <c:pt idx="142">
                  <c:v>-5.2834601182734798E-4</c:v>
                </c:pt>
                <c:pt idx="143">
                  <c:v>-5.2834601182734798E-4</c:v>
                </c:pt>
                <c:pt idx="144">
                  <c:v>-5.2834601182734798E-4</c:v>
                </c:pt>
                <c:pt idx="145">
                  <c:v>-5.2834601182734798E-4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6.1048926007925986E-4</c:v>
                </c:pt>
                <c:pt idx="35">
                  <c:v>6.1048926007925986E-4</c:v>
                </c:pt>
                <c:pt idx="36">
                  <c:v>6.1048926007925986E-4</c:v>
                </c:pt>
                <c:pt idx="37">
                  <c:v>6.1048926007925986E-4</c:v>
                </c:pt>
                <c:pt idx="38">
                  <c:v>6.1048926007925986E-4</c:v>
                </c:pt>
                <c:pt idx="39">
                  <c:v>6.1048926007925986E-4</c:v>
                </c:pt>
                <c:pt idx="40">
                  <c:v>6.1048926007925986E-4</c:v>
                </c:pt>
                <c:pt idx="41">
                  <c:v>6.1048926007925986E-4</c:v>
                </c:pt>
                <c:pt idx="42">
                  <c:v>6.1048926007925986E-4</c:v>
                </c:pt>
                <c:pt idx="43">
                  <c:v>6.1048926007925986E-4</c:v>
                </c:pt>
                <c:pt idx="44">
                  <c:v>6.1048926007925986E-4</c:v>
                </c:pt>
                <c:pt idx="45">
                  <c:v>6.1048926007925986E-4</c:v>
                </c:pt>
                <c:pt idx="46">
                  <c:v>6.1048926007925986E-4</c:v>
                </c:pt>
                <c:pt idx="47">
                  <c:v>6.1048926007925986E-4</c:v>
                </c:pt>
                <c:pt idx="48">
                  <c:v>6.1048926007925986E-4</c:v>
                </c:pt>
                <c:pt idx="49">
                  <c:v>6.1048926007925986E-4</c:v>
                </c:pt>
                <c:pt idx="50">
                  <c:v>6.1048926007925986E-4</c:v>
                </c:pt>
                <c:pt idx="51">
                  <c:v>6.1048926007925986E-4</c:v>
                </c:pt>
                <c:pt idx="52">
                  <c:v>6.1048926007925986E-4</c:v>
                </c:pt>
                <c:pt idx="53">
                  <c:v>6.1048926007925986E-4</c:v>
                </c:pt>
                <c:pt idx="54">
                  <c:v>6.1048926007925986E-4</c:v>
                </c:pt>
                <c:pt idx="55">
                  <c:v>6.1048926007925986E-4</c:v>
                </c:pt>
                <c:pt idx="56">
                  <c:v>6.1048926007925986E-4</c:v>
                </c:pt>
                <c:pt idx="57">
                  <c:v>6.1048926007925986E-4</c:v>
                </c:pt>
                <c:pt idx="58">
                  <c:v>6.1048926007925986E-4</c:v>
                </c:pt>
                <c:pt idx="59">
                  <c:v>6.1048926007925986E-4</c:v>
                </c:pt>
                <c:pt idx="60">
                  <c:v>6.1048926007925986E-4</c:v>
                </c:pt>
                <c:pt idx="61">
                  <c:v>6.1048926007925986E-4</c:v>
                </c:pt>
                <c:pt idx="62">
                  <c:v>6.1048926007925986E-4</c:v>
                </c:pt>
                <c:pt idx="63">
                  <c:v>6.1048926007925986E-4</c:v>
                </c:pt>
                <c:pt idx="64">
                  <c:v>6.1048926007925986E-4</c:v>
                </c:pt>
                <c:pt idx="65">
                  <c:v>6.1048926007925986E-4</c:v>
                </c:pt>
                <c:pt idx="66">
                  <c:v>6.1048926007925986E-4</c:v>
                </c:pt>
                <c:pt idx="67">
                  <c:v>6.1048926007925986E-4</c:v>
                </c:pt>
                <c:pt idx="68">
                  <c:v>6.1048926007925986E-4</c:v>
                </c:pt>
                <c:pt idx="69">
                  <c:v>6.1048926007925986E-4</c:v>
                </c:pt>
                <c:pt idx="70">
                  <c:v>6.1048926007925986E-4</c:v>
                </c:pt>
                <c:pt idx="71">
                  <c:v>6.1048926007925986E-4</c:v>
                </c:pt>
                <c:pt idx="72">
                  <c:v>6.1048926007925986E-4</c:v>
                </c:pt>
                <c:pt idx="73">
                  <c:v>6.1048926007925986E-4</c:v>
                </c:pt>
                <c:pt idx="74">
                  <c:v>6.1048926007925986E-4</c:v>
                </c:pt>
                <c:pt idx="75">
                  <c:v>6.1048926007925986E-4</c:v>
                </c:pt>
                <c:pt idx="76">
                  <c:v>6.1048926007925986E-4</c:v>
                </c:pt>
                <c:pt idx="77">
                  <c:v>6.1048926007925986E-4</c:v>
                </c:pt>
                <c:pt idx="78">
                  <c:v>6.1048926007925986E-4</c:v>
                </c:pt>
                <c:pt idx="79">
                  <c:v>6.1048926007925986E-4</c:v>
                </c:pt>
                <c:pt idx="80">
                  <c:v>6.1048926007925986E-4</c:v>
                </c:pt>
                <c:pt idx="81">
                  <c:v>6.1048926007925986E-4</c:v>
                </c:pt>
                <c:pt idx="82">
                  <c:v>6.1048926007925986E-4</c:v>
                </c:pt>
                <c:pt idx="83">
                  <c:v>6.1048926007925986E-4</c:v>
                </c:pt>
                <c:pt idx="84">
                  <c:v>6.1048926007925986E-4</c:v>
                </c:pt>
                <c:pt idx="85">
                  <c:v>6.1048926007925986E-4</c:v>
                </c:pt>
                <c:pt idx="86">
                  <c:v>6.1048926007925986E-4</c:v>
                </c:pt>
                <c:pt idx="87">
                  <c:v>6.1048926007925986E-4</c:v>
                </c:pt>
                <c:pt idx="88">
                  <c:v>6.1048926007925986E-4</c:v>
                </c:pt>
                <c:pt idx="89">
                  <c:v>6.1048926007925986E-4</c:v>
                </c:pt>
                <c:pt idx="90">
                  <c:v>6.1048926007925986E-4</c:v>
                </c:pt>
                <c:pt idx="91">
                  <c:v>6.1048926007925986E-4</c:v>
                </c:pt>
                <c:pt idx="92">
                  <c:v>6.1048926007925986E-4</c:v>
                </c:pt>
                <c:pt idx="93">
                  <c:v>6.1048926007925986E-4</c:v>
                </c:pt>
                <c:pt idx="94">
                  <c:v>6.1048926007925986E-4</c:v>
                </c:pt>
                <c:pt idx="95">
                  <c:v>6.1048926007925986E-4</c:v>
                </c:pt>
                <c:pt idx="96">
                  <c:v>8.6377084816144974E-4</c:v>
                </c:pt>
                <c:pt idx="97">
                  <c:v>-5.2834601182734798E-4</c:v>
                </c:pt>
                <c:pt idx="98">
                  <c:v>-5.2834601182734798E-4</c:v>
                </c:pt>
                <c:pt idx="99">
                  <c:v>-5.2834601182734798E-4</c:v>
                </c:pt>
                <c:pt idx="100">
                  <c:v>-5.2834601182734798E-4</c:v>
                </c:pt>
                <c:pt idx="101">
                  <c:v>-5.2834601182734798E-4</c:v>
                </c:pt>
                <c:pt idx="102">
                  <c:v>-5.2834601182734798E-4</c:v>
                </c:pt>
                <c:pt idx="103">
                  <c:v>-5.2834601182734798E-4</c:v>
                </c:pt>
                <c:pt idx="104">
                  <c:v>-5.2834601182734798E-4</c:v>
                </c:pt>
                <c:pt idx="105">
                  <c:v>-5.2834601182734798E-4</c:v>
                </c:pt>
                <c:pt idx="106">
                  <c:v>-5.2834601182734798E-4</c:v>
                </c:pt>
                <c:pt idx="107">
                  <c:v>-5.2834601182734798E-4</c:v>
                </c:pt>
                <c:pt idx="108">
                  <c:v>-5.2834601182734798E-4</c:v>
                </c:pt>
                <c:pt idx="109">
                  <c:v>-5.2834601182734798E-4</c:v>
                </c:pt>
                <c:pt idx="110">
                  <c:v>-5.2834601182734798E-4</c:v>
                </c:pt>
                <c:pt idx="111">
                  <c:v>-5.2834601182734798E-4</c:v>
                </c:pt>
                <c:pt idx="112">
                  <c:v>-5.2834601182734798E-4</c:v>
                </c:pt>
                <c:pt idx="113">
                  <c:v>-5.2834601182734798E-4</c:v>
                </c:pt>
                <c:pt idx="114">
                  <c:v>-5.2834601182734798E-4</c:v>
                </c:pt>
                <c:pt idx="115">
                  <c:v>-5.2834601182734798E-4</c:v>
                </c:pt>
                <c:pt idx="116">
                  <c:v>-5.2834601182734798E-4</c:v>
                </c:pt>
                <c:pt idx="117">
                  <c:v>-5.2834601182734798E-4</c:v>
                </c:pt>
                <c:pt idx="118">
                  <c:v>-5.2834601182734798E-4</c:v>
                </c:pt>
                <c:pt idx="119">
                  <c:v>-5.2834601182734798E-4</c:v>
                </c:pt>
                <c:pt idx="120">
                  <c:v>-5.2834601182734798E-4</c:v>
                </c:pt>
                <c:pt idx="121">
                  <c:v>-5.2834601182734798E-4</c:v>
                </c:pt>
                <c:pt idx="122">
                  <c:v>-5.2834601182734798E-4</c:v>
                </c:pt>
                <c:pt idx="123">
                  <c:v>-5.2834601182734798E-4</c:v>
                </c:pt>
                <c:pt idx="124">
                  <c:v>-5.2834601182734798E-4</c:v>
                </c:pt>
                <c:pt idx="125">
                  <c:v>-5.2834601182734798E-4</c:v>
                </c:pt>
                <c:pt idx="126">
                  <c:v>-5.2834601182734798E-4</c:v>
                </c:pt>
                <c:pt idx="127">
                  <c:v>-5.2834601182734798E-4</c:v>
                </c:pt>
                <c:pt idx="128">
                  <c:v>-5.2834601182734798E-4</c:v>
                </c:pt>
                <c:pt idx="129">
                  <c:v>-5.2834601182734798E-4</c:v>
                </c:pt>
                <c:pt idx="130">
                  <c:v>-5.2834601182734798E-4</c:v>
                </c:pt>
                <c:pt idx="131">
                  <c:v>-5.2834601182734798E-4</c:v>
                </c:pt>
                <c:pt idx="132">
                  <c:v>-5.2834601182734798E-4</c:v>
                </c:pt>
                <c:pt idx="133">
                  <c:v>-5.2834601182734798E-4</c:v>
                </c:pt>
                <c:pt idx="134">
                  <c:v>-5.2834601182734798E-4</c:v>
                </c:pt>
                <c:pt idx="135">
                  <c:v>-5.2834601182734798E-4</c:v>
                </c:pt>
                <c:pt idx="136">
                  <c:v>-5.2834601182734798E-4</c:v>
                </c:pt>
                <c:pt idx="137">
                  <c:v>-5.2834601182734798E-4</c:v>
                </c:pt>
                <c:pt idx="138">
                  <c:v>-5.2834601182734798E-4</c:v>
                </c:pt>
                <c:pt idx="139">
                  <c:v>-5.2834601182734798E-4</c:v>
                </c:pt>
                <c:pt idx="140">
                  <c:v>-5.2834601182734798E-4</c:v>
                </c:pt>
                <c:pt idx="141">
                  <c:v>-5.2834601182734798E-4</c:v>
                </c:pt>
                <c:pt idx="142">
                  <c:v>-5.2834601182734798E-4</c:v>
                </c:pt>
                <c:pt idx="143">
                  <c:v>-5.2834601182734798E-4</c:v>
                </c:pt>
                <c:pt idx="144">
                  <c:v>-5.2834601182734798E-4</c:v>
                </c:pt>
                <c:pt idx="145">
                  <c:v>-5.2834601182734798E-4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-5.2834601182734798E-4</v>
      </c>
      <c r="BS1" s="6"/>
      <c r="BT1" s="6"/>
      <c r="BU1" s="6"/>
      <c r="BV1" s="7">
        <f>BV167</f>
        <v>0</v>
      </c>
      <c r="BY1" s="7">
        <f>BY167</f>
        <v>-5.2834601182734798E-4</v>
      </c>
    </row>
    <row r="2" spans="1:77" x14ac:dyDescent="0.3">
      <c r="A2" s="1">
        <v>46024</v>
      </c>
      <c r="B2" s="8">
        <v>49.14</v>
      </c>
      <c r="C2" s="8">
        <v>210.9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49.14</v>
      </c>
      <c r="M2" s="8">
        <v>210.9</v>
      </c>
      <c r="N2" s="10">
        <v>4.2918192918192899</v>
      </c>
      <c r="O2" s="10">
        <v>4.2929927753205499</v>
      </c>
      <c r="X2" s="10">
        <v>4.2918192918192899</v>
      </c>
      <c r="Y2" s="10">
        <v>4.2929927753205499</v>
      </c>
    </row>
    <row r="3" spans="1:77" x14ac:dyDescent="0.3">
      <c r="A3" s="1">
        <v>46027</v>
      </c>
      <c r="B3" s="8">
        <v>48.98</v>
      </c>
      <c r="C3" s="8">
        <v>210.27</v>
      </c>
      <c r="D3" s="9">
        <v>-3.2613155690113999E-3</v>
      </c>
      <c r="E3" s="9">
        <v>-2.9916683043857699E-3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48.98</v>
      </c>
      <c r="M3" s="8">
        <v>210.27</v>
      </c>
      <c r="N3" s="10">
        <v>4.2929767251939497</v>
      </c>
      <c r="O3" s="10">
        <v>4.2929927753205499</v>
      </c>
      <c r="R3" s="8">
        <v>210.27078613520001</v>
      </c>
      <c r="U3" s="9">
        <v>3.7386870738833701E-6</v>
      </c>
      <c r="X3" s="10">
        <v>4.2929767251939497</v>
      </c>
      <c r="Y3" s="10">
        <v>4.2929927753205499</v>
      </c>
      <c r="AB3" s="8">
        <v>210.27078613520001</v>
      </c>
      <c r="AE3" s="9">
        <v>3.7386870738833701E-6</v>
      </c>
    </row>
    <row r="4" spans="1:77" x14ac:dyDescent="0.3">
      <c r="A4" s="1">
        <v>46028</v>
      </c>
      <c r="B4" s="8">
        <v>49.13</v>
      </c>
      <c r="C4" s="8">
        <v>210.77</v>
      </c>
      <c r="D4" s="9">
        <v>3.05779465653531E-3</v>
      </c>
      <c r="E4" s="9">
        <v>2.3750723686127499E-3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49.13</v>
      </c>
      <c r="M4" s="8">
        <v>210.77</v>
      </c>
      <c r="N4" s="10">
        <v>4.2900468145735804</v>
      </c>
      <c r="O4" s="10">
        <v>4.2929927753205499</v>
      </c>
      <c r="R4" s="8">
        <v>210.91473505149801</v>
      </c>
      <c r="U4" s="9">
        <v>6.86460974996681E-4</v>
      </c>
      <c r="X4" s="10">
        <v>4.2900468145735804</v>
      </c>
      <c r="Y4" s="10">
        <v>4.2929927753205499</v>
      </c>
      <c r="AB4" s="8">
        <v>210.91473505149801</v>
      </c>
      <c r="AE4" s="9">
        <v>6.86460974996681E-4</v>
      </c>
    </row>
    <row r="5" spans="1:77" x14ac:dyDescent="0.3">
      <c r="A5" s="1">
        <v>46029</v>
      </c>
      <c r="B5" s="8">
        <v>48.64</v>
      </c>
      <c r="C5" s="8">
        <v>208.73</v>
      </c>
      <c r="D5" s="9">
        <v>-1.00236085226453E-2</v>
      </c>
      <c r="E5" s="9">
        <v>-9.7259407911408705E-3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48.64</v>
      </c>
      <c r="M5" s="8">
        <v>208.73</v>
      </c>
      <c r="N5" s="10">
        <v>4.2913240131578902</v>
      </c>
      <c r="O5" s="10">
        <v>4.2929927753205499</v>
      </c>
      <c r="R5" s="8">
        <v>208.81116859159101</v>
      </c>
      <c r="U5" s="9">
        <v>3.8879324349201801E-4</v>
      </c>
      <c r="X5" s="10">
        <v>4.2913240131578902</v>
      </c>
      <c r="Y5" s="10">
        <v>4.2929927753205499</v>
      </c>
      <c r="AB5" s="8">
        <v>208.81116859159101</v>
      </c>
      <c r="AE5" s="9">
        <v>3.8879324349201801E-4</v>
      </c>
    </row>
    <row r="6" spans="1:77" x14ac:dyDescent="0.3">
      <c r="A6" s="1">
        <v>46030</v>
      </c>
      <c r="B6" s="8">
        <v>49.74</v>
      </c>
      <c r="C6" s="8">
        <v>213.42</v>
      </c>
      <c r="D6" s="9">
        <v>2.2363200717347001E-2</v>
      </c>
      <c r="E6" s="9">
        <v>2.2220504430603801E-2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49.74</v>
      </c>
      <c r="M6" s="8">
        <v>213.42</v>
      </c>
      <c r="N6" s="10">
        <v>4.2907117008443896</v>
      </c>
      <c r="O6" s="10">
        <v>4.2929927753205499</v>
      </c>
      <c r="R6" s="8">
        <v>213.53346064444401</v>
      </c>
      <c r="U6" s="9">
        <v>5.3148953023530901E-4</v>
      </c>
      <c r="X6" s="10">
        <v>4.2907117008443896</v>
      </c>
      <c r="Y6" s="10">
        <v>4.2929927753205499</v>
      </c>
      <c r="AB6" s="8">
        <v>213.53346064444401</v>
      </c>
      <c r="AE6" s="9">
        <v>5.3148953023530901E-4</v>
      </c>
    </row>
    <row r="7" spans="1:77" x14ac:dyDescent="0.3">
      <c r="A7" s="1">
        <v>46031</v>
      </c>
      <c r="B7" s="8">
        <v>50.25</v>
      </c>
      <c r="C7" s="8">
        <v>215.68</v>
      </c>
      <c r="D7" s="9">
        <v>1.0201108563926401E-2</v>
      </c>
      <c r="E7" s="9">
        <v>1.0533772535523501E-2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50.25</v>
      </c>
      <c r="M7" s="8">
        <v>215.68</v>
      </c>
      <c r="N7" s="10">
        <v>4.2921393034825801</v>
      </c>
      <c r="O7" s="10">
        <v>4.2929927753205499</v>
      </c>
      <c r="R7" s="8">
        <v>215.72288695985699</v>
      </c>
      <c r="U7" s="9">
        <v>1.9882555863833201E-4</v>
      </c>
      <c r="X7" s="10">
        <v>4.2921393034825801</v>
      </c>
      <c r="Y7" s="10">
        <v>4.2929927753205499</v>
      </c>
      <c r="AB7" s="8">
        <v>215.72288695985699</v>
      </c>
      <c r="AE7" s="9">
        <v>1.9882555863833201E-4</v>
      </c>
    </row>
    <row r="8" spans="1:77" x14ac:dyDescent="0.3">
      <c r="A8" s="1">
        <v>46034</v>
      </c>
      <c r="B8" s="8">
        <v>50.88</v>
      </c>
      <c r="C8" s="8">
        <v>218.47</v>
      </c>
      <c r="D8" s="9">
        <v>1.24593720926816E-2</v>
      </c>
      <c r="E8" s="9">
        <v>1.2852877614059E-2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50.88</v>
      </c>
      <c r="M8" s="8">
        <v>218.47</v>
      </c>
      <c r="N8" s="10">
        <v>4.2938286163521999</v>
      </c>
      <c r="O8" s="10">
        <v>4.2929927753205499</v>
      </c>
      <c r="R8" s="8">
        <v>218.427472408309</v>
      </c>
      <c r="U8" s="9">
        <v>-1.9467996273908299E-4</v>
      </c>
      <c r="X8" s="10">
        <v>4.2938286163521999</v>
      </c>
      <c r="Y8" s="10">
        <v>4.2929927753205499</v>
      </c>
      <c r="AB8" s="8">
        <v>218.427472408309</v>
      </c>
      <c r="AE8" s="9">
        <v>-1.9467996273908299E-4</v>
      </c>
    </row>
    <row r="9" spans="1:77" x14ac:dyDescent="0.3">
      <c r="A9" s="1">
        <v>46035</v>
      </c>
      <c r="B9" s="8">
        <v>51.39</v>
      </c>
      <c r="C9" s="8">
        <v>220.62</v>
      </c>
      <c r="D9" s="9">
        <v>9.97368197227139E-3</v>
      </c>
      <c r="E9" s="9">
        <v>9.7930592032342001E-3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51.39</v>
      </c>
      <c r="M9" s="8">
        <v>220.62</v>
      </c>
      <c r="N9" s="10">
        <v>4.2930531231757101</v>
      </c>
      <c r="O9" s="10">
        <v>4.2929927753205499</v>
      </c>
      <c r="R9" s="8">
        <v>220.61689872372301</v>
      </c>
      <c r="U9" s="9">
        <v>-1.4057193701983901E-5</v>
      </c>
      <c r="X9" s="10">
        <v>4.2930531231757101</v>
      </c>
      <c r="Y9" s="10">
        <v>4.2929927753205499</v>
      </c>
      <c r="AB9" s="8">
        <v>220.61689872372301</v>
      </c>
      <c r="AE9" s="9">
        <v>-1.4057193701983901E-5</v>
      </c>
      <c r="BJ9" s="12">
        <f>AVERAGE(BI22:BI200)</f>
        <v>-3.618808300187315E-6</v>
      </c>
      <c r="BV9" s="12">
        <f>AVERAGE(BU22:BU200)</f>
        <v>0</v>
      </c>
      <c r="BY9" s="12">
        <f>AVERAGE(BX22:BX200)</f>
        <v>-3.618808300187315E-6</v>
      </c>
    </row>
    <row r="10" spans="1:77" x14ac:dyDescent="0.3">
      <c r="A10" s="1">
        <v>46036</v>
      </c>
      <c r="B10" s="8">
        <v>52.01</v>
      </c>
      <c r="C10" s="8">
        <v>223.33</v>
      </c>
      <c r="D10" s="9">
        <v>1.1992406780842801E-2</v>
      </c>
      <c r="E10" s="9">
        <v>1.22087336911476E-2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52.01</v>
      </c>
      <c r="M10" s="8">
        <v>223.33</v>
      </c>
      <c r="N10" s="10">
        <v>4.29398192655258</v>
      </c>
      <c r="O10" s="10">
        <v>4.2929927753205499</v>
      </c>
      <c r="R10" s="8">
        <v>223.278554244421</v>
      </c>
      <c r="U10" s="9">
        <v>-2.3038410400681199E-4</v>
      </c>
      <c r="X10" s="10">
        <v>4.29398192655258</v>
      </c>
      <c r="Y10" s="10">
        <v>4.2929927753205499</v>
      </c>
      <c r="AB10" s="8">
        <v>223.278554244421</v>
      </c>
      <c r="AE10" s="9">
        <v>-2.3038410400681199E-4</v>
      </c>
      <c r="AZ10" s="13"/>
      <c r="BJ10" s="12">
        <f>STDEV(BI22:BI200)</f>
        <v>1.2792578852103536E-4</v>
      </c>
      <c r="BL10" s="13"/>
      <c r="BV10" s="12">
        <f>STDEV(BU22:BU200)</f>
        <v>0</v>
      </c>
      <c r="BY10" s="12">
        <f>STDEV(BX22:BX200)</f>
        <v>1.2792578852103536E-4</v>
      </c>
    </row>
    <row r="11" spans="1:77" x14ac:dyDescent="0.3">
      <c r="A11" s="1">
        <v>46037</v>
      </c>
      <c r="B11" s="8">
        <v>52.09</v>
      </c>
      <c r="C11" s="8">
        <v>223.56</v>
      </c>
      <c r="D11" s="9">
        <v>1.5369839721191901E-3</v>
      </c>
      <c r="E11" s="9">
        <v>1.0293361691140501E-3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52.09</v>
      </c>
      <c r="M11" s="8">
        <v>223.56</v>
      </c>
      <c r="N11" s="10">
        <v>4.2918026492608901</v>
      </c>
      <c r="O11" s="10">
        <v>4.2929927753205499</v>
      </c>
      <c r="P11" s="10">
        <v>4.2921684164413101</v>
      </c>
      <c r="R11" s="8">
        <v>223.621993666447</v>
      </c>
      <c r="U11" s="9">
        <v>2.77263698998467E-4</v>
      </c>
      <c r="X11" s="10">
        <v>4.2918026492608901</v>
      </c>
      <c r="Y11" s="10">
        <v>4.2929927753205499</v>
      </c>
      <c r="Z11" s="10">
        <v>4.2921684164413101</v>
      </c>
      <c r="AB11" s="8">
        <v>223.621993666447</v>
      </c>
      <c r="AE11" s="9">
        <v>2.77263698998467E-4</v>
      </c>
      <c r="BJ11">
        <f>SQRT(252)*BJ9/BJ10</f>
        <v>-0.4490634882334601</v>
      </c>
      <c r="BV11" t="e">
        <f>SQRT(252)*BV9/BV10</f>
        <v>#DIV/0!</v>
      </c>
      <c r="BY11">
        <f>SQRT(252)*BY9/BY10</f>
        <v>-0.4490634882334601</v>
      </c>
    </row>
    <row r="12" spans="1:77" x14ac:dyDescent="0.3">
      <c r="A12" s="1">
        <v>46038</v>
      </c>
      <c r="B12" s="8">
        <v>52.03</v>
      </c>
      <c r="C12" s="8">
        <v>223.36</v>
      </c>
      <c r="D12" s="9">
        <v>-1.1525164548880501E-3</v>
      </c>
      <c r="E12" s="9">
        <v>-8.95014827489713E-4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52.03</v>
      </c>
      <c r="M12" s="8">
        <v>223.36</v>
      </c>
      <c r="N12" s="10">
        <v>4.2929079377282298</v>
      </c>
      <c r="O12" s="10">
        <v>4.2929927753205499</v>
      </c>
      <c r="P12" s="10">
        <v>4.2922772810321996</v>
      </c>
      <c r="R12" s="8">
        <v>223.36441409992801</v>
      </c>
      <c r="S12" s="8">
        <v>223.32152270744101</v>
      </c>
      <c r="U12" s="9">
        <v>1.9762071599925199E-5</v>
      </c>
      <c r="V12" s="9">
        <v>-1.72280654998155E-4</v>
      </c>
      <c r="X12" s="10">
        <v>4.2929079377282298</v>
      </c>
      <c r="Y12" s="10">
        <v>4.2929927753205499</v>
      </c>
      <c r="Z12" s="10">
        <v>4.2922772810321996</v>
      </c>
      <c r="AB12" s="8">
        <v>223.36441409992801</v>
      </c>
      <c r="AC12" s="8">
        <v>223.32152270744101</v>
      </c>
      <c r="AE12" s="9">
        <v>1.9762071599925199E-5</v>
      </c>
      <c r="AF12" s="9">
        <v>-1.72280654998155E-4</v>
      </c>
    </row>
    <row r="13" spans="1:77" x14ac:dyDescent="0.3">
      <c r="A13" s="1">
        <v>46042</v>
      </c>
      <c r="B13" s="8">
        <v>52.15</v>
      </c>
      <c r="C13" s="8">
        <v>223.74</v>
      </c>
      <c r="D13" s="9">
        <v>2.3037061445692298E-3</v>
      </c>
      <c r="E13" s="9">
        <v>1.69984384477683E-3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52.15</v>
      </c>
      <c r="M13" s="8">
        <v>223.74</v>
      </c>
      <c r="N13" s="10">
        <v>4.2903163950143801</v>
      </c>
      <c r="O13" s="10">
        <v>4.2929927753205499</v>
      </c>
      <c r="P13" s="10">
        <v>4.2920112480142398</v>
      </c>
      <c r="R13" s="8">
        <v>223.87957323296601</v>
      </c>
      <c r="S13" s="8">
        <v>223.84226020582901</v>
      </c>
      <c r="U13" s="9">
        <v>6.2362437139238595E-4</v>
      </c>
      <c r="V13" s="9">
        <v>4.5694486444432502E-4</v>
      </c>
      <c r="X13" s="10">
        <v>4.2903163950143801</v>
      </c>
      <c r="Y13" s="10">
        <v>4.2929927753205499</v>
      </c>
      <c r="Z13" s="10">
        <v>4.2920112480142398</v>
      </c>
      <c r="AB13" s="8">
        <v>223.87957323296601</v>
      </c>
      <c r="AC13" s="8">
        <v>223.84226020582901</v>
      </c>
      <c r="AE13" s="9">
        <v>6.2362437139238595E-4</v>
      </c>
      <c r="AF13" s="9">
        <v>4.5694486444432502E-4</v>
      </c>
    </row>
    <row r="14" spans="1:77" x14ac:dyDescent="0.3">
      <c r="A14" s="1">
        <v>46043</v>
      </c>
      <c r="B14" s="8">
        <v>52.32</v>
      </c>
      <c r="C14" s="8">
        <v>224.58</v>
      </c>
      <c r="D14" s="9">
        <v>3.2545257021618099E-3</v>
      </c>
      <c r="E14" s="9">
        <v>3.7473277256080901E-3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52.32</v>
      </c>
      <c r="M14" s="8">
        <v>224.58</v>
      </c>
      <c r="N14" s="10">
        <v>4.2924311926605503</v>
      </c>
      <c r="O14" s="10">
        <v>4.2929927753205499</v>
      </c>
      <c r="P14" s="10">
        <v>4.2922496858229398</v>
      </c>
      <c r="R14" s="8">
        <v>224.60938200477099</v>
      </c>
      <c r="S14" s="8">
        <v>224.55802849610501</v>
      </c>
      <c r="U14" s="9">
        <v>1.3082234794622899E-4</v>
      </c>
      <c r="V14" s="9">
        <v>-9.7838537456978005E-5</v>
      </c>
      <c r="X14" s="10">
        <v>4.2924311926605503</v>
      </c>
      <c r="Y14" s="10">
        <v>4.2929927753205499</v>
      </c>
      <c r="Z14" s="10">
        <v>4.2922496858229398</v>
      </c>
      <c r="AB14" s="8">
        <v>224.60938200477099</v>
      </c>
      <c r="AC14" s="8">
        <v>224.55802849610501</v>
      </c>
      <c r="AE14" s="9">
        <v>1.3082234794622899E-4</v>
      </c>
      <c r="AF14" s="9">
        <v>-9.7838537456978005E-5</v>
      </c>
    </row>
    <row r="15" spans="1:77" x14ac:dyDescent="0.3">
      <c r="A15" s="1">
        <v>46044</v>
      </c>
      <c r="B15" s="8">
        <v>52.24</v>
      </c>
      <c r="C15" s="8">
        <v>224.2</v>
      </c>
      <c r="D15" s="9">
        <v>-1.5302221807675901E-3</v>
      </c>
      <c r="E15" s="9">
        <v>-1.6934805063331399E-3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52.24</v>
      </c>
      <c r="M15" s="8">
        <v>224.2</v>
      </c>
      <c r="N15" s="10">
        <v>4.2917304747319998</v>
      </c>
      <c r="O15" s="10">
        <v>4.2929927753205499</v>
      </c>
      <c r="P15" s="10">
        <v>4.2922903319803503</v>
      </c>
      <c r="R15" s="8">
        <v>224.265942582745</v>
      </c>
      <c r="S15" s="8">
        <v>224.22712358739</v>
      </c>
      <c r="U15" s="9">
        <v>2.9408067351160299E-4</v>
      </c>
      <c r="V15" s="9">
        <v>1.20972108942385E-4</v>
      </c>
      <c r="X15" s="10">
        <v>4.2917304747319998</v>
      </c>
      <c r="Y15" s="10">
        <v>4.2929927753205499</v>
      </c>
      <c r="Z15" s="10">
        <v>4.2922903319803503</v>
      </c>
      <c r="AB15" s="8">
        <v>224.265942582745</v>
      </c>
      <c r="AC15" s="8">
        <v>224.22712358739</v>
      </c>
      <c r="AE15" s="9">
        <v>2.9408067351160299E-4</v>
      </c>
      <c r="AF15" s="9">
        <v>1.20972108942385E-4</v>
      </c>
    </row>
    <row r="16" spans="1:77" x14ac:dyDescent="0.3">
      <c r="A16" s="1">
        <v>46045</v>
      </c>
      <c r="B16" s="8">
        <v>52.56</v>
      </c>
      <c r="C16" s="8">
        <v>225.56</v>
      </c>
      <c r="D16" s="9">
        <v>6.1068892081794796E-3</v>
      </c>
      <c r="E16" s="9">
        <v>6.0476883009217804E-3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52.56</v>
      </c>
      <c r="M16" s="8">
        <v>225.56</v>
      </c>
      <c r="N16" s="10">
        <v>4.29147640791476</v>
      </c>
      <c r="O16" s="10">
        <v>4.2929927753205499</v>
      </c>
      <c r="P16" s="10">
        <v>4.2923668026873898</v>
      </c>
      <c r="R16" s="8">
        <v>225.63970027084801</v>
      </c>
      <c r="S16" s="8">
        <v>225.602779848887</v>
      </c>
      <c r="U16" s="9">
        <v>3.5328158076919499E-4</v>
      </c>
      <c r="V16" s="9">
        <v>1.8964263421732201E-4</v>
      </c>
      <c r="X16" s="10">
        <v>4.29147640791476</v>
      </c>
      <c r="Y16" s="10">
        <v>4.2929927753205499</v>
      </c>
      <c r="Z16" s="10">
        <v>4.2923668026873898</v>
      </c>
      <c r="AB16" s="8">
        <v>225.63970027084801</v>
      </c>
      <c r="AC16" s="8">
        <v>225.602779848887</v>
      </c>
      <c r="AE16" s="9">
        <v>3.5328158076919499E-4</v>
      </c>
      <c r="AF16" s="9">
        <v>1.8964263421732201E-4</v>
      </c>
    </row>
    <row r="17" spans="1:77" x14ac:dyDescent="0.3">
      <c r="A17" s="1">
        <v>46048</v>
      </c>
      <c r="B17" s="8">
        <v>52.49</v>
      </c>
      <c r="C17" s="8">
        <v>225.25</v>
      </c>
      <c r="D17" s="9">
        <v>-1.3326989121467099E-3</v>
      </c>
      <c r="E17" s="9">
        <v>-1.37530245053407E-3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52.49</v>
      </c>
      <c r="M17" s="8">
        <v>225.25</v>
      </c>
      <c r="N17" s="10">
        <v>4.2912935797294702</v>
      </c>
      <c r="O17" s="10">
        <v>4.2929927753205499</v>
      </c>
      <c r="P17" s="10">
        <v>4.2922822303120798</v>
      </c>
      <c r="R17" s="8">
        <v>225.33919077657501</v>
      </c>
      <c r="S17" s="8">
        <v>225.30633347306099</v>
      </c>
      <c r="U17" s="9">
        <v>3.9588511915665899E-4</v>
      </c>
      <c r="V17" s="9">
        <v>2.5006184208075603E-4</v>
      </c>
      <c r="X17" s="10">
        <v>4.2912935797294702</v>
      </c>
      <c r="Y17" s="10">
        <v>4.2929927753205499</v>
      </c>
      <c r="Z17" s="10">
        <v>4.2922822303120798</v>
      </c>
      <c r="AB17" s="8">
        <v>225.33919077657501</v>
      </c>
      <c r="AC17" s="8">
        <v>225.30633347306099</v>
      </c>
      <c r="AE17" s="9">
        <v>3.9588511915665899E-4</v>
      </c>
      <c r="AF17" s="9">
        <v>2.5006184208075603E-4</v>
      </c>
    </row>
    <row r="18" spans="1:77" x14ac:dyDescent="0.3">
      <c r="A18" s="1">
        <v>46049</v>
      </c>
      <c r="B18" s="8">
        <v>52.66</v>
      </c>
      <c r="C18" s="8">
        <v>226.05</v>
      </c>
      <c r="D18" s="9">
        <v>3.2334788039548E-3</v>
      </c>
      <c r="E18" s="9">
        <v>3.5453172521669901E-3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52.66</v>
      </c>
      <c r="M18" s="8">
        <v>226.05</v>
      </c>
      <c r="N18" s="10">
        <v>4.2926319787314799</v>
      </c>
      <c r="O18" s="10">
        <v>4.2929927753205499</v>
      </c>
      <c r="P18" s="10">
        <v>4.2921625665500098</v>
      </c>
      <c r="R18" s="8">
        <v>226.06899954837999</v>
      </c>
      <c r="S18" s="8">
        <v>226.031582248234</v>
      </c>
      <c r="U18" s="9">
        <v>8.4046670944692005E-5</v>
      </c>
      <c r="V18" s="9">
        <v>-8.1479770462932098E-5</v>
      </c>
      <c r="X18" s="10">
        <v>4.2926319787314799</v>
      </c>
      <c r="Y18" s="10">
        <v>4.2929927753205499</v>
      </c>
      <c r="Z18" s="10">
        <v>4.2921625665500098</v>
      </c>
      <c r="AB18" s="8">
        <v>226.06899954837999</v>
      </c>
      <c r="AC18" s="8">
        <v>226.031582248234</v>
      </c>
      <c r="AE18" s="9">
        <v>8.4046670944692005E-5</v>
      </c>
      <c r="AF18" s="9">
        <v>-8.1479770462932098E-5</v>
      </c>
    </row>
    <row r="19" spans="1:77" x14ac:dyDescent="0.3">
      <c r="A19" s="1">
        <v>46050</v>
      </c>
      <c r="B19" s="8">
        <v>52.16</v>
      </c>
      <c r="C19" s="8">
        <v>223.94</v>
      </c>
      <c r="D19" s="9">
        <v>-9.5402364497657894E-3</v>
      </c>
      <c r="E19" s="9">
        <v>-9.3780549085632908E-3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52.16</v>
      </c>
      <c r="M19" s="8">
        <v>223.94</v>
      </c>
      <c r="N19" s="10">
        <v>4.2933282208588901</v>
      </c>
      <c r="O19" s="10">
        <v>4.2929927753205499</v>
      </c>
      <c r="P19" s="10">
        <v>4.2921900763183203</v>
      </c>
      <c r="R19" s="8">
        <v>223.922503160719</v>
      </c>
      <c r="S19" s="8">
        <v>223.879199471248</v>
      </c>
      <c r="U19" s="9">
        <v>-7.8134870257942499E-5</v>
      </c>
      <c r="V19" s="9">
        <v>-2.7154051991006099E-4</v>
      </c>
      <c r="X19" s="10">
        <v>4.2933282208588901</v>
      </c>
      <c r="Y19" s="10">
        <v>4.2929927753205499</v>
      </c>
      <c r="Z19" s="10">
        <v>4.2921900763183203</v>
      </c>
      <c r="AB19" s="8">
        <v>223.922503160719</v>
      </c>
      <c r="AC19" s="8">
        <v>223.879199471248</v>
      </c>
      <c r="AE19" s="9">
        <v>-7.8134870257942499E-5</v>
      </c>
      <c r="AF19" s="9">
        <v>-2.7154051991006099E-4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52.18</v>
      </c>
      <c r="C20" s="8">
        <v>223.86</v>
      </c>
      <c r="D20" s="9">
        <v>3.8336209018482997E-4</v>
      </c>
      <c r="E20" s="9">
        <v>-3.57302370929399E-4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52.18</v>
      </c>
      <c r="M20" s="8">
        <v>223.86</v>
      </c>
      <c r="N20" s="10">
        <v>4.2901494825603601</v>
      </c>
      <c r="O20" s="10">
        <v>4.2929927753205499</v>
      </c>
      <c r="P20" s="10">
        <v>4.2918068319191001</v>
      </c>
      <c r="R20" s="8">
        <v>224.00836301622601</v>
      </c>
      <c r="S20" s="8">
        <v>223.96647818228999</v>
      </c>
      <c r="U20" s="9">
        <v>6.6252959085629697E-4</v>
      </c>
      <c r="V20" s="9">
        <v>4.7553322317617599E-4</v>
      </c>
      <c r="X20" s="10">
        <v>4.2901494825603601</v>
      </c>
      <c r="Y20" s="10">
        <v>4.2929927753205499</v>
      </c>
      <c r="Z20" s="10">
        <v>4.2918068319191001</v>
      </c>
      <c r="AB20" s="8">
        <v>224.00836301622601</v>
      </c>
      <c r="AC20" s="8">
        <v>223.96647818228999</v>
      </c>
      <c r="AE20" s="9">
        <v>6.6252959085629697E-4</v>
      </c>
      <c r="AF20" s="9">
        <v>4.7553322317617599E-4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FSTA log rtn</v>
      </c>
      <c r="BH20" s="6" t="str">
        <f>E1</f>
        <v>VDC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FSTA log rtn</v>
      </c>
      <c r="BT20" s="7" t="str">
        <f>E1</f>
        <v>VDC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52.86</v>
      </c>
      <c r="C21" s="8">
        <v>226.93</v>
      </c>
      <c r="D21" s="9">
        <v>1.2947629467560701E-2</v>
      </c>
      <c r="E21" s="9">
        <v>1.36207434204095E-2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52.86</v>
      </c>
      <c r="M21" s="8">
        <v>226.93</v>
      </c>
      <c r="N21" s="10">
        <v>4.2930382141505801</v>
      </c>
      <c r="O21" s="10">
        <v>4.2929927753205499</v>
      </c>
      <c r="P21" s="10">
        <v>4.29193038840807</v>
      </c>
      <c r="Q21" s="10">
        <v>4.2920494024246896</v>
      </c>
      <c r="R21" s="8">
        <v>226.92759810344401</v>
      </c>
      <c r="S21" s="8">
        <v>226.86490913524301</v>
      </c>
      <c r="U21" s="9">
        <v>-1.0584361992495601E-5</v>
      </c>
      <c r="V21" s="9">
        <v>-2.8687349237359799E-4</v>
      </c>
      <c r="X21" s="10">
        <v>4.2930382141505801</v>
      </c>
      <c r="Y21" s="10">
        <v>4.2929927753205499</v>
      </c>
      <c r="Z21" s="10">
        <v>4.29193038840807</v>
      </c>
      <c r="AA21" s="10">
        <v>4.2920494024246896</v>
      </c>
      <c r="AB21" s="8">
        <v>226.92759810344401</v>
      </c>
      <c r="AC21" s="8">
        <v>226.86490913524301</v>
      </c>
      <c r="AE21" s="9">
        <v>-1.0584361992495601E-5</v>
      </c>
      <c r="AF21" s="9">
        <v>-2.8687349237359799E-4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53.61</v>
      </c>
      <c r="C22" s="8">
        <v>230.05</v>
      </c>
      <c r="D22" s="9">
        <v>1.40887086633031E-2</v>
      </c>
      <c r="E22" s="9">
        <v>1.3655076719946599E-2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53.61</v>
      </c>
      <c r="M22" s="8">
        <v>230.05</v>
      </c>
      <c r="N22" s="10">
        <v>4.2911770192128298</v>
      </c>
      <c r="O22" s="10">
        <v>4.2929927753205499</v>
      </c>
      <c r="P22" s="10">
        <v>4.29175729655653</v>
      </c>
      <c r="Q22" s="10">
        <v>4.2920172887943604</v>
      </c>
      <c r="R22" s="8">
        <v>230.14734268493399</v>
      </c>
      <c r="S22" s="8">
        <v>230.09038812255599</v>
      </c>
      <c r="T22" s="8">
        <v>230.09676846398699</v>
      </c>
      <c r="U22" s="9">
        <v>4.23047581364165E-4</v>
      </c>
      <c r="V22" s="9">
        <v>1.7554695785513901E-4</v>
      </c>
      <c r="W22" s="9">
        <v>2.0327629075778101E-4</v>
      </c>
      <c r="X22" s="10">
        <v>4.2911770192128298</v>
      </c>
      <c r="Y22" s="10">
        <v>4.2929927753205499</v>
      </c>
      <c r="Z22" s="10">
        <v>4.29175729655653</v>
      </c>
      <c r="AA22" s="10">
        <v>4.2920172887943604</v>
      </c>
      <c r="AB22" s="8">
        <v>230.14734268493399</v>
      </c>
      <c r="AC22" s="8">
        <v>230.09038812255599</v>
      </c>
      <c r="AD22" s="8">
        <v>230.09676846398699</v>
      </c>
      <c r="AE22" s="9">
        <v>4.23047581364165E-4</v>
      </c>
      <c r="AF22" s="9">
        <v>1.7554695785513901E-4</v>
      </c>
      <c r="AG22" s="9">
        <v>2.0327629075778101E-4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54.45</v>
      </c>
      <c r="C23" s="8">
        <v>233.64</v>
      </c>
      <c r="D23" s="9">
        <v>1.55472315395232E-2</v>
      </c>
      <c r="E23" s="9">
        <v>1.54847925706308E-2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54.45</v>
      </c>
      <c r="M23" s="8">
        <v>233.64</v>
      </c>
      <c r="N23" s="10">
        <v>4.2909090909090901</v>
      </c>
      <c r="O23" s="10">
        <v>4.2929927753205499</v>
      </c>
      <c r="P23" s="10">
        <v>4.2918165661460002</v>
      </c>
      <c r="Q23" s="10">
        <v>4.2919139070801204</v>
      </c>
      <c r="R23" s="8">
        <v>233.75345661620401</v>
      </c>
      <c r="S23" s="8">
        <v>233.68618479750299</v>
      </c>
      <c r="T23" s="8">
        <v>233.700341374853</v>
      </c>
      <c r="U23" s="9">
        <v>4.85486550256476E-4</v>
      </c>
      <c r="V23" s="9">
        <v>1.97655509817712E-4</v>
      </c>
      <c r="W23" s="9">
        <v>2.5823311127502101E-4</v>
      </c>
      <c r="X23" s="10">
        <v>4.2909090909090901</v>
      </c>
      <c r="Y23" s="10">
        <v>4.2929927753205499</v>
      </c>
      <c r="Z23" s="10">
        <v>4.2918165661460002</v>
      </c>
      <c r="AA23" s="10">
        <v>4.2919139070801204</v>
      </c>
      <c r="AB23" s="8">
        <v>233.75345661620401</v>
      </c>
      <c r="AC23" s="8">
        <v>233.68618479750299</v>
      </c>
      <c r="AD23" s="8">
        <v>233.700341374853</v>
      </c>
      <c r="AE23" s="9">
        <v>4.85486550256476E-4</v>
      </c>
      <c r="AF23" s="9">
        <v>1.97655509817712E-4</v>
      </c>
      <c r="AG23" s="9">
        <v>2.5823311127502101E-4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54.99</v>
      </c>
      <c r="C24" s="8">
        <v>236.02</v>
      </c>
      <c r="D24" s="9">
        <v>9.8685011407537802E-3</v>
      </c>
      <c r="E24" s="9">
        <v>1.01350780254941E-2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54.99</v>
      </c>
      <c r="M24" s="8">
        <v>236.02</v>
      </c>
      <c r="N24" s="10">
        <v>4.2920531005637299</v>
      </c>
      <c r="O24" s="10">
        <v>4.2929927753205499</v>
      </c>
      <c r="P24" s="10">
        <v>4.2917787569363197</v>
      </c>
      <c r="Q24" s="10">
        <v>4.2920142213796302</v>
      </c>
      <c r="R24" s="8">
        <v>236.071672714877</v>
      </c>
      <c r="S24" s="8">
        <v>236.00699297236801</v>
      </c>
      <c r="T24" s="8">
        <v>236.01234575033601</v>
      </c>
      <c r="U24" s="9">
        <v>2.1890966551608301E-4</v>
      </c>
      <c r="V24" s="9">
        <v>-5.5111372137957197E-5</v>
      </c>
      <c r="W24" s="9">
        <v>-3.2431038819562299E-5</v>
      </c>
      <c r="X24" s="10">
        <v>4.2920531005637299</v>
      </c>
      <c r="Y24" s="10">
        <v>4.2929927753205499</v>
      </c>
      <c r="Z24" s="10">
        <v>4.2917787569363197</v>
      </c>
      <c r="AA24" s="10">
        <v>4.2920142213796302</v>
      </c>
      <c r="AB24" s="8">
        <v>236.071672714877</v>
      </c>
      <c r="AC24" s="8">
        <v>236.00699297236801</v>
      </c>
      <c r="AD24" s="8">
        <v>236.01234575033601</v>
      </c>
      <c r="AE24" s="9">
        <v>2.1890966551608301E-4</v>
      </c>
      <c r="AF24" s="9">
        <v>-5.5111372137957197E-5</v>
      </c>
      <c r="AG24" s="9">
        <v>-3.2431038819562299E-5</v>
      </c>
      <c r="AZ24" s="9"/>
      <c r="BB24">
        <f t="shared" si="2"/>
        <v>0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55.06</v>
      </c>
      <c r="C25" s="8">
        <v>236.13</v>
      </c>
      <c r="D25" s="9">
        <v>1.2721491947379701E-3</v>
      </c>
      <c r="E25" s="9">
        <v>4.65953624865758E-4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55.06</v>
      </c>
      <c r="M25" s="8">
        <v>236.13</v>
      </c>
      <c r="N25" s="10">
        <v>4.2885942608063896</v>
      </c>
      <c r="O25" s="10">
        <v>4.2929927753205499</v>
      </c>
      <c r="P25" s="10">
        <v>4.2914651355437599</v>
      </c>
      <c r="Q25" s="10">
        <v>4.2918777337620497</v>
      </c>
      <c r="R25" s="8">
        <v>236.372182209149</v>
      </c>
      <c r="S25" s="8">
        <v>236.30533835691401</v>
      </c>
      <c r="T25" s="8">
        <v>236.318303029162</v>
      </c>
      <c r="U25" s="9">
        <v>1.0251052353884599E-3</v>
      </c>
      <c r="V25" s="9">
        <v>7.4227455369604302E-4</v>
      </c>
      <c r="W25" s="9">
        <v>7.9713711712537196E-4</v>
      </c>
      <c r="X25" s="10">
        <v>4.2885942608063896</v>
      </c>
      <c r="Y25" s="10">
        <v>4.2929927753205499</v>
      </c>
      <c r="Z25" s="10">
        <v>4.2914651355437599</v>
      </c>
      <c r="AA25" s="10">
        <v>4.2918777337620497</v>
      </c>
      <c r="AB25" s="8">
        <v>236.372182209149</v>
      </c>
      <c r="AC25" s="8">
        <v>236.30533835691401</v>
      </c>
      <c r="AD25" s="8">
        <v>236.318303029162</v>
      </c>
      <c r="AE25" s="9">
        <v>1.0251052353884599E-3</v>
      </c>
      <c r="AF25" s="9">
        <v>7.4227455369604302E-4</v>
      </c>
      <c r="AG25" s="9">
        <v>7.9713711712537196E-4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55.78</v>
      </c>
      <c r="C26" s="8">
        <v>239.32</v>
      </c>
      <c r="D26" s="9">
        <v>1.29918824848816E-2</v>
      </c>
      <c r="E26" s="9">
        <v>1.3419067699362399E-2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55.78</v>
      </c>
      <c r="M26" s="8">
        <v>239.32</v>
      </c>
      <c r="N26" s="10">
        <v>4.2904266762280301</v>
      </c>
      <c r="O26" s="10">
        <v>4.2929927753205499</v>
      </c>
      <c r="P26" s="10">
        <v>4.2913601623750903</v>
      </c>
      <c r="Q26" s="10">
        <v>4.2918634825312401</v>
      </c>
      <c r="R26" s="8">
        <v>239.46313700738</v>
      </c>
      <c r="S26" s="8">
        <v>239.377925260631</v>
      </c>
      <c r="T26" s="8">
        <v>239.40093998924701</v>
      </c>
      <c r="U26" s="9">
        <v>5.9792002090733602E-4</v>
      </c>
      <c r="V26" s="9">
        <v>2.42011748357949E-4</v>
      </c>
      <c r="W26" s="9">
        <v>3.3815103229339801E-4</v>
      </c>
      <c r="X26" s="10">
        <v>4.2904266762280301</v>
      </c>
      <c r="Y26" s="10">
        <v>4.2929927753205499</v>
      </c>
      <c r="Z26" s="10">
        <v>4.2913601623750903</v>
      </c>
      <c r="AA26" s="10">
        <v>4.2918634825312401</v>
      </c>
      <c r="AB26" s="8">
        <v>239.46313700738</v>
      </c>
      <c r="AC26" s="8">
        <v>239.377925260631</v>
      </c>
      <c r="AD26" s="8">
        <v>239.40093998924701</v>
      </c>
      <c r="AE26" s="9">
        <v>5.9792002090733602E-4</v>
      </c>
      <c r="AF26" s="9">
        <v>2.42011748357949E-4</v>
      </c>
      <c r="AG26" s="9">
        <v>3.3815103229339801E-4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55.31</v>
      </c>
      <c r="C27" s="8">
        <v>237.36</v>
      </c>
      <c r="D27" s="9">
        <v>-8.4616581927562193E-3</v>
      </c>
      <c r="E27" s="9">
        <v>-8.2235925392645896E-3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55.31</v>
      </c>
      <c r="M27" s="8">
        <v>237.36</v>
      </c>
      <c r="N27" s="10">
        <v>4.2914482010486301</v>
      </c>
      <c r="O27" s="10">
        <v>4.2929927753205499</v>
      </c>
      <c r="P27" s="10">
        <v>4.2913756245070003</v>
      </c>
      <c r="Q27" s="10">
        <v>4.29182892740954</v>
      </c>
      <c r="R27" s="8">
        <v>237.44543040297901</v>
      </c>
      <c r="S27" s="8">
        <v>237.35513058096601</v>
      </c>
      <c r="T27" s="8">
        <v>237.382969218802</v>
      </c>
      <c r="U27" s="9">
        <v>3.5985436741575499E-4</v>
      </c>
      <c r="V27" s="9">
        <v>-2.0515120417425799E-5</v>
      </c>
      <c r="W27" s="9">
        <v>9.6764861451832296E-5</v>
      </c>
      <c r="X27" s="10">
        <v>4.2914482010486301</v>
      </c>
      <c r="Y27" s="10">
        <v>4.2929927753205499</v>
      </c>
      <c r="Z27" s="10">
        <v>4.2913756245070003</v>
      </c>
      <c r="AA27" s="10">
        <v>4.29182892740954</v>
      </c>
      <c r="AB27" s="8">
        <v>237.44543040297901</v>
      </c>
      <c r="AC27" s="8">
        <v>237.35513058096601</v>
      </c>
      <c r="AD27" s="8">
        <v>237.382969218802</v>
      </c>
      <c r="AE27" s="9">
        <v>3.5985436741575499E-4</v>
      </c>
      <c r="AF27" s="9">
        <v>-2.0515120417425799E-5</v>
      </c>
      <c r="AG27" s="9">
        <v>9.6764861451832296E-5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54.97</v>
      </c>
      <c r="C28" s="8">
        <v>235.81</v>
      </c>
      <c r="D28" s="9">
        <v>-6.1661421340177399E-3</v>
      </c>
      <c r="E28" s="9">
        <v>-6.5515799574896796E-3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54.97</v>
      </c>
      <c r="M28" s="8">
        <v>235.81</v>
      </c>
      <c r="N28" s="10">
        <v>4.2897944333272697</v>
      </c>
      <c r="O28" s="10">
        <v>4.2929927753205499</v>
      </c>
      <c r="P28" s="10">
        <v>4.2910918699665803</v>
      </c>
      <c r="Q28" s="10">
        <v>4.2916272182582897</v>
      </c>
      <c r="R28" s="8">
        <v>235.98581285936999</v>
      </c>
      <c r="S28" s="8">
        <v>235.89691807915</v>
      </c>
      <c r="T28" s="8">
        <v>235.92183613970201</v>
      </c>
      <c r="U28" s="9">
        <v>7.4529219088772798E-4</v>
      </c>
      <c r="V28" s="9">
        <v>3.6852578074446298E-4</v>
      </c>
      <c r="W28" s="9">
        <v>4.74151342902864E-4</v>
      </c>
      <c r="X28" s="10">
        <v>4.2897944333272697</v>
      </c>
      <c r="Y28" s="10">
        <v>4.2929927753205499</v>
      </c>
      <c r="Z28" s="10">
        <v>4.2910918699665803</v>
      </c>
      <c r="AA28" s="10">
        <v>4.2916272182582897</v>
      </c>
      <c r="AB28" s="8">
        <v>235.98581285936999</v>
      </c>
      <c r="AC28" s="8">
        <v>235.89691807915</v>
      </c>
      <c r="AD28" s="8">
        <v>235.92183613970201</v>
      </c>
      <c r="AE28" s="9">
        <v>7.4529219088772798E-4</v>
      </c>
      <c r="AF28" s="9">
        <v>3.6852578074446298E-4</v>
      </c>
      <c r="AG28" s="9">
        <v>4.74151342902864E-4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55.65</v>
      </c>
      <c r="C29" s="8">
        <v>238.82</v>
      </c>
      <c r="D29" s="9">
        <v>1.22944958489848E-2</v>
      </c>
      <c r="E29" s="9">
        <v>1.2683734080161701E-2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55.65</v>
      </c>
      <c r="M29" s="8">
        <v>238.82</v>
      </c>
      <c r="N29" s="10">
        <v>4.29146451033243</v>
      </c>
      <c r="O29" s="10">
        <v>4.2929927753205499</v>
      </c>
      <c r="P29" s="10">
        <v>4.2909054989139301</v>
      </c>
      <c r="Q29" s="10">
        <v>4.2915477876161301</v>
      </c>
      <c r="R29" s="8">
        <v>238.90504794658801</v>
      </c>
      <c r="S29" s="8">
        <v>238.79926256364001</v>
      </c>
      <c r="T29" s="8">
        <v>238.829054696074</v>
      </c>
      <c r="U29" s="9">
        <v>3.5605395971064499E-4</v>
      </c>
      <c r="V29" s="9">
        <v>-8.6836683517681196E-5</v>
      </c>
      <c r="W29" s="9">
        <v>3.7913593615637298E-5</v>
      </c>
      <c r="X29" s="10">
        <v>4.29146451033243</v>
      </c>
      <c r="Y29" s="10">
        <v>4.2929927753205499</v>
      </c>
      <c r="Z29" s="10">
        <v>4.2909054989139301</v>
      </c>
      <c r="AA29" s="10">
        <v>4.2915477876161301</v>
      </c>
      <c r="AB29" s="8">
        <v>238.90504794658801</v>
      </c>
      <c r="AC29" s="8">
        <v>238.79926256364001</v>
      </c>
      <c r="AD29" s="8">
        <v>238.829054696074</v>
      </c>
      <c r="AE29" s="9">
        <v>3.5605395971064499E-4</v>
      </c>
      <c r="AF29" s="9">
        <v>-8.6836683517681196E-5</v>
      </c>
      <c r="AG29" s="9">
        <v>3.7913593615637298E-5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56.39</v>
      </c>
      <c r="C30" s="8">
        <v>241.86</v>
      </c>
      <c r="D30" s="9">
        <v>1.3209760097536801E-2</v>
      </c>
      <c r="E30" s="9">
        <v>1.26489162518909E-2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56.39</v>
      </c>
      <c r="M30" s="8">
        <v>241.86</v>
      </c>
      <c r="N30" s="10">
        <v>4.2890583436779499</v>
      </c>
      <c r="O30" s="10">
        <v>4.2929927753205499</v>
      </c>
      <c r="P30" s="10">
        <v>4.2907963850256898</v>
      </c>
      <c r="Q30" s="10">
        <v>4.2913016084724003</v>
      </c>
      <c r="R30" s="8">
        <v>242.081862600325</v>
      </c>
      <c r="S30" s="8">
        <v>241.96416108375601</v>
      </c>
      <c r="T30" s="8">
        <v>242.00037974367299</v>
      </c>
      <c r="U30" s="9">
        <v>9.1689780535670696E-4</v>
      </c>
      <c r="V30" s="9">
        <v>4.3057413723572601E-4</v>
      </c>
      <c r="W30" s="9">
        <v>5.8024898706032703E-4</v>
      </c>
      <c r="X30" s="10">
        <v>4.2890583436779499</v>
      </c>
      <c r="Y30" s="10">
        <v>4.2929927753205499</v>
      </c>
      <c r="Z30" s="10">
        <v>4.2907963850256898</v>
      </c>
      <c r="AA30" s="10">
        <v>4.2913016084724003</v>
      </c>
      <c r="AB30" s="8">
        <v>242.081862600325</v>
      </c>
      <c r="AC30" s="8">
        <v>241.96416108375601</v>
      </c>
      <c r="AD30" s="8">
        <v>242.00037974367299</v>
      </c>
      <c r="AE30" s="9">
        <v>9.1689780535670696E-4</v>
      </c>
      <c r="AF30" s="9">
        <v>4.3057413723572601E-4</v>
      </c>
      <c r="AG30" s="9">
        <v>5.8024898706032703E-4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56.57</v>
      </c>
      <c r="C31" s="8">
        <v>242.63</v>
      </c>
      <c r="D31" s="9">
        <v>3.18697153597359E-3</v>
      </c>
      <c r="E31" s="9">
        <v>3.1786028537589299E-3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56.57</v>
      </c>
      <c r="M31" s="8">
        <v>242.63</v>
      </c>
      <c r="N31" s="10">
        <v>4.2890224500618697</v>
      </c>
      <c r="O31" s="10">
        <v>4.2929927753205499</v>
      </c>
      <c r="P31" s="10">
        <v>4.2903948086168198</v>
      </c>
      <c r="Q31" s="10">
        <v>4.2911625985124502</v>
      </c>
      <c r="R31" s="8">
        <v>242.854601299883</v>
      </c>
      <c r="S31" s="8">
        <v>242.730351500903</v>
      </c>
      <c r="T31" s="8">
        <v>242.75893199128299</v>
      </c>
      <c r="U31" s="9">
        <v>9.2526648757137596E-4</v>
      </c>
      <c r="V31" s="9">
        <v>4.1351339071421902E-4</v>
      </c>
      <c r="W31" s="9">
        <v>5.3125230436209495E-4</v>
      </c>
      <c r="X31" s="10">
        <v>4.2890224500618697</v>
      </c>
      <c r="Y31" s="10">
        <v>4.2929927753205499</v>
      </c>
      <c r="Z31" s="10">
        <v>4.2903948086168198</v>
      </c>
      <c r="AA31" s="10">
        <v>4.2911625985124502</v>
      </c>
      <c r="AB31" s="8">
        <v>242.854601299883</v>
      </c>
      <c r="AC31" s="8">
        <v>242.730351500903</v>
      </c>
      <c r="AD31" s="8">
        <v>242.75893199128299</v>
      </c>
      <c r="AE31" s="9">
        <v>9.2526648757137596E-4</v>
      </c>
      <c r="AF31" s="9">
        <v>4.1351339071421902E-4</v>
      </c>
      <c r="AG31" s="9">
        <v>5.3125230436209495E-4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55.79</v>
      </c>
      <c r="C32" s="8">
        <v>239.36</v>
      </c>
      <c r="D32" s="9">
        <v>-1.38841674976273E-2</v>
      </c>
      <c r="E32" s="9">
        <v>-1.35689544247759E-2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55.79</v>
      </c>
      <c r="M32" s="8">
        <v>239.36</v>
      </c>
      <c r="N32" s="10">
        <v>4.29037461910736</v>
      </c>
      <c r="O32" s="10">
        <v>4.2929927753205499</v>
      </c>
      <c r="P32" s="10">
        <v>4.2903145686062798</v>
      </c>
      <c r="Q32" s="10">
        <v>4.2910359325813996</v>
      </c>
      <c r="R32" s="8">
        <v>239.50606693513299</v>
      </c>
      <c r="S32" s="8">
        <v>239.361126372732</v>
      </c>
      <c r="T32" s="8">
        <v>239.40396137100899</v>
      </c>
      <c r="U32" s="9">
        <v>6.10053414719876E-4</v>
      </c>
      <c r="V32" s="9">
        <v>4.7057573632710797E-6</v>
      </c>
      <c r="W32" s="9">
        <v>1.8364528109932599E-4</v>
      </c>
      <c r="X32" s="10">
        <v>4.29037461910736</v>
      </c>
      <c r="Y32" s="10">
        <v>4.2929927753205499</v>
      </c>
      <c r="Z32" s="10">
        <v>4.2903145686062798</v>
      </c>
      <c r="AA32" s="10">
        <v>4.2910359325813996</v>
      </c>
      <c r="AB32" s="8">
        <v>239.50606693513299</v>
      </c>
      <c r="AC32" s="8">
        <v>239.361126372732</v>
      </c>
      <c r="AD32" s="8">
        <v>239.40396137100899</v>
      </c>
      <c r="AE32" s="9">
        <v>6.10053414719876E-4</v>
      </c>
      <c r="AF32" s="9">
        <v>4.7057573632710797E-6</v>
      </c>
      <c r="AG32" s="9">
        <v>1.8364528109932599E-4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55.53</v>
      </c>
      <c r="C33" s="8">
        <v>238.38</v>
      </c>
      <c r="D33" s="9">
        <v>-4.6712266039210899E-3</v>
      </c>
      <c r="E33" s="9">
        <v>-4.1026557315498903E-3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55.53</v>
      </c>
      <c r="M33" s="8">
        <v>238.38</v>
      </c>
      <c r="N33" s="10">
        <v>4.2928146947595804</v>
      </c>
      <c r="O33" s="10">
        <v>4.2929927753205499</v>
      </c>
      <c r="P33" s="10">
        <v>4.2905051289913203</v>
      </c>
      <c r="Q33" s="10">
        <v>4.2911608475686602</v>
      </c>
      <c r="R33" s="8">
        <v>238.38988881354999</v>
      </c>
      <c r="S33" s="8">
        <v>238.24116799470599</v>
      </c>
      <c r="T33" s="8">
        <v>238.281225336245</v>
      </c>
      <c r="U33" s="9">
        <v>4.1482542348775902E-5</v>
      </c>
      <c r="V33" s="9">
        <v>-5.8256753389210499E-4</v>
      </c>
      <c r="W33" s="9">
        <v>-4.14443885586179E-4</v>
      </c>
      <c r="X33" s="10">
        <v>4.2928146947595804</v>
      </c>
      <c r="Y33" s="10">
        <v>4.2929927753205499</v>
      </c>
      <c r="Z33" s="10">
        <v>4.2905051289913203</v>
      </c>
      <c r="AA33" s="10">
        <v>4.2911608475686602</v>
      </c>
      <c r="AB33" s="8">
        <v>238.38988881354999</v>
      </c>
      <c r="AC33" s="8">
        <v>238.24116799470599</v>
      </c>
      <c r="AD33" s="8">
        <v>238.281225336245</v>
      </c>
      <c r="AE33" s="9">
        <v>4.1482542348775902E-5</v>
      </c>
      <c r="AF33" s="9">
        <v>-5.8256753389210499E-4</v>
      </c>
      <c r="AG33" s="9">
        <v>-4.14443885586179E-4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55.39</v>
      </c>
      <c r="C34" s="8">
        <v>237.63</v>
      </c>
      <c r="D34" s="9">
        <v>-2.5243432085033301E-3</v>
      </c>
      <c r="E34" s="9">
        <v>-3.15119691026462E-3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55.39</v>
      </c>
      <c r="M34" s="8">
        <v>237.63</v>
      </c>
      <c r="N34" s="10">
        <v>4.2901245712222398</v>
      </c>
      <c r="O34" s="10">
        <v>4.2929927753205499</v>
      </c>
      <c r="P34" s="10">
        <v>4.2903122760571799</v>
      </c>
      <c r="Q34" s="10">
        <v>4.2910455164967498</v>
      </c>
      <c r="R34" s="8">
        <v>237.78886982500501</v>
      </c>
      <c r="S34" s="8">
        <v>237.65107909482899</v>
      </c>
      <c r="T34" s="8">
        <v>237.68739934682799</v>
      </c>
      <c r="U34" s="9">
        <v>6.6833624410989295E-4</v>
      </c>
      <c r="V34" s="9">
        <v>8.8701594785510398E-5</v>
      </c>
      <c r="W34" s="9">
        <v>2.4152007558064201E-4</v>
      </c>
      <c r="X34" s="10">
        <v>4.2901245712222398</v>
      </c>
      <c r="Y34" s="10">
        <v>4.2929927753205499</v>
      </c>
      <c r="Z34" s="10">
        <v>4.2903122760571799</v>
      </c>
      <c r="AA34" s="10">
        <v>4.2910455164967498</v>
      </c>
      <c r="AB34" s="8">
        <v>237.78886982500501</v>
      </c>
      <c r="AC34" s="8">
        <v>237.65107909482899</v>
      </c>
      <c r="AD34" s="8">
        <v>237.68739934682799</v>
      </c>
      <c r="AE34" s="9">
        <v>6.6833624410989295E-4</v>
      </c>
      <c r="AF34" s="9">
        <v>8.8701594785510398E-5</v>
      </c>
      <c r="AG34" s="9">
        <v>2.4152007558064201E-4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55.5</v>
      </c>
      <c r="C35" s="8">
        <v>238.2</v>
      </c>
      <c r="D35" s="9">
        <v>1.9839487073761999E-3</v>
      </c>
      <c r="E35" s="9">
        <v>2.3958147769015999E-3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55.5</v>
      </c>
      <c r="M35" s="8">
        <v>238.2</v>
      </c>
      <c r="N35" s="10">
        <v>4.2918918918918898</v>
      </c>
      <c r="O35" s="10">
        <v>4.2929927753205499</v>
      </c>
      <c r="P35" s="10">
        <v>4.2906420391657303</v>
      </c>
      <c r="Q35" s="10">
        <v>4.2910535873547397</v>
      </c>
      <c r="R35" s="8">
        <v>238.26109903029001</v>
      </c>
      <c r="S35" s="8">
        <v>238.112331321173</v>
      </c>
      <c r="T35" s="8">
        <v>238.153026165569</v>
      </c>
      <c r="U35" s="9">
        <v>2.5647017458461599E-4</v>
      </c>
      <c r="V35" s="9">
        <v>-3.6811425634650599E-4</v>
      </c>
      <c r="W35" s="9">
        <v>-1.9722278227415801E-4</v>
      </c>
      <c r="X35" s="10">
        <v>4.2918918918918898</v>
      </c>
      <c r="Y35" s="10">
        <v>4.2929927753205499</v>
      </c>
      <c r="Z35" s="10">
        <v>4.2906420391657303</v>
      </c>
      <c r="AA35" s="10">
        <v>4.2910535873547397</v>
      </c>
      <c r="AB35" s="8">
        <v>238.26109903029001</v>
      </c>
      <c r="AC35" s="8">
        <v>238.112331321173</v>
      </c>
      <c r="AD35" s="8">
        <v>238.153026165569</v>
      </c>
      <c r="AE35" s="9">
        <v>2.5647017458461599E-4</v>
      </c>
      <c r="AF35" s="9">
        <v>-3.6811425634650599E-4</v>
      </c>
      <c r="AG35" s="9">
        <v>-1.9722278227415801E-4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56.17</v>
      </c>
      <c r="C36" s="8">
        <v>241.01</v>
      </c>
      <c r="D36" s="9">
        <v>1.19997857919526E-2</v>
      </c>
      <c r="E36" s="9">
        <v>1.1727769484545901E-2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56.17</v>
      </c>
      <c r="M36" s="8">
        <v>241.01</v>
      </c>
      <c r="N36" s="10">
        <v>4.2907245860779701</v>
      </c>
      <c r="O36" s="10">
        <v>4.2929927753205499</v>
      </c>
      <c r="P36" s="10">
        <v>4.2906718301507203</v>
      </c>
      <c r="Q36" s="10">
        <v>4.2910159962629004</v>
      </c>
      <c r="R36" s="8">
        <v>241.13740418975499</v>
      </c>
      <c r="S36" s="8">
        <v>241.00536333993901</v>
      </c>
      <c r="T36" s="8">
        <v>241.02848000171599</v>
      </c>
      <c r="U36" s="9">
        <v>5.2848648199119901E-4</v>
      </c>
      <c r="V36" s="9">
        <v>-1.92386401501165E-5</v>
      </c>
      <c r="W36" s="9">
        <v>7.6674383858510195E-5</v>
      </c>
      <c r="X36" s="10">
        <v>4.2907245860779701</v>
      </c>
      <c r="Y36" s="10">
        <v>4.2929927753205499</v>
      </c>
      <c r="Z36" s="10">
        <v>4.2906718301507203</v>
      </c>
      <c r="AA36" s="10">
        <v>4.2910159962629004</v>
      </c>
      <c r="AB36" s="8">
        <v>241.13740418975499</v>
      </c>
      <c r="AC36" s="8">
        <v>241.00536333993901</v>
      </c>
      <c r="AD36" s="8">
        <v>241.02848000171599</v>
      </c>
      <c r="AE36" s="9">
        <v>5.2848648199119901E-4</v>
      </c>
      <c r="AF36" s="9">
        <v>-1.92386401501165E-5</v>
      </c>
      <c r="AG36" s="9">
        <v>7.6674383858510195E-5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56.66</v>
      </c>
      <c r="C37" s="8">
        <v>243.1</v>
      </c>
      <c r="D37" s="9">
        <v>8.68568785802914E-3</v>
      </c>
      <c r="E37" s="9">
        <v>8.6344549163319493E-3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56.66</v>
      </c>
      <c r="M37" s="8">
        <v>243.1</v>
      </c>
      <c r="N37" s="10">
        <v>4.2905047652665003</v>
      </c>
      <c r="O37" s="10">
        <v>4.2929927753205499</v>
      </c>
      <c r="P37" s="10">
        <v>4.2905774865725101</v>
      </c>
      <c r="Q37" s="10">
        <v>4.2909765555397499</v>
      </c>
      <c r="R37" s="8">
        <v>243.24097064966199</v>
      </c>
      <c r="S37" s="8">
        <v>243.109465896339</v>
      </c>
      <c r="T37" s="8">
        <v>243.128966348256</v>
      </c>
      <c r="U37" s="9">
        <v>5.7971942368818395E-4</v>
      </c>
      <c r="V37" s="9">
        <v>3.8937523866236899E-5</v>
      </c>
      <c r="W37" s="9">
        <v>1.19146946378351E-4</v>
      </c>
      <c r="X37" s="10">
        <v>4.2905047652665003</v>
      </c>
      <c r="Y37" s="10">
        <v>4.2929927753205499</v>
      </c>
      <c r="Z37" s="10">
        <v>4.2905774865725101</v>
      </c>
      <c r="AA37" s="10">
        <v>4.2909765555397499</v>
      </c>
      <c r="AB37" s="8">
        <v>243.24097064966199</v>
      </c>
      <c r="AC37" s="8">
        <v>243.109465896339</v>
      </c>
      <c r="AD37" s="8">
        <v>243.128966348256</v>
      </c>
      <c r="AE37" s="9">
        <v>5.7971942368818395E-4</v>
      </c>
      <c r="AF37" s="9">
        <v>3.8937523866236899E-5</v>
      </c>
      <c r="AG37" s="9">
        <v>1.19146946378351E-4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56.23</v>
      </c>
      <c r="C38" s="8">
        <v>241.29</v>
      </c>
      <c r="D38" s="9">
        <v>-7.6180720982601596E-3</v>
      </c>
      <c r="E38" s="9">
        <v>-7.4733517379903499E-3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56.23</v>
      </c>
      <c r="M38" s="8">
        <v>241.29</v>
      </c>
      <c r="N38" s="10">
        <v>4.2911257335941597</v>
      </c>
      <c r="O38" s="10">
        <v>4.2929927753205499</v>
      </c>
      <c r="P38" s="10">
        <v>4.2907106165991999</v>
      </c>
      <c r="Q38" s="10">
        <v>4.2909012432828897</v>
      </c>
      <c r="R38" s="8">
        <v>241.394983756274</v>
      </c>
      <c r="S38" s="8">
        <v>241.25917206997201</v>
      </c>
      <c r="T38" s="8">
        <v>241.28161171799999</v>
      </c>
      <c r="U38" s="9">
        <v>4.34999063418421E-4</v>
      </c>
      <c r="V38" s="9">
        <v>-1.2777114480353499E-4</v>
      </c>
      <c r="W38" s="9">
        <v>-3.4764921087477301E-5</v>
      </c>
      <c r="X38" s="10">
        <v>4.2911257335941597</v>
      </c>
      <c r="Y38" s="10">
        <v>4.2929927753205499</v>
      </c>
      <c r="Z38" s="10">
        <v>4.2907106165991999</v>
      </c>
      <c r="AA38" s="10">
        <v>4.2909012432828897</v>
      </c>
      <c r="AB38" s="8">
        <v>241.394983756274</v>
      </c>
      <c r="AC38" s="8">
        <v>241.25917206997201</v>
      </c>
      <c r="AD38" s="8">
        <v>241.28161171799999</v>
      </c>
      <c r="AE38" s="9">
        <v>4.34999063418421E-4</v>
      </c>
      <c r="AF38" s="9">
        <v>-1.2777114480353499E-4</v>
      </c>
      <c r="AG38" s="9">
        <v>-3.4764921087477301E-5</v>
      </c>
      <c r="AZ38" s="9"/>
      <c r="BB38">
        <f t="shared" si="2"/>
        <v>0</v>
      </c>
      <c r="BC38">
        <f t="shared" si="3"/>
        <v>0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56.15</v>
      </c>
      <c r="C39" s="8">
        <v>240.89</v>
      </c>
      <c r="D39" s="9">
        <v>-1.4237411196580899E-3</v>
      </c>
      <c r="E39" s="9">
        <v>-1.6591318252821899E-3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56.15</v>
      </c>
      <c r="M39" s="8">
        <v>240.89</v>
      </c>
      <c r="N39" s="10">
        <v>4.2901157613535101</v>
      </c>
      <c r="O39" s="10">
        <v>4.2929927753205499</v>
      </c>
      <c r="P39" s="10">
        <v>4.2905757417013</v>
      </c>
      <c r="Q39" s="10">
        <v>4.2907406203076199</v>
      </c>
      <c r="R39" s="8">
        <v>241.05154433424801</v>
      </c>
      <c r="S39" s="8">
        <v>240.92340112204499</v>
      </c>
      <c r="T39" s="8">
        <v>240.93410481033399</v>
      </c>
      <c r="U39" s="9">
        <v>6.7038976904255302E-4</v>
      </c>
      <c r="V39" s="9">
        <v>1.3864754289033299E-4</v>
      </c>
      <c r="W39" s="9">
        <v>1.8307432117754401E-4</v>
      </c>
      <c r="X39" s="10">
        <v>4.2901157613535101</v>
      </c>
      <c r="Y39" s="10">
        <v>4.2929927753205499</v>
      </c>
      <c r="Z39" s="10">
        <v>4.2905757417013</v>
      </c>
      <c r="AA39" s="10">
        <v>4.2907406203076199</v>
      </c>
      <c r="AB39" s="8">
        <v>241.05154433424801</v>
      </c>
      <c r="AC39" s="8">
        <v>240.92340112204499</v>
      </c>
      <c r="AD39" s="8">
        <v>240.93410481033399</v>
      </c>
      <c r="AE39" s="9">
        <v>6.7038976904255302E-4</v>
      </c>
      <c r="AF39" s="9">
        <v>1.3864754289033299E-4</v>
      </c>
      <c r="AG39" s="9">
        <v>1.8307432117754401E-4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56.91</v>
      </c>
      <c r="C40" s="8">
        <v>244.19</v>
      </c>
      <c r="D40" s="9">
        <v>1.34443914305802E-2</v>
      </c>
      <c r="E40" s="9">
        <v>1.3606213038373401E-2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56.91</v>
      </c>
      <c r="M40" s="8">
        <v>244.19</v>
      </c>
      <c r="N40" s="10">
        <v>4.2908100509576501</v>
      </c>
      <c r="O40" s="10">
        <v>4.2929927753205499</v>
      </c>
      <c r="P40" s="10">
        <v>4.29075091242927</v>
      </c>
      <c r="Q40" s="10">
        <v>4.2907736487274803</v>
      </c>
      <c r="R40" s="8">
        <v>244.314218843492</v>
      </c>
      <c r="S40" s="8">
        <v>244.17666546022099</v>
      </c>
      <c r="T40" s="8">
        <v>244.186048701706</v>
      </c>
      <c r="U40" s="9">
        <v>5.0856816124940103E-4</v>
      </c>
      <c r="V40" s="9">
        <v>-5.4608722195809899E-5</v>
      </c>
      <c r="W40" s="9">
        <v>-1.61813762314245E-5</v>
      </c>
      <c r="X40" s="10">
        <v>4.2908100509576501</v>
      </c>
      <c r="Y40" s="10">
        <v>4.2929927753205499</v>
      </c>
      <c r="Z40" s="10">
        <v>4.29075091242927</v>
      </c>
      <c r="AA40" s="10">
        <v>4.2907736487274803</v>
      </c>
      <c r="AB40" s="8">
        <v>244.314218843492</v>
      </c>
      <c r="AC40" s="8">
        <v>244.17666546022099</v>
      </c>
      <c r="AD40" s="8">
        <v>244.186048701706</v>
      </c>
      <c r="AE40" s="9">
        <v>5.0856816124940103E-4</v>
      </c>
      <c r="AF40" s="9">
        <v>-5.4608722195809899E-5</v>
      </c>
      <c r="AG40" s="9">
        <v>-1.61813762314245E-5</v>
      </c>
      <c r="AZ40" s="9"/>
      <c r="BB40">
        <f t="shared" si="2"/>
        <v>0</v>
      </c>
      <c r="BC40">
        <f t="shared" si="3"/>
        <v>0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56.14</v>
      </c>
      <c r="C41" s="8">
        <v>240.91</v>
      </c>
      <c r="D41" s="9">
        <v>-1.3622501681295999E-2</v>
      </c>
      <c r="E41" s="9">
        <v>-1.3523191037495301E-2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56.14</v>
      </c>
      <c r="M41" s="8">
        <v>240.91</v>
      </c>
      <c r="N41" s="10">
        <v>4.2912361952262197</v>
      </c>
      <c r="O41" s="10">
        <v>4.2929927753205499</v>
      </c>
      <c r="P41" s="10">
        <v>4.2909722869457099</v>
      </c>
      <c r="Q41" s="10">
        <v>4.2906835477812599</v>
      </c>
      <c r="R41" s="8">
        <v>241.00861440649501</v>
      </c>
      <c r="S41" s="8">
        <v>240.88275622377901</v>
      </c>
      <c r="T41" s="8">
        <v>240.88403263956101</v>
      </c>
      <c r="U41" s="9">
        <v>4.0925751744885102E-4</v>
      </c>
      <c r="V41" s="9">
        <v>-1.1309334105794399E-4</v>
      </c>
      <c r="W41" s="9">
        <v>-1.07794446194017E-4</v>
      </c>
      <c r="X41" s="10">
        <v>4.2912361952262197</v>
      </c>
      <c r="Y41" s="10">
        <v>4.2929927753205499</v>
      </c>
      <c r="Z41" s="10">
        <v>4.2909722869457099</v>
      </c>
      <c r="AA41" s="10">
        <v>4.2906835477812599</v>
      </c>
      <c r="AB41" s="8">
        <v>241.00861440649501</v>
      </c>
      <c r="AC41" s="8">
        <v>240.88275622377901</v>
      </c>
      <c r="AD41" s="8">
        <v>240.88403263956101</v>
      </c>
      <c r="AE41" s="9">
        <v>4.0925751744885102E-4</v>
      </c>
      <c r="AF41" s="9">
        <v>-1.1309334105794399E-4</v>
      </c>
      <c r="AG41" s="9">
        <v>-1.07794446194017E-4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55.62</v>
      </c>
      <c r="C42" s="8">
        <v>238.63</v>
      </c>
      <c r="D42" s="9">
        <v>-9.3057221279176702E-3</v>
      </c>
      <c r="E42" s="9">
        <v>-9.5091845545580492E-3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55.62</v>
      </c>
      <c r="M42" s="8">
        <v>238.63</v>
      </c>
      <c r="N42" s="10">
        <v>4.2903631787126901</v>
      </c>
      <c r="O42" s="10">
        <v>4.2929927753205499</v>
      </c>
      <c r="P42" s="10">
        <v>4.2909711429062396</v>
      </c>
      <c r="Q42" s="10">
        <v>4.2906428557562597</v>
      </c>
      <c r="R42" s="8">
        <v>238.776258163329</v>
      </c>
      <c r="S42" s="8">
        <v>238.66387859992</v>
      </c>
      <c r="T42" s="8">
        <v>238.64781892759399</v>
      </c>
      <c r="U42" s="9">
        <v>6.1271994408924901E-4</v>
      </c>
      <c r="V42" s="9">
        <v>1.4196117526921401E-4</v>
      </c>
      <c r="W42" s="9">
        <v>7.4668995271819994E-5</v>
      </c>
      <c r="X42" s="10">
        <v>4.2903631787126901</v>
      </c>
      <c r="Y42" s="10">
        <v>4.2929927753205499</v>
      </c>
      <c r="Z42" s="10">
        <v>4.2909711429062396</v>
      </c>
      <c r="AA42" s="10">
        <v>4.2906428557562597</v>
      </c>
      <c r="AB42" s="8">
        <v>238.776258163329</v>
      </c>
      <c r="AC42" s="8">
        <v>238.66387859992</v>
      </c>
      <c r="AD42" s="8">
        <v>238.64781892759399</v>
      </c>
      <c r="AE42" s="9">
        <v>6.1271994408924901E-4</v>
      </c>
      <c r="AF42" s="9">
        <v>1.4196117526921401E-4</v>
      </c>
      <c r="AG42" s="9">
        <v>7.4668995271819994E-5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55.27</v>
      </c>
      <c r="C43" s="8">
        <v>237.13</v>
      </c>
      <c r="D43" s="9">
        <v>-6.3125829606471198E-3</v>
      </c>
      <c r="E43" s="9">
        <v>-6.3057212471067598E-3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55.27</v>
      </c>
      <c r="M43" s="8">
        <v>237.13</v>
      </c>
      <c r="N43" s="10">
        <v>4.2903926180568099</v>
      </c>
      <c r="O43" s="10">
        <v>4.2929927753205499</v>
      </c>
      <c r="P43" s="10">
        <v>4.2907289352359603</v>
      </c>
      <c r="Q43" s="10">
        <v>4.2906170321136399</v>
      </c>
      <c r="R43" s="8">
        <v>237.27371069196599</v>
      </c>
      <c r="S43" s="8">
        <v>237.16197506842801</v>
      </c>
      <c r="T43" s="8">
        <v>237.14383063764799</v>
      </c>
      <c r="U43" s="9">
        <v>6.0585823054893999E-4</v>
      </c>
      <c r="V43" s="9">
        <v>1.3483284625262799E-4</v>
      </c>
      <c r="W43" s="9">
        <v>5.8323427349881499E-5</v>
      </c>
      <c r="X43" s="10">
        <v>4.2903926180568099</v>
      </c>
      <c r="Y43" s="10">
        <v>4.2929927753205499</v>
      </c>
      <c r="Z43" s="10">
        <v>4.2907289352359603</v>
      </c>
      <c r="AA43" s="10">
        <v>4.2906170321136399</v>
      </c>
      <c r="AB43" s="8">
        <v>237.27371069196599</v>
      </c>
      <c r="AC43" s="8">
        <v>237.16197506842801</v>
      </c>
      <c r="AD43" s="8">
        <v>237.14383063764799</v>
      </c>
      <c r="AE43" s="9">
        <v>6.0585823054893999E-4</v>
      </c>
      <c r="AF43" s="9">
        <v>1.3483284625262799E-4</v>
      </c>
      <c r="AG43" s="9">
        <v>5.8323427349881499E-5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54.09</v>
      </c>
      <c r="C44" s="8">
        <v>232.11</v>
      </c>
      <c r="D44" s="9">
        <v>-2.1580939961835899E-2</v>
      </c>
      <c r="E44" s="9">
        <v>-2.1397116728545301E-2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54.09</v>
      </c>
      <c r="M44" s="8">
        <v>232.11</v>
      </c>
      <c r="N44" s="10">
        <v>4.2911813643926697</v>
      </c>
      <c r="O44" s="10">
        <v>4.2929927753205499</v>
      </c>
      <c r="P44" s="10">
        <v>4.2908346145530096</v>
      </c>
      <c r="Q44" s="10">
        <v>4.2905734453050899</v>
      </c>
      <c r="R44" s="8">
        <v>232.207979217088</v>
      </c>
      <c r="S44" s="8">
        <v>232.08552810691299</v>
      </c>
      <c r="T44" s="8">
        <v>232.07947526702699</v>
      </c>
      <c r="U44" s="9">
        <v>4.22034997258259E-4</v>
      </c>
      <c r="V44" s="9">
        <v>-1.0543786670666699E-4</v>
      </c>
      <c r="W44" s="9">
        <v>-1.3151841927981799E-4</v>
      </c>
      <c r="X44" s="10">
        <v>4.2911813643926697</v>
      </c>
      <c r="Y44" s="10">
        <v>4.2929927753205499</v>
      </c>
      <c r="Z44" s="10">
        <v>4.2908346145530096</v>
      </c>
      <c r="AA44" s="10">
        <v>4.2905734453050899</v>
      </c>
      <c r="AB44" s="8">
        <v>232.207979217088</v>
      </c>
      <c r="AC44" s="8">
        <v>232.08552810691299</v>
      </c>
      <c r="AD44" s="8">
        <v>232.07947526702699</v>
      </c>
      <c r="AE44" s="9">
        <v>4.22034997258259E-4</v>
      </c>
      <c r="AF44" s="9">
        <v>-1.0543786670666699E-4</v>
      </c>
      <c r="AG44" s="9">
        <v>-1.3151841927981799E-4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54.26</v>
      </c>
      <c r="C45" s="8">
        <v>232.79</v>
      </c>
      <c r="D45" s="9">
        <v>3.1379813474499401E-3</v>
      </c>
      <c r="E45" s="9">
        <v>2.92536237874283E-3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54.26</v>
      </c>
      <c r="M45" s="8">
        <v>232.79</v>
      </c>
      <c r="N45" s="10">
        <v>4.2902690748249102</v>
      </c>
      <c r="O45" s="10">
        <v>4.2929927753205499</v>
      </c>
      <c r="P45" s="10">
        <v>4.2906723328463103</v>
      </c>
      <c r="Q45" s="10">
        <v>4.2906571860060199</v>
      </c>
      <c r="R45" s="8">
        <v>232.93778798889301</v>
      </c>
      <c r="S45" s="8">
        <v>232.820686185646</v>
      </c>
      <c r="T45" s="8">
        <v>232.806515142254</v>
      </c>
      <c r="U45" s="9">
        <v>6.3465396596535002E-4</v>
      </c>
      <c r="V45" s="9">
        <v>1.31810487178551E-4</v>
      </c>
      <c r="W45" s="9">
        <v>7.0941863713688594E-5</v>
      </c>
      <c r="X45" s="10">
        <v>4.2902690748249102</v>
      </c>
      <c r="Y45" s="10">
        <v>4.2929927753205499</v>
      </c>
      <c r="Z45" s="10">
        <v>4.2906723328463103</v>
      </c>
      <c r="AA45" s="10">
        <v>4.2906571860060199</v>
      </c>
      <c r="AB45" s="8">
        <v>232.93778798889301</v>
      </c>
      <c r="AC45" s="8">
        <v>232.820686185646</v>
      </c>
      <c r="AD45" s="8">
        <v>232.806515142254</v>
      </c>
      <c r="AE45" s="9">
        <v>6.3465396596535002E-4</v>
      </c>
      <c r="AF45" s="9">
        <v>1.31810487178551E-4</v>
      </c>
      <c r="AG45" s="9">
        <v>7.0941863713688594E-5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54.41</v>
      </c>
      <c r="C46" s="8">
        <v>233.42</v>
      </c>
      <c r="D46" s="9">
        <v>2.7606532670481801E-3</v>
      </c>
      <c r="E46" s="9">
        <v>2.7026463759917399E-3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54.41</v>
      </c>
      <c r="M46" s="8">
        <v>233.42</v>
      </c>
      <c r="N46" s="10">
        <v>4.2900202168718904</v>
      </c>
      <c r="O46" s="10">
        <v>4.2929927753205499</v>
      </c>
      <c r="P46" s="10">
        <v>4.2906018959257004</v>
      </c>
      <c r="Q46" s="10">
        <v>4.2906368630382099</v>
      </c>
      <c r="R46" s="8">
        <v>233.58173690519101</v>
      </c>
      <c r="S46" s="8">
        <v>233.45548163016699</v>
      </c>
      <c r="T46" s="8">
        <v>233.45465749058701</v>
      </c>
      <c r="U46" s="9">
        <v>6.9266085702189898E-4</v>
      </c>
      <c r="V46" s="9">
        <v>1.5199611730467501E-4</v>
      </c>
      <c r="W46" s="9">
        <v>1.48465932323304E-4</v>
      </c>
      <c r="X46" s="10">
        <v>4.2900202168718904</v>
      </c>
      <c r="Y46" s="10">
        <v>4.2929927753205499</v>
      </c>
      <c r="Z46" s="10">
        <v>4.2906018959257004</v>
      </c>
      <c r="AA46" s="10">
        <v>4.2906368630382099</v>
      </c>
      <c r="AB46" s="8">
        <v>233.58173690519101</v>
      </c>
      <c r="AC46" s="8">
        <v>233.45548163016699</v>
      </c>
      <c r="AD46" s="8">
        <v>233.45465749058701</v>
      </c>
      <c r="AE46" s="9">
        <v>6.9266085702189898E-4</v>
      </c>
      <c r="AF46" s="9">
        <v>1.5199611730467501E-4</v>
      </c>
      <c r="AG46" s="9">
        <v>1.48465932323304E-4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54.33</v>
      </c>
      <c r="C47" s="8">
        <v>233.16</v>
      </c>
      <c r="D47" s="9">
        <v>-1.47139993440218E-3</v>
      </c>
      <c r="E47" s="9">
        <v>-1.1144928068586E-3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54.33</v>
      </c>
      <c r="M47" s="8">
        <v>233.16</v>
      </c>
      <c r="N47" s="10">
        <v>4.2915516289342897</v>
      </c>
      <c r="O47" s="10">
        <v>4.2929927753205499</v>
      </c>
      <c r="P47" s="10">
        <v>4.2907065822924801</v>
      </c>
      <c r="Q47" s="10">
        <v>4.2906420344324898</v>
      </c>
      <c r="R47" s="8">
        <v>233.23829748316501</v>
      </c>
      <c r="S47" s="8">
        <v>233.108401005643</v>
      </c>
      <c r="T47" s="8">
        <v>233.11030076886601</v>
      </c>
      <c r="U47" s="9">
        <v>3.35753729478178E-4</v>
      </c>
      <c r="V47" s="9">
        <v>-2.2132743482407001E-4</v>
      </c>
      <c r="W47" s="9">
        <v>-2.13177769375765E-4</v>
      </c>
      <c r="X47" s="10">
        <v>4.2915516289342897</v>
      </c>
      <c r="Y47" s="10">
        <v>4.2929927753205499</v>
      </c>
      <c r="Z47" s="10">
        <v>4.2907065822924801</v>
      </c>
      <c r="AA47" s="10">
        <v>4.2906420344324898</v>
      </c>
      <c r="AB47" s="8">
        <v>233.23829748316501</v>
      </c>
      <c r="AC47" s="8">
        <v>233.108401005643</v>
      </c>
      <c r="AD47" s="8">
        <v>233.11030076886601</v>
      </c>
      <c r="AE47" s="9">
        <v>3.35753729478178E-4</v>
      </c>
      <c r="AF47" s="9">
        <v>-2.2132743482407001E-4</v>
      </c>
      <c r="AG47" s="9">
        <v>-2.13177769375765E-4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53.71</v>
      </c>
      <c r="C48" s="8">
        <v>230.53</v>
      </c>
      <c r="D48" s="9">
        <v>-1.14773566460636E-2</v>
      </c>
      <c r="E48" s="9">
        <v>-1.13439073658443E-2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53.71</v>
      </c>
      <c r="M48" s="8">
        <v>230.53</v>
      </c>
      <c r="N48" s="10">
        <v>4.2921243716253903</v>
      </c>
      <c r="O48" s="10">
        <v>4.2929927753205499</v>
      </c>
      <c r="P48" s="10">
        <v>4.2908064460956004</v>
      </c>
      <c r="Q48" s="10">
        <v>4.2907585313474002</v>
      </c>
      <c r="R48" s="8">
        <v>230.576641962466</v>
      </c>
      <c r="S48" s="8">
        <v>230.45385053492899</v>
      </c>
      <c r="T48" s="8">
        <v>230.45038366936899</v>
      </c>
      <c r="U48" s="9">
        <v>2.0230444925891701E-4</v>
      </c>
      <c r="V48" s="9">
        <v>-3.3037801942481401E-4</v>
      </c>
      <c r="W48" s="9">
        <v>-3.45421776035165E-4</v>
      </c>
      <c r="X48" s="10">
        <v>4.2921243716253903</v>
      </c>
      <c r="Y48" s="10">
        <v>4.2929927753205499</v>
      </c>
      <c r="Z48" s="10">
        <v>4.2908064460956004</v>
      </c>
      <c r="AA48" s="10">
        <v>4.2907585313474002</v>
      </c>
      <c r="AB48" s="8">
        <v>230.576641962466</v>
      </c>
      <c r="AC48" s="8">
        <v>230.45385053492899</v>
      </c>
      <c r="AD48" s="8">
        <v>230.45038366936899</v>
      </c>
      <c r="AE48" s="9">
        <v>2.0230444925891701E-4</v>
      </c>
      <c r="AF48" s="9">
        <v>-3.3037801942481401E-4</v>
      </c>
      <c r="AG48" s="9">
        <v>-3.45421776035165E-4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53.59</v>
      </c>
      <c r="C49" s="8">
        <v>230.13</v>
      </c>
      <c r="D49" s="9">
        <v>-2.2367204106090101E-3</v>
      </c>
      <c r="E49" s="9">
        <v>-1.7366391721899499E-3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53.59</v>
      </c>
      <c r="M49" s="8">
        <v>230.13</v>
      </c>
      <c r="N49" s="10">
        <v>4.29427131927598</v>
      </c>
      <c r="O49" s="10">
        <v>4.2929927753205499</v>
      </c>
      <c r="P49" s="10">
        <v>4.2912220018878502</v>
      </c>
      <c r="Q49" s="10">
        <v>4.29089887179458</v>
      </c>
      <c r="R49" s="8">
        <v>230.061482829428</v>
      </c>
      <c r="S49" s="8">
        <v>229.944317446263</v>
      </c>
      <c r="T49" s="8">
        <v>229.941749694907</v>
      </c>
      <c r="U49" s="9">
        <v>-2.9777678916024901E-4</v>
      </c>
      <c r="V49" s="9">
        <v>-8.0718508630861204E-4</v>
      </c>
      <c r="W49" s="9">
        <v>-8.1835198846005105E-4</v>
      </c>
      <c r="X49" s="10">
        <v>4.29427131927598</v>
      </c>
      <c r="Y49" s="10">
        <v>4.2929927753205499</v>
      </c>
      <c r="Z49" s="10">
        <v>4.2912220018878502</v>
      </c>
      <c r="AA49" s="10">
        <v>4.29089887179458</v>
      </c>
      <c r="AB49" s="8">
        <v>230.061482829428</v>
      </c>
      <c r="AC49" s="8">
        <v>229.944317446263</v>
      </c>
      <c r="AD49" s="8">
        <v>229.941749694907</v>
      </c>
      <c r="AE49" s="9">
        <v>-2.9777678916024901E-4</v>
      </c>
      <c r="AF49" s="9">
        <v>-8.0718508630861204E-4</v>
      </c>
      <c r="AG49" s="9">
        <v>-8.1835198846005105E-4</v>
      </c>
      <c r="AZ49" s="9"/>
      <c r="BB49">
        <f t="shared" si="2"/>
        <v>0</v>
      </c>
      <c r="BC49">
        <f t="shared" si="3"/>
        <v>0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53.93</v>
      </c>
      <c r="C50" s="8">
        <v>231.38</v>
      </c>
      <c r="D50" s="9">
        <v>6.3244258423767402E-3</v>
      </c>
      <c r="E50" s="9">
        <v>5.4170139614282097E-3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53.93</v>
      </c>
      <c r="M50" s="8">
        <v>231.38</v>
      </c>
      <c r="N50" s="10">
        <v>4.2903764138698302</v>
      </c>
      <c r="O50" s="10">
        <v>4.2929927753205499</v>
      </c>
      <c r="P50" s="10">
        <v>4.29117863817907</v>
      </c>
      <c r="Q50" s="10">
        <v>4.29096477530417</v>
      </c>
      <c r="R50" s="8">
        <v>231.521100373037</v>
      </c>
      <c r="S50" s="8">
        <v>231.42560256181099</v>
      </c>
      <c r="T50" s="8">
        <v>231.40817615588099</v>
      </c>
      <c r="U50" s="9">
        <v>6.0963509178824104E-4</v>
      </c>
      <c r="V50" s="9">
        <v>1.97070051473657E-4</v>
      </c>
      <c r="W50" s="9">
        <v>1.2176696539931701E-4</v>
      </c>
      <c r="X50" s="10">
        <v>4.2903764138698302</v>
      </c>
      <c r="Y50" s="10">
        <v>4.2929927753205499</v>
      </c>
      <c r="Z50" s="10">
        <v>4.29117863817907</v>
      </c>
      <c r="AA50" s="10">
        <v>4.29096477530417</v>
      </c>
      <c r="AB50" s="8">
        <v>231.521100373037</v>
      </c>
      <c r="AC50" s="8">
        <v>231.42560256181099</v>
      </c>
      <c r="AD50" s="8">
        <v>231.40817615588099</v>
      </c>
      <c r="AE50" s="9">
        <v>6.0963509178824104E-4</v>
      </c>
      <c r="AF50" s="9">
        <v>1.97070051473657E-4</v>
      </c>
      <c r="AG50" s="9">
        <v>1.2176696539931701E-4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53.96</v>
      </c>
      <c r="C51" s="8">
        <v>231.66</v>
      </c>
      <c r="D51" s="9">
        <v>5.5612199041940797E-4</v>
      </c>
      <c r="E51" s="9">
        <v>1.20939890345707E-3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53.96</v>
      </c>
      <c r="M51" s="8">
        <v>231.66</v>
      </c>
      <c r="N51" s="10">
        <v>4.2931801334321698</v>
      </c>
      <c r="O51" s="10">
        <v>4.2929927753205499</v>
      </c>
      <c r="P51" s="10">
        <v>4.2913730319996599</v>
      </c>
      <c r="Q51" s="10">
        <v>4.2911726594726902</v>
      </c>
      <c r="R51" s="8">
        <v>231.64989015629601</v>
      </c>
      <c r="S51" s="8">
        <v>231.551999316142</v>
      </c>
      <c r="T51" s="8">
        <v>231.54045927541301</v>
      </c>
      <c r="U51" s="9">
        <v>-4.3641821249343898E-5</v>
      </c>
      <c r="V51" s="9">
        <v>-4.6631212478850898E-4</v>
      </c>
      <c r="W51" s="9">
        <v>-5.1615116024565102E-4</v>
      </c>
      <c r="X51" s="10">
        <v>4.2931801334321698</v>
      </c>
      <c r="Y51" s="10">
        <v>4.2929927753205499</v>
      </c>
      <c r="Z51" s="10">
        <v>4.2913730319996599</v>
      </c>
      <c r="AA51" s="10">
        <v>4.2911726594726902</v>
      </c>
      <c r="AB51" s="8">
        <v>231.64989015629601</v>
      </c>
      <c r="AC51" s="8">
        <v>231.551999316142</v>
      </c>
      <c r="AD51" s="8">
        <v>231.54045927541301</v>
      </c>
      <c r="AE51" s="9">
        <v>-4.3641821249343898E-5</v>
      </c>
      <c r="AF51" s="9">
        <v>-4.6631212478850898E-4</v>
      </c>
      <c r="AG51" s="9">
        <v>-5.1615116024565102E-4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53.76</v>
      </c>
      <c r="C52" s="8">
        <v>230.81</v>
      </c>
      <c r="D52" s="9">
        <v>-3.7133351246611199E-3</v>
      </c>
      <c r="E52" s="9">
        <v>-3.6759182525411402E-3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53.76</v>
      </c>
      <c r="M52" s="8">
        <v>230.81</v>
      </c>
      <c r="N52" s="10">
        <v>4.2933407738095202</v>
      </c>
      <c r="O52" s="10">
        <v>4.2929927753205499</v>
      </c>
      <c r="P52" s="10">
        <v>4.2916707915093504</v>
      </c>
      <c r="Q52" s="10">
        <v>4.2913209672077901</v>
      </c>
      <c r="R52" s="8">
        <v>230.79129160123199</v>
      </c>
      <c r="S52" s="8">
        <v>230.704214200302</v>
      </c>
      <c r="T52" s="8">
        <v>230.69344217325099</v>
      </c>
      <c r="U52" s="9">
        <v>-8.1058693369367302E-5</v>
      </c>
      <c r="V52" s="9">
        <v>-4.5842922404396399E-4</v>
      </c>
      <c r="W52" s="9">
        <v>-5.0512225294623296E-4</v>
      </c>
      <c r="X52" s="10">
        <v>4.2933407738095202</v>
      </c>
      <c r="Y52" s="10">
        <v>4.2929927753205499</v>
      </c>
      <c r="Z52" s="10">
        <v>4.2916707915093504</v>
      </c>
      <c r="AA52" s="10">
        <v>4.2913209672077901</v>
      </c>
      <c r="AB52" s="8">
        <v>230.79129160123199</v>
      </c>
      <c r="AC52" s="8">
        <v>230.704214200302</v>
      </c>
      <c r="AD52" s="8">
        <v>230.69344217325099</v>
      </c>
      <c r="AE52" s="9">
        <v>-8.1058693369367302E-5</v>
      </c>
      <c r="AF52" s="9">
        <v>-4.5842922404396399E-4</v>
      </c>
      <c r="AG52" s="9">
        <v>-5.0512225294623296E-4</v>
      </c>
      <c r="AZ52" s="9"/>
      <c r="BB52">
        <f t="shared" si="2"/>
        <v>0</v>
      </c>
      <c r="BC52">
        <f t="shared" si="3"/>
        <v>0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52.5</v>
      </c>
      <c r="C53" s="8">
        <v>225.32</v>
      </c>
      <c r="D53" s="9">
        <v>-2.3716526617315999E-2</v>
      </c>
      <c r="E53" s="9">
        <v>-2.4073247225145599E-2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52.5</v>
      </c>
      <c r="M53" s="8">
        <v>225.32</v>
      </c>
      <c r="N53" s="10">
        <v>4.29180952380952</v>
      </c>
      <c r="O53" s="10">
        <v>4.2929927753205499</v>
      </c>
      <c r="P53" s="10">
        <v>4.2918124820846204</v>
      </c>
      <c r="Q53" s="10">
        <v>4.2912707086602904</v>
      </c>
      <c r="R53" s="8">
        <v>225.382120704328</v>
      </c>
      <c r="S53" s="8">
        <v>225.31271655424001</v>
      </c>
      <c r="T53" s="8">
        <v>225.29435077840901</v>
      </c>
      <c r="U53" s="9">
        <v>2.75661914460362E-4</v>
      </c>
      <c r="V53" s="9">
        <v>-3.23254193145232E-5</v>
      </c>
      <c r="W53" s="9">
        <v>-1.13841121899312E-4</v>
      </c>
      <c r="X53" s="10">
        <v>4.29180952380952</v>
      </c>
      <c r="Y53" s="10">
        <v>4.2929927753205499</v>
      </c>
      <c r="Z53" s="10">
        <v>4.2918124820846204</v>
      </c>
      <c r="AA53" s="10">
        <v>4.2912707086602904</v>
      </c>
      <c r="AB53" s="8">
        <v>225.382120704328</v>
      </c>
      <c r="AC53" s="8">
        <v>225.31271655424001</v>
      </c>
      <c r="AD53" s="8">
        <v>225.29435077840901</v>
      </c>
      <c r="AE53" s="9">
        <v>2.75661914460362E-4</v>
      </c>
      <c r="AF53" s="9">
        <v>-3.23254193145232E-5</v>
      </c>
      <c r="AG53" s="9">
        <v>-1.13841121899312E-4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52.12</v>
      </c>
      <c r="C54" s="8">
        <v>223.68</v>
      </c>
      <c r="D54" s="9">
        <v>-7.2644173409337201E-3</v>
      </c>
      <c r="E54" s="9">
        <v>-7.3051549810676797E-3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52.12</v>
      </c>
      <c r="M54" s="8">
        <v>223.68</v>
      </c>
      <c r="N54" s="10">
        <v>4.2916346891788102</v>
      </c>
      <c r="O54" s="10">
        <v>4.2929927753205499</v>
      </c>
      <c r="P54" s="10">
        <v>4.2918578145632296</v>
      </c>
      <c r="Q54" s="10">
        <v>4.2913462145581196</v>
      </c>
      <c r="R54" s="8">
        <v>223.750783449707</v>
      </c>
      <c r="S54" s="8">
        <v>223.68926656625001</v>
      </c>
      <c r="T54" s="8">
        <v>223.661029335374</v>
      </c>
      <c r="U54" s="9">
        <v>3.1639955459440602E-4</v>
      </c>
      <c r="V54" s="9">
        <v>4.1426923771022397E-5</v>
      </c>
      <c r="W54" s="9">
        <v>-8.48152232539738E-5</v>
      </c>
      <c r="X54" s="10">
        <v>4.2916346891788102</v>
      </c>
      <c r="Y54" s="10">
        <v>4.2929927753205499</v>
      </c>
      <c r="Z54" s="10">
        <v>4.2918578145632296</v>
      </c>
      <c r="AA54" s="10">
        <v>4.2913462145581196</v>
      </c>
      <c r="AB54" s="8">
        <v>223.750783449707</v>
      </c>
      <c r="AC54" s="8">
        <v>223.68926656625001</v>
      </c>
      <c r="AD54" s="8">
        <v>223.661029335374</v>
      </c>
      <c r="AE54" s="9">
        <v>3.1639955459440602E-4</v>
      </c>
      <c r="AF54" s="9">
        <v>4.1426923771022397E-5</v>
      </c>
      <c r="AG54" s="9">
        <v>-8.48152232539738E-5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51.33</v>
      </c>
      <c r="C55" s="8">
        <v>221.54</v>
      </c>
      <c r="D55" s="9">
        <v>-1.5273375684432501E-2</v>
      </c>
      <c r="E55" s="9">
        <v>-9.6132989566587706E-3</v>
      </c>
      <c r="F55" s="8">
        <v>0.28999999999999998</v>
      </c>
      <c r="G55" s="8">
        <v>0.28999999999999998</v>
      </c>
      <c r="H55" s="8">
        <v>0</v>
      </c>
      <c r="I55" s="8">
        <v>0</v>
      </c>
      <c r="J55" s="8">
        <v>0</v>
      </c>
      <c r="K55" s="8">
        <v>0</v>
      </c>
      <c r="L55" s="8">
        <v>51.33</v>
      </c>
      <c r="M55" s="8">
        <v>221.54</v>
      </c>
      <c r="N55" s="10">
        <v>4.3159945451003301</v>
      </c>
      <c r="O55" s="10">
        <v>4.2929927753205499</v>
      </c>
      <c r="P55" s="10">
        <v>4.29443036159077</v>
      </c>
      <c r="Q55" s="10">
        <v>4.2925513472185397</v>
      </c>
      <c r="R55" s="8">
        <v>220.359319157203</v>
      </c>
      <c r="S55" s="8">
        <v>220.30106162153001</v>
      </c>
      <c r="T55" s="8">
        <v>220.27480119326799</v>
      </c>
      <c r="U55" s="9">
        <v>-5.3436771731795096E-3</v>
      </c>
      <c r="V55" s="9">
        <v>-5.60808731102548E-3</v>
      </c>
      <c r="W55" s="9">
        <v>-5.7272968751886904E-3</v>
      </c>
      <c r="X55" s="10">
        <v>4.3159945451003301</v>
      </c>
      <c r="Y55" s="10">
        <v>4.2929927753205499</v>
      </c>
      <c r="Z55" s="10">
        <v>4.29443036159077</v>
      </c>
      <c r="AA55" s="10">
        <v>4.2925513472185397</v>
      </c>
      <c r="AB55" s="8">
        <v>220.359319157203</v>
      </c>
      <c r="AC55" s="8">
        <v>220.30106162153001</v>
      </c>
      <c r="AD55" s="8">
        <v>220.27480119326799</v>
      </c>
      <c r="AE55" s="9">
        <v>-5.3436771731795096E-3</v>
      </c>
      <c r="AF55" s="9">
        <v>-5.60808731102548E-3</v>
      </c>
      <c r="AG55" s="9">
        <v>-5.7272968751886904E-3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51.57</v>
      </c>
      <c r="C56" s="8">
        <v>222.44</v>
      </c>
      <c r="D56" s="9">
        <v>4.6647314906557201E-3</v>
      </c>
      <c r="E56" s="9">
        <v>4.0542422305764603E-3</v>
      </c>
      <c r="F56" s="8">
        <v>0</v>
      </c>
      <c r="G56" s="8">
        <v>0.28999999999999998</v>
      </c>
      <c r="H56" s="8">
        <v>0</v>
      </c>
      <c r="I56" s="8">
        <v>0</v>
      </c>
      <c r="J56" s="8">
        <v>0</v>
      </c>
      <c r="K56" s="8">
        <v>0</v>
      </c>
      <c r="L56" s="8">
        <v>51.57</v>
      </c>
      <c r="M56" s="8">
        <v>222.44</v>
      </c>
      <c r="N56" s="10">
        <v>4.3133604808997399</v>
      </c>
      <c r="O56" s="10">
        <v>4.2929927753205499</v>
      </c>
      <c r="P56" s="10">
        <v>4.2967643879935604</v>
      </c>
      <c r="Q56" s="10">
        <v>4.2936831419596304</v>
      </c>
      <c r="R56" s="8">
        <v>221.38963742327999</v>
      </c>
      <c r="S56" s="8">
        <v>221.46377374723599</v>
      </c>
      <c r="T56" s="8">
        <v>221.36687297605999</v>
      </c>
      <c r="U56" s="9">
        <v>-4.7331879131001899E-3</v>
      </c>
      <c r="V56" s="9">
        <v>-4.3983758837557998E-3</v>
      </c>
      <c r="W56" s="9">
        <v>-4.8360184608430296E-3</v>
      </c>
      <c r="X56" s="10">
        <v>4.3133604808997399</v>
      </c>
      <c r="Y56" s="10">
        <v>4.2929927753205499</v>
      </c>
      <c r="Z56" s="10">
        <v>4.2967643879935604</v>
      </c>
      <c r="AA56" s="10">
        <v>4.2936831419596304</v>
      </c>
      <c r="AB56" s="8">
        <v>221.38963742327999</v>
      </c>
      <c r="AC56" s="8">
        <v>221.46377374723599</v>
      </c>
      <c r="AD56" s="8">
        <v>221.36687297605999</v>
      </c>
      <c r="AE56" s="9">
        <v>-4.7331879131001899E-3</v>
      </c>
      <c r="AF56" s="9">
        <v>-4.3983758837557998E-3</v>
      </c>
      <c r="AG56" s="9">
        <v>-4.8360184608430296E-3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4.6647314906557201E-3</v>
      </c>
      <c r="BH56" s="9">
        <f t="shared" si="7"/>
        <v>-4.0542422305764603E-3</v>
      </c>
      <c r="BI56" s="9">
        <f t="shared" si="8"/>
        <v>6.1048926007925986E-4</v>
      </c>
      <c r="BJ56" s="12">
        <f t="shared" si="9"/>
        <v>6.1048926007925986E-4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6.1048926007925986E-4</v>
      </c>
      <c r="BY56" s="12">
        <f t="shared" si="19"/>
        <v>6.1048926007925986E-4</v>
      </c>
    </row>
    <row r="57" spans="1:77" x14ac:dyDescent="0.3">
      <c r="A57" s="1">
        <v>46105</v>
      </c>
      <c r="B57" s="8">
        <v>51.55</v>
      </c>
      <c r="C57" s="8">
        <v>221.31</v>
      </c>
      <c r="D57" s="9">
        <v>-3.8789759989871702E-4</v>
      </c>
      <c r="E57" s="9">
        <v>-5.0929687550426003E-3</v>
      </c>
      <c r="F57" s="8">
        <v>0</v>
      </c>
      <c r="G57" s="8">
        <v>0.28999999999999998</v>
      </c>
      <c r="H57" s="8">
        <v>1.2169000000000001</v>
      </c>
      <c r="I57" s="8">
        <v>1.2169000000000001</v>
      </c>
      <c r="J57" s="8">
        <v>0</v>
      </c>
      <c r="K57" s="8">
        <v>0</v>
      </c>
      <c r="L57" s="8">
        <v>51.55</v>
      </c>
      <c r="M57" s="8">
        <v>221.31</v>
      </c>
      <c r="N57" s="10">
        <v>4.29311348205625</v>
      </c>
      <c r="O57" s="10">
        <v>4.2929927753205499</v>
      </c>
      <c r="P57" s="10">
        <v>4.2969205733057496</v>
      </c>
      <c r="Q57" s="10">
        <v>4.2938135777991198</v>
      </c>
      <c r="R57" s="8">
        <v>221.30377756777401</v>
      </c>
      <c r="S57" s="8">
        <v>221.49820420106801</v>
      </c>
      <c r="T57" s="8">
        <v>221.339365968019</v>
      </c>
      <c r="U57" s="9">
        <v>-2.8116757956184199E-5</v>
      </c>
      <c r="V57" s="9">
        <v>8.5004844361652899E-4</v>
      </c>
      <c r="W57" s="9">
        <v>1.32682752173224E-4</v>
      </c>
      <c r="X57" s="10">
        <v>4.29311348205625</v>
      </c>
      <c r="Y57" s="10">
        <v>4.2929927753205499</v>
      </c>
      <c r="Z57" s="10">
        <v>4.2969205733057496</v>
      </c>
      <c r="AA57" s="10">
        <v>4.2938135777991198</v>
      </c>
      <c r="AB57" s="8">
        <v>221.30377756777401</v>
      </c>
      <c r="AC57" s="8">
        <v>221.49820420106801</v>
      </c>
      <c r="AD57" s="8">
        <v>221.339365968019</v>
      </c>
      <c r="AE57" s="9">
        <v>-2.8116757956184199E-5</v>
      </c>
      <c r="AF57" s="9">
        <v>8.5004844361652899E-4</v>
      </c>
      <c r="AG57" s="9">
        <v>1.32682752173224E-4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6.1048926007925986E-4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6.1048926007925986E-4</v>
      </c>
    </row>
    <row r="58" spans="1:77" x14ac:dyDescent="0.3">
      <c r="A58" s="1">
        <v>46106</v>
      </c>
      <c r="B58" s="8">
        <v>51.89</v>
      </c>
      <c r="C58" s="8">
        <v>222.65</v>
      </c>
      <c r="D58" s="9">
        <v>6.5738829166793701E-3</v>
      </c>
      <c r="E58" s="9">
        <v>6.0365982033907398E-3</v>
      </c>
      <c r="F58" s="8">
        <v>0</v>
      </c>
      <c r="G58" s="8">
        <v>0.28999999999999998</v>
      </c>
      <c r="H58" s="8">
        <v>0</v>
      </c>
      <c r="I58" s="8">
        <v>1.2169000000000001</v>
      </c>
      <c r="J58" s="8">
        <v>0</v>
      </c>
      <c r="K58" s="8">
        <v>0</v>
      </c>
      <c r="L58" s="8">
        <v>51.89</v>
      </c>
      <c r="M58" s="8">
        <v>222.65</v>
      </c>
      <c r="N58" s="10">
        <v>4.2908074773559397</v>
      </c>
      <c r="O58" s="10">
        <v>4.2929927753205499</v>
      </c>
      <c r="P58" s="10">
        <v>4.2967888838788104</v>
      </c>
      <c r="Q58" s="10">
        <v>4.2937976649872098</v>
      </c>
      <c r="R58" s="8">
        <v>222.76339511138301</v>
      </c>
      <c r="S58" s="8">
        <v>222.967208548835</v>
      </c>
      <c r="T58" s="8">
        <v>222.805986551996</v>
      </c>
      <c r="U58" s="9">
        <v>5.0916795533231503E-4</v>
      </c>
      <c r="V58" s="9">
        <v>1.4236820137497701E-3</v>
      </c>
      <c r="W58" s="9">
        <v>7.0034554739995696E-4</v>
      </c>
      <c r="X58" s="10">
        <v>4.2908074773559397</v>
      </c>
      <c r="Y58" s="10">
        <v>4.2929927753205499</v>
      </c>
      <c r="Z58" s="10">
        <v>4.2967888838788104</v>
      </c>
      <c r="AA58" s="10">
        <v>4.2937976649872098</v>
      </c>
      <c r="AB58" s="8">
        <v>222.76339511138301</v>
      </c>
      <c r="AC58" s="8">
        <v>222.967208548835</v>
      </c>
      <c r="AD58" s="8">
        <v>222.805986551996</v>
      </c>
      <c r="AE58" s="9">
        <v>5.0916795533231503E-4</v>
      </c>
      <c r="AF58" s="9">
        <v>1.4236820137497701E-3</v>
      </c>
      <c r="AG58" s="9">
        <v>7.0034554739995696E-4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6.1048926007925986E-4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6.1048926007925986E-4</v>
      </c>
    </row>
    <row r="59" spans="1:77" x14ac:dyDescent="0.3">
      <c r="A59" s="1">
        <v>46107</v>
      </c>
      <c r="B59" s="8">
        <v>51.7</v>
      </c>
      <c r="C59" s="8">
        <v>221.7</v>
      </c>
      <c r="D59" s="9">
        <v>-3.66831186526477E-3</v>
      </c>
      <c r="E59" s="9">
        <v>-4.2759151454456702E-3</v>
      </c>
      <c r="F59" s="8">
        <v>0</v>
      </c>
      <c r="G59" s="8">
        <v>0.28999999999999998</v>
      </c>
      <c r="H59" s="8">
        <v>0</v>
      </c>
      <c r="I59" s="8">
        <v>1.2169000000000001</v>
      </c>
      <c r="J59" s="8">
        <v>0</v>
      </c>
      <c r="K59" s="8">
        <v>0</v>
      </c>
      <c r="L59" s="8">
        <v>51.7</v>
      </c>
      <c r="M59" s="8">
        <v>221.7</v>
      </c>
      <c r="N59" s="10">
        <v>4.28820116054158</v>
      </c>
      <c r="O59" s="10">
        <v>4.2929927753205499</v>
      </c>
      <c r="P59" s="10">
        <v>4.2961818680053696</v>
      </c>
      <c r="Q59" s="10">
        <v>4.2937019349466103</v>
      </c>
      <c r="R59" s="8">
        <v>221.94772648407201</v>
      </c>
      <c r="S59" s="8">
        <v>222.143985296534</v>
      </c>
      <c r="T59" s="8">
        <v>221.98933927983799</v>
      </c>
      <c r="U59" s="9">
        <v>1.1167712355133401E-3</v>
      </c>
      <c r="V59" s="9">
        <v>2.0006374281606198E-3</v>
      </c>
      <c r="W59" s="9">
        <v>1.3042428349686701E-3</v>
      </c>
      <c r="X59" s="10">
        <v>4.28820116054158</v>
      </c>
      <c r="Y59" s="10">
        <v>4.2929927753205499</v>
      </c>
      <c r="Z59" s="10">
        <v>4.2961818680053696</v>
      </c>
      <c r="AA59" s="10">
        <v>4.2937019349466103</v>
      </c>
      <c r="AB59" s="8">
        <v>221.94772648407201</v>
      </c>
      <c r="AC59" s="8">
        <v>222.143985296534</v>
      </c>
      <c r="AD59" s="8">
        <v>221.98933927983799</v>
      </c>
      <c r="AE59" s="9">
        <v>1.1167712355133401E-3</v>
      </c>
      <c r="AF59" s="9">
        <v>2.0006374281606198E-3</v>
      </c>
      <c r="AG59" s="9">
        <v>1.3042428349686701E-3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6.1048926007925986E-4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6.1048926007925986E-4</v>
      </c>
    </row>
    <row r="60" spans="1:77" x14ac:dyDescent="0.3">
      <c r="A60" s="1">
        <v>46108</v>
      </c>
      <c r="B60" s="8">
        <v>52</v>
      </c>
      <c r="C60" s="8">
        <v>223.18</v>
      </c>
      <c r="D60" s="9">
        <v>5.7859370670439196E-3</v>
      </c>
      <c r="E60" s="9">
        <v>6.6535041352895497E-3</v>
      </c>
      <c r="F60" s="8">
        <v>0</v>
      </c>
      <c r="G60" s="8">
        <v>0.28999999999999998</v>
      </c>
      <c r="H60" s="8">
        <v>0</v>
      </c>
      <c r="I60" s="8">
        <v>1.2169000000000001</v>
      </c>
      <c r="J60" s="8">
        <v>0</v>
      </c>
      <c r="K60" s="8">
        <v>0</v>
      </c>
      <c r="L60" s="8">
        <v>52</v>
      </c>
      <c r="M60" s="8">
        <v>223.18</v>
      </c>
      <c r="N60" s="10">
        <v>4.2919230769230703</v>
      </c>
      <c r="O60" s="10">
        <v>4.2929927753205499</v>
      </c>
      <c r="P60" s="10">
        <v>4.2963365343106901</v>
      </c>
      <c r="Q60" s="10">
        <v>4.2937575862448796</v>
      </c>
      <c r="R60" s="8">
        <v>223.23562431666801</v>
      </c>
      <c r="S60" s="8">
        <v>223.40145713627899</v>
      </c>
      <c r="T60" s="8">
        <v>223.27250061722299</v>
      </c>
      <c r="U60" s="9">
        <v>2.49204167267761E-4</v>
      </c>
      <c r="V60" s="9">
        <v>9.917884000489889E-4</v>
      </c>
      <c r="W60" s="9">
        <v>4.1438055972177202E-4</v>
      </c>
      <c r="X60" s="10">
        <v>4.2919230769230703</v>
      </c>
      <c r="Y60" s="10">
        <v>4.2929927753205499</v>
      </c>
      <c r="Z60" s="10">
        <v>4.2963365343106901</v>
      </c>
      <c r="AA60" s="10">
        <v>4.2937575862448796</v>
      </c>
      <c r="AB60" s="8">
        <v>223.23562431666801</v>
      </c>
      <c r="AC60" s="8">
        <v>223.40145713627899</v>
      </c>
      <c r="AD60" s="8">
        <v>223.27250061722299</v>
      </c>
      <c r="AE60" s="9">
        <v>2.49204167267761E-4</v>
      </c>
      <c r="AF60" s="9">
        <v>9.917884000489889E-4</v>
      </c>
      <c r="AG60" s="9">
        <v>4.1438055972177202E-4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6.1048926007925986E-4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6.1048926007925986E-4</v>
      </c>
    </row>
    <row r="61" spans="1:77" x14ac:dyDescent="0.3">
      <c r="A61" s="1">
        <v>46111</v>
      </c>
      <c r="B61" s="8">
        <v>52.23</v>
      </c>
      <c r="C61" s="8">
        <v>224.07</v>
      </c>
      <c r="D61" s="9">
        <v>4.4133238667799501E-3</v>
      </c>
      <c r="E61" s="9">
        <v>3.9798822795297003E-3</v>
      </c>
      <c r="F61" s="8">
        <v>0</v>
      </c>
      <c r="G61" s="8">
        <v>0.28999999999999998</v>
      </c>
      <c r="H61" s="8">
        <v>0</v>
      </c>
      <c r="I61" s="8">
        <v>1.2169000000000001</v>
      </c>
      <c r="J61" s="8">
        <v>0</v>
      </c>
      <c r="K61" s="8">
        <v>0</v>
      </c>
      <c r="L61" s="8">
        <v>52.23</v>
      </c>
      <c r="M61" s="8">
        <v>224.07</v>
      </c>
      <c r="N61" s="10">
        <v>4.2900631820792601</v>
      </c>
      <c r="O61" s="10">
        <v>4.2929927753205499</v>
      </c>
      <c r="P61" s="10">
        <v>4.2960248391754003</v>
      </c>
      <c r="Q61" s="10">
        <v>4.2936989355875301</v>
      </c>
      <c r="R61" s="8">
        <v>224.223012654992</v>
      </c>
      <c r="S61" s="8">
        <v>224.397657187047</v>
      </c>
      <c r="T61" s="8">
        <v>224.26295872956999</v>
      </c>
      <c r="U61" s="9">
        <v>6.8264575451783597E-4</v>
      </c>
      <c r="V61" s="9">
        <v>1.46123021403108E-3</v>
      </c>
      <c r="W61" s="9">
        <v>8.60783209119741E-4</v>
      </c>
      <c r="X61" s="10">
        <v>4.2900631820792601</v>
      </c>
      <c r="Y61" s="10">
        <v>4.2929927753205499</v>
      </c>
      <c r="Z61" s="10">
        <v>4.2960248391754003</v>
      </c>
      <c r="AA61" s="10">
        <v>4.2936989355875301</v>
      </c>
      <c r="AB61" s="8">
        <v>224.223012654992</v>
      </c>
      <c r="AC61" s="8">
        <v>224.397657187047</v>
      </c>
      <c r="AD61" s="8">
        <v>224.26295872956999</v>
      </c>
      <c r="AE61" s="9">
        <v>6.8264575451783597E-4</v>
      </c>
      <c r="AF61" s="9">
        <v>1.46123021403108E-3</v>
      </c>
      <c r="AG61" s="9">
        <v>8.60783209119741E-4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6.1048926007925986E-4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6.1048926007925986E-4</v>
      </c>
    </row>
    <row r="62" spans="1:77" x14ac:dyDescent="0.3">
      <c r="A62" s="1">
        <v>46112</v>
      </c>
      <c r="B62" s="8">
        <v>52.33</v>
      </c>
      <c r="C62" s="8">
        <v>224.59</v>
      </c>
      <c r="D62" s="9">
        <v>1.9127779359090801E-3</v>
      </c>
      <c r="E62" s="9">
        <v>2.3180146785464098E-3</v>
      </c>
      <c r="F62" s="8">
        <v>0</v>
      </c>
      <c r="G62" s="8">
        <v>0.28999999999999998</v>
      </c>
      <c r="H62" s="8">
        <v>0</v>
      </c>
      <c r="I62" s="8">
        <v>1.2169000000000001</v>
      </c>
      <c r="J62" s="8">
        <v>0</v>
      </c>
      <c r="K62" s="8">
        <v>0</v>
      </c>
      <c r="L62" s="8">
        <v>52.33</v>
      </c>
      <c r="M62" s="8">
        <v>224.59</v>
      </c>
      <c r="N62" s="10">
        <v>4.29180202560672</v>
      </c>
      <c r="O62" s="10">
        <v>4.2929927753205499</v>
      </c>
      <c r="P62" s="10">
        <v>4.2958709643551201</v>
      </c>
      <c r="Q62" s="10">
        <v>4.2937708779322303</v>
      </c>
      <c r="R62" s="8">
        <v>224.65231193252399</v>
      </c>
      <c r="S62" s="8">
        <v>224.81097983404899</v>
      </c>
      <c r="T62" s="8">
        <v>224.68926529929499</v>
      </c>
      <c r="U62" s="9">
        <v>2.7740901188048499E-4</v>
      </c>
      <c r="V62" s="9">
        <v>9.8344178929409194E-4</v>
      </c>
      <c r="W62" s="9">
        <v>4.4188685558383198E-4</v>
      </c>
      <c r="X62" s="10">
        <v>4.29180202560672</v>
      </c>
      <c r="Y62" s="10">
        <v>4.2929927753205499</v>
      </c>
      <c r="Z62" s="10">
        <v>4.2958709643551201</v>
      </c>
      <c r="AA62" s="10">
        <v>4.2937708779322303</v>
      </c>
      <c r="AB62" s="8">
        <v>224.65231193252399</v>
      </c>
      <c r="AC62" s="8">
        <v>224.81097983404899</v>
      </c>
      <c r="AD62" s="8">
        <v>224.68926529929499</v>
      </c>
      <c r="AE62" s="9">
        <v>2.7740901188048499E-4</v>
      </c>
      <c r="AF62" s="9">
        <v>9.8344178929409194E-4</v>
      </c>
      <c r="AG62" s="9">
        <v>4.4188685558383198E-4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6.1048926007925986E-4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6.1048926007925986E-4</v>
      </c>
    </row>
    <row r="63" spans="1:77" x14ac:dyDescent="0.3">
      <c r="A63" s="1">
        <v>46113</v>
      </c>
      <c r="B63" s="8">
        <v>52.1</v>
      </c>
      <c r="C63" s="8">
        <v>223.73</v>
      </c>
      <c r="D63" s="9">
        <v>-4.4048716247952003E-3</v>
      </c>
      <c r="E63" s="9">
        <v>-3.8365500306466499E-3</v>
      </c>
      <c r="F63" s="8">
        <v>0</v>
      </c>
      <c r="G63" s="8">
        <v>0.28999999999999998</v>
      </c>
      <c r="H63" s="8">
        <v>0</v>
      </c>
      <c r="I63" s="8">
        <v>1.2169000000000001</v>
      </c>
      <c r="J63" s="8">
        <v>0</v>
      </c>
      <c r="K63" s="8">
        <v>0</v>
      </c>
      <c r="L63" s="8">
        <v>52.1</v>
      </c>
      <c r="M63" s="8">
        <v>223.73</v>
      </c>
      <c r="N63" s="10">
        <v>4.2942418426103597</v>
      </c>
      <c r="O63" s="10">
        <v>4.2929927753205499</v>
      </c>
      <c r="P63" s="10">
        <v>4.2961141962352096</v>
      </c>
      <c r="Q63" s="10">
        <v>4.2939633391599097</v>
      </c>
      <c r="R63" s="8">
        <v>223.66492359419999</v>
      </c>
      <c r="S63" s="8">
        <v>223.81487724290201</v>
      </c>
      <c r="T63" s="8">
        <v>223.70546274026901</v>
      </c>
      <c r="U63" s="9">
        <v>-2.9091258226792902E-4</v>
      </c>
      <c r="V63" s="9">
        <v>3.79301599618829E-4</v>
      </c>
      <c r="W63" s="9">
        <v>-1.09679548441045E-4</v>
      </c>
      <c r="X63" s="10">
        <v>4.2942418426103597</v>
      </c>
      <c r="Y63" s="10">
        <v>4.2929927753205499</v>
      </c>
      <c r="Z63" s="10">
        <v>4.2961141962352096</v>
      </c>
      <c r="AA63" s="10">
        <v>4.2939633391599097</v>
      </c>
      <c r="AB63" s="8">
        <v>223.66492359419999</v>
      </c>
      <c r="AC63" s="8">
        <v>223.81487724290201</v>
      </c>
      <c r="AD63" s="8">
        <v>223.70546274026901</v>
      </c>
      <c r="AE63" s="9">
        <v>-2.9091258226792902E-4</v>
      </c>
      <c r="AF63" s="9">
        <v>3.79301599618829E-4</v>
      </c>
      <c r="AG63" s="9">
        <v>-1.09679548441045E-4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6.1048926007925986E-4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6.1048926007925986E-4</v>
      </c>
    </row>
    <row r="64" spans="1:77" x14ac:dyDescent="0.3">
      <c r="A64" s="1">
        <v>46114</v>
      </c>
      <c r="B64" s="8">
        <v>52.4</v>
      </c>
      <c r="C64" s="8">
        <v>224.97</v>
      </c>
      <c r="D64" s="9">
        <v>5.7416425676751802E-3</v>
      </c>
      <c r="E64" s="9">
        <v>5.5270922964228498E-3</v>
      </c>
      <c r="F64" s="8">
        <v>0</v>
      </c>
      <c r="G64" s="8">
        <v>0.28999999999999998</v>
      </c>
      <c r="H64" s="8">
        <v>0</v>
      </c>
      <c r="I64" s="8">
        <v>1.2169000000000001</v>
      </c>
      <c r="J64" s="8">
        <v>0</v>
      </c>
      <c r="K64" s="8">
        <v>0</v>
      </c>
      <c r="L64" s="8">
        <v>52.4</v>
      </c>
      <c r="M64" s="8">
        <v>224.97</v>
      </c>
      <c r="N64" s="10">
        <v>4.2933206106870196</v>
      </c>
      <c r="O64" s="10">
        <v>4.2929927753205499</v>
      </c>
      <c r="P64" s="10">
        <v>4.2962827883860299</v>
      </c>
      <c r="Q64" s="10">
        <v>4.2940703014746298</v>
      </c>
      <c r="R64" s="8">
        <v>224.95282142679599</v>
      </c>
      <c r="S64" s="8">
        <v>225.11638388272499</v>
      </c>
      <c r="T64" s="8">
        <v>225.00367897197901</v>
      </c>
      <c r="U64" s="9">
        <v>-7.6362311015726802E-5</v>
      </c>
      <c r="V64" s="9">
        <v>6.5047019029393599E-4</v>
      </c>
      <c r="W64" s="9">
        <v>1.4969307591277E-4</v>
      </c>
      <c r="X64" s="10">
        <v>4.2933206106870196</v>
      </c>
      <c r="Y64" s="10">
        <v>4.2929927753205499</v>
      </c>
      <c r="Z64" s="10">
        <v>4.2962827883860299</v>
      </c>
      <c r="AA64" s="10">
        <v>4.2940703014746298</v>
      </c>
      <c r="AB64" s="8">
        <v>224.95282142679599</v>
      </c>
      <c r="AC64" s="8">
        <v>225.11638388272499</v>
      </c>
      <c r="AD64" s="8">
        <v>225.00367897197901</v>
      </c>
      <c r="AE64" s="9">
        <v>-7.6362311015726802E-5</v>
      </c>
      <c r="AF64" s="9">
        <v>6.5047019029393599E-4</v>
      </c>
      <c r="AG64" s="9">
        <v>1.4969307591277E-4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6.1048926007925986E-4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6.1048926007925986E-4</v>
      </c>
    </row>
    <row r="65" spans="1:77" x14ac:dyDescent="0.3">
      <c r="A65" s="1">
        <v>46118</v>
      </c>
      <c r="B65" s="8">
        <v>52.85</v>
      </c>
      <c r="C65" s="8">
        <v>226.81</v>
      </c>
      <c r="D65" s="9">
        <v>8.5511209892502101E-3</v>
      </c>
      <c r="E65" s="9">
        <v>8.1456026109367006E-3</v>
      </c>
      <c r="F65" s="8">
        <v>0</v>
      </c>
      <c r="G65" s="8">
        <v>0.28999999999999998</v>
      </c>
      <c r="H65" s="8">
        <v>0</v>
      </c>
      <c r="I65" s="8">
        <v>1.2169000000000001</v>
      </c>
      <c r="J65" s="8">
        <v>0</v>
      </c>
      <c r="K65" s="8">
        <v>0</v>
      </c>
      <c r="L65" s="8">
        <v>52.85</v>
      </c>
      <c r="M65" s="8">
        <v>226.81</v>
      </c>
      <c r="N65" s="10">
        <v>4.2915799432355701</v>
      </c>
      <c r="O65" s="10">
        <v>4.2929927753205499</v>
      </c>
      <c r="P65" s="10">
        <v>4.2938413281995498</v>
      </c>
      <c r="Q65" s="10">
        <v>4.2941358448951599</v>
      </c>
      <c r="R65" s="8">
        <v>226.88466817569099</v>
      </c>
      <c r="S65" s="8">
        <v>227.058545366201</v>
      </c>
      <c r="T65" s="8">
        <v>226.94161543293399</v>
      </c>
      <c r="U65" s="9">
        <v>3.29156067297546E-4</v>
      </c>
      <c r="V65" s="9">
        <v>1.09523073843381E-3</v>
      </c>
      <c r="W65" s="9">
        <v>5.8012107130450696E-4</v>
      </c>
      <c r="X65" s="10">
        <v>4.2915799432355701</v>
      </c>
      <c r="Y65" s="10">
        <v>4.2929927753205499</v>
      </c>
      <c r="Z65" s="10">
        <v>4.2938413281995498</v>
      </c>
      <c r="AA65" s="10">
        <v>4.2941358448951599</v>
      </c>
      <c r="AB65" s="8">
        <v>226.88466817569099</v>
      </c>
      <c r="AC65" s="8">
        <v>227.058545366201</v>
      </c>
      <c r="AD65" s="8">
        <v>226.94161543293399</v>
      </c>
      <c r="AE65" s="9">
        <v>3.29156067297546E-4</v>
      </c>
      <c r="AF65" s="9">
        <v>1.09523073843381E-3</v>
      </c>
      <c r="AG65" s="9">
        <v>5.8012107130450696E-4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6.1048926007925986E-4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6.1048926007925986E-4</v>
      </c>
    </row>
    <row r="66" spans="1:77" x14ac:dyDescent="0.3">
      <c r="A66" s="1">
        <v>46119</v>
      </c>
      <c r="B66" s="8">
        <v>51.99</v>
      </c>
      <c r="C66" s="8">
        <v>223.16</v>
      </c>
      <c r="D66" s="9">
        <v>-1.6406319920622199E-2</v>
      </c>
      <c r="E66" s="9">
        <v>-1.62236596150169E-2</v>
      </c>
      <c r="F66" s="8">
        <v>0</v>
      </c>
      <c r="G66" s="8">
        <v>0.28999999999999998</v>
      </c>
      <c r="H66" s="8">
        <v>0</v>
      </c>
      <c r="I66" s="8">
        <v>1.2169000000000001</v>
      </c>
      <c r="J66" s="8">
        <v>0</v>
      </c>
      <c r="K66" s="8">
        <v>0</v>
      </c>
      <c r="L66" s="8">
        <v>51.99</v>
      </c>
      <c r="M66" s="8">
        <v>223.16</v>
      </c>
      <c r="N66" s="10">
        <v>4.2923639161377096</v>
      </c>
      <c r="O66" s="10">
        <v>4.2929927753205499</v>
      </c>
      <c r="P66" s="10">
        <v>4.2917416717233499</v>
      </c>
      <c r="Q66" s="10">
        <v>4.2942530298584503</v>
      </c>
      <c r="R66" s="8">
        <v>223.19269438891499</v>
      </c>
      <c r="S66" s="8">
        <v>223.23681065309401</v>
      </c>
      <c r="T66" s="8">
        <v>223.252122576099</v>
      </c>
      <c r="U66" s="9">
        <v>1.4649576169230299E-4</v>
      </c>
      <c r="V66" s="9">
        <v>3.4413621253553701E-4</v>
      </c>
      <c r="W66" s="9">
        <v>4.1272435379149301E-4</v>
      </c>
      <c r="X66" s="10">
        <v>4.2923639161377096</v>
      </c>
      <c r="Y66" s="10">
        <v>4.2929927753205499</v>
      </c>
      <c r="Z66" s="10">
        <v>4.2917416717233499</v>
      </c>
      <c r="AA66" s="10">
        <v>4.2942530298584503</v>
      </c>
      <c r="AB66" s="8">
        <v>223.19269438891499</v>
      </c>
      <c r="AC66" s="8">
        <v>223.23681065309401</v>
      </c>
      <c r="AD66" s="8">
        <v>223.252122576099</v>
      </c>
      <c r="AE66" s="9">
        <v>1.4649576169230299E-4</v>
      </c>
      <c r="AF66" s="9">
        <v>3.4413621253553701E-4</v>
      </c>
      <c r="AG66" s="9">
        <v>4.1272435379149301E-4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6.1048926007925986E-4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6.1048926007925986E-4</v>
      </c>
    </row>
    <row r="67" spans="1:77" x14ac:dyDescent="0.3">
      <c r="A67" s="1">
        <v>46120</v>
      </c>
      <c r="B67" s="8">
        <v>53.03</v>
      </c>
      <c r="C67" s="8">
        <v>227.68</v>
      </c>
      <c r="D67" s="9">
        <v>1.9806398753414198E-2</v>
      </c>
      <c r="E67" s="9">
        <v>2.0052131364214701E-2</v>
      </c>
      <c r="F67" s="8">
        <v>0</v>
      </c>
      <c r="G67" s="8">
        <v>0.28999999999999998</v>
      </c>
      <c r="H67" s="8">
        <v>0</v>
      </c>
      <c r="I67" s="8">
        <v>1.2169000000000001</v>
      </c>
      <c r="J67" s="8">
        <v>0</v>
      </c>
      <c r="K67" s="8">
        <v>0</v>
      </c>
      <c r="L67" s="8">
        <v>53.03</v>
      </c>
      <c r="M67" s="8">
        <v>227.68</v>
      </c>
      <c r="N67" s="10">
        <v>4.29341881953611</v>
      </c>
      <c r="O67" s="10">
        <v>4.2929927753205499</v>
      </c>
      <c r="P67" s="10">
        <v>4.2917722054713296</v>
      </c>
      <c r="Q67" s="10">
        <v>4.2943463893885401</v>
      </c>
      <c r="R67" s="8">
        <v>227.657406875248</v>
      </c>
      <c r="S67" s="8">
        <v>227.591060851489</v>
      </c>
      <c r="T67" s="8">
        <v>227.72423817339299</v>
      </c>
      <c r="U67" s="9">
        <v>-9.9236849108163701E-5</v>
      </c>
      <c r="V67" s="9">
        <v>-3.9070855712054601E-4</v>
      </c>
      <c r="W67" s="9">
        <v>1.9428090397470099E-4</v>
      </c>
      <c r="X67" s="10">
        <v>4.29341881953611</v>
      </c>
      <c r="Y67" s="10">
        <v>4.2929927753205499</v>
      </c>
      <c r="Z67" s="10">
        <v>4.2917722054713296</v>
      </c>
      <c r="AA67" s="10">
        <v>4.2943463893885401</v>
      </c>
      <c r="AB67" s="8">
        <v>227.657406875248</v>
      </c>
      <c r="AC67" s="8">
        <v>227.591060851489</v>
      </c>
      <c r="AD67" s="8">
        <v>227.72423817339299</v>
      </c>
      <c r="AE67" s="9">
        <v>-9.9236849108163701E-5</v>
      </c>
      <c r="AF67" s="9">
        <v>-3.9070855712054601E-4</v>
      </c>
      <c r="AG67" s="9">
        <v>1.9428090397470099E-4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6.1048926007925986E-4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6.1048926007925986E-4</v>
      </c>
    </row>
    <row r="68" spans="1:77" x14ac:dyDescent="0.3">
      <c r="A68" s="1">
        <v>46121</v>
      </c>
      <c r="B68" s="8">
        <v>53.52</v>
      </c>
      <c r="C68" s="8">
        <v>229.63</v>
      </c>
      <c r="D68" s="9">
        <v>9.19762467093449E-3</v>
      </c>
      <c r="E68" s="9">
        <v>8.5281835892366906E-3</v>
      </c>
      <c r="F68" s="8">
        <v>0</v>
      </c>
      <c r="G68" s="8">
        <v>0.28999999999999998</v>
      </c>
      <c r="H68" s="8">
        <v>0</v>
      </c>
      <c r="I68" s="8">
        <v>1.2169000000000001</v>
      </c>
      <c r="J68" s="8">
        <v>0</v>
      </c>
      <c r="K68" s="8">
        <v>0</v>
      </c>
      <c r="L68" s="8">
        <v>53.52</v>
      </c>
      <c r="M68" s="8">
        <v>229.63</v>
      </c>
      <c r="N68" s="10">
        <v>4.2905455904334797</v>
      </c>
      <c r="O68" s="10">
        <v>4.2929927753205499</v>
      </c>
      <c r="P68" s="10">
        <v>4.29174601677909</v>
      </c>
      <c r="Q68" s="10">
        <v>4.2942674503289497</v>
      </c>
      <c r="R68" s="8">
        <v>229.760973335155</v>
      </c>
      <c r="S68" s="8">
        <v>229.69564843682599</v>
      </c>
      <c r="T68" s="8">
        <v>229.83341876007501</v>
      </c>
      <c r="U68" s="9">
        <v>5.7020423258964496E-4</v>
      </c>
      <c r="V68" s="9">
        <v>2.8584703465389801E-4</v>
      </c>
      <c r="W68" s="9">
        <v>8.8546232435602896E-4</v>
      </c>
      <c r="X68" s="10">
        <v>4.2905455904334797</v>
      </c>
      <c r="Y68" s="10">
        <v>4.2929927753205499</v>
      </c>
      <c r="Z68" s="10">
        <v>4.29174601677909</v>
      </c>
      <c r="AA68" s="10">
        <v>4.2942674503289497</v>
      </c>
      <c r="AB68" s="8">
        <v>229.760973335155</v>
      </c>
      <c r="AC68" s="8">
        <v>229.69564843682599</v>
      </c>
      <c r="AD68" s="8">
        <v>229.83341876007501</v>
      </c>
      <c r="AE68" s="9">
        <v>5.7020423258964496E-4</v>
      </c>
      <c r="AF68" s="9">
        <v>2.8584703465389801E-4</v>
      </c>
      <c r="AG68" s="9">
        <v>8.8546232435602896E-4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6.1048926007925986E-4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6.1048926007925986E-4</v>
      </c>
    </row>
    <row r="69" spans="1:77" x14ac:dyDescent="0.3">
      <c r="A69" s="1">
        <v>46122</v>
      </c>
      <c r="B69" s="8">
        <v>52.79</v>
      </c>
      <c r="C69" s="8">
        <v>226.52</v>
      </c>
      <c r="D69" s="9">
        <v>-1.37336369844481E-2</v>
      </c>
      <c r="E69" s="9">
        <v>-1.36360766851746E-2</v>
      </c>
      <c r="F69" s="8">
        <v>0</v>
      </c>
      <c r="G69" s="8">
        <v>0.28999999999999998</v>
      </c>
      <c r="H69" s="8">
        <v>0</v>
      </c>
      <c r="I69" s="8">
        <v>1.2169000000000001</v>
      </c>
      <c r="J69" s="8">
        <v>0</v>
      </c>
      <c r="K69" s="8">
        <v>0</v>
      </c>
      <c r="L69" s="8">
        <v>52.79</v>
      </c>
      <c r="M69" s="8">
        <v>226.52</v>
      </c>
      <c r="N69" s="10">
        <v>4.2909641977647199</v>
      </c>
      <c r="O69" s="10">
        <v>4.2929927753205499</v>
      </c>
      <c r="P69" s="10">
        <v>4.2920223205013999</v>
      </c>
      <c r="Q69" s="10">
        <v>4.2941020942533896</v>
      </c>
      <c r="R69" s="8">
        <v>226.62708860917101</v>
      </c>
      <c r="S69" s="8">
        <v>226.56127222576799</v>
      </c>
      <c r="T69" s="8">
        <v>226.69437870286501</v>
      </c>
      <c r="U69" s="9">
        <v>4.7264393331596598E-4</v>
      </c>
      <c r="V69" s="9">
        <v>1.8218464726961801E-4</v>
      </c>
      <c r="W69" s="9">
        <v>7.6951976664776001E-4</v>
      </c>
      <c r="X69" s="10">
        <v>4.2909641977647199</v>
      </c>
      <c r="Y69" s="10">
        <v>4.2929927753205499</v>
      </c>
      <c r="Z69" s="10">
        <v>4.2920223205013999</v>
      </c>
      <c r="AA69" s="10">
        <v>4.2941020942533896</v>
      </c>
      <c r="AB69" s="8">
        <v>226.62708860917101</v>
      </c>
      <c r="AC69" s="8">
        <v>226.56127222576799</v>
      </c>
      <c r="AD69" s="8">
        <v>226.69437870286501</v>
      </c>
      <c r="AE69" s="9">
        <v>4.7264393331596598E-4</v>
      </c>
      <c r="AF69" s="9">
        <v>1.8218464726961801E-4</v>
      </c>
      <c r="AG69" s="9">
        <v>7.6951976664776001E-4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6.1048926007925986E-4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6.1048926007925986E-4</v>
      </c>
    </row>
    <row r="70" spans="1:77" x14ac:dyDescent="0.3">
      <c r="A70" s="1">
        <v>46125</v>
      </c>
      <c r="B70" s="8">
        <v>52.25</v>
      </c>
      <c r="C70" s="8">
        <v>224.2</v>
      </c>
      <c r="D70" s="9">
        <v>-1.0281887990604401E-2</v>
      </c>
      <c r="E70" s="9">
        <v>-1.0294730607544799E-2</v>
      </c>
      <c r="F70" s="8">
        <v>0</v>
      </c>
      <c r="G70" s="8">
        <v>0.28999999999999998</v>
      </c>
      <c r="H70" s="8">
        <v>0</v>
      </c>
      <c r="I70" s="8">
        <v>1.2169000000000001</v>
      </c>
      <c r="J70" s="8">
        <v>0</v>
      </c>
      <c r="K70" s="8">
        <v>0</v>
      </c>
      <c r="L70" s="8">
        <v>52.25</v>
      </c>
      <c r="M70" s="8">
        <v>224.2</v>
      </c>
      <c r="N70" s="10">
        <v>4.2909090909090901</v>
      </c>
      <c r="O70" s="10">
        <v>4.2929927753205499</v>
      </c>
      <c r="P70" s="10">
        <v>4.2919209219000001</v>
      </c>
      <c r="Q70" s="10">
        <v>4.29412872810535</v>
      </c>
      <c r="R70" s="8">
        <v>224.30887251049799</v>
      </c>
      <c r="S70" s="8">
        <v>224.25816624619799</v>
      </c>
      <c r="T70" s="8">
        <v>224.36683442473901</v>
      </c>
      <c r="U70" s="9">
        <v>4.8548655025625401E-4</v>
      </c>
      <c r="V70" s="9">
        <v>2.5940545140064298E-4</v>
      </c>
      <c r="W70" s="9">
        <v>7.4385540627993404E-4</v>
      </c>
      <c r="X70" s="10">
        <v>4.2909090909090901</v>
      </c>
      <c r="Y70" s="10">
        <v>4.2929927753205499</v>
      </c>
      <c r="Z70" s="10">
        <v>4.2919209219000001</v>
      </c>
      <c r="AA70" s="10">
        <v>4.29412872810535</v>
      </c>
      <c r="AB70" s="8">
        <v>224.30887251049799</v>
      </c>
      <c r="AC70" s="8">
        <v>224.25816624619799</v>
      </c>
      <c r="AD70" s="8">
        <v>224.36683442473901</v>
      </c>
      <c r="AE70" s="9">
        <v>4.8548655025625401E-4</v>
      </c>
      <c r="AF70" s="9">
        <v>2.5940545140064298E-4</v>
      </c>
      <c r="AG70" s="9">
        <v>7.4385540627993404E-4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6.1048926007925986E-4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6.1048926007925986E-4</v>
      </c>
    </row>
    <row r="71" spans="1:77" x14ac:dyDescent="0.3">
      <c r="A71" s="1">
        <v>46126</v>
      </c>
      <c r="B71" s="8">
        <v>52.16</v>
      </c>
      <c r="C71" s="8">
        <v>223.95</v>
      </c>
      <c r="D71" s="9">
        <v>-1.7239732265229299E-3</v>
      </c>
      <c r="E71" s="9">
        <v>-1.1156979847504701E-3</v>
      </c>
      <c r="F71" s="8">
        <v>0</v>
      </c>
      <c r="G71" s="8">
        <v>0.28999999999999998</v>
      </c>
      <c r="H71" s="8">
        <v>0</v>
      </c>
      <c r="I71" s="8">
        <v>1.2169000000000001</v>
      </c>
      <c r="J71" s="8">
        <v>0</v>
      </c>
      <c r="K71" s="8">
        <v>0</v>
      </c>
      <c r="L71" s="8">
        <v>52.16</v>
      </c>
      <c r="M71" s="8">
        <v>223.95</v>
      </c>
      <c r="N71" s="10">
        <v>4.2935199386502996</v>
      </c>
      <c r="O71" s="10">
        <v>4.2929927753205499</v>
      </c>
      <c r="P71" s="10">
        <v>4.2922665975571102</v>
      </c>
      <c r="Q71" s="10">
        <v>4.2941457183662601</v>
      </c>
      <c r="R71" s="8">
        <v>223.922503160719</v>
      </c>
      <c r="S71" s="8">
        <v>223.866595286304</v>
      </c>
      <c r="T71" s="8">
        <v>223.981754457975</v>
      </c>
      <c r="U71" s="9">
        <v>-1.2278869151607E-4</v>
      </c>
      <c r="V71" s="9">
        <v>-3.7249497020823001E-4</v>
      </c>
      <c r="W71" s="9">
        <v>1.4178257161891401E-4</v>
      </c>
      <c r="X71" s="10">
        <v>4.2935199386502996</v>
      </c>
      <c r="Y71" s="10">
        <v>4.2929927753205499</v>
      </c>
      <c r="Z71" s="10">
        <v>4.2922665975571102</v>
      </c>
      <c r="AA71" s="10">
        <v>4.2941457183662601</v>
      </c>
      <c r="AB71" s="8">
        <v>223.922503160719</v>
      </c>
      <c r="AC71" s="8">
        <v>223.866595286304</v>
      </c>
      <c r="AD71" s="8">
        <v>223.981754457975</v>
      </c>
      <c r="AE71" s="9">
        <v>-1.2278869151607E-4</v>
      </c>
      <c r="AF71" s="9">
        <v>-3.7249497020823001E-4</v>
      </c>
      <c r="AG71" s="9">
        <v>1.4178257161891401E-4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6.1048926007925986E-4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6.1048926007925986E-4</v>
      </c>
    </row>
    <row r="72" spans="1:77" x14ac:dyDescent="0.3">
      <c r="A72" s="1">
        <v>46127</v>
      </c>
      <c r="B72" s="8">
        <v>51.96</v>
      </c>
      <c r="C72" s="8">
        <v>222.98</v>
      </c>
      <c r="D72" s="9">
        <v>-3.84172581599864E-3</v>
      </c>
      <c r="E72" s="9">
        <v>-4.3407313138836799E-3</v>
      </c>
      <c r="F72" s="8">
        <v>0</v>
      </c>
      <c r="G72" s="8">
        <v>0.28999999999999998</v>
      </c>
      <c r="H72" s="8">
        <v>0</v>
      </c>
      <c r="I72" s="8">
        <v>1.2169000000000001</v>
      </c>
      <c r="J72" s="8">
        <v>0</v>
      </c>
      <c r="K72" s="8">
        <v>0</v>
      </c>
      <c r="L72" s="8">
        <v>51.96</v>
      </c>
      <c r="M72" s="8">
        <v>222.98</v>
      </c>
      <c r="N72" s="10">
        <v>4.2913779830638896</v>
      </c>
      <c r="O72" s="10">
        <v>4.2929927753205499</v>
      </c>
      <c r="P72" s="10">
        <v>4.29222419330282</v>
      </c>
      <c r="Q72" s="10">
        <v>4.2940475788289696</v>
      </c>
      <c r="R72" s="8">
        <v>223.06390460565501</v>
      </c>
      <c r="S72" s="8">
        <v>223.02617240906699</v>
      </c>
      <c r="T72" s="8">
        <v>223.12381152630999</v>
      </c>
      <c r="U72" s="9">
        <v>3.7621680636881999E-4</v>
      </c>
      <c r="V72" s="9">
        <v>2.0704829703626501E-4</v>
      </c>
      <c r="W72" s="9">
        <v>6.4474468756801299E-4</v>
      </c>
      <c r="X72" s="10">
        <v>4.2913779830638896</v>
      </c>
      <c r="Y72" s="10">
        <v>4.2929927753205499</v>
      </c>
      <c r="Z72" s="10">
        <v>4.29222419330282</v>
      </c>
      <c r="AA72" s="10">
        <v>4.2940475788289696</v>
      </c>
      <c r="AB72" s="8">
        <v>223.06390460565501</v>
      </c>
      <c r="AC72" s="8">
        <v>223.02617240906699</v>
      </c>
      <c r="AD72" s="8">
        <v>223.12381152630999</v>
      </c>
      <c r="AE72" s="9">
        <v>3.7621680636881999E-4</v>
      </c>
      <c r="AF72" s="9">
        <v>2.0704829703626501E-4</v>
      </c>
      <c r="AG72" s="9">
        <v>6.4474468756801299E-4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6.1048926007925986E-4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6.1048926007925986E-4</v>
      </c>
    </row>
    <row r="73" spans="1:77" x14ac:dyDescent="0.3">
      <c r="A73" s="1">
        <v>46128</v>
      </c>
      <c r="B73" s="8">
        <v>52.12</v>
      </c>
      <c r="C73" s="8">
        <v>223.71</v>
      </c>
      <c r="D73" s="9">
        <v>3.0745604542456099E-3</v>
      </c>
      <c r="E73" s="9">
        <v>3.26848888438776E-3</v>
      </c>
      <c r="F73" s="8">
        <v>0</v>
      </c>
      <c r="G73" s="8">
        <v>0.28999999999999998</v>
      </c>
      <c r="H73" s="8">
        <v>0</v>
      </c>
      <c r="I73" s="8">
        <v>1.2169000000000001</v>
      </c>
      <c r="J73" s="8">
        <v>0</v>
      </c>
      <c r="K73" s="8">
        <v>0</v>
      </c>
      <c r="L73" s="8">
        <v>52.12</v>
      </c>
      <c r="M73" s="8">
        <v>223.71</v>
      </c>
      <c r="N73" s="10">
        <v>4.29221028396009</v>
      </c>
      <c r="O73" s="10">
        <v>4.2929927753205499</v>
      </c>
      <c r="P73" s="10">
        <v>4.2920210374377996</v>
      </c>
      <c r="Q73" s="10">
        <v>4.2940676168365002</v>
      </c>
      <c r="R73" s="8">
        <v>223.750783449707</v>
      </c>
      <c r="S73" s="8">
        <v>223.710724954943</v>
      </c>
      <c r="T73" s="8">
        <v>223.80575980856599</v>
      </c>
      <c r="U73" s="9">
        <v>1.8228837622654901E-4</v>
      </c>
      <c r="V73" s="9">
        <v>3.24059616824819E-6</v>
      </c>
      <c r="W73" s="9">
        <v>4.2796173287317402E-4</v>
      </c>
      <c r="X73" s="10">
        <v>4.29221028396009</v>
      </c>
      <c r="Y73" s="10">
        <v>4.2929927753205499</v>
      </c>
      <c r="Z73" s="10">
        <v>4.2920210374377996</v>
      </c>
      <c r="AA73" s="10">
        <v>4.2940676168365002</v>
      </c>
      <c r="AB73" s="8">
        <v>223.750783449707</v>
      </c>
      <c r="AC73" s="8">
        <v>223.710724954943</v>
      </c>
      <c r="AD73" s="8">
        <v>223.80575980856599</v>
      </c>
      <c r="AE73" s="9">
        <v>1.8228837622654901E-4</v>
      </c>
      <c r="AF73" s="9">
        <v>3.24059616824819E-6</v>
      </c>
      <c r="AG73" s="9">
        <v>4.2796173287317402E-4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6.1048926007925986E-4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6.1048926007925986E-4</v>
      </c>
    </row>
    <row r="74" spans="1:77" x14ac:dyDescent="0.3">
      <c r="A74" s="1">
        <v>46129</v>
      </c>
      <c r="B74" s="8">
        <v>52.84</v>
      </c>
      <c r="C74" s="8">
        <v>226.87</v>
      </c>
      <c r="D74" s="9">
        <v>1.3719727397480201E-2</v>
      </c>
      <c r="E74" s="9">
        <v>1.4026595984956199E-2</v>
      </c>
      <c r="F74" s="8">
        <v>0</v>
      </c>
      <c r="G74" s="8">
        <v>0.28999999999999998</v>
      </c>
      <c r="H74" s="8">
        <v>0</v>
      </c>
      <c r="I74" s="8">
        <v>1.2169000000000001</v>
      </c>
      <c r="J74" s="8">
        <v>0</v>
      </c>
      <c r="K74" s="8">
        <v>0</v>
      </c>
      <c r="L74" s="8">
        <v>52.84</v>
      </c>
      <c r="M74" s="8">
        <v>226.87</v>
      </c>
      <c r="N74" s="10">
        <v>4.29352763058289</v>
      </c>
      <c r="O74" s="10">
        <v>4.2929927753205499</v>
      </c>
      <c r="P74" s="10">
        <v>4.29204173942738</v>
      </c>
      <c r="Q74" s="10">
        <v>4.2941622639067099</v>
      </c>
      <c r="R74" s="8">
        <v>226.841738247937</v>
      </c>
      <c r="S74" s="8">
        <v>226.79039161821299</v>
      </c>
      <c r="T74" s="8">
        <v>226.89853287364099</v>
      </c>
      <c r="U74" s="9">
        <v>-1.24580211249192E-4</v>
      </c>
      <c r="V74" s="9">
        <v>-3.5096025165302799E-4</v>
      </c>
      <c r="W74" s="9">
        <v>1.25759595968097E-4</v>
      </c>
      <c r="X74" s="10">
        <v>4.29352763058289</v>
      </c>
      <c r="Y74" s="10">
        <v>4.2929927753205499</v>
      </c>
      <c r="Z74" s="10">
        <v>4.29204173942738</v>
      </c>
      <c r="AA74" s="10">
        <v>4.2941622639067099</v>
      </c>
      <c r="AB74" s="8">
        <v>226.841738247937</v>
      </c>
      <c r="AC74" s="8">
        <v>226.79039161821299</v>
      </c>
      <c r="AD74" s="8">
        <v>226.89853287364099</v>
      </c>
      <c r="AE74" s="9">
        <v>-1.24580211249192E-4</v>
      </c>
      <c r="AF74" s="9">
        <v>-3.5096025165302799E-4</v>
      </c>
      <c r="AG74" s="9">
        <v>1.25759595968097E-4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6.1048926007925986E-4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6.1048926007925986E-4</v>
      </c>
    </row>
    <row r="75" spans="1:77" x14ac:dyDescent="0.3">
      <c r="A75" s="1">
        <v>46132</v>
      </c>
      <c r="B75" s="8">
        <v>52.78</v>
      </c>
      <c r="C75" s="8">
        <v>226.67</v>
      </c>
      <c r="D75" s="9">
        <v>-1.1361485789465899E-3</v>
      </c>
      <c r="E75" s="9">
        <v>-8.8195093250422905E-4</v>
      </c>
      <c r="F75" s="8">
        <v>0</v>
      </c>
      <c r="G75" s="8">
        <v>0.28999999999999998</v>
      </c>
      <c r="H75" s="8">
        <v>0</v>
      </c>
      <c r="I75" s="8">
        <v>1.2169000000000001</v>
      </c>
      <c r="J75" s="8">
        <v>0</v>
      </c>
      <c r="K75" s="8">
        <v>0</v>
      </c>
      <c r="L75" s="8">
        <v>52.78</v>
      </c>
      <c r="M75" s="8">
        <v>226.67</v>
      </c>
      <c r="N75" s="10">
        <v>4.2946191739295099</v>
      </c>
      <c r="O75" s="10">
        <v>4.2929927753205499</v>
      </c>
      <c r="P75" s="10">
        <v>4.2923456624967802</v>
      </c>
      <c r="Q75" s="10">
        <v>4.2930934953481703</v>
      </c>
      <c r="R75" s="8">
        <v>226.58415868141799</v>
      </c>
      <c r="S75" s="8">
        <v>226.53396300697699</v>
      </c>
      <c r="T75" s="8">
        <v>226.645884288996</v>
      </c>
      <c r="U75" s="9">
        <v>-3.7877785769156898E-4</v>
      </c>
      <c r="V75" s="9">
        <v>-6.0033454343837503E-4</v>
      </c>
      <c r="W75" s="9">
        <v>-1.0639693803968001E-4</v>
      </c>
      <c r="X75" s="10">
        <v>4.2946191739295099</v>
      </c>
      <c r="Y75" s="10">
        <v>4.2929927753205499</v>
      </c>
      <c r="Z75" s="10">
        <v>4.2923456624967802</v>
      </c>
      <c r="AA75" s="10">
        <v>4.2930934953481703</v>
      </c>
      <c r="AB75" s="8">
        <v>226.58415868141799</v>
      </c>
      <c r="AC75" s="8">
        <v>226.53396300697699</v>
      </c>
      <c r="AD75" s="8">
        <v>226.645884288996</v>
      </c>
      <c r="AE75" s="9">
        <v>-3.7877785769156898E-4</v>
      </c>
      <c r="AF75" s="9">
        <v>-6.0033454343837503E-4</v>
      </c>
      <c r="AG75" s="9">
        <v>-1.0639693803968001E-4</v>
      </c>
      <c r="AZ75" s="9"/>
      <c r="BB75">
        <f t="shared" si="2"/>
        <v>0</v>
      </c>
      <c r="BC75">
        <f t="shared" si="3"/>
        <v>0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6.1048926007925986E-4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6.1048926007925986E-4</v>
      </c>
    </row>
    <row r="76" spans="1:77" x14ac:dyDescent="0.3">
      <c r="A76" s="1">
        <v>46133</v>
      </c>
      <c r="B76" s="8">
        <v>52.52</v>
      </c>
      <c r="C76" s="8">
        <v>225.51</v>
      </c>
      <c r="D76" s="9">
        <v>-4.9382816405825602E-3</v>
      </c>
      <c r="E76" s="9">
        <v>-5.1307114187780197E-3</v>
      </c>
      <c r="F76" s="8">
        <v>0</v>
      </c>
      <c r="G76" s="8">
        <v>0.28999999999999998</v>
      </c>
      <c r="H76" s="8">
        <v>0</v>
      </c>
      <c r="I76" s="8">
        <v>1.2169000000000001</v>
      </c>
      <c r="J76" s="8">
        <v>0</v>
      </c>
      <c r="K76" s="8">
        <v>0</v>
      </c>
      <c r="L76" s="8">
        <v>52.52</v>
      </c>
      <c r="M76" s="8">
        <v>225.51</v>
      </c>
      <c r="N76" s="10">
        <v>4.2937928408225403</v>
      </c>
      <c r="O76" s="10">
        <v>4.2929927753205499</v>
      </c>
      <c r="P76" s="10">
        <v>4.2924885549652601</v>
      </c>
      <c r="Q76" s="10">
        <v>4.2921151133443098</v>
      </c>
      <c r="R76" s="8">
        <v>225.46798055983501</v>
      </c>
      <c r="S76" s="8">
        <v>225.43399419433101</v>
      </c>
      <c r="T76" s="8">
        <v>225.47327037568499</v>
      </c>
      <c r="U76" s="9">
        <v>-1.8634807949620701E-4</v>
      </c>
      <c r="V76" s="9">
        <v>-3.37096434888484E-4</v>
      </c>
      <c r="W76" s="9">
        <v>-1.6288685992575501E-4</v>
      </c>
      <c r="X76" s="10">
        <v>4.2937928408225403</v>
      </c>
      <c r="Y76" s="10">
        <v>4.2929927753205499</v>
      </c>
      <c r="Z76" s="10">
        <v>4.2924885549652601</v>
      </c>
      <c r="AA76" s="10">
        <v>4.2921151133443098</v>
      </c>
      <c r="AB76" s="8">
        <v>225.46798055983501</v>
      </c>
      <c r="AC76" s="8">
        <v>225.43399419433101</v>
      </c>
      <c r="AD76" s="8">
        <v>225.47327037568499</v>
      </c>
      <c r="AE76" s="9">
        <v>-1.8634807949620701E-4</v>
      </c>
      <c r="AF76" s="9">
        <v>-3.37096434888484E-4</v>
      </c>
      <c r="AG76" s="9">
        <v>-1.6288685992575501E-4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6.1048926007925986E-4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6.1048926007925986E-4</v>
      </c>
    </row>
    <row r="77" spans="1:77" x14ac:dyDescent="0.3">
      <c r="A77" s="1">
        <v>46134</v>
      </c>
      <c r="B77" s="8">
        <v>52.7</v>
      </c>
      <c r="C77" s="8">
        <v>226.28</v>
      </c>
      <c r="D77" s="9">
        <v>3.4214061127212699E-3</v>
      </c>
      <c r="E77" s="9">
        <v>3.40866661746775E-3</v>
      </c>
      <c r="F77" s="8">
        <v>0</v>
      </c>
      <c r="G77" s="8">
        <v>0.28999999999999998</v>
      </c>
      <c r="H77" s="8">
        <v>0</v>
      </c>
      <c r="I77" s="8">
        <v>1.2169000000000001</v>
      </c>
      <c r="J77" s="8">
        <v>0</v>
      </c>
      <c r="K77" s="8">
        <v>0</v>
      </c>
      <c r="L77" s="8">
        <v>52.7</v>
      </c>
      <c r="M77" s="8">
        <v>226.28</v>
      </c>
      <c r="N77" s="10">
        <v>4.2937381404174504</v>
      </c>
      <c r="O77" s="10">
        <v>4.2929927753205499</v>
      </c>
      <c r="P77" s="10">
        <v>4.2925204870533999</v>
      </c>
      <c r="Q77" s="10">
        <v>4.2921463462623697</v>
      </c>
      <c r="R77" s="8">
        <v>226.24071925939299</v>
      </c>
      <c r="S77" s="8">
        <v>226.214146846669</v>
      </c>
      <c r="T77" s="8">
        <v>226.194466473245</v>
      </c>
      <c r="U77" s="9">
        <v>-1.73608584242883E-4</v>
      </c>
      <c r="V77" s="9">
        <v>-2.9106742818356E-4</v>
      </c>
      <c r="W77" s="9">
        <v>-3.7807007515968597E-4</v>
      </c>
      <c r="X77" s="10">
        <v>4.2937381404174504</v>
      </c>
      <c r="Y77" s="10">
        <v>4.2929927753205499</v>
      </c>
      <c r="Z77" s="10">
        <v>4.2925204870533999</v>
      </c>
      <c r="AA77" s="10">
        <v>4.2921463462623697</v>
      </c>
      <c r="AB77" s="8">
        <v>226.24071925939299</v>
      </c>
      <c r="AC77" s="8">
        <v>226.214146846669</v>
      </c>
      <c r="AD77" s="8">
        <v>226.194466473245</v>
      </c>
      <c r="AE77" s="9">
        <v>-1.73608584242883E-4</v>
      </c>
      <c r="AF77" s="9">
        <v>-2.9106742818356E-4</v>
      </c>
      <c r="AG77" s="9">
        <v>-3.7807007515968597E-4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6.1048926007925986E-4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6.1048926007925986E-4</v>
      </c>
    </row>
    <row r="78" spans="1:77" x14ac:dyDescent="0.3">
      <c r="A78" s="1">
        <v>46135</v>
      </c>
      <c r="B78" s="8">
        <v>53.45</v>
      </c>
      <c r="C78" s="8">
        <v>229.51</v>
      </c>
      <c r="D78" s="9">
        <v>1.4131181923737499E-2</v>
      </c>
      <c r="E78" s="9">
        <v>1.4173431061119301E-2</v>
      </c>
      <c r="F78" s="8">
        <v>0</v>
      </c>
      <c r="G78" s="8">
        <v>0.28999999999999998</v>
      </c>
      <c r="H78" s="8">
        <v>0</v>
      </c>
      <c r="I78" s="8">
        <v>1.2169000000000001</v>
      </c>
      <c r="J78" s="8">
        <v>0</v>
      </c>
      <c r="K78" s="8">
        <v>0</v>
      </c>
      <c r="L78" s="8">
        <v>53.45</v>
      </c>
      <c r="M78" s="8">
        <v>229.51</v>
      </c>
      <c r="N78" s="10">
        <v>4.2939195509822197</v>
      </c>
      <c r="O78" s="10">
        <v>4.2929927753205499</v>
      </c>
      <c r="P78" s="10">
        <v>4.2928578831082698</v>
      </c>
      <c r="Q78" s="10">
        <v>4.2923019499436803</v>
      </c>
      <c r="R78" s="8">
        <v>229.46046384088299</v>
      </c>
      <c r="S78" s="8">
        <v>229.43522003300399</v>
      </c>
      <c r="T78" s="8">
        <v>229.41522220772299</v>
      </c>
      <c r="U78" s="9">
        <v>-2.1585772162458199E-4</v>
      </c>
      <c r="V78" s="9">
        <v>-3.2587753131910701E-4</v>
      </c>
      <c r="W78" s="9">
        <v>-4.1304242624903999E-4</v>
      </c>
      <c r="X78" s="10">
        <v>4.2939195509822197</v>
      </c>
      <c r="Y78" s="10">
        <v>4.2929927753205499</v>
      </c>
      <c r="Z78" s="10">
        <v>4.2928578831082698</v>
      </c>
      <c r="AA78" s="10">
        <v>4.2923019499436803</v>
      </c>
      <c r="AB78" s="8">
        <v>229.46046384088299</v>
      </c>
      <c r="AC78" s="8">
        <v>229.43522003300399</v>
      </c>
      <c r="AD78" s="8">
        <v>229.41522220772299</v>
      </c>
      <c r="AE78" s="9">
        <v>-2.1585772162458199E-4</v>
      </c>
      <c r="AF78" s="9">
        <v>-3.2587753131910701E-4</v>
      </c>
      <c r="AG78" s="9">
        <v>-4.1304242624903999E-4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6.1048926007925986E-4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6.1048926007925986E-4</v>
      </c>
    </row>
    <row r="79" spans="1:77" x14ac:dyDescent="0.3">
      <c r="A79" s="1">
        <v>46136</v>
      </c>
      <c r="B79" s="8">
        <v>53.37</v>
      </c>
      <c r="C79" s="8">
        <v>229.06</v>
      </c>
      <c r="D79" s="9">
        <v>-1.4978471252008101E-3</v>
      </c>
      <c r="E79" s="9">
        <v>-1.9626235665040899E-3</v>
      </c>
      <c r="F79" s="8">
        <v>0</v>
      </c>
      <c r="G79" s="8">
        <v>0.28999999999999998</v>
      </c>
      <c r="H79" s="8">
        <v>0</v>
      </c>
      <c r="I79" s="8">
        <v>1.2169000000000001</v>
      </c>
      <c r="J79" s="8">
        <v>0</v>
      </c>
      <c r="K79" s="8">
        <v>0</v>
      </c>
      <c r="L79" s="8">
        <v>53.37</v>
      </c>
      <c r="M79" s="8">
        <v>229.06</v>
      </c>
      <c r="N79" s="10">
        <v>4.2919243020423403</v>
      </c>
      <c r="O79" s="10">
        <v>4.2929927753205499</v>
      </c>
      <c r="P79" s="10">
        <v>4.2929538935360299</v>
      </c>
      <c r="Q79" s="10">
        <v>4.2924881070187197</v>
      </c>
      <c r="R79" s="8">
        <v>229.117024418857</v>
      </c>
      <c r="S79" s="8">
        <v>229.10982522148799</v>
      </c>
      <c r="T79" s="8">
        <v>229.08015506849401</v>
      </c>
      <c r="U79" s="9">
        <v>2.4891871967858099E-4</v>
      </c>
      <c r="V79" s="9">
        <v>2.1749674003928001E-4</v>
      </c>
      <c r="W79" s="9">
        <v>8.7986474376350099E-5</v>
      </c>
      <c r="X79" s="10">
        <v>4.2919243020423403</v>
      </c>
      <c r="Y79" s="10">
        <v>4.2929927753205499</v>
      </c>
      <c r="Z79" s="10">
        <v>4.2929538935360299</v>
      </c>
      <c r="AA79" s="10">
        <v>4.2924881070187197</v>
      </c>
      <c r="AB79" s="8">
        <v>229.117024418857</v>
      </c>
      <c r="AC79" s="8">
        <v>229.10982522148799</v>
      </c>
      <c r="AD79" s="8">
        <v>229.08015506849401</v>
      </c>
      <c r="AE79" s="9">
        <v>2.4891871967858099E-4</v>
      </c>
      <c r="AF79" s="9">
        <v>2.1749674003928001E-4</v>
      </c>
      <c r="AG79" s="9">
        <v>8.7986474376350099E-5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6.1048926007925986E-4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6.1048926007925986E-4</v>
      </c>
    </row>
    <row r="80" spans="1:77" x14ac:dyDescent="0.3">
      <c r="A80" s="1">
        <v>46139</v>
      </c>
      <c r="B80" s="8">
        <v>52.82</v>
      </c>
      <c r="C80" s="8">
        <v>226.73</v>
      </c>
      <c r="D80" s="9">
        <v>-1.03588834768672E-2</v>
      </c>
      <c r="E80" s="9">
        <v>-1.0224095731018901E-2</v>
      </c>
      <c r="F80" s="8">
        <v>0</v>
      </c>
      <c r="G80" s="8">
        <v>0.28999999999999998</v>
      </c>
      <c r="H80" s="8">
        <v>0</v>
      </c>
      <c r="I80" s="8">
        <v>1.2169000000000001</v>
      </c>
      <c r="J80" s="8">
        <v>0</v>
      </c>
      <c r="K80" s="8">
        <v>0</v>
      </c>
      <c r="L80" s="8">
        <v>52.82</v>
      </c>
      <c r="M80" s="8">
        <v>226.73</v>
      </c>
      <c r="N80" s="10">
        <v>4.2925028398333902</v>
      </c>
      <c r="O80" s="10">
        <v>4.2929927753205499</v>
      </c>
      <c r="P80" s="10">
        <v>4.2931132684284599</v>
      </c>
      <c r="Q80" s="10">
        <v>4.2925170951642304</v>
      </c>
      <c r="R80" s="8">
        <v>226.75587839243099</v>
      </c>
      <c r="S80" s="8">
        <v>226.75382465657299</v>
      </c>
      <c r="T80" s="8">
        <v>226.72922181272801</v>
      </c>
      <c r="U80" s="9">
        <v>1.14130973830563E-4</v>
      </c>
      <c r="V80" s="9">
        <v>1.0507389811946601E-4</v>
      </c>
      <c r="W80" s="9">
        <v>-3.4322260247391598E-6</v>
      </c>
      <c r="X80" s="10">
        <v>4.2925028398333902</v>
      </c>
      <c r="Y80" s="10">
        <v>4.2929927753205499</v>
      </c>
      <c r="Z80" s="10">
        <v>4.2931132684284599</v>
      </c>
      <c r="AA80" s="10">
        <v>4.2925170951642304</v>
      </c>
      <c r="AB80" s="8">
        <v>226.75587839243099</v>
      </c>
      <c r="AC80" s="8">
        <v>226.75382465657299</v>
      </c>
      <c r="AD80" s="8">
        <v>226.72922181272801</v>
      </c>
      <c r="AE80" s="9">
        <v>1.14130973830563E-4</v>
      </c>
      <c r="AF80" s="9">
        <v>1.0507389811946601E-4</v>
      </c>
      <c r="AG80" s="9">
        <v>-3.4322260247391598E-6</v>
      </c>
      <c r="AZ80" s="9"/>
      <c r="BB80">
        <f t="shared" si="2"/>
        <v>0</v>
      </c>
      <c r="BC80">
        <f t="shared" si="3"/>
        <v>0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6.1048926007925986E-4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6.1048926007925986E-4</v>
      </c>
    </row>
    <row r="81" spans="1:77" x14ac:dyDescent="0.3">
      <c r="A81" s="1">
        <v>46140</v>
      </c>
      <c r="B81" s="8">
        <v>53.19</v>
      </c>
      <c r="C81" s="8">
        <v>228.33</v>
      </c>
      <c r="D81" s="9">
        <v>6.9805018852400801E-3</v>
      </c>
      <c r="E81" s="9">
        <v>7.0320687088587398E-3</v>
      </c>
      <c r="F81" s="8">
        <v>0</v>
      </c>
      <c r="G81" s="8">
        <v>0.28999999999999998</v>
      </c>
      <c r="H81" s="8">
        <v>0</v>
      </c>
      <c r="I81" s="8">
        <v>1.2169000000000001</v>
      </c>
      <c r="J81" s="8">
        <v>0</v>
      </c>
      <c r="K81" s="8">
        <v>0</v>
      </c>
      <c r="L81" s="8">
        <v>53.19</v>
      </c>
      <c r="M81" s="8">
        <v>228.33</v>
      </c>
      <c r="N81" s="10">
        <v>4.29272419627749</v>
      </c>
      <c r="O81" s="10">
        <v>4.2929927753205499</v>
      </c>
      <c r="P81" s="10">
        <v>4.2930336941911804</v>
      </c>
      <c r="Q81" s="10">
        <v>4.2926501458741404</v>
      </c>
      <c r="R81" s="8">
        <v>228.34428571929999</v>
      </c>
      <c r="S81" s="8">
        <v>228.35069474771001</v>
      </c>
      <c r="T81" s="8">
        <v>228.318984291785</v>
      </c>
      <c r="U81" s="9">
        <v>6.2564150211710698E-5</v>
      </c>
      <c r="V81" s="9">
        <v>9.0631147593327906E-5</v>
      </c>
      <c r="W81" s="9">
        <v>-4.8245845694566903E-5</v>
      </c>
      <c r="X81" s="10">
        <v>4.29272419627749</v>
      </c>
      <c r="Y81" s="10">
        <v>4.2929927753205499</v>
      </c>
      <c r="Z81" s="10">
        <v>4.2930336941911804</v>
      </c>
      <c r="AA81" s="10">
        <v>4.2926501458741404</v>
      </c>
      <c r="AB81" s="8">
        <v>228.34428571929999</v>
      </c>
      <c r="AC81" s="8">
        <v>228.35069474771001</v>
      </c>
      <c r="AD81" s="8">
        <v>228.318984291785</v>
      </c>
      <c r="AE81" s="9">
        <v>6.2564150211710698E-5</v>
      </c>
      <c r="AF81" s="9">
        <v>9.0631147593327906E-5</v>
      </c>
      <c r="AG81" s="9">
        <v>-4.8245845694566903E-5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6.1048926007925986E-4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6.1048926007925986E-4</v>
      </c>
    </row>
    <row r="82" spans="1:77" x14ac:dyDescent="0.3">
      <c r="A82" s="1">
        <v>46141</v>
      </c>
      <c r="B82" s="8">
        <v>53.09</v>
      </c>
      <c r="C82" s="8">
        <v>228.07</v>
      </c>
      <c r="D82" s="9">
        <v>-1.8818221586459701E-3</v>
      </c>
      <c r="E82" s="9">
        <v>-1.1393515693513801E-3</v>
      </c>
      <c r="F82" s="8">
        <v>0</v>
      </c>
      <c r="G82" s="8">
        <v>0.28999999999999998</v>
      </c>
      <c r="H82" s="8">
        <v>0</v>
      </c>
      <c r="I82" s="8">
        <v>1.2169000000000001</v>
      </c>
      <c r="J82" s="8">
        <v>0</v>
      </c>
      <c r="K82" s="8">
        <v>0</v>
      </c>
      <c r="L82" s="8">
        <v>53.09</v>
      </c>
      <c r="M82" s="8">
        <v>228.07</v>
      </c>
      <c r="N82" s="10">
        <v>4.2959126012431703</v>
      </c>
      <c r="O82" s="10">
        <v>4.2929927753205499</v>
      </c>
      <c r="P82" s="10">
        <v>4.2934871560091104</v>
      </c>
      <c r="Q82" s="10">
        <v>4.2928556746559696</v>
      </c>
      <c r="R82" s="8">
        <v>227.91498644176801</v>
      </c>
      <c r="S82" s="8">
        <v>227.91715882461</v>
      </c>
      <c r="T82" s="8">
        <v>227.89679624445799</v>
      </c>
      <c r="U82" s="9">
        <v>-6.7990643908288895E-4</v>
      </c>
      <c r="V82" s="9">
        <v>-6.7037493559151502E-4</v>
      </c>
      <c r="W82" s="9">
        <v>-7.59720950291593E-4</v>
      </c>
      <c r="X82" s="10">
        <v>4.2959126012431703</v>
      </c>
      <c r="Y82" s="10">
        <v>4.2929927753205499</v>
      </c>
      <c r="Z82" s="10">
        <v>4.2934871560091104</v>
      </c>
      <c r="AA82" s="10">
        <v>4.2928556746559696</v>
      </c>
      <c r="AB82" s="8">
        <v>227.91498644176801</v>
      </c>
      <c r="AC82" s="8">
        <v>227.91715882461</v>
      </c>
      <c r="AD82" s="8">
        <v>227.89679624445799</v>
      </c>
      <c r="AE82" s="9">
        <v>-6.7990643908288895E-4</v>
      </c>
      <c r="AF82" s="9">
        <v>-6.7037493559151502E-4</v>
      </c>
      <c r="AG82" s="9">
        <v>-7.59720950291593E-4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6.1048926007925986E-4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6.1048926007925986E-4</v>
      </c>
    </row>
    <row r="83" spans="1:77" x14ac:dyDescent="0.3">
      <c r="A83" s="1">
        <v>46142</v>
      </c>
      <c r="B83" s="8">
        <v>54.09</v>
      </c>
      <c r="C83" s="8">
        <v>232.14</v>
      </c>
      <c r="D83" s="9">
        <v>1.8660739287755499E-2</v>
      </c>
      <c r="E83" s="9">
        <v>1.7688038562418001E-2</v>
      </c>
      <c r="F83" s="8">
        <v>0</v>
      </c>
      <c r="G83" s="8">
        <v>0.28999999999999998</v>
      </c>
      <c r="H83" s="8">
        <v>0</v>
      </c>
      <c r="I83" s="8">
        <v>1.2169000000000001</v>
      </c>
      <c r="J83" s="8">
        <v>0</v>
      </c>
      <c r="K83" s="8">
        <v>0</v>
      </c>
      <c r="L83" s="8">
        <v>54.09</v>
      </c>
      <c r="M83" s="8">
        <v>232.14</v>
      </c>
      <c r="N83" s="10">
        <v>4.2917359955629504</v>
      </c>
      <c r="O83" s="10">
        <v>4.2929927753205499</v>
      </c>
      <c r="P83" s="10">
        <v>4.2934397271693996</v>
      </c>
      <c r="Q83" s="10">
        <v>4.2927303823036</v>
      </c>
      <c r="R83" s="8">
        <v>232.207979217088</v>
      </c>
      <c r="S83" s="8">
        <v>232.23472026853199</v>
      </c>
      <c r="T83" s="8">
        <v>232.200563442141</v>
      </c>
      <c r="U83" s="9">
        <v>2.9279428625450299E-4</v>
      </c>
      <c r="V83" s="9">
        <v>4.0794757213256298E-4</v>
      </c>
      <c r="W83" s="9">
        <v>2.6085785844770699E-4</v>
      </c>
      <c r="X83" s="10">
        <v>4.2917359955629504</v>
      </c>
      <c r="Y83" s="10">
        <v>4.2929927753205499</v>
      </c>
      <c r="Z83" s="10">
        <v>4.2934397271693996</v>
      </c>
      <c r="AA83" s="10">
        <v>4.2927303823036</v>
      </c>
      <c r="AB83" s="8">
        <v>232.207979217088</v>
      </c>
      <c r="AC83" s="8">
        <v>232.23472026853199</v>
      </c>
      <c r="AD83" s="8">
        <v>232.200563442141</v>
      </c>
      <c r="AE83" s="9">
        <v>2.9279428625450299E-4</v>
      </c>
      <c r="AF83" s="9">
        <v>4.0794757213256298E-4</v>
      </c>
      <c r="AG83" s="9">
        <v>2.6085785844770699E-4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6.1048926007925986E-4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6.1048926007925986E-4</v>
      </c>
    </row>
    <row r="84" spans="1:77" x14ac:dyDescent="0.3">
      <c r="A84" s="1">
        <v>46143</v>
      </c>
      <c r="B84" s="8">
        <v>53.95</v>
      </c>
      <c r="C84" s="8">
        <v>231.6</v>
      </c>
      <c r="D84" s="9">
        <v>-2.5916341791918799E-3</v>
      </c>
      <c r="E84" s="9">
        <v>-2.3288922416363502E-3</v>
      </c>
      <c r="F84" s="8">
        <v>0</v>
      </c>
      <c r="G84" s="8">
        <v>0.28999999999999998</v>
      </c>
      <c r="H84" s="8">
        <v>0</v>
      </c>
      <c r="I84" s="8">
        <v>1.2169000000000001</v>
      </c>
      <c r="J84" s="8">
        <v>0</v>
      </c>
      <c r="K84" s="8">
        <v>0</v>
      </c>
      <c r="L84" s="8">
        <v>53.95</v>
      </c>
      <c r="M84" s="8">
        <v>231.6</v>
      </c>
      <c r="N84" s="10">
        <v>4.2928637627432797</v>
      </c>
      <c r="O84" s="10">
        <v>4.2929927753205499</v>
      </c>
      <c r="P84" s="10">
        <v>4.2933733403854299</v>
      </c>
      <c r="Q84" s="10">
        <v>4.2927075399064103</v>
      </c>
      <c r="R84" s="8">
        <v>231.60696022854299</v>
      </c>
      <c r="S84" s="8">
        <v>231.631073280789</v>
      </c>
      <c r="T84" s="8">
        <v>231.592804125279</v>
      </c>
      <c r="U84" s="9">
        <v>3.0052348699104801E-5</v>
      </c>
      <c r="V84" s="9">
        <v>1.3415887935004501E-4</v>
      </c>
      <c r="W84" s="9">
        <v>-3.1070753505699397E-5</v>
      </c>
      <c r="X84" s="10">
        <v>4.2928637627432797</v>
      </c>
      <c r="Y84" s="10">
        <v>4.2929927753205499</v>
      </c>
      <c r="Z84" s="10">
        <v>4.2933733403854299</v>
      </c>
      <c r="AA84" s="10">
        <v>4.2927075399064103</v>
      </c>
      <c r="AB84" s="8">
        <v>231.60696022854299</v>
      </c>
      <c r="AC84" s="8">
        <v>231.631073280789</v>
      </c>
      <c r="AD84" s="8">
        <v>231.592804125279</v>
      </c>
      <c r="AE84" s="9">
        <v>3.0052348699104801E-5</v>
      </c>
      <c r="AF84" s="9">
        <v>1.3415887935004501E-4</v>
      </c>
      <c r="AG84" s="9">
        <v>-3.1070753505699397E-5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6.1048926007925986E-4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6.1048926007925986E-4</v>
      </c>
    </row>
    <row r="85" spans="1:77" x14ac:dyDescent="0.3">
      <c r="A85" s="1">
        <v>46146</v>
      </c>
      <c r="B85" s="8">
        <v>53.51</v>
      </c>
      <c r="C85" s="8">
        <v>229.79</v>
      </c>
      <c r="D85" s="9">
        <v>-8.1891393809304606E-3</v>
      </c>
      <c r="E85" s="9">
        <v>-7.8458973319952708E-3</v>
      </c>
      <c r="F85" s="8">
        <v>0</v>
      </c>
      <c r="G85" s="8">
        <v>0.28999999999999998</v>
      </c>
      <c r="H85" s="8">
        <v>0</v>
      </c>
      <c r="I85" s="8">
        <v>1.2169000000000001</v>
      </c>
      <c r="J85" s="8">
        <v>0</v>
      </c>
      <c r="K85" s="8">
        <v>0</v>
      </c>
      <c r="L85" s="8">
        <v>53.51</v>
      </c>
      <c r="M85" s="8">
        <v>229.79</v>
      </c>
      <c r="N85" s="10">
        <v>4.2943375070080299</v>
      </c>
      <c r="O85" s="10">
        <v>4.2929927753205499</v>
      </c>
      <c r="P85" s="10">
        <v>4.2933451736932904</v>
      </c>
      <c r="Q85" s="10">
        <v>4.2928454180950304</v>
      </c>
      <c r="R85" s="8">
        <v>229.71804340740201</v>
      </c>
      <c r="S85" s="8">
        <v>229.73840744402401</v>
      </c>
      <c r="T85" s="8">
        <v>229.70278046039201</v>
      </c>
      <c r="U85" s="9">
        <v>-3.13189700236262E-4</v>
      </c>
      <c r="V85" s="9">
        <v>-2.24545666192409E-4</v>
      </c>
      <c r="W85" s="9">
        <v>-3.7963399802678501E-4</v>
      </c>
      <c r="X85" s="10">
        <v>4.2943375070080299</v>
      </c>
      <c r="Y85" s="10">
        <v>4.2929927753205499</v>
      </c>
      <c r="Z85" s="10">
        <v>4.2933451736932904</v>
      </c>
      <c r="AA85" s="10">
        <v>4.2928454180950304</v>
      </c>
      <c r="AB85" s="8">
        <v>229.71804340740201</v>
      </c>
      <c r="AC85" s="8">
        <v>229.73840744402401</v>
      </c>
      <c r="AD85" s="8">
        <v>229.70278046039201</v>
      </c>
      <c r="AE85" s="9">
        <v>-3.13189700236262E-4</v>
      </c>
      <c r="AF85" s="9">
        <v>-2.24545666192409E-4</v>
      </c>
      <c r="AG85" s="9">
        <v>-3.7963399802678501E-4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6.1048926007925986E-4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6.1048926007925986E-4</v>
      </c>
    </row>
    <row r="86" spans="1:77" x14ac:dyDescent="0.3">
      <c r="A86" s="1">
        <v>46147</v>
      </c>
      <c r="B86" s="8">
        <v>53.76</v>
      </c>
      <c r="C86" s="8">
        <v>230.81</v>
      </c>
      <c r="D86" s="9">
        <v>4.6611438916808598E-3</v>
      </c>
      <c r="E86" s="9">
        <v>4.4290128848139499E-3</v>
      </c>
      <c r="F86" s="8">
        <v>0</v>
      </c>
      <c r="G86" s="8">
        <v>0.28999999999999998</v>
      </c>
      <c r="H86" s="8">
        <v>0</v>
      </c>
      <c r="I86" s="8">
        <v>1.2169000000000001</v>
      </c>
      <c r="J86" s="8">
        <v>0</v>
      </c>
      <c r="K86" s="8">
        <v>0</v>
      </c>
      <c r="L86" s="8">
        <v>53.76</v>
      </c>
      <c r="M86" s="8">
        <v>230.81</v>
      </c>
      <c r="N86" s="10">
        <v>4.2933407738095202</v>
      </c>
      <c r="O86" s="10">
        <v>4.2929927753205499</v>
      </c>
      <c r="P86" s="10">
        <v>4.29329996699198</v>
      </c>
      <c r="Q86" s="10">
        <v>4.2928942609786196</v>
      </c>
      <c r="R86" s="8">
        <v>230.79129160123199</v>
      </c>
      <c r="S86" s="8">
        <v>230.810236537751</v>
      </c>
      <c r="T86" s="8">
        <v>230.78336967678899</v>
      </c>
      <c r="U86" s="9">
        <v>-8.1058693369367302E-5</v>
      </c>
      <c r="V86" s="9">
        <v>1.02481534659622E-6</v>
      </c>
      <c r="W86" s="9">
        <v>-1.15384340373145E-4</v>
      </c>
      <c r="X86" s="10">
        <v>4.2933407738095202</v>
      </c>
      <c r="Y86" s="10">
        <v>4.2929927753205499</v>
      </c>
      <c r="Z86" s="10">
        <v>4.29329996699198</v>
      </c>
      <c r="AA86" s="10">
        <v>4.2928942609786196</v>
      </c>
      <c r="AB86" s="8">
        <v>230.79129160123199</v>
      </c>
      <c r="AC86" s="8">
        <v>230.810236537751</v>
      </c>
      <c r="AD86" s="8">
        <v>230.78336967678899</v>
      </c>
      <c r="AE86" s="9">
        <v>-8.1058693369367302E-5</v>
      </c>
      <c r="AF86" s="9">
        <v>1.02481534659622E-6</v>
      </c>
      <c r="AG86" s="9">
        <v>-1.15384340373145E-4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6.1048926007925986E-4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6.1048926007925986E-4</v>
      </c>
    </row>
    <row r="87" spans="1:77" x14ac:dyDescent="0.3">
      <c r="A87" s="1">
        <v>46148</v>
      </c>
      <c r="B87" s="8">
        <v>53.71</v>
      </c>
      <c r="C87" s="8">
        <v>230.59</v>
      </c>
      <c r="D87" s="9">
        <v>-9.3049229752602302E-4</v>
      </c>
      <c r="E87" s="9">
        <v>-9.5361949142670202E-4</v>
      </c>
      <c r="F87" s="8">
        <v>0</v>
      </c>
      <c r="G87" s="8">
        <v>0.28999999999999998</v>
      </c>
      <c r="H87" s="8">
        <v>0</v>
      </c>
      <c r="I87" s="8">
        <v>1.2169000000000001</v>
      </c>
      <c r="J87" s="8">
        <v>0</v>
      </c>
      <c r="K87" s="8">
        <v>0</v>
      </c>
      <c r="L87" s="8">
        <v>53.71</v>
      </c>
      <c r="M87" s="8">
        <v>230.59</v>
      </c>
      <c r="N87" s="10">
        <v>4.2932414820331397</v>
      </c>
      <c r="O87" s="10">
        <v>4.2929927753205499</v>
      </c>
      <c r="P87" s="10">
        <v>4.2932503011535497</v>
      </c>
      <c r="Q87" s="10">
        <v>4.2928853941034699</v>
      </c>
      <c r="R87" s="8">
        <v>230.576641962466</v>
      </c>
      <c r="S87" s="8">
        <v>230.593141227139</v>
      </c>
      <c r="T87" s="8">
        <v>230.57135075716201</v>
      </c>
      <c r="U87" s="9">
        <v>-5.7931499468703801E-5</v>
      </c>
      <c r="V87" s="9">
        <v>1.3622471677289199E-5</v>
      </c>
      <c r="W87" s="9">
        <v>-8.0879470135330605E-5</v>
      </c>
      <c r="X87" s="10">
        <v>4.2932414820331397</v>
      </c>
      <c r="Y87" s="10">
        <v>4.2929927753205499</v>
      </c>
      <c r="Z87" s="10">
        <v>4.2932503011535497</v>
      </c>
      <c r="AA87" s="10">
        <v>4.2928853941034699</v>
      </c>
      <c r="AB87" s="8">
        <v>230.576641962466</v>
      </c>
      <c r="AC87" s="8">
        <v>230.593141227139</v>
      </c>
      <c r="AD87" s="8">
        <v>230.57135075716201</v>
      </c>
      <c r="AE87" s="9">
        <v>-5.7931499468703801E-5</v>
      </c>
      <c r="AF87" s="9">
        <v>1.3622471677289199E-5</v>
      </c>
      <c r="AG87" s="9">
        <v>-8.0879470135330605E-5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6.1048926007925986E-4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6.1048926007925986E-4</v>
      </c>
    </row>
    <row r="88" spans="1:77" x14ac:dyDescent="0.3">
      <c r="A88" s="1">
        <v>46149</v>
      </c>
      <c r="B88" s="8">
        <v>53.55</v>
      </c>
      <c r="C88" s="8">
        <v>229.94</v>
      </c>
      <c r="D88" s="9">
        <v>-2.9834070236102799E-3</v>
      </c>
      <c r="E88" s="9">
        <v>-2.8228364346379502E-3</v>
      </c>
      <c r="F88" s="8">
        <v>0</v>
      </c>
      <c r="G88" s="8">
        <v>0.28999999999999998</v>
      </c>
      <c r="H88" s="8">
        <v>0</v>
      </c>
      <c r="I88" s="8">
        <v>1.2169000000000001</v>
      </c>
      <c r="J88" s="8">
        <v>0</v>
      </c>
      <c r="K88" s="8">
        <v>0</v>
      </c>
      <c r="L88" s="8">
        <v>53.55</v>
      </c>
      <c r="M88" s="8">
        <v>229.94</v>
      </c>
      <c r="N88" s="10">
        <v>4.2939309056956096</v>
      </c>
      <c r="O88" s="10">
        <v>4.2929927753205499</v>
      </c>
      <c r="P88" s="10">
        <v>4.2932514366248897</v>
      </c>
      <c r="Q88" s="10">
        <v>4.2930546598665797</v>
      </c>
      <c r="R88" s="8">
        <v>229.889763118415</v>
      </c>
      <c r="S88" s="8">
        <v>229.90355362677201</v>
      </c>
      <c r="T88" s="8">
        <v>229.88401285424101</v>
      </c>
      <c r="U88" s="9">
        <v>-2.1850208844086401E-4</v>
      </c>
      <c r="V88" s="9">
        <v>-1.58516404180966E-4</v>
      </c>
      <c r="W88" s="9">
        <v>-2.4351553842462501E-4</v>
      </c>
      <c r="X88" s="10">
        <v>4.2939309056956096</v>
      </c>
      <c r="Y88" s="10">
        <v>4.2929927753205499</v>
      </c>
      <c r="Z88" s="10">
        <v>4.2932514366248897</v>
      </c>
      <c r="AA88" s="10">
        <v>4.2930546598665797</v>
      </c>
      <c r="AB88" s="8">
        <v>229.889763118415</v>
      </c>
      <c r="AC88" s="8">
        <v>229.90355362677201</v>
      </c>
      <c r="AD88" s="8">
        <v>229.88401285424101</v>
      </c>
      <c r="AE88" s="9">
        <v>-2.1850208844086401E-4</v>
      </c>
      <c r="AF88" s="9">
        <v>-1.58516404180966E-4</v>
      </c>
      <c r="AG88" s="9">
        <v>-2.4351553842462501E-4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6.1048926007925986E-4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6.1048926007925986E-4</v>
      </c>
    </row>
    <row r="89" spans="1:77" x14ac:dyDescent="0.3">
      <c r="A89" s="1">
        <v>46150</v>
      </c>
      <c r="B89" s="8">
        <v>53.6</v>
      </c>
      <c r="C89" s="8">
        <v>230.24</v>
      </c>
      <c r="D89" s="9">
        <v>9.3327118299852503E-4</v>
      </c>
      <c r="E89" s="9">
        <v>1.30383781346355E-3</v>
      </c>
      <c r="F89" s="8">
        <v>0</v>
      </c>
      <c r="G89" s="8">
        <v>0.28999999999999998</v>
      </c>
      <c r="H89" s="8">
        <v>0</v>
      </c>
      <c r="I89" s="8">
        <v>1.2169000000000001</v>
      </c>
      <c r="J89" s="8">
        <v>0</v>
      </c>
      <c r="K89" s="8">
        <v>0</v>
      </c>
      <c r="L89" s="8">
        <v>53.6</v>
      </c>
      <c r="M89" s="8">
        <v>230.24</v>
      </c>
      <c r="N89" s="10">
        <v>4.2955223880597</v>
      </c>
      <c r="O89" s="10">
        <v>4.2929927753205499</v>
      </c>
      <c r="P89" s="10">
        <v>4.2936112452266304</v>
      </c>
      <c r="Q89" s="10">
        <v>4.2932825693813301</v>
      </c>
      <c r="R89" s="8">
        <v>230.104412757181</v>
      </c>
      <c r="S89" s="8">
        <v>230.11827700309399</v>
      </c>
      <c r="T89" s="8">
        <v>230.107729768848</v>
      </c>
      <c r="U89" s="9">
        <v>-5.8906871890594204E-4</v>
      </c>
      <c r="V89" s="9">
        <v>-5.2881855642819098E-4</v>
      </c>
      <c r="W89" s="9">
        <v>-5.7465357701397702E-4</v>
      </c>
      <c r="X89" s="10">
        <v>4.2955223880597</v>
      </c>
      <c r="Y89" s="10">
        <v>4.2929927753205499</v>
      </c>
      <c r="Z89" s="10">
        <v>4.2936112452266304</v>
      </c>
      <c r="AA89" s="10">
        <v>4.2932825693813301</v>
      </c>
      <c r="AB89" s="8">
        <v>230.104412757181</v>
      </c>
      <c r="AC89" s="8">
        <v>230.11827700309399</v>
      </c>
      <c r="AD89" s="8">
        <v>230.107729768848</v>
      </c>
      <c r="AE89" s="9">
        <v>-5.8906871890594204E-4</v>
      </c>
      <c r="AF89" s="9">
        <v>-5.2881855642819098E-4</v>
      </c>
      <c r="AG89" s="9">
        <v>-5.7465357701397702E-4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6.1048926007925986E-4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6.1048926007925986E-4</v>
      </c>
    </row>
    <row r="90" spans="1:77" x14ac:dyDescent="0.3">
      <c r="A90" s="1">
        <v>46153</v>
      </c>
      <c r="B90" s="8">
        <v>53</v>
      </c>
      <c r="C90" s="8">
        <v>227.58</v>
      </c>
      <c r="D90" s="9">
        <v>-1.12571545246344E-2</v>
      </c>
      <c r="E90" s="9">
        <v>-1.16204182101951E-2</v>
      </c>
      <c r="F90" s="8">
        <v>0</v>
      </c>
      <c r="G90" s="8">
        <v>0.28999999999999998</v>
      </c>
      <c r="H90" s="8">
        <v>0</v>
      </c>
      <c r="I90" s="8">
        <v>1.2169000000000001</v>
      </c>
      <c r="J90" s="8">
        <v>0</v>
      </c>
      <c r="K90" s="8">
        <v>0</v>
      </c>
      <c r="L90" s="8">
        <v>53</v>
      </c>
      <c r="M90" s="8">
        <v>227.58</v>
      </c>
      <c r="N90" s="10">
        <v>4.2939622641509398</v>
      </c>
      <c r="O90" s="10">
        <v>4.2929927753205499</v>
      </c>
      <c r="P90" s="10">
        <v>4.2937571876583798</v>
      </c>
      <c r="Q90" s="10">
        <v>4.2934352280434203</v>
      </c>
      <c r="R90" s="8">
        <v>227.52861709198899</v>
      </c>
      <c r="S90" s="8">
        <v>227.561395997011</v>
      </c>
      <c r="T90" s="8">
        <v>227.54397617721</v>
      </c>
      <c r="U90" s="9">
        <v>-2.25805033345298E-4</v>
      </c>
      <c r="V90" s="9">
        <v>-8.1750432558328696E-5</v>
      </c>
      <c r="W90" s="9">
        <v>-1.5830334040883501E-4</v>
      </c>
      <c r="X90" s="10">
        <v>4.2939622641509398</v>
      </c>
      <c r="Y90" s="10">
        <v>4.2929927753205499</v>
      </c>
      <c r="Z90" s="10">
        <v>4.2937571876583798</v>
      </c>
      <c r="AA90" s="10">
        <v>4.2934352280434203</v>
      </c>
      <c r="AB90" s="8">
        <v>227.52861709198899</v>
      </c>
      <c r="AC90" s="8">
        <v>227.561395997011</v>
      </c>
      <c r="AD90" s="8">
        <v>227.54397617721</v>
      </c>
      <c r="AE90" s="9">
        <v>-2.25805033345298E-4</v>
      </c>
      <c r="AF90" s="9">
        <v>-8.1750432558328696E-5</v>
      </c>
      <c r="AG90" s="9">
        <v>-1.5830334040883501E-4</v>
      </c>
      <c r="AZ90" s="9"/>
      <c r="BB90">
        <f t="shared" si="22"/>
        <v>0</v>
      </c>
      <c r="BC90">
        <f t="shared" si="23"/>
        <v>0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6.1048926007925986E-4</v>
      </c>
      <c r="BL90" s="9"/>
      <c r="BN90">
        <f t="shared" si="30"/>
        <v>0</v>
      </c>
      <c r="BO90">
        <f t="shared" si="31"/>
        <v>1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6.1048926007925986E-4</v>
      </c>
    </row>
    <row r="91" spans="1:77" x14ac:dyDescent="0.3">
      <c r="A91" s="1">
        <v>46154</v>
      </c>
      <c r="B91" s="8">
        <v>53.69</v>
      </c>
      <c r="C91" s="8">
        <v>230.59</v>
      </c>
      <c r="D91" s="9">
        <v>1.29348508823562E-2</v>
      </c>
      <c r="E91" s="9">
        <v>1.31394168313694E-2</v>
      </c>
      <c r="F91" s="8">
        <v>0</v>
      </c>
      <c r="G91" s="8">
        <v>0.28999999999999998</v>
      </c>
      <c r="H91" s="8">
        <v>0</v>
      </c>
      <c r="I91" s="8">
        <v>1.2169000000000001</v>
      </c>
      <c r="J91" s="8">
        <v>0</v>
      </c>
      <c r="K91" s="8">
        <v>0</v>
      </c>
      <c r="L91" s="8">
        <v>53.69</v>
      </c>
      <c r="M91" s="8">
        <v>230.59</v>
      </c>
      <c r="N91" s="10">
        <v>4.29484075246787</v>
      </c>
      <c r="O91" s="10">
        <v>4.2929927753205499</v>
      </c>
      <c r="P91" s="10">
        <v>4.2939688432774199</v>
      </c>
      <c r="Q91" s="10">
        <v>4.2935012687342997</v>
      </c>
      <c r="R91" s="8">
        <v>230.49078210696001</v>
      </c>
      <c r="S91" s="8">
        <v>230.53182340537799</v>
      </c>
      <c r="T91" s="8">
        <v>230.51453739365101</v>
      </c>
      <c r="U91" s="9">
        <v>-4.30370982358527E-4</v>
      </c>
      <c r="V91" s="9">
        <v>-2.5232635705836799E-4</v>
      </c>
      <c r="W91" s="9">
        <v>-3.2731235935656898E-4</v>
      </c>
      <c r="X91" s="10">
        <v>4.29484075246787</v>
      </c>
      <c r="Y91" s="10">
        <v>4.2929927753205499</v>
      </c>
      <c r="Z91" s="10">
        <v>4.2939688432774199</v>
      </c>
      <c r="AA91" s="10">
        <v>4.2935012687342997</v>
      </c>
      <c r="AB91" s="8">
        <v>230.49078210696001</v>
      </c>
      <c r="AC91" s="8">
        <v>230.53182340537799</v>
      </c>
      <c r="AD91" s="8">
        <v>230.51453739365101</v>
      </c>
      <c r="AE91" s="9">
        <v>-4.30370982358527E-4</v>
      </c>
      <c r="AF91" s="9">
        <v>-2.5232635705836799E-4</v>
      </c>
      <c r="AG91" s="9">
        <v>-3.2731235935656898E-4</v>
      </c>
      <c r="AZ91" s="9"/>
      <c r="BB91">
        <f t="shared" si="22"/>
        <v>0</v>
      </c>
      <c r="BC91">
        <f t="shared" si="23"/>
        <v>0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6.1048926007925986E-4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6.1048926007925986E-4</v>
      </c>
    </row>
    <row r="92" spans="1:77" x14ac:dyDescent="0.3">
      <c r="A92" s="1">
        <v>46155</v>
      </c>
      <c r="B92" s="8">
        <v>53.85</v>
      </c>
      <c r="C92" s="8">
        <v>231.23</v>
      </c>
      <c r="D92" s="9">
        <v>2.97563916791944E-3</v>
      </c>
      <c r="E92" s="9">
        <v>2.77164440564413E-3</v>
      </c>
      <c r="F92" s="8">
        <v>0</v>
      </c>
      <c r="G92" s="8">
        <v>0.28999999999999998</v>
      </c>
      <c r="H92" s="8">
        <v>0</v>
      </c>
      <c r="I92" s="8">
        <v>1.2169000000000001</v>
      </c>
      <c r="J92" s="8">
        <v>0</v>
      </c>
      <c r="K92" s="8">
        <v>0</v>
      </c>
      <c r="L92" s="8">
        <v>53.85</v>
      </c>
      <c r="M92" s="8">
        <v>231.23</v>
      </c>
      <c r="N92" s="10">
        <v>4.2939647168059398</v>
      </c>
      <c r="O92" s="10">
        <v>4.2929927753205499</v>
      </c>
      <c r="P92" s="10">
        <v>4.2937740548337002</v>
      </c>
      <c r="Q92" s="10">
        <v>4.2936306054214004</v>
      </c>
      <c r="R92" s="8">
        <v>231.17766095101101</v>
      </c>
      <c r="S92" s="8">
        <v>231.23022221048899</v>
      </c>
      <c r="T92" s="8">
        <v>231.205043321342</v>
      </c>
      <c r="U92" s="9">
        <v>-2.2637622008308701E-4</v>
      </c>
      <c r="V92" s="9">
        <v>9.6099287493117802E-7</v>
      </c>
      <c r="W92" s="9">
        <v>-1.0793593194246E-4</v>
      </c>
      <c r="X92" s="10">
        <v>4.2939647168059398</v>
      </c>
      <c r="Y92" s="10">
        <v>4.2929927753205499</v>
      </c>
      <c r="Z92" s="10">
        <v>4.2937740548337002</v>
      </c>
      <c r="AA92" s="10">
        <v>4.2936306054214004</v>
      </c>
      <c r="AB92" s="8">
        <v>231.17766095101101</v>
      </c>
      <c r="AC92" s="8">
        <v>231.23022221048899</v>
      </c>
      <c r="AD92" s="8">
        <v>231.205043321342</v>
      </c>
      <c r="AE92" s="9">
        <v>-2.2637622008308701E-4</v>
      </c>
      <c r="AF92" s="9">
        <v>9.6099287493117802E-7</v>
      </c>
      <c r="AG92" s="9">
        <v>-1.0793593194246E-4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6.1048926007925986E-4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6.1048926007925986E-4</v>
      </c>
    </row>
    <row r="93" spans="1:77" x14ac:dyDescent="0.3">
      <c r="A93" s="1">
        <v>46156</v>
      </c>
      <c r="B93" s="8">
        <v>54</v>
      </c>
      <c r="C93" s="8">
        <v>231.96</v>
      </c>
      <c r="D93" s="9">
        <v>2.78164296187677E-3</v>
      </c>
      <c r="E93" s="9">
        <v>3.1520568423636201E-3</v>
      </c>
      <c r="F93" s="8">
        <v>0</v>
      </c>
      <c r="G93" s="8">
        <v>0.28999999999999998</v>
      </c>
      <c r="H93" s="8">
        <v>0</v>
      </c>
      <c r="I93" s="8">
        <v>1.2169000000000001</v>
      </c>
      <c r="J93" s="8">
        <v>0</v>
      </c>
      <c r="K93" s="8">
        <v>0</v>
      </c>
      <c r="L93" s="8">
        <v>54</v>
      </c>
      <c r="M93" s="8">
        <v>231.96</v>
      </c>
      <c r="N93" s="10">
        <v>4.2955555555555502</v>
      </c>
      <c r="O93" s="10">
        <v>4.2929927753205499</v>
      </c>
      <c r="P93" s="10">
        <v>4.2941560108329604</v>
      </c>
      <c r="Q93" s="10">
        <v>4.29379786900118</v>
      </c>
      <c r="R93" s="8">
        <v>231.82160986730901</v>
      </c>
      <c r="S93" s="8">
        <v>231.863798961019</v>
      </c>
      <c r="T93" s="8">
        <v>231.85605269275601</v>
      </c>
      <c r="U93" s="9">
        <v>-5.9679010057001698E-4</v>
      </c>
      <c r="V93" s="9">
        <v>-4.1481718089995398E-4</v>
      </c>
      <c r="W93" s="9">
        <v>-4.4822643968801199E-4</v>
      </c>
      <c r="X93" s="10">
        <v>4.2955555555555502</v>
      </c>
      <c r="Y93" s="10">
        <v>4.2929927753205499</v>
      </c>
      <c r="Z93" s="10">
        <v>4.2941560108329604</v>
      </c>
      <c r="AA93" s="10">
        <v>4.29379786900118</v>
      </c>
      <c r="AB93" s="8">
        <v>231.82160986730901</v>
      </c>
      <c r="AC93" s="8">
        <v>231.863798961019</v>
      </c>
      <c r="AD93" s="8">
        <v>231.85605269275601</v>
      </c>
      <c r="AE93" s="9">
        <v>-5.9679010057001698E-4</v>
      </c>
      <c r="AF93" s="9">
        <v>-4.1481718089995398E-4</v>
      </c>
      <c r="AG93" s="9">
        <v>-4.4822643968801199E-4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6.1048926007925986E-4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6.1048926007925986E-4</v>
      </c>
    </row>
    <row r="94" spans="1:77" x14ac:dyDescent="0.3">
      <c r="A94" s="1">
        <v>46157</v>
      </c>
      <c r="B94" s="8">
        <v>53.84</v>
      </c>
      <c r="C94" s="8">
        <v>231.25</v>
      </c>
      <c r="D94" s="9">
        <v>-2.9673612278019999E-3</v>
      </c>
      <c r="E94" s="9">
        <v>-3.0655666157053101E-3</v>
      </c>
      <c r="F94" s="8">
        <v>0</v>
      </c>
      <c r="G94" s="8">
        <v>0.28999999999999998</v>
      </c>
      <c r="H94" s="8">
        <v>0</v>
      </c>
      <c r="I94" s="8">
        <v>1.2169000000000001</v>
      </c>
      <c r="J94" s="8">
        <v>0</v>
      </c>
      <c r="K94" s="8">
        <v>0</v>
      </c>
      <c r="L94" s="8">
        <v>53.84</v>
      </c>
      <c r="M94" s="8">
        <v>231.25</v>
      </c>
      <c r="N94" s="10">
        <v>4.2951337295690903</v>
      </c>
      <c r="O94" s="10">
        <v>4.2929927753205499</v>
      </c>
      <c r="P94" s="10">
        <v>4.29438300751554</v>
      </c>
      <c r="Q94" s="10">
        <v>4.2938781739504899</v>
      </c>
      <c r="R94" s="8">
        <v>231.13473102325801</v>
      </c>
      <c r="S94" s="8">
        <v>231.197359623246</v>
      </c>
      <c r="T94" s="8">
        <v>231.17807726702301</v>
      </c>
      <c r="U94" s="9">
        <v>-4.9858471266665903E-4</v>
      </c>
      <c r="V94" s="9">
        <v>-2.2765997420153301E-4</v>
      </c>
      <c r="W94" s="9">
        <v>-3.1106559956933799E-4</v>
      </c>
      <c r="X94" s="10">
        <v>4.2951337295690903</v>
      </c>
      <c r="Y94" s="10">
        <v>4.2929927753205499</v>
      </c>
      <c r="Z94" s="10">
        <v>4.29438300751554</v>
      </c>
      <c r="AA94" s="10">
        <v>4.2938781739504899</v>
      </c>
      <c r="AB94" s="8">
        <v>231.13473102325801</v>
      </c>
      <c r="AC94" s="8">
        <v>231.197359623246</v>
      </c>
      <c r="AD94" s="8">
        <v>231.17807726702301</v>
      </c>
      <c r="AE94" s="9">
        <v>-4.9858471266665903E-4</v>
      </c>
      <c r="AF94" s="9">
        <v>-2.2765997420153301E-4</v>
      </c>
      <c r="AG94" s="9">
        <v>-3.1106559956933799E-4</v>
      </c>
      <c r="AZ94" s="9"/>
      <c r="BB94">
        <f t="shared" si="22"/>
        <v>0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6.1048926007925986E-4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6.1048926007925986E-4</v>
      </c>
    </row>
    <row r="95" spans="1:77" x14ac:dyDescent="0.3">
      <c r="A95" s="1">
        <v>46160</v>
      </c>
      <c r="B95" s="8">
        <v>54.54</v>
      </c>
      <c r="C95" s="8">
        <v>234.25</v>
      </c>
      <c r="D95" s="9">
        <v>1.291769208097E-2</v>
      </c>
      <c r="E95" s="9">
        <v>1.2889544725997E-2</v>
      </c>
      <c r="F95" s="8">
        <v>0</v>
      </c>
      <c r="G95" s="8">
        <v>0.28999999999999998</v>
      </c>
      <c r="H95" s="8">
        <v>0</v>
      </c>
      <c r="I95" s="8">
        <v>1.2169000000000001</v>
      </c>
      <c r="J95" s="8">
        <v>0</v>
      </c>
      <c r="K95" s="8">
        <v>0</v>
      </c>
      <c r="L95" s="8">
        <v>54.54</v>
      </c>
      <c r="M95" s="8">
        <v>234.25</v>
      </c>
      <c r="N95" s="10">
        <v>4.2950128346167897</v>
      </c>
      <c r="O95" s="10">
        <v>4.2929927753205499</v>
      </c>
      <c r="P95" s="10">
        <v>4.2944505402764097</v>
      </c>
      <c r="Q95" s="10">
        <v>4.2938978569848496</v>
      </c>
      <c r="R95" s="8">
        <v>234.139825965982</v>
      </c>
      <c r="S95" s="8">
        <v>234.215649229897</v>
      </c>
      <c r="T95" s="8">
        <v>234.18811560725899</v>
      </c>
      <c r="U95" s="9">
        <v>-4.7043735769368103E-4</v>
      </c>
      <c r="V95" s="9">
        <v>-1.4665224748230501E-4</v>
      </c>
      <c r="W95" s="9">
        <v>-2.64215874150275E-4</v>
      </c>
      <c r="X95" s="10">
        <v>4.2950128346167897</v>
      </c>
      <c r="Y95" s="10">
        <v>4.2929927753205499</v>
      </c>
      <c r="Z95" s="10">
        <v>4.2944505402764097</v>
      </c>
      <c r="AA95" s="10">
        <v>4.2938978569848496</v>
      </c>
      <c r="AB95" s="8">
        <v>234.139825965982</v>
      </c>
      <c r="AC95" s="8">
        <v>234.215649229897</v>
      </c>
      <c r="AD95" s="8">
        <v>234.18811560725899</v>
      </c>
      <c r="AE95" s="9">
        <v>-4.7043735769368103E-4</v>
      </c>
      <c r="AF95" s="9">
        <v>-1.4665224748230501E-4</v>
      </c>
      <c r="AG95" s="9">
        <v>-2.64215874150275E-4</v>
      </c>
      <c r="AZ95" s="9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6.1048926007925986E-4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6.1048926007925986E-4</v>
      </c>
    </row>
    <row r="96" spans="1:77" x14ac:dyDescent="0.3">
      <c r="A96" s="1">
        <v>46161</v>
      </c>
      <c r="B96" s="8">
        <v>54.69</v>
      </c>
      <c r="C96" s="8">
        <v>234.76</v>
      </c>
      <c r="D96" s="9">
        <v>2.74649994123894E-3</v>
      </c>
      <c r="E96" s="9">
        <v>2.1747945716021301E-3</v>
      </c>
      <c r="F96" s="8">
        <v>0</v>
      </c>
      <c r="G96" s="8">
        <v>0.28999999999999998</v>
      </c>
      <c r="H96" s="8">
        <v>0</v>
      </c>
      <c r="I96" s="8">
        <v>1.2169000000000001</v>
      </c>
      <c r="J96" s="8">
        <v>0</v>
      </c>
      <c r="K96" s="8">
        <v>0</v>
      </c>
      <c r="L96" s="8">
        <v>54.69</v>
      </c>
      <c r="M96" s="8">
        <v>234.76</v>
      </c>
      <c r="N96" s="10">
        <v>4.2925580544889304</v>
      </c>
      <c r="O96" s="10">
        <v>4.2929927753205499</v>
      </c>
      <c r="P96" s="10">
        <v>4.2943722683443504</v>
      </c>
      <c r="Q96" s="10">
        <v>4.2938361176681701</v>
      </c>
      <c r="R96" s="8">
        <v>234.78377488228</v>
      </c>
      <c r="S96" s="8">
        <v>234.863500047717</v>
      </c>
      <c r="T96" s="8">
        <v>234.83327379850101</v>
      </c>
      <c r="U96" s="9">
        <v>1.012680119432E-4</v>
      </c>
      <c r="V96" s="9">
        <v>4.4077883403413002E-4</v>
      </c>
      <c r="W96" s="9">
        <v>3.1207346094908099E-4</v>
      </c>
      <c r="X96" s="10">
        <v>4.2925580544889304</v>
      </c>
      <c r="Y96" s="10">
        <v>4.2929927753205499</v>
      </c>
      <c r="Z96" s="10">
        <v>4.2943722683443504</v>
      </c>
      <c r="AA96" s="10">
        <v>4.2938361176681701</v>
      </c>
      <c r="AB96" s="8">
        <v>234.78377488228</v>
      </c>
      <c r="AC96" s="8">
        <v>234.863500047717</v>
      </c>
      <c r="AD96" s="8">
        <v>234.83327379850101</v>
      </c>
      <c r="AE96" s="9">
        <v>1.012680119432E-4</v>
      </c>
      <c r="AF96" s="9">
        <v>4.4077883403413002E-4</v>
      </c>
      <c r="AG96" s="9">
        <v>3.1207346094908099E-4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6.1048926007925986E-4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6.1048926007925986E-4</v>
      </c>
    </row>
    <row r="97" spans="1:77" x14ac:dyDescent="0.3">
      <c r="A97" s="1">
        <v>46162</v>
      </c>
      <c r="B97" s="8">
        <v>54.29</v>
      </c>
      <c r="C97" s="8">
        <v>233.14</v>
      </c>
      <c r="D97" s="9">
        <v>-7.3408294413216599E-3</v>
      </c>
      <c r="E97" s="9">
        <v>-6.9245841984474799E-3</v>
      </c>
      <c r="F97" s="8">
        <v>0</v>
      </c>
      <c r="G97" s="8">
        <v>0.28999999999999998</v>
      </c>
      <c r="H97" s="8">
        <v>0</v>
      </c>
      <c r="I97" s="8">
        <v>1.2169000000000001</v>
      </c>
      <c r="J97" s="8">
        <v>0</v>
      </c>
      <c r="K97" s="8">
        <v>0</v>
      </c>
      <c r="L97" s="8">
        <v>54.29</v>
      </c>
      <c r="M97" s="8">
        <v>233.14</v>
      </c>
      <c r="N97" s="10">
        <v>4.2943451832750004</v>
      </c>
      <c r="O97" s="10">
        <v>4.2929927753205499</v>
      </c>
      <c r="P97" s="10">
        <v>4.2944826384685397</v>
      </c>
      <c r="Q97" s="10">
        <v>4.29386646981105</v>
      </c>
      <c r="R97" s="8">
        <v>233.06657777215199</v>
      </c>
      <c r="S97" s="8">
        <v>233.14147044841499</v>
      </c>
      <c r="T97" s="8">
        <v>233.11236282820499</v>
      </c>
      <c r="U97" s="9">
        <v>-3.1497723093098698E-4</v>
      </c>
      <c r="V97" s="9">
        <v>6.3071278121390496E-6</v>
      </c>
      <c r="W97" s="9">
        <v>-1.1855027032818E-4</v>
      </c>
      <c r="X97" s="10">
        <v>4.2943451832750004</v>
      </c>
      <c r="Y97" s="10">
        <v>4.2929927753205499</v>
      </c>
      <c r="Z97" s="10">
        <v>4.2944826384685397</v>
      </c>
      <c r="AA97" s="10">
        <v>4.29386646981105</v>
      </c>
      <c r="AB97" s="8">
        <v>233.06657777215199</v>
      </c>
      <c r="AC97" s="8">
        <v>233.14147044841499</v>
      </c>
      <c r="AD97" s="8">
        <v>233.11236282820499</v>
      </c>
      <c r="AE97" s="9">
        <v>-3.1497723093098698E-4</v>
      </c>
      <c r="AF97" s="9">
        <v>6.3071278121390496E-6</v>
      </c>
      <c r="AG97" s="9">
        <v>-1.1855027032818E-4</v>
      </c>
      <c r="AZ97" s="9"/>
      <c r="BB97">
        <f t="shared" si="22"/>
        <v>0</v>
      </c>
      <c r="BC97">
        <f t="shared" si="23"/>
        <v>0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6.1048926007925986E-4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6.1048926007925986E-4</v>
      </c>
    </row>
    <row r="98" spans="1:77" x14ac:dyDescent="0.3">
      <c r="A98" s="1">
        <v>46163</v>
      </c>
      <c r="B98" s="8">
        <v>53.5</v>
      </c>
      <c r="C98" s="8">
        <v>229.78</v>
      </c>
      <c r="D98" s="9">
        <v>-1.46583940153988E-2</v>
      </c>
      <c r="E98" s="9">
        <v>-1.45168020664675E-2</v>
      </c>
      <c r="F98" s="8">
        <v>0</v>
      </c>
      <c r="G98" s="8">
        <v>0.28999999999999998</v>
      </c>
      <c r="H98" s="8">
        <v>0</v>
      </c>
      <c r="I98" s="8">
        <v>1.2169000000000001</v>
      </c>
      <c r="J98" s="8">
        <v>0</v>
      </c>
      <c r="K98" s="8">
        <v>0</v>
      </c>
      <c r="L98" s="8">
        <v>53.5</v>
      </c>
      <c r="M98" s="8">
        <v>229.78</v>
      </c>
      <c r="N98" s="10">
        <v>4.2949532710280298</v>
      </c>
      <c r="O98" s="10">
        <v>4.2929927753205499</v>
      </c>
      <c r="P98" s="10">
        <v>4.2945848750017799</v>
      </c>
      <c r="Q98" s="10">
        <v>4.2939181558133397</v>
      </c>
      <c r="R98" s="8">
        <v>229.67511347964901</v>
      </c>
      <c r="S98" s="8">
        <v>229.75482115806699</v>
      </c>
      <c r="T98" s="8">
        <v>229.721856134891</v>
      </c>
      <c r="U98" s="9">
        <v>-4.5656917986241499E-4</v>
      </c>
      <c r="V98" s="9">
        <v>-1.09584043683673E-4</v>
      </c>
      <c r="W98" s="9">
        <v>-2.5307347355735E-4</v>
      </c>
      <c r="X98" s="10">
        <v>4.2949532710280298</v>
      </c>
      <c r="Y98" s="10">
        <v>4.2929927753205499</v>
      </c>
      <c r="Z98" s="10">
        <v>4.2945848750017799</v>
      </c>
      <c r="AA98" s="10">
        <v>4.2939181558133397</v>
      </c>
      <c r="AB98" s="8">
        <v>229.67511347964901</v>
      </c>
      <c r="AC98" s="8">
        <v>229.75482115806699</v>
      </c>
      <c r="AD98" s="8">
        <v>229.721856134891</v>
      </c>
      <c r="AE98" s="9">
        <v>-4.5656917986241499E-4</v>
      </c>
      <c r="AF98" s="9">
        <v>-1.09584043683673E-4</v>
      </c>
      <c r="AG98" s="9">
        <v>-2.5307347355735E-4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6.1048926007925986E-4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6.1048926007925986E-4</v>
      </c>
    </row>
    <row r="99" spans="1:77" x14ac:dyDescent="0.3">
      <c r="A99" s="1">
        <v>46164</v>
      </c>
      <c r="B99" s="8">
        <v>53.5</v>
      </c>
      <c r="C99" s="8">
        <v>229.69</v>
      </c>
      <c r="D99" s="9">
        <v>0</v>
      </c>
      <c r="E99" s="9">
        <v>-3.9175572355557302E-4</v>
      </c>
      <c r="F99" s="8">
        <v>0</v>
      </c>
      <c r="G99" s="8">
        <v>0.28999999999999998</v>
      </c>
      <c r="H99" s="8">
        <v>0</v>
      </c>
      <c r="I99" s="8">
        <v>1.2169000000000001</v>
      </c>
      <c r="J99" s="8">
        <v>0</v>
      </c>
      <c r="K99" s="8">
        <v>0</v>
      </c>
      <c r="L99" s="8">
        <v>53.5</v>
      </c>
      <c r="M99" s="8">
        <v>229.69</v>
      </c>
      <c r="N99" s="10">
        <v>4.2932710280373803</v>
      </c>
      <c r="O99" s="10">
        <v>4.2929927753205499</v>
      </c>
      <c r="P99" s="10">
        <v>4.2943597389995496</v>
      </c>
      <c r="Q99" s="10">
        <v>4.29398549211309</v>
      </c>
      <c r="R99" s="8">
        <v>229.67511347964901</v>
      </c>
      <c r="S99" s="8">
        <v>229.760290812595</v>
      </c>
      <c r="T99" s="8">
        <v>229.724621336013</v>
      </c>
      <c r="U99" s="9">
        <v>-6.4813456306719194E-5</v>
      </c>
      <c r="V99" s="9">
        <v>3.0597788073982599E-4</v>
      </c>
      <c r="W99" s="9">
        <v>1.5071934793325101E-4</v>
      </c>
      <c r="X99" s="10">
        <v>4.2932710280373803</v>
      </c>
      <c r="Y99" s="10">
        <v>4.2929927753205499</v>
      </c>
      <c r="Z99" s="10">
        <v>4.2943597389995496</v>
      </c>
      <c r="AA99" s="10">
        <v>4.29398549211309</v>
      </c>
      <c r="AB99" s="8">
        <v>229.67511347964901</v>
      </c>
      <c r="AC99" s="8">
        <v>229.760290812595</v>
      </c>
      <c r="AD99" s="8">
        <v>229.724621336013</v>
      </c>
      <c r="AE99" s="9">
        <v>-6.4813456306719194E-5</v>
      </c>
      <c r="AF99" s="9">
        <v>3.0597788073982599E-4</v>
      </c>
      <c r="AG99" s="9">
        <v>1.5071934793325101E-4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6.1048926007925986E-4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6.1048926007925986E-4</v>
      </c>
    </row>
    <row r="100" spans="1:77" x14ac:dyDescent="0.3">
      <c r="A100" s="1">
        <v>46168</v>
      </c>
      <c r="B100" s="8">
        <v>52.75</v>
      </c>
      <c r="C100" s="8">
        <v>226.39</v>
      </c>
      <c r="D100" s="9">
        <v>-1.41178815457849E-2</v>
      </c>
      <c r="E100" s="9">
        <v>-1.44713979594487E-2</v>
      </c>
      <c r="F100" s="8">
        <v>0</v>
      </c>
      <c r="G100" s="8">
        <v>0.28999999999999998</v>
      </c>
      <c r="H100" s="8">
        <v>0</v>
      </c>
      <c r="I100" s="8">
        <v>1.2169000000000001</v>
      </c>
      <c r="J100" s="8">
        <v>0</v>
      </c>
      <c r="K100" s="8">
        <v>0</v>
      </c>
      <c r="L100" s="8">
        <v>52.75</v>
      </c>
      <c r="M100" s="8">
        <v>226.39</v>
      </c>
      <c r="N100" s="10">
        <v>4.2917535545023604</v>
      </c>
      <c r="O100" s="10">
        <v>4.2929927753205499</v>
      </c>
      <c r="P100" s="10">
        <v>4.2941388680346897</v>
      </c>
      <c r="Q100" s="10">
        <v>4.2939480278465396</v>
      </c>
      <c r="R100" s="8">
        <v>226.45536889815901</v>
      </c>
      <c r="S100" s="8">
        <v>226.52747623222601</v>
      </c>
      <c r="T100" s="8">
        <v>226.50773470896499</v>
      </c>
      <c r="U100" s="9">
        <v>2.8870295735703198E-4</v>
      </c>
      <c r="V100" s="9">
        <v>6.0706969221980503E-4</v>
      </c>
      <c r="W100" s="9">
        <v>5.1991742327202903E-4</v>
      </c>
      <c r="X100" s="10">
        <v>4.2917535545023604</v>
      </c>
      <c r="Y100" s="10">
        <v>4.2929927753205499</v>
      </c>
      <c r="Z100" s="10">
        <v>4.2941388680346897</v>
      </c>
      <c r="AA100" s="10">
        <v>4.2939480278465396</v>
      </c>
      <c r="AB100" s="8">
        <v>226.45536889815901</v>
      </c>
      <c r="AC100" s="8">
        <v>226.52747623222601</v>
      </c>
      <c r="AD100" s="8">
        <v>226.50773470896499</v>
      </c>
      <c r="AE100" s="9">
        <v>2.8870295735703198E-4</v>
      </c>
      <c r="AF100" s="9">
        <v>6.0706969221980503E-4</v>
      </c>
      <c r="AG100" s="9">
        <v>5.1991742327202903E-4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6.1048926007925986E-4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6.1048926007925986E-4</v>
      </c>
    </row>
    <row r="101" spans="1:77" x14ac:dyDescent="0.3">
      <c r="A101" s="1">
        <v>46169</v>
      </c>
      <c r="B101" s="8">
        <v>53.28</v>
      </c>
      <c r="C101" s="8">
        <v>228.79</v>
      </c>
      <c r="D101" s="9">
        <v>9.9972538759578993E-3</v>
      </c>
      <c r="E101" s="9">
        <v>1.0545376514574101E-2</v>
      </c>
      <c r="F101" s="8">
        <v>0</v>
      </c>
      <c r="G101" s="8">
        <v>0.28999999999999998</v>
      </c>
      <c r="H101" s="8">
        <v>0</v>
      </c>
      <c r="I101" s="8">
        <v>1.2169000000000001</v>
      </c>
      <c r="J101" s="8">
        <v>0</v>
      </c>
      <c r="K101" s="8">
        <v>0</v>
      </c>
      <c r="L101" s="8">
        <v>53.28</v>
      </c>
      <c r="M101" s="8">
        <v>228.79</v>
      </c>
      <c r="N101" s="10">
        <v>4.2941066066065998</v>
      </c>
      <c r="O101" s="10">
        <v>4.2929927753205499</v>
      </c>
      <c r="P101" s="10">
        <v>4.29406545344857</v>
      </c>
      <c r="Q101" s="10">
        <v>4.2940171483629896</v>
      </c>
      <c r="R101" s="8">
        <v>228.73065506907901</v>
      </c>
      <c r="S101" s="8">
        <v>228.791718888888</v>
      </c>
      <c r="T101" s="8">
        <v>228.78155092366299</v>
      </c>
      <c r="U101" s="9">
        <v>-2.5941968125934E-4</v>
      </c>
      <c r="V101" s="9">
        <v>7.5129264032082903E-6</v>
      </c>
      <c r="W101" s="9">
        <v>-3.6930077143600102E-5</v>
      </c>
      <c r="X101" s="10">
        <v>4.2941066066065998</v>
      </c>
      <c r="Y101" s="10">
        <v>4.2929927753205499</v>
      </c>
      <c r="Z101" s="10">
        <v>4.29406545344857</v>
      </c>
      <c r="AA101" s="10">
        <v>4.2940171483629896</v>
      </c>
      <c r="AB101" s="8">
        <v>228.73065506907901</v>
      </c>
      <c r="AC101" s="8">
        <v>228.791718888888</v>
      </c>
      <c r="AD101" s="8">
        <v>228.78155092366299</v>
      </c>
      <c r="AE101" s="9">
        <v>-2.5941968125934E-4</v>
      </c>
      <c r="AF101" s="9">
        <v>7.5129264032082903E-6</v>
      </c>
      <c r="AG101" s="9">
        <v>-3.6930077143600102E-5</v>
      </c>
      <c r="AZ101" s="9"/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6.1048926007925986E-4</v>
      </c>
      <c r="BL101" s="9"/>
      <c r="BN101">
        <f t="shared" si="30"/>
        <v>0</v>
      </c>
      <c r="BO101">
        <f t="shared" si="31"/>
        <v>1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6.1048926007925986E-4</v>
      </c>
    </row>
    <row r="102" spans="1:77" x14ac:dyDescent="0.3">
      <c r="A102" s="1">
        <v>46170</v>
      </c>
      <c r="B102" s="8">
        <v>53.15</v>
      </c>
      <c r="C102" s="8">
        <v>228.13</v>
      </c>
      <c r="D102" s="9">
        <v>-2.4429214441767798E-3</v>
      </c>
      <c r="E102" s="9">
        <v>-2.88891035200518E-3</v>
      </c>
      <c r="F102" s="8">
        <v>0</v>
      </c>
      <c r="G102" s="8">
        <v>0.28999999999999998</v>
      </c>
      <c r="H102" s="8">
        <v>0</v>
      </c>
      <c r="I102" s="8">
        <v>1.2169000000000001</v>
      </c>
      <c r="J102" s="8">
        <v>0</v>
      </c>
      <c r="K102" s="8">
        <v>0</v>
      </c>
      <c r="L102" s="8">
        <v>53.15</v>
      </c>
      <c r="M102" s="8">
        <v>228.13</v>
      </c>
      <c r="N102" s="10">
        <v>4.2921919096895502</v>
      </c>
      <c r="O102" s="10">
        <v>4.2929927753205499</v>
      </c>
      <c r="P102" s="10">
        <v>4.2938881727369296</v>
      </c>
      <c r="Q102" s="10">
        <v>4.29383111378531</v>
      </c>
      <c r="R102" s="8">
        <v>228.17256600828699</v>
      </c>
      <c r="S102" s="8">
        <v>228.229578850791</v>
      </c>
      <c r="T102" s="8">
        <v>228.22701143549301</v>
      </c>
      <c r="U102" s="9">
        <v>1.86569226568912E-4</v>
      </c>
      <c r="V102" s="9">
        <v>4.36405225119929E-4</v>
      </c>
      <c r="W102" s="9">
        <v>4.2515589559794198E-4</v>
      </c>
      <c r="X102" s="10">
        <v>4.2921919096895502</v>
      </c>
      <c r="Y102" s="10">
        <v>4.2929927753205499</v>
      </c>
      <c r="Z102" s="10">
        <v>4.2938881727369296</v>
      </c>
      <c r="AA102" s="10">
        <v>4.29383111378531</v>
      </c>
      <c r="AB102" s="8">
        <v>228.17256600828699</v>
      </c>
      <c r="AC102" s="8">
        <v>228.229578850791</v>
      </c>
      <c r="AD102" s="8">
        <v>228.22701143549301</v>
      </c>
      <c r="AE102" s="9">
        <v>1.86569226568912E-4</v>
      </c>
      <c r="AF102" s="9">
        <v>4.36405225119929E-4</v>
      </c>
      <c r="AG102" s="9">
        <v>4.2515589559794198E-4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6.1048926007925986E-4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6.1048926007925986E-4</v>
      </c>
    </row>
    <row r="103" spans="1:77" x14ac:dyDescent="0.3">
      <c r="A103" s="1">
        <v>46171</v>
      </c>
      <c r="B103" s="8">
        <v>52.11</v>
      </c>
      <c r="C103" s="8">
        <v>223.75</v>
      </c>
      <c r="D103" s="9">
        <v>-1.9761235866833701E-2</v>
      </c>
      <c r="E103" s="9">
        <v>-1.93862847498186E-2</v>
      </c>
      <c r="F103" s="8">
        <v>0</v>
      </c>
      <c r="G103" s="8">
        <v>0.28999999999999998</v>
      </c>
      <c r="H103" s="8">
        <v>0</v>
      </c>
      <c r="I103" s="8">
        <v>1.2169000000000001</v>
      </c>
      <c r="J103" s="8">
        <v>0</v>
      </c>
      <c r="K103" s="8">
        <v>0</v>
      </c>
      <c r="L103" s="8">
        <v>52.11</v>
      </c>
      <c r="M103" s="8">
        <v>223.75</v>
      </c>
      <c r="N103" s="10">
        <v>4.2938015735943198</v>
      </c>
      <c r="O103" s="10">
        <v>4.2929927753205499</v>
      </c>
      <c r="P103" s="10">
        <v>4.2937127745407997</v>
      </c>
      <c r="Q103" s="10">
        <v>4.2939343926868796</v>
      </c>
      <c r="R103" s="8">
        <v>223.70785352195301</v>
      </c>
      <c r="S103" s="8">
        <v>223.75451268132099</v>
      </c>
      <c r="T103" s="8">
        <v>223.75153933935201</v>
      </c>
      <c r="U103" s="9">
        <v>-1.8838189044602301E-4</v>
      </c>
      <c r="V103" s="9">
        <v>2.0168204761732202E-5</v>
      </c>
      <c r="W103" s="9">
        <v>6.8797052861877299E-6</v>
      </c>
      <c r="X103" s="10">
        <v>4.2938015735943198</v>
      </c>
      <c r="Y103" s="10">
        <v>4.2929927753205499</v>
      </c>
      <c r="Z103" s="10">
        <v>4.2937127745407997</v>
      </c>
      <c r="AA103" s="10">
        <v>4.2939343926868796</v>
      </c>
      <c r="AB103" s="8">
        <v>223.70785352195301</v>
      </c>
      <c r="AC103" s="8">
        <v>223.75451268132099</v>
      </c>
      <c r="AD103" s="8">
        <v>223.75153933935201</v>
      </c>
      <c r="AE103" s="9">
        <v>-1.8838189044602301E-4</v>
      </c>
      <c r="AF103" s="9">
        <v>2.0168204761732202E-5</v>
      </c>
      <c r="AG103" s="9">
        <v>6.8797052861877299E-6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6.1048926007925986E-4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6.1048926007925986E-4</v>
      </c>
    </row>
    <row r="104" spans="1:77" x14ac:dyDescent="0.3">
      <c r="A104" s="1">
        <v>46174</v>
      </c>
      <c r="B104" s="8">
        <v>51.58</v>
      </c>
      <c r="C104" s="8">
        <v>221.47</v>
      </c>
      <c r="D104" s="9">
        <v>-1.0222868467924501E-2</v>
      </c>
      <c r="E104" s="9">
        <v>-1.0242217023210799E-2</v>
      </c>
      <c r="F104" s="8">
        <v>0</v>
      </c>
      <c r="G104" s="8">
        <v>0.28999999999999998</v>
      </c>
      <c r="H104" s="8">
        <v>0</v>
      </c>
      <c r="I104" s="8">
        <v>1.2169000000000001</v>
      </c>
      <c r="J104" s="8">
        <v>0</v>
      </c>
      <c r="K104" s="8">
        <v>0</v>
      </c>
      <c r="L104" s="8">
        <v>51.58</v>
      </c>
      <c r="M104" s="8">
        <v>221.47</v>
      </c>
      <c r="N104" s="10">
        <v>4.2937184955409</v>
      </c>
      <c r="O104" s="10">
        <v>4.2929927753205499</v>
      </c>
      <c r="P104" s="10">
        <v>4.2935712511379904</v>
      </c>
      <c r="Q104" s="10">
        <v>4.2939771293267599</v>
      </c>
      <c r="R104" s="8">
        <v>221.43256735103401</v>
      </c>
      <c r="S104" s="8">
        <v>221.46970491081399</v>
      </c>
      <c r="T104" s="8">
        <v>221.481135974789</v>
      </c>
      <c r="U104" s="9">
        <v>-1.69033335159752E-4</v>
      </c>
      <c r="V104" s="9">
        <v>-1.3324124334235199E-6</v>
      </c>
      <c r="W104" s="9">
        <v>5.0280827330555599E-5</v>
      </c>
      <c r="X104" s="10">
        <v>4.2937184955409</v>
      </c>
      <c r="Y104" s="10">
        <v>4.2929927753205499</v>
      </c>
      <c r="Z104" s="10">
        <v>4.2935712511379904</v>
      </c>
      <c r="AA104" s="10">
        <v>4.2939771293267599</v>
      </c>
      <c r="AB104" s="8">
        <v>221.43256735103401</v>
      </c>
      <c r="AC104" s="8">
        <v>221.46970491081399</v>
      </c>
      <c r="AD104" s="8">
        <v>221.481135974789</v>
      </c>
      <c r="AE104" s="9">
        <v>-1.69033335159752E-4</v>
      </c>
      <c r="AF104" s="9">
        <v>-1.3324124334235199E-6</v>
      </c>
      <c r="AG104" s="9">
        <v>5.0280827330555599E-5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6.1048926007925986E-4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6.1048926007925986E-4</v>
      </c>
    </row>
    <row r="105" spans="1:77" x14ac:dyDescent="0.3">
      <c r="A105" s="1">
        <v>46175</v>
      </c>
      <c r="B105" s="8">
        <v>51.44</v>
      </c>
      <c r="C105" s="8">
        <v>220.82</v>
      </c>
      <c r="D105" s="9">
        <v>-2.7179205238347598E-3</v>
      </c>
      <c r="E105" s="9">
        <v>-2.93925012076294E-3</v>
      </c>
      <c r="F105" s="8">
        <v>0</v>
      </c>
      <c r="G105" s="8">
        <v>0.28999999999999998</v>
      </c>
      <c r="H105" s="8">
        <v>0</v>
      </c>
      <c r="I105" s="8">
        <v>1.2169000000000001</v>
      </c>
      <c r="J105" s="8">
        <v>0</v>
      </c>
      <c r="K105" s="8">
        <v>0</v>
      </c>
      <c r="L105" s="8">
        <v>51.44</v>
      </c>
      <c r="M105" s="8">
        <v>220.82</v>
      </c>
      <c r="N105" s="10">
        <v>4.2927682737169501</v>
      </c>
      <c r="O105" s="10">
        <v>4.2929927753205499</v>
      </c>
      <c r="P105" s="10">
        <v>4.2933467950480004</v>
      </c>
      <c r="Q105" s="10">
        <v>4.2938986676622104</v>
      </c>
      <c r="R105" s="8">
        <v>220.831548362489</v>
      </c>
      <c r="S105" s="8">
        <v>220.86130515853799</v>
      </c>
      <c r="T105" s="8">
        <v>220.88218353256801</v>
      </c>
      <c r="U105" s="9">
        <v>5.22962617685244E-5</v>
      </c>
      <c r="V105" s="9">
        <v>1.87036028812204E-4</v>
      </c>
      <c r="W105" s="9">
        <v>2.8156316766397301E-4</v>
      </c>
      <c r="X105" s="10">
        <v>4.2927682737169501</v>
      </c>
      <c r="Y105" s="10">
        <v>4.2929927753205499</v>
      </c>
      <c r="Z105" s="10">
        <v>4.2933467950480004</v>
      </c>
      <c r="AA105" s="10">
        <v>4.2938986676622104</v>
      </c>
      <c r="AB105" s="8">
        <v>220.831548362489</v>
      </c>
      <c r="AC105" s="8">
        <v>220.86130515853799</v>
      </c>
      <c r="AD105" s="8">
        <v>220.88218353256801</v>
      </c>
      <c r="AE105" s="9">
        <v>5.22962617685244E-5</v>
      </c>
      <c r="AF105" s="9">
        <v>1.87036028812204E-4</v>
      </c>
      <c r="AG105" s="9">
        <v>2.8156316766397301E-4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6.1048926007925986E-4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6.1048926007925986E-4</v>
      </c>
    </row>
    <row r="106" spans="1:77" x14ac:dyDescent="0.3">
      <c r="A106" s="1">
        <v>46176</v>
      </c>
      <c r="B106" s="8">
        <v>51.75</v>
      </c>
      <c r="C106" s="8">
        <v>222.17</v>
      </c>
      <c r="D106" s="9">
        <v>6.0083522161144803E-3</v>
      </c>
      <c r="E106" s="9">
        <v>6.0949645780451903E-3</v>
      </c>
      <c r="F106" s="8">
        <v>0</v>
      </c>
      <c r="G106" s="8">
        <v>0.28999999999999998</v>
      </c>
      <c r="H106" s="8">
        <v>0</v>
      </c>
      <c r="I106" s="8">
        <v>1.2169000000000001</v>
      </c>
      <c r="J106" s="8">
        <v>0</v>
      </c>
      <c r="K106" s="8">
        <v>0</v>
      </c>
      <c r="L106" s="8">
        <v>51.75</v>
      </c>
      <c r="M106" s="8">
        <v>222.17</v>
      </c>
      <c r="N106" s="10">
        <v>4.2931400966183499</v>
      </c>
      <c r="O106" s="10">
        <v>4.2929927753205499</v>
      </c>
      <c r="P106" s="10">
        <v>4.2934049992609404</v>
      </c>
      <c r="Q106" s="10">
        <v>4.2938886338026503</v>
      </c>
      <c r="R106" s="8">
        <v>222.162376122838</v>
      </c>
      <c r="S106" s="8">
        <v>222.180696643734</v>
      </c>
      <c r="T106" s="8">
        <v>222.20925605151899</v>
      </c>
      <c r="U106" s="9">
        <v>-3.4316100162304301E-5</v>
      </c>
      <c r="V106" s="9">
        <v>4.8145052172932702E-5</v>
      </c>
      <c r="W106" s="9">
        <v>1.76678146367478E-4</v>
      </c>
      <c r="X106" s="10">
        <v>4.2931400966183499</v>
      </c>
      <c r="Y106" s="10">
        <v>4.2929927753205499</v>
      </c>
      <c r="Z106" s="10">
        <v>4.2934049992609404</v>
      </c>
      <c r="AA106" s="10">
        <v>4.2938886338026503</v>
      </c>
      <c r="AB106" s="8">
        <v>222.162376122838</v>
      </c>
      <c r="AC106" s="8">
        <v>222.180696643734</v>
      </c>
      <c r="AD106" s="8">
        <v>222.20925605151899</v>
      </c>
      <c r="AE106" s="9">
        <v>-3.4316100162304301E-5</v>
      </c>
      <c r="AF106" s="9">
        <v>4.8145052172932702E-5</v>
      </c>
      <c r="AG106" s="9">
        <v>1.76678146367478E-4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6.1048926007925986E-4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6.1048926007925986E-4</v>
      </c>
    </row>
    <row r="107" spans="1:77" x14ac:dyDescent="0.3">
      <c r="A107" s="1">
        <v>46177</v>
      </c>
      <c r="B107" s="8">
        <v>51.7</v>
      </c>
      <c r="C107" s="8">
        <v>221.91</v>
      </c>
      <c r="D107" s="9">
        <v>-9.6665063109498996E-4</v>
      </c>
      <c r="E107" s="9">
        <v>-1.1709603211502401E-3</v>
      </c>
      <c r="F107" s="8">
        <v>0</v>
      </c>
      <c r="G107" s="8">
        <v>0.28999999999999998</v>
      </c>
      <c r="H107" s="8">
        <v>0</v>
      </c>
      <c r="I107" s="8">
        <v>1.2169000000000001</v>
      </c>
      <c r="J107" s="8">
        <v>0</v>
      </c>
      <c r="K107" s="8">
        <v>0</v>
      </c>
      <c r="L107" s="8">
        <v>51.7</v>
      </c>
      <c r="M107" s="8">
        <v>221.91</v>
      </c>
      <c r="N107" s="10">
        <v>4.2922630560928399</v>
      </c>
      <c r="O107" s="10">
        <v>4.2929927753205499</v>
      </c>
      <c r="P107" s="10">
        <v>4.2931967865427296</v>
      </c>
      <c r="Q107" s="10">
        <v>4.2938397125056396</v>
      </c>
      <c r="R107" s="8">
        <v>221.94772648407201</v>
      </c>
      <c r="S107" s="8">
        <v>221.969038461791</v>
      </c>
      <c r="T107" s="8">
        <v>221.99404236759699</v>
      </c>
      <c r="U107" s="9">
        <v>1.69993589893004E-4</v>
      </c>
      <c r="V107" s="9">
        <v>2.6601148972393802E-4</v>
      </c>
      <c r="W107" s="9">
        <v>3.7865106230213999E-4</v>
      </c>
      <c r="X107" s="10">
        <v>4.2922630560928399</v>
      </c>
      <c r="Y107" s="10">
        <v>4.2929927753205499</v>
      </c>
      <c r="Z107" s="10">
        <v>4.2931967865427296</v>
      </c>
      <c r="AA107" s="10">
        <v>4.2938397125056396</v>
      </c>
      <c r="AB107" s="8">
        <v>221.94772648407201</v>
      </c>
      <c r="AC107" s="8">
        <v>221.969038461791</v>
      </c>
      <c r="AD107" s="8">
        <v>221.99404236759699</v>
      </c>
      <c r="AE107" s="9">
        <v>1.69993589893004E-4</v>
      </c>
      <c r="AF107" s="9">
        <v>2.6601148972393802E-4</v>
      </c>
      <c r="AG107" s="9">
        <v>3.7865106230213999E-4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6.1048926007925986E-4</v>
      </c>
      <c r="BL107" s="9"/>
      <c r="BN107">
        <f t="shared" si="30"/>
        <v>0</v>
      </c>
      <c r="BO107">
        <f t="shared" si="31"/>
        <v>0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6.1048926007925986E-4</v>
      </c>
    </row>
    <row r="108" spans="1:77" x14ac:dyDescent="0.3">
      <c r="A108" s="1">
        <v>46178</v>
      </c>
      <c r="B108" s="8">
        <v>52.57</v>
      </c>
      <c r="C108" s="8">
        <v>225.75</v>
      </c>
      <c r="D108" s="9">
        <v>1.66878333169731E-2</v>
      </c>
      <c r="E108" s="9">
        <v>1.7156298029208799E-2</v>
      </c>
      <c r="F108" s="8">
        <v>0</v>
      </c>
      <c r="G108" s="8">
        <v>0.28999999999999998</v>
      </c>
      <c r="H108" s="8">
        <v>0</v>
      </c>
      <c r="I108" s="8">
        <v>1.2169000000000001</v>
      </c>
      <c r="J108" s="8">
        <v>0</v>
      </c>
      <c r="K108" s="8">
        <v>0</v>
      </c>
      <c r="L108" s="8">
        <v>52.57</v>
      </c>
      <c r="M108" s="8">
        <v>225.75</v>
      </c>
      <c r="N108" s="10">
        <v>4.2942743009320896</v>
      </c>
      <c r="O108" s="10">
        <v>4.2929927753205499</v>
      </c>
      <c r="P108" s="10">
        <v>4.2931288895331301</v>
      </c>
      <c r="Q108" s="10">
        <v>4.2938568822674599</v>
      </c>
      <c r="R108" s="8">
        <v>225.682630198601</v>
      </c>
      <c r="S108" s="8">
        <v>225.693355068551</v>
      </c>
      <c r="T108" s="8">
        <v>225.72715368642099</v>
      </c>
      <c r="U108" s="9">
        <v>-2.9847112234270099E-4</v>
      </c>
      <c r="V108" s="9">
        <v>-2.5095034010275201E-4</v>
      </c>
      <c r="W108" s="9">
        <v>-1.0120695327092799E-4</v>
      </c>
      <c r="X108" s="10">
        <v>4.2942743009320896</v>
      </c>
      <c r="Y108" s="10">
        <v>4.2929927753205499</v>
      </c>
      <c r="Z108" s="10">
        <v>4.2931288895331301</v>
      </c>
      <c r="AA108" s="10">
        <v>4.2938568822674599</v>
      </c>
      <c r="AB108" s="8">
        <v>225.682630198601</v>
      </c>
      <c r="AC108" s="8">
        <v>225.693355068551</v>
      </c>
      <c r="AD108" s="8">
        <v>225.72715368642099</v>
      </c>
      <c r="AE108" s="9">
        <v>-2.9847112234270099E-4</v>
      </c>
      <c r="AF108" s="9">
        <v>-2.5095034010275201E-4</v>
      </c>
      <c r="AG108" s="9">
        <v>-1.0120695327092799E-4</v>
      </c>
      <c r="AZ108" s="9"/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6.1048926007925986E-4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6.1048926007925986E-4</v>
      </c>
    </row>
    <row r="109" spans="1:77" x14ac:dyDescent="0.3">
      <c r="A109" s="1">
        <v>46181</v>
      </c>
      <c r="B109" s="8">
        <v>52.48</v>
      </c>
      <c r="C109" s="8">
        <v>225.19</v>
      </c>
      <c r="D109" s="9">
        <v>-1.71347019552311E-3</v>
      </c>
      <c r="E109" s="9">
        <v>-2.4837019908465598E-3</v>
      </c>
      <c r="F109" s="8">
        <v>0</v>
      </c>
      <c r="G109" s="8">
        <v>0.28999999999999998</v>
      </c>
      <c r="H109" s="8">
        <v>0</v>
      </c>
      <c r="I109" s="8">
        <v>1.2169000000000001</v>
      </c>
      <c r="J109" s="8">
        <v>0</v>
      </c>
      <c r="K109" s="8">
        <v>0</v>
      </c>
      <c r="L109" s="8">
        <v>52.48</v>
      </c>
      <c r="M109" s="8">
        <v>225.19</v>
      </c>
      <c r="N109" s="10">
        <v>4.2909679878048701</v>
      </c>
      <c r="O109" s="10">
        <v>4.2929927753205499</v>
      </c>
      <c r="P109" s="10">
        <v>4.2928985855098798</v>
      </c>
      <c r="Q109" s="10">
        <v>4.29362916225472</v>
      </c>
      <c r="R109" s="8">
        <v>225.29626084882199</v>
      </c>
      <c r="S109" s="8">
        <v>225.30340412269899</v>
      </c>
      <c r="T109" s="8">
        <v>225.341609181396</v>
      </c>
      <c r="U109" s="9">
        <v>4.7176067298063102E-4</v>
      </c>
      <c r="V109" s="9">
        <v>5.0346630630653498E-4</v>
      </c>
      <c r="W109" s="9">
        <v>6.7302353055639398E-4</v>
      </c>
      <c r="X109" s="10">
        <v>4.2909679878048701</v>
      </c>
      <c r="Y109" s="10">
        <v>4.2929927753205499</v>
      </c>
      <c r="Z109" s="10">
        <v>4.2928985855098798</v>
      </c>
      <c r="AA109" s="10">
        <v>4.29362916225472</v>
      </c>
      <c r="AB109" s="8">
        <v>225.29626084882199</v>
      </c>
      <c r="AC109" s="8">
        <v>225.30340412269899</v>
      </c>
      <c r="AD109" s="8">
        <v>225.341609181396</v>
      </c>
      <c r="AE109" s="9">
        <v>4.7176067298063102E-4</v>
      </c>
      <c r="AF109" s="9">
        <v>5.0346630630653498E-4</v>
      </c>
      <c r="AG109" s="9">
        <v>6.7302353055639398E-4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6.1048926007925986E-4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6.1048926007925986E-4</v>
      </c>
    </row>
    <row r="110" spans="1:77" x14ac:dyDescent="0.3">
      <c r="A110" s="1">
        <v>46182</v>
      </c>
      <c r="B110" s="8">
        <v>52.98</v>
      </c>
      <c r="C110" s="8">
        <v>227.52</v>
      </c>
      <c r="D110" s="9">
        <v>9.4823392080900393E-3</v>
      </c>
      <c r="E110" s="9">
        <v>1.02936563086278E-2</v>
      </c>
      <c r="F110" s="8">
        <v>0</v>
      </c>
      <c r="G110" s="8">
        <v>0.28999999999999998</v>
      </c>
      <c r="H110" s="8">
        <v>0</v>
      </c>
      <c r="I110" s="8">
        <v>1.2169000000000001</v>
      </c>
      <c r="J110" s="8">
        <v>0</v>
      </c>
      <c r="K110" s="8">
        <v>0</v>
      </c>
      <c r="L110" s="8">
        <v>52.98</v>
      </c>
      <c r="M110" s="8">
        <v>227.52</v>
      </c>
      <c r="N110" s="10">
        <v>4.2944507361268398</v>
      </c>
      <c r="O110" s="10">
        <v>4.2929927753205499</v>
      </c>
      <c r="P110" s="10">
        <v>4.2931683036723296</v>
      </c>
      <c r="Q110" s="10">
        <v>4.2936535858535096</v>
      </c>
      <c r="R110" s="8">
        <v>227.44275723648201</v>
      </c>
      <c r="S110" s="8">
        <v>227.43776706031301</v>
      </c>
      <c r="T110" s="8">
        <v>227.476473016255</v>
      </c>
      <c r="U110" s="9">
        <v>-3.3955642755712602E-4</v>
      </c>
      <c r="V110" s="9">
        <v>-3.6149702911102897E-4</v>
      </c>
      <c r="W110" s="9">
        <v>-1.9132888476719399E-4</v>
      </c>
      <c r="X110" s="10">
        <v>4.2944507361268398</v>
      </c>
      <c r="Y110" s="10">
        <v>4.2929927753205499</v>
      </c>
      <c r="Z110" s="10">
        <v>4.2931683036723296</v>
      </c>
      <c r="AA110" s="10">
        <v>4.2936535858535096</v>
      </c>
      <c r="AB110" s="8">
        <v>227.44275723648201</v>
      </c>
      <c r="AC110" s="8">
        <v>227.43776706031301</v>
      </c>
      <c r="AD110" s="8">
        <v>227.476473016255</v>
      </c>
      <c r="AE110" s="9">
        <v>-3.3955642755712602E-4</v>
      </c>
      <c r="AF110" s="9">
        <v>-3.6149702911102897E-4</v>
      </c>
      <c r="AG110" s="9">
        <v>-1.9132888476719399E-4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6.1048926007925986E-4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6.1048926007925986E-4</v>
      </c>
    </row>
    <row r="111" spans="1:77" x14ac:dyDescent="0.3">
      <c r="A111" s="1">
        <v>46183</v>
      </c>
      <c r="B111" s="8">
        <v>53.91</v>
      </c>
      <c r="C111" s="8">
        <v>231.33</v>
      </c>
      <c r="D111" s="9">
        <v>1.7401505619653701E-2</v>
      </c>
      <c r="E111" s="9">
        <v>1.6607115898103E-2</v>
      </c>
      <c r="F111" s="8">
        <v>0</v>
      </c>
      <c r="G111" s="8">
        <v>0.28999999999999998</v>
      </c>
      <c r="H111" s="8">
        <v>0</v>
      </c>
      <c r="I111" s="8">
        <v>1.2169000000000001</v>
      </c>
      <c r="J111" s="8">
        <v>0</v>
      </c>
      <c r="K111" s="8">
        <v>0</v>
      </c>
      <c r="L111" s="8">
        <v>53.91</v>
      </c>
      <c r="M111" s="8">
        <v>231.33</v>
      </c>
      <c r="N111" s="10">
        <v>4.2910406232609901</v>
      </c>
      <c r="O111" s="10">
        <v>4.2929927753205499</v>
      </c>
      <c r="P111" s="10">
        <v>4.2928617053377698</v>
      </c>
      <c r="Q111" s="10">
        <v>4.2934635793931699</v>
      </c>
      <c r="R111" s="8">
        <v>231.43524051752999</v>
      </c>
      <c r="S111" s="8">
        <v>231.44470325097501</v>
      </c>
      <c r="T111" s="8">
        <v>231.47086481336299</v>
      </c>
      <c r="U111" s="9">
        <v>4.5483329399385799E-4</v>
      </c>
      <c r="V111" s="9">
        <v>4.9571963427866403E-4</v>
      </c>
      <c r="W111" s="9">
        <v>6.0874915508196301E-4</v>
      </c>
      <c r="X111" s="10">
        <v>4.2910406232609901</v>
      </c>
      <c r="Y111" s="10">
        <v>4.2929927753205499</v>
      </c>
      <c r="Z111" s="10">
        <v>4.2928617053377698</v>
      </c>
      <c r="AA111" s="10">
        <v>4.2934635793931699</v>
      </c>
      <c r="AB111" s="8">
        <v>231.43524051752999</v>
      </c>
      <c r="AC111" s="8">
        <v>231.44470325097501</v>
      </c>
      <c r="AD111" s="8">
        <v>231.47086481336299</v>
      </c>
      <c r="AE111" s="9">
        <v>4.5483329399385799E-4</v>
      </c>
      <c r="AF111" s="9">
        <v>4.9571963427866403E-4</v>
      </c>
      <c r="AG111" s="9">
        <v>6.0874915508196301E-4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6.1048926007925986E-4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6.1048926007925986E-4</v>
      </c>
    </row>
    <row r="112" spans="1:77" x14ac:dyDescent="0.3">
      <c r="A112" s="1">
        <v>46184</v>
      </c>
      <c r="B112" s="8">
        <v>53.74</v>
      </c>
      <c r="C112" s="8">
        <v>230.74</v>
      </c>
      <c r="D112" s="9">
        <v>-3.1583862762320802E-3</v>
      </c>
      <c r="E112" s="9">
        <v>-2.55372701383534E-3</v>
      </c>
      <c r="F112" s="8">
        <v>0</v>
      </c>
      <c r="G112" s="8">
        <v>0.28999999999999998</v>
      </c>
      <c r="H112" s="8">
        <v>0</v>
      </c>
      <c r="I112" s="8">
        <v>1.2169000000000001</v>
      </c>
      <c r="J112" s="8">
        <v>0</v>
      </c>
      <c r="K112" s="8">
        <v>0</v>
      </c>
      <c r="L112" s="8">
        <v>53.74</v>
      </c>
      <c r="M112" s="8">
        <v>230.74</v>
      </c>
      <c r="N112" s="10">
        <v>4.2936360253070296</v>
      </c>
      <c r="O112" s="10">
        <v>4.2929927753205499</v>
      </c>
      <c r="P112" s="10">
        <v>4.2930061168995204</v>
      </c>
      <c r="Q112" s="10">
        <v>4.2934471448182201</v>
      </c>
      <c r="R112" s="8">
        <v>230.705431745726</v>
      </c>
      <c r="S112" s="8">
        <v>230.69838804485099</v>
      </c>
      <c r="T112" s="8">
        <v>230.73073275658899</v>
      </c>
      <c r="U112" s="9">
        <v>-1.4982596840292501E-4</v>
      </c>
      <c r="V112" s="9">
        <v>-1.8035757899184399E-4</v>
      </c>
      <c r="W112" s="9">
        <v>-4.0163948672225901E-5</v>
      </c>
      <c r="X112" s="10">
        <v>4.2936360253070296</v>
      </c>
      <c r="Y112" s="10">
        <v>4.2929927753205499</v>
      </c>
      <c r="Z112" s="10">
        <v>4.2930061168995204</v>
      </c>
      <c r="AA112" s="10">
        <v>4.2934471448182201</v>
      </c>
      <c r="AB112" s="8">
        <v>230.705431745726</v>
      </c>
      <c r="AC112" s="8">
        <v>230.69838804485099</v>
      </c>
      <c r="AD112" s="8">
        <v>230.73073275658899</v>
      </c>
      <c r="AE112" s="9">
        <v>-1.4982596840292501E-4</v>
      </c>
      <c r="AF112" s="9">
        <v>-1.8035757899184399E-4</v>
      </c>
      <c r="AG112" s="9">
        <v>-4.0163948672225901E-5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6.1048926007925986E-4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6.1048926007925986E-4</v>
      </c>
    </row>
    <row r="113" spans="1:77" x14ac:dyDescent="0.3">
      <c r="A113" s="1">
        <v>46185</v>
      </c>
      <c r="B113" s="8">
        <v>54.11</v>
      </c>
      <c r="C113" s="8">
        <v>232.25</v>
      </c>
      <c r="D113" s="9">
        <v>6.8614084672987304E-3</v>
      </c>
      <c r="E113" s="9">
        <v>6.5228421948041503E-3</v>
      </c>
      <c r="F113" s="8">
        <v>0</v>
      </c>
      <c r="G113" s="8">
        <v>0.28999999999999998</v>
      </c>
      <c r="H113" s="8">
        <v>0</v>
      </c>
      <c r="I113" s="8">
        <v>1.2169000000000001</v>
      </c>
      <c r="J113" s="8">
        <v>0</v>
      </c>
      <c r="K113" s="8">
        <v>0</v>
      </c>
      <c r="L113" s="8">
        <v>54.11</v>
      </c>
      <c r="M113" s="8">
        <v>232.25</v>
      </c>
      <c r="N113" s="10">
        <v>4.2921825910182898</v>
      </c>
      <c r="O113" s="10">
        <v>4.2929927753205499</v>
      </c>
      <c r="P113" s="10">
        <v>4.2928442186419096</v>
      </c>
      <c r="Q113" s="10">
        <v>4.29327849659136</v>
      </c>
      <c r="R113" s="8">
        <v>232.29383907259501</v>
      </c>
      <c r="S113" s="8">
        <v>232.29456098543301</v>
      </c>
      <c r="T113" s="8">
        <v>232.31842500611401</v>
      </c>
      <c r="U113" s="9">
        <v>1.8874030409147399E-4</v>
      </c>
      <c r="V113" s="9">
        <v>1.9184805640707199E-4</v>
      </c>
      <c r="W113" s="9">
        <v>2.9457450367285101E-4</v>
      </c>
      <c r="X113" s="10">
        <v>4.2921825910182898</v>
      </c>
      <c r="Y113" s="10">
        <v>4.2929927753205499</v>
      </c>
      <c r="Z113" s="10">
        <v>4.2928442186419096</v>
      </c>
      <c r="AA113" s="10">
        <v>4.29327849659136</v>
      </c>
      <c r="AB113" s="8">
        <v>232.29383907259501</v>
      </c>
      <c r="AC113" s="8">
        <v>232.29456098543301</v>
      </c>
      <c r="AD113" s="8">
        <v>232.31842500611401</v>
      </c>
      <c r="AE113" s="9">
        <v>1.8874030409147399E-4</v>
      </c>
      <c r="AF113" s="9">
        <v>1.9184805640707199E-4</v>
      </c>
      <c r="AG113" s="9">
        <v>2.9457450367285101E-4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6.1048926007925986E-4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6.1048926007925986E-4</v>
      </c>
    </row>
    <row r="114" spans="1:77" x14ac:dyDescent="0.3">
      <c r="A114" s="1">
        <v>46188</v>
      </c>
      <c r="B114" s="8">
        <v>53.93</v>
      </c>
      <c r="C114" s="8">
        <v>231.48</v>
      </c>
      <c r="D114" s="9">
        <v>-3.3321023055082602E-3</v>
      </c>
      <c r="E114" s="9">
        <v>-3.3209009883099099E-3</v>
      </c>
      <c r="F114" s="8">
        <v>0</v>
      </c>
      <c r="G114" s="8">
        <v>0.28999999999999998</v>
      </c>
      <c r="H114" s="8">
        <v>0</v>
      </c>
      <c r="I114" s="8">
        <v>1.2169000000000001</v>
      </c>
      <c r="J114" s="8">
        <v>0</v>
      </c>
      <c r="K114" s="8">
        <v>0</v>
      </c>
      <c r="L114" s="8">
        <v>53.93</v>
      </c>
      <c r="M114" s="8">
        <v>231.48</v>
      </c>
      <c r="N114" s="10">
        <v>4.2922306693862398</v>
      </c>
      <c r="O114" s="10">
        <v>4.2929927753205499</v>
      </c>
      <c r="P114" s="10">
        <v>4.2926954360264498</v>
      </c>
      <c r="Q114" s="10">
        <v>4.2931333435822197</v>
      </c>
      <c r="R114" s="8">
        <v>231.521100373037</v>
      </c>
      <c r="S114" s="8">
        <v>231.51308871135799</v>
      </c>
      <c r="T114" s="8">
        <v>231.53650932117199</v>
      </c>
      <c r="U114" s="9">
        <v>1.77538986893084E-4</v>
      </c>
      <c r="V114" s="9">
        <v>1.4293393237093901E-4</v>
      </c>
      <c r="W114" s="9">
        <v>2.4409203695862901E-4</v>
      </c>
      <c r="X114" s="10">
        <v>4.2922306693862398</v>
      </c>
      <c r="Y114" s="10">
        <v>4.2929927753205499</v>
      </c>
      <c r="Z114" s="10">
        <v>4.2926954360264498</v>
      </c>
      <c r="AA114" s="10">
        <v>4.2931333435822197</v>
      </c>
      <c r="AB114" s="8">
        <v>231.521100373037</v>
      </c>
      <c r="AC114" s="8">
        <v>231.51308871135799</v>
      </c>
      <c r="AD114" s="8">
        <v>231.53650932117199</v>
      </c>
      <c r="AE114" s="9">
        <v>1.77538986893084E-4</v>
      </c>
      <c r="AF114" s="9">
        <v>1.4293393237093901E-4</v>
      </c>
      <c r="AG114" s="9">
        <v>2.4409203695862901E-4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6.1048926007925986E-4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6.1048926007925986E-4</v>
      </c>
    </row>
    <row r="115" spans="1:77" x14ac:dyDescent="0.3">
      <c r="A115" s="1">
        <v>46189</v>
      </c>
      <c r="B115" s="8">
        <v>54.01</v>
      </c>
      <c r="C115" s="8">
        <v>231.64</v>
      </c>
      <c r="D115" s="9">
        <v>1.48230525566397E-3</v>
      </c>
      <c r="E115" s="9">
        <v>6.9096565195112002E-4</v>
      </c>
      <c r="F115" s="8">
        <v>0</v>
      </c>
      <c r="G115" s="8">
        <v>0.28999999999999998</v>
      </c>
      <c r="H115" s="8">
        <v>0</v>
      </c>
      <c r="I115" s="8">
        <v>1.2169000000000001</v>
      </c>
      <c r="J115" s="8">
        <v>0</v>
      </c>
      <c r="K115" s="8">
        <v>0</v>
      </c>
      <c r="L115" s="8">
        <v>54.01</v>
      </c>
      <c r="M115" s="8">
        <v>231.64</v>
      </c>
      <c r="N115" s="10">
        <v>4.2888354008516902</v>
      </c>
      <c r="O115" s="10">
        <v>4.2929927753205499</v>
      </c>
      <c r="P115" s="10">
        <v>4.2923021487399202</v>
      </c>
      <c r="Q115" s="10">
        <v>4.2928244718939599</v>
      </c>
      <c r="R115" s="8">
        <v>231.864539795063</v>
      </c>
      <c r="S115" s="8">
        <v>231.848480499788</v>
      </c>
      <c r="T115" s="8">
        <v>231.872131886875</v>
      </c>
      <c r="U115" s="9">
        <v>9.68878590606261E-4</v>
      </c>
      <c r="V115" s="9">
        <v>8.99614651152856E-4</v>
      </c>
      <c r="W115" s="9">
        <v>1.00162170659012E-3</v>
      </c>
      <c r="X115" s="10">
        <v>4.2888354008516902</v>
      </c>
      <c r="Y115" s="10">
        <v>4.2929927753205499</v>
      </c>
      <c r="Z115" s="10">
        <v>4.2923021487399202</v>
      </c>
      <c r="AA115" s="10">
        <v>4.2928244718939599</v>
      </c>
      <c r="AB115" s="8">
        <v>231.864539795063</v>
      </c>
      <c r="AC115" s="8">
        <v>231.848480499788</v>
      </c>
      <c r="AD115" s="8">
        <v>231.872131886875</v>
      </c>
      <c r="AE115" s="9">
        <v>9.68878590606261E-4</v>
      </c>
      <c r="AF115" s="9">
        <v>8.99614651152856E-4</v>
      </c>
      <c r="AG115" s="9">
        <v>1.00162170659012E-3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6.1048926007925986E-4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6.1048926007925986E-4</v>
      </c>
    </row>
    <row r="116" spans="1:77" x14ac:dyDescent="0.3">
      <c r="A116" s="1">
        <v>46190</v>
      </c>
      <c r="B116" s="8">
        <v>52.9</v>
      </c>
      <c r="C116" s="8">
        <v>227.01</v>
      </c>
      <c r="D116" s="9">
        <v>-2.0765875740545999E-2</v>
      </c>
      <c r="E116" s="9">
        <v>-2.0190372983049099E-2</v>
      </c>
      <c r="F116" s="8">
        <v>0</v>
      </c>
      <c r="G116" s="8">
        <v>0.28999999999999998</v>
      </c>
      <c r="H116" s="8">
        <v>0</v>
      </c>
      <c r="I116" s="8">
        <v>1.2169000000000001</v>
      </c>
      <c r="J116" s="8">
        <v>0</v>
      </c>
      <c r="K116" s="8">
        <v>0</v>
      </c>
      <c r="L116" s="8">
        <v>52.9</v>
      </c>
      <c r="M116" s="8">
        <v>227.01</v>
      </c>
      <c r="N116" s="10">
        <v>4.2913043478260802</v>
      </c>
      <c r="O116" s="10">
        <v>4.2929927753205499</v>
      </c>
      <c r="P116" s="10">
        <v>4.2921185738606997</v>
      </c>
      <c r="Q116" s="10">
        <v>4.2927617865608196</v>
      </c>
      <c r="R116" s="8">
        <v>227.09931781445701</v>
      </c>
      <c r="S116" s="8">
        <v>227.06278366834201</v>
      </c>
      <c r="T116" s="8">
        <v>227.09041456319</v>
      </c>
      <c r="U116" s="9">
        <v>3.9337583310925298E-4</v>
      </c>
      <c r="V116" s="9">
        <v>2.32489902404705E-4</v>
      </c>
      <c r="W116" s="9">
        <v>3.5417084614985901E-4</v>
      </c>
      <c r="X116" s="10">
        <v>4.2913043478260802</v>
      </c>
      <c r="Y116" s="10">
        <v>4.2929927753205499</v>
      </c>
      <c r="Z116" s="10">
        <v>4.2921185738606997</v>
      </c>
      <c r="AA116" s="10">
        <v>4.2927617865608196</v>
      </c>
      <c r="AB116" s="8">
        <v>227.09931781445701</v>
      </c>
      <c r="AC116" s="8">
        <v>227.06278366834201</v>
      </c>
      <c r="AD116" s="8">
        <v>227.09041456319</v>
      </c>
      <c r="AE116" s="9">
        <v>3.9337583310925298E-4</v>
      </c>
      <c r="AF116" s="9">
        <v>2.32489902404705E-4</v>
      </c>
      <c r="AG116" s="9">
        <v>3.5417084614985901E-4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6.1048926007925986E-4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6.1048926007925986E-4</v>
      </c>
    </row>
    <row r="117" spans="1:77" x14ac:dyDescent="0.3">
      <c r="A117" s="1">
        <v>46191</v>
      </c>
      <c r="B117" s="8">
        <v>52.41</v>
      </c>
      <c r="C117" s="8">
        <v>226.11</v>
      </c>
      <c r="D117" s="9">
        <v>-9.3059260501788098E-3</v>
      </c>
      <c r="E117" s="9">
        <v>-3.9724628510515699E-3</v>
      </c>
      <c r="F117" s="8">
        <v>0.29599999999999999</v>
      </c>
      <c r="G117" s="8">
        <v>0.58599999999999997</v>
      </c>
      <c r="H117" s="8">
        <v>0</v>
      </c>
      <c r="I117" s="8">
        <v>1.2169000000000001</v>
      </c>
      <c r="J117" s="8">
        <v>0</v>
      </c>
      <c r="K117" s="8">
        <v>0</v>
      </c>
      <c r="L117" s="8">
        <v>52.41</v>
      </c>
      <c r="M117" s="8">
        <v>226.11</v>
      </c>
      <c r="N117" s="10">
        <v>4.3142530051516799</v>
      </c>
      <c r="O117" s="10">
        <v>4.2929927753205499</v>
      </c>
      <c r="P117" s="10">
        <v>4.29431756876658</v>
      </c>
      <c r="Q117" s="10">
        <v>4.2937571776546504</v>
      </c>
      <c r="R117" s="8">
        <v>224.99575135455001</v>
      </c>
      <c r="S117" s="8">
        <v>224.94993445603899</v>
      </c>
      <c r="T117" s="8">
        <v>224.983645233652</v>
      </c>
      <c r="U117" s="9">
        <v>-4.94008736601794E-3</v>
      </c>
      <c r="V117" s="9">
        <v>-5.1437426075908602E-3</v>
      </c>
      <c r="W117" s="9">
        <v>-4.9938948113898499E-3</v>
      </c>
      <c r="X117" s="10">
        <v>4.3142530051516799</v>
      </c>
      <c r="Y117" s="10">
        <v>4.2929927753205499</v>
      </c>
      <c r="Z117" s="10">
        <v>4.29431756876658</v>
      </c>
      <c r="AA117" s="10">
        <v>4.2937571776546504</v>
      </c>
      <c r="AB117" s="8">
        <v>224.99575135455001</v>
      </c>
      <c r="AC117" s="8">
        <v>224.94993445603899</v>
      </c>
      <c r="AD117" s="8">
        <v>224.983645233652</v>
      </c>
      <c r="AE117" s="9">
        <v>-4.94008736601794E-3</v>
      </c>
      <c r="AF117" s="9">
        <v>-5.1437426075908602E-3</v>
      </c>
      <c r="AG117" s="9">
        <v>-4.9938948113898499E-3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6.1048926007925986E-4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6.1048926007925986E-4</v>
      </c>
    </row>
    <row r="118" spans="1:77" x14ac:dyDescent="0.3">
      <c r="A118" s="1">
        <v>46195</v>
      </c>
      <c r="B118" s="8">
        <v>52.05</v>
      </c>
      <c r="C118" s="8">
        <v>224.5</v>
      </c>
      <c r="D118" s="9">
        <v>-6.8926177530970398E-3</v>
      </c>
      <c r="E118" s="9">
        <v>-7.1458993411792297E-3</v>
      </c>
      <c r="F118" s="8">
        <v>0</v>
      </c>
      <c r="G118" s="8">
        <v>0.58599999999999997</v>
      </c>
      <c r="H118" s="8">
        <v>0</v>
      </c>
      <c r="I118" s="8">
        <v>1.2169000000000001</v>
      </c>
      <c r="J118" s="8">
        <v>0</v>
      </c>
      <c r="K118" s="8">
        <v>0</v>
      </c>
      <c r="L118" s="8">
        <v>52.05</v>
      </c>
      <c r="M118" s="8">
        <v>224.5</v>
      </c>
      <c r="N118" s="10">
        <v>4.3131604226705003</v>
      </c>
      <c r="O118" s="10">
        <v>4.2929927753205499</v>
      </c>
      <c r="P118" s="10">
        <v>4.2962061809404197</v>
      </c>
      <c r="Q118" s="10">
        <v>4.2946675352367798</v>
      </c>
      <c r="R118" s="8">
        <v>223.450273955434</v>
      </c>
      <c r="S118" s="8">
        <v>223.51922945429999</v>
      </c>
      <c r="T118" s="8">
        <v>223.49006109692499</v>
      </c>
      <c r="U118" s="9">
        <v>-4.6868057779356799E-3</v>
      </c>
      <c r="V118" s="9">
        <v>-4.3782590028781801E-3</v>
      </c>
      <c r="W118" s="9">
        <v>-4.5087634824658197E-3</v>
      </c>
      <c r="X118" s="10">
        <v>4.3131604226705003</v>
      </c>
      <c r="Y118" s="10">
        <v>4.2929927753205499</v>
      </c>
      <c r="Z118" s="10">
        <v>4.2962061809404197</v>
      </c>
      <c r="AA118" s="10">
        <v>4.2946675352367798</v>
      </c>
      <c r="AB118" s="8">
        <v>223.450273955434</v>
      </c>
      <c r="AC118" s="8">
        <v>223.51922945429999</v>
      </c>
      <c r="AD118" s="8">
        <v>223.49006109692499</v>
      </c>
      <c r="AE118" s="9">
        <v>-4.6868057779356799E-3</v>
      </c>
      <c r="AF118" s="9">
        <v>-4.3782590028781801E-3</v>
      </c>
      <c r="AG118" s="9">
        <v>-4.5087634824658197E-3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-6.8926177530970398E-3</v>
      </c>
      <c r="BH118" s="9">
        <f t="shared" si="27"/>
        <v>7.1458993411792297E-3</v>
      </c>
      <c r="BI118" s="9">
        <f t="shared" si="28"/>
        <v>2.5328158808218988E-4</v>
      </c>
      <c r="BJ118" s="12">
        <f t="shared" si="29"/>
        <v>8.6377084816144974E-4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2.5328158808218988E-4</v>
      </c>
      <c r="BY118" s="12">
        <f t="shared" si="39"/>
        <v>8.6377084816144974E-4</v>
      </c>
    </row>
    <row r="119" spans="1:77" x14ac:dyDescent="0.3">
      <c r="A119" s="1">
        <v>46196</v>
      </c>
      <c r="B119" s="8">
        <v>52.95</v>
      </c>
      <c r="C119" s="8">
        <v>228.7</v>
      </c>
      <c r="D119" s="9">
        <v>1.7143276986437601E-2</v>
      </c>
      <c r="E119" s="9">
        <v>1.8535393846426398E-2</v>
      </c>
      <c r="F119" s="8">
        <v>0</v>
      </c>
      <c r="G119" s="8">
        <v>0.58599999999999997</v>
      </c>
      <c r="H119" s="8">
        <v>0</v>
      </c>
      <c r="I119" s="8">
        <v>1.2169000000000001</v>
      </c>
      <c r="J119" s="8">
        <v>0</v>
      </c>
      <c r="K119" s="8">
        <v>0</v>
      </c>
      <c r="L119" s="8">
        <v>52.95</v>
      </c>
      <c r="M119" s="8">
        <v>228.7</v>
      </c>
      <c r="N119" s="10">
        <v>4.3191690273843202</v>
      </c>
      <c r="O119" s="10">
        <v>4.2929927753205499</v>
      </c>
      <c r="P119" s="10">
        <v>4.2990262848983702</v>
      </c>
      <c r="Q119" s="10">
        <v>4.2959624352041299</v>
      </c>
      <c r="R119" s="8">
        <v>227.313967453223</v>
      </c>
      <c r="S119" s="8">
        <v>227.484117280795</v>
      </c>
      <c r="T119" s="8">
        <v>227.40264599078699</v>
      </c>
      <c r="U119" s="9">
        <v>-6.07892263792439E-3</v>
      </c>
      <c r="V119" s="9">
        <v>-5.3306792252006303E-3</v>
      </c>
      <c r="W119" s="9">
        <v>-5.6888839366023396E-3</v>
      </c>
      <c r="X119" s="10">
        <v>4.3191690273843202</v>
      </c>
      <c r="Y119" s="10">
        <v>4.2929927753205499</v>
      </c>
      <c r="Z119" s="10">
        <v>4.2990262848983702</v>
      </c>
      <c r="AA119" s="10">
        <v>4.2959624352041299</v>
      </c>
      <c r="AB119" s="8">
        <v>227.313967453223</v>
      </c>
      <c r="AC119" s="8">
        <v>227.484117280795</v>
      </c>
      <c r="AD119" s="8">
        <v>227.40264599078699</v>
      </c>
      <c r="AE119" s="9">
        <v>-6.07892263792439E-3</v>
      </c>
      <c r="AF119" s="9">
        <v>-5.3306792252006303E-3</v>
      </c>
      <c r="AG119" s="9">
        <v>-5.6888839366023396E-3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0</v>
      </c>
      <c r="BF119">
        <f t="shared" si="25"/>
        <v>1</v>
      </c>
      <c r="BG119" s="9">
        <f t="shared" si="26"/>
        <v>1.7143276986437601E-2</v>
      </c>
      <c r="BH119" s="9">
        <f t="shared" si="27"/>
        <v>-1.8535393846426398E-2</v>
      </c>
      <c r="BI119" s="9">
        <f t="shared" si="28"/>
        <v>-1.3921168599887977E-3</v>
      </c>
      <c r="BJ119" s="12">
        <f t="shared" si="29"/>
        <v>-5.2834601182734798E-4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-1.3921168599887977E-3</v>
      </c>
      <c r="BY119" s="12">
        <f t="shared" si="39"/>
        <v>-5.2834601182734798E-4</v>
      </c>
    </row>
    <row r="120" spans="1:77" x14ac:dyDescent="0.3">
      <c r="A120" s="1">
        <v>46197</v>
      </c>
      <c r="B120" s="8">
        <v>53.41</v>
      </c>
      <c r="C120" s="8">
        <v>229.24</v>
      </c>
      <c r="D120" s="9">
        <v>8.6499223042634608E-3</v>
      </c>
      <c r="E120" s="9">
        <v>2.3583886548013402E-3</v>
      </c>
      <c r="F120" s="8">
        <v>0</v>
      </c>
      <c r="G120" s="8">
        <v>0.58599999999999997</v>
      </c>
      <c r="H120" s="8">
        <v>1.2239</v>
      </c>
      <c r="I120" s="8">
        <v>2.4407999999999999</v>
      </c>
      <c r="J120" s="8">
        <v>0</v>
      </c>
      <c r="K120" s="8">
        <v>0</v>
      </c>
      <c r="L120" s="8">
        <v>53.41</v>
      </c>
      <c r="M120" s="8">
        <v>229.24</v>
      </c>
      <c r="N120" s="10">
        <v>4.2920801348062101</v>
      </c>
      <c r="O120" s="10">
        <v>4.2929927753205499</v>
      </c>
      <c r="P120" s="10">
        <v>4.2987892247663</v>
      </c>
      <c r="Q120" s="10">
        <v>4.2959787642193197</v>
      </c>
      <c r="R120" s="8">
        <v>229.28874412987</v>
      </c>
      <c r="S120" s="8">
        <v>229.61099387642099</v>
      </c>
      <c r="T120" s="8">
        <v>229.44735366425201</v>
      </c>
      <c r="U120" s="9">
        <v>2.1261101153768899E-4</v>
      </c>
      <c r="V120" s="9">
        <v>1.6170563525622599E-3</v>
      </c>
      <c r="W120" s="9">
        <v>9.0411770335869503E-4</v>
      </c>
      <c r="X120" s="10">
        <v>4.2920801348062101</v>
      </c>
      <c r="Y120" s="10">
        <v>4.2929927753205499</v>
      </c>
      <c r="Z120" s="10">
        <v>4.2987892247663</v>
      </c>
      <c r="AA120" s="10">
        <v>4.2959787642193197</v>
      </c>
      <c r="AB120" s="8">
        <v>229.28874412987</v>
      </c>
      <c r="AC120" s="8">
        <v>229.61099387642099</v>
      </c>
      <c r="AD120" s="8">
        <v>229.44735366425201</v>
      </c>
      <c r="AE120" s="9">
        <v>2.1261101153768899E-4</v>
      </c>
      <c r="AF120" s="9">
        <v>1.6170563525622599E-3</v>
      </c>
      <c r="AG120" s="9">
        <v>9.0411770335869503E-4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-5.2834601182734798E-4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-5.2834601182734798E-4</v>
      </c>
    </row>
    <row r="121" spans="1:77" x14ac:dyDescent="0.3">
      <c r="A121" s="1">
        <v>46198</v>
      </c>
      <c r="B121" s="8">
        <v>52.97</v>
      </c>
      <c r="C121" s="8">
        <v>227.23</v>
      </c>
      <c r="D121" s="9">
        <v>-8.2722787952435994E-3</v>
      </c>
      <c r="E121" s="9">
        <v>-8.8067692998303904E-3</v>
      </c>
      <c r="F121" s="8">
        <v>0</v>
      </c>
      <c r="G121" s="8">
        <v>0.58599999999999997</v>
      </c>
      <c r="H121" s="8">
        <v>0</v>
      </c>
      <c r="I121" s="8">
        <v>2.4407999999999999</v>
      </c>
      <c r="J121" s="8">
        <v>0</v>
      </c>
      <c r="K121" s="8">
        <v>0</v>
      </c>
      <c r="L121" s="8">
        <v>52.97</v>
      </c>
      <c r="M121" s="8">
        <v>227.23</v>
      </c>
      <c r="N121" s="10">
        <v>4.2897866717009601</v>
      </c>
      <c r="O121" s="10">
        <v>4.2929927753205499</v>
      </c>
      <c r="P121" s="10">
        <v>4.2986638296102999</v>
      </c>
      <c r="Q121" s="10">
        <v>4.2957627674740397</v>
      </c>
      <c r="R121" s="8">
        <v>227.39982730872899</v>
      </c>
      <c r="S121" s="8">
        <v>227.70686523587099</v>
      </c>
      <c r="T121" s="8">
        <v>227.55799514069699</v>
      </c>
      <c r="U121" s="9">
        <v>7.4710151612433198E-4</v>
      </c>
      <c r="V121" s="9">
        <v>2.09640258664096E-3</v>
      </c>
      <c r="W121" s="9">
        <v>1.4424092151481E-3</v>
      </c>
      <c r="X121" s="10">
        <v>4.2897866717009601</v>
      </c>
      <c r="Y121" s="10">
        <v>4.2929927753205499</v>
      </c>
      <c r="Z121" s="10">
        <v>4.2986638296102999</v>
      </c>
      <c r="AA121" s="10">
        <v>4.2957627674740397</v>
      </c>
      <c r="AB121" s="8">
        <v>227.39982730872899</v>
      </c>
      <c r="AC121" s="8">
        <v>227.70686523587099</v>
      </c>
      <c r="AD121" s="8">
        <v>227.55799514069699</v>
      </c>
      <c r="AE121" s="9">
        <v>7.4710151612433198E-4</v>
      </c>
      <c r="AF121" s="9">
        <v>2.09640258664096E-3</v>
      </c>
      <c r="AG121" s="9">
        <v>1.4424092151481E-3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-5.2834601182734798E-4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-5.2834601182734798E-4</v>
      </c>
    </row>
    <row r="122" spans="1:77" x14ac:dyDescent="0.3">
      <c r="A122" s="1">
        <v>46199</v>
      </c>
      <c r="B122" s="8">
        <v>53.49</v>
      </c>
      <c r="C122" s="8">
        <v>229.65</v>
      </c>
      <c r="D122" s="9">
        <v>9.7690049867235704E-3</v>
      </c>
      <c r="E122" s="9">
        <v>1.0593690388095999E-2</v>
      </c>
      <c r="F122" s="8">
        <v>0</v>
      </c>
      <c r="G122" s="8">
        <v>0.58599999999999997</v>
      </c>
      <c r="H122" s="8">
        <v>0</v>
      </c>
      <c r="I122" s="8">
        <v>2.4407999999999999</v>
      </c>
      <c r="J122" s="8">
        <v>0</v>
      </c>
      <c r="K122" s="8">
        <v>0</v>
      </c>
      <c r="L122" s="8">
        <v>53.49</v>
      </c>
      <c r="M122" s="8">
        <v>229.65</v>
      </c>
      <c r="N122" s="10">
        <v>4.2933258553000497</v>
      </c>
      <c r="O122" s="10">
        <v>4.2929927753205499</v>
      </c>
      <c r="P122" s="10">
        <v>4.2986328126095996</v>
      </c>
      <c r="Q122" s="10">
        <v>4.29581946475456</v>
      </c>
      <c r="R122" s="8">
        <v>229.63218355189599</v>
      </c>
      <c r="S122" s="8">
        <v>229.93552824585501</v>
      </c>
      <c r="T122" s="8">
        <v>229.780350432186</v>
      </c>
      <c r="U122" s="9">
        <v>-7.7583885248330497E-5</v>
      </c>
      <c r="V122" s="9">
        <v>1.24254688210557E-3</v>
      </c>
      <c r="W122" s="9">
        <v>5.6744372922425297E-4</v>
      </c>
      <c r="X122" s="10">
        <v>4.2933258553000497</v>
      </c>
      <c r="Y122" s="10">
        <v>4.2929927753205499</v>
      </c>
      <c r="Z122" s="10">
        <v>4.2986328126095996</v>
      </c>
      <c r="AA122" s="10">
        <v>4.29581946475456</v>
      </c>
      <c r="AB122" s="8">
        <v>229.63218355189599</v>
      </c>
      <c r="AC122" s="8">
        <v>229.93552824585501</v>
      </c>
      <c r="AD122" s="8">
        <v>229.780350432186</v>
      </c>
      <c r="AE122" s="9">
        <v>-7.7583885248330497E-5</v>
      </c>
      <c r="AF122" s="9">
        <v>1.24254688210557E-3</v>
      </c>
      <c r="AG122" s="9">
        <v>5.6744372922425297E-4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-5.2834601182734798E-4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-5.2834601182734798E-4</v>
      </c>
    </row>
    <row r="123" spans="1:77" x14ac:dyDescent="0.3">
      <c r="A123" s="1">
        <v>46202</v>
      </c>
      <c r="B123" s="8">
        <v>53.29</v>
      </c>
      <c r="C123" s="8">
        <v>228.79</v>
      </c>
      <c r="D123" s="9">
        <v>-3.7460242344678801E-3</v>
      </c>
      <c r="E123" s="9">
        <v>-3.7518585150138999E-3</v>
      </c>
      <c r="F123" s="8">
        <v>0</v>
      </c>
      <c r="G123" s="8">
        <v>0.58599999999999997</v>
      </c>
      <c r="H123" s="8">
        <v>0</v>
      </c>
      <c r="I123" s="8">
        <v>2.4407999999999999</v>
      </c>
      <c r="J123" s="8">
        <v>0</v>
      </c>
      <c r="K123" s="8">
        <v>0</v>
      </c>
      <c r="L123" s="8">
        <v>53.29</v>
      </c>
      <c r="M123" s="8">
        <v>228.79</v>
      </c>
      <c r="N123" s="10">
        <v>4.2933008069056102</v>
      </c>
      <c r="O123" s="10">
        <v>4.2929927753205499</v>
      </c>
      <c r="P123" s="10">
        <v>4.2987446341983304</v>
      </c>
      <c r="Q123" s="10">
        <v>4.2957944264201204</v>
      </c>
      <c r="R123" s="8">
        <v>228.773584996832</v>
      </c>
      <c r="S123" s="8">
        <v>229.07414258396599</v>
      </c>
      <c r="T123" s="8">
        <v>228.92421927677</v>
      </c>
      <c r="U123" s="9">
        <v>-7.1749604702287504E-5</v>
      </c>
      <c r="V123" s="9">
        <v>1.2411656385192E-3</v>
      </c>
      <c r="W123" s="9">
        <v>5.8647634250877899E-4</v>
      </c>
      <c r="X123" s="10">
        <v>4.2933008069056102</v>
      </c>
      <c r="Y123" s="10">
        <v>4.2929927753205499</v>
      </c>
      <c r="Z123" s="10">
        <v>4.2987446341983304</v>
      </c>
      <c r="AA123" s="10">
        <v>4.2957944264201204</v>
      </c>
      <c r="AB123" s="8">
        <v>228.773584996832</v>
      </c>
      <c r="AC123" s="8">
        <v>229.07414258396599</v>
      </c>
      <c r="AD123" s="8">
        <v>228.92421927677</v>
      </c>
      <c r="AE123" s="9">
        <v>-7.1749604702287504E-5</v>
      </c>
      <c r="AF123" s="9">
        <v>1.2411656385192E-3</v>
      </c>
      <c r="AG123" s="9">
        <v>5.8647634250877899E-4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-5.2834601182734798E-4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-5.2834601182734798E-4</v>
      </c>
    </row>
    <row r="124" spans="1:77" x14ac:dyDescent="0.3">
      <c r="A124" s="1">
        <v>46203</v>
      </c>
      <c r="B124" s="8">
        <v>52.54</v>
      </c>
      <c r="C124" s="8">
        <v>225.49</v>
      </c>
      <c r="D124" s="9">
        <v>-1.4173912051297E-2</v>
      </c>
      <c r="E124" s="9">
        <v>-1.45287401953683E-2</v>
      </c>
      <c r="F124" s="8">
        <v>0</v>
      </c>
      <c r="G124" s="8">
        <v>0.58599999999999997</v>
      </c>
      <c r="H124" s="8">
        <v>0</v>
      </c>
      <c r="I124" s="8">
        <v>2.4407999999999999</v>
      </c>
      <c r="J124" s="8">
        <v>0</v>
      </c>
      <c r="K124" s="8">
        <v>0</v>
      </c>
      <c r="L124" s="8">
        <v>52.54</v>
      </c>
      <c r="M124" s="8">
        <v>225.49</v>
      </c>
      <c r="N124" s="10">
        <v>4.2917776931861402</v>
      </c>
      <c r="O124" s="10">
        <v>4.2929927753205499</v>
      </c>
      <c r="P124" s="10">
        <v>4.2986993365783199</v>
      </c>
      <c r="Q124" s="10">
        <v>4.2956973863023897</v>
      </c>
      <c r="R124" s="8">
        <v>225.553840415341</v>
      </c>
      <c r="S124" s="8">
        <v>225.85604308078001</v>
      </c>
      <c r="T124" s="8">
        <v>225.70103916411301</v>
      </c>
      <c r="U124" s="9">
        <v>2.8307853936905802E-4</v>
      </c>
      <c r="V124" s="9">
        <v>1.62200673582636E-3</v>
      </c>
      <c r="W124" s="9">
        <v>9.3547593451697396E-4</v>
      </c>
      <c r="X124" s="10">
        <v>4.2917776931861402</v>
      </c>
      <c r="Y124" s="10">
        <v>4.2929927753205499</v>
      </c>
      <c r="Z124" s="10">
        <v>4.2986993365783199</v>
      </c>
      <c r="AA124" s="10">
        <v>4.2956973863023897</v>
      </c>
      <c r="AB124" s="8">
        <v>225.553840415341</v>
      </c>
      <c r="AC124" s="8">
        <v>225.85604308078001</v>
      </c>
      <c r="AD124" s="8">
        <v>225.70103916411301</v>
      </c>
      <c r="AE124" s="9">
        <v>2.8307853936905802E-4</v>
      </c>
      <c r="AF124" s="9">
        <v>1.62200673582636E-3</v>
      </c>
      <c r="AG124" s="9">
        <v>9.3547593451697396E-4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-5.2834601182734798E-4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-5.2834601182734798E-4</v>
      </c>
    </row>
    <row r="125" spans="1:77" x14ac:dyDescent="0.3">
      <c r="A125" s="1">
        <v>46204</v>
      </c>
      <c r="B125" s="8">
        <v>52.58</v>
      </c>
      <c r="C125" s="8">
        <v>225.95</v>
      </c>
      <c r="D125" s="9">
        <v>7.6103504434135597E-4</v>
      </c>
      <c r="E125" s="9">
        <v>2.0379237958682902E-3</v>
      </c>
      <c r="F125" s="8">
        <v>0</v>
      </c>
      <c r="G125" s="8">
        <v>0.58599999999999997</v>
      </c>
      <c r="H125" s="8">
        <v>0</v>
      </c>
      <c r="I125" s="8">
        <v>2.4407999999999999</v>
      </c>
      <c r="J125" s="8">
        <v>0</v>
      </c>
      <c r="K125" s="8">
        <v>0</v>
      </c>
      <c r="L125" s="8">
        <v>52.58</v>
      </c>
      <c r="M125" s="8">
        <v>225.95</v>
      </c>
      <c r="N125" s="10">
        <v>4.2972613160897604</v>
      </c>
      <c r="O125" s="10">
        <v>4.2929927753205499</v>
      </c>
      <c r="P125" s="10">
        <v>4.2995419281021299</v>
      </c>
      <c r="Q125" s="10">
        <v>4.2959220384210299</v>
      </c>
      <c r="R125" s="8">
        <v>225.725560126354</v>
      </c>
      <c r="S125" s="8">
        <v>226.02561111728801</v>
      </c>
      <c r="T125" s="8">
        <v>225.86776857177901</v>
      </c>
      <c r="U125" s="9">
        <v>-9.9381021215802501E-4</v>
      </c>
      <c r="V125" s="9">
        <v>3.3458052219653402E-4</v>
      </c>
      <c r="W125" s="9">
        <v>-3.6400263490381902E-4</v>
      </c>
      <c r="X125" s="10">
        <v>4.2972613160897604</v>
      </c>
      <c r="Y125" s="10">
        <v>4.2929927753205499</v>
      </c>
      <c r="Z125" s="10">
        <v>4.2995419281021299</v>
      </c>
      <c r="AA125" s="10">
        <v>4.2959220384210299</v>
      </c>
      <c r="AB125" s="8">
        <v>225.725560126354</v>
      </c>
      <c r="AC125" s="8">
        <v>226.02561111728801</v>
      </c>
      <c r="AD125" s="8">
        <v>225.86776857177901</v>
      </c>
      <c r="AE125" s="9">
        <v>-9.9381021215802501E-4</v>
      </c>
      <c r="AF125" s="9">
        <v>3.3458052219653402E-4</v>
      </c>
      <c r="AG125" s="9">
        <v>-3.6400263490381902E-4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-5.2834601182734798E-4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-5.2834601182734798E-4</v>
      </c>
    </row>
    <row r="126" spans="1:77" x14ac:dyDescent="0.3">
      <c r="A126" s="1">
        <v>46205</v>
      </c>
      <c r="B126" s="8">
        <v>53.7</v>
      </c>
      <c r="C126" s="8">
        <v>230.45</v>
      </c>
      <c r="D126" s="9">
        <v>2.10771822130838E-2</v>
      </c>
      <c r="E126" s="9">
        <v>1.97201833092286E-2</v>
      </c>
      <c r="F126" s="8">
        <v>0</v>
      </c>
      <c r="G126" s="8">
        <v>0.58599999999999997</v>
      </c>
      <c r="H126" s="8">
        <v>0</v>
      </c>
      <c r="I126" s="8">
        <v>2.4407999999999999</v>
      </c>
      <c r="J126" s="8">
        <v>0</v>
      </c>
      <c r="K126" s="8">
        <v>0</v>
      </c>
      <c r="L126" s="8">
        <v>53.7</v>
      </c>
      <c r="M126" s="8">
        <v>230.45</v>
      </c>
      <c r="N126" s="10">
        <v>4.2914338919925497</v>
      </c>
      <c r="O126" s="10">
        <v>4.2929927753205499</v>
      </c>
      <c r="P126" s="10">
        <v>4.2995548825187804</v>
      </c>
      <c r="Q126" s="10">
        <v>4.2958367281897401</v>
      </c>
      <c r="R126" s="8">
        <v>230.53371203471301</v>
      </c>
      <c r="S126" s="8">
        <v>230.885401539084</v>
      </c>
      <c r="T126" s="8">
        <v>230.691013463209</v>
      </c>
      <c r="U126" s="9">
        <v>3.6318869169719E-4</v>
      </c>
      <c r="V126" s="9">
        <v>1.8875710249308E-3</v>
      </c>
      <c r="W126" s="9">
        <v>1.04529190905996E-3</v>
      </c>
      <c r="X126" s="10">
        <v>4.2914338919925497</v>
      </c>
      <c r="Y126" s="10">
        <v>4.2929927753205499</v>
      </c>
      <c r="Z126" s="10">
        <v>4.2995548825187804</v>
      </c>
      <c r="AA126" s="10">
        <v>4.2958367281897401</v>
      </c>
      <c r="AB126" s="8">
        <v>230.53371203471301</v>
      </c>
      <c r="AC126" s="8">
        <v>230.885401539084</v>
      </c>
      <c r="AD126" s="8">
        <v>230.691013463209</v>
      </c>
      <c r="AE126" s="9">
        <v>3.6318869169719E-4</v>
      </c>
      <c r="AF126" s="9">
        <v>1.8875710249308E-3</v>
      </c>
      <c r="AG126" s="9">
        <v>1.04529190905996E-3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-5.2834601182734798E-4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-5.2834601182734798E-4</v>
      </c>
    </row>
    <row r="127" spans="1:77" x14ac:dyDescent="0.3">
      <c r="A127" s="1">
        <v>46209</v>
      </c>
      <c r="B127" s="8">
        <v>53.18</v>
      </c>
      <c r="C127" s="8">
        <v>228.2</v>
      </c>
      <c r="D127" s="9">
        <v>-9.7306156999453497E-3</v>
      </c>
      <c r="E127" s="9">
        <v>-9.8114817385420196E-3</v>
      </c>
      <c r="F127" s="8">
        <v>0</v>
      </c>
      <c r="G127" s="8">
        <v>0.58599999999999997</v>
      </c>
      <c r="H127" s="8">
        <v>0</v>
      </c>
      <c r="I127" s="8">
        <v>2.4407999999999999</v>
      </c>
      <c r="J127" s="8">
        <v>0</v>
      </c>
      <c r="K127" s="8">
        <v>0</v>
      </c>
      <c r="L127" s="8">
        <v>53.18</v>
      </c>
      <c r="M127" s="8">
        <v>228.2</v>
      </c>
      <c r="N127" s="10">
        <v>4.2910868747649404</v>
      </c>
      <c r="O127" s="10">
        <v>4.2929927753205499</v>
      </c>
      <c r="P127" s="10">
        <v>4.2972382694800997</v>
      </c>
      <c r="Q127" s="10">
        <v>4.2957779191233403</v>
      </c>
      <c r="R127" s="8">
        <v>228.301355791546</v>
      </c>
      <c r="S127" s="8">
        <v>228.65032865234801</v>
      </c>
      <c r="T127" s="8">
        <v>228.45259720512999</v>
      </c>
      <c r="U127" s="9">
        <v>4.44054730294005E-4</v>
      </c>
      <c r="V127" s="9">
        <v>1.9714500349899398E-3</v>
      </c>
      <c r="W127" s="9">
        <v>1.1062993288080999E-3</v>
      </c>
      <c r="X127" s="10">
        <v>4.2910868747649404</v>
      </c>
      <c r="Y127" s="10">
        <v>4.2929927753205499</v>
      </c>
      <c r="Z127" s="10">
        <v>4.2972382694800997</v>
      </c>
      <c r="AA127" s="10">
        <v>4.2957779191233403</v>
      </c>
      <c r="AB127" s="8">
        <v>228.301355791546</v>
      </c>
      <c r="AC127" s="8">
        <v>228.65032865234801</v>
      </c>
      <c r="AD127" s="8">
        <v>228.45259720512999</v>
      </c>
      <c r="AE127" s="9">
        <v>4.44054730294005E-4</v>
      </c>
      <c r="AF127" s="9">
        <v>1.9714500349899398E-3</v>
      </c>
      <c r="AG127" s="9">
        <v>1.1062993288080999E-3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-5.2834601182734798E-4</v>
      </c>
      <c r="BL127" s="9"/>
      <c r="BN127">
        <f t="shared" si="30"/>
        <v>0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-5.2834601182734798E-4</v>
      </c>
    </row>
    <row r="128" spans="1:77" x14ac:dyDescent="0.3">
      <c r="A128" s="1">
        <v>46210</v>
      </c>
      <c r="B128" s="8">
        <v>53.59</v>
      </c>
      <c r="C128" s="8">
        <v>230.1</v>
      </c>
      <c r="D128" s="9">
        <v>7.68009769188521E-3</v>
      </c>
      <c r="E128" s="9">
        <v>8.2915596133449395E-3</v>
      </c>
      <c r="F128" s="8">
        <v>0</v>
      </c>
      <c r="G128" s="8">
        <v>0.58599999999999997</v>
      </c>
      <c r="H128" s="8">
        <v>0</v>
      </c>
      <c r="I128" s="8">
        <v>2.4407999999999999</v>
      </c>
      <c r="J128" s="8">
        <v>0</v>
      </c>
      <c r="K128" s="8">
        <v>0</v>
      </c>
      <c r="L128" s="8">
        <v>53.59</v>
      </c>
      <c r="M128" s="8">
        <v>230.1</v>
      </c>
      <c r="N128" s="10">
        <v>4.29371151334204</v>
      </c>
      <c r="O128" s="10">
        <v>4.2929927753205499</v>
      </c>
      <c r="P128" s="10">
        <v>4.2952933785472602</v>
      </c>
      <c r="Q128" s="10">
        <v>4.29574977974384</v>
      </c>
      <c r="R128" s="8">
        <v>230.061482829428</v>
      </c>
      <c r="S128" s="8">
        <v>230.28899886143901</v>
      </c>
      <c r="T128" s="8">
        <v>230.21073868581999</v>
      </c>
      <c r="U128" s="9">
        <v>-1.6740719116579601E-4</v>
      </c>
      <c r="V128" s="9">
        <v>8.2103991417519298E-4</v>
      </c>
      <c r="W128" s="9">
        <v>4.8114753208971102E-4</v>
      </c>
      <c r="X128" s="10">
        <v>4.29371151334204</v>
      </c>
      <c r="Y128" s="10">
        <v>4.2929927753205499</v>
      </c>
      <c r="Z128" s="10">
        <v>4.2952933785472602</v>
      </c>
      <c r="AA128" s="10">
        <v>4.29574977974384</v>
      </c>
      <c r="AB128" s="8">
        <v>230.061482829428</v>
      </c>
      <c r="AC128" s="8">
        <v>230.28899886143901</v>
      </c>
      <c r="AD128" s="8">
        <v>230.21073868581999</v>
      </c>
      <c r="AE128" s="9">
        <v>-1.6740719116579601E-4</v>
      </c>
      <c r="AF128" s="9">
        <v>8.2103991417519298E-4</v>
      </c>
      <c r="AG128" s="9">
        <v>4.8114753208971102E-4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-5.2834601182734798E-4</v>
      </c>
      <c r="BL128" s="9"/>
      <c r="BN128">
        <f t="shared" si="30"/>
        <v>0</v>
      </c>
      <c r="BO128">
        <f t="shared" si="31"/>
        <v>0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-5.2834601182734798E-4</v>
      </c>
    </row>
    <row r="129" spans="1:77" x14ac:dyDescent="0.3">
      <c r="A129" s="1">
        <v>46211</v>
      </c>
      <c r="B129" s="8">
        <v>53.3</v>
      </c>
      <c r="C129" s="8">
        <v>228.81</v>
      </c>
      <c r="D129" s="9">
        <v>-5.4261523349600996E-3</v>
      </c>
      <c r="E129" s="9">
        <v>-5.6220321970632797E-3</v>
      </c>
      <c r="F129" s="8">
        <v>0</v>
      </c>
      <c r="G129" s="8">
        <v>0.58599999999999997</v>
      </c>
      <c r="H129" s="8">
        <v>0</v>
      </c>
      <c r="I129" s="8">
        <v>2.4407999999999999</v>
      </c>
      <c r="J129" s="8">
        <v>0</v>
      </c>
      <c r="K129" s="8">
        <v>0</v>
      </c>
      <c r="L129" s="8">
        <v>53.3</v>
      </c>
      <c r="M129" s="8">
        <v>228.81</v>
      </c>
      <c r="N129" s="10">
        <v>4.2928705440900501</v>
      </c>
      <c r="O129" s="10">
        <v>4.2929927753205499</v>
      </c>
      <c r="P129" s="10">
        <v>4.2926635302178298</v>
      </c>
      <c r="Q129" s="10">
        <v>4.2958449075580996</v>
      </c>
      <c r="R129" s="8">
        <v>228.81651492458499</v>
      </c>
      <c r="S129" s="8">
        <v>228.93913707656901</v>
      </c>
      <c r="T129" s="8">
        <v>228.963463260346</v>
      </c>
      <c r="U129" s="9">
        <v>2.84726709372739E-5</v>
      </c>
      <c r="V129" s="9">
        <v>5.6422642681409798E-4</v>
      </c>
      <c r="W129" s="9">
        <v>6.7047689921943398E-4</v>
      </c>
      <c r="X129" s="10">
        <v>4.2928705440900501</v>
      </c>
      <c r="Y129" s="10">
        <v>4.2929927753205499</v>
      </c>
      <c r="Z129" s="10">
        <v>4.2926635302178298</v>
      </c>
      <c r="AA129" s="10">
        <v>4.2958449075580996</v>
      </c>
      <c r="AB129" s="8">
        <v>228.81651492458499</v>
      </c>
      <c r="AC129" s="8">
        <v>228.93913707656901</v>
      </c>
      <c r="AD129" s="8">
        <v>228.963463260346</v>
      </c>
      <c r="AE129" s="9">
        <v>2.84726709372739E-5</v>
      </c>
      <c r="AF129" s="9">
        <v>5.6422642681409798E-4</v>
      </c>
      <c r="AG129" s="9">
        <v>6.7047689921943398E-4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-5.2834601182734798E-4</v>
      </c>
      <c r="BL129" s="9"/>
      <c r="BN129">
        <f t="shared" si="30"/>
        <v>0</v>
      </c>
      <c r="BO129">
        <f t="shared" si="31"/>
        <v>0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-5.2834601182734798E-4</v>
      </c>
    </row>
    <row r="130" spans="1:77" x14ac:dyDescent="0.3">
      <c r="A130" s="1">
        <v>46212</v>
      </c>
      <c r="B130" s="8">
        <v>52.57</v>
      </c>
      <c r="C130" s="8">
        <v>225.6</v>
      </c>
      <c r="D130" s="9">
        <v>-1.37907163404421E-2</v>
      </c>
      <c r="E130" s="9">
        <v>-1.41284452203531E-2</v>
      </c>
      <c r="F130" s="8">
        <v>0</v>
      </c>
      <c r="G130" s="8">
        <v>0.58599999999999997</v>
      </c>
      <c r="H130" s="8">
        <v>0</v>
      </c>
      <c r="I130" s="8">
        <v>2.4407999999999999</v>
      </c>
      <c r="J130" s="8">
        <v>0</v>
      </c>
      <c r="K130" s="8">
        <v>0</v>
      </c>
      <c r="L130" s="8">
        <v>52.57</v>
      </c>
      <c r="M130" s="8">
        <v>225.6</v>
      </c>
      <c r="N130" s="10">
        <v>4.2914209625261499</v>
      </c>
      <c r="O130" s="10">
        <v>4.2929927753205499</v>
      </c>
      <c r="P130" s="10">
        <v>4.2925976129898196</v>
      </c>
      <c r="Q130" s="10">
        <v>4.2956934188780602</v>
      </c>
      <c r="R130" s="8">
        <v>225.682630198601</v>
      </c>
      <c r="S130" s="8">
        <v>225.66532178355101</v>
      </c>
      <c r="T130" s="8">
        <v>225.832566790329</v>
      </c>
      <c r="U130" s="9">
        <v>3.6620155084840099E-4</v>
      </c>
      <c r="V130" s="9">
        <v>2.8950500228853602E-4</v>
      </c>
      <c r="W130" s="9">
        <v>1.03035016971785E-3</v>
      </c>
      <c r="X130" s="10">
        <v>4.2914209625261499</v>
      </c>
      <c r="Y130" s="10">
        <v>4.2929927753205499</v>
      </c>
      <c r="Z130" s="10">
        <v>4.2925976129898196</v>
      </c>
      <c r="AA130" s="10">
        <v>4.2956934188780602</v>
      </c>
      <c r="AB130" s="8">
        <v>225.682630198601</v>
      </c>
      <c r="AC130" s="8">
        <v>225.66532178355101</v>
      </c>
      <c r="AD130" s="8">
        <v>225.832566790329</v>
      </c>
      <c r="AE130" s="9">
        <v>3.6620155084840099E-4</v>
      </c>
      <c r="AF130" s="9">
        <v>2.8950500228853602E-4</v>
      </c>
      <c r="AG130" s="9">
        <v>1.03035016971785E-3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-5.2834601182734798E-4</v>
      </c>
      <c r="BL130" s="9"/>
      <c r="BN130">
        <f t="shared" si="30"/>
        <v>0</v>
      </c>
      <c r="BO130">
        <f t="shared" si="31"/>
        <v>0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-5.2834601182734798E-4</v>
      </c>
    </row>
    <row r="131" spans="1:77" x14ac:dyDescent="0.3">
      <c r="A131" s="1">
        <v>46213</v>
      </c>
      <c r="B131" s="8">
        <v>53.1</v>
      </c>
      <c r="C131" s="8">
        <v>228.14</v>
      </c>
      <c r="D131" s="9">
        <v>1.00313134165365E-2</v>
      </c>
      <c r="E131" s="9">
        <v>1.1195955975847801E-2</v>
      </c>
      <c r="F131" s="8">
        <v>0</v>
      </c>
      <c r="G131" s="8">
        <v>0.58599999999999997</v>
      </c>
      <c r="H131" s="8">
        <v>0</v>
      </c>
      <c r="I131" s="8">
        <v>2.4407999999999999</v>
      </c>
      <c r="J131" s="8">
        <v>0</v>
      </c>
      <c r="K131" s="8">
        <v>0</v>
      </c>
      <c r="L131" s="8">
        <v>53.1</v>
      </c>
      <c r="M131" s="8">
        <v>228.14</v>
      </c>
      <c r="N131" s="10">
        <v>4.2964218455743799</v>
      </c>
      <c r="O131" s="10">
        <v>4.2929927753205499</v>
      </c>
      <c r="P131" s="10">
        <v>4.2932611303771697</v>
      </c>
      <c r="Q131" s="10">
        <v>4.2959624799937304</v>
      </c>
      <c r="R131" s="8">
        <v>227.957916369521</v>
      </c>
      <c r="S131" s="8">
        <v>227.93693324975899</v>
      </c>
      <c r="T131" s="8">
        <v>228.10132054242499</v>
      </c>
      <c r="U131" s="9">
        <v>-7.98441008463078E-4</v>
      </c>
      <c r="V131" s="9">
        <v>-8.9049346219768801E-4</v>
      </c>
      <c r="W131" s="9">
        <v>-1.69557012596748E-4</v>
      </c>
      <c r="X131" s="10">
        <v>4.2964218455743799</v>
      </c>
      <c r="Y131" s="10">
        <v>4.2929927753205499</v>
      </c>
      <c r="Z131" s="10">
        <v>4.2932611303771697</v>
      </c>
      <c r="AA131" s="10">
        <v>4.2959624799937304</v>
      </c>
      <c r="AB131" s="8">
        <v>227.957916369521</v>
      </c>
      <c r="AC131" s="8">
        <v>227.93693324975899</v>
      </c>
      <c r="AD131" s="8">
        <v>228.10132054242499</v>
      </c>
      <c r="AE131" s="9">
        <v>-7.98441008463078E-4</v>
      </c>
      <c r="AF131" s="9">
        <v>-8.9049346219768801E-4</v>
      </c>
      <c r="AG131" s="9">
        <v>-1.69557012596748E-4</v>
      </c>
      <c r="AZ131" s="9"/>
      <c r="BB131">
        <f t="shared" si="22"/>
        <v>0</v>
      </c>
      <c r="BC131">
        <f t="shared" si="23"/>
        <v>0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-5.2834601182734798E-4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-5.2834601182734798E-4</v>
      </c>
    </row>
    <row r="132" spans="1:77" x14ac:dyDescent="0.3">
      <c r="A132" s="1">
        <v>46216</v>
      </c>
      <c r="B132" s="8">
        <v>53.4</v>
      </c>
      <c r="C132" s="8">
        <v>229.27</v>
      </c>
      <c r="D132" s="9">
        <v>5.6338177182558404E-3</v>
      </c>
      <c r="E132" s="9">
        <v>4.9408727348189798E-3</v>
      </c>
      <c r="F132" s="8">
        <v>0</v>
      </c>
      <c r="G132" s="8">
        <v>0.58599999999999997</v>
      </c>
      <c r="H132" s="8">
        <v>0</v>
      </c>
      <c r="I132" s="8">
        <v>2.4407999999999999</v>
      </c>
      <c r="J132" s="8">
        <v>0</v>
      </c>
      <c r="K132" s="8">
        <v>0</v>
      </c>
      <c r="L132" s="8">
        <v>53.4</v>
      </c>
      <c r="M132" s="8">
        <v>229.27</v>
      </c>
      <c r="N132" s="10">
        <v>4.29344569288389</v>
      </c>
      <c r="O132" s="10">
        <v>4.2929927753205499</v>
      </c>
      <c r="P132" s="10">
        <v>4.29327311413555</v>
      </c>
      <c r="Q132" s="10">
        <v>4.2959529633725797</v>
      </c>
      <c r="R132" s="8">
        <v>229.245814202117</v>
      </c>
      <c r="S132" s="8">
        <v>229.26014436214101</v>
      </c>
      <c r="T132" s="8">
        <v>229.40439643166499</v>
      </c>
      <c r="U132" s="9">
        <v>-1.0549602502619E-4</v>
      </c>
      <c r="V132" s="9">
        <v>-4.2987960471983502E-5</v>
      </c>
      <c r="W132" s="9">
        <v>5.8602109277246597E-4</v>
      </c>
      <c r="X132" s="10">
        <v>4.29344569288389</v>
      </c>
      <c r="Y132" s="10">
        <v>4.2929927753205499</v>
      </c>
      <c r="Z132" s="10">
        <v>4.29327311413555</v>
      </c>
      <c r="AA132" s="10">
        <v>4.2959529633725797</v>
      </c>
      <c r="AB132" s="8">
        <v>229.245814202117</v>
      </c>
      <c r="AC132" s="8">
        <v>229.26014436214101</v>
      </c>
      <c r="AD132" s="8">
        <v>229.40439643166499</v>
      </c>
      <c r="AE132" s="9">
        <v>-1.0549602502619E-4</v>
      </c>
      <c r="AF132" s="9">
        <v>-4.2987960471983502E-5</v>
      </c>
      <c r="AG132" s="9">
        <v>5.8602109277246597E-4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-5.2834601182734798E-4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-5.2834601182734798E-4</v>
      </c>
    </row>
    <row r="133" spans="1:77" x14ac:dyDescent="0.3">
      <c r="A133" s="1">
        <v>46217</v>
      </c>
      <c r="B133" s="8">
        <v>52.74</v>
      </c>
      <c r="C133" s="8">
        <v>226.29</v>
      </c>
      <c r="D133" s="9">
        <v>-1.24365650410084E-2</v>
      </c>
      <c r="E133" s="9">
        <v>-1.30829858009216E-2</v>
      </c>
      <c r="F133" s="8">
        <v>0</v>
      </c>
      <c r="G133" s="8">
        <v>0.58599999999999997</v>
      </c>
      <c r="H133" s="8">
        <v>0</v>
      </c>
      <c r="I133" s="8">
        <v>2.4407999999999999</v>
      </c>
      <c r="J133" s="8">
        <v>0</v>
      </c>
      <c r="K133" s="8">
        <v>0</v>
      </c>
      <c r="L133" s="8">
        <v>52.74</v>
      </c>
      <c r="M133" s="8">
        <v>226.29</v>
      </c>
      <c r="N133" s="10">
        <v>4.2906712172923704</v>
      </c>
      <c r="O133" s="10">
        <v>4.2929927753205499</v>
      </c>
      <c r="P133" s="10">
        <v>4.2930101551742297</v>
      </c>
      <c r="Q133" s="10">
        <v>4.29587739468628</v>
      </c>
      <c r="R133" s="8">
        <v>226.41243897040499</v>
      </c>
      <c r="S133" s="8">
        <v>226.42722403950901</v>
      </c>
      <c r="T133" s="8">
        <v>226.568559288269</v>
      </c>
      <c r="U133" s="9">
        <v>5.4092473488702301E-4</v>
      </c>
      <c r="V133" s="9">
        <v>6.0622409055882903E-4</v>
      </c>
      <c r="W133" s="9">
        <v>1.23022660249626E-3</v>
      </c>
      <c r="X133" s="10">
        <v>4.2906712172923704</v>
      </c>
      <c r="Y133" s="10">
        <v>4.2929927753205499</v>
      </c>
      <c r="Z133" s="10">
        <v>4.2930101551742297</v>
      </c>
      <c r="AA133" s="10">
        <v>4.29587739468628</v>
      </c>
      <c r="AB133" s="8">
        <v>226.41243897040499</v>
      </c>
      <c r="AC133" s="8">
        <v>226.42722403950901</v>
      </c>
      <c r="AD133" s="8">
        <v>226.568559288269</v>
      </c>
      <c r="AE133" s="9">
        <v>5.4092473488702301E-4</v>
      </c>
      <c r="AF133" s="9">
        <v>6.0622409055882903E-4</v>
      </c>
      <c r="AG133" s="9">
        <v>1.23022660249626E-3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-5.2834601182734798E-4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-5.2834601182734798E-4</v>
      </c>
    </row>
    <row r="134" spans="1:77" x14ac:dyDescent="0.3">
      <c r="A134" s="1">
        <v>46218</v>
      </c>
      <c r="B134" s="8">
        <v>52.68</v>
      </c>
      <c r="C134" s="8">
        <v>226.34</v>
      </c>
      <c r="D134" s="9">
        <v>-1.13830405006039E-3</v>
      </c>
      <c r="E134" s="9">
        <v>2.20931004146354E-4</v>
      </c>
      <c r="F134" s="8">
        <v>0</v>
      </c>
      <c r="G134" s="8">
        <v>0.58599999999999997</v>
      </c>
      <c r="H134" s="8">
        <v>0</v>
      </c>
      <c r="I134" s="8">
        <v>2.4407999999999999</v>
      </c>
      <c r="J134" s="8">
        <v>0</v>
      </c>
      <c r="K134" s="8">
        <v>0</v>
      </c>
      <c r="L134" s="8">
        <v>52.68</v>
      </c>
      <c r="M134" s="8">
        <v>226.34</v>
      </c>
      <c r="N134" s="10">
        <v>4.2965072133637001</v>
      </c>
      <c r="O134" s="10">
        <v>4.2929927753205499</v>
      </c>
      <c r="P134" s="10">
        <v>4.2934831071919799</v>
      </c>
      <c r="Q134" s="10">
        <v>4.2960912218851499</v>
      </c>
      <c r="R134" s="8">
        <v>226.15485940388601</v>
      </c>
      <c r="S134" s="8">
        <v>226.15577497457801</v>
      </c>
      <c r="T134" s="8">
        <v>226.30682115207301</v>
      </c>
      <c r="U134" s="9">
        <v>-8.1831031931977303E-4</v>
      </c>
      <c r="V134" s="9">
        <v>-8.1426190381817898E-4</v>
      </c>
      <c r="W134" s="9">
        <v>-1.4659927535301101E-4</v>
      </c>
      <c r="X134" s="10">
        <v>4.2965072133637001</v>
      </c>
      <c r="Y134" s="10">
        <v>4.2929927753205499</v>
      </c>
      <c r="Z134" s="10">
        <v>4.2934831071919799</v>
      </c>
      <c r="AA134" s="10">
        <v>4.2960912218851499</v>
      </c>
      <c r="AB134" s="8">
        <v>226.15485940388601</v>
      </c>
      <c r="AC134" s="8">
        <v>226.15577497457801</v>
      </c>
      <c r="AD134" s="8">
        <v>226.30682115207301</v>
      </c>
      <c r="AE134" s="9">
        <v>-8.1831031931977303E-4</v>
      </c>
      <c r="AF134" s="9">
        <v>-8.1426190381817898E-4</v>
      </c>
      <c r="AG134" s="9">
        <v>-1.4659927535301101E-4</v>
      </c>
      <c r="AZ134" s="9"/>
      <c r="BB134">
        <f t="shared" si="22"/>
        <v>0</v>
      </c>
      <c r="BC134">
        <f t="shared" si="23"/>
        <v>0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-5.2834601182734798E-4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-5.2834601182734798E-4</v>
      </c>
    </row>
    <row r="135" spans="1:77" x14ac:dyDescent="0.3">
      <c r="A135" s="1">
        <v>46219</v>
      </c>
      <c r="B135" s="8">
        <v>54.12</v>
      </c>
      <c r="C135" s="8">
        <v>232.34</v>
      </c>
      <c r="D135" s="9">
        <v>2.6967926427506901E-2</v>
      </c>
      <c r="E135" s="9">
        <v>2.61635225475331E-2</v>
      </c>
      <c r="F135" s="8">
        <v>0</v>
      </c>
      <c r="G135" s="8">
        <v>0.58599999999999997</v>
      </c>
      <c r="H135" s="8">
        <v>0</v>
      </c>
      <c r="I135" s="8">
        <v>2.4407999999999999</v>
      </c>
      <c r="J135" s="8">
        <v>0</v>
      </c>
      <c r="K135" s="8">
        <v>0</v>
      </c>
      <c r="L135" s="8">
        <v>54.12</v>
      </c>
      <c r="M135" s="8">
        <v>232.34</v>
      </c>
      <c r="N135" s="10">
        <v>4.2930524759792998</v>
      </c>
      <c r="O135" s="10">
        <v>4.2929927753205499</v>
      </c>
      <c r="P135" s="10">
        <v>4.2930622231809403</v>
      </c>
      <c r="Q135" s="10">
        <v>4.29630207564154</v>
      </c>
      <c r="R135" s="8">
        <v>232.336769000348</v>
      </c>
      <c r="S135" s="8">
        <v>232.36330576123001</v>
      </c>
      <c r="T135" s="8">
        <v>232.50445692842399</v>
      </c>
      <c r="U135" s="9">
        <v>-1.3906439346049699E-5</v>
      </c>
      <c r="V135" s="9">
        <v>1.00303832406458E-4</v>
      </c>
      <c r="W135" s="9">
        <v>7.0757834297091701E-4</v>
      </c>
      <c r="X135" s="10">
        <v>4.2930524759792998</v>
      </c>
      <c r="Y135" s="10">
        <v>4.2929927753205499</v>
      </c>
      <c r="Z135" s="10">
        <v>4.2930622231809403</v>
      </c>
      <c r="AA135" s="10">
        <v>4.29630207564154</v>
      </c>
      <c r="AB135" s="8">
        <v>232.336769000348</v>
      </c>
      <c r="AC135" s="8">
        <v>232.36330576123001</v>
      </c>
      <c r="AD135" s="8">
        <v>232.50445692842399</v>
      </c>
      <c r="AE135" s="9">
        <v>-1.3906439346049699E-5</v>
      </c>
      <c r="AF135" s="9">
        <v>1.00303832406458E-4</v>
      </c>
      <c r="AG135" s="9">
        <v>7.0757834297091701E-4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-5.2834601182734798E-4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-5.2834601182734798E-4</v>
      </c>
    </row>
    <row r="136" spans="1:77" x14ac:dyDescent="0.3">
      <c r="A136" s="1">
        <v>46220</v>
      </c>
      <c r="B136" s="8">
        <v>53.64</v>
      </c>
      <c r="C136" s="8">
        <v>230.32</v>
      </c>
      <c r="D136" s="9">
        <v>-8.9087448891094403E-3</v>
      </c>
      <c r="E136" s="9">
        <v>-8.7321697814083596E-3</v>
      </c>
      <c r="F136" s="8">
        <v>0</v>
      </c>
      <c r="G136" s="8">
        <v>0.58599999999999997</v>
      </c>
      <c r="H136" s="8">
        <v>0</v>
      </c>
      <c r="I136" s="8">
        <v>2.4407999999999999</v>
      </c>
      <c r="J136" s="8">
        <v>0</v>
      </c>
      <c r="K136" s="8">
        <v>0</v>
      </c>
      <c r="L136" s="8">
        <v>53.64</v>
      </c>
      <c r="M136" s="8">
        <v>230.32</v>
      </c>
      <c r="N136" s="10">
        <v>4.2938105891126002</v>
      </c>
      <c r="O136" s="10">
        <v>4.2929927753205499</v>
      </c>
      <c r="P136" s="10">
        <v>4.2932998928929402</v>
      </c>
      <c r="Q136" s="10">
        <v>4.2964273877058599</v>
      </c>
      <c r="R136" s="8">
        <v>230.27613246819399</v>
      </c>
      <c r="S136" s="8">
        <v>230.279857651425</v>
      </c>
      <c r="T136" s="8">
        <v>230.45364333741199</v>
      </c>
      <c r="U136" s="9">
        <v>-1.9048154704718199E-4</v>
      </c>
      <c r="V136" s="9">
        <v>-1.74304650811527E-4</v>
      </c>
      <c r="W136" s="9">
        <v>5.8008240311557303E-4</v>
      </c>
      <c r="X136" s="10">
        <v>4.2938105891126002</v>
      </c>
      <c r="Y136" s="10">
        <v>4.2929927753205499</v>
      </c>
      <c r="Z136" s="10">
        <v>4.2932998928929402</v>
      </c>
      <c r="AA136" s="10">
        <v>4.2964273877058599</v>
      </c>
      <c r="AB136" s="8">
        <v>230.27613246819399</v>
      </c>
      <c r="AC136" s="8">
        <v>230.279857651425</v>
      </c>
      <c r="AD136" s="8">
        <v>230.45364333741199</v>
      </c>
      <c r="AE136" s="9">
        <v>-1.9048154704718199E-4</v>
      </c>
      <c r="AF136" s="9">
        <v>-1.74304650811527E-4</v>
      </c>
      <c r="AG136" s="9">
        <v>5.8008240311557303E-4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-5.2834601182734798E-4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-5.2834601182734798E-4</v>
      </c>
    </row>
    <row r="137" spans="1:77" x14ac:dyDescent="0.3">
      <c r="A137" s="1">
        <v>46223</v>
      </c>
      <c r="B137" s="8">
        <v>53.45</v>
      </c>
      <c r="C137" s="8">
        <v>229.43</v>
      </c>
      <c r="D137" s="9">
        <v>-3.5484209424234401E-3</v>
      </c>
      <c r="E137" s="9">
        <v>-3.8716742218499302E-3</v>
      </c>
      <c r="F137" s="8">
        <v>0</v>
      </c>
      <c r="G137" s="8">
        <v>0.58599999999999997</v>
      </c>
      <c r="H137" s="8">
        <v>0</v>
      </c>
      <c r="I137" s="8">
        <v>2.4407999999999999</v>
      </c>
      <c r="J137" s="8">
        <v>0</v>
      </c>
      <c r="K137" s="8">
        <v>0</v>
      </c>
      <c r="L137" s="8">
        <v>53.45</v>
      </c>
      <c r="M137" s="8">
        <v>229.43</v>
      </c>
      <c r="N137" s="10">
        <v>4.2924228250701502</v>
      </c>
      <c r="O137" s="10">
        <v>4.2929927753205499</v>
      </c>
      <c r="P137" s="10">
        <v>4.2934334879234601</v>
      </c>
      <c r="Q137" s="10">
        <v>4.2953358787017804</v>
      </c>
      <c r="R137" s="8">
        <v>229.46046384088299</v>
      </c>
      <c r="S137" s="8">
        <v>229.476879275128</v>
      </c>
      <c r="T137" s="8">
        <v>229.644043872878</v>
      </c>
      <c r="U137" s="9">
        <v>1.3277173237920999E-4</v>
      </c>
      <c r="V137" s="9">
        <v>2.04308444297916E-4</v>
      </c>
      <c r="W137" s="9">
        <v>9.3250268119321499E-4</v>
      </c>
      <c r="X137" s="10">
        <v>4.2924228250701502</v>
      </c>
      <c r="Y137" s="10">
        <v>4.2929927753205499</v>
      </c>
      <c r="Z137" s="10">
        <v>4.2934334879234601</v>
      </c>
      <c r="AA137" s="10">
        <v>4.2953358787017804</v>
      </c>
      <c r="AB137" s="8">
        <v>229.46046384088299</v>
      </c>
      <c r="AC137" s="8">
        <v>229.476879275128</v>
      </c>
      <c r="AD137" s="8">
        <v>229.644043872878</v>
      </c>
      <c r="AE137" s="9">
        <v>1.3277173237920999E-4</v>
      </c>
      <c r="AF137" s="9">
        <v>2.04308444297916E-4</v>
      </c>
      <c r="AG137" s="9">
        <v>9.3250268119321499E-4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-5.2834601182734798E-4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-5.2834601182734798E-4</v>
      </c>
    </row>
    <row r="138" spans="1:77" x14ac:dyDescent="0.3">
      <c r="A138" s="1">
        <v>46224</v>
      </c>
      <c r="B138" s="8">
        <v>53</v>
      </c>
      <c r="C138" s="8">
        <v>227.51</v>
      </c>
      <c r="D138" s="9">
        <v>-8.4547239189324101E-3</v>
      </c>
      <c r="E138" s="9">
        <v>-8.4037786131479393E-3</v>
      </c>
      <c r="F138" s="8">
        <v>0</v>
      </c>
      <c r="G138" s="8">
        <v>0.58599999999999997</v>
      </c>
      <c r="H138" s="8">
        <v>0</v>
      </c>
      <c r="I138" s="8">
        <v>2.4407999999999999</v>
      </c>
      <c r="J138" s="8">
        <v>0</v>
      </c>
      <c r="K138" s="8">
        <v>0</v>
      </c>
      <c r="L138" s="8">
        <v>53</v>
      </c>
      <c r="M138" s="8">
        <v>227.51</v>
      </c>
      <c r="N138" s="10">
        <v>4.2926415094339596</v>
      </c>
      <c r="O138" s="10">
        <v>4.2929927753205499</v>
      </c>
      <c r="P138" s="10">
        <v>4.29332648753266</v>
      </c>
      <c r="Q138" s="10">
        <v>4.2943099330399601</v>
      </c>
      <c r="R138" s="8">
        <v>227.52861709198899</v>
      </c>
      <c r="S138" s="8">
        <v>227.55197485994299</v>
      </c>
      <c r="T138" s="8">
        <v>227.652801571194</v>
      </c>
      <c r="U138" s="9">
        <v>8.1826426594886097E-5</v>
      </c>
      <c r="V138" s="9">
        <v>1.8447975168996299E-4</v>
      </c>
      <c r="W138" s="9">
        <v>6.2747472063749395E-4</v>
      </c>
      <c r="X138" s="10">
        <v>4.2926415094339596</v>
      </c>
      <c r="Y138" s="10">
        <v>4.2929927753205499</v>
      </c>
      <c r="Z138" s="10">
        <v>4.29332648753266</v>
      </c>
      <c r="AA138" s="10">
        <v>4.2943099330399601</v>
      </c>
      <c r="AB138" s="8">
        <v>227.52861709198899</v>
      </c>
      <c r="AC138" s="8">
        <v>227.55197485994299</v>
      </c>
      <c r="AD138" s="8">
        <v>227.652801571194</v>
      </c>
      <c r="AE138" s="9">
        <v>8.1826426594886097E-5</v>
      </c>
      <c r="AF138" s="9">
        <v>1.8447975168996299E-4</v>
      </c>
      <c r="AG138" s="9">
        <v>6.2747472063749395E-4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-5.2834601182734798E-4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-5.2834601182734798E-4</v>
      </c>
    </row>
    <row r="139" spans="1:77" x14ac:dyDescent="0.3">
      <c r="A139" s="1">
        <v>46225</v>
      </c>
      <c r="B139" s="8">
        <v>53.14</v>
      </c>
      <c r="C139" s="8">
        <v>228.03</v>
      </c>
      <c r="D139" s="9">
        <v>2.6380267795455799E-3</v>
      </c>
      <c r="E139" s="9">
        <v>2.28300577713633E-3</v>
      </c>
      <c r="F139" s="8">
        <v>0</v>
      </c>
      <c r="G139" s="8">
        <v>0.58599999999999997</v>
      </c>
      <c r="H139" s="8">
        <v>0</v>
      </c>
      <c r="I139" s="8">
        <v>2.4407999999999999</v>
      </c>
      <c r="J139" s="8">
        <v>0</v>
      </c>
      <c r="K139" s="8">
        <v>0</v>
      </c>
      <c r="L139" s="8">
        <v>53.14</v>
      </c>
      <c r="M139" s="8">
        <v>228.03</v>
      </c>
      <c r="N139" s="10">
        <v>4.2911178020323604</v>
      </c>
      <c r="O139" s="10">
        <v>4.2929927753205499</v>
      </c>
      <c r="P139" s="10">
        <v>4.2931512133268903</v>
      </c>
      <c r="Q139" s="10">
        <v>4.29290737177236</v>
      </c>
      <c r="R139" s="8">
        <v>228.129636080534</v>
      </c>
      <c r="S139" s="8">
        <v>228.147369547485</v>
      </c>
      <c r="T139" s="8">
        <v>228.19962984174299</v>
      </c>
      <c r="U139" s="9">
        <v>4.3684742900405502E-4</v>
      </c>
      <c r="V139" s="9">
        <v>5.1457857364501703E-4</v>
      </c>
      <c r="W139" s="9">
        <v>7.4361610235165905E-4</v>
      </c>
      <c r="X139" s="10">
        <v>4.2911178020323604</v>
      </c>
      <c r="Y139" s="10">
        <v>4.2929927753205499</v>
      </c>
      <c r="Z139" s="10">
        <v>4.2931512133268903</v>
      </c>
      <c r="AA139" s="10">
        <v>4.29290737177236</v>
      </c>
      <c r="AB139" s="8">
        <v>228.129636080534</v>
      </c>
      <c r="AC139" s="8">
        <v>228.147369547485</v>
      </c>
      <c r="AD139" s="8">
        <v>228.19962984174299</v>
      </c>
      <c r="AE139" s="9">
        <v>4.3684742900405502E-4</v>
      </c>
      <c r="AF139" s="9">
        <v>5.1457857364501703E-4</v>
      </c>
      <c r="AG139" s="9">
        <v>7.4361610235165905E-4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-5.2834601182734798E-4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-5.2834601182734798E-4</v>
      </c>
    </row>
    <row r="140" spans="1:77" x14ac:dyDescent="0.3">
      <c r="A140" s="1">
        <v>46226</v>
      </c>
      <c r="B140" s="8">
        <v>52.41</v>
      </c>
      <c r="C140" s="8">
        <v>224.97</v>
      </c>
      <c r="D140" s="9">
        <v>-1.38325275175926E-2</v>
      </c>
      <c r="E140" s="9">
        <v>-1.3510139264651101E-2</v>
      </c>
      <c r="F140" s="8">
        <v>0</v>
      </c>
      <c r="G140" s="8">
        <v>0.58599999999999997</v>
      </c>
      <c r="H140" s="8">
        <v>0</v>
      </c>
      <c r="I140" s="8">
        <v>2.4407999999999999</v>
      </c>
      <c r="J140" s="8">
        <v>0</v>
      </c>
      <c r="K140" s="8">
        <v>0</v>
      </c>
      <c r="L140" s="8">
        <v>52.41</v>
      </c>
      <c r="M140" s="8">
        <v>224.97</v>
      </c>
      <c r="N140" s="10">
        <v>4.2925014310246103</v>
      </c>
      <c r="O140" s="10">
        <v>4.2929927753205499</v>
      </c>
      <c r="P140" s="10">
        <v>4.2932592601767299</v>
      </c>
      <c r="Q140" s="10">
        <v>4.2929284365832796</v>
      </c>
      <c r="R140" s="8">
        <v>224.99575135455001</v>
      </c>
      <c r="S140" s="8">
        <v>225.004055090462</v>
      </c>
      <c r="T140" s="8">
        <v>224.99127535458899</v>
      </c>
      <c r="U140" s="9">
        <v>1.1445917606257E-4</v>
      </c>
      <c r="V140" s="9">
        <v>1.5136468488413001E-4</v>
      </c>
      <c r="W140" s="9">
        <v>9.4565269371871705E-5</v>
      </c>
      <c r="X140" s="10">
        <v>4.2925014310246103</v>
      </c>
      <c r="Y140" s="10">
        <v>4.2929927753205499</v>
      </c>
      <c r="Z140" s="10">
        <v>4.2932592601767299</v>
      </c>
      <c r="AA140" s="10">
        <v>4.2929284365832796</v>
      </c>
      <c r="AB140" s="8">
        <v>224.99575135455001</v>
      </c>
      <c r="AC140" s="8">
        <v>225.004055090462</v>
      </c>
      <c r="AD140" s="8">
        <v>224.99127535458899</v>
      </c>
      <c r="AE140" s="9">
        <v>1.1445917606257E-4</v>
      </c>
      <c r="AF140" s="9">
        <v>1.5136468488413001E-4</v>
      </c>
      <c r="AG140" s="9">
        <v>9.4565269371871705E-5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-5.2834601182734798E-4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-5.2834601182734798E-4</v>
      </c>
    </row>
    <row r="141" spans="1:77" x14ac:dyDescent="0.3">
      <c r="A141" s="1">
        <v>46227</v>
      </c>
      <c r="B141" s="8">
        <v>52.95</v>
      </c>
      <c r="C141" s="8">
        <v>227.32</v>
      </c>
      <c r="D141" s="9">
        <v>1.0250659233340601E-2</v>
      </c>
      <c r="E141" s="9">
        <v>1.0391656447512901E-2</v>
      </c>
      <c r="F141" s="8">
        <v>0</v>
      </c>
      <c r="G141" s="8">
        <v>0.58599999999999997</v>
      </c>
      <c r="H141" s="8">
        <v>0</v>
      </c>
      <c r="I141" s="8">
        <v>2.4407999999999999</v>
      </c>
      <c r="J141" s="8">
        <v>0</v>
      </c>
      <c r="K141" s="8">
        <v>0</v>
      </c>
      <c r="L141" s="8">
        <v>52.95</v>
      </c>
      <c r="M141" s="8">
        <v>227.32</v>
      </c>
      <c r="N141" s="10">
        <v>4.2931067044381397</v>
      </c>
      <c r="O141" s="10">
        <v>4.2929927753205499</v>
      </c>
      <c r="P141" s="10">
        <v>4.2929277460631097</v>
      </c>
      <c r="Q141" s="10">
        <v>4.2930944382201401</v>
      </c>
      <c r="R141" s="8">
        <v>227.313967453223</v>
      </c>
      <c r="S141" s="8">
        <v>227.328077826358</v>
      </c>
      <c r="T141" s="8">
        <v>227.310560717084</v>
      </c>
      <c r="U141" s="9">
        <v>-2.6538038109662801E-5</v>
      </c>
      <c r="V141" s="9">
        <v>3.5534413332485598E-5</v>
      </c>
      <c r="W141" s="9">
        <v>-4.1525069945137897E-5</v>
      </c>
      <c r="X141" s="10">
        <v>4.2931067044381397</v>
      </c>
      <c r="Y141" s="10">
        <v>4.2929927753205499</v>
      </c>
      <c r="Z141" s="10">
        <v>4.2929277460631097</v>
      </c>
      <c r="AA141" s="10">
        <v>4.2930944382201401</v>
      </c>
      <c r="AB141" s="8">
        <v>227.313967453223</v>
      </c>
      <c r="AC141" s="8">
        <v>227.328077826358</v>
      </c>
      <c r="AD141" s="8">
        <v>227.310560717084</v>
      </c>
      <c r="AE141" s="9">
        <v>-2.6538038109662801E-5</v>
      </c>
      <c r="AF141" s="9">
        <v>3.5534413332485598E-5</v>
      </c>
      <c r="AG141" s="9">
        <v>-4.1525069945137897E-5</v>
      </c>
      <c r="AZ141" s="9"/>
      <c r="BB141">
        <f t="shared" si="22"/>
        <v>0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-5.2834601182734798E-4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-5.2834601182734798E-4</v>
      </c>
    </row>
    <row r="142" spans="1:77" x14ac:dyDescent="0.3">
      <c r="A142" s="1">
        <v>46230</v>
      </c>
      <c r="B142" s="8">
        <v>53.78</v>
      </c>
      <c r="C142" s="8">
        <v>230.91</v>
      </c>
      <c r="D142" s="9">
        <v>1.55535787933031E-2</v>
      </c>
      <c r="E142" s="9">
        <v>1.5669307785415101E-2</v>
      </c>
      <c r="F142" s="8">
        <v>0</v>
      </c>
      <c r="G142" s="8">
        <v>0.58599999999999997</v>
      </c>
      <c r="H142" s="8">
        <v>0</v>
      </c>
      <c r="I142" s="8">
        <v>2.4407999999999999</v>
      </c>
      <c r="J142" s="8">
        <v>0</v>
      </c>
      <c r="K142" s="8">
        <v>0</v>
      </c>
      <c r="L142" s="8">
        <v>53.78</v>
      </c>
      <c r="M142" s="8">
        <v>230.91</v>
      </c>
      <c r="N142" s="10">
        <v>4.2936035701003998</v>
      </c>
      <c r="O142" s="10">
        <v>4.2929927753205499</v>
      </c>
      <c r="P142" s="10">
        <v>4.2929435337847597</v>
      </c>
      <c r="Q142" s="10">
        <v>4.2931083239601602</v>
      </c>
      <c r="R142" s="8">
        <v>230.877151456739</v>
      </c>
      <c r="S142" s="8">
        <v>230.873654183274</v>
      </c>
      <c r="T142" s="8">
        <v>230.882618887479</v>
      </c>
      <c r="U142" s="9">
        <v>-1.42267030221589E-4</v>
      </c>
      <c r="V142" s="9">
        <v>-1.5741491268291501E-4</v>
      </c>
      <c r="W142" s="9">
        <v>-1.18586185369435E-4</v>
      </c>
      <c r="X142" s="10">
        <v>4.2936035701003998</v>
      </c>
      <c r="Y142" s="10">
        <v>4.2929927753205499</v>
      </c>
      <c r="Z142" s="10">
        <v>4.2929435337847597</v>
      </c>
      <c r="AA142" s="10">
        <v>4.2931083239601602</v>
      </c>
      <c r="AB142" s="8">
        <v>230.877151456739</v>
      </c>
      <c r="AC142" s="8">
        <v>230.873654183274</v>
      </c>
      <c r="AD142" s="8">
        <v>230.882618887479</v>
      </c>
      <c r="AE142" s="9">
        <v>-1.42267030221589E-4</v>
      </c>
      <c r="AF142" s="9">
        <v>-1.5741491268291501E-4</v>
      </c>
      <c r="AG142" s="9">
        <v>-1.18586185369435E-4</v>
      </c>
      <c r="AZ142" s="9"/>
      <c r="BB142">
        <f t="shared" si="22"/>
        <v>0</v>
      </c>
      <c r="BC142">
        <f t="shared" si="23"/>
        <v>0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-5.2834601182734798E-4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-5.2834601182734798E-4</v>
      </c>
    </row>
    <row r="143" spans="1:77" x14ac:dyDescent="0.3">
      <c r="A143" s="1">
        <v>46231</v>
      </c>
      <c r="B143" s="8">
        <v>54.89</v>
      </c>
      <c r="C143" s="8">
        <v>235.43</v>
      </c>
      <c r="D143" s="9">
        <v>2.0429531721079201E-2</v>
      </c>
      <c r="E143" s="9">
        <v>1.93856051425229E-2</v>
      </c>
      <c r="F143" s="8">
        <v>0</v>
      </c>
      <c r="G143" s="8">
        <v>0.58599999999999997</v>
      </c>
      <c r="H143" s="8">
        <v>0</v>
      </c>
      <c r="I143" s="8">
        <v>2.4407999999999999</v>
      </c>
      <c r="J143" s="8">
        <v>0</v>
      </c>
      <c r="K143" s="8">
        <v>0</v>
      </c>
      <c r="L143" s="8">
        <v>54.89</v>
      </c>
      <c r="M143" s="8">
        <v>235.43</v>
      </c>
      <c r="N143" s="10">
        <v>4.2891237019493502</v>
      </c>
      <c r="O143" s="10">
        <v>4.2929927753205499</v>
      </c>
      <c r="P143" s="10">
        <v>4.2927887822504598</v>
      </c>
      <c r="Q143" s="10">
        <v>4.2928994687123403</v>
      </c>
      <c r="R143" s="8">
        <v>235.64237343734499</v>
      </c>
      <c r="S143" s="8">
        <v>235.639670569445</v>
      </c>
      <c r="T143" s="8">
        <v>235.648715902173</v>
      </c>
      <c r="U143" s="9">
        <v>9.0165954833446797E-4</v>
      </c>
      <c r="V143" s="9">
        <v>8.9018927089133302E-4</v>
      </c>
      <c r="W143" s="9">
        <v>9.2857482414586401E-4</v>
      </c>
      <c r="X143" s="10">
        <v>4.2891237019493502</v>
      </c>
      <c r="Y143" s="10">
        <v>4.2929927753205499</v>
      </c>
      <c r="Z143" s="10">
        <v>4.2927887822504598</v>
      </c>
      <c r="AA143" s="10">
        <v>4.2928994687123403</v>
      </c>
      <c r="AB143" s="8">
        <v>235.64237343734499</v>
      </c>
      <c r="AC143" s="8">
        <v>235.639670569445</v>
      </c>
      <c r="AD143" s="8">
        <v>235.648715902173</v>
      </c>
      <c r="AE143" s="9">
        <v>9.0165954833446797E-4</v>
      </c>
      <c r="AF143" s="9">
        <v>8.9018927089133302E-4</v>
      </c>
      <c r="AG143" s="9">
        <v>9.2857482414586401E-4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-5.2834601182734798E-4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-5.2834601182734798E-4</v>
      </c>
    </row>
    <row r="144" spans="1:77" x14ac:dyDescent="0.3">
      <c r="A144" s="1">
        <v>46232</v>
      </c>
      <c r="B144" s="8">
        <v>54.97</v>
      </c>
      <c r="C144" s="8">
        <v>236.08</v>
      </c>
      <c r="D144" s="9">
        <v>1.45639931077102E-3</v>
      </c>
      <c r="E144" s="9">
        <v>2.75710127782519E-3</v>
      </c>
      <c r="F144" s="8">
        <v>0</v>
      </c>
      <c r="G144" s="8">
        <v>0.58599999999999997</v>
      </c>
      <c r="H144" s="8">
        <v>0</v>
      </c>
      <c r="I144" s="8">
        <v>2.4407999999999999</v>
      </c>
      <c r="J144" s="8">
        <v>0</v>
      </c>
      <c r="K144" s="8">
        <v>0</v>
      </c>
      <c r="L144" s="8">
        <v>54.97</v>
      </c>
      <c r="M144" s="8">
        <v>236.08</v>
      </c>
      <c r="N144" s="10">
        <v>4.2947062033836598</v>
      </c>
      <c r="O144" s="10">
        <v>4.2929927753205499</v>
      </c>
      <c r="P144" s="10">
        <v>4.2926086812524504</v>
      </c>
      <c r="Q144" s="10">
        <v>4.29304589422222</v>
      </c>
      <c r="R144" s="8">
        <v>235.98581285936999</v>
      </c>
      <c r="S144" s="8">
        <v>235.974599360307</v>
      </c>
      <c r="T144" s="8">
        <v>235.98068379511699</v>
      </c>
      <c r="U144" s="9">
        <v>-3.99042418719567E-4</v>
      </c>
      <c r="V144" s="9">
        <v>-4.4656123078320298E-4</v>
      </c>
      <c r="W144" s="9">
        <v>-4.2077728460326798E-4</v>
      </c>
      <c r="X144" s="10">
        <v>4.2947062033836598</v>
      </c>
      <c r="Y144" s="10">
        <v>4.2929927753205499</v>
      </c>
      <c r="Z144" s="10">
        <v>4.2926086812524504</v>
      </c>
      <c r="AA144" s="10">
        <v>4.29304589422222</v>
      </c>
      <c r="AB144" s="8">
        <v>235.98581285936999</v>
      </c>
      <c r="AC144" s="8">
        <v>235.974599360307</v>
      </c>
      <c r="AD144" s="8">
        <v>235.98068379511699</v>
      </c>
      <c r="AE144" s="9">
        <v>-3.99042418719567E-4</v>
      </c>
      <c r="AF144" s="9">
        <v>-4.4656123078320298E-4</v>
      </c>
      <c r="AG144" s="9">
        <v>-4.2077728460326798E-4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-5.2834601182734798E-4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-5.2834601182734798E-4</v>
      </c>
    </row>
    <row r="145" spans="1:77" x14ac:dyDescent="0.3">
      <c r="A145" s="1">
        <v>46233</v>
      </c>
      <c r="B145" s="8">
        <v>53.91</v>
      </c>
      <c r="C145" s="8">
        <v>231.37</v>
      </c>
      <c r="D145" s="9">
        <v>-1.94715924089916E-2</v>
      </c>
      <c r="E145" s="9">
        <v>-2.0152569915093101E-2</v>
      </c>
      <c r="F145" s="8">
        <v>0</v>
      </c>
      <c r="G145" s="8">
        <v>0.58599999999999997</v>
      </c>
      <c r="H145" s="8">
        <v>0</v>
      </c>
      <c r="I145" s="8">
        <v>2.4407999999999999</v>
      </c>
      <c r="J145" s="8">
        <v>0</v>
      </c>
      <c r="K145" s="8">
        <v>0</v>
      </c>
      <c r="L145" s="8">
        <v>53.91</v>
      </c>
      <c r="M145" s="8">
        <v>231.37</v>
      </c>
      <c r="N145" s="10">
        <v>4.2917826006306798</v>
      </c>
      <c r="O145" s="10">
        <v>4.2929927753205499</v>
      </c>
      <c r="P145" s="10">
        <v>4.2924816937175896</v>
      </c>
      <c r="Q145" s="10">
        <v>4.2927719584492596</v>
      </c>
      <c r="R145" s="8">
        <v>231.43524051752999</v>
      </c>
      <c r="S145" s="8">
        <v>231.41453400632</v>
      </c>
      <c r="T145" s="8">
        <v>231.43810415752</v>
      </c>
      <c r="U145" s="9">
        <v>2.81935087381899E-4</v>
      </c>
      <c r="V145" s="9">
        <v>1.92461083657825E-4</v>
      </c>
      <c r="W145" s="9">
        <v>2.9430840730681801E-4</v>
      </c>
      <c r="X145" s="10">
        <v>4.2917826006306798</v>
      </c>
      <c r="Y145" s="10">
        <v>4.2929927753205499</v>
      </c>
      <c r="Z145" s="10">
        <v>4.2924816937175896</v>
      </c>
      <c r="AA145" s="10">
        <v>4.2927719584492596</v>
      </c>
      <c r="AB145" s="8">
        <v>231.43524051752999</v>
      </c>
      <c r="AC145" s="8">
        <v>231.41453400632</v>
      </c>
      <c r="AD145" s="8">
        <v>231.43810415752</v>
      </c>
      <c r="AE145" s="9">
        <v>2.81935087381899E-4</v>
      </c>
      <c r="AF145" s="9">
        <v>1.92461083657825E-4</v>
      </c>
      <c r="AG145" s="9">
        <v>2.9430840730681801E-4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-5.2834601182734798E-4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-5.2834601182734798E-4</v>
      </c>
    </row>
    <row r="146" spans="1:77" x14ac:dyDescent="0.3">
      <c r="A146" s="1">
        <v>46234</v>
      </c>
      <c r="B146" s="8">
        <v>53.66</v>
      </c>
      <c r="C146" s="8">
        <v>230.43</v>
      </c>
      <c r="D146" s="9">
        <v>-4.6481444660992797E-3</v>
      </c>
      <c r="E146" s="9">
        <v>-4.0710320408904998E-3</v>
      </c>
      <c r="F146" s="8">
        <v>0</v>
      </c>
      <c r="G146" s="8">
        <v>0.58599999999999997</v>
      </c>
      <c r="H146" s="8">
        <v>0</v>
      </c>
      <c r="I146" s="8">
        <v>2.4407999999999999</v>
      </c>
      <c r="J146" s="8">
        <v>0</v>
      </c>
      <c r="K146" s="8">
        <v>0</v>
      </c>
      <c r="L146" s="8">
        <v>53.66</v>
      </c>
      <c r="M146" s="8">
        <v>230.43</v>
      </c>
      <c r="N146" s="10">
        <v>4.2942601565411804</v>
      </c>
      <c r="O146" s="10">
        <v>4.2929927753205499</v>
      </c>
      <c r="P146" s="10">
        <v>4.2925266504604496</v>
      </c>
      <c r="Q146" s="10">
        <v>4.2929132716767002</v>
      </c>
      <c r="R146" s="8">
        <v>230.36199232370001</v>
      </c>
      <c r="S146" s="8">
        <v>230.334567684886</v>
      </c>
      <c r="T146" s="8">
        <v>230.350143290387</v>
      </c>
      <c r="U146" s="9">
        <v>-2.9517733782687898E-4</v>
      </c>
      <c r="V146" s="9">
        <v>-4.1423461425409299E-4</v>
      </c>
      <c r="W146" s="9">
        <v>-3.4661524188731399E-4</v>
      </c>
      <c r="X146" s="10">
        <v>4.2942601565411804</v>
      </c>
      <c r="Y146" s="10">
        <v>4.2929927753205499</v>
      </c>
      <c r="Z146" s="10">
        <v>4.2925266504604496</v>
      </c>
      <c r="AA146" s="10">
        <v>4.2929132716767002</v>
      </c>
      <c r="AB146" s="8">
        <v>230.36199232370001</v>
      </c>
      <c r="AC146" s="8">
        <v>230.334567684886</v>
      </c>
      <c r="AD146" s="8">
        <v>230.350143290387</v>
      </c>
      <c r="AE146" s="9">
        <v>-2.9517733782687898E-4</v>
      </c>
      <c r="AF146" s="9">
        <v>-4.1423461425409299E-4</v>
      </c>
      <c r="AG146" s="9">
        <v>-3.4661524188731399E-4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-5.2834601182734798E-4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-5.2834601182734798E-4</v>
      </c>
    </row>
    <row r="147" spans="1:77" x14ac:dyDescent="0.3">
      <c r="A147" s="1">
        <v>46237</v>
      </c>
      <c r="B147" s="8">
        <v>53.56</v>
      </c>
      <c r="C147" s="8">
        <v>230.1</v>
      </c>
      <c r="D147" s="9">
        <v>-1.86532417450623E-3</v>
      </c>
      <c r="E147" s="9">
        <v>-1.43313163738016E-3</v>
      </c>
      <c r="F147" s="8">
        <v>0</v>
      </c>
      <c r="G147" s="8">
        <v>0.58599999999999997</v>
      </c>
      <c r="H147" s="8">
        <v>0</v>
      </c>
      <c r="I147" s="8">
        <v>2.4407999999999999</v>
      </c>
      <c r="J147" s="8">
        <v>0</v>
      </c>
      <c r="K147" s="8">
        <v>0</v>
      </c>
      <c r="L147" s="8">
        <v>53.56</v>
      </c>
      <c r="M147" s="8">
        <v>230.1</v>
      </c>
      <c r="N147" s="10">
        <v>4.2961165048543597</v>
      </c>
      <c r="O147" s="10">
        <v>4.2929927753205499</v>
      </c>
      <c r="P147" s="10">
        <v>4.2928960184388698</v>
      </c>
      <c r="Q147" s="10">
        <v>4.2931647531811699</v>
      </c>
      <c r="R147" s="8">
        <v>229.932693046168</v>
      </c>
      <c r="S147" s="8">
        <v>229.907727398661</v>
      </c>
      <c r="T147" s="8">
        <v>229.92843483100401</v>
      </c>
      <c r="U147" s="9">
        <v>-7.2736987495286901E-4</v>
      </c>
      <c r="V147" s="9">
        <v>-8.35953837655484E-4</v>
      </c>
      <c r="W147" s="9">
        <v>-7.4588944491263995E-4</v>
      </c>
      <c r="X147" s="10">
        <v>4.2961165048543597</v>
      </c>
      <c r="Y147" s="10">
        <v>4.2929927753205499</v>
      </c>
      <c r="Z147" s="10">
        <v>4.2928960184388698</v>
      </c>
      <c r="AA147" s="10">
        <v>4.2931647531811699</v>
      </c>
      <c r="AB147" s="8">
        <v>229.932693046168</v>
      </c>
      <c r="AC147" s="8">
        <v>229.907727398661</v>
      </c>
      <c r="AD147" s="8">
        <v>229.92843483100401</v>
      </c>
      <c r="AE147" s="9">
        <v>-7.2736987495286901E-4</v>
      </c>
      <c r="AF147" s="9">
        <v>-8.35953837655484E-4</v>
      </c>
      <c r="AG147" s="9">
        <v>-7.4588944491263995E-4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-5.2834601182734798E-4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-5.2834601182734798E-4</v>
      </c>
    </row>
    <row r="148" spans="1:77" x14ac:dyDescent="0.3">
      <c r="A148" s="1">
        <v>46238</v>
      </c>
      <c r="B148" s="8">
        <v>53.9</v>
      </c>
      <c r="C148" s="8">
        <v>231.38</v>
      </c>
      <c r="D148" s="9">
        <v>6.3279570919797402E-3</v>
      </c>
      <c r="E148" s="9">
        <v>5.5473835594225798E-3</v>
      </c>
      <c r="F148" s="8">
        <v>0</v>
      </c>
      <c r="G148" s="8">
        <v>0.58599999999999997</v>
      </c>
      <c r="H148" s="8">
        <v>0</v>
      </c>
      <c r="I148" s="8">
        <v>2.4407999999999999</v>
      </c>
      <c r="J148" s="8">
        <v>0</v>
      </c>
      <c r="K148" s="8">
        <v>0</v>
      </c>
      <c r="L148" s="8">
        <v>53.9</v>
      </c>
      <c r="M148" s="8">
        <v>231.38</v>
      </c>
      <c r="N148" s="10">
        <v>4.29276437847866</v>
      </c>
      <c r="O148" s="10">
        <v>4.2929927753205499</v>
      </c>
      <c r="P148" s="10">
        <v>4.2929083053433397</v>
      </c>
      <c r="Q148" s="10">
        <v>4.2931173964380003</v>
      </c>
      <c r="R148" s="8">
        <v>231.392310589777</v>
      </c>
      <c r="S148" s="8">
        <v>231.38709539385499</v>
      </c>
      <c r="T148" s="8">
        <v>231.40158019646501</v>
      </c>
      <c r="U148" s="9">
        <v>5.3203657604126703E-5</v>
      </c>
      <c r="V148" s="9">
        <v>3.0665075052237102E-5</v>
      </c>
      <c r="W148" s="9">
        <v>9.3262988002440795E-5</v>
      </c>
      <c r="X148" s="10">
        <v>4.29276437847866</v>
      </c>
      <c r="Y148" s="10">
        <v>4.2929927753205499</v>
      </c>
      <c r="Z148" s="10">
        <v>4.2929083053433397</v>
      </c>
      <c r="AA148" s="10">
        <v>4.2931173964380003</v>
      </c>
      <c r="AB148" s="8">
        <v>231.392310589777</v>
      </c>
      <c r="AC148" s="8">
        <v>231.38709539385499</v>
      </c>
      <c r="AD148" s="8">
        <v>231.40158019646501</v>
      </c>
      <c r="AE148" s="9">
        <v>5.3203657604126703E-5</v>
      </c>
      <c r="AF148" s="9">
        <v>3.0665075052237102E-5</v>
      </c>
      <c r="AG148" s="9">
        <v>9.3262988002440795E-5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-5.2834601182734798E-4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-5.2834601182734798E-4</v>
      </c>
    </row>
    <row r="149" spans="1:77" x14ac:dyDescent="0.3">
      <c r="A149" s="1">
        <v>46239</v>
      </c>
      <c r="B149" s="8">
        <v>53.85</v>
      </c>
      <c r="C149" s="8">
        <v>231.23</v>
      </c>
      <c r="D149" s="9">
        <v>-9.2807431255385897E-4</v>
      </c>
      <c r="E149" s="9">
        <v>-6.48494434866599E-4</v>
      </c>
      <c r="F149" s="8">
        <v>0</v>
      </c>
      <c r="G149" s="8">
        <v>0.58599999999999997</v>
      </c>
      <c r="H149" s="8">
        <v>0</v>
      </c>
      <c r="I149" s="8">
        <v>2.4407999999999999</v>
      </c>
      <c r="J149" s="8">
        <v>0</v>
      </c>
      <c r="K149" s="8">
        <v>0</v>
      </c>
      <c r="L149" s="8">
        <v>53.85</v>
      </c>
      <c r="M149" s="8">
        <v>231.23</v>
      </c>
      <c r="N149" s="10">
        <v>4.2939647168059398</v>
      </c>
      <c r="O149" s="10">
        <v>4.2929927753205499</v>
      </c>
      <c r="P149" s="10">
        <v>4.2931929968207001</v>
      </c>
      <c r="Q149" s="10">
        <v>4.2931721050737899</v>
      </c>
      <c r="R149" s="8">
        <v>231.17766095101101</v>
      </c>
      <c r="S149" s="8">
        <v>231.17311224273899</v>
      </c>
      <c r="T149" s="8">
        <v>231.18437179818599</v>
      </c>
      <c r="U149" s="9">
        <v>-2.2637622008308701E-4</v>
      </c>
      <c r="V149" s="9">
        <v>-2.4605265856398998E-4</v>
      </c>
      <c r="W149" s="9">
        <v>-1.97347680973488E-4</v>
      </c>
      <c r="X149" s="10">
        <v>4.2939647168059398</v>
      </c>
      <c r="Y149" s="10">
        <v>4.2929927753205499</v>
      </c>
      <c r="Z149" s="10">
        <v>4.2931929968207001</v>
      </c>
      <c r="AA149" s="10">
        <v>4.2931721050737899</v>
      </c>
      <c r="AB149" s="8">
        <v>231.17766095101101</v>
      </c>
      <c r="AC149" s="8">
        <v>231.17311224273899</v>
      </c>
      <c r="AD149" s="8">
        <v>231.18437179818599</v>
      </c>
      <c r="AE149" s="9">
        <v>-2.2637622008308701E-4</v>
      </c>
      <c r="AF149" s="9">
        <v>-2.4605265856398998E-4</v>
      </c>
      <c r="AG149" s="9">
        <v>-1.97347680973488E-4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-5.2834601182734798E-4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-5.2834601182734798E-4</v>
      </c>
    </row>
    <row r="150" spans="1:77" x14ac:dyDescent="0.3">
      <c r="A150" s="1">
        <v>46240</v>
      </c>
      <c r="B150" s="8">
        <v>53.77</v>
      </c>
      <c r="C150" s="8">
        <v>230.79</v>
      </c>
      <c r="D150" s="9">
        <v>-1.48671278081078E-3</v>
      </c>
      <c r="E150" s="9">
        <v>-1.90468002692325E-3</v>
      </c>
      <c r="F150" s="8">
        <v>0</v>
      </c>
      <c r="G150" s="8">
        <v>0.58599999999999997</v>
      </c>
      <c r="H150" s="8">
        <v>0</v>
      </c>
      <c r="I150" s="8">
        <v>2.4407999999999999</v>
      </c>
      <c r="J150" s="8">
        <v>0</v>
      </c>
      <c r="K150" s="8">
        <v>0</v>
      </c>
      <c r="L150" s="8">
        <v>53.77</v>
      </c>
      <c r="M150" s="8">
        <v>230.79</v>
      </c>
      <c r="N150" s="10">
        <v>4.2921703552166601</v>
      </c>
      <c r="O150" s="10">
        <v>4.2929927753205499</v>
      </c>
      <c r="P150" s="10">
        <v>4.2931598892398997</v>
      </c>
      <c r="Q150" s="10">
        <v>4.2932095747083201</v>
      </c>
      <c r="R150" s="8">
        <v>230.83422152898601</v>
      </c>
      <c r="S150" s="8">
        <v>230.84498743904899</v>
      </c>
      <c r="T150" s="8">
        <v>230.843864089818</v>
      </c>
      <c r="U150" s="9">
        <v>1.9159102602931601E-4</v>
      </c>
      <c r="V150" s="9">
        <v>2.3822908057418999E-4</v>
      </c>
      <c r="W150" s="9">
        <v>2.3336281955306599E-4</v>
      </c>
      <c r="X150" s="10">
        <v>4.2921703552166601</v>
      </c>
      <c r="Y150" s="10">
        <v>4.2929927753205499</v>
      </c>
      <c r="Z150" s="10">
        <v>4.2931598892398997</v>
      </c>
      <c r="AA150" s="10">
        <v>4.2932095747083201</v>
      </c>
      <c r="AB150" s="8">
        <v>230.83422152898601</v>
      </c>
      <c r="AC150" s="8">
        <v>230.84498743904899</v>
      </c>
      <c r="AD150" s="8">
        <v>230.843864089818</v>
      </c>
      <c r="AE150" s="9">
        <v>1.9159102602931601E-4</v>
      </c>
      <c r="AF150" s="9">
        <v>2.3822908057418999E-4</v>
      </c>
      <c r="AG150" s="9">
        <v>2.3336281955306599E-4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-5.2834601182734798E-4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-5.2834601182734798E-4</v>
      </c>
    </row>
    <row r="151" spans="1:77" x14ac:dyDescent="0.3">
      <c r="A151" s="1">
        <v>46241</v>
      </c>
      <c r="B151" s="8">
        <v>53.87</v>
      </c>
      <c r="C151" s="8">
        <v>231.22</v>
      </c>
      <c r="D151" s="9">
        <v>1.85804587085562E-3</v>
      </c>
      <c r="E151" s="9">
        <v>1.8614321082225699E-3</v>
      </c>
      <c r="F151" s="8">
        <v>0</v>
      </c>
      <c r="G151" s="8">
        <v>0.58599999999999997</v>
      </c>
      <c r="H151" s="8">
        <v>0</v>
      </c>
      <c r="I151" s="8">
        <v>2.4407999999999999</v>
      </c>
      <c r="J151" s="8">
        <v>0</v>
      </c>
      <c r="K151" s="8">
        <v>0</v>
      </c>
      <c r="L151" s="8">
        <v>53.87</v>
      </c>
      <c r="M151" s="8">
        <v>231.22</v>
      </c>
      <c r="N151" s="10">
        <v>4.2921848895489099</v>
      </c>
      <c r="O151" s="10">
        <v>4.2929927753205499</v>
      </c>
      <c r="P151" s="10">
        <v>4.2930677077509802</v>
      </c>
      <c r="Q151" s="10">
        <v>4.2929977269070401</v>
      </c>
      <c r="R151" s="8">
        <v>231.26352080651799</v>
      </c>
      <c r="S151" s="8">
        <v>231.27252323335301</v>
      </c>
      <c r="T151" s="8">
        <v>231.275199789537</v>
      </c>
      <c r="U151" s="9">
        <v>1.8820478866212899E-4</v>
      </c>
      <c r="V151" s="9">
        <v>2.2713116835891599E-4</v>
      </c>
      <c r="W151" s="9">
        <v>2.38704271199298E-4</v>
      </c>
      <c r="X151" s="10">
        <v>4.2921848895489099</v>
      </c>
      <c r="Y151" s="10">
        <v>4.2929927753205499</v>
      </c>
      <c r="Z151" s="10">
        <v>4.2930677077509802</v>
      </c>
      <c r="AA151" s="10">
        <v>4.2929977269070401</v>
      </c>
      <c r="AB151" s="8">
        <v>231.26352080651799</v>
      </c>
      <c r="AC151" s="8">
        <v>231.27252323335301</v>
      </c>
      <c r="AD151" s="8">
        <v>231.275199789537</v>
      </c>
      <c r="AE151" s="9">
        <v>1.8820478866212899E-4</v>
      </c>
      <c r="AF151" s="9">
        <v>2.2713116835891599E-4</v>
      </c>
      <c r="AG151" s="9">
        <v>2.38704271199298E-4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-5.2834601182734798E-4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-5.2834601182734798E-4</v>
      </c>
    </row>
    <row r="152" spans="1:77" x14ac:dyDescent="0.3">
      <c r="A152" s="1">
        <v>46244</v>
      </c>
      <c r="B152" s="8">
        <v>53.71</v>
      </c>
      <c r="C152" s="8">
        <v>230.39</v>
      </c>
      <c r="D152" s="9">
        <v>-2.9745327750743599E-3</v>
      </c>
      <c r="E152" s="9">
        <v>-3.5961131451450498E-3</v>
      </c>
      <c r="F152" s="8">
        <v>0</v>
      </c>
      <c r="G152" s="8">
        <v>0.58599999999999997</v>
      </c>
      <c r="H152" s="8">
        <v>0</v>
      </c>
      <c r="I152" s="8">
        <v>2.4407999999999999</v>
      </c>
      <c r="J152" s="8">
        <v>0</v>
      </c>
      <c r="K152" s="8">
        <v>0</v>
      </c>
      <c r="L152" s="8">
        <v>53.71</v>
      </c>
      <c r="M152" s="8">
        <v>230.39</v>
      </c>
      <c r="N152" s="10">
        <v>4.2895177806739797</v>
      </c>
      <c r="O152" s="10">
        <v>4.2929927753205499</v>
      </c>
      <c r="P152" s="10">
        <v>4.2926591288083404</v>
      </c>
      <c r="Q152" s="10">
        <v>4.2928013312965501</v>
      </c>
      <c r="R152" s="8">
        <v>230.576641962466</v>
      </c>
      <c r="S152" s="8">
        <v>230.580666583305</v>
      </c>
      <c r="T152" s="8">
        <v>230.57690791217701</v>
      </c>
      <c r="U152" s="9">
        <v>8.0978515873279496E-4</v>
      </c>
      <c r="V152" s="9">
        <v>8.2723959679164097E-4</v>
      </c>
      <c r="W152" s="9">
        <v>8.1093856939563999E-4</v>
      </c>
      <c r="X152" s="10">
        <v>4.2895177806739797</v>
      </c>
      <c r="Y152" s="10">
        <v>4.2929927753205499</v>
      </c>
      <c r="Z152" s="10">
        <v>4.2926591288083404</v>
      </c>
      <c r="AA152" s="10">
        <v>4.2928013312965501</v>
      </c>
      <c r="AB152" s="8">
        <v>230.576641962466</v>
      </c>
      <c r="AC152" s="8">
        <v>230.580666583305</v>
      </c>
      <c r="AD152" s="8">
        <v>230.57690791217701</v>
      </c>
      <c r="AE152" s="9">
        <v>8.0978515873279496E-4</v>
      </c>
      <c r="AF152" s="9">
        <v>8.2723959679164097E-4</v>
      </c>
      <c r="AG152" s="9">
        <v>8.1093856939563999E-4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-5.2834601182734798E-4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-5.2834601182734798E-4</v>
      </c>
    </row>
    <row r="153" spans="1:77" x14ac:dyDescent="0.3">
      <c r="A153" s="1">
        <v>46245</v>
      </c>
      <c r="B153" s="8">
        <v>53.62</v>
      </c>
      <c r="C153" s="8">
        <v>229.95</v>
      </c>
      <c r="D153" s="9">
        <v>-1.6770711095548201E-3</v>
      </c>
      <c r="E153" s="9">
        <v>-1.9116311160977601E-3</v>
      </c>
      <c r="F153" s="8">
        <v>0</v>
      </c>
      <c r="G153" s="8">
        <v>0.58599999999999997</v>
      </c>
      <c r="H153" s="8">
        <v>0</v>
      </c>
      <c r="I153" s="8">
        <v>2.4407999999999999</v>
      </c>
      <c r="J153" s="8">
        <v>0</v>
      </c>
      <c r="K153" s="8">
        <v>0</v>
      </c>
      <c r="L153" s="8">
        <v>53.62</v>
      </c>
      <c r="M153" s="8">
        <v>229.95</v>
      </c>
      <c r="N153" s="10">
        <v>4.2885117493472498</v>
      </c>
      <c r="O153" s="10">
        <v>4.2929927753205499</v>
      </c>
      <c r="P153" s="10">
        <v>4.2925979335481301</v>
      </c>
      <c r="Q153" s="10">
        <v>4.2926933578992896</v>
      </c>
      <c r="R153" s="8">
        <v>230.19027261268701</v>
      </c>
      <c r="S153" s="8">
        <v>230.17238248670299</v>
      </c>
      <c r="T153" s="8">
        <v>230.18000738412101</v>
      </c>
      <c r="U153" s="9">
        <v>1.0443451652759901E-3</v>
      </c>
      <c r="V153" s="9">
        <v>9.6662328320976402E-4</v>
      </c>
      <c r="W153" s="9">
        <v>9.9974963418042895E-4</v>
      </c>
      <c r="X153" s="10">
        <v>4.2885117493472498</v>
      </c>
      <c r="Y153" s="10">
        <v>4.2929927753205499</v>
      </c>
      <c r="Z153" s="10">
        <v>4.2925979335481301</v>
      </c>
      <c r="AA153" s="10">
        <v>4.2926933578992896</v>
      </c>
      <c r="AB153" s="8">
        <v>230.19027261268701</v>
      </c>
      <c r="AC153" s="8">
        <v>230.17238248670299</v>
      </c>
      <c r="AD153" s="8">
        <v>230.18000738412101</v>
      </c>
      <c r="AE153" s="9">
        <v>1.0443451652759901E-3</v>
      </c>
      <c r="AF153" s="9">
        <v>9.6662328320976402E-4</v>
      </c>
      <c r="AG153" s="9">
        <v>9.9974963418042895E-4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-5.2834601182734798E-4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-5.2834601182734798E-4</v>
      </c>
    </row>
    <row r="154" spans="1:77" x14ac:dyDescent="0.3">
      <c r="A154" s="1">
        <v>46246</v>
      </c>
      <c r="B154" s="8">
        <v>53.82</v>
      </c>
      <c r="C154" s="8">
        <v>231.1</v>
      </c>
      <c r="D154" s="9">
        <v>3.7230124909465299E-3</v>
      </c>
      <c r="E154" s="9">
        <v>4.9886232944022701E-3</v>
      </c>
      <c r="F154" s="8">
        <v>0</v>
      </c>
      <c r="G154" s="8">
        <v>0.58599999999999997</v>
      </c>
      <c r="H154" s="8">
        <v>0</v>
      </c>
      <c r="I154" s="8">
        <v>2.4407999999999999</v>
      </c>
      <c r="J154" s="8">
        <v>0</v>
      </c>
      <c r="K154" s="8">
        <v>0</v>
      </c>
      <c r="L154" s="8">
        <v>53.82</v>
      </c>
      <c r="M154" s="8">
        <v>231.1</v>
      </c>
      <c r="N154" s="10">
        <v>4.2939427722036401</v>
      </c>
      <c r="O154" s="10">
        <v>4.2929927753205499</v>
      </c>
      <c r="P154" s="10">
        <v>4.2925215904301304</v>
      </c>
      <c r="Q154" s="10">
        <v>4.29256513584129</v>
      </c>
      <c r="R154" s="8">
        <v>231.048871167752</v>
      </c>
      <c r="S154" s="8">
        <v>231.02762078356</v>
      </c>
      <c r="T154" s="8">
        <v>231.03275652214001</v>
      </c>
      <c r="U154" s="9">
        <v>-2.21265638179793E-4</v>
      </c>
      <c r="V154" s="9">
        <v>-3.1324341491877902E-4</v>
      </c>
      <c r="W154" s="9">
        <v>-2.9101368550638501E-4</v>
      </c>
      <c r="X154" s="10">
        <v>4.2939427722036401</v>
      </c>
      <c r="Y154" s="10">
        <v>4.2929927753205499</v>
      </c>
      <c r="Z154" s="10">
        <v>4.2925215904301304</v>
      </c>
      <c r="AA154" s="10">
        <v>4.29256513584129</v>
      </c>
      <c r="AB154" s="8">
        <v>231.048871167752</v>
      </c>
      <c r="AC154" s="8">
        <v>231.02762078356</v>
      </c>
      <c r="AD154" s="8">
        <v>231.03275652214001</v>
      </c>
      <c r="AE154" s="9">
        <v>-2.21265638179793E-4</v>
      </c>
      <c r="AF154" s="9">
        <v>-3.1324341491877902E-4</v>
      </c>
      <c r="AG154" s="9">
        <v>-2.9101368550638501E-4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-5.2834601182734798E-4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-5.2834601182734798E-4</v>
      </c>
    </row>
    <row r="155" spans="1:77" x14ac:dyDescent="0.3">
      <c r="A155" s="1">
        <v>46247</v>
      </c>
      <c r="B155" s="8">
        <v>54.3</v>
      </c>
      <c r="C155" s="8">
        <v>233.09</v>
      </c>
      <c r="D155" s="9">
        <v>8.8790816411299205E-3</v>
      </c>
      <c r="E155" s="9">
        <v>8.57412779824329E-3</v>
      </c>
      <c r="F155" s="8">
        <v>0</v>
      </c>
      <c r="G155" s="8">
        <v>0.58599999999999997</v>
      </c>
      <c r="H155" s="8">
        <v>0</v>
      </c>
      <c r="I155" s="8">
        <v>2.4407999999999999</v>
      </c>
      <c r="J155" s="8">
        <v>0</v>
      </c>
      <c r="K155" s="8">
        <v>0</v>
      </c>
      <c r="L155" s="8">
        <v>54.3</v>
      </c>
      <c r="M155" s="8">
        <v>233.09</v>
      </c>
      <c r="N155" s="10">
        <v>4.29263351749539</v>
      </c>
      <c r="O155" s="10">
        <v>4.2929927753205499</v>
      </c>
      <c r="P155" s="10">
        <v>4.2926066821165998</v>
      </c>
      <c r="Q155" s="10">
        <v>4.2925441879170902</v>
      </c>
      <c r="R155" s="8">
        <v>233.10950769990501</v>
      </c>
      <c r="S155" s="8">
        <v>233.08392236035601</v>
      </c>
      <c r="T155" s="8">
        <v>233.08628687618199</v>
      </c>
      <c r="U155" s="9">
        <v>8.3688204706953905E-5</v>
      </c>
      <c r="V155" s="9">
        <v>-2.6074558668815499E-5</v>
      </c>
      <c r="W155" s="9">
        <v>-1.5930127388621199E-5</v>
      </c>
      <c r="X155" s="10">
        <v>4.29263351749539</v>
      </c>
      <c r="Y155" s="10">
        <v>4.2929927753205499</v>
      </c>
      <c r="Z155" s="10">
        <v>4.2926066821165998</v>
      </c>
      <c r="AA155" s="10">
        <v>4.2925441879170902</v>
      </c>
      <c r="AB155" s="8">
        <v>233.10950769990501</v>
      </c>
      <c r="AC155" s="8">
        <v>233.08392236035601</v>
      </c>
      <c r="AD155" s="8">
        <v>233.08628687618199</v>
      </c>
      <c r="AE155" s="9">
        <v>8.3688204706953905E-5</v>
      </c>
      <c r="AF155" s="9">
        <v>-2.6074558668815499E-5</v>
      </c>
      <c r="AG155" s="9">
        <v>-1.5930127388621199E-5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-5.2834601182734798E-4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-5.2834601182734798E-4</v>
      </c>
    </row>
    <row r="156" spans="1:77" x14ac:dyDescent="0.3">
      <c r="A156" s="1">
        <v>46248</v>
      </c>
      <c r="B156" s="8">
        <v>54.35</v>
      </c>
      <c r="C156" s="8">
        <v>233.28</v>
      </c>
      <c r="D156" s="9">
        <v>9.2038662732874801E-4</v>
      </c>
      <c r="E156" s="9">
        <v>8.1480374171516196E-4</v>
      </c>
      <c r="F156" s="8">
        <v>0</v>
      </c>
      <c r="G156" s="8">
        <v>0.58599999999999997</v>
      </c>
      <c r="H156" s="8">
        <v>0</v>
      </c>
      <c r="I156" s="8">
        <v>2.4407999999999999</v>
      </c>
      <c r="J156" s="8">
        <v>0</v>
      </c>
      <c r="K156" s="8">
        <v>0</v>
      </c>
      <c r="L156" s="8">
        <v>54.35</v>
      </c>
      <c r="M156" s="8">
        <v>233.28</v>
      </c>
      <c r="N156" s="10">
        <v>4.2921803127874796</v>
      </c>
      <c r="O156" s="10">
        <v>4.2929927753205499</v>
      </c>
      <c r="P156" s="10">
        <v>4.2923986977412296</v>
      </c>
      <c r="Q156" s="10">
        <v>4.2924626741008396</v>
      </c>
      <c r="R156" s="8">
        <v>233.32415733867199</v>
      </c>
      <c r="S156" s="8">
        <v>233.30317317303701</v>
      </c>
      <c r="T156" s="8">
        <v>233.299776613294</v>
      </c>
      <c r="U156" s="9">
        <v>1.8927109032063999E-4</v>
      </c>
      <c r="V156" s="9">
        <v>9.9331370648412002E-5</v>
      </c>
      <c r="W156" s="9">
        <v>8.47726982498436E-5</v>
      </c>
      <c r="X156" s="10">
        <v>4.2921803127874796</v>
      </c>
      <c r="Y156" s="10">
        <v>4.2929927753205499</v>
      </c>
      <c r="Z156" s="10">
        <v>4.2923986977412296</v>
      </c>
      <c r="AA156" s="10">
        <v>4.2924626741008396</v>
      </c>
      <c r="AB156" s="8">
        <v>233.32415733867199</v>
      </c>
      <c r="AC156" s="8">
        <v>233.30317317303701</v>
      </c>
      <c r="AD156" s="8">
        <v>233.299776613294</v>
      </c>
      <c r="AE156" s="9">
        <v>1.8927109032063999E-4</v>
      </c>
      <c r="AF156" s="9">
        <v>9.9331370648412002E-5</v>
      </c>
      <c r="AG156" s="9">
        <v>8.47726982498436E-5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-5.2834601182734798E-4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-5.2834601182734798E-4</v>
      </c>
    </row>
    <row r="157" spans="1:77" x14ac:dyDescent="0.3">
      <c r="A157" s="1">
        <v>46251</v>
      </c>
      <c r="B157" s="8">
        <v>53.62</v>
      </c>
      <c r="C157" s="8">
        <v>230.22</v>
      </c>
      <c r="D157" s="9">
        <v>-1.3522480759405301E-2</v>
      </c>
      <c r="E157" s="9">
        <v>-1.3204075333377301E-2</v>
      </c>
      <c r="F157" s="8">
        <v>0</v>
      </c>
      <c r="G157" s="8">
        <v>0.58599999999999997</v>
      </c>
      <c r="H157" s="8">
        <v>0</v>
      </c>
      <c r="I157" s="8">
        <v>2.4407999999999999</v>
      </c>
      <c r="J157" s="8">
        <v>0</v>
      </c>
      <c r="K157" s="8">
        <v>0</v>
      </c>
      <c r="L157" s="8">
        <v>53.62</v>
      </c>
      <c r="M157" s="8">
        <v>230.22</v>
      </c>
      <c r="N157" s="10">
        <v>4.2935471838866004</v>
      </c>
      <c r="O157" s="10">
        <v>4.2929927753205499</v>
      </c>
      <c r="P157" s="10">
        <v>4.29214176564445</v>
      </c>
      <c r="Q157" s="10">
        <v>4.2925188920416604</v>
      </c>
      <c r="R157" s="8">
        <v>230.19027261268701</v>
      </c>
      <c r="S157" s="8">
        <v>230.15841817288401</v>
      </c>
      <c r="T157" s="8">
        <v>230.161848585287</v>
      </c>
      <c r="U157" s="9">
        <v>-1.29134335707337E-4</v>
      </c>
      <c r="V157" s="9">
        <v>-2.67526995408758E-4</v>
      </c>
      <c r="W157" s="9">
        <v>-2.5262253583925701E-4</v>
      </c>
      <c r="X157" s="10">
        <v>4.2935471838866004</v>
      </c>
      <c r="Y157" s="10">
        <v>4.2929927753205499</v>
      </c>
      <c r="Z157" s="10">
        <v>4.29214176564445</v>
      </c>
      <c r="AA157" s="10">
        <v>4.2925188920416604</v>
      </c>
      <c r="AB157" s="8">
        <v>230.19027261268701</v>
      </c>
      <c r="AC157" s="8">
        <v>230.15841817288401</v>
      </c>
      <c r="AD157" s="8">
        <v>230.161848585287</v>
      </c>
      <c r="AE157" s="9">
        <v>-1.29134335707337E-4</v>
      </c>
      <c r="AF157" s="9">
        <v>-2.67526995408758E-4</v>
      </c>
      <c r="AG157" s="9">
        <v>-2.5262253583925701E-4</v>
      </c>
      <c r="BB157">
        <f t="shared" si="42"/>
        <v>0</v>
      </c>
      <c r="BC157">
        <f t="shared" si="43"/>
        <v>0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-5.2834601182734798E-4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-5.2834601182734798E-4</v>
      </c>
    </row>
    <row r="158" spans="1:77" x14ac:dyDescent="0.3">
      <c r="A158" s="1">
        <v>46252</v>
      </c>
      <c r="B158" s="8">
        <v>54.06</v>
      </c>
      <c r="C158" s="8">
        <v>232.12</v>
      </c>
      <c r="D158" s="9">
        <v>8.1724080404883496E-3</v>
      </c>
      <c r="E158" s="9">
        <v>8.2191058354915206E-3</v>
      </c>
      <c r="F158" s="8">
        <v>0</v>
      </c>
      <c r="G158" s="8">
        <v>0.58599999999999997</v>
      </c>
      <c r="H158" s="8">
        <v>0</v>
      </c>
      <c r="I158" s="8">
        <v>2.4407999999999999</v>
      </c>
      <c r="J158" s="8">
        <v>0</v>
      </c>
      <c r="K158" s="8">
        <v>0</v>
      </c>
      <c r="L158" s="8">
        <v>54.06</v>
      </c>
      <c r="M158" s="8">
        <v>232.12</v>
      </c>
      <c r="N158" s="10">
        <v>4.2937476877543403</v>
      </c>
      <c r="O158" s="10">
        <v>4.2929927753205499</v>
      </c>
      <c r="P158" s="10">
        <v>4.2922400965720202</v>
      </c>
      <c r="Q158" s="10">
        <v>4.2925742009576799</v>
      </c>
      <c r="R158" s="8">
        <v>232.07918943382899</v>
      </c>
      <c r="S158" s="8">
        <v>232.03318385073899</v>
      </c>
      <c r="T158" s="8">
        <v>232.053571303772</v>
      </c>
      <c r="U158" s="9">
        <v>-1.7583213071046901E-4</v>
      </c>
      <c r="V158" s="9">
        <v>-3.7408404506805297E-4</v>
      </c>
      <c r="W158" s="9">
        <v>-2.8622351976856798E-4</v>
      </c>
      <c r="X158" s="10">
        <v>4.2937476877543403</v>
      </c>
      <c r="Y158" s="10">
        <v>4.2929927753205499</v>
      </c>
      <c r="Z158" s="10">
        <v>4.2922400965720202</v>
      </c>
      <c r="AA158" s="10">
        <v>4.2925742009576799</v>
      </c>
      <c r="AB158" s="8">
        <v>232.07918943382899</v>
      </c>
      <c r="AC158" s="8">
        <v>232.03318385073899</v>
      </c>
      <c r="AD158" s="8">
        <v>232.053571303772</v>
      </c>
      <c r="AE158" s="9">
        <v>-1.7583213071046901E-4</v>
      </c>
      <c r="AF158" s="9">
        <v>-3.7408404506805297E-4</v>
      </c>
      <c r="AG158" s="9">
        <v>-2.8622351976856798E-4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-5.2834601182734798E-4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-5.2834601182734798E-4</v>
      </c>
    </row>
    <row r="159" spans="1:77" x14ac:dyDescent="0.3">
      <c r="A159" s="1">
        <v>46253</v>
      </c>
      <c r="B159" s="8">
        <v>54.62</v>
      </c>
      <c r="C159" s="8">
        <v>234.4</v>
      </c>
      <c r="D159" s="9">
        <v>1.03055751972573E-2</v>
      </c>
      <c r="E159" s="9">
        <v>9.7745783804500004E-3</v>
      </c>
      <c r="F159" s="8">
        <v>0</v>
      </c>
      <c r="G159" s="8">
        <v>0.58599999999999997</v>
      </c>
      <c r="H159" s="8">
        <v>0</v>
      </c>
      <c r="I159" s="8">
        <v>2.4407999999999999</v>
      </c>
      <c r="J159" s="8">
        <v>0</v>
      </c>
      <c r="K159" s="8">
        <v>0</v>
      </c>
      <c r="L159" s="8">
        <v>54.62</v>
      </c>
      <c r="M159" s="8">
        <v>234.4</v>
      </c>
      <c r="N159" s="10">
        <v>4.2914683266202802</v>
      </c>
      <c r="O159" s="10">
        <v>4.2929927753205499</v>
      </c>
      <c r="P159" s="10">
        <v>4.2919904575534504</v>
      </c>
      <c r="Q159" s="10">
        <v>4.2925917271870802</v>
      </c>
      <c r="R159" s="8">
        <v>234.48326538800799</v>
      </c>
      <c r="S159" s="8">
        <v>234.44215407476301</v>
      </c>
      <c r="T159" s="8">
        <v>234.46040285630801</v>
      </c>
      <c r="U159" s="9">
        <v>3.5516468609690497E-4</v>
      </c>
      <c r="V159" s="9">
        <v>1.7982203396677899E-4</v>
      </c>
      <c r="W159" s="9">
        <v>2.5765816978758299E-4</v>
      </c>
      <c r="X159" s="10">
        <v>4.2914683266202802</v>
      </c>
      <c r="Y159" s="10">
        <v>4.2929927753205499</v>
      </c>
      <c r="Z159" s="10">
        <v>4.2919904575534504</v>
      </c>
      <c r="AA159" s="10">
        <v>4.2925917271870802</v>
      </c>
      <c r="AB159" s="8">
        <v>234.48326538800799</v>
      </c>
      <c r="AC159" s="8">
        <v>234.44215407476301</v>
      </c>
      <c r="AD159" s="8">
        <v>234.46040285630801</v>
      </c>
      <c r="AE159" s="9">
        <v>3.5516468609690497E-4</v>
      </c>
      <c r="AF159" s="9">
        <v>1.7982203396677899E-4</v>
      </c>
      <c r="AG159" s="9">
        <v>2.5765816978758299E-4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-5.2834601182734798E-4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-5.2834601182734798E-4</v>
      </c>
    </row>
    <row r="160" spans="1:77" x14ac:dyDescent="0.3">
      <c r="A160" s="1">
        <v>46254</v>
      </c>
      <c r="B160" s="8">
        <v>53.64</v>
      </c>
      <c r="C160" s="8">
        <v>230.2</v>
      </c>
      <c r="D160" s="9">
        <v>-1.81050576320811E-2</v>
      </c>
      <c r="E160" s="9">
        <v>-1.8080561415075299E-2</v>
      </c>
      <c r="F160" s="8">
        <v>0</v>
      </c>
      <c r="G160" s="8">
        <v>0.58599999999999997</v>
      </c>
      <c r="H160" s="8">
        <v>0</v>
      </c>
      <c r="I160" s="8">
        <v>2.4407999999999999</v>
      </c>
      <c r="J160" s="8">
        <v>0</v>
      </c>
      <c r="K160" s="8">
        <v>0</v>
      </c>
      <c r="L160" s="8">
        <v>53.64</v>
      </c>
      <c r="M160" s="8">
        <v>230.2</v>
      </c>
      <c r="N160" s="10">
        <v>4.2915734526472704</v>
      </c>
      <c r="O160" s="10">
        <v>4.2929927753205499</v>
      </c>
      <c r="P160" s="10">
        <v>4.2919307672965203</v>
      </c>
      <c r="Q160" s="10">
        <v>4.2925453282682096</v>
      </c>
      <c r="R160" s="8">
        <v>230.27613246819399</v>
      </c>
      <c r="S160" s="8">
        <v>230.22236814316699</v>
      </c>
      <c r="T160" s="8">
        <v>230.254620246315</v>
      </c>
      <c r="U160" s="9">
        <v>3.3066846909104498E-4</v>
      </c>
      <c r="V160" s="9">
        <v>9.7163581671164703E-5</v>
      </c>
      <c r="W160" s="9">
        <v>2.37244862662123E-4</v>
      </c>
      <c r="X160" s="10">
        <v>4.2915734526472704</v>
      </c>
      <c r="Y160" s="10">
        <v>4.2929927753205499</v>
      </c>
      <c r="Z160" s="10">
        <v>4.2919307672965203</v>
      </c>
      <c r="AA160" s="10">
        <v>4.2925453282682096</v>
      </c>
      <c r="AB160" s="8">
        <v>230.27613246819399</v>
      </c>
      <c r="AC160" s="8">
        <v>230.22236814316699</v>
      </c>
      <c r="AD160" s="8">
        <v>230.254620246315</v>
      </c>
      <c r="AE160" s="9">
        <v>3.3066846909104498E-4</v>
      </c>
      <c r="AF160" s="9">
        <v>9.7163581671164703E-5</v>
      </c>
      <c r="AG160" s="9">
        <v>2.37244862662123E-4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-5.2834601182734798E-4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-5.2834601182734798E-4</v>
      </c>
    </row>
    <row r="161" spans="1:77" x14ac:dyDescent="0.3">
      <c r="A161" s="1">
        <v>46255</v>
      </c>
      <c r="B161" s="8">
        <v>54.04</v>
      </c>
      <c r="C161" s="8">
        <v>231.75</v>
      </c>
      <c r="D161" s="9">
        <v>7.4294546785202897E-3</v>
      </c>
      <c r="E161" s="9">
        <v>6.7107081581823996E-3</v>
      </c>
      <c r="F161" s="8">
        <v>0</v>
      </c>
      <c r="G161" s="8">
        <v>0.58599999999999997</v>
      </c>
      <c r="H161" s="8">
        <v>0</v>
      </c>
      <c r="I161" s="8">
        <v>2.4407999999999999</v>
      </c>
      <c r="J161" s="8">
        <v>0</v>
      </c>
      <c r="K161" s="8">
        <v>0</v>
      </c>
      <c r="L161" s="8">
        <v>54.04</v>
      </c>
      <c r="M161" s="8">
        <v>231.75</v>
      </c>
      <c r="N161" s="10">
        <v>4.2884900074019203</v>
      </c>
      <c r="O161" s="10">
        <v>4.2929927753205499</v>
      </c>
      <c r="P161" s="10">
        <v>4.2915612790818196</v>
      </c>
      <c r="Q161" s="10">
        <v>4.2923144934164004</v>
      </c>
      <c r="R161" s="8">
        <v>231.993329578322</v>
      </c>
      <c r="S161" s="8">
        <v>231.935938664704</v>
      </c>
      <c r="T161" s="8">
        <v>231.96914953961399</v>
      </c>
      <c r="U161" s="9">
        <v>1.0494149894289999E-3</v>
      </c>
      <c r="V161" s="9">
        <v>8.0200264517790699E-4</v>
      </c>
      <c r="W161" s="9">
        <v>9.4518225588509895E-4</v>
      </c>
      <c r="X161" s="10">
        <v>4.2884900074019203</v>
      </c>
      <c r="Y161" s="10">
        <v>4.2929927753205499</v>
      </c>
      <c r="Z161" s="10">
        <v>4.2915612790818196</v>
      </c>
      <c r="AA161" s="10">
        <v>4.2923144934164004</v>
      </c>
      <c r="AB161" s="8">
        <v>231.993329578322</v>
      </c>
      <c r="AC161" s="8">
        <v>231.935938664704</v>
      </c>
      <c r="AD161" s="8">
        <v>231.96914953961399</v>
      </c>
      <c r="AE161" s="9">
        <v>1.0494149894289999E-3</v>
      </c>
      <c r="AF161" s="9">
        <v>8.0200264517790699E-4</v>
      </c>
      <c r="AG161" s="9">
        <v>9.4518225588509895E-4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-5.2834601182734798E-4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-5.2834601182734798E-4</v>
      </c>
    </row>
    <row r="162" spans="1:77" x14ac:dyDescent="0.3">
      <c r="A162" s="1">
        <v>46258</v>
      </c>
      <c r="B162" s="8">
        <v>54.92</v>
      </c>
      <c r="C162" s="8">
        <v>235.69</v>
      </c>
      <c r="D162" s="9">
        <v>1.61530678077722E-2</v>
      </c>
      <c r="E162" s="9">
        <v>1.6858177782331899E-2</v>
      </c>
      <c r="F162" s="8">
        <v>0</v>
      </c>
      <c r="G162" s="8">
        <v>0.58599999999999997</v>
      </c>
      <c r="H162" s="8">
        <v>0</v>
      </c>
      <c r="I162" s="8">
        <v>2.4407999999999999</v>
      </c>
      <c r="J162" s="8">
        <v>0</v>
      </c>
      <c r="K162" s="8">
        <v>0</v>
      </c>
      <c r="L162" s="8">
        <v>54.92</v>
      </c>
      <c r="M162" s="8">
        <v>235.69</v>
      </c>
      <c r="N162" s="10">
        <v>4.2915149308084404</v>
      </c>
      <c r="O162" s="10">
        <v>4.2929927753205499</v>
      </c>
      <c r="P162" s="10">
        <v>4.2917609940952604</v>
      </c>
      <c r="Q162" s="10">
        <v>4.2922100614518</v>
      </c>
      <c r="R162" s="8">
        <v>235.771163220604</v>
      </c>
      <c r="S162" s="8">
        <v>235.69254544717299</v>
      </c>
      <c r="T162" s="8">
        <v>235.73391197842801</v>
      </c>
      <c r="U162" s="9">
        <v>3.4430501486947202E-4</v>
      </c>
      <c r="V162" s="9">
        <v>1.07999212031099E-5</v>
      </c>
      <c r="W162" s="9">
        <v>1.8629508363970801E-4</v>
      </c>
      <c r="X162" s="10">
        <v>4.2915149308084404</v>
      </c>
      <c r="Y162" s="10">
        <v>4.2929927753205499</v>
      </c>
      <c r="Z162" s="10">
        <v>4.2917609940952604</v>
      </c>
      <c r="AA162" s="10">
        <v>4.2922100614518</v>
      </c>
      <c r="AB162" s="8">
        <v>235.771163220604</v>
      </c>
      <c r="AC162" s="8">
        <v>235.69254544717299</v>
      </c>
      <c r="AD162" s="8">
        <v>235.73391197842801</v>
      </c>
      <c r="AE162" s="9">
        <v>3.4430501486947202E-4</v>
      </c>
      <c r="AF162" s="9">
        <v>1.07999212031099E-5</v>
      </c>
      <c r="AG162" s="9">
        <v>1.8629508363970801E-4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-5.2834601182734798E-4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-5.2834601182734798E-4</v>
      </c>
    </row>
    <row r="163" spans="1:77" x14ac:dyDescent="0.3">
      <c r="A163" s="1">
        <v>46259</v>
      </c>
      <c r="B163" s="8">
        <v>54.43</v>
      </c>
      <c r="C163" s="8">
        <v>233.53</v>
      </c>
      <c r="D163" s="9">
        <v>-8.9621084536617105E-3</v>
      </c>
      <c r="E163" s="9">
        <v>-9.2068337147611905E-3</v>
      </c>
      <c r="F163" s="8">
        <v>0</v>
      </c>
      <c r="G163" s="8">
        <v>0.58599999999999997</v>
      </c>
      <c r="H163" s="8">
        <v>0</v>
      </c>
      <c r="I163" s="8">
        <v>2.4407999999999999</v>
      </c>
      <c r="J163" s="8">
        <v>0</v>
      </c>
      <c r="K163" s="8">
        <v>0</v>
      </c>
      <c r="L163" s="8">
        <v>54.43</v>
      </c>
      <c r="M163" s="8">
        <v>233.53</v>
      </c>
      <c r="N163" s="10">
        <v>4.2904648171963897</v>
      </c>
      <c r="O163" s="10">
        <v>4.2929927753205499</v>
      </c>
      <c r="P163" s="10">
        <v>4.2919563008801802</v>
      </c>
      <c r="Q163" s="10">
        <v>4.2922771172141498</v>
      </c>
      <c r="R163" s="8">
        <v>233.66759676069699</v>
      </c>
      <c r="S163" s="8">
        <v>233.60055090860499</v>
      </c>
      <c r="T163" s="8">
        <v>233.62499364482099</v>
      </c>
      <c r="U163" s="9">
        <v>5.8903027596877999E-4</v>
      </c>
      <c r="V163" s="9">
        <v>3.0206077938864303E-4</v>
      </c>
      <c r="W163" s="9">
        <v>4.0669005971608301E-4</v>
      </c>
      <c r="X163" s="10">
        <v>4.2904648171963897</v>
      </c>
      <c r="Y163" s="10">
        <v>4.2929927753205499</v>
      </c>
      <c r="Z163" s="10">
        <v>4.2919563008801802</v>
      </c>
      <c r="AA163" s="10">
        <v>4.2922771172141498</v>
      </c>
      <c r="AB163" s="8">
        <v>233.66759676069699</v>
      </c>
      <c r="AC163" s="8">
        <v>233.60055090860499</v>
      </c>
      <c r="AD163" s="8">
        <v>233.62499364482099</v>
      </c>
      <c r="AE163" s="9">
        <v>5.8903027596877999E-4</v>
      </c>
      <c r="AF163" s="9">
        <v>3.0206077938864303E-4</v>
      </c>
      <c r="AG163" s="9">
        <v>4.0669005971608301E-4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-5.2834601182734798E-4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-5.2834601182734798E-4</v>
      </c>
    </row>
    <row r="164" spans="1:77" x14ac:dyDescent="0.3">
      <c r="A164" s="1">
        <v>46260</v>
      </c>
      <c r="B164" s="8">
        <v>54.19</v>
      </c>
      <c r="C164" s="8">
        <v>232.75</v>
      </c>
      <c r="D164" s="9">
        <v>-4.4190828680858701E-3</v>
      </c>
      <c r="E164" s="9">
        <v>-3.34563235635878E-3</v>
      </c>
      <c r="F164" s="8">
        <v>0</v>
      </c>
      <c r="G164" s="8">
        <v>0.58599999999999997</v>
      </c>
      <c r="H164" s="8">
        <v>0</v>
      </c>
      <c r="I164" s="8">
        <v>2.4407999999999999</v>
      </c>
      <c r="J164" s="8">
        <v>0</v>
      </c>
      <c r="K164" s="8">
        <v>0</v>
      </c>
      <c r="L164" s="8">
        <v>54.19</v>
      </c>
      <c r="M164" s="8">
        <v>232.75</v>
      </c>
      <c r="N164" s="10">
        <v>4.2950728916774299</v>
      </c>
      <c r="O164" s="10">
        <v>4.2929927753205499</v>
      </c>
      <c r="P164" s="10">
        <v>4.29206931282756</v>
      </c>
      <c r="Q164" s="10">
        <v>4.2922954516288403</v>
      </c>
      <c r="R164" s="8">
        <v>232.63727849462001</v>
      </c>
      <c r="S164" s="8">
        <v>232.581111944697</v>
      </c>
      <c r="T164" s="8">
        <v>232.59849698183501</v>
      </c>
      <c r="U164" s="9">
        <v>-4.8442023575822203E-4</v>
      </c>
      <c r="V164" s="9">
        <v>-7.2588339091630798E-4</v>
      </c>
      <c r="W164" s="9">
        <v>-6.5113790847191801E-4</v>
      </c>
      <c r="X164" s="10">
        <v>4.2950728916774299</v>
      </c>
      <c r="Y164" s="10">
        <v>4.2929927753205499</v>
      </c>
      <c r="Z164" s="10">
        <v>4.29206931282756</v>
      </c>
      <c r="AA164" s="10">
        <v>4.2922954516288403</v>
      </c>
      <c r="AB164" s="8">
        <v>232.63727849462001</v>
      </c>
      <c r="AC164" s="8">
        <v>232.581111944697</v>
      </c>
      <c r="AD164" s="8">
        <v>232.59849698183501</v>
      </c>
      <c r="AE164" s="9">
        <v>-4.8442023575822203E-4</v>
      </c>
      <c r="AF164" s="9">
        <v>-7.2588339091630798E-4</v>
      </c>
      <c r="AG164" s="9">
        <v>-6.5113790847191801E-4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-5.2834601182734798E-4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-5.2834601182734798E-4</v>
      </c>
    </row>
    <row r="165" spans="1:77" x14ac:dyDescent="0.3">
      <c r="A165" s="1">
        <v>46261</v>
      </c>
      <c r="B165" s="8">
        <v>53.43</v>
      </c>
      <c r="C165" s="8">
        <v>229.21</v>
      </c>
      <c r="D165" s="9">
        <v>-1.41240036083427E-2</v>
      </c>
      <c r="E165" s="9">
        <v>-1.53263022509014E-2</v>
      </c>
      <c r="F165" s="8">
        <v>0</v>
      </c>
      <c r="G165" s="8">
        <v>0.58599999999999997</v>
      </c>
      <c r="H165" s="8">
        <v>0</v>
      </c>
      <c r="I165" s="8">
        <v>2.4407999999999999</v>
      </c>
      <c r="J165" s="8">
        <v>0</v>
      </c>
      <c r="K165" s="8">
        <v>0</v>
      </c>
      <c r="L165" s="8">
        <v>53.43</v>
      </c>
      <c r="M165" s="8">
        <v>229.21</v>
      </c>
      <c r="N165" s="10">
        <v>4.2899120344375801</v>
      </c>
      <c r="O165" s="10">
        <v>4.2929927753205499</v>
      </c>
      <c r="P165" s="10">
        <v>4.2917971645217703</v>
      </c>
      <c r="Q165" s="10">
        <v>4.2922019233191904</v>
      </c>
      <c r="R165" s="8">
        <v>229.37460398537701</v>
      </c>
      <c r="S165" s="8">
        <v>229.325263384376</v>
      </c>
      <c r="T165" s="8">
        <v>229.33734598052899</v>
      </c>
      <c r="U165" s="9">
        <v>7.1787840680048504E-4</v>
      </c>
      <c r="V165" s="9">
        <v>5.0274600890488398E-4</v>
      </c>
      <c r="W165" s="9">
        <v>5.5543221400975796E-4</v>
      </c>
      <c r="X165" s="10">
        <v>4.2899120344375801</v>
      </c>
      <c r="Y165" s="10">
        <v>4.2929927753205499</v>
      </c>
      <c r="Z165" s="10">
        <v>4.2917971645217703</v>
      </c>
      <c r="AA165" s="10">
        <v>4.2922019233191904</v>
      </c>
      <c r="AB165" s="8">
        <v>229.37460398537701</v>
      </c>
      <c r="AC165" s="8">
        <v>229.325263384376</v>
      </c>
      <c r="AD165" s="8">
        <v>229.33734598052899</v>
      </c>
      <c r="AE165" s="9">
        <v>7.1787840680048504E-4</v>
      </c>
      <c r="AF165" s="9">
        <v>5.0274600890488398E-4</v>
      </c>
      <c r="AG165" s="9">
        <v>5.5543221400975796E-4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-5.2834601182734798E-4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-5.2834601182734798E-4</v>
      </c>
    </row>
    <row r="166" spans="1:77" x14ac:dyDescent="0.3">
      <c r="A166" s="1">
        <v>46262</v>
      </c>
      <c r="B166" s="8">
        <v>53.68</v>
      </c>
      <c r="C166" s="8">
        <v>230.35</v>
      </c>
      <c r="D166" s="9">
        <v>4.6681066937463798E-3</v>
      </c>
      <c r="E166" s="9">
        <v>4.9612774756510299E-3</v>
      </c>
      <c r="F166" s="8">
        <v>0</v>
      </c>
      <c r="G166" s="8">
        <v>0.58599999999999997</v>
      </c>
      <c r="H166" s="8">
        <v>0</v>
      </c>
      <c r="I166" s="8">
        <v>2.4407999999999999</v>
      </c>
      <c r="J166" s="8">
        <v>0</v>
      </c>
      <c r="K166" s="8">
        <v>0</v>
      </c>
      <c r="L166" s="8">
        <v>53.68</v>
      </c>
      <c r="M166" s="8">
        <v>230.35</v>
      </c>
      <c r="N166" s="10">
        <v>4.2911698956780899</v>
      </c>
      <c r="O166" s="10">
        <v>4.2929927753205499</v>
      </c>
      <c r="P166" s="10">
        <v>4.2916961228108397</v>
      </c>
      <c r="Q166" s="10">
        <v>4.2920474102760302</v>
      </c>
      <c r="R166" s="8">
        <v>230.44785217920699</v>
      </c>
      <c r="S166" s="8">
        <v>230.383671791529</v>
      </c>
      <c r="T166" s="8">
        <v>230.40539924377401</v>
      </c>
      <c r="U166" s="9">
        <v>4.2470762489583503E-4</v>
      </c>
      <c r="V166" s="9">
        <v>1.4616596810964401E-4</v>
      </c>
      <c r="W166" s="9">
        <v>2.4047138300316401E-4</v>
      </c>
      <c r="X166" s="10">
        <v>4.2911698956780899</v>
      </c>
      <c r="Y166" s="10">
        <v>4.2929927753205499</v>
      </c>
      <c r="Z166" s="10">
        <v>4.2916961228108397</v>
      </c>
      <c r="AA166" s="10">
        <v>4.2920474102760302</v>
      </c>
      <c r="AB166" s="8">
        <v>230.44785217920699</v>
      </c>
      <c r="AC166" s="8">
        <v>230.383671791529</v>
      </c>
      <c r="AD166" s="8">
        <v>230.40539924377401</v>
      </c>
      <c r="AE166" s="9">
        <v>4.2470762489583503E-4</v>
      </c>
      <c r="AF166" s="9">
        <v>1.4616596810964401E-4</v>
      </c>
      <c r="AG166" s="9">
        <v>2.4047138300316401E-4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-5.2834601182734798E-4</v>
      </c>
      <c r="BL166" s="9"/>
      <c r="BN166">
        <f t="shared" si="50"/>
        <v>0</v>
      </c>
      <c r="BO166">
        <f t="shared" si="51"/>
        <v>0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-5.2834601182734798E-4</v>
      </c>
    </row>
    <row r="167" spans="1:77" x14ac:dyDescent="0.3">
      <c r="A167" s="1">
        <v>46265</v>
      </c>
      <c r="B167" s="8">
        <v>53.47</v>
      </c>
      <c r="C167" s="8">
        <v>229.56</v>
      </c>
      <c r="D167" s="9">
        <v>-3.9197437027861702E-3</v>
      </c>
      <c r="E167" s="9">
        <v>-3.43545814176416E-3</v>
      </c>
      <c r="F167" s="8">
        <v>0</v>
      </c>
      <c r="G167" s="8">
        <v>0.58599999999999997</v>
      </c>
      <c r="H167" s="8">
        <v>0</v>
      </c>
      <c r="I167" s="8">
        <v>2.4407999999999999</v>
      </c>
      <c r="J167" s="8">
        <v>0</v>
      </c>
      <c r="K167" s="8">
        <v>0</v>
      </c>
      <c r="L167" s="8">
        <v>53.47</v>
      </c>
      <c r="M167" s="8">
        <v>229.56</v>
      </c>
      <c r="N167" s="10">
        <v>4.2932485505891096</v>
      </c>
      <c r="O167" s="10">
        <v>4.2929927753205499</v>
      </c>
      <c r="P167" s="10">
        <v>4.2916662594810902</v>
      </c>
      <c r="Q167" s="10">
        <v>4.2919040125627701</v>
      </c>
      <c r="R167" s="8">
        <v>229.54632369638901</v>
      </c>
      <c r="S167" s="8">
        <v>229.47699168669499</v>
      </c>
      <c r="T167" s="8">
        <v>229.49577502745899</v>
      </c>
      <c r="U167" s="9">
        <v>-5.9577936126171198E-5</v>
      </c>
      <c r="V167" s="9">
        <v>-3.61662853811445E-4</v>
      </c>
      <c r="W167" s="9">
        <v>-2.79813375425189E-4</v>
      </c>
      <c r="X167" s="10">
        <v>4.2932485505891096</v>
      </c>
      <c r="Y167" s="10">
        <v>4.2929927753205499</v>
      </c>
      <c r="Z167" s="10">
        <v>4.2916662594810902</v>
      </c>
      <c r="AA167" s="10">
        <v>4.2919040125627701</v>
      </c>
      <c r="AB167" s="8">
        <v>229.54632369638901</v>
      </c>
      <c r="AC167" s="8">
        <v>229.47699168669499</v>
      </c>
      <c r="AD167" s="8">
        <v>229.49577502745899</v>
      </c>
      <c r="AE167" s="9">
        <v>-5.9577936126171198E-5</v>
      </c>
      <c r="AF167" s="9">
        <v>-3.61662853811445E-4</v>
      </c>
      <c r="AG167" s="9">
        <v>-2.79813375425189E-4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-5.2834601182734798E-4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-5.2834601182734798E-4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2026-09-04T02:27:44Z</dcterms:modified>
</cp:coreProperties>
</file>