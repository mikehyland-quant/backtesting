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54673BAF-BB3D-4B64-9519-5B06AE4A4D7F}" xr6:coauthVersionLast="47" xr6:coauthVersionMax="47" xr10:uidLastSave="{00000000-0000-0000-0000-000000000000}"/>
  <bookViews>
    <workbookView xWindow="-120" yWindow="-120" windowWidth="29040" windowHeight="15720" xr2:uid="{94C8634C-0B31-4DFC-A7AD-50B9178EEDD5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Y175" i="1" s="1"/>
  <c r="AM174" i="1"/>
  <c r="AK174" i="1"/>
  <c r="AJ174" i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X169" i="1"/>
  <c r="AV169" i="1"/>
  <c r="AU169" i="1"/>
  <c r="AM169" i="1"/>
  <c r="AK169" i="1"/>
  <c r="AJ169" i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M161" i="1"/>
  <c r="AK161" i="1"/>
  <c r="AJ161" i="1"/>
  <c r="AN162" i="1" s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M146" i="1"/>
  <c r="AK146" i="1"/>
  <c r="AJ146" i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N145" i="1" s="1"/>
  <c r="AX143" i="1"/>
  <c r="AV143" i="1"/>
  <c r="AU143" i="1"/>
  <c r="AM143" i="1"/>
  <c r="AK143" i="1"/>
  <c r="AJ143" i="1"/>
  <c r="AN144" i="1" s="1"/>
  <c r="AX142" i="1"/>
  <c r="AV142" i="1"/>
  <c r="AU142" i="1"/>
  <c r="AM142" i="1"/>
  <c r="AK142" i="1"/>
  <c r="AJ142" i="1"/>
  <c r="AX141" i="1"/>
  <c r="AV141" i="1"/>
  <c r="AU141" i="1"/>
  <c r="AM141" i="1"/>
  <c r="AK141" i="1"/>
  <c r="AJ141" i="1"/>
  <c r="AN142" i="1" s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X134" i="1"/>
  <c r="AV134" i="1"/>
  <c r="AU134" i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M124" i="1"/>
  <c r="AK124" i="1"/>
  <c r="AJ124" i="1"/>
  <c r="AX123" i="1"/>
  <c r="AV123" i="1"/>
  <c r="AU123" i="1"/>
  <c r="AM123" i="1"/>
  <c r="AK123" i="1"/>
  <c r="AJ123" i="1"/>
  <c r="AX122" i="1"/>
  <c r="AV122" i="1"/>
  <c r="AU122" i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X96" i="1"/>
  <c r="AV96" i="1"/>
  <c r="AU96" i="1"/>
  <c r="AM96" i="1"/>
  <c r="AK96" i="1"/>
  <c r="AJ96" i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M91" i="1"/>
  <c r="AK91" i="1"/>
  <c r="AJ91" i="1"/>
  <c r="AX90" i="1"/>
  <c r="AV90" i="1"/>
  <c r="AU90" i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Y88" i="1" s="1"/>
  <c r="AM87" i="1"/>
  <c r="AK87" i="1"/>
  <c r="AJ87" i="1"/>
  <c r="AN88" i="1" s="1"/>
  <c r="AX86" i="1"/>
  <c r="AV86" i="1"/>
  <c r="AU86" i="1"/>
  <c r="AM86" i="1"/>
  <c r="AK86" i="1"/>
  <c r="AJ86" i="1"/>
  <c r="AX85" i="1"/>
  <c r="AV85" i="1"/>
  <c r="AU85" i="1"/>
  <c r="AY86" i="1" s="1"/>
  <c r="AM85" i="1"/>
  <c r="AK85" i="1"/>
  <c r="AJ85" i="1"/>
  <c r="AX84" i="1"/>
  <c r="AV84" i="1"/>
  <c r="AU84" i="1"/>
  <c r="AM84" i="1"/>
  <c r="AK84" i="1"/>
  <c r="AJ84" i="1"/>
  <c r="AX83" i="1"/>
  <c r="AV83" i="1"/>
  <c r="AU83" i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N81" i="1" s="1"/>
  <c r="AX79" i="1"/>
  <c r="AV79" i="1"/>
  <c r="AU79" i="1"/>
  <c r="AM79" i="1"/>
  <c r="AK79" i="1"/>
  <c r="AJ79" i="1"/>
  <c r="AN80" i="1" s="1"/>
  <c r="AX78" i="1"/>
  <c r="AV78" i="1"/>
  <c r="AU78" i="1"/>
  <c r="AM78" i="1"/>
  <c r="AK78" i="1"/>
  <c r="AJ78" i="1"/>
  <c r="AX77" i="1"/>
  <c r="AV77" i="1"/>
  <c r="AU77" i="1"/>
  <c r="AM77" i="1"/>
  <c r="AK77" i="1"/>
  <c r="AJ77" i="1"/>
  <c r="AX76" i="1"/>
  <c r="AV76" i="1"/>
  <c r="AU76" i="1"/>
  <c r="AM76" i="1"/>
  <c r="AK76" i="1"/>
  <c r="AJ76" i="1"/>
  <c r="AN77" i="1" s="1"/>
  <c r="AX75" i="1"/>
  <c r="AV75" i="1"/>
  <c r="AU75" i="1"/>
  <c r="AM75" i="1"/>
  <c r="AK75" i="1"/>
  <c r="AJ75" i="1"/>
  <c r="AN76" i="1" s="1"/>
  <c r="AX74" i="1"/>
  <c r="AV74" i="1"/>
  <c r="AU74" i="1"/>
  <c r="AM74" i="1"/>
  <c r="AK74" i="1"/>
  <c r="AJ74" i="1"/>
  <c r="AX73" i="1"/>
  <c r="AV73" i="1"/>
  <c r="AU73" i="1"/>
  <c r="AM73" i="1"/>
  <c r="AK73" i="1"/>
  <c r="AJ73" i="1"/>
  <c r="AN74" i="1" s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X65" i="1"/>
  <c r="AV65" i="1"/>
  <c r="AU65" i="1"/>
  <c r="AM65" i="1"/>
  <c r="AK65" i="1"/>
  <c r="AJ65" i="1"/>
  <c r="AN66" i="1" s="1"/>
  <c r="AX64" i="1"/>
  <c r="AV64" i="1"/>
  <c r="AU64" i="1"/>
  <c r="AY65" i="1" s="1"/>
  <c r="AM64" i="1"/>
  <c r="AK64" i="1"/>
  <c r="AJ64" i="1"/>
  <c r="AX63" i="1"/>
  <c r="AV63" i="1"/>
  <c r="AU63" i="1"/>
  <c r="AM63" i="1"/>
  <c r="AK63" i="1"/>
  <c r="AJ63" i="1"/>
  <c r="AN64" i="1" s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Y60" i="1" s="1"/>
  <c r="AM59" i="1"/>
  <c r="AK59" i="1"/>
  <c r="AJ59" i="1"/>
  <c r="AN60" i="1" s="1"/>
  <c r="AX58" i="1"/>
  <c r="AV58" i="1"/>
  <c r="AU58" i="1"/>
  <c r="AY59" i="1" s="1"/>
  <c r="AM58" i="1"/>
  <c r="AK58" i="1"/>
  <c r="AJ58" i="1"/>
  <c r="AX57" i="1"/>
  <c r="AV57" i="1"/>
  <c r="AU57" i="1"/>
  <c r="AY58" i="1" s="1"/>
  <c r="AM57" i="1"/>
  <c r="AK57" i="1"/>
  <c r="AJ57" i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Y53" i="1" s="1"/>
  <c r="AM52" i="1"/>
  <c r="AK52" i="1"/>
  <c r="AJ52" i="1"/>
  <c r="AN53" i="1" s="1"/>
  <c r="AX51" i="1"/>
  <c r="AV51" i="1"/>
  <c r="AU51" i="1"/>
  <c r="AY52" i="1" s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Y50" i="1" s="1"/>
  <c r="AM49" i="1"/>
  <c r="AK49" i="1"/>
  <c r="AJ49" i="1"/>
  <c r="AN50" i="1" s="1"/>
  <c r="AX48" i="1"/>
  <c r="AV48" i="1"/>
  <c r="AU48" i="1"/>
  <c r="AY49" i="1" s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Y47" i="1" s="1"/>
  <c r="AM46" i="1"/>
  <c r="AK46" i="1"/>
  <c r="AJ46" i="1"/>
  <c r="AN47" i="1" s="1"/>
  <c r="AX45" i="1"/>
  <c r="AV45" i="1"/>
  <c r="AU45" i="1"/>
  <c r="AY46" i="1" s="1"/>
  <c r="AM45" i="1"/>
  <c r="AK45" i="1"/>
  <c r="AJ45" i="1"/>
  <c r="AN46" i="1" s="1"/>
  <c r="AX44" i="1"/>
  <c r="AV44" i="1"/>
  <c r="AU44" i="1"/>
  <c r="AY45" i="1" s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Y40" i="1" s="1"/>
  <c r="AM39" i="1"/>
  <c r="AK39" i="1"/>
  <c r="AJ39" i="1"/>
  <c r="AN40" i="1" s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N38" i="1" s="1"/>
  <c r="AX36" i="1"/>
  <c r="AV36" i="1"/>
  <c r="AU36" i="1"/>
  <c r="AY37" i="1" s="1"/>
  <c r="AM36" i="1"/>
  <c r="AK36" i="1"/>
  <c r="AJ36" i="1"/>
  <c r="AN37" i="1" s="1"/>
  <c r="AX35" i="1"/>
  <c r="AV35" i="1"/>
  <c r="AU35" i="1"/>
  <c r="AY36" i="1" s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N34" i="1" s="1"/>
  <c r="AX32" i="1"/>
  <c r="AV32" i="1"/>
  <c r="AU32" i="1"/>
  <c r="AY33" i="1" s="1"/>
  <c r="AM32" i="1"/>
  <c r="AK32" i="1"/>
  <c r="AJ32" i="1"/>
  <c r="AN33" i="1" s="1"/>
  <c r="AX31" i="1"/>
  <c r="AV31" i="1"/>
  <c r="AU31" i="1"/>
  <c r="AM31" i="1"/>
  <c r="AK31" i="1"/>
  <c r="AJ31" i="1"/>
  <c r="AN32" i="1" s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Y29" i="1" s="1"/>
  <c r="AM28" i="1"/>
  <c r="AK28" i="1"/>
  <c r="AJ28" i="1"/>
  <c r="AN29" i="1" s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X23" i="1"/>
  <c r="AV23" i="1"/>
  <c r="AU23" i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73" i="1" l="1"/>
  <c r="AY163" i="1"/>
  <c r="AY160" i="1"/>
  <c r="AY158" i="1"/>
  <c r="AY155" i="1"/>
  <c r="AY122" i="1"/>
  <c r="AY115" i="1"/>
  <c r="AY107" i="1"/>
  <c r="AY96" i="1"/>
  <c r="AY94" i="1"/>
  <c r="AY92" i="1"/>
  <c r="AY90" i="1"/>
  <c r="AY69" i="1"/>
  <c r="AY64" i="1"/>
  <c r="AY124" i="1"/>
  <c r="AY102" i="1"/>
  <c r="AY100" i="1"/>
  <c r="AY98" i="1"/>
  <c r="AY95" i="1"/>
  <c r="AY83" i="1"/>
  <c r="AY80" i="1"/>
  <c r="AY78" i="1"/>
  <c r="AY76" i="1"/>
  <c r="AY74" i="1"/>
  <c r="AY72" i="1"/>
  <c r="AY63" i="1"/>
  <c r="AY87" i="1"/>
  <c r="AY62" i="1"/>
  <c r="AY159" i="1"/>
  <c r="AY133" i="1"/>
  <c r="AY127" i="1"/>
  <c r="AY125" i="1"/>
  <c r="AY123" i="1"/>
  <c r="AY116" i="1"/>
  <c r="AY103" i="1"/>
  <c r="AY101" i="1"/>
  <c r="AY93" i="1"/>
  <c r="AY91" i="1"/>
  <c r="AY85" i="1"/>
  <c r="AY77" i="1"/>
  <c r="AY75" i="1"/>
  <c r="AY170" i="1"/>
  <c r="AY168" i="1"/>
  <c r="AY162" i="1"/>
  <c r="AY161" i="1"/>
  <c r="AY145" i="1"/>
  <c r="AY129" i="1"/>
  <c r="AY104" i="1"/>
  <c r="AY99" i="1"/>
  <c r="AY97" i="1"/>
  <c r="AY84" i="1"/>
  <c r="AY81" i="1"/>
  <c r="AY79" i="1"/>
  <c r="AY71" i="1"/>
  <c r="AY61" i="1"/>
  <c r="AY82" i="1"/>
  <c r="AY169" i="1"/>
  <c r="AN97" i="1"/>
  <c r="AN148" i="1"/>
  <c r="AN141" i="1"/>
  <c r="AN131" i="1"/>
  <c r="AN109" i="1"/>
  <c r="AN89" i="1"/>
  <c r="AN82" i="1"/>
  <c r="AN72" i="1"/>
  <c r="AN26" i="1"/>
  <c r="AN79" i="1"/>
  <c r="AN65" i="1"/>
  <c r="AN25" i="1"/>
  <c r="AN93" i="1"/>
  <c r="AN84" i="1"/>
  <c r="AN23" i="1"/>
  <c r="AN75" i="1"/>
  <c r="AN67" i="1"/>
  <c r="AN146" i="1"/>
  <c r="AN139" i="1"/>
  <c r="AN95" i="1"/>
  <c r="AN78" i="1"/>
  <c r="AN110" i="1"/>
  <c r="AN176" i="1"/>
  <c r="AN140" i="1"/>
  <c r="AN132" i="1"/>
  <c r="AN120" i="1"/>
  <c r="AN115" i="1"/>
  <c r="AN114" i="1"/>
  <c r="AN112" i="1"/>
  <c r="AN107" i="1"/>
  <c r="AN105" i="1"/>
  <c r="AN127" i="1"/>
  <c r="AN118" i="1"/>
  <c r="AN113" i="1"/>
  <c r="AN106" i="1"/>
  <c r="AN104" i="1"/>
  <c r="AN102" i="1"/>
  <c r="AN91" i="1"/>
  <c r="AN87" i="1"/>
  <c r="AN85" i="1"/>
  <c r="AN83" i="1"/>
  <c r="AN71" i="1"/>
  <c r="AN143" i="1"/>
  <c r="AN121" i="1"/>
  <c r="AN103" i="1"/>
  <c r="AN152" i="1"/>
  <c r="AN137" i="1"/>
  <c r="AN135" i="1"/>
  <c r="AN133" i="1"/>
  <c r="AN128" i="1"/>
  <c r="AN122" i="1"/>
  <c r="AN117" i="1"/>
  <c r="AN157" i="1"/>
  <c r="AN154" i="1"/>
  <c r="AN151" i="1"/>
  <c r="AN136" i="1"/>
  <c r="AN134" i="1"/>
  <c r="AN124" i="1"/>
  <c r="AN100" i="1"/>
  <c r="AN70" i="1"/>
  <c r="AN147" i="1"/>
  <c r="AN125" i="1"/>
  <c r="AN138" i="1"/>
  <c r="AY41" i="1"/>
  <c r="AY24" i="1"/>
  <c r="AY144" i="1"/>
  <c r="AY131" i="1"/>
  <c r="AY112" i="1"/>
  <c r="AY108" i="1"/>
  <c r="AY66" i="1"/>
  <c r="AY32" i="1"/>
  <c r="AN175" i="1"/>
  <c r="AP175" i="1" s="1"/>
  <c r="AZ176" i="1"/>
  <c r="BA176" i="1"/>
  <c r="AW176" i="1"/>
  <c r="AP176" i="1"/>
  <c r="AO176" i="1"/>
  <c r="AQ176" i="1" s="1"/>
  <c r="AL176" i="1"/>
  <c r="BA175" i="1"/>
  <c r="AZ175" i="1"/>
  <c r="BB175" i="1" s="1"/>
  <c r="AW175" i="1"/>
  <c r="AO175" i="1"/>
  <c r="AL175" i="1"/>
  <c r="BA174" i="1"/>
  <c r="AZ174" i="1"/>
  <c r="BB174" i="1" s="1"/>
  <c r="AW174" i="1"/>
  <c r="AO174" i="1"/>
  <c r="AP174" i="1"/>
  <c r="AL174" i="1"/>
  <c r="AZ173" i="1"/>
  <c r="BA173" i="1"/>
  <c r="AW173" i="1"/>
  <c r="AL173" i="1"/>
  <c r="AO173" i="1"/>
  <c r="AP173" i="1"/>
  <c r="AZ172" i="1"/>
  <c r="BA172" i="1"/>
  <c r="AW172" i="1"/>
  <c r="AP172" i="1"/>
  <c r="AL172" i="1"/>
  <c r="AO172" i="1"/>
  <c r="BA171" i="1"/>
  <c r="AZ171" i="1"/>
  <c r="AW171" i="1"/>
  <c r="AL169" i="1"/>
  <c r="AN170" i="1" s="1"/>
  <c r="AO169" i="1"/>
  <c r="AP169" i="1"/>
  <c r="AP168" i="1"/>
  <c r="AL168" i="1"/>
  <c r="AO168" i="1"/>
  <c r="BA167" i="1"/>
  <c r="AZ167" i="1"/>
  <c r="BB167" i="1" s="1"/>
  <c r="AW167" i="1"/>
  <c r="AP167" i="1"/>
  <c r="AO167" i="1"/>
  <c r="AL167" i="1"/>
  <c r="BA166" i="1"/>
  <c r="AW166" i="1"/>
  <c r="AZ166" i="1"/>
  <c r="BB166" i="1" s="1"/>
  <c r="BA165" i="1"/>
  <c r="AW165" i="1"/>
  <c r="AZ165" i="1"/>
  <c r="BB165" i="1" s="1"/>
  <c r="BA164" i="1"/>
  <c r="AW164" i="1"/>
  <c r="AZ164" i="1"/>
  <c r="BB164" i="1" s="1"/>
  <c r="AP164" i="1"/>
  <c r="AL164" i="1"/>
  <c r="AN165" i="1" s="1"/>
  <c r="AO164" i="1"/>
  <c r="AQ164" i="1" s="1"/>
  <c r="BE164" i="1" s="1"/>
  <c r="AZ163" i="1"/>
  <c r="AW163" i="1"/>
  <c r="BA163" i="1"/>
  <c r="AO163" i="1"/>
  <c r="AL163" i="1"/>
  <c r="AP163" i="1"/>
  <c r="AP162" i="1"/>
  <c r="AL162" i="1"/>
  <c r="AO162" i="1"/>
  <c r="AQ162" i="1" s="1"/>
  <c r="BA160" i="1"/>
  <c r="AZ160" i="1"/>
  <c r="BB160" i="1" s="1"/>
  <c r="AW160" i="1"/>
  <c r="AP160" i="1"/>
  <c r="AL160" i="1"/>
  <c r="AN161" i="1" s="1"/>
  <c r="AO160" i="1"/>
  <c r="AQ160" i="1" s="1"/>
  <c r="BE160" i="1" s="1"/>
  <c r="AZ159" i="1"/>
  <c r="AW159" i="1"/>
  <c r="BA159" i="1"/>
  <c r="AP159" i="1"/>
  <c r="AL159" i="1"/>
  <c r="AO159" i="1"/>
  <c r="AQ159" i="1" s="1"/>
  <c r="BA158" i="1"/>
  <c r="AZ158" i="1"/>
  <c r="BB158" i="1" s="1"/>
  <c r="AW158" i="1"/>
  <c r="AO158" i="1"/>
  <c r="AL158" i="1"/>
  <c r="AP158" i="1"/>
  <c r="AW157" i="1"/>
  <c r="BA157" i="1"/>
  <c r="AZ157" i="1"/>
  <c r="BB157" i="1" s="1"/>
  <c r="AL157" i="1"/>
  <c r="AP157" i="1"/>
  <c r="AO157" i="1"/>
  <c r="AQ157" i="1" s="1"/>
  <c r="AW156" i="1"/>
  <c r="BA156" i="1"/>
  <c r="AZ156" i="1"/>
  <c r="BB156" i="1" s="1"/>
  <c r="AP156" i="1"/>
  <c r="AO156" i="1"/>
  <c r="AQ156" i="1" s="1"/>
  <c r="AL156" i="1"/>
  <c r="AW155" i="1"/>
  <c r="BA155" i="1"/>
  <c r="AZ155" i="1"/>
  <c r="BB155" i="1" s="1"/>
  <c r="AO155" i="1"/>
  <c r="AL155" i="1"/>
  <c r="AP155" i="1"/>
  <c r="BA154" i="1"/>
  <c r="AW154" i="1"/>
  <c r="AZ154" i="1"/>
  <c r="AP154" i="1"/>
  <c r="AO154" i="1"/>
  <c r="AQ154" i="1" s="1"/>
  <c r="AL154" i="1"/>
  <c r="AW153" i="1"/>
  <c r="BA153" i="1"/>
  <c r="AZ153" i="1"/>
  <c r="BB153" i="1" s="1"/>
  <c r="AW152" i="1"/>
  <c r="BA152" i="1"/>
  <c r="AZ152" i="1"/>
  <c r="BB152" i="1" s="1"/>
  <c r="AO152" i="1"/>
  <c r="AL152" i="1"/>
  <c r="AN153" i="1" s="1"/>
  <c r="AP152" i="1"/>
  <c r="BA151" i="1"/>
  <c r="AW151" i="1"/>
  <c r="AZ151" i="1"/>
  <c r="BB151" i="1" s="1"/>
  <c r="AP151" i="1"/>
  <c r="AL151" i="1"/>
  <c r="AO151" i="1"/>
  <c r="AQ151" i="1" s="1"/>
  <c r="BA150" i="1"/>
  <c r="AZ150" i="1"/>
  <c r="BB150" i="1" s="1"/>
  <c r="AW150" i="1"/>
  <c r="BA149" i="1"/>
  <c r="AW149" i="1"/>
  <c r="AZ149" i="1"/>
  <c r="BB149" i="1" s="1"/>
  <c r="BA148" i="1"/>
  <c r="AZ148" i="1"/>
  <c r="BB148" i="1" s="1"/>
  <c r="AW148" i="1"/>
  <c r="AL148" i="1"/>
  <c r="AN149" i="1" s="1"/>
  <c r="AP148" i="1"/>
  <c r="AO148" i="1"/>
  <c r="AQ148" i="1" s="1"/>
  <c r="BE148" i="1" s="1"/>
  <c r="AL146" i="1"/>
  <c r="AP146" i="1"/>
  <c r="AO146" i="1"/>
  <c r="AQ146" i="1" s="1"/>
  <c r="BA145" i="1"/>
  <c r="AW145" i="1"/>
  <c r="AY146" i="1" s="1"/>
  <c r="AZ145" i="1"/>
  <c r="BB145" i="1" s="1"/>
  <c r="AO145" i="1"/>
  <c r="AP145" i="1"/>
  <c r="AL145" i="1"/>
  <c r="BA144" i="1"/>
  <c r="AZ144" i="1"/>
  <c r="BB144" i="1" s="1"/>
  <c r="AW144" i="1"/>
  <c r="AO144" i="1"/>
  <c r="AL144" i="1"/>
  <c r="AP144" i="1"/>
  <c r="AO143" i="1"/>
  <c r="AL143" i="1"/>
  <c r="AP143" i="1"/>
  <c r="AO142" i="1"/>
  <c r="AL142" i="1"/>
  <c r="AP142" i="1"/>
  <c r="AL141" i="1"/>
  <c r="AP141" i="1"/>
  <c r="AO141" i="1"/>
  <c r="AQ141" i="1" s="1"/>
  <c r="AO140" i="1"/>
  <c r="AP140" i="1"/>
  <c r="AL140" i="1"/>
  <c r="AZ139" i="1"/>
  <c r="BA139" i="1"/>
  <c r="AW139" i="1"/>
  <c r="AY140" i="1" s="1"/>
  <c r="AP139" i="1"/>
  <c r="AL139" i="1"/>
  <c r="AO139" i="1"/>
  <c r="AQ139" i="1" s="1"/>
  <c r="AO137" i="1"/>
  <c r="AL137" i="1"/>
  <c r="AP137" i="1"/>
  <c r="AL136" i="1"/>
  <c r="AO136" i="1"/>
  <c r="AP136" i="1"/>
  <c r="AO135" i="1"/>
  <c r="AL135" i="1"/>
  <c r="AP135" i="1"/>
  <c r="AW134" i="1"/>
  <c r="AY135" i="1" s="1"/>
  <c r="AZ134" i="1"/>
  <c r="BA134" i="1"/>
  <c r="AP134" i="1"/>
  <c r="AL134" i="1"/>
  <c r="AO134" i="1"/>
  <c r="AQ134" i="1" s="1"/>
  <c r="AW133" i="1"/>
  <c r="AZ133" i="1"/>
  <c r="BA133" i="1"/>
  <c r="AO133" i="1"/>
  <c r="AL133" i="1"/>
  <c r="AP133" i="1"/>
  <c r="AZ132" i="1"/>
  <c r="AW132" i="1"/>
  <c r="BA132" i="1"/>
  <c r="AP132" i="1"/>
  <c r="AL132" i="1"/>
  <c r="AO132" i="1"/>
  <c r="AQ132" i="1" s="1"/>
  <c r="AW131" i="1"/>
  <c r="AZ131" i="1"/>
  <c r="BA131" i="1"/>
  <c r="AO131" i="1"/>
  <c r="AP131" i="1"/>
  <c r="AL131" i="1"/>
  <c r="BA130" i="1"/>
  <c r="AZ130" i="1"/>
  <c r="BB130" i="1" s="1"/>
  <c r="AW130" i="1"/>
  <c r="BA129" i="1"/>
  <c r="AW129" i="1"/>
  <c r="AZ129" i="1"/>
  <c r="BB129" i="1" s="1"/>
  <c r="BA128" i="1"/>
  <c r="AW128" i="1"/>
  <c r="AZ128" i="1"/>
  <c r="BB128" i="1" s="1"/>
  <c r="AO128" i="1"/>
  <c r="AL128" i="1"/>
  <c r="AN129" i="1" s="1"/>
  <c r="AP128" i="1"/>
  <c r="AZ127" i="1"/>
  <c r="AW127" i="1"/>
  <c r="BA127" i="1"/>
  <c r="AO127" i="1"/>
  <c r="AP127" i="1"/>
  <c r="AL127" i="1"/>
  <c r="AW126" i="1"/>
  <c r="BA126" i="1"/>
  <c r="AZ126" i="1"/>
  <c r="BB126" i="1" s="1"/>
  <c r="AZ125" i="1"/>
  <c r="BA125" i="1"/>
  <c r="AW125" i="1"/>
  <c r="AW124" i="1"/>
  <c r="AZ124" i="1"/>
  <c r="BA124" i="1"/>
  <c r="AP124" i="1"/>
  <c r="AL124" i="1"/>
  <c r="AO124" i="1"/>
  <c r="AQ124" i="1" s="1"/>
  <c r="AZ123" i="1"/>
  <c r="AW123" i="1"/>
  <c r="BA123" i="1"/>
  <c r="AW122" i="1"/>
  <c r="AZ122" i="1"/>
  <c r="BA122" i="1"/>
  <c r="AO122" i="1"/>
  <c r="AP122" i="1"/>
  <c r="AL122" i="1"/>
  <c r="AN123" i="1" s="1"/>
  <c r="AL121" i="1"/>
  <c r="AO121" i="1"/>
  <c r="AP121" i="1"/>
  <c r="AP120" i="1"/>
  <c r="AL120" i="1"/>
  <c r="AO120" i="1"/>
  <c r="AQ120" i="1" s="1"/>
  <c r="AL119" i="1"/>
  <c r="AP119" i="1"/>
  <c r="AO119" i="1"/>
  <c r="AQ119" i="1" s="1"/>
  <c r="AP118" i="1"/>
  <c r="AO118" i="1"/>
  <c r="AQ118" i="1" s="1"/>
  <c r="AL118" i="1"/>
  <c r="AL117" i="1"/>
  <c r="AP117" i="1"/>
  <c r="AO117" i="1"/>
  <c r="AQ117" i="1" s="1"/>
  <c r="BA116" i="1"/>
  <c r="AW116" i="1"/>
  <c r="AY117" i="1" s="1"/>
  <c r="AZ116" i="1"/>
  <c r="BB116" i="1" s="1"/>
  <c r="AP116" i="1"/>
  <c r="AO116" i="1"/>
  <c r="AQ116" i="1" s="1"/>
  <c r="AL116" i="1"/>
  <c r="BA115" i="1"/>
  <c r="AZ115" i="1"/>
  <c r="BB115" i="1" s="1"/>
  <c r="AW115" i="1"/>
  <c r="AL115" i="1"/>
  <c r="AO115" i="1"/>
  <c r="AP115" i="1"/>
  <c r="AP114" i="1"/>
  <c r="AO114" i="1"/>
  <c r="AQ114" i="1" s="1"/>
  <c r="AL114" i="1"/>
  <c r="AL113" i="1"/>
  <c r="AO113" i="1"/>
  <c r="AP113" i="1"/>
  <c r="AZ112" i="1"/>
  <c r="AW112" i="1"/>
  <c r="AY113" i="1" s="1"/>
  <c r="BA112" i="1"/>
  <c r="AP112" i="1"/>
  <c r="AO112" i="1"/>
  <c r="AQ112" i="1" s="1"/>
  <c r="AL112" i="1"/>
  <c r="AP111" i="1"/>
  <c r="AO111" i="1"/>
  <c r="AL111" i="1"/>
  <c r="AO110" i="1"/>
  <c r="AP110" i="1"/>
  <c r="AL110" i="1"/>
  <c r="BA109" i="1"/>
  <c r="AZ109" i="1"/>
  <c r="BB109" i="1" s="1"/>
  <c r="AW109" i="1"/>
  <c r="AY110" i="1" s="1"/>
  <c r="AL109" i="1"/>
  <c r="AO109" i="1"/>
  <c r="AP109" i="1"/>
  <c r="AZ108" i="1"/>
  <c r="AW108" i="1"/>
  <c r="BA108" i="1"/>
  <c r="AP108" i="1"/>
  <c r="AL108" i="1"/>
  <c r="AO108" i="1"/>
  <c r="AW107" i="1"/>
  <c r="BA107" i="1"/>
  <c r="AZ107" i="1"/>
  <c r="AL107" i="1"/>
  <c r="AO107" i="1"/>
  <c r="AP107" i="1"/>
  <c r="AW106" i="1"/>
  <c r="BA106" i="1"/>
  <c r="AZ106" i="1"/>
  <c r="BB106" i="1" s="1"/>
  <c r="AP106" i="1"/>
  <c r="AL106" i="1"/>
  <c r="AO106" i="1"/>
  <c r="AQ106" i="1" s="1"/>
  <c r="BA105" i="1"/>
  <c r="AZ105" i="1"/>
  <c r="BB105" i="1" s="1"/>
  <c r="AW105" i="1"/>
  <c r="AO105" i="1"/>
  <c r="AP105" i="1"/>
  <c r="AL105" i="1"/>
  <c r="AW104" i="1"/>
  <c r="BA104" i="1"/>
  <c r="AZ104" i="1"/>
  <c r="BB104" i="1" s="1"/>
  <c r="AO104" i="1"/>
  <c r="AL104" i="1"/>
  <c r="AP104" i="1"/>
  <c r="AW103" i="1"/>
  <c r="BA103" i="1"/>
  <c r="AZ103" i="1"/>
  <c r="AO103" i="1"/>
  <c r="AL103" i="1"/>
  <c r="AP103" i="1"/>
  <c r="AW102" i="1"/>
  <c r="AZ102" i="1"/>
  <c r="BA102" i="1"/>
  <c r="AL102" i="1"/>
  <c r="AP102" i="1"/>
  <c r="AO102" i="1"/>
  <c r="AQ102" i="1" s="1"/>
  <c r="AZ101" i="1"/>
  <c r="AW101" i="1"/>
  <c r="BA101" i="1"/>
  <c r="AW100" i="1"/>
  <c r="BA100" i="1"/>
  <c r="AZ100" i="1"/>
  <c r="BB100" i="1" s="1"/>
  <c r="AL100" i="1"/>
  <c r="AN101" i="1" s="1"/>
  <c r="AP100" i="1"/>
  <c r="AO100" i="1"/>
  <c r="AQ100" i="1" s="1"/>
  <c r="AW99" i="1"/>
  <c r="BA99" i="1"/>
  <c r="AZ99" i="1"/>
  <c r="BB99" i="1" s="1"/>
  <c r="BA98" i="1"/>
  <c r="AZ98" i="1"/>
  <c r="BB98" i="1" s="1"/>
  <c r="AW98" i="1"/>
  <c r="AW97" i="1"/>
  <c r="BA97" i="1"/>
  <c r="AZ97" i="1"/>
  <c r="AP97" i="1"/>
  <c r="AL97" i="1"/>
  <c r="AN98" i="1" s="1"/>
  <c r="AO97" i="1"/>
  <c r="AQ97" i="1" s="1"/>
  <c r="BA96" i="1"/>
  <c r="AW96" i="1"/>
  <c r="AZ96" i="1"/>
  <c r="BB96" i="1" s="1"/>
  <c r="AZ95" i="1"/>
  <c r="BA95" i="1"/>
  <c r="AW95" i="1"/>
  <c r="AL95" i="1"/>
  <c r="AN96" i="1" s="1"/>
  <c r="AP95" i="1"/>
  <c r="AO95" i="1"/>
  <c r="AQ95" i="1" s="1"/>
  <c r="BA94" i="1"/>
  <c r="AW94" i="1"/>
  <c r="AZ94" i="1"/>
  <c r="BB94" i="1" s="1"/>
  <c r="BA93" i="1"/>
  <c r="AW93" i="1"/>
  <c r="AZ93" i="1"/>
  <c r="BB93" i="1" s="1"/>
  <c r="AO93" i="1"/>
  <c r="AL93" i="1"/>
  <c r="AN94" i="1" s="1"/>
  <c r="AP93" i="1"/>
  <c r="AZ92" i="1"/>
  <c r="AW92" i="1"/>
  <c r="BA92" i="1"/>
  <c r="BA91" i="1"/>
  <c r="AW91" i="1"/>
  <c r="AZ91" i="1"/>
  <c r="BB91" i="1" s="1"/>
  <c r="AP91" i="1"/>
  <c r="AO91" i="1"/>
  <c r="AQ91" i="1" s="1"/>
  <c r="AL91" i="1"/>
  <c r="AN92" i="1" s="1"/>
  <c r="AZ90" i="1"/>
  <c r="BA90" i="1"/>
  <c r="AW90" i="1"/>
  <c r="AW89" i="1"/>
  <c r="AZ89" i="1"/>
  <c r="BA89" i="1"/>
  <c r="AP89" i="1"/>
  <c r="AL89" i="1"/>
  <c r="AN90" i="1" s="1"/>
  <c r="AO89" i="1"/>
  <c r="AQ89" i="1" s="1"/>
  <c r="AZ88" i="1"/>
  <c r="AW88" i="1"/>
  <c r="BA88" i="1"/>
  <c r="AL88" i="1"/>
  <c r="AP88" i="1"/>
  <c r="AO88" i="1"/>
  <c r="AQ88" i="1" s="1"/>
  <c r="AZ87" i="1"/>
  <c r="BA87" i="1"/>
  <c r="AW87" i="1"/>
  <c r="AL87" i="1"/>
  <c r="AP87" i="1"/>
  <c r="AO87" i="1"/>
  <c r="AQ87" i="1" s="1"/>
  <c r="AW86" i="1"/>
  <c r="BA86" i="1"/>
  <c r="AZ86" i="1"/>
  <c r="BB86" i="1" s="1"/>
  <c r="BA85" i="1"/>
  <c r="AW85" i="1"/>
  <c r="AZ85" i="1"/>
  <c r="BB85" i="1" s="1"/>
  <c r="AO85" i="1"/>
  <c r="AL85" i="1"/>
  <c r="AN86" i="1" s="1"/>
  <c r="AP85" i="1"/>
  <c r="AZ84" i="1"/>
  <c r="AW84" i="1"/>
  <c r="BA84" i="1"/>
  <c r="AO84" i="1"/>
  <c r="AP84" i="1"/>
  <c r="AL84" i="1"/>
  <c r="AW83" i="1"/>
  <c r="AZ83" i="1"/>
  <c r="BA83" i="1"/>
  <c r="AP83" i="1"/>
  <c r="AL83" i="1"/>
  <c r="AO83" i="1"/>
  <c r="AQ83" i="1" s="1"/>
  <c r="AW82" i="1"/>
  <c r="AZ82" i="1"/>
  <c r="BA82" i="1"/>
  <c r="AP82" i="1"/>
  <c r="AO82" i="1"/>
  <c r="AL82" i="1"/>
  <c r="AZ81" i="1"/>
  <c r="AW81" i="1"/>
  <c r="BA81" i="1"/>
  <c r="AO81" i="1"/>
  <c r="AL81" i="1"/>
  <c r="AP81" i="1"/>
  <c r="AZ80" i="1"/>
  <c r="BA80" i="1"/>
  <c r="AW80" i="1"/>
  <c r="AP80" i="1"/>
  <c r="AL80" i="1"/>
  <c r="AO80" i="1"/>
  <c r="AQ80" i="1" s="1"/>
  <c r="AZ79" i="1"/>
  <c r="BA79" i="1"/>
  <c r="AW79" i="1"/>
  <c r="AL79" i="1"/>
  <c r="AO79" i="1"/>
  <c r="AP79" i="1"/>
  <c r="AW78" i="1"/>
  <c r="BA78" i="1"/>
  <c r="AZ78" i="1"/>
  <c r="AO78" i="1"/>
  <c r="AP78" i="1"/>
  <c r="AL78" i="1"/>
  <c r="BA77" i="1"/>
  <c r="AZ77" i="1"/>
  <c r="BB77" i="1" s="1"/>
  <c r="AW77" i="1"/>
  <c r="AO77" i="1"/>
  <c r="AP77" i="1"/>
  <c r="AL77" i="1"/>
  <c r="AZ76" i="1"/>
  <c r="AW76" i="1"/>
  <c r="BA76" i="1"/>
  <c r="AP76" i="1"/>
  <c r="AO76" i="1"/>
  <c r="AQ76" i="1" s="1"/>
  <c r="AL76" i="1"/>
  <c r="AW75" i="1"/>
  <c r="AZ75" i="1"/>
  <c r="BA75" i="1"/>
  <c r="AL75" i="1"/>
  <c r="AO75" i="1"/>
  <c r="AP75" i="1"/>
  <c r="AW74" i="1"/>
  <c r="BA74" i="1"/>
  <c r="AZ74" i="1"/>
  <c r="AP74" i="1"/>
  <c r="AO74" i="1"/>
  <c r="AQ74" i="1" s="1"/>
  <c r="AL74" i="1"/>
  <c r="AW73" i="1"/>
  <c r="AZ73" i="1"/>
  <c r="BA73" i="1"/>
  <c r="BA72" i="1"/>
  <c r="AZ72" i="1"/>
  <c r="BB72" i="1" s="1"/>
  <c r="AW72" i="1"/>
  <c r="AL72" i="1"/>
  <c r="AN73" i="1" s="1"/>
  <c r="AP72" i="1"/>
  <c r="AO72" i="1"/>
  <c r="AW71" i="1"/>
  <c r="AZ71" i="1"/>
  <c r="BB71" i="1" s="1"/>
  <c r="BA71" i="1"/>
  <c r="AL71" i="1"/>
  <c r="AP71" i="1"/>
  <c r="AO71" i="1"/>
  <c r="AQ71" i="1" s="1"/>
  <c r="AZ70" i="1"/>
  <c r="BB70" i="1" s="1"/>
  <c r="BA70" i="1"/>
  <c r="AW70" i="1"/>
  <c r="AL70" i="1"/>
  <c r="AO70" i="1"/>
  <c r="AP70" i="1"/>
  <c r="AW69" i="1"/>
  <c r="AZ69" i="1"/>
  <c r="BA69" i="1"/>
  <c r="AZ68" i="1"/>
  <c r="AW68" i="1"/>
  <c r="BA68" i="1"/>
  <c r="AO68" i="1"/>
  <c r="AL68" i="1"/>
  <c r="AN69" i="1" s="1"/>
  <c r="AP68" i="1"/>
  <c r="BA67" i="1"/>
  <c r="AW67" i="1"/>
  <c r="AZ67" i="1"/>
  <c r="BB67" i="1" s="1"/>
  <c r="AP67" i="1"/>
  <c r="AL67" i="1"/>
  <c r="AO67" i="1"/>
  <c r="AQ67" i="1" s="1"/>
  <c r="BA66" i="1"/>
  <c r="AW66" i="1"/>
  <c r="AZ66" i="1"/>
  <c r="BB66" i="1" s="1"/>
  <c r="AO66" i="1"/>
  <c r="AL66" i="1"/>
  <c r="AP66" i="1"/>
  <c r="BA65" i="1"/>
  <c r="AW65" i="1"/>
  <c r="AZ65" i="1"/>
  <c r="BB65" i="1" s="1"/>
  <c r="AP65" i="1"/>
  <c r="AO65" i="1"/>
  <c r="AQ65" i="1" s="1"/>
  <c r="AL65" i="1"/>
  <c r="AZ64" i="1"/>
  <c r="BA64" i="1"/>
  <c r="AW64" i="1"/>
  <c r="AL64" i="1"/>
  <c r="AP64" i="1"/>
  <c r="AO64" i="1"/>
  <c r="AQ64" i="1" s="1"/>
  <c r="AW63" i="1"/>
  <c r="AZ63" i="1"/>
  <c r="BA63" i="1"/>
  <c r="AL63" i="1"/>
  <c r="AP63" i="1"/>
  <c r="AO63" i="1"/>
  <c r="AQ63" i="1" s="1"/>
  <c r="BA62" i="1"/>
  <c r="AW62" i="1"/>
  <c r="AZ62" i="1"/>
  <c r="BB62" i="1" s="1"/>
  <c r="AL62" i="1"/>
  <c r="AP62" i="1"/>
  <c r="AO62" i="1"/>
  <c r="BA61" i="1"/>
  <c r="AZ61" i="1"/>
  <c r="BB61" i="1" s="1"/>
  <c r="AW61" i="1"/>
  <c r="AP61" i="1"/>
  <c r="AO61" i="1"/>
  <c r="AQ61" i="1" s="1"/>
  <c r="AL61" i="1"/>
  <c r="AZ60" i="1"/>
  <c r="BA60" i="1"/>
  <c r="AW60" i="1"/>
  <c r="AL60" i="1"/>
  <c r="AP60" i="1"/>
  <c r="AO60" i="1"/>
  <c r="BA59" i="1"/>
  <c r="AW59" i="1"/>
  <c r="AZ59" i="1"/>
  <c r="AZ58" i="1"/>
  <c r="BA58" i="1"/>
  <c r="AW58" i="1"/>
  <c r="AZ57" i="1"/>
  <c r="AW57" i="1"/>
  <c r="BA57" i="1"/>
  <c r="AO57" i="1"/>
  <c r="AL57" i="1"/>
  <c r="AN58" i="1" s="1"/>
  <c r="AP57" i="1"/>
  <c r="AW56" i="1"/>
  <c r="AZ56" i="1"/>
  <c r="BA56" i="1"/>
  <c r="AL56" i="1"/>
  <c r="AP56" i="1"/>
  <c r="AO56" i="1"/>
  <c r="BA55" i="1"/>
  <c r="AW55" i="1"/>
  <c r="AZ55" i="1"/>
  <c r="BB55" i="1" s="1"/>
  <c r="AZ54" i="1"/>
  <c r="AW54" i="1"/>
  <c r="BA54" i="1"/>
  <c r="AW53" i="1"/>
  <c r="AZ53" i="1"/>
  <c r="BA53" i="1"/>
  <c r="AL53" i="1"/>
  <c r="AN54" i="1" s="1"/>
  <c r="AP53" i="1"/>
  <c r="AO53" i="1"/>
  <c r="AZ52" i="1"/>
  <c r="AW52" i="1"/>
  <c r="BA52" i="1"/>
  <c r="AW51" i="1"/>
  <c r="BA51" i="1"/>
  <c r="AZ51" i="1"/>
  <c r="BB51" i="1" s="1"/>
  <c r="AZ50" i="1"/>
  <c r="AW50" i="1"/>
  <c r="BA50" i="1"/>
  <c r="AP50" i="1"/>
  <c r="AL50" i="1"/>
  <c r="AN51" i="1" s="1"/>
  <c r="AO50" i="1"/>
  <c r="AQ50" i="1" s="1"/>
  <c r="BA49" i="1"/>
  <c r="AZ49" i="1"/>
  <c r="BB49" i="1" s="1"/>
  <c r="AW49" i="1"/>
  <c r="AL49" i="1"/>
  <c r="AP49" i="1"/>
  <c r="AO49" i="1"/>
  <c r="AQ49" i="1" s="1"/>
  <c r="AZ48" i="1"/>
  <c r="AW48" i="1"/>
  <c r="BA48" i="1"/>
  <c r="AP48" i="1"/>
  <c r="AO48" i="1"/>
  <c r="AQ48" i="1" s="1"/>
  <c r="AL48" i="1"/>
  <c r="BA47" i="1"/>
  <c r="AZ47" i="1"/>
  <c r="BB47" i="1" s="1"/>
  <c r="AW47" i="1"/>
  <c r="AP47" i="1"/>
  <c r="AO47" i="1"/>
  <c r="AQ47" i="1" s="1"/>
  <c r="BE47" i="1" s="1"/>
  <c r="AL47" i="1"/>
  <c r="BA46" i="1"/>
  <c r="AW46" i="1"/>
  <c r="AZ46" i="1"/>
  <c r="BB46" i="1" s="1"/>
  <c r="AP46" i="1"/>
  <c r="AO46" i="1"/>
  <c r="AQ46" i="1" s="1"/>
  <c r="AL46" i="1"/>
  <c r="AW45" i="1"/>
  <c r="BA45" i="1"/>
  <c r="AZ45" i="1"/>
  <c r="BB45" i="1" s="1"/>
  <c r="AO45" i="1"/>
  <c r="AL45" i="1"/>
  <c r="AP45" i="1"/>
  <c r="AZ44" i="1"/>
  <c r="AW44" i="1"/>
  <c r="BA44" i="1"/>
  <c r="AO44" i="1"/>
  <c r="AL44" i="1"/>
  <c r="AP44" i="1"/>
  <c r="AW43" i="1"/>
  <c r="BA43" i="1"/>
  <c r="AZ43" i="1"/>
  <c r="BB43" i="1" s="1"/>
  <c r="AP43" i="1"/>
  <c r="AL43" i="1"/>
  <c r="AO43" i="1"/>
  <c r="AQ43" i="1" s="1"/>
  <c r="BA42" i="1"/>
  <c r="AZ42" i="1"/>
  <c r="BB42" i="1" s="1"/>
  <c r="AW42" i="1"/>
  <c r="AL42" i="1"/>
  <c r="AO42" i="1"/>
  <c r="AP42" i="1"/>
  <c r="BA41" i="1"/>
  <c r="AZ41" i="1"/>
  <c r="BB41" i="1" s="1"/>
  <c r="AW41" i="1"/>
  <c r="AZ40" i="1"/>
  <c r="BA40" i="1"/>
  <c r="AW40" i="1"/>
  <c r="AP40" i="1"/>
  <c r="AL40" i="1"/>
  <c r="AN41" i="1" s="1"/>
  <c r="AO40" i="1"/>
  <c r="AQ40" i="1" s="1"/>
  <c r="AW39" i="1"/>
  <c r="AZ39" i="1"/>
  <c r="BA39" i="1"/>
  <c r="AO39" i="1"/>
  <c r="AP39" i="1"/>
  <c r="AL39" i="1"/>
  <c r="BA38" i="1"/>
  <c r="AZ38" i="1"/>
  <c r="BB38" i="1" s="1"/>
  <c r="AW38" i="1"/>
  <c r="AL38" i="1"/>
  <c r="AP38" i="1"/>
  <c r="AO38" i="1"/>
  <c r="AQ38" i="1" s="1"/>
  <c r="BA37" i="1"/>
  <c r="AW37" i="1"/>
  <c r="AZ37" i="1"/>
  <c r="BB37" i="1" s="1"/>
  <c r="AO37" i="1"/>
  <c r="AL37" i="1"/>
  <c r="AP37" i="1"/>
  <c r="AW36" i="1"/>
  <c r="AZ36" i="1"/>
  <c r="BA36" i="1"/>
  <c r="AP36" i="1"/>
  <c r="AL36" i="1"/>
  <c r="AO36" i="1"/>
  <c r="AQ36" i="1" s="1"/>
  <c r="BA35" i="1"/>
  <c r="AZ35" i="1"/>
  <c r="BB35" i="1" s="1"/>
  <c r="AW35" i="1"/>
  <c r="AL35" i="1"/>
  <c r="AP35" i="1"/>
  <c r="AO35" i="1"/>
  <c r="AQ35" i="1" s="1"/>
  <c r="BE35" i="1" s="1"/>
  <c r="AW34" i="1"/>
  <c r="BA34" i="1"/>
  <c r="AZ34" i="1"/>
  <c r="BB34" i="1" s="1"/>
  <c r="AL34" i="1"/>
  <c r="AO34" i="1"/>
  <c r="AP34" i="1"/>
  <c r="AZ33" i="1"/>
  <c r="AW33" i="1"/>
  <c r="BA33" i="1"/>
  <c r="AO33" i="1"/>
  <c r="AL33" i="1"/>
  <c r="AP33" i="1"/>
  <c r="BA32" i="1"/>
  <c r="AZ32" i="1"/>
  <c r="BB32" i="1" s="1"/>
  <c r="AW32" i="1"/>
  <c r="AO32" i="1"/>
  <c r="AP32" i="1"/>
  <c r="AL32" i="1"/>
  <c r="AZ31" i="1"/>
  <c r="BA31" i="1"/>
  <c r="AW31" i="1"/>
  <c r="AP31" i="1"/>
  <c r="AL31" i="1"/>
  <c r="AO31" i="1"/>
  <c r="AQ31" i="1" s="1"/>
  <c r="BA30" i="1"/>
  <c r="AW30" i="1"/>
  <c r="AZ30" i="1"/>
  <c r="BB30" i="1" s="1"/>
  <c r="AP30" i="1"/>
  <c r="AO30" i="1"/>
  <c r="AQ30" i="1" s="1"/>
  <c r="AL30" i="1"/>
  <c r="AW29" i="1"/>
  <c r="AZ29" i="1"/>
  <c r="BA29" i="1"/>
  <c r="AP29" i="1"/>
  <c r="AL29" i="1"/>
  <c r="AO29" i="1"/>
  <c r="AQ29" i="1" s="1"/>
  <c r="AZ28" i="1"/>
  <c r="BA28" i="1"/>
  <c r="AW28" i="1"/>
  <c r="AO28" i="1"/>
  <c r="AP28" i="1"/>
  <c r="AL28" i="1"/>
  <c r="BA27" i="1"/>
  <c r="AW27" i="1"/>
  <c r="AZ27" i="1"/>
  <c r="AP27" i="1"/>
  <c r="AO27" i="1"/>
  <c r="AQ27" i="1" s="1"/>
  <c r="AL27" i="1"/>
  <c r="BA26" i="1"/>
  <c r="AZ26" i="1"/>
  <c r="BB26" i="1" s="1"/>
  <c r="AW26" i="1"/>
  <c r="AO26" i="1"/>
  <c r="AL26" i="1"/>
  <c r="AP26" i="1"/>
  <c r="AZ25" i="1"/>
  <c r="AW25" i="1"/>
  <c r="BA25" i="1"/>
  <c r="AL25" i="1"/>
  <c r="AO25" i="1"/>
  <c r="AP25" i="1"/>
  <c r="AZ24" i="1"/>
  <c r="AW24" i="1"/>
  <c r="BA24" i="1"/>
  <c r="AP24" i="1"/>
  <c r="AL24" i="1"/>
  <c r="AO24" i="1"/>
  <c r="AQ24" i="1" s="1"/>
  <c r="AZ23" i="1"/>
  <c r="BA23" i="1"/>
  <c r="AW23" i="1"/>
  <c r="AP23" i="1"/>
  <c r="AL23" i="1"/>
  <c r="AO23" i="1"/>
  <c r="AQ23" i="1" s="1"/>
  <c r="BA22" i="1"/>
  <c r="AZ22" i="1"/>
  <c r="BB22" i="1" s="1"/>
  <c r="AO22" i="1"/>
  <c r="AP22" i="1"/>
  <c r="BA170" i="1" l="1"/>
  <c r="AW170" i="1"/>
  <c r="AZ170" i="1"/>
  <c r="AW168" i="1"/>
  <c r="BA168" i="1"/>
  <c r="AZ168" i="1"/>
  <c r="AW162" i="1"/>
  <c r="BA162" i="1"/>
  <c r="AZ162" i="1"/>
  <c r="BB162" i="1" s="1"/>
  <c r="AW161" i="1"/>
  <c r="BA161" i="1"/>
  <c r="AZ161" i="1"/>
  <c r="BB161" i="1" s="1"/>
  <c r="BA169" i="1"/>
  <c r="AZ169" i="1"/>
  <c r="AW169" i="1"/>
  <c r="BB107" i="1"/>
  <c r="BE91" i="1"/>
  <c r="AW146" i="1"/>
  <c r="AY147" i="1" s="1"/>
  <c r="BA146" i="1"/>
  <c r="AZ146" i="1"/>
  <c r="AZ140" i="1"/>
  <c r="AW140" i="1"/>
  <c r="AY141" i="1" s="1"/>
  <c r="BA140" i="1"/>
  <c r="AZ135" i="1"/>
  <c r="AW135" i="1"/>
  <c r="AY136" i="1" s="1"/>
  <c r="BA135" i="1"/>
  <c r="BA117" i="1"/>
  <c r="AW117" i="1"/>
  <c r="AY118" i="1" s="1"/>
  <c r="AZ117" i="1"/>
  <c r="AZ110" i="1"/>
  <c r="BA110" i="1"/>
  <c r="AW110" i="1"/>
  <c r="AY111" i="1" s="1"/>
  <c r="BE106" i="1"/>
  <c r="BE100" i="1"/>
  <c r="BB78" i="1"/>
  <c r="BE67" i="1"/>
  <c r="BB64" i="1"/>
  <c r="BB59" i="1"/>
  <c r="BB58" i="1"/>
  <c r="BB154" i="1"/>
  <c r="BE154" i="1" s="1"/>
  <c r="BB131" i="1"/>
  <c r="BB127" i="1"/>
  <c r="BB125" i="1"/>
  <c r="BB124" i="1"/>
  <c r="BE124" i="1" s="1"/>
  <c r="BB97" i="1"/>
  <c r="BE97" i="1" s="1"/>
  <c r="BE71" i="1"/>
  <c r="BB110" i="1"/>
  <c r="BE64" i="1"/>
  <c r="BB133" i="1"/>
  <c r="BE157" i="1"/>
  <c r="BB134" i="1"/>
  <c r="BE134" i="1" s="1"/>
  <c r="BB56" i="1"/>
  <c r="BB40" i="1"/>
  <c r="BE40" i="1" s="1"/>
  <c r="BB36" i="1"/>
  <c r="BE36" i="1" s="1"/>
  <c r="BB31" i="1"/>
  <c r="BE31" i="1" s="1"/>
  <c r="BB29" i="1"/>
  <c r="BE29" i="1" s="1"/>
  <c r="BB28" i="1"/>
  <c r="BB23" i="1"/>
  <c r="BE23" i="1" s="1"/>
  <c r="AL165" i="1"/>
  <c r="AN166" i="1" s="1"/>
  <c r="AO165" i="1"/>
  <c r="AP165" i="1"/>
  <c r="AL161" i="1"/>
  <c r="AP161" i="1"/>
  <c r="AO161" i="1"/>
  <c r="AL153" i="1"/>
  <c r="AO153" i="1"/>
  <c r="AP153" i="1"/>
  <c r="AP149" i="1"/>
  <c r="AO149" i="1"/>
  <c r="AL149" i="1"/>
  <c r="AN150" i="1" s="1"/>
  <c r="AO129" i="1"/>
  <c r="AL129" i="1"/>
  <c r="AN130" i="1" s="1"/>
  <c r="AP129" i="1"/>
  <c r="AP101" i="1"/>
  <c r="AL101" i="1"/>
  <c r="AO101" i="1"/>
  <c r="AQ101" i="1" s="1"/>
  <c r="AO98" i="1"/>
  <c r="AP98" i="1"/>
  <c r="AL98" i="1"/>
  <c r="AN99" i="1" s="1"/>
  <c r="AO96" i="1"/>
  <c r="AL96" i="1"/>
  <c r="AP96" i="1"/>
  <c r="AL94" i="1"/>
  <c r="AO94" i="1"/>
  <c r="AP94" i="1"/>
  <c r="AP92" i="1"/>
  <c r="AO92" i="1"/>
  <c r="AQ92" i="1" s="1"/>
  <c r="AL92" i="1"/>
  <c r="AL90" i="1"/>
  <c r="AP90" i="1"/>
  <c r="AO90" i="1"/>
  <c r="AP86" i="1"/>
  <c r="AO86" i="1"/>
  <c r="AL86" i="1"/>
  <c r="AP73" i="1"/>
  <c r="AO73" i="1"/>
  <c r="AQ73" i="1" s="1"/>
  <c r="AL73" i="1"/>
  <c r="AL69" i="1"/>
  <c r="AP69" i="1"/>
  <c r="AO69" i="1"/>
  <c r="AQ69" i="1" s="1"/>
  <c r="AL58" i="1"/>
  <c r="AN59" i="1" s="1"/>
  <c r="AP58" i="1"/>
  <c r="AO58" i="1"/>
  <c r="AP54" i="1"/>
  <c r="AL54" i="1"/>
  <c r="AN55" i="1" s="1"/>
  <c r="AO54" i="1"/>
  <c r="AQ54" i="1" s="1"/>
  <c r="AP51" i="1"/>
  <c r="AL51" i="1"/>
  <c r="AN52" i="1" s="1"/>
  <c r="AO51" i="1"/>
  <c r="AQ56" i="1"/>
  <c r="BE56" i="1" s="1"/>
  <c r="AQ60" i="1"/>
  <c r="AQ175" i="1"/>
  <c r="BE175" i="1" s="1"/>
  <c r="AQ172" i="1"/>
  <c r="AQ149" i="1"/>
  <c r="BE149" i="1" s="1"/>
  <c r="AQ72" i="1"/>
  <c r="BE72" i="1" s="1"/>
  <c r="AO170" i="1"/>
  <c r="AP170" i="1"/>
  <c r="AL170" i="1"/>
  <c r="AN171" i="1" s="1"/>
  <c r="AP147" i="1"/>
  <c r="AO147" i="1"/>
  <c r="AL147" i="1"/>
  <c r="AO125" i="1"/>
  <c r="AP125" i="1"/>
  <c r="AL125" i="1"/>
  <c r="AN126" i="1" s="1"/>
  <c r="AP138" i="1"/>
  <c r="AO138" i="1"/>
  <c r="AQ138" i="1" s="1"/>
  <c r="AL138" i="1"/>
  <c r="AP123" i="1"/>
  <c r="AL123" i="1"/>
  <c r="AO123" i="1"/>
  <c r="AQ75" i="1"/>
  <c r="AQ32" i="1"/>
  <c r="BE32" i="1" s="1"/>
  <c r="AQ127" i="1"/>
  <c r="BE127" i="1" s="1"/>
  <c r="AQ62" i="1"/>
  <c r="BE62" i="1" s="1"/>
  <c r="AP41" i="1"/>
  <c r="AO41" i="1"/>
  <c r="AL41" i="1"/>
  <c r="BE49" i="1"/>
  <c r="BE61" i="1"/>
  <c r="BB102" i="1"/>
  <c r="BE102" i="1" s="1"/>
  <c r="BB101" i="1"/>
  <c r="BB90" i="1"/>
  <c r="BB89" i="1"/>
  <c r="BE89" i="1" s="1"/>
  <c r="BB87" i="1"/>
  <c r="BE87" i="1" s="1"/>
  <c r="BB84" i="1"/>
  <c r="BB83" i="1"/>
  <c r="BE83" i="1" s="1"/>
  <c r="BB82" i="1"/>
  <c r="BB80" i="1"/>
  <c r="BE80" i="1" s="1"/>
  <c r="BB79" i="1"/>
  <c r="BB76" i="1"/>
  <c r="BE76" i="1" s="1"/>
  <c r="BB74" i="1"/>
  <c r="BE74" i="1" s="1"/>
  <c r="BE46" i="1"/>
  <c r="BB24" i="1"/>
  <c r="BE24" i="1" s="1"/>
  <c r="BB73" i="1"/>
  <c r="BB60" i="1"/>
  <c r="BE43" i="1"/>
  <c r="BB39" i="1"/>
  <c r="BE38" i="1"/>
  <c r="BB163" i="1"/>
  <c r="BE162" i="1"/>
  <c r="BE151" i="1"/>
  <c r="BB139" i="1"/>
  <c r="BE139" i="1" s="1"/>
  <c r="BB132" i="1"/>
  <c r="BE132" i="1" s="1"/>
  <c r="BE116" i="1"/>
  <c r="BE156" i="1"/>
  <c r="BB146" i="1"/>
  <c r="BE146" i="1" s="1"/>
  <c r="BB122" i="1"/>
  <c r="BE65" i="1"/>
  <c r="BB53" i="1"/>
  <c r="BE30" i="1"/>
  <c r="BB63" i="1"/>
  <c r="BE63" i="1" s="1"/>
  <c r="AQ169" i="1"/>
  <c r="AQ163" i="1"/>
  <c r="BE163" i="1" s="1"/>
  <c r="AQ155" i="1"/>
  <c r="BE155" i="1" s="1"/>
  <c r="AQ152" i="1"/>
  <c r="BE152" i="1" s="1"/>
  <c r="AQ143" i="1"/>
  <c r="AQ131" i="1"/>
  <c r="BE131" i="1" s="1"/>
  <c r="AQ128" i="1"/>
  <c r="BE128" i="1" s="1"/>
  <c r="AQ111" i="1"/>
  <c r="AQ94" i="1"/>
  <c r="BE94" i="1" s="1"/>
  <c r="AQ90" i="1"/>
  <c r="BE90" i="1" s="1"/>
  <c r="AQ44" i="1"/>
  <c r="AQ37" i="1"/>
  <c r="BE37" i="1" s="1"/>
  <c r="AQ108" i="1"/>
  <c r="AQ105" i="1"/>
  <c r="BE105" i="1" s="1"/>
  <c r="AQ104" i="1"/>
  <c r="BE104" i="1" s="1"/>
  <c r="AQ77" i="1"/>
  <c r="BE77" i="1" s="1"/>
  <c r="AQ25" i="1"/>
  <c r="AQ153" i="1"/>
  <c r="BE153" i="1" s="1"/>
  <c r="AQ140" i="1"/>
  <c r="AQ110" i="1"/>
  <c r="AQ70" i="1"/>
  <c r="BE70" i="1" s="1"/>
  <c r="AQ68" i="1"/>
  <c r="AQ66" i="1"/>
  <c r="BE66" i="1" s="1"/>
  <c r="AQ53" i="1"/>
  <c r="BE53" i="1" s="1"/>
  <c r="AQ39" i="1"/>
  <c r="BE39" i="1" s="1"/>
  <c r="AQ84" i="1"/>
  <c r="BE84" i="1" s="1"/>
  <c r="AQ34" i="1"/>
  <c r="BE34" i="1" s="1"/>
  <c r="AQ122" i="1"/>
  <c r="BE122" i="1" s="1"/>
  <c r="AQ93" i="1"/>
  <c r="BE93" i="1" s="1"/>
  <c r="AQ78" i="1"/>
  <c r="BE78" i="1" s="1"/>
  <c r="AQ58" i="1"/>
  <c r="BE58" i="1" s="1"/>
  <c r="AQ28" i="1"/>
  <c r="AZ147" i="1"/>
  <c r="AW147" i="1"/>
  <c r="BA147" i="1"/>
  <c r="BA141" i="1"/>
  <c r="AW141" i="1"/>
  <c r="AY142" i="1" s="1"/>
  <c r="AZ141" i="1"/>
  <c r="BB141" i="1" s="1"/>
  <c r="BE141" i="1" s="1"/>
  <c r="BA118" i="1"/>
  <c r="AW118" i="1"/>
  <c r="AY119" i="1" s="1"/>
  <c r="AZ118" i="1"/>
  <c r="BB118" i="1" s="1"/>
  <c r="BE118" i="1" s="1"/>
  <c r="AZ113" i="1"/>
  <c r="BA113" i="1"/>
  <c r="AW113" i="1"/>
  <c r="AY114" i="1" s="1"/>
  <c r="BC22" i="1"/>
  <c r="BC23" i="1" s="1"/>
  <c r="BC24" i="1" s="1"/>
  <c r="BB176" i="1"/>
  <c r="BE176" i="1" s="1"/>
  <c r="AQ174" i="1"/>
  <c r="BE174" i="1" s="1"/>
  <c r="BB173" i="1"/>
  <c r="AQ173" i="1"/>
  <c r="BB172" i="1"/>
  <c r="BE172" i="1" s="1"/>
  <c r="BB171" i="1"/>
  <c r="BB170" i="1"/>
  <c r="AQ170" i="1"/>
  <c r="BE170" i="1" s="1"/>
  <c r="BB169" i="1"/>
  <c r="BE169" i="1" s="1"/>
  <c r="BB168" i="1"/>
  <c r="AQ167" i="1"/>
  <c r="BE167" i="1" s="1"/>
  <c r="BB159" i="1"/>
  <c r="BE159" i="1" s="1"/>
  <c r="AQ136" i="1"/>
  <c r="BB135" i="1"/>
  <c r="AQ133" i="1"/>
  <c r="BE133" i="1" s="1"/>
  <c r="AQ103" i="1"/>
  <c r="AQ81" i="1"/>
  <c r="AQ51" i="1"/>
  <c r="BE51" i="1" s="1"/>
  <c r="BB48" i="1"/>
  <c r="BE48" i="1" s="1"/>
  <c r="AQ26" i="1"/>
  <c r="BE26" i="1" s="1"/>
  <c r="AQ161" i="1"/>
  <c r="BE161" i="1" s="1"/>
  <c r="AQ158" i="1"/>
  <c r="BE158" i="1" s="1"/>
  <c r="AQ145" i="1"/>
  <c r="BE145" i="1" s="1"/>
  <c r="AQ129" i="1"/>
  <c r="BE129" i="1" s="1"/>
  <c r="AQ113" i="1"/>
  <c r="BB108" i="1"/>
  <c r="BE108" i="1" s="1"/>
  <c r="AQ144" i="1"/>
  <c r="BE144" i="1" s="1"/>
  <c r="BB123" i="1"/>
  <c r="BB103" i="1"/>
  <c r="BB92" i="1"/>
  <c r="BE92" i="1" s="1"/>
  <c r="AQ82" i="1"/>
  <c r="BE82" i="1" s="1"/>
  <c r="BB75" i="1"/>
  <c r="BE75" i="1" s="1"/>
  <c r="AQ57" i="1"/>
  <c r="AQ45" i="1"/>
  <c r="BE45" i="1" s="1"/>
  <c r="BB27" i="1"/>
  <c r="BE27" i="1" s="1"/>
  <c r="AQ142" i="1"/>
  <c r="AQ135" i="1"/>
  <c r="BE135" i="1" s="1"/>
  <c r="BB117" i="1"/>
  <c r="BE117" i="1" s="1"/>
  <c r="BB112" i="1"/>
  <c r="BE112" i="1" s="1"/>
  <c r="BB95" i="1"/>
  <c r="BE95" i="1" s="1"/>
  <c r="BB88" i="1"/>
  <c r="BE88" i="1" s="1"/>
  <c r="BB81" i="1"/>
  <c r="AQ79" i="1"/>
  <c r="BE79" i="1" s="1"/>
  <c r="BB68" i="1"/>
  <c r="BB57" i="1"/>
  <c r="BB44" i="1"/>
  <c r="AQ42" i="1"/>
  <c r="BE42" i="1" s="1"/>
  <c r="BB33" i="1"/>
  <c r="AQ137" i="1"/>
  <c r="AQ121" i="1"/>
  <c r="AQ109" i="1"/>
  <c r="BE109" i="1" s="1"/>
  <c r="AQ107" i="1"/>
  <c r="BE107" i="1" s="1"/>
  <c r="AQ85" i="1"/>
  <c r="BE85" i="1" s="1"/>
  <c r="BB54" i="1"/>
  <c r="AQ168" i="1"/>
  <c r="BE168" i="1" s="1"/>
  <c r="AQ115" i="1"/>
  <c r="BE115" i="1" s="1"/>
  <c r="BB69" i="1"/>
  <c r="BB52" i="1"/>
  <c r="BB50" i="1"/>
  <c r="BE50" i="1" s="1"/>
  <c r="AQ33" i="1"/>
  <c r="BE33" i="1" s="1"/>
  <c r="BB25" i="1"/>
  <c r="AQ22" i="1"/>
  <c r="AW136" i="1" l="1"/>
  <c r="AY137" i="1" s="1"/>
  <c r="BA136" i="1"/>
  <c r="AZ136" i="1"/>
  <c r="BB136" i="1" s="1"/>
  <c r="BE136" i="1" s="1"/>
  <c r="BA111" i="1"/>
  <c r="AZ111" i="1"/>
  <c r="BB111" i="1" s="1"/>
  <c r="AW111" i="1"/>
  <c r="BE111" i="1"/>
  <c r="BE173" i="1"/>
  <c r="BB140" i="1"/>
  <c r="BE140" i="1" s="1"/>
  <c r="AZ142" i="1"/>
  <c r="BA142" i="1"/>
  <c r="AW142" i="1"/>
  <c r="AY143" i="1" s="1"/>
  <c r="AW114" i="1"/>
  <c r="AZ114" i="1"/>
  <c r="BA114" i="1"/>
  <c r="BE110" i="1"/>
  <c r="BE28" i="1"/>
  <c r="AQ98" i="1"/>
  <c r="BE98" i="1" s="1"/>
  <c r="AQ86" i="1"/>
  <c r="BE86" i="1" s="1"/>
  <c r="AL166" i="1"/>
  <c r="AO166" i="1"/>
  <c r="AP166" i="1"/>
  <c r="AL150" i="1"/>
  <c r="AP150" i="1"/>
  <c r="AO150" i="1"/>
  <c r="AQ150" i="1" s="1"/>
  <c r="BE150" i="1" s="1"/>
  <c r="AO130" i="1"/>
  <c r="AP130" i="1"/>
  <c r="AL130" i="1"/>
  <c r="AO99" i="1"/>
  <c r="AP99" i="1"/>
  <c r="AL99" i="1"/>
  <c r="AP59" i="1"/>
  <c r="AL59" i="1"/>
  <c r="AO59" i="1"/>
  <c r="AQ59" i="1" s="1"/>
  <c r="BE59" i="1" s="1"/>
  <c r="AL55" i="1"/>
  <c r="AP55" i="1"/>
  <c r="AO55" i="1"/>
  <c r="AQ55" i="1" s="1"/>
  <c r="BE55" i="1" s="1"/>
  <c r="AP52" i="1"/>
  <c r="AO52" i="1"/>
  <c r="AL52" i="1"/>
  <c r="BE101" i="1"/>
  <c r="BE73" i="1"/>
  <c r="BE68" i="1"/>
  <c r="BE44" i="1"/>
  <c r="BE69" i="1"/>
  <c r="AQ165" i="1"/>
  <c r="BE165" i="1" s="1"/>
  <c r="AQ96" i="1"/>
  <c r="BE96" i="1" s="1"/>
  <c r="AO171" i="1"/>
  <c r="AL171" i="1"/>
  <c r="AP171" i="1"/>
  <c r="AL126" i="1"/>
  <c r="AO126" i="1"/>
  <c r="AP126" i="1"/>
  <c r="AQ123" i="1"/>
  <c r="BE123" i="1" s="1"/>
  <c r="BE60" i="1"/>
  <c r="AQ41" i="1"/>
  <c r="BE41" i="1" s="1"/>
  <c r="AQ125" i="1"/>
  <c r="AQ147" i="1"/>
  <c r="AW119" i="1"/>
  <c r="AY120" i="1" s="1"/>
  <c r="AZ119" i="1"/>
  <c r="BA119" i="1"/>
  <c r="BE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BB147" i="1"/>
  <c r="BB113" i="1"/>
  <c r="BE113" i="1" s="1"/>
  <c r="BC25" i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E103" i="1"/>
  <c r="BE81" i="1"/>
  <c r="BE57" i="1"/>
  <c r="BE54" i="1"/>
  <c r="BE25" i="1"/>
  <c r="BB142" i="1" l="1"/>
  <c r="BE142" i="1" s="1"/>
  <c r="BB114" i="1"/>
  <c r="BE114" i="1" s="1"/>
  <c r="AZ137" i="1"/>
  <c r="BA137" i="1"/>
  <c r="AW137" i="1"/>
  <c r="AY138" i="1" s="1"/>
  <c r="BA143" i="1"/>
  <c r="AW143" i="1"/>
  <c r="AZ143" i="1"/>
  <c r="BC111" i="1"/>
  <c r="BC112" i="1" s="1"/>
  <c r="BC113" i="1" s="1"/>
  <c r="BC114" i="1" s="1"/>
  <c r="BC115" i="1" s="1"/>
  <c r="BC116" i="1" s="1"/>
  <c r="BC117" i="1" s="1"/>
  <c r="BC118" i="1" s="1"/>
  <c r="AQ166" i="1"/>
  <c r="BE166" i="1" s="1"/>
  <c r="AQ126" i="1"/>
  <c r="BE126" i="1" s="1"/>
  <c r="AQ130" i="1"/>
  <c r="BE130" i="1" s="1"/>
  <c r="AQ99" i="1"/>
  <c r="BE99" i="1" s="1"/>
  <c r="AQ52" i="1"/>
  <c r="BE52" i="1" s="1"/>
  <c r="AQ171" i="1"/>
  <c r="BE171" i="1" s="1"/>
  <c r="AR41" i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47" i="1"/>
  <c r="BE125" i="1"/>
  <c r="AQ19" i="1"/>
  <c r="AQ15" i="1"/>
  <c r="AQ14" i="1"/>
  <c r="AQ16" i="1" s="1"/>
  <c r="AI1" i="1" s="1"/>
  <c r="BA120" i="1"/>
  <c r="AZ120" i="1"/>
  <c r="BB120" i="1" s="1"/>
  <c r="BE120" i="1" s="1"/>
  <c r="AW120" i="1"/>
  <c r="AY121" i="1" s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B119" i="1"/>
  <c r="AW138" i="1" l="1"/>
  <c r="BA138" i="1"/>
  <c r="AZ138" i="1"/>
  <c r="BB138" i="1" s="1"/>
  <c r="BE138" i="1" s="1"/>
  <c r="BB143" i="1"/>
  <c r="BE143" i="1" s="1"/>
  <c r="BB137" i="1"/>
  <c r="BE137" i="1" s="1"/>
  <c r="BF52" i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A121" i="1"/>
  <c r="AW121" i="1"/>
  <c r="AZ121" i="1"/>
  <c r="BB121" i="1" s="1"/>
  <c r="BE121" i="1" s="1"/>
  <c r="BB19" i="1"/>
  <c r="BB15" i="1"/>
  <c r="BB14" i="1"/>
  <c r="BB16" i="1" s="1"/>
  <c r="AT1" i="1" s="1"/>
  <c r="BC119" i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119" i="1"/>
  <c r="BE18" i="1" l="1"/>
  <c r="BE14" i="1"/>
  <c r="BE15" i="1"/>
  <c r="BF119" i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<sst xmlns="http://schemas.openxmlformats.org/spreadsheetml/2006/main" count="74" uniqueCount="53">
  <si>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</si>
  <si>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GOOG</t>
  </si>
  <si>
    <t>GOOGL</t>
  </si>
  <si>
    <t>GOOG log rtn</t>
  </si>
  <si>
    <t>GOOGL log rtn</t>
  </si>
  <si>
    <t>GOOG div</t>
  </si>
  <si>
    <t>GOOG div cumsum</t>
  </si>
  <si>
    <t>GOOGL div</t>
  </si>
  <si>
    <t>GOOGL div cumsum</t>
  </si>
  <si>
    <t>GOOG div adjustment</t>
  </si>
  <si>
    <t>GOOGL div adjustment</t>
  </si>
  <si>
    <t>GOOG*</t>
  </si>
  <si>
    <t>GOOGL*</t>
  </si>
  <si>
    <t>GOOGL/GOOG</t>
  </si>
  <si>
    <t>GOOGL/GOOG avg</t>
  </si>
  <si>
    <t>GOOGL/GOOG 10 dma</t>
  </si>
  <si>
    <t>GOOGL/GOOG 20 dma</t>
  </si>
  <si>
    <t>GOOG x avg</t>
  </si>
  <si>
    <t>GOOG x 10 dma</t>
  </si>
  <si>
    <t>GOOG x 20 dma</t>
  </si>
  <si>
    <t>log diff GOOG x avg / GOOGL</t>
  </si>
  <si>
    <t>log diff GOOG x 10 dma / GOOGL</t>
  </si>
  <si>
    <t>log diff GOOG x 20 dma / GOOGL</t>
  </si>
  <si>
    <t>GOOGL*/GOOG*</t>
  </si>
  <si>
    <t>GOOGL*/GOOG* avg</t>
  </si>
  <si>
    <t>GOOGL*/GOOG* 10 dma</t>
  </si>
  <si>
    <t>GOOGL*/GOOG* 20 dma</t>
  </si>
  <si>
    <t>GOOG* x avg</t>
  </si>
  <si>
    <t>GOOG* x 10 dma</t>
  </si>
  <si>
    <t>GOOG* x 20 dma</t>
  </si>
  <si>
    <t>log diff GOOG* x avg / GOOGL*</t>
  </si>
  <si>
    <t>log diff GOOG* x 10 dma / GOOGL*</t>
  </si>
  <si>
    <t>log diff GOOG* x 20 dma / GOOGL*</t>
  </si>
  <si>
    <t>enter</t>
  </si>
  <si>
    <t>row</t>
  </si>
  <si>
    <t>col</t>
  </si>
  <si>
    <t>exit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</si>
  <si>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</si>
  <si>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</si>
  <si>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</si>
  <si>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</si>
  <si>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</si>
  <si>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</si>
  <si>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</si>
  <si>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</si>
  <si>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</si>
  <si>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AI21</t>
  </si>
  <si>
    <t>AI22</t>
  </si>
  <si>
    <t>AT21</t>
  </si>
  <si>
    <t>AT22</t>
  </si>
  <si>
    <t>avg</t>
  </si>
  <si>
    <t>st dev</t>
  </si>
  <si>
    <t>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</si>
</sst>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10" xfId="1" applyFont="1" applyBorder="1"/>
    <xf numFmtId="43" fontId="0" fillId="0" borderId="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  <xf numFmtId="165" fontId="18" fillId="34" borderId="0" xfId="3" applyNumberFormat="1" applyFont="1" applyFill="1" applyAlignment="1">
      <alignment horizontal="right"/>
    </xf>
    <xf numFmtId="0" fontId="21" fillId="0" borderId="0" xfId="0" applyFont="1" applyAlignment="1">
      <alignment horizontal="left"/>
    </xf>
    <xf numFmtId="165" fontId="0" fillId="34" borderId="0" xfId="3" applyNumberFormat="1" applyFont="1" applyFill="1"/>
    <xf numFmtId="0" fontId="21" fillId="0" borderId="0" xfId="0" applyFont="1" applyAlignment="1">
      <alignment horizontal="center"/>
    </xf>
    <xf numFmtId="165" fontId="0" fillId="0" borderId="0" xfId="3" applyNumberFormat="1" applyFont="1" applyAlignment="1">
      <alignment horizontal="center"/>
    </xf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0" fontId="16" fillId="0" borderId="0" xfId="0" applyNumberFormat="1" applyFont="1"/>
    <xf numFmtId="165" fontId="16" fillId="0" borderId="0" xfId="3" applyNumberFormat="1" applyFont="1"/>
    <xf numFmtId="165" fontId="16" fillId="34" borderId="0" xfId="3" applyNumberFormat="1" applyFont="1" applyFill="1"/>
    <xf numFmtId="0" fontId="16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GOOGL/GOOG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1.0043771680406</c:v>
                </c:pt>
                <c:pt idx="1">
                  <c:v>1.0043771680406</c:v>
                </c:pt>
                <c:pt idx="2">
                  <c:v>1.0043771680406</c:v>
                </c:pt>
                <c:pt idx="3">
                  <c:v>1.0043771680406</c:v>
                </c:pt>
                <c:pt idx="4">
                  <c:v>1.0043771680406</c:v>
                </c:pt>
                <c:pt idx="5">
                  <c:v>1.0043771680406</c:v>
                </c:pt>
                <c:pt idx="6">
                  <c:v>1.0043771680406</c:v>
                </c:pt>
                <c:pt idx="7">
                  <c:v>1.0043771680406</c:v>
                </c:pt>
                <c:pt idx="8">
                  <c:v>1.0043771680406</c:v>
                </c:pt>
                <c:pt idx="9">
                  <c:v>1.0043771680406</c:v>
                </c:pt>
                <c:pt idx="10">
                  <c:v>1.0043771680406</c:v>
                </c:pt>
                <c:pt idx="11">
                  <c:v>1.0043771680406</c:v>
                </c:pt>
                <c:pt idx="12">
                  <c:v>1.0043771680406</c:v>
                </c:pt>
                <c:pt idx="13">
                  <c:v>1.0043771680406</c:v>
                </c:pt>
                <c:pt idx="14">
                  <c:v>1.0043771680406</c:v>
                </c:pt>
                <c:pt idx="15">
                  <c:v>1.0043771680406</c:v>
                </c:pt>
                <c:pt idx="16">
                  <c:v>1.0043771680406</c:v>
                </c:pt>
                <c:pt idx="17">
                  <c:v>1.0043771680406</c:v>
                </c:pt>
                <c:pt idx="18">
                  <c:v>1.0043771680406</c:v>
                </c:pt>
                <c:pt idx="19">
                  <c:v>1.0043771680406</c:v>
                </c:pt>
                <c:pt idx="20">
                  <c:v>1.0043771680406</c:v>
                </c:pt>
                <c:pt idx="21">
                  <c:v>1.0043771680406</c:v>
                </c:pt>
                <c:pt idx="22">
                  <c:v>1.0043771680406</c:v>
                </c:pt>
                <c:pt idx="23">
                  <c:v>1.0043771680406</c:v>
                </c:pt>
                <c:pt idx="24">
                  <c:v>1.0043771680406</c:v>
                </c:pt>
                <c:pt idx="25">
                  <c:v>1.0043771680406</c:v>
                </c:pt>
                <c:pt idx="26">
                  <c:v>1.0043771680406</c:v>
                </c:pt>
                <c:pt idx="27">
                  <c:v>1.0043771680406</c:v>
                </c:pt>
                <c:pt idx="28">
                  <c:v>1.0043771680406</c:v>
                </c:pt>
                <c:pt idx="29">
                  <c:v>1.0043771680406</c:v>
                </c:pt>
                <c:pt idx="30">
                  <c:v>1.0043771680406</c:v>
                </c:pt>
                <c:pt idx="31">
                  <c:v>1.0043771680406</c:v>
                </c:pt>
                <c:pt idx="32">
                  <c:v>1.0043771680406</c:v>
                </c:pt>
                <c:pt idx="33">
                  <c:v>1.0043771680406</c:v>
                </c:pt>
                <c:pt idx="34">
                  <c:v>1.0043771680406</c:v>
                </c:pt>
                <c:pt idx="35">
                  <c:v>1.0043771680406</c:v>
                </c:pt>
                <c:pt idx="36">
                  <c:v>1.0043771680406</c:v>
                </c:pt>
                <c:pt idx="37">
                  <c:v>1.0043771680406</c:v>
                </c:pt>
                <c:pt idx="38">
                  <c:v>1.0043771680406</c:v>
                </c:pt>
                <c:pt idx="39">
                  <c:v>1.0043771680406</c:v>
                </c:pt>
                <c:pt idx="40">
                  <c:v>1.0043771680406</c:v>
                </c:pt>
                <c:pt idx="41">
                  <c:v>1.0043771680406</c:v>
                </c:pt>
                <c:pt idx="42">
                  <c:v>1.0043771680406</c:v>
                </c:pt>
                <c:pt idx="43">
                  <c:v>1.0043771680406</c:v>
                </c:pt>
                <c:pt idx="44">
                  <c:v>1.0043771680406</c:v>
                </c:pt>
                <c:pt idx="45">
                  <c:v>1.0043771680406</c:v>
                </c:pt>
                <c:pt idx="46">
                  <c:v>1.0043771680406</c:v>
                </c:pt>
                <c:pt idx="47">
                  <c:v>1.0043771680406</c:v>
                </c:pt>
                <c:pt idx="48">
                  <c:v>1.0043771680406</c:v>
                </c:pt>
                <c:pt idx="49">
                  <c:v>1.0043771680406</c:v>
                </c:pt>
                <c:pt idx="50">
                  <c:v>1.0043771680406</c:v>
                </c:pt>
                <c:pt idx="51">
                  <c:v>1.0043771680406</c:v>
                </c:pt>
                <c:pt idx="52">
                  <c:v>1.0043771680406</c:v>
                </c:pt>
                <c:pt idx="53">
                  <c:v>1.0043771680406</c:v>
                </c:pt>
                <c:pt idx="54">
                  <c:v>1.0043771680406</c:v>
                </c:pt>
                <c:pt idx="55">
                  <c:v>1.0043771680406</c:v>
                </c:pt>
                <c:pt idx="56">
                  <c:v>1.0043771680406</c:v>
                </c:pt>
                <c:pt idx="57">
                  <c:v>1.0043771680406</c:v>
                </c:pt>
                <c:pt idx="58">
                  <c:v>1.0043771680406</c:v>
                </c:pt>
                <c:pt idx="59">
                  <c:v>1.0043771680406</c:v>
                </c:pt>
                <c:pt idx="60">
                  <c:v>1.0043771680406</c:v>
                </c:pt>
                <c:pt idx="61">
                  <c:v>1.0043771680406</c:v>
                </c:pt>
                <c:pt idx="62">
                  <c:v>1.0043771680406</c:v>
                </c:pt>
                <c:pt idx="63">
                  <c:v>1.0043771680406</c:v>
                </c:pt>
                <c:pt idx="64">
                  <c:v>1.0043771680406</c:v>
                </c:pt>
                <c:pt idx="65">
                  <c:v>1.0043771680406</c:v>
                </c:pt>
                <c:pt idx="66">
                  <c:v>1.0043771680406</c:v>
                </c:pt>
                <c:pt idx="67">
                  <c:v>1.0043771680406</c:v>
                </c:pt>
                <c:pt idx="68">
                  <c:v>1.0043771680406</c:v>
                </c:pt>
                <c:pt idx="69">
                  <c:v>1.0043771680406</c:v>
                </c:pt>
                <c:pt idx="70">
                  <c:v>1.0043771680406</c:v>
                </c:pt>
                <c:pt idx="71">
                  <c:v>1.0043771680406</c:v>
                </c:pt>
                <c:pt idx="72">
                  <c:v>1.0043771680406</c:v>
                </c:pt>
                <c:pt idx="73">
                  <c:v>1.0043771680406</c:v>
                </c:pt>
                <c:pt idx="74">
                  <c:v>1.0043771680406</c:v>
                </c:pt>
                <c:pt idx="75">
                  <c:v>1.0043771680406</c:v>
                </c:pt>
                <c:pt idx="76">
                  <c:v>1.0043771680406</c:v>
                </c:pt>
                <c:pt idx="77">
                  <c:v>1.0043771680406</c:v>
                </c:pt>
                <c:pt idx="78">
                  <c:v>1.0043771680406</c:v>
                </c:pt>
                <c:pt idx="79">
                  <c:v>1.0043771680406</c:v>
                </c:pt>
                <c:pt idx="80">
                  <c:v>1.0043771680406</c:v>
                </c:pt>
                <c:pt idx="81">
                  <c:v>1.0043771680406</c:v>
                </c:pt>
                <c:pt idx="82">
                  <c:v>1.0043771680406</c:v>
                </c:pt>
                <c:pt idx="83">
                  <c:v>1.0043771680406</c:v>
                </c:pt>
                <c:pt idx="84">
                  <c:v>1.0043771680406</c:v>
                </c:pt>
                <c:pt idx="85">
                  <c:v>1.0043771680406</c:v>
                </c:pt>
                <c:pt idx="86">
                  <c:v>1.0043771680406</c:v>
                </c:pt>
                <c:pt idx="87">
                  <c:v>1.0043771680406</c:v>
                </c:pt>
                <c:pt idx="88">
                  <c:v>1.0043771680406</c:v>
                </c:pt>
                <c:pt idx="89">
                  <c:v>1.0043771680406</c:v>
                </c:pt>
                <c:pt idx="90">
                  <c:v>1.0043771680406</c:v>
                </c:pt>
                <c:pt idx="91">
                  <c:v>1.0043771680406</c:v>
                </c:pt>
                <c:pt idx="92">
                  <c:v>1.0043771680406</c:v>
                </c:pt>
                <c:pt idx="93">
                  <c:v>1.0043771680406</c:v>
                </c:pt>
                <c:pt idx="94">
                  <c:v>1.0043771680406</c:v>
                </c:pt>
                <c:pt idx="95">
                  <c:v>1.0043771680406</c:v>
                </c:pt>
                <c:pt idx="96">
                  <c:v>1.0043771680406</c:v>
                </c:pt>
                <c:pt idx="97">
                  <c:v>1.0043771680406</c:v>
                </c:pt>
                <c:pt idx="98">
                  <c:v>1.0043771680406</c:v>
                </c:pt>
                <c:pt idx="99">
                  <c:v>1.0043771680406</c:v>
                </c:pt>
                <c:pt idx="100">
                  <c:v>1.0043771680406</c:v>
                </c:pt>
                <c:pt idx="101">
                  <c:v>1.0043771680406</c:v>
                </c:pt>
                <c:pt idx="102">
                  <c:v>1.0043771680406</c:v>
                </c:pt>
                <c:pt idx="103">
                  <c:v>1.0043771680406</c:v>
                </c:pt>
                <c:pt idx="104">
                  <c:v>1.0043771680406</c:v>
                </c:pt>
                <c:pt idx="105">
                  <c:v>1.0043771680406</c:v>
                </c:pt>
                <c:pt idx="106">
                  <c:v>1.0043771680406</c:v>
                </c:pt>
                <c:pt idx="107">
                  <c:v>1.0043771680406</c:v>
                </c:pt>
                <c:pt idx="108">
                  <c:v>1.0043771680406</c:v>
                </c:pt>
                <c:pt idx="109">
                  <c:v>1.0043771680406</c:v>
                </c:pt>
                <c:pt idx="110">
                  <c:v>1.0043771680406</c:v>
                </c:pt>
                <c:pt idx="111">
                  <c:v>1.0043771680406</c:v>
                </c:pt>
                <c:pt idx="112">
                  <c:v>1.0043771680406</c:v>
                </c:pt>
                <c:pt idx="113">
                  <c:v>1.0043771680406</c:v>
                </c:pt>
                <c:pt idx="114">
                  <c:v>1.0043771680406</c:v>
                </c:pt>
                <c:pt idx="115">
                  <c:v>1.0043771680406</c:v>
                </c:pt>
                <c:pt idx="116">
                  <c:v>1.0043771680406</c:v>
                </c:pt>
                <c:pt idx="117">
                  <c:v>1.0043771680406</c:v>
                </c:pt>
                <c:pt idx="118">
                  <c:v>1.0043771680406</c:v>
                </c:pt>
                <c:pt idx="119">
                  <c:v>1.0043771680406</c:v>
                </c:pt>
                <c:pt idx="120">
                  <c:v>1.0043771680406</c:v>
                </c:pt>
                <c:pt idx="121">
                  <c:v>1.0043771680406</c:v>
                </c:pt>
                <c:pt idx="122">
                  <c:v>1.0043771680406</c:v>
                </c:pt>
                <c:pt idx="123">
                  <c:v>1.0043771680406</c:v>
                </c:pt>
                <c:pt idx="124">
                  <c:v>1.0043771680406</c:v>
                </c:pt>
                <c:pt idx="125">
                  <c:v>1.0043771680406</c:v>
                </c:pt>
                <c:pt idx="126">
                  <c:v>1.0043771680406</c:v>
                </c:pt>
                <c:pt idx="127">
                  <c:v>1.0043771680406</c:v>
                </c:pt>
                <c:pt idx="128">
                  <c:v>1.0043771680406</c:v>
                </c:pt>
                <c:pt idx="129">
                  <c:v>1.0043771680406</c:v>
                </c:pt>
                <c:pt idx="130">
                  <c:v>1.0043771680406</c:v>
                </c:pt>
                <c:pt idx="131">
                  <c:v>1.0043771680406</c:v>
                </c:pt>
                <c:pt idx="132">
                  <c:v>1.0043771680406</c:v>
                </c:pt>
                <c:pt idx="133">
                  <c:v>1.0043771680406</c:v>
                </c:pt>
                <c:pt idx="134">
                  <c:v>1.0043771680406</c:v>
                </c:pt>
                <c:pt idx="135">
                  <c:v>1.0043771680406</c:v>
                </c:pt>
                <c:pt idx="136">
                  <c:v>1.0043771680406</c:v>
                </c:pt>
                <c:pt idx="137">
                  <c:v>1.0043771680406</c:v>
                </c:pt>
                <c:pt idx="138">
                  <c:v>1.0043771680406</c:v>
                </c:pt>
                <c:pt idx="139">
                  <c:v>1.0043771680406</c:v>
                </c:pt>
                <c:pt idx="140">
                  <c:v>1.0043771680406</c:v>
                </c:pt>
                <c:pt idx="141">
                  <c:v>1.0043771680406</c:v>
                </c:pt>
                <c:pt idx="142">
                  <c:v>1.0043771680406</c:v>
                </c:pt>
                <c:pt idx="143">
                  <c:v>1.0043771680406</c:v>
                </c:pt>
                <c:pt idx="144">
                  <c:v>1.0043771680406</c:v>
                </c:pt>
                <c:pt idx="145">
                  <c:v>1.0043771680406</c:v>
                </c:pt>
                <c:pt idx="146">
                  <c:v>1.0043771680406</c:v>
                </c:pt>
                <c:pt idx="147">
                  <c:v>1.0043771680406</c:v>
                </c:pt>
                <c:pt idx="148">
                  <c:v>1.0043771680406</c:v>
                </c:pt>
                <c:pt idx="149">
                  <c:v>1.0043771680406</c:v>
                </c:pt>
                <c:pt idx="150">
                  <c:v>1.0043771680406</c:v>
                </c:pt>
                <c:pt idx="151">
                  <c:v>1.0043771680406</c:v>
                </c:pt>
                <c:pt idx="152">
                  <c:v>1.0043771680406</c:v>
                </c:pt>
                <c:pt idx="153">
                  <c:v>1.0043771680406</c:v>
                </c:pt>
                <c:pt idx="154">
                  <c:v>1.0043771680406</c:v>
                </c:pt>
                <c:pt idx="155">
                  <c:v>1.0043771680406</c:v>
                </c:pt>
                <c:pt idx="156">
                  <c:v>1.0043771680406</c:v>
                </c:pt>
                <c:pt idx="157">
                  <c:v>1.0043771680406</c:v>
                </c:pt>
                <c:pt idx="158">
                  <c:v>1.0043771680406</c:v>
                </c:pt>
                <c:pt idx="159">
                  <c:v>1.0043771680406</c:v>
                </c:pt>
                <c:pt idx="160">
                  <c:v>1.0043771680406</c:v>
                </c:pt>
                <c:pt idx="161">
                  <c:v>1.0043771680406</c:v>
                </c:pt>
                <c:pt idx="162">
                  <c:v>1.0043771680406</c:v>
                </c:pt>
                <c:pt idx="163">
                  <c:v>1.0043771680406</c:v>
                </c:pt>
                <c:pt idx="164">
                  <c:v>1.0043771680406</c:v>
                </c:pt>
                <c:pt idx="165">
                  <c:v>1.0043771680406</c:v>
                </c:pt>
                <c:pt idx="166">
                  <c:v>1.0043771680406</c:v>
                </c:pt>
                <c:pt idx="167">
                  <c:v>1.0043771680406</c:v>
                </c:pt>
                <c:pt idx="168">
                  <c:v>1.0043771680406</c:v>
                </c:pt>
                <c:pt idx="169">
                  <c:v>1.0043771680406</c:v>
                </c:pt>
                <c:pt idx="170">
                  <c:v>1.0043771680406</c:v>
                </c:pt>
                <c:pt idx="171">
                  <c:v>1.0043771680406</c:v>
                </c:pt>
                <c:pt idx="172">
                  <c:v>1.0043771680406</c:v>
                </c:pt>
                <c:pt idx="173">
                  <c:v>1.0043771680406</c:v>
                </c:pt>
                <c:pt idx="174">
                  <c:v>1.0043771680406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6-41FB-A38A-E477D709C74A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GOOGL/GOOG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0.99849391642845198</c:v>
                </c:pt>
                <c:pt idx="10">
                  <c:v>0.99844490565331201</c:v>
                </c:pt>
                <c:pt idx="11">
                  <c:v>0.99864104953788402</c:v>
                </c:pt>
                <c:pt idx="12">
                  <c:v>0.99870781157889499</c:v>
                </c:pt>
                <c:pt idx="13">
                  <c:v>0.99875669848234705</c:v>
                </c:pt>
                <c:pt idx="14">
                  <c:v>0.99877930030269002</c:v>
                </c:pt>
                <c:pt idx="15">
                  <c:v>0.99885355506065798</c:v>
                </c:pt>
                <c:pt idx="16">
                  <c:v>0.99898069996906103</c:v>
                </c:pt>
                <c:pt idx="17">
                  <c:v>0.999037139515074</c:v>
                </c:pt>
                <c:pt idx="18">
                  <c:v>0.99905582615428101</c:v>
                </c:pt>
                <c:pt idx="19">
                  <c:v>0.99901332622369698</c:v>
                </c:pt>
                <c:pt idx="20">
                  <c:v>0.99876542415707903</c:v>
                </c:pt>
                <c:pt idx="21">
                  <c:v>0.99852451069862003</c:v>
                </c:pt>
                <c:pt idx="22">
                  <c:v>0.99843451249858495</c:v>
                </c:pt>
                <c:pt idx="23">
                  <c:v>0.99850104565994602</c:v>
                </c:pt>
                <c:pt idx="24">
                  <c:v>0.99857900469359895</c:v>
                </c:pt>
                <c:pt idx="25">
                  <c:v>0.998653267609797</c:v>
                </c:pt>
                <c:pt idx="26">
                  <c:v>0.99877190378585101</c:v>
                </c:pt>
                <c:pt idx="27">
                  <c:v>0.99873334906466604</c:v>
                </c:pt>
                <c:pt idx="28">
                  <c:v>0.99873481654747798</c:v>
                </c:pt>
                <c:pt idx="29">
                  <c:v>0.99879334298059097</c:v>
                </c:pt>
                <c:pt idx="30">
                  <c:v>0.99887998596382199</c:v>
                </c:pt>
                <c:pt idx="31">
                  <c:v>0.99896986667904397</c:v>
                </c:pt>
                <c:pt idx="32">
                  <c:v>0.99882597372082504</c:v>
                </c:pt>
                <c:pt idx="33">
                  <c:v>0.99887552372338995</c:v>
                </c:pt>
                <c:pt idx="34">
                  <c:v>0.99888563781283302</c:v>
                </c:pt>
                <c:pt idx="35">
                  <c:v>0.99890386620245197</c:v>
                </c:pt>
                <c:pt idx="36">
                  <c:v>0.99887802881874999</c:v>
                </c:pt>
                <c:pt idx="37">
                  <c:v>0.99907175575375196</c:v>
                </c:pt>
                <c:pt idx="38">
                  <c:v>0.99929731646292796</c:v>
                </c:pt>
                <c:pt idx="39">
                  <c:v>0.99944757541042395</c:v>
                </c:pt>
                <c:pt idx="40">
                  <c:v>0.99971834723699504</c:v>
                </c:pt>
                <c:pt idx="41">
                  <c:v>0.99981359079679699</c:v>
                </c:pt>
                <c:pt idx="42">
                  <c:v>1.00003751219665</c:v>
                </c:pt>
                <c:pt idx="43">
                  <c:v>1.0000858585633301</c:v>
                </c:pt>
                <c:pt idx="44">
                  <c:v>1.0002644002296399</c:v>
                </c:pt>
                <c:pt idx="45">
                  <c:v>1.00030667154308</c:v>
                </c:pt>
                <c:pt idx="46">
                  <c:v>1.00043898640172</c:v>
                </c:pt>
                <c:pt idx="47">
                  <c:v>1.00047623792706</c:v>
                </c:pt>
                <c:pt idx="48">
                  <c:v>1.0006422846638801</c:v>
                </c:pt>
                <c:pt idx="49">
                  <c:v>1.00096454114739</c:v>
                </c:pt>
                <c:pt idx="50">
                  <c:v>1.00144597826117</c:v>
                </c:pt>
                <c:pt idx="51">
                  <c:v>1.00200523566811</c:v>
                </c:pt>
                <c:pt idx="52">
                  <c:v>1.00247312581378</c:v>
                </c:pt>
                <c:pt idx="53">
                  <c:v>1.0031390244780101</c:v>
                </c:pt>
                <c:pt idx="54">
                  <c:v>1.0040413035351801</c:v>
                </c:pt>
                <c:pt idx="55">
                  <c:v>1.00443423376256</c:v>
                </c:pt>
                <c:pt idx="56">
                  <c:v>1.00480617163011</c:v>
                </c:pt>
                <c:pt idx="57">
                  <c:v>1.0047581543894299</c:v>
                </c:pt>
                <c:pt idx="58">
                  <c:v>1.00469800924271</c:v>
                </c:pt>
                <c:pt idx="59">
                  <c:v>1.0044553271618599</c:v>
                </c:pt>
                <c:pt idx="60">
                  <c:v>1.00421132303865</c:v>
                </c:pt>
                <c:pt idx="61">
                  <c:v>1.0046018735963</c:v>
                </c:pt>
                <c:pt idx="62">
                  <c:v>1.0045888353662</c:v>
                </c:pt>
                <c:pt idx="63">
                  <c:v>1.0046319577353799</c:v>
                </c:pt>
                <c:pt idx="64">
                  <c:v>1.00411870872039</c:v>
                </c:pt>
                <c:pt idx="65">
                  <c:v>1.0045096639192299</c:v>
                </c:pt>
                <c:pt idx="66">
                  <c:v>1.0047170422223699</c:v>
                </c:pt>
                <c:pt idx="67">
                  <c:v>1.0051343652081799</c:v>
                </c:pt>
                <c:pt idx="68">
                  <c:v>1.00558037492815</c:v>
                </c:pt>
                <c:pt idx="69">
                  <c:v>1.0061533962146101</c:v>
                </c:pt>
                <c:pt idx="70">
                  <c:v>1.00670167300364</c:v>
                </c:pt>
                <c:pt idx="71">
                  <c:v>1.0068339695247399</c:v>
                </c:pt>
                <c:pt idx="72">
                  <c:v>1.0070608610859</c:v>
                </c:pt>
                <c:pt idx="73">
                  <c:v>1.00688035474647</c:v>
                </c:pt>
                <c:pt idx="74">
                  <c:v>1.00692768013445</c:v>
                </c:pt>
                <c:pt idx="75">
                  <c:v>1.00657874619389</c:v>
                </c:pt>
                <c:pt idx="76">
                  <c:v>1.0062461724876299</c:v>
                </c:pt>
                <c:pt idx="77">
                  <c:v>1.00637235184014</c:v>
                </c:pt>
                <c:pt idx="78">
                  <c:v>1.0062366859080401</c:v>
                </c:pt>
                <c:pt idx="79">
                  <c:v>1.00618797918765</c:v>
                </c:pt>
                <c:pt idx="80">
                  <c:v>1.00615292949229</c:v>
                </c:pt>
                <c:pt idx="81">
                  <c:v>1.00592508766629</c:v>
                </c:pt>
                <c:pt idx="82">
                  <c:v>1.00589785233323</c:v>
                </c:pt>
                <c:pt idx="83">
                  <c:v>1.0062464872355601</c:v>
                </c:pt>
                <c:pt idx="84">
                  <c:v>1.0067783286079801</c:v>
                </c:pt>
                <c:pt idx="85">
                  <c:v>1.0070414554244</c:v>
                </c:pt>
                <c:pt idx="86">
                  <c:v>1.00738442349313</c:v>
                </c:pt>
                <c:pt idx="87">
                  <c:v>1.0077212703232199</c:v>
                </c:pt>
                <c:pt idx="88">
                  <c:v>1.0076825536092899</c:v>
                </c:pt>
                <c:pt idx="89">
                  <c:v>1.0079461404450001</c:v>
                </c:pt>
                <c:pt idx="90">
                  <c:v>1.00808604504504</c:v>
                </c:pt>
                <c:pt idx="91">
                  <c:v>1.0083191836086101</c:v>
                </c:pt>
                <c:pt idx="92">
                  <c:v>1.00855433606033</c:v>
                </c:pt>
                <c:pt idx="93">
                  <c:v>1.0085777172144701</c:v>
                </c:pt>
                <c:pt idx="94">
                  <c:v>1.0082122144333501</c:v>
                </c:pt>
                <c:pt idx="95">
                  <c:v>1.0085201263871799</c:v>
                </c:pt>
                <c:pt idx="96">
                  <c:v>1.00893228448461</c:v>
                </c:pt>
                <c:pt idx="97">
                  <c:v>1.00893409982594</c:v>
                </c:pt>
                <c:pt idx="98">
                  <c:v>1.00950039526965</c:v>
                </c:pt>
                <c:pt idx="99">
                  <c:v>1.0096201133296701</c:v>
                </c:pt>
                <c:pt idx="100">
                  <c:v>1.00976149740437</c:v>
                </c:pt>
                <c:pt idx="101">
                  <c:v>1.0098182558628499</c:v>
                </c:pt>
                <c:pt idx="102">
                  <c:v>1.00995579622454</c:v>
                </c:pt>
                <c:pt idx="103">
                  <c:v>1.00994694293986</c:v>
                </c:pt>
                <c:pt idx="104">
                  <c:v>1.01016048535707</c:v>
                </c:pt>
                <c:pt idx="105">
                  <c:v>1.0099094056267801</c:v>
                </c:pt>
                <c:pt idx="106">
                  <c:v>1.0095740789124901</c:v>
                </c:pt>
                <c:pt idx="107">
                  <c:v>1.0092203168970799</c:v>
                </c:pt>
                <c:pt idx="108">
                  <c:v>1.0087142932562001</c:v>
                </c:pt>
                <c:pt idx="109">
                  <c:v>1.0085409436703101</c:v>
                </c:pt>
                <c:pt idx="110">
                  <c:v>1.00784176025345</c:v>
                </c:pt>
                <c:pt idx="111">
                  <c:v>1.0072274458514701</c:v>
                </c:pt>
                <c:pt idx="112">
                  <c:v>1.00682038599109</c:v>
                </c:pt>
                <c:pt idx="113">
                  <c:v>1.00643431593163</c:v>
                </c:pt>
                <c:pt idx="114">
                  <c:v>1.00597042604578</c:v>
                </c:pt>
                <c:pt idx="115">
                  <c:v>1.0053347956540699</c:v>
                </c:pt>
                <c:pt idx="116">
                  <c:v>1.00483551076391</c:v>
                </c:pt>
                <c:pt idx="117">
                  <c:v>1.0042574395320101</c:v>
                </c:pt>
                <c:pt idx="118">
                  <c:v>1.00378613161595</c:v>
                </c:pt>
                <c:pt idx="119">
                  <c:v>1.00336425886616</c:v>
                </c:pt>
                <c:pt idx="120">
                  <c:v>1.0038316217039001</c:v>
                </c:pt>
                <c:pt idx="121">
                  <c:v>1.00408190584297</c:v>
                </c:pt>
                <c:pt idx="122">
                  <c:v>1.0046151415179601</c:v>
                </c:pt>
                <c:pt idx="123">
                  <c:v>1.0049634421911899</c:v>
                </c:pt>
                <c:pt idx="124">
                  <c:v>1.00554394360522</c:v>
                </c:pt>
                <c:pt idx="125">
                  <c:v>1.00581633906821</c:v>
                </c:pt>
                <c:pt idx="126">
                  <c:v>1.0064960889499199</c:v>
                </c:pt>
                <c:pt idx="127">
                  <c:v>1.0073765147193099</c:v>
                </c:pt>
                <c:pt idx="128">
                  <c:v>1.0080479398818001</c:v>
                </c:pt>
                <c:pt idx="129">
                  <c:v>1.0082093248406601</c:v>
                </c:pt>
                <c:pt idx="130">
                  <c:v>1.0079273180186401</c:v>
                </c:pt>
                <c:pt idx="131">
                  <c:v>1.007862722864</c:v>
                </c:pt>
                <c:pt idx="132">
                  <c:v>1.0069110988927801</c:v>
                </c:pt>
                <c:pt idx="133">
                  <c:v>1.0061671539791099</c:v>
                </c:pt>
                <c:pt idx="134">
                  <c:v>1.00530772680512</c:v>
                </c:pt>
                <c:pt idx="135">
                  <c:v>1.0050566645905401</c:v>
                </c:pt>
                <c:pt idx="136">
                  <c:v>1.00439617676032</c:v>
                </c:pt>
                <c:pt idx="137">
                  <c:v>1.0035539488973499</c:v>
                </c:pt>
                <c:pt idx="138">
                  <c:v>1.00260588416181</c:v>
                </c:pt>
                <c:pt idx="139">
                  <c:v>1.00220400581904</c:v>
                </c:pt>
                <c:pt idx="140">
                  <c:v>1.00167623384725</c:v>
                </c:pt>
                <c:pt idx="141">
                  <c:v>1.00139988774461</c:v>
                </c:pt>
                <c:pt idx="142">
                  <c:v>1.0014910448979299</c:v>
                </c:pt>
                <c:pt idx="143">
                  <c:v>1.00130133670846</c:v>
                </c:pt>
                <c:pt idx="144">
                  <c:v>1.0009677393627201</c:v>
                </c:pt>
                <c:pt idx="145">
                  <c:v>1.00107050430796</c:v>
                </c:pt>
                <c:pt idx="146">
                  <c:v>1.0014059613602</c:v>
                </c:pt>
                <c:pt idx="147">
                  <c:v>1.0019919741894801</c:v>
                </c:pt>
                <c:pt idx="148">
                  <c:v>1.0025130222837799</c:v>
                </c:pt>
                <c:pt idx="149">
                  <c:v>1.0025441328355</c:v>
                </c:pt>
                <c:pt idx="150">
                  <c:v>1.00301931726829</c:v>
                </c:pt>
                <c:pt idx="151">
                  <c:v>1.0029188192046199</c:v>
                </c:pt>
                <c:pt idx="152">
                  <c:v>1.0029776145585001</c:v>
                </c:pt>
                <c:pt idx="153">
                  <c:v>1.00368721941994</c:v>
                </c:pt>
                <c:pt idx="154">
                  <c:v>1.00451998575339</c:v>
                </c:pt>
                <c:pt idx="155">
                  <c:v>1.0049875836886799</c:v>
                </c:pt>
                <c:pt idx="156">
                  <c:v>1.0052304247038899</c:v>
                </c:pt>
                <c:pt idx="157">
                  <c:v>1.00547558265465</c:v>
                </c:pt>
                <c:pt idx="158">
                  <c:v>1.0058890558445699</c:v>
                </c:pt>
                <c:pt idx="159">
                  <c:v>1.00655255849234</c:v>
                </c:pt>
                <c:pt idx="160">
                  <c:v>1.0070874300089201</c:v>
                </c:pt>
                <c:pt idx="161">
                  <c:v>1.0079085423165699</c:v>
                </c:pt>
                <c:pt idx="162">
                  <c:v>1.0084220117216001</c:v>
                </c:pt>
                <c:pt idx="163">
                  <c:v>1.0085889700501101</c:v>
                </c:pt>
                <c:pt idx="164">
                  <c:v>1.00898401612158</c:v>
                </c:pt>
                <c:pt idx="165">
                  <c:v>1.00941188280093</c:v>
                </c:pt>
                <c:pt idx="166">
                  <c:v>1.00945680140031</c:v>
                </c:pt>
                <c:pt idx="167">
                  <c:v>1.00957364430404</c:v>
                </c:pt>
                <c:pt idx="168">
                  <c:v>1.00984602044941</c:v>
                </c:pt>
                <c:pt idx="169">
                  <c:v>1.0098871321508001</c:v>
                </c:pt>
                <c:pt idx="170">
                  <c:v>1.00976868266982</c:v>
                </c:pt>
                <c:pt idx="171">
                  <c:v>1.00940560651704</c:v>
                </c:pt>
                <c:pt idx="172">
                  <c:v>1.0092193080066501</c:v>
                </c:pt>
                <c:pt idx="173">
                  <c:v>1.00925796499547</c:v>
                </c:pt>
                <c:pt idx="174">
                  <c:v>1.00924042980211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6-41FB-A38A-E477D709C74A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GOOGL/GOOG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0.99875362132607404</c:v>
                </c:pt>
                <c:pt idx="20">
                  <c:v>0.99860516490519502</c:v>
                </c:pt>
                <c:pt idx="21">
                  <c:v>0.99858278011825197</c:v>
                </c:pt>
                <c:pt idx="22">
                  <c:v>0.99857116203873997</c:v>
                </c:pt>
                <c:pt idx="23">
                  <c:v>0.99862887207114603</c:v>
                </c:pt>
                <c:pt idx="24">
                  <c:v>0.99867915249814398</c:v>
                </c:pt>
                <c:pt idx="25">
                  <c:v>0.99875341133522699</c:v>
                </c:pt>
                <c:pt idx="26">
                  <c:v>0.99887630187745602</c:v>
                </c:pt>
                <c:pt idx="27">
                  <c:v>0.99888524428987002</c:v>
                </c:pt>
                <c:pt idx="28">
                  <c:v>0.998895321350879</c:v>
                </c:pt>
                <c:pt idx="29">
                  <c:v>0.99890333460214398</c:v>
                </c:pt>
                <c:pt idx="30">
                  <c:v>0.99882270506045001</c:v>
                </c:pt>
                <c:pt idx="31">
                  <c:v>0.99874718868883205</c:v>
                </c:pt>
                <c:pt idx="32">
                  <c:v>0.99863024310970405</c:v>
                </c:pt>
                <c:pt idx="33">
                  <c:v>0.99868828469166804</c:v>
                </c:pt>
                <c:pt idx="34">
                  <c:v>0.99873232125321598</c:v>
                </c:pt>
                <c:pt idx="35">
                  <c:v>0.99877856690612399</c:v>
                </c:pt>
                <c:pt idx="36">
                  <c:v>0.9988249663023</c:v>
                </c:pt>
                <c:pt idx="37">
                  <c:v>0.998902552409209</c:v>
                </c:pt>
                <c:pt idx="38">
                  <c:v>0.99901606650520303</c:v>
                </c:pt>
                <c:pt idx="39">
                  <c:v>0.99912045919550696</c:v>
                </c:pt>
                <c:pt idx="40">
                  <c:v>0.99929916660040796</c:v>
                </c:pt>
                <c:pt idx="41">
                  <c:v>0.99939172873792104</c:v>
                </c:pt>
                <c:pt idx="42">
                  <c:v>0.99943174295873904</c:v>
                </c:pt>
                <c:pt idx="43">
                  <c:v>0.99948069114336302</c:v>
                </c:pt>
                <c:pt idx="44">
                  <c:v>0.99957501902123902</c:v>
                </c:pt>
                <c:pt idx="45">
                  <c:v>0.99960526887276802</c:v>
                </c:pt>
                <c:pt idx="46">
                  <c:v>0.999658507610237</c:v>
                </c:pt>
                <c:pt idx="47">
                  <c:v>0.99977399684040902</c:v>
                </c:pt>
                <c:pt idx="48">
                  <c:v>0.99996980056340801</c:v>
                </c:pt>
                <c:pt idx="49">
                  <c:v>1.0002060582789101</c:v>
                </c:pt>
                <c:pt idx="50">
                  <c:v>1.0005821627490801</c:v>
                </c:pt>
                <c:pt idx="51">
                  <c:v>1.0009094132324501</c:v>
                </c:pt>
                <c:pt idx="52">
                  <c:v>1.00125531900521</c:v>
                </c:pt>
                <c:pt idx="53">
                  <c:v>1.00161244152067</c:v>
                </c:pt>
                <c:pt idx="54">
                  <c:v>1.0021528518824101</c:v>
                </c:pt>
                <c:pt idx="55">
                  <c:v>1.0023704526528201</c:v>
                </c:pt>
                <c:pt idx="56">
                  <c:v>1.00262257901591</c:v>
                </c:pt>
                <c:pt idx="57">
                  <c:v>1.00261719615825</c:v>
                </c:pt>
                <c:pt idx="58">
                  <c:v>1.0026701469532999</c:v>
                </c:pt>
                <c:pt idx="59">
                  <c:v>1.0027099341546299</c:v>
                </c:pt>
                <c:pt idx="60">
                  <c:v>1.00282865064991</c:v>
                </c:pt>
                <c:pt idx="61">
                  <c:v>1.0033035546322</c:v>
                </c:pt>
                <c:pt idx="62">
                  <c:v>1.0035309805899899</c:v>
                </c:pt>
                <c:pt idx="63">
                  <c:v>1.0038854911066899</c:v>
                </c:pt>
                <c:pt idx="64">
                  <c:v>1.0040800061277899</c:v>
                </c:pt>
                <c:pt idx="65">
                  <c:v>1.00447194884089</c:v>
                </c:pt>
                <c:pt idx="66">
                  <c:v>1.0047616069262399</c:v>
                </c:pt>
                <c:pt idx="67">
                  <c:v>1.0049462597988099</c:v>
                </c:pt>
                <c:pt idx="68">
                  <c:v>1.00513919208543</c:v>
                </c:pt>
                <c:pt idx="69">
                  <c:v>1.00530436168823</c:v>
                </c:pt>
                <c:pt idx="70">
                  <c:v>1.00545649802114</c:v>
                </c:pt>
                <c:pt idx="71">
                  <c:v>1.0057179215605201</c:v>
                </c:pt>
                <c:pt idx="72">
                  <c:v>1.0058248482260499</c:v>
                </c:pt>
                <c:pt idx="73">
                  <c:v>1.0057561562409301</c:v>
                </c:pt>
                <c:pt idx="74">
                  <c:v>1.0055231944274201</c:v>
                </c:pt>
                <c:pt idx="75">
                  <c:v>1.0055442050565599</c:v>
                </c:pt>
                <c:pt idx="76">
                  <c:v>1.0054816073549999</c:v>
                </c:pt>
                <c:pt idx="77">
                  <c:v>1.00575335852416</c:v>
                </c:pt>
                <c:pt idx="78">
                  <c:v>1.0059085304180999</c:v>
                </c:pt>
                <c:pt idx="79">
                  <c:v>1.0061706877011301</c:v>
                </c:pt>
                <c:pt idx="80">
                  <c:v>1.0064273012479701</c:v>
                </c:pt>
                <c:pt idx="81">
                  <c:v>1.0063795285955199</c:v>
                </c:pt>
                <c:pt idx="82">
                  <c:v>1.00647935670956</c:v>
                </c:pt>
                <c:pt idx="83">
                  <c:v>1.0065634209910199</c:v>
                </c:pt>
                <c:pt idx="84">
                  <c:v>1.0068530043712101</c:v>
                </c:pt>
                <c:pt idx="85">
                  <c:v>1.0068101008091399</c:v>
                </c:pt>
                <c:pt idx="86">
                  <c:v>1.0068152979903799</c:v>
                </c:pt>
                <c:pt idx="87">
                  <c:v>1.0070468110816799</c:v>
                </c:pt>
                <c:pt idx="88">
                  <c:v>1.0069596197586701</c:v>
                </c:pt>
                <c:pt idx="89">
                  <c:v>1.00706705981633</c:v>
                </c:pt>
                <c:pt idx="90">
                  <c:v>1.00711948726867</c:v>
                </c:pt>
                <c:pt idx="91">
                  <c:v>1.00712213563745</c:v>
                </c:pt>
                <c:pt idx="92">
                  <c:v>1.0072260941967801</c:v>
                </c:pt>
                <c:pt idx="93">
                  <c:v>1.00741210222502</c:v>
                </c:pt>
                <c:pt idx="94">
                  <c:v>1.00749527152066</c:v>
                </c:pt>
                <c:pt idx="95">
                  <c:v>1.0077807909057901</c:v>
                </c:pt>
                <c:pt idx="96">
                  <c:v>1.0081583539888701</c:v>
                </c:pt>
                <c:pt idx="97">
                  <c:v>1.0083276850745799</c:v>
                </c:pt>
                <c:pt idx="98">
                  <c:v>1.0085914744394699</c:v>
                </c:pt>
                <c:pt idx="99">
                  <c:v>1.00878312688733</c:v>
                </c:pt>
                <c:pt idx="100">
                  <c:v>1.0089237712247101</c:v>
                </c:pt>
                <c:pt idx="101">
                  <c:v>1.00906871973573</c:v>
                </c:pt>
                <c:pt idx="102">
                  <c:v>1.00925506614244</c:v>
                </c:pt>
                <c:pt idx="103">
                  <c:v>1.0092623300771699</c:v>
                </c:pt>
                <c:pt idx="104">
                  <c:v>1.0091863498952101</c:v>
                </c:pt>
                <c:pt idx="105">
                  <c:v>1.0092147660069799</c:v>
                </c:pt>
                <c:pt idx="106">
                  <c:v>1.0092531816985499</c:v>
                </c:pt>
                <c:pt idx="107">
                  <c:v>1.00907720836151</c:v>
                </c:pt>
                <c:pt idx="108">
                  <c:v>1.0091073442629199</c:v>
                </c:pt>
                <c:pt idx="109">
                  <c:v>1.00908052849999</c:v>
                </c:pt>
                <c:pt idx="110">
                  <c:v>1.0088016288289099</c:v>
                </c:pt>
                <c:pt idx="111">
                  <c:v>1.00852285085716</c:v>
                </c:pt>
                <c:pt idx="112">
                  <c:v>1.00838809110782</c:v>
                </c:pt>
                <c:pt idx="113">
                  <c:v>1.0081906294357399</c:v>
                </c:pt>
                <c:pt idx="114">
                  <c:v>1.0080654557014199</c:v>
                </c:pt>
                <c:pt idx="115">
                  <c:v>1.00762210064042</c:v>
                </c:pt>
                <c:pt idx="116">
                  <c:v>1.0072047948381999</c:v>
                </c:pt>
                <c:pt idx="117">
                  <c:v>1.0067388782145501</c:v>
                </c:pt>
                <c:pt idx="118">
                  <c:v>1.0062502124360799</c:v>
                </c:pt>
                <c:pt idx="119">
                  <c:v>1.00595260126824</c:v>
                </c:pt>
                <c:pt idx="120">
                  <c:v>1.00583669097867</c:v>
                </c:pt>
                <c:pt idx="121">
                  <c:v>1.00565467584722</c:v>
                </c:pt>
                <c:pt idx="122">
                  <c:v>1.00571776375452</c:v>
                </c:pt>
                <c:pt idx="123">
                  <c:v>1.0056988790614101</c:v>
                </c:pt>
                <c:pt idx="124">
                  <c:v>1.0057571848255</c:v>
                </c:pt>
                <c:pt idx="125">
                  <c:v>1.00557556736114</c:v>
                </c:pt>
                <c:pt idx="126">
                  <c:v>1.0056657998569201</c:v>
                </c:pt>
                <c:pt idx="127">
                  <c:v>1.00581697712566</c:v>
                </c:pt>
                <c:pt idx="128">
                  <c:v>1.00591703574888</c:v>
                </c:pt>
                <c:pt idx="129">
                  <c:v>1.00578679185341</c:v>
                </c:pt>
                <c:pt idx="130">
                  <c:v>1.0058794698612701</c:v>
                </c:pt>
                <c:pt idx="131">
                  <c:v>1.00597231435348</c:v>
                </c:pt>
                <c:pt idx="132">
                  <c:v>1.0057631202053701</c:v>
                </c:pt>
                <c:pt idx="133">
                  <c:v>1.0055652980851499</c:v>
                </c:pt>
                <c:pt idx="134">
                  <c:v>1.0054258352051699</c:v>
                </c:pt>
                <c:pt idx="135">
                  <c:v>1.00543650182938</c:v>
                </c:pt>
                <c:pt idx="136">
                  <c:v>1.0054461328551201</c:v>
                </c:pt>
                <c:pt idx="137">
                  <c:v>1.0054652318083299</c:v>
                </c:pt>
                <c:pt idx="138">
                  <c:v>1.0053269120218</c:v>
                </c:pt>
                <c:pt idx="139">
                  <c:v>1.0052066653298499</c:v>
                </c:pt>
                <c:pt idx="140">
                  <c:v>1.0048017759329499</c:v>
                </c:pt>
                <c:pt idx="141">
                  <c:v>1.0046313053042999</c:v>
                </c:pt>
                <c:pt idx="142">
                  <c:v>1.00420107189536</c:v>
                </c:pt>
                <c:pt idx="143">
                  <c:v>1.0037342453437801</c:v>
                </c:pt>
                <c:pt idx="144">
                  <c:v>1.00313773308392</c:v>
                </c:pt>
                <c:pt idx="145">
                  <c:v>1.0030635844492499</c:v>
                </c:pt>
                <c:pt idx="146">
                  <c:v>1.00290106906026</c:v>
                </c:pt>
                <c:pt idx="147">
                  <c:v>1.00277296154342</c:v>
                </c:pt>
                <c:pt idx="148">
                  <c:v>1.0025594532227999</c:v>
                </c:pt>
                <c:pt idx="149">
                  <c:v>1.00237406932727</c:v>
                </c:pt>
                <c:pt idx="150">
                  <c:v>1.0023477755577701</c:v>
                </c:pt>
                <c:pt idx="151">
                  <c:v>1.00215935347461</c:v>
                </c:pt>
                <c:pt idx="152">
                  <c:v>1.0022343297282199</c:v>
                </c:pt>
                <c:pt idx="153">
                  <c:v>1.0024942780642001</c:v>
                </c:pt>
                <c:pt idx="154">
                  <c:v>1.00274386255806</c:v>
                </c:pt>
                <c:pt idx="155">
                  <c:v>1.00302904399832</c:v>
                </c:pt>
                <c:pt idx="156">
                  <c:v>1.0033181930320401</c:v>
                </c:pt>
                <c:pt idx="157">
                  <c:v>1.0037337784220699</c:v>
                </c:pt>
                <c:pt idx="158">
                  <c:v>1.00420103906418</c:v>
                </c:pt>
                <c:pt idx="159">
                  <c:v>1.0045483456639199</c:v>
                </c:pt>
                <c:pt idx="160">
                  <c:v>1.0050533736386</c:v>
                </c:pt>
                <c:pt idx="161">
                  <c:v>1.00541368076059</c:v>
                </c:pt>
                <c:pt idx="162">
                  <c:v>1.0056998131400501</c:v>
                </c:pt>
                <c:pt idx="163">
                  <c:v>1.00613809473503</c:v>
                </c:pt>
                <c:pt idx="164">
                  <c:v>1.00675200093748</c:v>
                </c:pt>
                <c:pt idx="165">
                  <c:v>1.0071997332448099</c:v>
                </c:pt>
                <c:pt idx="166">
                  <c:v>1.0073436130521001</c:v>
                </c:pt>
                <c:pt idx="167">
                  <c:v>1.0075246134793401</c:v>
                </c:pt>
                <c:pt idx="168">
                  <c:v>1.0078675381469899</c:v>
                </c:pt>
                <c:pt idx="169">
                  <c:v>1.0082198453215701</c:v>
                </c:pt>
                <c:pt idx="170">
                  <c:v>1.0084280563393699</c:v>
                </c:pt>
                <c:pt idx="171">
                  <c:v>1.00865707441681</c:v>
                </c:pt>
                <c:pt idx="172">
                  <c:v>1.0088206598641301</c:v>
                </c:pt>
                <c:pt idx="173">
                  <c:v>1.0089234675227901</c:v>
                </c:pt>
                <c:pt idx="174">
                  <c:v>1.0091122229618501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6-41FB-A38A-E477D709C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GOOG* x avg / GOOGL*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6.8287286327171799E-3</c:v>
                </c:pt>
                <c:pt idx="2">
                  <c:v>5.0354594719075199E-3</c:v>
                </c:pt>
                <c:pt idx="3">
                  <c:v>5.7642427024792303E-3</c:v>
                </c:pt>
                <c:pt idx="4">
                  <c:v>6.1175589867267901E-3</c:v>
                </c:pt>
                <c:pt idx="5">
                  <c:v>6.1009032448997901E-3</c:v>
                </c:pt>
                <c:pt idx="6">
                  <c:v>6.9857731541703699E-3</c:v>
                </c:pt>
                <c:pt idx="7">
                  <c:v>5.7358495120305398E-3</c:v>
                </c:pt>
                <c:pt idx="8">
                  <c:v>5.7661136912038101E-3</c:v>
                </c:pt>
                <c:pt idx="9">
                  <c:v>5.5088601838308299E-3</c:v>
                </c:pt>
                <c:pt idx="10">
                  <c:v>5.3973887364704596E-3</c:v>
                </c:pt>
                <c:pt idx="11">
                  <c:v>4.86438710284255E-3</c:v>
                </c:pt>
                <c:pt idx="12">
                  <c:v>4.3676161040520798E-3</c:v>
                </c:pt>
                <c:pt idx="13">
                  <c:v>5.27481021507753E-3</c:v>
                </c:pt>
                <c:pt idx="14">
                  <c:v>5.8911705458747701E-3</c:v>
                </c:pt>
                <c:pt idx="15">
                  <c:v>5.3573440096917301E-3</c:v>
                </c:pt>
                <c:pt idx="16">
                  <c:v>5.7118027002925498E-3</c:v>
                </c:pt>
                <c:pt idx="17">
                  <c:v>5.17084094605854E-3</c:v>
                </c:pt>
                <c:pt idx="18">
                  <c:v>5.57900329034934E-3</c:v>
                </c:pt>
                <c:pt idx="19">
                  <c:v>5.9344353387518201E-3</c:v>
                </c:pt>
                <c:pt idx="20">
                  <c:v>7.8820477554423195E-3</c:v>
                </c:pt>
                <c:pt idx="21">
                  <c:v>7.2776282985348301E-3</c:v>
                </c:pt>
                <c:pt idx="22">
                  <c:v>5.2680033313619503E-3</c:v>
                </c:pt>
                <c:pt idx="23">
                  <c:v>4.6090963793054499E-3</c:v>
                </c:pt>
                <c:pt idx="24">
                  <c:v>5.1106962051214802E-3</c:v>
                </c:pt>
                <c:pt idx="25">
                  <c:v>4.6142556416200898E-3</c:v>
                </c:pt>
                <c:pt idx="26">
                  <c:v>4.5245502391177798E-3</c:v>
                </c:pt>
                <c:pt idx="27">
                  <c:v>5.5567724253852303E-3</c:v>
                </c:pt>
                <c:pt idx="28">
                  <c:v>5.56431078249947E-3</c:v>
                </c:pt>
                <c:pt idx="29">
                  <c:v>5.3484250230359997E-3</c:v>
                </c:pt>
                <c:pt idx="30">
                  <c:v>7.0129453366350302E-3</c:v>
                </c:pt>
                <c:pt idx="31">
                  <c:v>6.3766078380938203E-3</c:v>
                </c:pt>
                <c:pt idx="32">
                  <c:v>6.7092672128078101E-3</c:v>
                </c:pt>
                <c:pt idx="33">
                  <c:v>4.1135994645962503E-3</c:v>
                </c:pt>
                <c:pt idx="34">
                  <c:v>5.0094852489751896E-3</c:v>
                </c:pt>
                <c:pt idx="35">
                  <c:v>4.4319434013629696E-3</c:v>
                </c:pt>
                <c:pt idx="36">
                  <c:v>4.7829980217400196E-3</c:v>
                </c:pt>
                <c:pt idx="37">
                  <c:v>3.6190765348224998E-3</c:v>
                </c:pt>
                <c:pt idx="38">
                  <c:v>3.3085489468619601E-3</c:v>
                </c:pt>
                <c:pt idx="39">
                  <c:v>3.8454910432413301E-3</c:v>
                </c:pt>
                <c:pt idx="40">
                  <c:v>4.3017334410511802E-3</c:v>
                </c:pt>
                <c:pt idx="41">
                  <c:v>5.42271198484621E-3</c:v>
                </c:pt>
                <c:pt idx="42">
                  <c:v>4.4673186581819201E-3</c:v>
                </c:pt>
                <c:pt idx="43">
                  <c:v>3.6303753615681898E-3</c:v>
                </c:pt>
                <c:pt idx="44">
                  <c:v>3.2245162196310601E-3</c:v>
                </c:pt>
                <c:pt idx="45">
                  <c:v>4.0092924036204004E-3</c:v>
                </c:pt>
                <c:pt idx="46">
                  <c:v>3.4601750254489201E-3</c:v>
                </c:pt>
                <c:pt idx="47">
                  <c:v>3.2469092822898699E-3</c:v>
                </c:pt>
                <c:pt idx="48">
                  <c:v>1.65121333391602E-3</c:v>
                </c:pt>
                <c:pt idx="49">
                  <c:v>6.2978428241381595E-4</c:v>
                </c:pt>
                <c:pt idx="50">
                  <c:v>-5.0077002074506896E-4</c:v>
                </c:pt>
                <c:pt idx="51">
                  <c:v>-1.6015266958415699E-4</c:v>
                </c:pt>
                <c:pt idx="52">
                  <c:v>-2.0113511234108499E-4</c:v>
                </c:pt>
                <c:pt idx="53">
                  <c:v>-3.0016631483426202E-3</c:v>
                </c:pt>
                <c:pt idx="54">
                  <c:v>-5.7475962483617797E-3</c:v>
                </c:pt>
                <c:pt idx="55">
                  <c:v>8.9091876615620498E-5</c:v>
                </c:pt>
                <c:pt idx="56">
                  <c:v>-2.4894277387792901E-4</c:v>
                </c:pt>
                <c:pt idx="57">
                  <c:v>3.7266589194123001E-3</c:v>
                </c:pt>
                <c:pt idx="58">
                  <c:v>2.25121319767457E-3</c:v>
                </c:pt>
                <c:pt idx="59">
                  <c:v>3.0504784922945798E-3</c:v>
                </c:pt>
                <c:pt idx="60">
                  <c:v>1.9303738544483499E-3</c:v>
                </c:pt>
                <c:pt idx="61">
                  <c:v>-4.0404767876332003E-3</c:v>
                </c:pt>
                <c:pt idx="62">
                  <c:v>-7.1338713745162501E-5</c:v>
                </c:pt>
                <c:pt idx="63">
                  <c:v>-3.4296291222351799E-3</c:v>
                </c:pt>
                <c:pt idx="64">
                  <c:v>-6.5380930455188695E-4</c:v>
                </c:pt>
                <c:pt idx="65">
                  <c:v>-3.7962111570315998E-3</c:v>
                </c:pt>
                <c:pt idx="66">
                  <c:v>-2.3110465306345001E-3</c:v>
                </c:pt>
                <c:pt idx="67">
                  <c:v>-4.3522427086505901E-4</c:v>
                </c:pt>
                <c:pt idx="68">
                  <c:v>-2.18957968823393E-3</c:v>
                </c:pt>
                <c:pt idx="69">
                  <c:v>-2.6558795873227801E-3</c:v>
                </c:pt>
                <c:pt idx="70">
                  <c:v>-3.5241445042369099E-3</c:v>
                </c:pt>
                <c:pt idx="71">
                  <c:v>-5.3515052441554202E-3</c:v>
                </c:pt>
                <c:pt idx="72">
                  <c:v>-2.3276576290330998E-3</c:v>
                </c:pt>
                <c:pt idx="73">
                  <c:v>-1.6369796846684001E-3</c:v>
                </c:pt>
                <c:pt idx="74">
                  <c:v>-1.12458190097914E-3</c:v>
                </c:pt>
                <c:pt idx="75">
                  <c:v>-3.2923914447737001E-4</c:v>
                </c:pt>
                <c:pt idx="76">
                  <c:v>9.9802199597275694E-4</c:v>
                </c:pt>
                <c:pt idx="77">
                  <c:v>-1.69018434096212E-3</c:v>
                </c:pt>
                <c:pt idx="78">
                  <c:v>-8.4087805636307998E-4</c:v>
                </c:pt>
                <c:pt idx="79">
                  <c:v>-2.1721043121461199E-3</c:v>
                </c:pt>
                <c:pt idx="80">
                  <c:v>-3.1763422266748499E-3</c:v>
                </c:pt>
                <c:pt idx="81">
                  <c:v>-3.09257448023142E-3</c:v>
                </c:pt>
                <c:pt idx="82">
                  <c:v>-2.0570850862886201E-3</c:v>
                </c:pt>
                <c:pt idx="83">
                  <c:v>-5.0964663855799699E-3</c:v>
                </c:pt>
                <c:pt idx="84">
                  <c:v>-6.3999267779167E-3</c:v>
                </c:pt>
                <c:pt idx="85">
                  <c:v>-2.9447541576503402E-3</c:v>
                </c:pt>
                <c:pt idx="86">
                  <c:v>-2.41429293395117E-3</c:v>
                </c:pt>
                <c:pt idx="87">
                  <c:v>-5.03271632538303E-3</c:v>
                </c:pt>
                <c:pt idx="88">
                  <c:v>-4.5564804081605899E-4</c:v>
                </c:pt>
                <c:pt idx="89">
                  <c:v>-4.7873682837582497E-3</c:v>
                </c:pt>
                <c:pt idx="90">
                  <c:v>-4.5639104749586098E-3</c:v>
                </c:pt>
                <c:pt idx="91">
                  <c:v>-5.4039589414135404E-3</c:v>
                </c:pt>
                <c:pt idx="92">
                  <c:v>-4.3908248986184398E-3</c:v>
                </c:pt>
                <c:pt idx="93">
                  <c:v>-5.3280487361682498E-3</c:v>
                </c:pt>
                <c:pt idx="94">
                  <c:v>-2.7774904043767401E-3</c:v>
                </c:pt>
                <c:pt idx="95">
                  <c:v>-5.9967779884029402E-3</c:v>
                </c:pt>
                <c:pt idx="96">
                  <c:v>-6.4996598045342999E-3</c:v>
                </c:pt>
                <c:pt idx="97">
                  <c:v>-5.0506997284189697E-3</c:v>
                </c:pt>
                <c:pt idx="98">
                  <c:v>-6.0755331400841302E-3</c:v>
                </c:pt>
                <c:pt idx="99">
                  <c:v>-5.9729356687511503E-3</c:v>
                </c:pt>
                <c:pt idx="100">
                  <c:v>-5.9641988293460003E-3</c:v>
                </c:pt>
                <c:pt idx="101">
                  <c:v>-5.9658664407160299E-3</c:v>
                </c:pt>
                <c:pt idx="102">
                  <c:v>-5.7533061249931301E-3</c:v>
                </c:pt>
                <c:pt idx="103">
                  <c:v>-5.2403662822856703E-3</c:v>
                </c:pt>
                <c:pt idx="104">
                  <c:v>-4.8954666271749199E-3</c:v>
                </c:pt>
                <c:pt idx="105">
                  <c:v>-3.5087766771941999E-3</c:v>
                </c:pt>
                <c:pt idx="106">
                  <c:v>-3.17712273137455E-3</c:v>
                </c:pt>
                <c:pt idx="107">
                  <c:v>-1.5400865902923701E-3</c:v>
                </c:pt>
                <c:pt idx="108">
                  <c:v>-1.05528618151524E-3</c:v>
                </c:pt>
                <c:pt idx="109">
                  <c:v>-4.2557993182851701E-3</c:v>
                </c:pt>
                <c:pt idx="110">
                  <c:v>9.7982290685096692E-4</c:v>
                </c:pt>
                <c:pt idx="111">
                  <c:v>1.32682771490762E-4</c:v>
                </c:pt>
                <c:pt idx="112">
                  <c:v>-1.7155572050081599E-3</c:v>
                </c:pt>
                <c:pt idx="113">
                  <c:v>-1.40925224869572E-3</c:v>
                </c:pt>
                <c:pt idx="114">
                  <c:v>-2.8874520001620702E-4</c:v>
                </c:pt>
                <c:pt idx="115">
                  <c:v>2.8176287102957701E-3</c:v>
                </c:pt>
                <c:pt idx="116">
                  <c:v>1.79051649030712E-3</c:v>
                </c:pt>
                <c:pt idx="117">
                  <c:v>4.2231512737636503E-3</c:v>
                </c:pt>
                <c:pt idx="118">
                  <c:v>3.64332479140705E-3</c:v>
                </c:pt>
                <c:pt idx="119">
                  <c:v>-6.4524115286992295E-5</c:v>
                </c:pt>
                <c:pt idx="120">
                  <c:v>-3.6671848885095298E-3</c:v>
                </c:pt>
                <c:pt idx="121">
                  <c:v>-2.3564811244848201E-3</c:v>
                </c:pt>
                <c:pt idx="122">
                  <c:v>-7.0015791034001799E-3</c:v>
                </c:pt>
                <c:pt idx="123">
                  <c:v>-4.8662139322912098E-3</c:v>
                </c:pt>
                <c:pt idx="124">
                  <c:v>-6.0501630430346998E-3</c:v>
                </c:pt>
                <c:pt idx="125">
                  <c:v>1.0158469442505399E-4</c:v>
                </c:pt>
                <c:pt idx="126">
                  <c:v>-4.9666061877531396E-3</c:v>
                </c:pt>
                <c:pt idx="127">
                  <c:v>-4.5413142241053101E-3</c:v>
                </c:pt>
                <c:pt idx="128">
                  <c:v>-3.0436577334233199E-3</c:v>
                </c:pt>
                <c:pt idx="129">
                  <c:v>-1.6699473421513001E-3</c:v>
                </c:pt>
                <c:pt idx="130">
                  <c:v>-8.6576425242210198E-4</c:v>
                </c:pt>
                <c:pt idx="131">
                  <c:v>-1.71465252094375E-3</c:v>
                </c:pt>
                <c:pt idx="132">
                  <c:v>2.4516223723105202E-3</c:v>
                </c:pt>
                <c:pt idx="133">
                  <c:v>2.5321573595549198E-3</c:v>
                </c:pt>
                <c:pt idx="134">
                  <c:v>2.4914158683047301E-3</c:v>
                </c:pt>
                <c:pt idx="135">
                  <c:v>2.6046493144062299E-3</c:v>
                </c:pt>
                <c:pt idx="136">
                  <c:v>1.5984101921474199E-3</c:v>
                </c:pt>
                <c:pt idx="137">
                  <c:v>3.8413003024289401E-3</c:v>
                </c:pt>
                <c:pt idx="138">
                  <c:v>6.4115455611191896E-3</c:v>
                </c:pt>
                <c:pt idx="139">
                  <c:v>2.33264522193974E-3</c:v>
                </c:pt>
                <c:pt idx="140">
                  <c:v>4.3982378791987504E-3</c:v>
                </c:pt>
                <c:pt idx="141">
                  <c:v>1.0358305182937299E-3</c:v>
                </c:pt>
                <c:pt idx="142">
                  <c:v>1.5422093736958901E-3</c:v>
                </c:pt>
                <c:pt idx="143">
                  <c:v>4.4275555652143602E-3</c:v>
                </c:pt>
                <c:pt idx="144">
                  <c:v>5.8266920945468604E-3</c:v>
                </c:pt>
                <c:pt idx="145">
                  <c:v>1.5793357914686201E-3</c:v>
                </c:pt>
                <c:pt idx="146">
                  <c:v>-1.7413006363934001E-3</c:v>
                </c:pt>
                <c:pt idx="147">
                  <c:v>-1.99865871918847E-3</c:v>
                </c:pt>
                <c:pt idx="148">
                  <c:v>1.2039867733922599E-3</c:v>
                </c:pt>
                <c:pt idx="149">
                  <c:v>2.0222203385419101E-3</c:v>
                </c:pt>
                <c:pt idx="150">
                  <c:v>-3.4249689898122602E-4</c:v>
                </c:pt>
                <c:pt idx="151">
                  <c:v>2.0379703212429902E-3</c:v>
                </c:pt>
                <c:pt idx="152">
                  <c:v>9.5608650175199898E-4</c:v>
                </c:pt>
                <c:pt idx="153">
                  <c:v>-2.6438569194949298E-3</c:v>
                </c:pt>
                <c:pt idx="154">
                  <c:v>-2.4785466301914302E-3</c:v>
                </c:pt>
                <c:pt idx="155">
                  <c:v>-3.07278586224808E-3</c:v>
                </c:pt>
                <c:pt idx="156">
                  <c:v>-4.1520129503465697E-3</c:v>
                </c:pt>
                <c:pt idx="157">
                  <c:v>-4.4317180822843203E-3</c:v>
                </c:pt>
                <c:pt idx="158">
                  <c:v>-2.9092142149500099E-3</c:v>
                </c:pt>
                <c:pt idx="159">
                  <c:v>-4.57545003959415E-3</c:v>
                </c:pt>
                <c:pt idx="160">
                  <c:v>-5.65195808185129E-3</c:v>
                </c:pt>
                <c:pt idx="161">
                  <c:v>-6.1206735802755699E-3</c:v>
                </c:pt>
                <c:pt idx="162">
                  <c:v>-4.14807182696008E-3</c:v>
                </c:pt>
                <c:pt idx="163">
                  <c:v>-4.3004020808027404E-3</c:v>
                </c:pt>
                <c:pt idx="164">
                  <c:v>-6.3943773337178603E-3</c:v>
                </c:pt>
                <c:pt idx="165">
                  <c:v>-7.3107429549751999E-3</c:v>
                </c:pt>
                <c:pt idx="166">
                  <c:v>-4.5972891515663004E-3</c:v>
                </c:pt>
                <c:pt idx="167">
                  <c:v>-5.5892406365700802E-3</c:v>
                </c:pt>
                <c:pt idx="168">
                  <c:v>-5.6095779924338202E-3</c:v>
                </c:pt>
                <c:pt idx="169">
                  <c:v>-4.9828238102577298E-3</c:v>
                </c:pt>
                <c:pt idx="170">
                  <c:v>-4.4785840127982302E-3</c:v>
                </c:pt>
                <c:pt idx="171">
                  <c:v>-2.5213236327375002E-3</c:v>
                </c:pt>
                <c:pt idx="172">
                  <c:v>-2.29917580981288E-3</c:v>
                </c:pt>
                <c:pt idx="173">
                  <c:v>-4.6835622393806902E-3</c:v>
                </c:pt>
                <c:pt idx="174">
                  <c:v>-6.2208873696931897E-3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A4-4F9B-93A7-C293F2061AB8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GOOG* x 10 dma / GOOGL*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-4.7744622302289699E-4</c:v>
                </c:pt>
                <c:pt idx="11">
                  <c:v>-1.0595337621451999E-3</c:v>
                </c:pt>
                <c:pt idx="12">
                  <c:v>-1.3598746726940401E-3</c:v>
                </c:pt>
                <c:pt idx="13">
                  <c:v>-3.85829905445881E-4</c:v>
                </c:pt>
                <c:pt idx="14">
                  <c:v>2.7947938360896698E-4</c:v>
                </c:pt>
                <c:pt idx="15">
                  <c:v>-2.3171745242571399E-4</c:v>
                </c:pt>
                <c:pt idx="16">
                  <c:v>1.9708398619568601E-4</c:v>
                </c:pt>
                <c:pt idx="17">
                  <c:v>-2.1659502848650299E-4</c:v>
                </c:pt>
                <c:pt idx="18">
                  <c:v>2.4806285344325298E-4</c:v>
                </c:pt>
                <c:pt idx="19">
                  <c:v>6.2219937609146096E-4</c:v>
                </c:pt>
                <c:pt idx="20">
                  <c:v>2.5272707920959499E-3</c:v>
                </c:pt>
                <c:pt idx="21">
                  <c:v>1.67467363498712E-3</c:v>
                </c:pt>
                <c:pt idx="22">
                  <c:v>-5.7619168034187299E-4</c:v>
                </c:pt>
                <c:pt idx="23">
                  <c:v>-1.3252338820968199E-3</c:v>
                </c:pt>
                <c:pt idx="24">
                  <c:v>-7.5699879495316801E-4</c:v>
                </c:pt>
                <c:pt idx="25">
                  <c:v>-1.1753663401215099E-3</c:v>
                </c:pt>
                <c:pt idx="26">
                  <c:v>-1.1907059142098201E-3</c:v>
                </c:pt>
                <c:pt idx="27">
                  <c:v>-3.9694620953556901E-5</c:v>
                </c:pt>
                <c:pt idx="28">
                  <c:v>-7.0759137233282306E-5</c:v>
                </c:pt>
                <c:pt idx="29">
                  <c:v>-2.8517555381868702E-4</c:v>
                </c:pt>
                <c:pt idx="30">
                  <c:v>1.43794361642273E-3</c:v>
                </c:pt>
                <c:pt idx="31">
                  <c:v>8.8835001342277297E-4</c:v>
                </c:pt>
                <c:pt idx="32">
                  <c:v>1.3109868358053499E-3</c:v>
                </c:pt>
                <c:pt idx="33">
                  <c:v>-1.42873262735965E-3</c:v>
                </c:pt>
                <c:pt idx="34">
                  <c:v>-4.8323982948189501E-4</c:v>
                </c:pt>
                <c:pt idx="35">
                  <c:v>-1.0506562530562299E-3</c:v>
                </c:pt>
                <c:pt idx="36">
                  <c:v>-6.8135307387731897E-4</c:v>
                </c:pt>
                <c:pt idx="37">
                  <c:v>-1.8711406313276599E-3</c:v>
                </c:pt>
                <c:pt idx="38">
                  <c:v>-1.98774248891667E-3</c:v>
                </c:pt>
                <c:pt idx="39">
                  <c:v>-1.2250555956732599E-3</c:v>
                </c:pt>
                <c:pt idx="40">
                  <c:v>-6.18459895259071E-4</c:v>
                </c:pt>
                <c:pt idx="41">
                  <c:v>7.7340344620093295E-4</c:v>
                </c:pt>
                <c:pt idx="42">
                  <c:v>-8.6724025427364199E-5</c:v>
                </c:pt>
                <c:pt idx="43">
                  <c:v>-6.9972924939520301E-4</c:v>
                </c:pt>
                <c:pt idx="44">
                  <c:v>-1.0572450067205699E-3</c:v>
                </c:pt>
                <c:pt idx="45">
                  <c:v>-9.3958418366313703E-5</c:v>
                </c:pt>
                <c:pt idx="46">
                  <c:v>-6.0081654962404897E-4</c:v>
                </c:pt>
                <c:pt idx="47">
                  <c:v>-6.8181674637926299E-4</c:v>
                </c:pt>
                <c:pt idx="48">
                  <c:v>-2.2402782083595402E-3</c:v>
                </c:pt>
                <c:pt idx="49">
                  <c:v>-3.0957533342664402E-3</c:v>
                </c:pt>
                <c:pt idx="50">
                  <c:v>-3.90430984831079E-3</c:v>
                </c:pt>
                <c:pt idx="51">
                  <c:v>-3.0828349323463598E-3</c:v>
                </c:pt>
                <c:pt idx="52">
                  <c:v>-2.56552334969161E-3</c:v>
                </c:pt>
                <c:pt idx="53">
                  <c:v>-4.8992065814205702E-3</c:v>
                </c:pt>
                <c:pt idx="54">
                  <c:v>-6.9811043258529203E-3</c:v>
                </c:pt>
                <c:pt idx="55">
                  <c:v>-2.4536482481340999E-4</c:v>
                </c:pt>
                <c:pt idx="56">
                  <c:v>-1.9212736360519901E-4</c:v>
                </c:pt>
                <c:pt idx="57">
                  <c:v>4.1537016760969303E-3</c:v>
                </c:pt>
                <c:pt idx="58">
                  <c:v>2.63046724706535E-3</c:v>
                </c:pt>
                <c:pt idx="59">
                  <c:v>3.3698704279122699E-3</c:v>
                </c:pt>
                <c:pt idx="60">
                  <c:v>2.0081893233738599E-3</c:v>
                </c:pt>
                <c:pt idx="61">
                  <c:v>-4.2056126559943596E-3</c:v>
                </c:pt>
                <c:pt idx="62">
                  <c:v>1.5236253149592701E-4</c:v>
                </c:pt>
                <c:pt idx="63">
                  <c:v>-3.2189064658785902E-3</c:v>
                </c:pt>
                <c:pt idx="64">
                  <c:v>-4.0016217783555902E-4</c:v>
                </c:pt>
                <c:pt idx="65">
                  <c:v>-4.0535772035565302E-3</c:v>
                </c:pt>
                <c:pt idx="66">
                  <c:v>-2.17913678170061E-3</c:v>
                </c:pt>
                <c:pt idx="67">
                  <c:v>-9.6888534013556097E-5</c:v>
                </c:pt>
                <c:pt idx="68">
                  <c:v>-1.43596649329389E-3</c:v>
                </c:pt>
                <c:pt idx="69">
                  <c:v>-1.4586333713649301E-3</c:v>
                </c:pt>
                <c:pt idx="70">
                  <c:v>-1.75721922818505E-3</c:v>
                </c:pt>
                <c:pt idx="71">
                  <c:v>-3.0398047272249501E-3</c:v>
                </c:pt>
                <c:pt idx="72">
                  <c:v>1.1545006887455E-4</c:v>
                </c:pt>
                <c:pt idx="73">
                  <c:v>1.03145414116655E-3</c:v>
                </c:pt>
                <c:pt idx="74">
                  <c:v>1.36459511388838E-3</c:v>
                </c:pt>
                <c:pt idx="75">
                  <c:v>2.2069387633926701E-3</c:v>
                </c:pt>
                <c:pt idx="76">
                  <c:v>3.18760657840039E-3</c:v>
                </c:pt>
                <c:pt idx="77">
                  <c:v>1.68945559392151E-4</c:v>
                </c:pt>
                <c:pt idx="78">
                  <c:v>1.14364008935319E-3</c:v>
                </c:pt>
                <c:pt idx="79">
                  <c:v>-3.2240214882875499E-4</c:v>
                </c:pt>
                <c:pt idx="80">
                  <c:v>-1.3750460695469099E-3</c:v>
                </c:pt>
                <c:pt idx="81">
                  <c:v>-1.3261130722393899E-3</c:v>
                </c:pt>
                <c:pt idx="82">
                  <c:v>-5.1709782595097103E-4</c:v>
                </c:pt>
                <c:pt idx="83">
                  <c:v>-3.5835544036130602E-3</c:v>
                </c:pt>
                <c:pt idx="84">
                  <c:v>-4.5404840834458301E-3</c:v>
                </c:pt>
                <c:pt idx="85">
                  <c:v>-5.56911236216062E-4</c:v>
                </c:pt>
                <c:pt idx="86">
                  <c:v>2.3487110469865201E-4</c:v>
                </c:pt>
                <c:pt idx="87">
                  <c:v>-2.0430403069758899E-3</c:v>
                </c:pt>
                <c:pt idx="88">
                  <c:v>2.8683497298038099E-3</c:v>
                </c:pt>
                <c:pt idx="89">
                  <c:v>-1.5017913134480899E-3</c:v>
                </c:pt>
                <c:pt idx="90">
                  <c:v>-1.01679045558805E-3</c:v>
                </c:pt>
                <c:pt idx="91">
                  <c:v>-1.7180468915668E-3</c:v>
                </c:pt>
                <c:pt idx="92">
                  <c:v>-4.7367107127558499E-4</c:v>
                </c:pt>
                <c:pt idx="93">
                  <c:v>-1.1777097829480899E-3</c:v>
                </c:pt>
                <c:pt idx="94">
                  <c:v>1.3960311204588201E-3</c:v>
                </c:pt>
                <c:pt idx="95">
                  <c:v>-2.1857164098309E-3</c:v>
                </c:pt>
                <c:pt idx="96">
                  <c:v>-2.3832409408233398E-3</c:v>
                </c:pt>
                <c:pt idx="97">
                  <c:v>-5.2568822486032704E-4</c:v>
                </c:pt>
                <c:pt idx="98">
                  <c:v>-1.5487223684040501E-3</c:v>
                </c:pt>
                <c:pt idx="99">
                  <c:v>-8.8500145219775695E-4</c:v>
                </c:pt>
                <c:pt idx="100">
                  <c:v>-7.5768024930439098E-4</c:v>
                </c:pt>
                <c:pt idx="101">
                  <c:v>-6.1932076110577598E-4</c:v>
                </c:pt>
                <c:pt idx="102">
                  <c:v>-3.50552258109766E-4</c:v>
                </c:pt>
                <c:pt idx="103">
                  <c:v>2.9858139475349901E-4</c:v>
                </c:pt>
                <c:pt idx="104">
                  <c:v>6.3471499939162499E-4</c:v>
                </c:pt>
                <c:pt idx="105">
                  <c:v>2.2328218423668298E-3</c:v>
                </c:pt>
                <c:pt idx="106">
                  <c:v>2.3158905954652302E-3</c:v>
                </c:pt>
                <c:pt idx="107">
                  <c:v>3.6208351696356798E-3</c:v>
                </c:pt>
                <c:pt idx="108">
                  <c:v>3.7551669821357602E-3</c:v>
                </c:pt>
                <c:pt idx="109">
                  <c:v>5.3127533324451301E-5</c:v>
                </c:pt>
                <c:pt idx="110">
                  <c:v>5.1168829731971103E-3</c:v>
                </c:pt>
                <c:pt idx="111">
                  <c:v>3.5762401178159701E-3</c:v>
                </c:pt>
                <c:pt idx="112">
                  <c:v>1.1182797216408101E-3</c:v>
                </c:pt>
                <c:pt idx="113">
                  <c:v>1.02036402392055E-3</c:v>
                </c:pt>
                <c:pt idx="114">
                  <c:v>1.75734278496677E-3</c:v>
                </c:pt>
                <c:pt idx="115">
                  <c:v>4.4026862828696403E-3</c:v>
                </c:pt>
                <c:pt idx="116">
                  <c:v>2.74351642586723E-3</c:v>
                </c:pt>
                <c:pt idx="117">
                  <c:v>4.67939240353305E-3</c:v>
                </c:pt>
                <c:pt idx="118">
                  <c:v>3.5241109649849799E-3</c:v>
                </c:pt>
                <c:pt idx="119">
                  <c:v>-6.5315795976996697E-4</c:v>
                </c:pt>
                <c:pt idx="120">
                  <c:v>-4.67618858470145E-3</c:v>
                </c:pt>
                <c:pt idx="121">
                  <c:v>-2.8997974897009698E-3</c:v>
                </c:pt>
                <c:pt idx="122">
                  <c:v>-7.2955977404643496E-3</c:v>
                </c:pt>
                <c:pt idx="123">
                  <c:v>-4.6293056302142404E-3</c:v>
                </c:pt>
                <c:pt idx="124">
                  <c:v>-5.4666142268261601E-3</c:v>
                </c:pt>
                <c:pt idx="125">
                  <c:v>1.26260110340112E-3</c:v>
                </c:pt>
                <c:pt idx="126">
                  <c:v>-3.5347328199254601E-3</c:v>
                </c:pt>
                <c:pt idx="127">
                  <c:v>-2.43385003042081E-3</c:v>
                </c:pt>
                <c:pt idx="128">
                  <c:v>-6.1832546019358701E-5</c:v>
                </c:pt>
                <c:pt idx="129">
                  <c:v>1.9781644786143102E-3</c:v>
                </c:pt>
                <c:pt idx="130">
                  <c:v>2.9424312660208899E-3</c:v>
                </c:pt>
                <c:pt idx="131">
                  <c:v>1.8137932842468901E-3</c:v>
                </c:pt>
                <c:pt idx="132">
                  <c:v>5.9159790081372799E-3</c:v>
                </c:pt>
                <c:pt idx="133">
                  <c:v>5.05186796940488E-3</c:v>
                </c:pt>
                <c:pt idx="134">
                  <c:v>4.2720146761388101E-3</c:v>
                </c:pt>
                <c:pt idx="135">
                  <c:v>3.53072367901243E-3</c:v>
                </c:pt>
                <c:pt idx="136">
                  <c:v>2.2747166868488499E-3</c:v>
                </c:pt>
                <c:pt idx="137">
                  <c:v>3.86022600131302E-3</c:v>
                </c:pt>
                <c:pt idx="138">
                  <c:v>5.5915780010531097E-3</c:v>
                </c:pt>
                <c:pt idx="139">
                  <c:v>5.6752385059692504E-4</c:v>
                </c:pt>
                <c:pt idx="140">
                  <c:v>2.23220233623924E-3</c:v>
                </c:pt>
                <c:pt idx="141">
                  <c:v>-1.65695505048839E-3</c:v>
                </c:pt>
                <c:pt idx="142">
                  <c:v>-1.42649791509897E-3</c:v>
                </c:pt>
                <c:pt idx="143">
                  <c:v>1.5498738553941E-3</c:v>
                </c:pt>
                <c:pt idx="144">
                  <c:v>2.7595666942192999E-3</c:v>
                </c:pt>
                <c:pt idx="145">
                  <c:v>-1.82100890770747E-3</c:v>
                </c:pt>
                <c:pt idx="146">
                  <c:v>-5.0389850136211096E-3</c:v>
                </c:pt>
                <c:pt idx="147">
                  <c:v>-4.9613009012850996E-3</c:v>
                </c:pt>
                <c:pt idx="148">
                  <c:v>-1.1736364909945101E-3</c:v>
                </c:pt>
                <c:pt idx="149">
                  <c:v>1.6447415797552601E-4</c:v>
                </c:pt>
                <c:pt idx="150">
                  <c:v>-2.1692109948648602E-3</c:v>
                </c:pt>
                <c:pt idx="151">
                  <c:v>6.8512250134892898E-4</c:v>
                </c:pt>
                <c:pt idx="152">
                  <c:v>-4.9696187959210605E-4</c:v>
                </c:pt>
                <c:pt idx="153">
                  <c:v>-4.0382827788492098E-3</c:v>
                </c:pt>
                <c:pt idx="154">
                  <c:v>-3.1657244439287301E-3</c:v>
                </c:pt>
                <c:pt idx="155">
                  <c:v>-2.9306006709726999E-3</c:v>
                </c:pt>
                <c:pt idx="156">
                  <c:v>-3.54444215829843E-3</c:v>
                </c:pt>
                <c:pt idx="157">
                  <c:v>-3.5825406432196099E-3</c:v>
                </c:pt>
                <c:pt idx="158">
                  <c:v>-1.81618416782055E-3</c:v>
                </c:pt>
                <c:pt idx="159">
                  <c:v>-3.07128300832095E-3</c:v>
                </c:pt>
                <c:pt idx="160">
                  <c:v>-3.4883903831658199E-3</c:v>
                </c:pt>
                <c:pt idx="161">
                  <c:v>-3.4258574635842999E-3</c:v>
                </c:pt>
                <c:pt idx="162">
                  <c:v>-6.3825422701261703E-4</c:v>
                </c:pt>
                <c:pt idx="163">
                  <c:v>-2.8127372810959699E-4</c:v>
                </c:pt>
                <c:pt idx="164">
                  <c:v>-2.20969873821344E-3</c:v>
                </c:pt>
                <c:pt idx="165">
                  <c:v>-2.7344591196876902E-3</c:v>
                </c:pt>
                <c:pt idx="166">
                  <c:v>4.0296174191189099E-4</c:v>
                </c:pt>
                <c:pt idx="167">
                  <c:v>-5.4449096044841103E-4</c:v>
                </c:pt>
                <c:pt idx="168">
                  <c:v>-4.4908671953724399E-4</c:v>
                </c:pt>
                <c:pt idx="169">
                  <c:v>4.4742431582998199E-4</c:v>
                </c:pt>
                <c:pt idx="170">
                  <c:v>9.9237414604342591E-4</c:v>
                </c:pt>
                <c:pt idx="171">
                  <c:v>2.83233782610064E-3</c:v>
                </c:pt>
                <c:pt idx="172">
                  <c:v>2.6948573013024502E-3</c:v>
                </c:pt>
                <c:pt idx="173">
                  <c:v>1.2589125064767801E-4</c:v>
                </c:pt>
                <c:pt idx="174">
                  <c:v>-1.3731307594526401E-3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A4-4F9B-93A7-C293F2061AB8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GOOG* x 20 dma / GOOGL*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2.2672756015618802E-3</c:v>
                </c:pt>
                <c:pt idx="21">
                  <c:v>1.5142034116795899E-3</c:v>
                </c:pt>
                <c:pt idx="22">
                  <c:v>-5.1783786037801996E-4</c:v>
                </c:pt>
                <c:pt idx="23">
                  <c:v>-1.18837944837059E-3</c:v>
                </c:pt>
                <c:pt idx="24">
                  <c:v>-6.2898868380340304E-4</c:v>
                </c:pt>
                <c:pt idx="25">
                  <c:v>-1.07508105224409E-3</c:v>
                </c:pt>
                <c:pt idx="26">
                  <c:v>-1.0904321676863901E-3</c:v>
                </c:pt>
                <c:pt idx="27">
                  <c:v>6.4826376691997194E-5</c:v>
                </c:pt>
                <c:pt idx="28">
                  <c:v>8.13171660229541E-5</c:v>
                </c:pt>
                <c:pt idx="29">
                  <c:v>-1.2448033731978501E-4</c:v>
                </c:pt>
                <c:pt idx="30">
                  <c:v>1.54806205722387E-3</c:v>
                </c:pt>
                <c:pt idx="31">
                  <c:v>8.3100323840516396E-4</c:v>
                </c:pt>
                <c:pt idx="32">
                  <c:v>1.0880543734369801E-3</c:v>
                </c:pt>
                <c:pt idx="33">
                  <c:v>-1.62471250426257E-3</c:v>
                </c:pt>
                <c:pt idx="34">
                  <c:v>-6.7070721498542496E-4</c:v>
                </c:pt>
                <c:pt idx="35">
                  <c:v>-1.2041556338787901E-3</c:v>
                </c:pt>
                <c:pt idx="36">
                  <c:v>-8.0679773356398901E-4</c:v>
                </c:pt>
                <c:pt idx="37">
                  <c:v>-1.9242641602924401E-3</c:v>
                </c:pt>
                <c:pt idx="38">
                  <c:v>-2.1571173845358E-3</c:v>
                </c:pt>
                <c:pt idx="39">
                  <c:v>-1.5065429359265999E-3</c:v>
                </c:pt>
                <c:pt idx="40">
                  <c:v>-9.4581049045852899E-4</c:v>
                </c:pt>
                <c:pt idx="41">
                  <c:v>3.5401678267322399E-4</c:v>
                </c:pt>
                <c:pt idx="42">
                  <c:v>-5.0875377996646102E-4</c:v>
                </c:pt>
                <c:pt idx="43">
                  <c:v>-1.3056593029692901E-3</c:v>
                </c:pt>
                <c:pt idx="44">
                  <c:v>-1.6625436286030601E-3</c:v>
                </c:pt>
                <c:pt idx="45">
                  <c:v>-7.8339500920113203E-4</c:v>
                </c:pt>
                <c:pt idx="46">
                  <c:v>-1.3022501326733799E-3</c:v>
                </c:pt>
                <c:pt idx="47">
                  <c:v>-1.4622575333291101E-3</c:v>
                </c:pt>
                <c:pt idx="48">
                  <c:v>-2.9424314722887499E-3</c:v>
                </c:pt>
                <c:pt idx="49">
                  <c:v>-3.7680317142419501E-3</c:v>
                </c:pt>
                <c:pt idx="50">
                  <c:v>-4.6623490729772298E-3</c:v>
                </c:pt>
                <c:pt idx="51">
                  <c:v>-3.9457754155470901E-3</c:v>
                </c:pt>
                <c:pt idx="52">
                  <c:v>-3.6597512496161898E-3</c:v>
                </c:pt>
                <c:pt idx="53">
                  <c:v>-6.1147475013100701E-3</c:v>
                </c:pt>
                <c:pt idx="54">
                  <c:v>-8.5040694198255107E-3</c:v>
                </c:pt>
                <c:pt idx="55">
                  <c:v>-2.1279864100029401E-3</c:v>
                </c:pt>
                <c:pt idx="56">
                  <c:v>-2.2489113159796202E-3</c:v>
                </c:pt>
                <c:pt idx="57">
                  <c:v>1.9781888717590201E-3</c:v>
                </c:pt>
                <c:pt idx="58">
                  <c:v>4.9737435798763495E-4</c:v>
                </c:pt>
                <c:pt idx="59">
                  <c:v>1.3494508322542901E-3</c:v>
                </c:pt>
                <c:pt idx="60">
                  <c:v>2.6902665370112801E-4</c:v>
                </c:pt>
                <c:pt idx="61">
                  <c:v>-5.5834353457312799E-3</c:v>
                </c:pt>
                <c:pt idx="62">
                  <c:v>-1.1408449341371999E-3</c:v>
                </c:pt>
                <c:pt idx="63">
                  <c:v>-4.27248391246088E-3</c:v>
                </c:pt>
                <c:pt idx="64">
                  <c:v>-1.1434633261394201E-3</c:v>
                </c:pt>
                <c:pt idx="65">
                  <c:v>-4.0921217881375697E-3</c:v>
                </c:pt>
                <c:pt idx="66">
                  <c:v>-2.2166832461363202E-3</c:v>
                </c:pt>
                <c:pt idx="67">
                  <c:v>-5.2534040480116203E-5</c:v>
                </c:pt>
                <c:pt idx="68">
                  <c:v>-1.62312854797249E-3</c:v>
                </c:pt>
                <c:pt idx="69">
                  <c:v>-1.89746418302075E-3</c:v>
                </c:pt>
                <c:pt idx="70">
                  <c:v>-2.6014174952980001E-3</c:v>
                </c:pt>
                <c:pt idx="71">
                  <c:v>-4.27745608025684E-3</c:v>
                </c:pt>
                <c:pt idx="72">
                  <c:v>-9.936374369602769E-4</c:v>
                </c:pt>
                <c:pt idx="73">
                  <c:v>-1.96646400738583E-4</c:v>
                </c:pt>
                <c:pt idx="74">
                  <c:v>2.4745486891792002E-4</c:v>
                </c:pt>
                <c:pt idx="75">
                  <c:v>8.1114227185638597E-4</c:v>
                </c:pt>
                <c:pt idx="76">
                  <c:v>2.1592984147752398E-3</c:v>
                </c:pt>
                <c:pt idx="77">
                  <c:v>-5.9116242052626605E-4</c:v>
                </c:pt>
                <c:pt idx="78">
                  <c:v>5.2837700482820295E-4</c:v>
                </c:pt>
                <c:pt idx="79">
                  <c:v>-6.4857691016390496E-4</c:v>
                </c:pt>
                <c:pt idx="80">
                  <c:v>-1.3922313624153799E-3</c:v>
                </c:pt>
                <c:pt idx="81">
                  <c:v>-1.05345635705989E-3</c:v>
                </c:pt>
                <c:pt idx="82">
                  <c:v>-6.5435653853856596E-5</c:v>
                </c:pt>
                <c:pt idx="83">
                  <c:v>-3.0056265778467101E-3</c:v>
                </c:pt>
                <c:pt idx="84">
                  <c:v>-4.2255673525839E-3</c:v>
                </c:pt>
                <c:pt idx="85">
                  <c:v>-4.8274099258960502E-4</c:v>
                </c:pt>
                <c:pt idx="86">
                  <c:v>5.1077782469815E-6</c:v>
                </c:pt>
                <c:pt idx="87">
                  <c:v>-2.60815359919526E-3</c:v>
                </c:pt>
                <c:pt idx="88">
                  <c:v>2.1988341930436498E-3</c:v>
                </c:pt>
                <c:pt idx="89">
                  <c:v>-2.2194709999088301E-3</c:v>
                </c:pt>
                <c:pt idx="90">
                  <c:v>-1.8893213991379499E-3</c:v>
                </c:pt>
                <c:pt idx="91">
                  <c:v>-2.6773116762191999E-3</c:v>
                </c:pt>
                <c:pt idx="92">
                  <c:v>-1.6615479898334201E-3</c:v>
                </c:pt>
                <c:pt idx="93">
                  <c:v>-2.4955537661981398E-3</c:v>
                </c:pt>
                <c:pt idx="94">
                  <c:v>2.39661075231457E-4</c:v>
                </c:pt>
                <c:pt idx="95">
                  <c:v>-2.8970725445027802E-3</c:v>
                </c:pt>
                <c:pt idx="96">
                  <c:v>-3.1165992487876899E-3</c:v>
                </c:pt>
                <c:pt idx="97">
                  <c:v>-1.2930613105834501E-3</c:v>
                </c:pt>
                <c:pt idx="98">
                  <c:v>-2.1499480240557999E-3</c:v>
                </c:pt>
                <c:pt idx="99">
                  <c:v>-1.7857740139187899E-3</c:v>
                </c:pt>
                <c:pt idx="100">
                  <c:v>-1.5870353292316E-3</c:v>
                </c:pt>
                <c:pt idx="101">
                  <c:v>-1.4492928630205899E-3</c:v>
                </c:pt>
                <c:pt idx="102">
                  <c:v>-1.09307640197083E-3</c:v>
                </c:pt>
                <c:pt idx="103">
                  <c:v>-3.9548193790206199E-4</c:v>
                </c:pt>
                <c:pt idx="104">
                  <c:v>-4.3384985662725399E-5</c:v>
                </c:pt>
                <c:pt idx="105">
                  <c:v>1.2680192434100499E-3</c:v>
                </c:pt>
                <c:pt idx="106">
                  <c:v>1.6278302404217201E-3</c:v>
                </c:pt>
                <c:pt idx="107">
                  <c:v>3.3029305891820299E-3</c:v>
                </c:pt>
                <c:pt idx="108">
                  <c:v>3.61335584277583E-3</c:v>
                </c:pt>
                <c:pt idx="109">
                  <c:v>4.4270707235378402E-4</c:v>
                </c:pt>
                <c:pt idx="110">
                  <c:v>5.6517551977272804E-3</c:v>
                </c:pt>
                <c:pt idx="111">
                  <c:v>4.5281869549645398E-3</c:v>
                </c:pt>
                <c:pt idx="112">
                  <c:v>2.4035631083119601E-3</c:v>
                </c:pt>
                <c:pt idx="113">
                  <c:v>2.57623821836805E-3</c:v>
                </c:pt>
                <c:pt idx="114">
                  <c:v>3.50090696855395E-3</c:v>
                </c:pt>
                <c:pt idx="115">
                  <c:v>6.4831163588892904E-3</c:v>
                </c:pt>
                <c:pt idx="116">
                  <c:v>5.0160995844935E-3</c:v>
                </c:pt>
                <c:pt idx="117">
                  <c:v>7.0344994685399599E-3</c:v>
                </c:pt>
                <c:pt idx="118">
                  <c:v>5.9919821590250803E-3</c:v>
                </c:pt>
                <c:pt idx="119">
                  <c:v>1.79862064787622E-3</c:v>
                </c:pt>
                <c:pt idx="120">
                  <c:v>-2.0998464605538202E-3</c:v>
                </c:pt>
                <c:pt idx="121">
                  <c:v>-9.04373739997379E-4</c:v>
                </c:pt>
                <c:pt idx="122">
                  <c:v>-5.7304470240528201E-3</c:v>
                </c:pt>
                <c:pt idx="123">
                  <c:v>-3.5323506490345202E-3</c:v>
                </c:pt>
                <c:pt idx="124">
                  <c:v>-4.7350772648602803E-3</c:v>
                </c:pt>
                <c:pt idx="125">
                  <c:v>1.4746441615634E-3</c:v>
                </c:pt>
                <c:pt idx="126">
                  <c:v>-3.77414087108902E-3</c:v>
                </c:pt>
                <c:pt idx="127">
                  <c:v>-3.2591207452163698E-3</c:v>
                </c:pt>
                <c:pt idx="128">
                  <c:v>-1.61114999804321E-3</c:v>
                </c:pt>
                <c:pt idx="129">
                  <c:v>-1.3796460395896199E-4</c:v>
                </c:pt>
                <c:pt idx="130">
                  <c:v>5.3673233193299004E-4</c:v>
                </c:pt>
                <c:pt idx="131">
                  <c:v>-2.2001539649154801E-4</c:v>
                </c:pt>
                <c:pt idx="132">
                  <c:v>4.0385570437391303E-3</c:v>
                </c:pt>
                <c:pt idx="133">
                  <c:v>3.91111821367391E-3</c:v>
                </c:pt>
                <c:pt idx="134">
                  <c:v>3.6736687964005702E-3</c:v>
                </c:pt>
                <c:pt idx="135">
                  <c:v>3.6482016009178201E-3</c:v>
                </c:pt>
                <c:pt idx="136">
                  <c:v>2.6525714835727702E-3</c:v>
                </c:pt>
                <c:pt idx="137">
                  <c:v>4.9050404977443798E-3</c:v>
                </c:pt>
                <c:pt idx="138">
                  <c:v>7.4942810772120798E-3</c:v>
                </c:pt>
                <c:pt idx="139">
                  <c:v>3.27780332887802E-3</c:v>
                </c:pt>
                <c:pt idx="140">
                  <c:v>5.2237792899026501E-3</c:v>
                </c:pt>
                <c:pt idx="141">
                  <c:v>1.45849859367231E-3</c:v>
                </c:pt>
                <c:pt idx="142">
                  <c:v>1.79520707722386E-3</c:v>
                </c:pt>
                <c:pt idx="143">
                  <c:v>4.2522114912905001E-3</c:v>
                </c:pt>
                <c:pt idx="144">
                  <c:v>5.1863663491736401E-3</c:v>
                </c:pt>
                <c:pt idx="145">
                  <c:v>3.4454036009817302E-4</c:v>
                </c:pt>
                <c:pt idx="146">
                  <c:v>-3.0500155035242602E-3</c:v>
                </c:pt>
                <c:pt idx="147">
                  <c:v>-3.46940574282771E-3</c:v>
                </c:pt>
                <c:pt idx="148">
                  <c:v>-3.9450535245295502E-4</c:v>
                </c:pt>
                <c:pt idx="149">
                  <c:v>2.1078763500672801E-4</c:v>
                </c:pt>
                <c:pt idx="150">
                  <c:v>-2.3388573260221101E-3</c:v>
                </c:pt>
                <c:pt idx="151">
                  <c:v>1.5378056034415302E-5</c:v>
                </c:pt>
                <c:pt idx="152">
                  <c:v>-1.2545041806046799E-3</c:v>
                </c:pt>
                <c:pt idx="153">
                  <c:v>-4.7796356981175099E-3</c:v>
                </c:pt>
                <c:pt idx="154">
                  <c:v>-4.3549902185764404E-3</c:v>
                </c:pt>
                <c:pt idx="155">
                  <c:v>-4.7002969272654099E-3</c:v>
                </c:pt>
                <c:pt idx="156">
                  <c:v>-5.49516336690561E-3</c:v>
                </c:pt>
                <c:pt idx="157">
                  <c:v>-5.4866342087969699E-3</c:v>
                </c:pt>
                <c:pt idx="158">
                  <c:v>-3.55000514503323E-3</c:v>
                </c:pt>
                <c:pt idx="159">
                  <c:v>-4.7508268073506704E-3</c:v>
                </c:pt>
                <c:pt idx="160">
                  <c:v>-5.4815409881706001E-3</c:v>
                </c:pt>
                <c:pt idx="161">
                  <c:v>-5.4476414853570701E-3</c:v>
                </c:pt>
                <c:pt idx="162">
                  <c:v>-3.1166084659744698E-3</c:v>
                </c:pt>
                <c:pt idx="163">
                  <c:v>-2.9843875174558102E-3</c:v>
                </c:pt>
                <c:pt idx="164">
                  <c:v>-4.6426600726591997E-3</c:v>
                </c:pt>
                <c:pt idx="165">
                  <c:v>-4.9490507898591902E-3</c:v>
                </c:pt>
                <c:pt idx="166">
                  <c:v>-1.79096635593318E-3</c:v>
                </c:pt>
                <c:pt idx="167">
                  <c:v>-2.6400767272911799E-3</c:v>
                </c:pt>
                <c:pt idx="168">
                  <c:v>-2.48074930374346E-3</c:v>
                </c:pt>
                <c:pt idx="169">
                  <c:v>-1.5136894687194701E-3</c:v>
                </c:pt>
                <c:pt idx="170">
                  <c:v>-6.5995373070113698E-4</c:v>
                </c:pt>
                <c:pt idx="171">
                  <c:v>1.50379883708622E-3</c:v>
                </c:pt>
                <c:pt idx="172">
                  <c:v>1.95302490765364E-3</c:v>
                </c:pt>
                <c:pt idx="173">
                  <c:v>-2.6919324129405698E-4</c:v>
                </c:pt>
                <c:pt idx="174">
                  <c:v>-1.70461480776483E-3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A4-4F9B-93A7-C293F2061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GOOGL*/GOOG*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1.0043771680406</c:v>
                </c:pt>
                <c:pt idx="1">
                  <c:v>1.0043771680406</c:v>
                </c:pt>
                <c:pt idx="2">
                  <c:v>1.0043771680406</c:v>
                </c:pt>
                <c:pt idx="3">
                  <c:v>1.0043771680406</c:v>
                </c:pt>
                <c:pt idx="4">
                  <c:v>1.0043771680406</c:v>
                </c:pt>
                <c:pt idx="5">
                  <c:v>1.0043771680406</c:v>
                </c:pt>
                <c:pt idx="6">
                  <c:v>1.0043771680406</c:v>
                </c:pt>
                <c:pt idx="7">
                  <c:v>1.0043771680406</c:v>
                </c:pt>
                <c:pt idx="8">
                  <c:v>1.0043771680406</c:v>
                </c:pt>
                <c:pt idx="9">
                  <c:v>1.0043771680406</c:v>
                </c:pt>
                <c:pt idx="10">
                  <c:v>1.0043771680406</c:v>
                </c:pt>
                <c:pt idx="11">
                  <c:v>1.0043771680406</c:v>
                </c:pt>
                <c:pt idx="12">
                  <c:v>1.0043771680406</c:v>
                </c:pt>
                <c:pt idx="13">
                  <c:v>1.0043771680406</c:v>
                </c:pt>
                <c:pt idx="14">
                  <c:v>1.0043771680406</c:v>
                </c:pt>
                <c:pt idx="15">
                  <c:v>1.0043771680406</c:v>
                </c:pt>
                <c:pt idx="16">
                  <c:v>1.0043771680406</c:v>
                </c:pt>
                <c:pt idx="17">
                  <c:v>1.0043771680406</c:v>
                </c:pt>
                <c:pt idx="18">
                  <c:v>1.0043771680406</c:v>
                </c:pt>
                <c:pt idx="19">
                  <c:v>1.0043771680406</c:v>
                </c:pt>
                <c:pt idx="20">
                  <c:v>1.0043771680406</c:v>
                </c:pt>
                <c:pt idx="21">
                  <c:v>1.0043771680406</c:v>
                </c:pt>
                <c:pt idx="22">
                  <c:v>1.0043771680406</c:v>
                </c:pt>
                <c:pt idx="23">
                  <c:v>1.0043771680406</c:v>
                </c:pt>
                <c:pt idx="24">
                  <c:v>1.0043771680406</c:v>
                </c:pt>
                <c:pt idx="25">
                  <c:v>1.0043771680406</c:v>
                </c:pt>
                <c:pt idx="26">
                  <c:v>1.0043771680406</c:v>
                </c:pt>
                <c:pt idx="27">
                  <c:v>1.0043771680406</c:v>
                </c:pt>
                <c:pt idx="28">
                  <c:v>1.0043771680406</c:v>
                </c:pt>
                <c:pt idx="29">
                  <c:v>1.0043771680406</c:v>
                </c:pt>
                <c:pt idx="30">
                  <c:v>1.0043771680406</c:v>
                </c:pt>
                <c:pt idx="31">
                  <c:v>1.0043771680406</c:v>
                </c:pt>
                <c:pt idx="32">
                  <c:v>1.0043771680406</c:v>
                </c:pt>
                <c:pt idx="33">
                  <c:v>1.0043771680406</c:v>
                </c:pt>
                <c:pt idx="34">
                  <c:v>1.0043771680406</c:v>
                </c:pt>
                <c:pt idx="35">
                  <c:v>1.0043771680406</c:v>
                </c:pt>
                <c:pt idx="36">
                  <c:v>1.0043771680406</c:v>
                </c:pt>
                <c:pt idx="37">
                  <c:v>1.0043771680406</c:v>
                </c:pt>
                <c:pt idx="38">
                  <c:v>1.0043771680406</c:v>
                </c:pt>
                <c:pt idx="39">
                  <c:v>1.0043771680406</c:v>
                </c:pt>
                <c:pt idx="40">
                  <c:v>1.0043771680406</c:v>
                </c:pt>
                <c:pt idx="41">
                  <c:v>1.0043771680406</c:v>
                </c:pt>
                <c:pt idx="42">
                  <c:v>1.0043771680406</c:v>
                </c:pt>
                <c:pt idx="43">
                  <c:v>1.0043771680406</c:v>
                </c:pt>
                <c:pt idx="44">
                  <c:v>1.0043771680406</c:v>
                </c:pt>
                <c:pt idx="45">
                  <c:v>1.0043771680406</c:v>
                </c:pt>
                <c:pt idx="46">
                  <c:v>1.0043771680406</c:v>
                </c:pt>
                <c:pt idx="47">
                  <c:v>1.0043771680406</c:v>
                </c:pt>
                <c:pt idx="48">
                  <c:v>1.0043771680406</c:v>
                </c:pt>
                <c:pt idx="49">
                  <c:v>1.0043771680406</c:v>
                </c:pt>
                <c:pt idx="50">
                  <c:v>1.0043771680406</c:v>
                </c:pt>
                <c:pt idx="51">
                  <c:v>1.0043771680406</c:v>
                </c:pt>
                <c:pt idx="52">
                  <c:v>1.0043771680406</c:v>
                </c:pt>
                <c:pt idx="53">
                  <c:v>1.0043771680406</c:v>
                </c:pt>
                <c:pt idx="54">
                  <c:v>1.0043771680406</c:v>
                </c:pt>
                <c:pt idx="55">
                  <c:v>1.0043771680406</c:v>
                </c:pt>
                <c:pt idx="56">
                  <c:v>1.0043771680406</c:v>
                </c:pt>
                <c:pt idx="57">
                  <c:v>1.0043771680406</c:v>
                </c:pt>
                <c:pt idx="58">
                  <c:v>1.0043771680406</c:v>
                </c:pt>
                <c:pt idx="59">
                  <c:v>1.0043771680406</c:v>
                </c:pt>
                <c:pt idx="60">
                  <c:v>1.0043771680406</c:v>
                </c:pt>
                <c:pt idx="61">
                  <c:v>1.0043771680406</c:v>
                </c:pt>
                <c:pt idx="62">
                  <c:v>1.0043771680406</c:v>
                </c:pt>
                <c:pt idx="63">
                  <c:v>1.0043771680406</c:v>
                </c:pt>
                <c:pt idx="64">
                  <c:v>1.0043771680406</c:v>
                </c:pt>
                <c:pt idx="65">
                  <c:v>1.0043771680406</c:v>
                </c:pt>
                <c:pt idx="66">
                  <c:v>1.0043771680406</c:v>
                </c:pt>
                <c:pt idx="67">
                  <c:v>1.0043771680406</c:v>
                </c:pt>
                <c:pt idx="68">
                  <c:v>1.0043771680406</c:v>
                </c:pt>
                <c:pt idx="69">
                  <c:v>1.0043771680406</c:v>
                </c:pt>
                <c:pt idx="70">
                  <c:v>1.0043771680406</c:v>
                </c:pt>
                <c:pt idx="71">
                  <c:v>1.0043771680406</c:v>
                </c:pt>
                <c:pt idx="72">
                  <c:v>1.0043771680406</c:v>
                </c:pt>
                <c:pt idx="73">
                  <c:v>1.0043771680406</c:v>
                </c:pt>
                <c:pt idx="74">
                  <c:v>1.0043771680406</c:v>
                </c:pt>
                <c:pt idx="75">
                  <c:v>1.0043771680406</c:v>
                </c:pt>
                <c:pt idx="76">
                  <c:v>1.0043771680406</c:v>
                </c:pt>
                <c:pt idx="77">
                  <c:v>1.0043771680406</c:v>
                </c:pt>
                <c:pt idx="78">
                  <c:v>1.0043771680406</c:v>
                </c:pt>
                <c:pt idx="79">
                  <c:v>1.0043771680406</c:v>
                </c:pt>
                <c:pt idx="80">
                  <c:v>1.0043771680406</c:v>
                </c:pt>
                <c:pt idx="81">
                  <c:v>1.0043771680406</c:v>
                </c:pt>
                <c:pt idx="82">
                  <c:v>1.0043771680406</c:v>
                </c:pt>
                <c:pt idx="83">
                  <c:v>1.0043771680406</c:v>
                </c:pt>
                <c:pt idx="84">
                  <c:v>1.0043771680406</c:v>
                </c:pt>
                <c:pt idx="85">
                  <c:v>1.0043771680406</c:v>
                </c:pt>
                <c:pt idx="86">
                  <c:v>1.0043771680406</c:v>
                </c:pt>
                <c:pt idx="87">
                  <c:v>1.0043771680406</c:v>
                </c:pt>
                <c:pt idx="88">
                  <c:v>1.0043771680406</c:v>
                </c:pt>
                <c:pt idx="89">
                  <c:v>1.0043771680406</c:v>
                </c:pt>
                <c:pt idx="90">
                  <c:v>1.0043771680406</c:v>
                </c:pt>
                <c:pt idx="91">
                  <c:v>1.0043771680406</c:v>
                </c:pt>
                <c:pt idx="92">
                  <c:v>1.0043771680406</c:v>
                </c:pt>
                <c:pt idx="93">
                  <c:v>1.0043771680406</c:v>
                </c:pt>
                <c:pt idx="94">
                  <c:v>1.0043771680406</c:v>
                </c:pt>
                <c:pt idx="95">
                  <c:v>1.0043771680406</c:v>
                </c:pt>
                <c:pt idx="96">
                  <c:v>1.0043771680406</c:v>
                </c:pt>
                <c:pt idx="97">
                  <c:v>1.0043771680406</c:v>
                </c:pt>
                <c:pt idx="98">
                  <c:v>1.0043771680406</c:v>
                </c:pt>
                <c:pt idx="99">
                  <c:v>1.0043771680406</c:v>
                </c:pt>
                <c:pt idx="100">
                  <c:v>1.0043771680406</c:v>
                </c:pt>
                <c:pt idx="101">
                  <c:v>1.0043771680406</c:v>
                </c:pt>
                <c:pt idx="102">
                  <c:v>1.0043771680406</c:v>
                </c:pt>
                <c:pt idx="103">
                  <c:v>1.0043771680406</c:v>
                </c:pt>
                <c:pt idx="104">
                  <c:v>1.0043771680406</c:v>
                </c:pt>
                <c:pt idx="105">
                  <c:v>1.0043771680406</c:v>
                </c:pt>
                <c:pt idx="106">
                  <c:v>1.0043771680406</c:v>
                </c:pt>
                <c:pt idx="107">
                  <c:v>1.0043771680406</c:v>
                </c:pt>
                <c:pt idx="108">
                  <c:v>1.0043771680406</c:v>
                </c:pt>
                <c:pt idx="109">
                  <c:v>1.0043771680406</c:v>
                </c:pt>
                <c:pt idx="110">
                  <c:v>1.0043771680406</c:v>
                </c:pt>
                <c:pt idx="111">
                  <c:v>1.0043771680406</c:v>
                </c:pt>
                <c:pt idx="112">
                  <c:v>1.0043771680406</c:v>
                </c:pt>
                <c:pt idx="113">
                  <c:v>1.0043771680406</c:v>
                </c:pt>
                <c:pt idx="114">
                  <c:v>1.0043771680406</c:v>
                </c:pt>
                <c:pt idx="115">
                  <c:v>1.0043771680406</c:v>
                </c:pt>
                <c:pt idx="116">
                  <c:v>1.0043771680406</c:v>
                </c:pt>
                <c:pt idx="117">
                  <c:v>1.0043771680406</c:v>
                </c:pt>
                <c:pt idx="118">
                  <c:v>1.0043771680406</c:v>
                </c:pt>
                <c:pt idx="119">
                  <c:v>1.0043771680406</c:v>
                </c:pt>
                <c:pt idx="120">
                  <c:v>1.0043771680406</c:v>
                </c:pt>
                <c:pt idx="121">
                  <c:v>1.0043771680406</c:v>
                </c:pt>
                <c:pt idx="122">
                  <c:v>1.0043771680406</c:v>
                </c:pt>
                <c:pt idx="123">
                  <c:v>1.0043771680406</c:v>
                </c:pt>
                <c:pt idx="124">
                  <c:v>1.0043771680406</c:v>
                </c:pt>
                <c:pt idx="125">
                  <c:v>1.0043771680406</c:v>
                </c:pt>
                <c:pt idx="126">
                  <c:v>1.0043771680406</c:v>
                </c:pt>
                <c:pt idx="127">
                  <c:v>1.0043771680406</c:v>
                </c:pt>
                <c:pt idx="128">
                  <c:v>1.0043771680406</c:v>
                </c:pt>
                <c:pt idx="129">
                  <c:v>1.0043771680406</c:v>
                </c:pt>
                <c:pt idx="130">
                  <c:v>1.0043771680406</c:v>
                </c:pt>
                <c:pt idx="131">
                  <c:v>1.0043771680406</c:v>
                </c:pt>
                <c:pt idx="132">
                  <c:v>1.0043771680406</c:v>
                </c:pt>
                <c:pt idx="133">
                  <c:v>1.0043771680406</c:v>
                </c:pt>
                <c:pt idx="134">
                  <c:v>1.0043771680406</c:v>
                </c:pt>
                <c:pt idx="135">
                  <c:v>1.0043771680406</c:v>
                </c:pt>
                <c:pt idx="136">
                  <c:v>1.0043771680406</c:v>
                </c:pt>
                <c:pt idx="137">
                  <c:v>1.0043771680406</c:v>
                </c:pt>
                <c:pt idx="138">
                  <c:v>1.0043771680406</c:v>
                </c:pt>
                <c:pt idx="139">
                  <c:v>1.0043771680406</c:v>
                </c:pt>
                <c:pt idx="140">
                  <c:v>1.0043771680406</c:v>
                </c:pt>
                <c:pt idx="141">
                  <c:v>1.0043771680406</c:v>
                </c:pt>
                <c:pt idx="142">
                  <c:v>1.0043771680406</c:v>
                </c:pt>
                <c:pt idx="143">
                  <c:v>1.0043771680406</c:v>
                </c:pt>
                <c:pt idx="144">
                  <c:v>1.0043771680406</c:v>
                </c:pt>
                <c:pt idx="145">
                  <c:v>1.0043771680406</c:v>
                </c:pt>
                <c:pt idx="146">
                  <c:v>1.0043771680406</c:v>
                </c:pt>
                <c:pt idx="147">
                  <c:v>1.0043771680406</c:v>
                </c:pt>
                <c:pt idx="148">
                  <c:v>1.0043771680406</c:v>
                </c:pt>
                <c:pt idx="149">
                  <c:v>1.0043771680406</c:v>
                </c:pt>
                <c:pt idx="150">
                  <c:v>1.0043771680406</c:v>
                </c:pt>
                <c:pt idx="151">
                  <c:v>1.0043771680406</c:v>
                </c:pt>
                <c:pt idx="152">
                  <c:v>1.0043771680406</c:v>
                </c:pt>
                <c:pt idx="153">
                  <c:v>1.0043771680406</c:v>
                </c:pt>
                <c:pt idx="154">
                  <c:v>1.0043771680406</c:v>
                </c:pt>
                <c:pt idx="155">
                  <c:v>1.0043771680406</c:v>
                </c:pt>
                <c:pt idx="156">
                  <c:v>1.0043771680406</c:v>
                </c:pt>
                <c:pt idx="157">
                  <c:v>1.0043771680406</c:v>
                </c:pt>
                <c:pt idx="158">
                  <c:v>1.0043771680406</c:v>
                </c:pt>
                <c:pt idx="159">
                  <c:v>1.0043771680406</c:v>
                </c:pt>
                <c:pt idx="160">
                  <c:v>1.0043771680406</c:v>
                </c:pt>
                <c:pt idx="161">
                  <c:v>1.0043771680406</c:v>
                </c:pt>
                <c:pt idx="162">
                  <c:v>1.0043771680406</c:v>
                </c:pt>
                <c:pt idx="163">
                  <c:v>1.0043771680406</c:v>
                </c:pt>
                <c:pt idx="164">
                  <c:v>1.0043771680406</c:v>
                </c:pt>
                <c:pt idx="165">
                  <c:v>1.0043771680406</c:v>
                </c:pt>
                <c:pt idx="166">
                  <c:v>1.0043771680406</c:v>
                </c:pt>
                <c:pt idx="167">
                  <c:v>1.0043771680406</c:v>
                </c:pt>
                <c:pt idx="168">
                  <c:v>1.0043771680406</c:v>
                </c:pt>
                <c:pt idx="169">
                  <c:v>1.0043771680406</c:v>
                </c:pt>
                <c:pt idx="170">
                  <c:v>1.0043771680406</c:v>
                </c:pt>
                <c:pt idx="171">
                  <c:v>1.0043771680406</c:v>
                </c:pt>
                <c:pt idx="172">
                  <c:v>1.0043771680406</c:v>
                </c:pt>
                <c:pt idx="173">
                  <c:v>1.0043771680406</c:v>
                </c:pt>
                <c:pt idx="174">
                  <c:v>1.0043771680406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2F-4690-8750-3889D9FA9FB9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GOOGL*/GOOG*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0.99849391642845198</c:v>
                </c:pt>
                <c:pt idx="10">
                  <c:v>0.99844490565331201</c:v>
                </c:pt>
                <c:pt idx="11">
                  <c:v>0.99864104953788402</c:v>
                </c:pt>
                <c:pt idx="12">
                  <c:v>0.99870781157889499</c:v>
                </c:pt>
                <c:pt idx="13">
                  <c:v>0.99875669848234705</c:v>
                </c:pt>
                <c:pt idx="14">
                  <c:v>0.99877930030269002</c:v>
                </c:pt>
                <c:pt idx="15">
                  <c:v>0.99885355506065798</c:v>
                </c:pt>
                <c:pt idx="16">
                  <c:v>0.99898069996906103</c:v>
                </c:pt>
                <c:pt idx="17">
                  <c:v>0.999037139515074</c:v>
                </c:pt>
                <c:pt idx="18">
                  <c:v>0.99905582615428101</c:v>
                </c:pt>
                <c:pt idx="19">
                  <c:v>0.99901332622369698</c:v>
                </c:pt>
                <c:pt idx="20">
                  <c:v>0.99876542415707903</c:v>
                </c:pt>
                <c:pt idx="21">
                  <c:v>0.99852451069862003</c:v>
                </c:pt>
                <c:pt idx="22">
                  <c:v>0.99843451249858495</c:v>
                </c:pt>
                <c:pt idx="23">
                  <c:v>0.99850104565994602</c:v>
                </c:pt>
                <c:pt idx="24">
                  <c:v>0.99857900469359895</c:v>
                </c:pt>
                <c:pt idx="25">
                  <c:v>0.998653267609797</c:v>
                </c:pt>
                <c:pt idx="26">
                  <c:v>0.99877190378585101</c:v>
                </c:pt>
                <c:pt idx="27">
                  <c:v>0.99873334906466604</c:v>
                </c:pt>
                <c:pt idx="28">
                  <c:v>0.99873481654747798</c:v>
                </c:pt>
                <c:pt idx="29">
                  <c:v>0.99879334298059097</c:v>
                </c:pt>
                <c:pt idx="30">
                  <c:v>0.99887998596382199</c:v>
                </c:pt>
                <c:pt idx="31">
                  <c:v>0.99896986667904397</c:v>
                </c:pt>
                <c:pt idx="32">
                  <c:v>0.99882597372082504</c:v>
                </c:pt>
                <c:pt idx="33">
                  <c:v>0.99887552372338995</c:v>
                </c:pt>
                <c:pt idx="34">
                  <c:v>0.99888563781283302</c:v>
                </c:pt>
                <c:pt idx="35">
                  <c:v>0.99890386620245197</c:v>
                </c:pt>
                <c:pt idx="36">
                  <c:v>0.99887802881874999</c:v>
                </c:pt>
                <c:pt idx="37">
                  <c:v>0.99907175575375196</c:v>
                </c:pt>
                <c:pt idx="38">
                  <c:v>0.99929731646292796</c:v>
                </c:pt>
                <c:pt idx="39">
                  <c:v>0.99944757541042395</c:v>
                </c:pt>
                <c:pt idx="40">
                  <c:v>0.99971834723699504</c:v>
                </c:pt>
                <c:pt idx="41">
                  <c:v>0.99981359079679699</c:v>
                </c:pt>
                <c:pt idx="42">
                  <c:v>1.00003751219665</c:v>
                </c:pt>
                <c:pt idx="43">
                  <c:v>1.0000858585633301</c:v>
                </c:pt>
                <c:pt idx="44">
                  <c:v>1.0002644002296399</c:v>
                </c:pt>
                <c:pt idx="45">
                  <c:v>1.00030667154308</c:v>
                </c:pt>
                <c:pt idx="46">
                  <c:v>1.00043898640172</c:v>
                </c:pt>
                <c:pt idx="47">
                  <c:v>1.00047623792706</c:v>
                </c:pt>
                <c:pt idx="48">
                  <c:v>1.0006422846638801</c:v>
                </c:pt>
                <c:pt idx="49">
                  <c:v>1.00096454114739</c:v>
                </c:pt>
                <c:pt idx="50">
                  <c:v>1.00144597826117</c:v>
                </c:pt>
                <c:pt idx="51">
                  <c:v>1.00200523566811</c:v>
                </c:pt>
                <c:pt idx="52">
                  <c:v>1.00247312581378</c:v>
                </c:pt>
                <c:pt idx="53">
                  <c:v>1.0031390244780101</c:v>
                </c:pt>
                <c:pt idx="54">
                  <c:v>1.0040413035351801</c:v>
                </c:pt>
                <c:pt idx="55">
                  <c:v>1.00443423376256</c:v>
                </c:pt>
                <c:pt idx="56">
                  <c:v>1.00480617163011</c:v>
                </c:pt>
                <c:pt idx="57">
                  <c:v>1.0047581543894299</c:v>
                </c:pt>
                <c:pt idx="58">
                  <c:v>1.00469800924271</c:v>
                </c:pt>
                <c:pt idx="59">
                  <c:v>1.0044553271618599</c:v>
                </c:pt>
                <c:pt idx="60">
                  <c:v>1.00421132303865</c:v>
                </c:pt>
                <c:pt idx="61">
                  <c:v>1.0046018735963</c:v>
                </c:pt>
                <c:pt idx="62">
                  <c:v>1.0045888353662</c:v>
                </c:pt>
                <c:pt idx="63">
                  <c:v>1.0046319577353799</c:v>
                </c:pt>
                <c:pt idx="64">
                  <c:v>1.00411870872039</c:v>
                </c:pt>
                <c:pt idx="65">
                  <c:v>1.0045096639192299</c:v>
                </c:pt>
                <c:pt idx="66">
                  <c:v>1.0047170422223699</c:v>
                </c:pt>
                <c:pt idx="67">
                  <c:v>1.0051343652081799</c:v>
                </c:pt>
                <c:pt idx="68">
                  <c:v>1.00558037492815</c:v>
                </c:pt>
                <c:pt idx="69">
                  <c:v>1.0061533962146101</c:v>
                </c:pt>
                <c:pt idx="70">
                  <c:v>1.00670167300364</c:v>
                </c:pt>
                <c:pt idx="71">
                  <c:v>1.0068339695247399</c:v>
                </c:pt>
                <c:pt idx="72">
                  <c:v>1.0070608610859</c:v>
                </c:pt>
                <c:pt idx="73">
                  <c:v>1.00688035474647</c:v>
                </c:pt>
                <c:pt idx="74">
                  <c:v>1.00692768013445</c:v>
                </c:pt>
                <c:pt idx="75">
                  <c:v>1.00657874619389</c:v>
                </c:pt>
                <c:pt idx="76">
                  <c:v>1.0062461724876299</c:v>
                </c:pt>
                <c:pt idx="77">
                  <c:v>1.00637235184014</c:v>
                </c:pt>
                <c:pt idx="78">
                  <c:v>1.0062366859080401</c:v>
                </c:pt>
                <c:pt idx="79">
                  <c:v>1.00618797918765</c:v>
                </c:pt>
                <c:pt idx="80">
                  <c:v>1.00615292949229</c:v>
                </c:pt>
                <c:pt idx="81">
                  <c:v>1.00592508766629</c:v>
                </c:pt>
                <c:pt idx="82">
                  <c:v>1.00589785233323</c:v>
                </c:pt>
                <c:pt idx="83">
                  <c:v>1.0062464872355601</c:v>
                </c:pt>
                <c:pt idx="84">
                  <c:v>1.0067783286079801</c:v>
                </c:pt>
                <c:pt idx="85">
                  <c:v>1.0070414554244</c:v>
                </c:pt>
                <c:pt idx="86">
                  <c:v>1.00738442349313</c:v>
                </c:pt>
                <c:pt idx="87">
                  <c:v>1.0077212703232199</c:v>
                </c:pt>
                <c:pt idx="88">
                  <c:v>1.0076825536092899</c:v>
                </c:pt>
                <c:pt idx="89">
                  <c:v>1.0079461404450001</c:v>
                </c:pt>
                <c:pt idx="90">
                  <c:v>1.00808604504504</c:v>
                </c:pt>
                <c:pt idx="91">
                  <c:v>1.0083191836086101</c:v>
                </c:pt>
                <c:pt idx="92">
                  <c:v>1.00855433606033</c:v>
                </c:pt>
                <c:pt idx="93">
                  <c:v>1.0085777172144701</c:v>
                </c:pt>
                <c:pt idx="94">
                  <c:v>1.0082122144333501</c:v>
                </c:pt>
                <c:pt idx="95">
                  <c:v>1.0085201263871799</c:v>
                </c:pt>
                <c:pt idx="96">
                  <c:v>1.00893228448461</c:v>
                </c:pt>
                <c:pt idx="97">
                  <c:v>1.00893409982594</c:v>
                </c:pt>
                <c:pt idx="98">
                  <c:v>1.00950039526965</c:v>
                </c:pt>
                <c:pt idx="99">
                  <c:v>1.0096201133296701</c:v>
                </c:pt>
                <c:pt idx="100">
                  <c:v>1.00976149740437</c:v>
                </c:pt>
                <c:pt idx="101">
                  <c:v>1.0098182558628499</c:v>
                </c:pt>
                <c:pt idx="102">
                  <c:v>1.00995579622454</c:v>
                </c:pt>
                <c:pt idx="103">
                  <c:v>1.00994694293986</c:v>
                </c:pt>
                <c:pt idx="104">
                  <c:v>1.01016048535707</c:v>
                </c:pt>
                <c:pt idx="105">
                  <c:v>1.0099094056267801</c:v>
                </c:pt>
                <c:pt idx="106">
                  <c:v>1.0095740789124901</c:v>
                </c:pt>
                <c:pt idx="107">
                  <c:v>1.0092203168970799</c:v>
                </c:pt>
                <c:pt idx="108">
                  <c:v>1.0087142932562001</c:v>
                </c:pt>
                <c:pt idx="109">
                  <c:v>1.0085409436703101</c:v>
                </c:pt>
                <c:pt idx="110">
                  <c:v>1.00784176025345</c:v>
                </c:pt>
                <c:pt idx="111">
                  <c:v>1.0072274458514701</c:v>
                </c:pt>
                <c:pt idx="112">
                  <c:v>1.00682038599109</c:v>
                </c:pt>
                <c:pt idx="113">
                  <c:v>1.00643431593163</c:v>
                </c:pt>
                <c:pt idx="114">
                  <c:v>1.00597042604578</c:v>
                </c:pt>
                <c:pt idx="115">
                  <c:v>1.0053347956540699</c:v>
                </c:pt>
                <c:pt idx="116">
                  <c:v>1.00483551076391</c:v>
                </c:pt>
                <c:pt idx="117">
                  <c:v>1.0042574395320101</c:v>
                </c:pt>
                <c:pt idx="118">
                  <c:v>1.00378613161595</c:v>
                </c:pt>
                <c:pt idx="119">
                  <c:v>1.00336425886616</c:v>
                </c:pt>
                <c:pt idx="120">
                  <c:v>1.0038316217039001</c:v>
                </c:pt>
                <c:pt idx="121">
                  <c:v>1.00408190584297</c:v>
                </c:pt>
                <c:pt idx="122">
                  <c:v>1.0046151415179601</c:v>
                </c:pt>
                <c:pt idx="123">
                  <c:v>1.0049634421911899</c:v>
                </c:pt>
                <c:pt idx="124">
                  <c:v>1.00554394360522</c:v>
                </c:pt>
                <c:pt idx="125">
                  <c:v>1.00581633906821</c:v>
                </c:pt>
                <c:pt idx="126">
                  <c:v>1.0064960889499199</c:v>
                </c:pt>
                <c:pt idx="127">
                  <c:v>1.0073765147193099</c:v>
                </c:pt>
                <c:pt idx="128">
                  <c:v>1.0080479398818001</c:v>
                </c:pt>
                <c:pt idx="129">
                  <c:v>1.0082093248406601</c:v>
                </c:pt>
                <c:pt idx="130">
                  <c:v>1.0079273180186401</c:v>
                </c:pt>
                <c:pt idx="131">
                  <c:v>1.007862722864</c:v>
                </c:pt>
                <c:pt idx="132">
                  <c:v>1.0069110988927801</c:v>
                </c:pt>
                <c:pt idx="133">
                  <c:v>1.0061671539791099</c:v>
                </c:pt>
                <c:pt idx="134">
                  <c:v>1.00530772680512</c:v>
                </c:pt>
                <c:pt idx="135">
                  <c:v>1.0050566645905401</c:v>
                </c:pt>
                <c:pt idx="136">
                  <c:v>1.00439617676032</c:v>
                </c:pt>
                <c:pt idx="137">
                  <c:v>1.0035539488973499</c:v>
                </c:pt>
                <c:pt idx="138">
                  <c:v>1.00260588416181</c:v>
                </c:pt>
                <c:pt idx="139">
                  <c:v>1.00220400581904</c:v>
                </c:pt>
                <c:pt idx="140">
                  <c:v>1.00167623384725</c:v>
                </c:pt>
                <c:pt idx="141">
                  <c:v>1.00139988774461</c:v>
                </c:pt>
                <c:pt idx="142">
                  <c:v>1.0014910448979299</c:v>
                </c:pt>
                <c:pt idx="143">
                  <c:v>1.00130133670846</c:v>
                </c:pt>
                <c:pt idx="144">
                  <c:v>1.0009677393627201</c:v>
                </c:pt>
                <c:pt idx="145">
                  <c:v>1.00107050430796</c:v>
                </c:pt>
                <c:pt idx="146">
                  <c:v>1.0014059613602</c:v>
                </c:pt>
                <c:pt idx="147">
                  <c:v>1.0019919741894801</c:v>
                </c:pt>
                <c:pt idx="148">
                  <c:v>1.0025130222837799</c:v>
                </c:pt>
                <c:pt idx="149">
                  <c:v>1.0025441328355</c:v>
                </c:pt>
                <c:pt idx="150">
                  <c:v>1.00301931726829</c:v>
                </c:pt>
                <c:pt idx="151">
                  <c:v>1.0029188192046199</c:v>
                </c:pt>
                <c:pt idx="152">
                  <c:v>1.0029776145585001</c:v>
                </c:pt>
                <c:pt idx="153">
                  <c:v>1.00368721941994</c:v>
                </c:pt>
                <c:pt idx="154">
                  <c:v>1.00451998575339</c:v>
                </c:pt>
                <c:pt idx="155">
                  <c:v>1.0049875836886799</c:v>
                </c:pt>
                <c:pt idx="156">
                  <c:v>1.0052304247038899</c:v>
                </c:pt>
                <c:pt idx="157">
                  <c:v>1.00547558265465</c:v>
                </c:pt>
                <c:pt idx="158">
                  <c:v>1.0058890558445699</c:v>
                </c:pt>
                <c:pt idx="159">
                  <c:v>1.00655255849234</c:v>
                </c:pt>
                <c:pt idx="160">
                  <c:v>1.0070874300089201</c:v>
                </c:pt>
                <c:pt idx="161">
                  <c:v>1.0079085423165699</c:v>
                </c:pt>
                <c:pt idx="162">
                  <c:v>1.0084220117216001</c:v>
                </c:pt>
                <c:pt idx="163">
                  <c:v>1.0085889700501101</c:v>
                </c:pt>
                <c:pt idx="164">
                  <c:v>1.00898401612158</c:v>
                </c:pt>
                <c:pt idx="165">
                  <c:v>1.00941188280093</c:v>
                </c:pt>
                <c:pt idx="166">
                  <c:v>1.00945680140031</c:v>
                </c:pt>
                <c:pt idx="167">
                  <c:v>1.00957364430404</c:v>
                </c:pt>
                <c:pt idx="168">
                  <c:v>1.00984602044941</c:v>
                </c:pt>
                <c:pt idx="169">
                  <c:v>1.0098871321508001</c:v>
                </c:pt>
                <c:pt idx="170">
                  <c:v>1.00976868266982</c:v>
                </c:pt>
                <c:pt idx="171">
                  <c:v>1.00940560651704</c:v>
                </c:pt>
                <c:pt idx="172">
                  <c:v>1.0092193080066501</c:v>
                </c:pt>
                <c:pt idx="173">
                  <c:v>1.00925796499547</c:v>
                </c:pt>
                <c:pt idx="174">
                  <c:v>1.00924042980211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2F-4690-8750-3889D9FA9FB9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GOOGL*/GOOG*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0.99875362132607404</c:v>
                </c:pt>
                <c:pt idx="20">
                  <c:v>0.99860516490519502</c:v>
                </c:pt>
                <c:pt idx="21">
                  <c:v>0.99858278011825197</c:v>
                </c:pt>
                <c:pt idx="22">
                  <c:v>0.99857116203873997</c:v>
                </c:pt>
                <c:pt idx="23">
                  <c:v>0.99862887207114603</c:v>
                </c:pt>
                <c:pt idx="24">
                  <c:v>0.99867915249814398</c:v>
                </c:pt>
                <c:pt idx="25">
                  <c:v>0.99875341133522699</c:v>
                </c:pt>
                <c:pt idx="26">
                  <c:v>0.99887630187745602</c:v>
                </c:pt>
                <c:pt idx="27">
                  <c:v>0.99888524428987002</c:v>
                </c:pt>
                <c:pt idx="28">
                  <c:v>0.998895321350879</c:v>
                </c:pt>
                <c:pt idx="29">
                  <c:v>0.99890333460214398</c:v>
                </c:pt>
                <c:pt idx="30">
                  <c:v>0.99882270506045001</c:v>
                </c:pt>
                <c:pt idx="31">
                  <c:v>0.99874718868883205</c:v>
                </c:pt>
                <c:pt idx="32">
                  <c:v>0.99863024310970405</c:v>
                </c:pt>
                <c:pt idx="33">
                  <c:v>0.99868828469166804</c:v>
                </c:pt>
                <c:pt idx="34">
                  <c:v>0.99873232125321598</c:v>
                </c:pt>
                <c:pt idx="35">
                  <c:v>0.99877856690612399</c:v>
                </c:pt>
                <c:pt idx="36">
                  <c:v>0.9988249663023</c:v>
                </c:pt>
                <c:pt idx="37">
                  <c:v>0.998902552409209</c:v>
                </c:pt>
                <c:pt idx="38">
                  <c:v>0.99901606650520303</c:v>
                </c:pt>
                <c:pt idx="39">
                  <c:v>0.99912045919550696</c:v>
                </c:pt>
                <c:pt idx="40">
                  <c:v>0.99929916660040796</c:v>
                </c:pt>
                <c:pt idx="41">
                  <c:v>0.99939172873792104</c:v>
                </c:pt>
                <c:pt idx="42">
                  <c:v>0.99943174295873904</c:v>
                </c:pt>
                <c:pt idx="43">
                  <c:v>0.99948069114336302</c:v>
                </c:pt>
                <c:pt idx="44">
                  <c:v>0.99957501902123902</c:v>
                </c:pt>
                <c:pt idx="45">
                  <c:v>0.99960526887276802</c:v>
                </c:pt>
                <c:pt idx="46">
                  <c:v>0.999658507610237</c:v>
                </c:pt>
                <c:pt idx="47">
                  <c:v>0.99977399684040902</c:v>
                </c:pt>
                <c:pt idx="48">
                  <c:v>0.99996980056340801</c:v>
                </c:pt>
                <c:pt idx="49">
                  <c:v>1.0002060582789101</c:v>
                </c:pt>
                <c:pt idx="50">
                  <c:v>1.0005821627490801</c:v>
                </c:pt>
                <c:pt idx="51">
                  <c:v>1.0009094132324501</c:v>
                </c:pt>
                <c:pt idx="52">
                  <c:v>1.00125531900521</c:v>
                </c:pt>
                <c:pt idx="53">
                  <c:v>1.00161244152067</c:v>
                </c:pt>
                <c:pt idx="54">
                  <c:v>1.0021528518824101</c:v>
                </c:pt>
                <c:pt idx="55">
                  <c:v>1.0023704526528201</c:v>
                </c:pt>
                <c:pt idx="56">
                  <c:v>1.00262257901591</c:v>
                </c:pt>
                <c:pt idx="57">
                  <c:v>1.00261719615825</c:v>
                </c:pt>
                <c:pt idx="58">
                  <c:v>1.0026701469532999</c:v>
                </c:pt>
                <c:pt idx="59">
                  <c:v>1.0027099341546299</c:v>
                </c:pt>
                <c:pt idx="60">
                  <c:v>1.00282865064991</c:v>
                </c:pt>
                <c:pt idx="61">
                  <c:v>1.0033035546322</c:v>
                </c:pt>
                <c:pt idx="62">
                  <c:v>1.0035309805899899</c:v>
                </c:pt>
                <c:pt idx="63">
                  <c:v>1.0038854911066899</c:v>
                </c:pt>
                <c:pt idx="64">
                  <c:v>1.0040800061277899</c:v>
                </c:pt>
                <c:pt idx="65">
                  <c:v>1.00447194884089</c:v>
                </c:pt>
                <c:pt idx="66">
                  <c:v>1.0047616069262399</c:v>
                </c:pt>
                <c:pt idx="67">
                  <c:v>1.0049462597988099</c:v>
                </c:pt>
                <c:pt idx="68">
                  <c:v>1.00513919208543</c:v>
                </c:pt>
                <c:pt idx="69">
                  <c:v>1.00530436168823</c:v>
                </c:pt>
                <c:pt idx="70">
                  <c:v>1.00545649802114</c:v>
                </c:pt>
                <c:pt idx="71">
                  <c:v>1.0057179215605201</c:v>
                </c:pt>
                <c:pt idx="72">
                  <c:v>1.0058248482260499</c:v>
                </c:pt>
                <c:pt idx="73">
                  <c:v>1.0057561562409301</c:v>
                </c:pt>
                <c:pt idx="74">
                  <c:v>1.0055231944274201</c:v>
                </c:pt>
                <c:pt idx="75">
                  <c:v>1.0055442050565599</c:v>
                </c:pt>
                <c:pt idx="76">
                  <c:v>1.0054816073549999</c:v>
                </c:pt>
                <c:pt idx="77">
                  <c:v>1.00575335852416</c:v>
                </c:pt>
                <c:pt idx="78">
                  <c:v>1.0059085304180999</c:v>
                </c:pt>
                <c:pt idx="79">
                  <c:v>1.0061706877011301</c:v>
                </c:pt>
                <c:pt idx="80">
                  <c:v>1.0064273012479701</c:v>
                </c:pt>
                <c:pt idx="81">
                  <c:v>1.0063795285955199</c:v>
                </c:pt>
                <c:pt idx="82">
                  <c:v>1.00647935670956</c:v>
                </c:pt>
                <c:pt idx="83">
                  <c:v>1.0065634209910199</c:v>
                </c:pt>
                <c:pt idx="84">
                  <c:v>1.0068530043712101</c:v>
                </c:pt>
                <c:pt idx="85">
                  <c:v>1.0068101008091399</c:v>
                </c:pt>
                <c:pt idx="86">
                  <c:v>1.0068152979903799</c:v>
                </c:pt>
                <c:pt idx="87">
                  <c:v>1.0070468110816799</c:v>
                </c:pt>
                <c:pt idx="88">
                  <c:v>1.0069596197586701</c:v>
                </c:pt>
                <c:pt idx="89">
                  <c:v>1.00706705981633</c:v>
                </c:pt>
                <c:pt idx="90">
                  <c:v>1.00711948726867</c:v>
                </c:pt>
                <c:pt idx="91">
                  <c:v>1.00712213563745</c:v>
                </c:pt>
                <c:pt idx="92">
                  <c:v>1.0072260941967801</c:v>
                </c:pt>
                <c:pt idx="93">
                  <c:v>1.00741210222502</c:v>
                </c:pt>
                <c:pt idx="94">
                  <c:v>1.00749527152066</c:v>
                </c:pt>
                <c:pt idx="95">
                  <c:v>1.0077807909057901</c:v>
                </c:pt>
                <c:pt idx="96">
                  <c:v>1.0081583539888701</c:v>
                </c:pt>
                <c:pt idx="97">
                  <c:v>1.0083276850745799</c:v>
                </c:pt>
                <c:pt idx="98">
                  <c:v>1.0085914744394699</c:v>
                </c:pt>
                <c:pt idx="99">
                  <c:v>1.00878312688733</c:v>
                </c:pt>
                <c:pt idx="100">
                  <c:v>1.0089237712247101</c:v>
                </c:pt>
                <c:pt idx="101">
                  <c:v>1.00906871973573</c:v>
                </c:pt>
                <c:pt idx="102">
                  <c:v>1.00925506614244</c:v>
                </c:pt>
                <c:pt idx="103">
                  <c:v>1.0092623300771699</c:v>
                </c:pt>
                <c:pt idx="104">
                  <c:v>1.0091863498952101</c:v>
                </c:pt>
                <c:pt idx="105">
                  <c:v>1.0092147660069799</c:v>
                </c:pt>
                <c:pt idx="106">
                  <c:v>1.0092531816985499</c:v>
                </c:pt>
                <c:pt idx="107">
                  <c:v>1.00907720836151</c:v>
                </c:pt>
                <c:pt idx="108">
                  <c:v>1.0091073442629199</c:v>
                </c:pt>
                <c:pt idx="109">
                  <c:v>1.00908052849999</c:v>
                </c:pt>
                <c:pt idx="110">
                  <c:v>1.0088016288289099</c:v>
                </c:pt>
                <c:pt idx="111">
                  <c:v>1.00852285085716</c:v>
                </c:pt>
                <c:pt idx="112">
                  <c:v>1.00838809110782</c:v>
                </c:pt>
                <c:pt idx="113">
                  <c:v>1.0081906294357399</c:v>
                </c:pt>
                <c:pt idx="114">
                  <c:v>1.0080654557014199</c:v>
                </c:pt>
                <c:pt idx="115">
                  <c:v>1.00762210064042</c:v>
                </c:pt>
                <c:pt idx="116">
                  <c:v>1.0072047948381999</c:v>
                </c:pt>
                <c:pt idx="117">
                  <c:v>1.0067388782145501</c:v>
                </c:pt>
                <c:pt idx="118">
                  <c:v>1.0062502124360799</c:v>
                </c:pt>
                <c:pt idx="119">
                  <c:v>1.00595260126824</c:v>
                </c:pt>
                <c:pt idx="120">
                  <c:v>1.00583669097867</c:v>
                </c:pt>
                <c:pt idx="121">
                  <c:v>1.00565467584722</c:v>
                </c:pt>
                <c:pt idx="122">
                  <c:v>1.00571776375452</c:v>
                </c:pt>
                <c:pt idx="123">
                  <c:v>1.0056988790614101</c:v>
                </c:pt>
                <c:pt idx="124">
                  <c:v>1.0057571848255</c:v>
                </c:pt>
                <c:pt idx="125">
                  <c:v>1.00557556736114</c:v>
                </c:pt>
                <c:pt idx="126">
                  <c:v>1.0056657998569201</c:v>
                </c:pt>
                <c:pt idx="127">
                  <c:v>1.00581697712566</c:v>
                </c:pt>
                <c:pt idx="128">
                  <c:v>1.00591703574888</c:v>
                </c:pt>
                <c:pt idx="129">
                  <c:v>1.00578679185341</c:v>
                </c:pt>
                <c:pt idx="130">
                  <c:v>1.0058794698612701</c:v>
                </c:pt>
                <c:pt idx="131">
                  <c:v>1.00597231435348</c:v>
                </c:pt>
                <c:pt idx="132">
                  <c:v>1.0057631202053701</c:v>
                </c:pt>
                <c:pt idx="133">
                  <c:v>1.0055652980851499</c:v>
                </c:pt>
                <c:pt idx="134">
                  <c:v>1.0054258352051699</c:v>
                </c:pt>
                <c:pt idx="135">
                  <c:v>1.00543650182938</c:v>
                </c:pt>
                <c:pt idx="136">
                  <c:v>1.0054461328551201</c:v>
                </c:pt>
                <c:pt idx="137">
                  <c:v>1.0054652318083299</c:v>
                </c:pt>
                <c:pt idx="138">
                  <c:v>1.0053269120218</c:v>
                </c:pt>
                <c:pt idx="139">
                  <c:v>1.0052066653298499</c:v>
                </c:pt>
                <c:pt idx="140">
                  <c:v>1.0048017759329499</c:v>
                </c:pt>
                <c:pt idx="141">
                  <c:v>1.0046313053042999</c:v>
                </c:pt>
                <c:pt idx="142">
                  <c:v>1.00420107189536</c:v>
                </c:pt>
                <c:pt idx="143">
                  <c:v>1.0037342453437801</c:v>
                </c:pt>
                <c:pt idx="144">
                  <c:v>1.00313773308392</c:v>
                </c:pt>
                <c:pt idx="145">
                  <c:v>1.0030635844492499</c:v>
                </c:pt>
                <c:pt idx="146">
                  <c:v>1.00290106906026</c:v>
                </c:pt>
                <c:pt idx="147">
                  <c:v>1.00277296154342</c:v>
                </c:pt>
                <c:pt idx="148">
                  <c:v>1.0025594532227999</c:v>
                </c:pt>
                <c:pt idx="149">
                  <c:v>1.00237406932727</c:v>
                </c:pt>
                <c:pt idx="150">
                  <c:v>1.0023477755577701</c:v>
                </c:pt>
                <c:pt idx="151">
                  <c:v>1.00215935347461</c:v>
                </c:pt>
                <c:pt idx="152">
                  <c:v>1.0022343297282199</c:v>
                </c:pt>
                <c:pt idx="153">
                  <c:v>1.0024942780642001</c:v>
                </c:pt>
                <c:pt idx="154">
                  <c:v>1.00274386255806</c:v>
                </c:pt>
                <c:pt idx="155">
                  <c:v>1.00302904399832</c:v>
                </c:pt>
                <c:pt idx="156">
                  <c:v>1.0033181930320401</c:v>
                </c:pt>
                <c:pt idx="157">
                  <c:v>1.0037337784220699</c:v>
                </c:pt>
                <c:pt idx="158">
                  <c:v>1.00420103906418</c:v>
                </c:pt>
                <c:pt idx="159">
                  <c:v>1.0045483456639199</c:v>
                </c:pt>
                <c:pt idx="160">
                  <c:v>1.0050533736386</c:v>
                </c:pt>
                <c:pt idx="161">
                  <c:v>1.00541368076059</c:v>
                </c:pt>
                <c:pt idx="162">
                  <c:v>1.0056998131400501</c:v>
                </c:pt>
                <c:pt idx="163">
                  <c:v>1.00613809473503</c:v>
                </c:pt>
                <c:pt idx="164">
                  <c:v>1.00675200093748</c:v>
                </c:pt>
                <c:pt idx="165">
                  <c:v>1.0071997332448099</c:v>
                </c:pt>
                <c:pt idx="166">
                  <c:v>1.0073436130521001</c:v>
                </c:pt>
                <c:pt idx="167">
                  <c:v>1.0075246134793401</c:v>
                </c:pt>
                <c:pt idx="168">
                  <c:v>1.0078675381469899</c:v>
                </c:pt>
                <c:pt idx="169">
                  <c:v>1.0082198453215701</c:v>
                </c:pt>
                <c:pt idx="170">
                  <c:v>1.0084280563393699</c:v>
                </c:pt>
                <c:pt idx="171">
                  <c:v>1.00865707441681</c:v>
                </c:pt>
                <c:pt idx="172">
                  <c:v>1.0088206598641301</c:v>
                </c:pt>
                <c:pt idx="173">
                  <c:v>1.0089234675227901</c:v>
                </c:pt>
                <c:pt idx="174">
                  <c:v>1.0091122229618501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2F-4690-8750-3889D9FA9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GOOG x avg / GOOGL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6.8287286327171799E-3</c:v>
                </c:pt>
                <c:pt idx="2">
                  <c:v>5.0354594719075199E-3</c:v>
                </c:pt>
                <c:pt idx="3">
                  <c:v>5.7642427024792303E-3</c:v>
                </c:pt>
                <c:pt idx="4">
                  <c:v>6.1175589867267901E-3</c:v>
                </c:pt>
                <c:pt idx="5">
                  <c:v>6.1009032448997901E-3</c:v>
                </c:pt>
                <c:pt idx="6">
                  <c:v>6.9857731541703699E-3</c:v>
                </c:pt>
                <c:pt idx="7">
                  <c:v>5.7358495120305398E-3</c:v>
                </c:pt>
                <c:pt idx="8">
                  <c:v>5.7661136912038101E-3</c:v>
                </c:pt>
                <c:pt idx="9">
                  <c:v>5.5088601838308299E-3</c:v>
                </c:pt>
                <c:pt idx="10">
                  <c:v>5.3973887364704596E-3</c:v>
                </c:pt>
                <c:pt idx="11">
                  <c:v>4.86438710284255E-3</c:v>
                </c:pt>
                <c:pt idx="12">
                  <c:v>4.3676161040520798E-3</c:v>
                </c:pt>
                <c:pt idx="13">
                  <c:v>5.27481021507753E-3</c:v>
                </c:pt>
                <c:pt idx="14">
                  <c:v>5.8911705458747701E-3</c:v>
                </c:pt>
                <c:pt idx="15">
                  <c:v>5.3573440096917301E-3</c:v>
                </c:pt>
                <c:pt idx="16">
                  <c:v>5.7118027002925498E-3</c:v>
                </c:pt>
                <c:pt idx="17">
                  <c:v>5.17084094605854E-3</c:v>
                </c:pt>
                <c:pt idx="18">
                  <c:v>5.57900329034934E-3</c:v>
                </c:pt>
                <c:pt idx="19">
                  <c:v>5.9344353387518201E-3</c:v>
                </c:pt>
                <c:pt idx="20">
                  <c:v>7.8820477554423195E-3</c:v>
                </c:pt>
                <c:pt idx="21">
                  <c:v>7.2776282985348301E-3</c:v>
                </c:pt>
                <c:pt idx="22">
                  <c:v>5.2680033313619503E-3</c:v>
                </c:pt>
                <c:pt idx="23">
                  <c:v>4.6090963793054499E-3</c:v>
                </c:pt>
                <c:pt idx="24">
                  <c:v>5.1106962051214802E-3</c:v>
                </c:pt>
                <c:pt idx="25">
                  <c:v>4.6142556416200898E-3</c:v>
                </c:pt>
                <c:pt idx="26">
                  <c:v>4.5245502391177798E-3</c:v>
                </c:pt>
                <c:pt idx="27">
                  <c:v>5.5567724253852303E-3</c:v>
                </c:pt>
                <c:pt idx="28">
                  <c:v>5.56431078249947E-3</c:v>
                </c:pt>
                <c:pt idx="29">
                  <c:v>5.3484250230359997E-3</c:v>
                </c:pt>
                <c:pt idx="30">
                  <c:v>7.0129453366350302E-3</c:v>
                </c:pt>
                <c:pt idx="31">
                  <c:v>6.3766078380938203E-3</c:v>
                </c:pt>
                <c:pt idx="32">
                  <c:v>6.7092672128078101E-3</c:v>
                </c:pt>
                <c:pt idx="33">
                  <c:v>4.1135994645962503E-3</c:v>
                </c:pt>
                <c:pt idx="34">
                  <c:v>5.0094852489751896E-3</c:v>
                </c:pt>
                <c:pt idx="35">
                  <c:v>4.4319434013629696E-3</c:v>
                </c:pt>
                <c:pt idx="36">
                  <c:v>4.7829980217400196E-3</c:v>
                </c:pt>
                <c:pt idx="37">
                  <c:v>3.6190765348224998E-3</c:v>
                </c:pt>
                <c:pt idx="38">
                  <c:v>3.3085489468619601E-3</c:v>
                </c:pt>
                <c:pt idx="39">
                  <c:v>3.8454910432413301E-3</c:v>
                </c:pt>
                <c:pt idx="40">
                  <c:v>4.3017334410511802E-3</c:v>
                </c:pt>
                <c:pt idx="41">
                  <c:v>5.42271198484621E-3</c:v>
                </c:pt>
                <c:pt idx="42">
                  <c:v>4.4673186581819201E-3</c:v>
                </c:pt>
                <c:pt idx="43">
                  <c:v>3.6303753615681898E-3</c:v>
                </c:pt>
                <c:pt idx="44">
                  <c:v>3.2245162196310601E-3</c:v>
                </c:pt>
                <c:pt idx="45">
                  <c:v>4.0092924036204004E-3</c:v>
                </c:pt>
                <c:pt idx="46">
                  <c:v>3.4601750254489201E-3</c:v>
                </c:pt>
                <c:pt idx="47">
                  <c:v>3.2469092822898699E-3</c:v>
                </c:pt>
                <c:pt idx="48">
                  <c:v>1.65121333391602E-3</c:v>
                </c:pt>
                <c:pt idx="49">
                  <c:v>6.2978428241381595E-4</c:v>
                </c:pt>
                <c:pt idx="50">
                  <c:v>-5.0077002074506896E-4</c:v>
                </c:pt>
                <c:pt idx="51">
                  <c:v>-1.6015266958415699E-4</c:v>
                </c:pt>
                <c:pt idx="52">
                  <c:v>-2.0113511234108499E-4</c:v>
                </c:pt>
                <c:pt idx="53">
                  <c:v>-3.0016631483426202E-3</c:v>
                </c:pt>
                <c:pt idx="54">
                  <c:v>-5.7475962483617797E-3</c:v>
                </c:pt>
                <c:pt idx="55">
                  <c:v>8.9091876615620498E-5</c:v>
                </c:pt>
                <c:pt idx="56">
                  <c:v>-2.4894277387792901E-4</c:v>
                </c:pt>
                <c:pt idx="57">
                  <c:v>3.7266589194123001E-3</c:v>
                </c:pt>
                <c:pt idx="58">
                  <c:v>2.25121319767457E-3</c:v>
                </c:pt>
                <c:pt idx="59">
                  <c:v>3.0504784922945798E-3</c:v>
                </c:pt>
                <c:pt idx="60">
                  <c:v>1.9303738544483499E-3</c:v>
                </c:pt>
                <c:pt idx="61">
                  <c:v>-4.0404767876332003E-3</c:v>
                </c:pt>
                <c:pt idx="62">
                  <c:v>-7.1338713745162501E-5</c:v>
                </c:pt>
                <c:pt idx="63">
                  <c:v>-3.4296291222351799E-3</c:v>
                </c:pt>
                <c:pt idx="64">
                  <c:v>-6.5380930455188695E-4</c:v>
                </c:pt>
                <c:pt idx="65">
                  <c:v>-3.7962111570315998E-3</c:v>
                </c:pt>
                <c:pt idx="66">
                  <c:v>-2.3110465306345001E-3</c:v>
                </c:pt>
                <c:pt idx="67">
                  <c:v>-4.3522427086505901E-4</c:v>
                </c:pt>
                <c:pt idx="68">
                  <c:v>-2.18957968823393E-3</c:v>
                </c:pt>
                <c:pt idx="69">
                  <c:v>-2.6558795873227801E-3</c:v>
                </c:pt>
                <c:pt idx="70">
                  <c:v>-3.5241445042369099E-3</c:v>
                </c:pt>
                <c:pt idx="71">
                  <c:v>-5.3515052441554202E-3</c:v>
                </c:pt>
                <c:pt idx="72">
                  <c:v>-2.3276576290330998E-3</c:v>
                </c:pt>
                <c:pt idx="73">
                  <c:v>-1.6369796846684001E-3</c:v>
                </c:pt>
                <c:pt idx="74">
                  <c:v>-1.12458190097914E-3</c:v>
                </c:pt>
                <c:pt idx="75">
                  <c:v>-3.2923914447737001E-4</c:v>
                </c:pt>
                <c:pt idx="76">
                  <c:v>9.9802199597275694E-4</c:v>
                </c:pt>
                <c:pt idx="77">
                  <c:v>-1.69018434096212E-3</c:v>
                </c:pt>
                <c:pt idx="78">
                  <c:v>-8.4087805636307998E-4</c:v>
                </c:pt>
                <c:pt idx="79">
                  <c:v>-2.1721043121461199E-3</c:v>
                </c:pt>
                <c:pt idx="80">
                  <c:v>-3.1763422266748499E-3</c:v>
                </c:pt>
                <c:pt idx="81">
                  <c:v>-3.09257448023142E-3</c:v>
                </c:pt>
                <c:pt idx="82">
                  <c:v>-2.0570850862886201E-3</c:v>
                </c:pt>
                <c:pt idx="83">
                  <c:v>-5.0964663855799699E-3</c:v>
                </c:pt>
                <c:pt idx="84">
                  <c:v>-6.3999267779167E-3</c:v>
                </c:pt>
                <c:pt idx="85">
                  <c:v>-2.9447541576503402E-3</c:v>
                </c:pt>
                <c:pt idx="86">
                  <c:v>-2.41429293395117E-3</c:v>
                </c:pt>
                <c:pt idx="87">
                  <c:v>-5.03271632538303E-3</c:v>
                </c:pt>
                <c:pt idx="88">
                  <c:v>-4.5564804081605899E-4</c:v>
                </c:pt>
                <c:pt idx="89">
                  <c:v>-4.7873682837582497E-3</c:v>
                </c:pt>
                <c:pt idx="90">
                  <c:v>-4.5639104749586098E-3</c:v>
                </c:pt>
                <c:pt idx="91">
                  <c:v>-5.4039589414135404E-3</c:v>
                </c:pt>
                <c:pt idx="92">
                  <c:v>-4.3908248986184398E-3</c:v>
                </c:pt>
                <c:pt idx="93">
                  <c:v>-5.3280487361682498E-3</c:v>
                </c:pt>
                <c:pt idx="94">
                  <c:v>-2.7774904043767401E-3</c:v>
                </c:pt>
                <c:pt idx="95">
                  <c:v>-5.9967779884029402E-3</c:v>
                </c:pt>
                <c:pt idx="96">
                  <c:v>-6.4996598045342999E-3</c:v>
                </c:pt>
                <c:pt idx="97">
                  <c:v>-5.0506997284189697E-3</c:v>
                </c:pt>
                <c:pt idx="98">
                  <c:v>-6.0755331400841302E-3</c:v>
                </c:pt>
                <c:pt idx="99">
                  <c:v>-5.9729356687511503E-3</c:v>
                </c:pt>
                <c:pt idx="100">
                  <c:v>-5.9641988293460003E-3</c:v>
                </c:pt>
                <c:pt idx="101">
                  <c:v>-5.9658664407160299E-3</c:v>
                </c:pt>
                <c:pt idx="102">
                  <c:v>-5.7533061249931301E-3</c:v>
                </c:pt>
                <c:pt idx="103">
                  <c:v>-5.2403662822856703E-3</c:v>
                </c:pt>
                <c:pt idx="104">
                  <c:v>-4.8954666271749199E-3</c:v>
                </c:pt>
                <c:pt idx="105">
                  <c:v>-3.5087766771941999E-3</c:v>
                </c:pt>
                <c:pt idx="106">
                  <c:v>-3.17712273137455E-3</c:v>
                </c:pt>
                <c:pt idx="107">
                  <c:v>-1.5400865902923701E-3</c:v>
                </c:pt>
                <c:pt idx="108">
                  <c:v>-1.05528618151524E-3</c:v>
                </c:pt>
                <c:pt idx="109">
                  <c:v>-4.2557993182851701E-3</c:v>
                </c:pt>
                <c:pt idx="110">
                  <c:v>9.7982290685096692E-4</c:v>
                </c:pt>
                <c:pt idx="111">
                  <c:v>1.32682771490762E-4</c:v>
                </c:pt>
                <c:pt idx="112">
                  <c:v>-1.7155572050081599E-3</c:v>
                </c:pt>
                <c:pt idx="113">
                  <c:v>-1.40925224869572E-3</c:v>
                </c:pt>
                <c:pt idx="114">
                  <c:v>-2.8874520001620702E-4</c:v>
                </c:pt>
                <c:pt idx="115">
                  <c:v>2.8176287102957701E-3</c:v>
                </c:pt>
                <c:pt idx="116">
                  <c:v>1.79051649030712E-3</c:v>
                </c:pt>
                <c:pt idx="117">
                  <c:v>4.2231512737636503E-3</c:v>
                </c:pt>
                <c:pt idx="118">
                  <c:v>3.64332479140705E-3</c:v>
                </c:pt>
                <c:pt idx="119">
                  <c:v>-6.4524115286992295E-5</c:v>
                </c:pt>
                <c:pt idx="120">
                  <c:v>-3.6671848885095298E-3</c:v>
                </c:pt>
                <c:pt idx="121">
                  <c:v>-2.3564811244848201E-3</c:v>
                </c:pt>
                <c:pt idx="122">
                  <c:v>-7.0015791034001799E-3</c:v>
                </c:pt>
                <c:pt idx="123">
                  <c:v>-4.8662139322912098E-3</c:v>
                </c:pt>
                <c:pt idx="124">
                  <c:v>-6.0501630430346998E-3</c:v>
                </c:pt>
                <c:pt idx="125">
                  <c:v>1.0158469442505399E-4</c:v>
                </c:pt>
                <c:pt idx="126">
                  <c:v>-4.9666061877531396E-3</c:v>
                </c:pt>
                <c:pt idx="127">
                  <c:v>-4.5413142241053101E-3</c:v>
                </c:pt>
                <c:pt idx="128">
                  <c:v>-3.0436577334233199E-3</c:v>
                </c:pt>
                <c:pt idx="129">
                  <c:v>-1.6699473421513001E-3</c:v>
                </c:pt>
                <c:pt idx="130">
                  <c:v>-8.6576425242210198E-4</c:v>
                </c:pt>
                <c:pt idx="131">
                  <c:v>-1.71465252094375E-3</c:v>
                </c:pt>
                <c:pt idx="132">
                  <c:v>2.4516223723105202E-3</c:v>
                </c:pt>
                <c:pt idx="133">
                  <c:v>2.5321573595549198E-3</c:v>
                </c:pt>
                <c:pt idx="134">
                  <c:v>2.4914158683047301E-3</c:v>
                </c:pt>
                <c:pt idx="135">
                  <c:v>2.6046493144062299E-3</c:v>
                </c:pt>
                <c:pt idx="136">
                  <c:v>1.5984101921474199E-3</c:v>
                </c:pt>
                <c:pt idx="137">
                  <c:v>3.8413003024289401E-3</c:v>
                </c:pt>
                <c:pt idx="138">
                  <c:v>6.4115455611191896E-3</c:v>
                </c:pt>
                <c:pt idx="139">
                  <c:v>2.33264522193974E-3</c:v>
                </c:pt>
                <c:pt idx="140">
                  <c:v>4.3982378791987504E-3</c:v>
                </c:pt>
                <c:pt idx="141">
                  <c:v>1.0358305182937299E-3</c:v>
                </c:pt>
                <c:pt idx="142">
                  <c:v>1.5422093736958901E-3</c:v>
                </c:pt>
                <c:pt idx="143">
                  <c:v>4.4275555652143602E-3</c:v>
                </c:pt>
                <c:pt idx="144">
                  <c:v>5.8266920945468604E-3</c:v>
                </c:pt>
                <c:pt idx="145">
                  <c:v>1.5793357914686201E-3</c:v>
                </c:pt>
                <c:pt idx="146">
                  <c:v>-1.7413006363934001E-3</c:v>
                </c:pt>
                <c:pt idx="147">
                  <c:v>-1.99865871918847E-3</c:v>
                </c:pt>
                <c:pt idx="148">
                  <c:v>1.2039867733922599E-3</c:v>
                </c:pt>
                <c:pt idx="149">
                  <c:v>2.0222203385419101E-3</c:v>
                </c:pt>
                <c:pt idx="150">
                  <c:v>-3.4249689898122602E-4</c:v>
                </c:pt>
                <c:pt idx="151">
                  <c:v>2.0379703212429902E-3</c:v>
                </c:pt>
                <c:pt idx="152">
                  <c:v>9.5608650175199898E-4</c:v>
                </c:pt>
                <c:pt idx="153">
                  <c:v>-2.6438569194949298E-3</c:v>
                </c:pt>
                <c:pt idx="154">
                  <c:v>-2.4785466301914302E-3</c:v>
                </c:pt>
                <c:pt idx="155">
                  <c:v>-3.07278586224808E-3</c:v>
                </c:pt>
                <c:pt idx="156">
                  <c:v>-4.1520129503465697E-3</c:v>
                </c:pt>
                <c:pt idx="157">
                  <c:v>-4.4317180822843203E-3</c:v>
                </c:pt>
                <c:pt idx="158">
                  <c:v>-2.9092142149500099E-3</c:v>
                </c:pt>
                <c:pt idx="159">
                  <c:v>-4.57545003959415E-3</c:v>
                </c:pt>
                <c:pt idx="160">
                  <c:v>-5.65195808185129E-3</c:v>
                </c:pt>
                <c:pt idx="161">
                  <c:v>-6.1206735802755699E-3</c:v>
                </c:pt>
                <c:pt idx="162">
                  <c:v>-4.14807182696008E-3</c:v>
                </c:pt>
                <c:pt idx="163">
                  <c:v>-4.3004020808027404E-3</c:v>
                </c:pt>
                <c:pt idx="164">
                  <c:v>-6.3943773337178603E-3</c:v>
                </c:pt>
                <c:pt idx="165">
                  <c:v>-7.3107429549751999E-3</c:v>
                </c:pt>
                <c:pt idx="166">
                  <c:v>-4.5972891515663004E-3</c:v>
                </c:pt>
                <c:pt idx="167">
                  <c:v>-5.5892406365700802E-3</c:v>
                </c:pt>
                <c:pt idx="168">
                  <c:v>-5.6095779924338202E-3</c:v>
                </c:pt>
                <c:pt idx="169">
                  <c:v>-4.9828238102577298E-3</c:v>
                </c:pt>
                <c:pt idx="170">
                  <c:v>-4.4785840127982302E-3</c:v>
                </c:pt>
                <c:pt idx="171">
                  <c:v>-2.5213236327375002E-3</c:v>
                </c:pt>
                <c:pt idx="172">
                  <c:v>-2.29917580981288E-3</c:v>
                </c:pt>
                <c:pt idx="173">
                  <c:v>-4.6835622393806902E-3</c:v>
                </c:pt>
                <c:pt idx="174">
                  <c:v>-6.2208873696931897E-3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B-42AD-8CFC-AAF903E9A18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GOOG x 10 dma / GOOGL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-4.7744622302289699E-4</c:v>
                </c:pt>
                <c:pt idx="11">
                  <c:v>-1.0595337621451999E-3</c:v>
                </c:pt>
                <c:pt idx="12">
                  <c:v>-1.3598746726940401E-3</c:v>
                </c:pt>
                <c:pt idx="13">
                  <c:v>-3.85829905445881E-4</c:v>
                </c:pt>
                <c:pt idx="14">
                  <c:v>2.7947938360896698E-4</c:v>
                </c:pt>
                <c:pt idx="15">
                  <c:v>-2.3171745242571399E-4</c:v>
                </c:pt>
                <c:pt idx="16">
                  <c:v>1.9708398619568601E-4</c:v>
                </c:pt>
                <c:pt idx="17">
                  <c:v>-2.1659502848650299E-4</c:v>
                </c:pt>
                <c:pt idx="18">
                  <c:v>2.4806285344325298E-4</c:v>
                </c:pt>
                <c:pt idx="19">
                  <c:v>6.2219937609146096E-4</c:v>
                </c:pt>
                <c:pt idx="20">
                  <c:v>2.5272707920959499E-3</c:v>
                </c:pt>
                <c:pt idx="21">
                  <c:v>1.67467363498712E-3</c:v>
                </c:pt>
                <c:pt idx="22">
                  <c:v>-5.7619168034187299E-4</c:v>
                </c:pt>
                <c:pt idx="23">
                  <c:v>-1.3252338820968199E-3</c:v>
                </c:pt>
                <c:pt idx="24">
                  <c:v>-7.5699879495316801E-4</c:v>
                </c:pt>
                <c:pt idx="25">
                  <c:v>-1.1753663401215099E-3</c:v>
                </c:pt>
                <c:pt idx="26">
                  <c:v>-1.1907059142098201E-3</c:v>
                </c:pt>
                <c:pt idx="27">
                  <c:v>-3.9694620953556901E-5</c:v>
                </c:pt>
                <c:pt idx="28">
                  <c:v>-7.0759137233282306E-5</c:v>
                </c:pt>
                <c:pt idx="29">
                  <c:v>-2.8517555381868702E-4</c:v>
                </c:pt>
                <c:pt idx="30">
                  <c:v>1.43794361642273E-3</c:v>
                </c:pt>
                <c:pt idx="31">
                  <c:v>8.8835001342277297E-4</c:v>
                </c:pt>
                <c:pt idx="32">
                  <c:v>1.3109868358053499E-3</c:v>
                </c:pt>
                <c:pt idx="33">
                  <c:v>-1.42873262735965E-3</c:v>
                </c:pt>
                <c:pt idx="34">
                  <c:v>-4.8323982948189501E-4</c:v>
                </c:pt>
                <c:pt idx="35">
                  <c:v>-1.0506562530562299E-3</c:v>
                </c:pt>
                <c:pt idx="36">
                  <c:v>-6.8135307387731897E-4</c:v>
                </c:pt>
                <c:pt idx="37">
                  <c:v>-1.8711406313276599E-3</c:v>
                </c:pt>
                <c:pt idx="38">
                  <c:v>-1.98774248891667E-3</c:v>
                </c:pt>
                <c:pt idx="39">
                  <c:v>-1.2250555956732599E-3</c:v>
                </c:pt>
                <c:pt idx="40">
                  <c:v>-6.18459895259071E-4</c:v>
                </c:pt>
                <c:pt idx="41">
                  <c:v>7.7340344620093295E-4</c:v>
                </c:pt>
                <c:pt idx="42">
                  <c:v>-8.6724025427364199E-5</c:v>
                </c:pt>
                <c:pt idx="43">
                  <c:v>-6.9972924939520301E-4</c:v>
                </c:pt>
                <c:pt idx="44">
                  <c:v>-1.0572450067205699E-3</c:v>
                </c:pt>
                <c:pt idx="45">
                  <c:v>-9.3958418366313703E-5</c:v>
                </c:pt>
                <c:pt idx="46">
                  <c:v>-6.0081654962404897E-4</c:v>
                </c:pt>
                <c:pt idx="47">
                  <c:v>-6.8181674637926299E-4</c:v>
                </c:pt>
                <c:pt idx="48">
                  <c:v>-2.2402782083595402E-3</c:v>
                </c:pt>
                <c:pt idx="49">
                  <c:v>-3.0957533342664402E-3</c:v>
                </c:pt>
                <c:pt idx="50">
                  <c:v>-3.90430984831079E-3</c:v>
                </c:pt>
                <c:pt idx="51">
                  <c:v>-3.0828349323463598E-3</c:v>
                </c:pt>
                <c:pt idx="52">
                  <c:v>-2.56552334969161E-3</c:v>
                </c:pt>
                <c:pt idx="53">
                  <c:v>-4.8992065814205702E-3</c:v>
                </c:pt>
                <c:pt idx="54">
                  <c:v>-6.9811043258529203E-3</c:v>
                </c:pt>
                <c:pt idx="55">
                  <c:v>-2.4536482481340999E-4</c:v>
                </c:pt>
                <c:pt idx="56">
                  <c:v>-1.9212736360519901E-4</c:v>
                </c:pt>
                <c:pt idx="57">
                  <c:v>4.1537016760969303E-3</c:v>
                </c:pt>
                <c:pt idx="58">
                  <c:v>2.63046724706535E-3</c:v>
                </c:pt>
                <c:pt idx="59">
                  <c:v>3.3698704279122699E-3</c:v>
                </c:pt>
                <c:pt idx="60">
                  <c:v>2.0081893233738599E-3</c:v>
                </c:pt>
                <c:pt idx="61">
                  <c:v>-4.2056126559943596E-3</c:v>
                </c:pt>
                <c:pt idx="62">
                  <c:v>1.5236253149592701E-4</c:v>
                </c:pt>
                <c:pt idx="63">
                  <c:v>-3.2189064658785902E-3</c:v>
                </c:pt>
                <c:pt idx="64">
                  <c:v>-4.0016217783555902E-4</c:v>
                </c:pt>
                <c:pt idx="65">
                  <c:v>-4.0535772035565302E-3</c:v>
                </c:pt>
                <c:pt idx="66">
                  <c:v>-2.17913678170061E-3</c:v>
                </c:pt>
                <c:pt idx="67">
                  <c:v>-9.6888534013556097E-5</c:v>
                </c:pt>
                <c:pt idx="68">
                  <c:v>-1.43596649329389E-3</c:v>
                </c:pt>
                <c:pt idx="69">
                  <c:v>-1.4586333713649301E-3</c:v>
                </c:pt>
                <c:pt idx="70">
                  <c:v>-1.75721922818505E-3</c:v>
                </c:pt>
                <c:pt idx="71">
                  <c:v>-3.0398047272249501E-3</c:v>
                </c:pt>
                <c:pt idx="72">
                  <c:v>1.1545006887455E-4</c:v>
                </c:pt>
                <c:pt idx="73">
                  <c:v>1.03145414116655E-3</c:v>
                </c:pt>
                <c:pt idx="74">
                  <c:v>1.36459511388838E-3</c:v>
                </c:pt>
                <c:pt idx="75">
                  <c:v>2.2069387633926701E-3</c:v>
                </c:pt>
                <c:pt idx="76">
                  <c:v>3.18760657840039E-3</c:v>
                </c:pt>
                <c:pt idx="77">
                  <c:v>1.68945559392151E-4</c:v>
                </c:pt>
                <c:pt idx="78">
                  <c:v>1.14364008935319E-3</c:v>
                </c:pt>
                <c:pt idx="79">
                  <c:v>-3.2240214882875499E-4</c:v>
                </c:pt>
                <c:pt idx="80">
                  <c:v>-1.3750460695469099E-3</c:v>
                </c:pt>
                <c:pt idx="81">
                  <c:v>-1.3261130722393899E-3</c:v>
                </c:pt>
                <c:pt idx="82">
                  <c:v>-5.1709782595097103E-4</c:v>
                </c:pt>
                <c:pt idx="83">
                  <c:v>-3.5835544036130602E-3</c:v>
                </c:pt>
                <c:pt idx="84">
                  <c:v>-4.5404840834458301E-3</c:v>
                </c:pt>
                <c:pt idx="85">
                  <c:v>-5.56911236216062E-4</c:v>
                </c:pt>
                <c:pt idx="86">
                  <c:v>2.3487110469865201E-4</c:v>
                </c:pt>
                <c:pt idx="87">
                  <c:v>-2.0430403069758899E-3</c:v>
                </c:pt>
                <c:pt idx="88">
                  <c:v>2.8683497298038099E-3</c:v>
                </c:pt>
                <c:pt idx="89">
                  <c:v>-1.5017913134480899E-3</c:v>
                </c:pt>
                <c:pt idx="90">
                  <c:v>-1.01679045558805E-3</c:v>
                </c:pt>
                <c:pt idx="91">
                  <c:v>-1.7180468915668E-3</c:v>
                </c:pt>
                <c:pt idx="92">
                  <c:v>-4.7367107127558499E-4</c:v>
                </c:pt>
                <c:pt idx="93">
                  <c:v>-1.1777097829480899E-3</c:v>
                </c:pt>
                <c:pt idx="94">
                  <c:v>1.3960311204588201E-3</c:v>
                </c:pt>
                <c:pt idx="95">
                  <c:v>-2.1857164098309E-3</c:v>
                </c:pt>
                <c:pt idx="96">
                  <c:v>-2.3832409408233398E-3</c:v>
                </c:pt>
                <c:pt idx="97">
                  <c:v>-5.2568822486032704E-4</c:v>
                </c:pt>
                <c:pt idx="98">
                  <c:v>-1.5487223684040501E-3</c:v>
                </c:pt>
                <c:pt idx="99">
                  <c:v>-8.8500145219775695E-4</c:v>
                </c:pt>
                <c:pt idx="100">
                  <c:v>-7.5768024930439098E-4</c:v>
                </c:pt>
                <c:pt idx="101">
                  <c:v>-6.1932076110577598E-4</c:v>
                </c:pt>
                <c:pt idx="102">
                  <c:v>-3.50552258109766E-4</c:v>
                </c:pt>
                <c:pt idx="103">
                  <c:v>2.9858139475349901E-4</c:v>
                </c:pt>
                <c:pt idx="104">
                  <c:v>6.3471499939162499E-4</c:v>
                </c:pt>
                <c:pt idx="105">
                  <c:v>2.2328218423668298E-3</c:v>
                </c:pt>
                <c:pt idx="106">
                  <c:v>2.3158905954652302E-3</c:v>
                </c:pt>
                <c:pt idx="107">
                  <c:v>3.6208351696356798E-3</c:v>
                </c:pt>
                <c:pt idx="108">
                  <c:v>3.7551669821357602E-3</c:v>
                </c:pt>
                <c:pt idx="109">
                  <c:v>5.3127533324451301E-5</c:v>
                </c:pt>
                <c:pt idx="110">
                  <c:v>5.1168829731971103E-3</c:v>
                </c:pt>
                <c:pt idx="111">
                  <c:v>3.5762401178159701E-3</c:v>
                </c:pt>
                <c:pt idx="112">
                  <c:v>1.1182797216408101E-3</c:v>
                </c:pt>
                <c:pt idx="113">
                  <c:v>1.02036402392055E-3</c:v>
                </c:pt>
                <c:pt idx="114">
                  <c:v>1.75734278496677E-3</c:v>
                </c:pt>
                <c:pt idx="115">
                  <c:v>4.4026862828696403E-3</c:v>
                </c:pt>
                <c:pt idx="116">
                  <c:v>2.74351642586723E-3</c:v>
                </c:pt>
                <c:pt idx="117">
                  <c:v>4.67939240353305E-3</c:v>
                </c:pt>
                <c:pt idx="118">
                  <c:v>3.5241109649849799E-3</c:v>
                </c:pt>
                <c:pt idx="119">
                  <c:v>-6.5315795976996697E-4</c:v>
                </c:pt>
                <c:pt idx="120">
                  <c:v>-4.67618858470145E-3</c:v>
                </c:pt>
                <c:pt idx="121">
                  <c:v>-2.8997974897009698E-3</c:v>
                </c:pt>
                <c:pt idx="122">
                  <c:v>-7.2955977404643496E-3</c:v>
                </c:pt>
                <c:pt idx="123">
                  <c:v>-4.6293056302142404E-3</c:v>
                </c:pt>
                <c:pt idx="124">
                  <c:v>-5.4666142268261601E-3</c:v>
                </c:pt>
                <c:pt idx="125">
                  <c:v>1.26260110340112E-3</c:v>
                </c:pt>
                <c:pt idx="126">
                  <c:v>-3.5347328199254601E-3</c:v>
                </c:pt>
                <c:pt idx="127">
                  <c:v>-2.43385003042081E-3</c:v>
                </c:pt>
                <c:pt idx="128">
                  <c:v>-6.1832546019358701E-5</c:v>
                </c:pt>
                <c:pt idx="129">
                  <c:v>1.9781644786143102E-3</c:v>
                </c:pt>
                <c:pt idx="130">
                  <c:v>2.9424312660208899E-3</c:v>
                </c:pt>
                <c:pt idx="131">
                  <c:v>1.8137932842468901E-3</c:v>
                </c:pt>
                <c:pt idx="132">
                  <c:v>5.9159790081372799E-3</c:v>
                </c:pt>
                <c:pt idx="133">
                  <c:v>5.05186796940488E-3</c:v>
                </c:pt>
                <c:pt idx="134">
                  <c:v>4.2720146761388101E-3</c:v>
                </c:pt>
                <c:pt idx="135">
                  <c:v>3.53072367901243E-3</c:v>
                </c:pt>
                <c:pt idx="136">
                  <c:v>2.2747166868488499E-3</c:v>
                </c:pt>
                <c:pt idx="137">
                  <c:v>3.86022600131302E-3</c:v>
                </c:pt>
                <c:pt idx="138">
                  <c:v>5.5915780010531097E-3</c:v>
                </c:pt>
                <c:pt idx="139">
                  <c:v>5.6752385059692504E-4</c:v>
                </c:pt>
                <c:pt idx="140">
                  <c:v>2.23220233623924E-3</c:v>
                </c:pt>
                <c:pt idx="141">
                  <c:v>-1.65695505048839E-3</c:v>
                </c:pt>
                <c:pt idx="142">
                  <c:v>-1.42649791509897E-3</c:v>
                </c:pt>
                <c:pt idx="143">
                  <c:v>1.5498738553941E-3</c:v>
                </c:pt>
                <c:pt idx="144">
                  <c:v>2.7595666942192999E-3</c:v>
                </c:pt>
                <c:pt idx="145">
                  <c:v>-1.82100890770747E-3</c:v>
                </c:pt>
                <c:pt idx="146">
                  <c:v>-5.0389850136211096E-3</c:v>
                </c:pt>
                <c:pt idx="147">
                  <c:v>-4.9613009012850996E-3</c:v>
                </c:pt>
                <c:pt idx="148">
                  <c:v>-1.1736364909945101E-3</c:v>
                </c:pt>
                <c:pt idx="149">
                  <c:v>1.6447415797552601E-4</c:v>
                </c:pt>
                <c:pt idx="150">
                  <c:v>-2.1692109948648602E-3</c:v>
                </c:pt>
                <c:pt idx="151">
                  <c:v>6.8512250134892898E-4</c:v>
                </c:pt>
                <c:pt idx="152">
                  <c:v>-4.9696187959210605E-4</c:v>
                </c:pt>
                <c:pt idx="153">
                  <c:v>-4.0382827788492098E-3</c:v>
                </c:pt>
                <c:pt idx="154">
                  <c:v>-3.1657244439287301E-3</c:v>
                </c:pt>
                <c:pt idx="155">
                  <c:v>-2.9306006709726999E-3</c:v>
                </c:pt>
                <c:pt idx="156">
                  <c:v>-3.54444215829843E-3</c:v>
                </c:pt>
                <c:pt idx="157">
                  <c:v>-3.5825406432196099E-3</c:v>
                </c:pt>
                <c:pt idx="158">
                  <c:v>-1.81618416782055E-3</c:v>
                </c:pt>
                <c:pt idx="159">
                  <c:v>-3.07128300832095E-3</c:v>
                </c:pt>
                <c:pt idx="160">
                  <c:v>-3.4883903831658199E-3</c:v>
                </c:pt>
                <c:pt idx="161">
                  <c:v>-3.4258574635842999E-3</c:v>
                </c:pt>
                <c:pt idx="162">
                  <c:v>-6.3825422701261703E-4</c:v>
                </c:pt>
                <c:pt idx="163">
                  <c:v>-2.8127372810959699E-4</c:v>
                </c:pt>
                <c:pt idx="164">
                  <c:v>-2.20969873821344E-3</c:v>
                </c:pt>
                <c:pt idx="165">
                  <c:v>-2.7344591196876902E-3</c:v>
                </c:pt>
                <c:pt idx="166">
                  <c:v>4.0296174191189099E-4</c:v>
                </c:pt>
                <c:pt idx="167">
                  <c:v>-5.4449096044841103E-4</c:v>
                </c:pt>
                <c:pt idx="168">
                  <c:v>-4.4908671953724399E-4</c:v>
                </c:pt>
                <c:pt idx="169">
                  <c:v>4.4742431582998199E-4</c:v>
                </c:pt>
                <c:pt idx="170">
                  <c:v>9.9237414604342591E-4</c:v>
                </c:pt>
                <c:pt idx="171">
                  <c:v>2.83233782610064E-3</c:v>
                </c:pt>
                <c:pt idx="172">
                  <c:v>2.6948573013024502E-3</c:v>
                </c:pt>
                <c:pt idx="173">
                  <c:v>1.2589125064767801E-4</c:v>
                </c:pt>
                <c:pt idx="174">
                  <c:v>-1.3731307594526401E-3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B-42AD-8CFC-AAF903E9A18E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GOOG x 20 dma / GOOGL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2.2672756015618802E-3</c:v>
                </c:pt>
                <c:pt idx="21">
                  <c:v>1.5142034116795899E-3</c:v>
                </c:pt>
                <c:pt idx="22">
                  <c:v>-5.1783786037801996E-4</c:v>
                </c:pt>
                <c:pt idx="23">
                  <c:v>-1.18837944837059E-3</c:v>
                </c:pt>
                <c:pt idx="24">
                  <c:v>-6.2898868380340304E-4</c:v>
                </c:pt>
                <c:pt idx="25">
                  <c:v>-1.07508105224409E-3</c:v>
                </c:pt>
                <c:pt idx="26">
                  <c:v>-1.0904321676863901E-3</c:v>
                </c:pt>
                <c:pt idx="27">
                  <c:v>6.4826376691997194E-5</c:v>
                </c:pt>
                <c:pt idx="28">
                  <c:v>8.13171660229541E-5</c:v>
                </c:pt>
                <c:pt idx="29">
                  <c:v>-1.2448033731978501E-4</c:v>
                </c:pt>
                <c:pt idx="30">
                  <c:v>1.54806205722387E-3</c:v>
                </c:pt>
                <c:pt idx="31">
                  <c:v>8.3100323840516396E-4</c:v>
                </c:pt>
                <c:pt idx="32">
                  <c:v>1.0880543734369801E-3</c:v>
                </c:pt>
                <c:pt idx="33">
                  <c:v>-1.62471250426257E-3</c:v>
                </c:pt>
                <c:pt idx="34">
                  <c:v>-6.7070721498542496E-4</c:v>
                </c:pt>
                <c:pt idx="35">
                  <c:v>-1.2041556338787901E-3</c:v>
                </c:pt>
                <c:pt idx="36">
                  <c:v>-8.0679773356398901E-4</c:v>
                </c:pt>
                <c:pt idx="37">
                  <c:v>-1.9242641602924401E-3</c:v>
                </c:pt>
                <c:pt idx="38">
                  <c:v>-2.1571173845358E-3</c:v>
                </c:pt>
                <c:pt idx="39">
                  <c:v>-1.5065429359265999E-3</c:v>
                </c:pt>
                <c:pt idx="40">
                  <c:v>-9.4581049045852899E-4</c:v>
                </c:pt>
                <c:pt idx="41">
                  <c:v>3.5401678267322399E-4</c:v>
                </c:pt>
                <c:pt idx="42">
                  <c:v>-5.0875377996646102E-4</c:v>
                </c:pt>
                <c:pt idx="43">
                  <c:v>-1.3056593029692901E-3</c:v>
                </c:pt>
                <c:pt idx="44">
                  <c:v>-1.6625436286030601E-3</c:v>
                </c:pt>
                <c:pt idx="45">
                  <c:v>-7.8339500920113203E-4</c:v>
                </c:pt>
                <c:pt idx="46">
                  <c:v>-1.3022501326733799E-3</c:v>
                </c:pt>
                <c:pt idx="47">
                  <c:v>-1.4622575333291101E-3</c:v>
                </c:pt>
                <c:pt idx="48">
                  <c:v>-2.9424314722887499E-3</c:v>
                </c:pt>
                <c:pt idx="49">
                  <c:v>-3.7680317142419501E-3</c:v>
                </c:pt>
                <c:pt idx="50">
                  <c:v>-4.6623490729772298E-3</c:v>
                </c:pt>
                <c:pt idx="51">
                  <c:v>-3.9457754155470901E-3</c:v>
                </c:pt>
                <c:pt idx="52">
                  <c:v>-3.6597512496161898E-3</c:v>
                </c:pt>
                <c:pt idx="53">
                  <c:v>-6.1147475013100701E-3</c:v>
                </c:pt>
                <c:pt idx="54">
                  <c:v>-8.5040694198255107E-3</c:v>
                </c:pt>
                <c:pt idx="55">
                  <c:v>-2.1279864100029401E-3</c:v>
                </c:pt>
                <c:pt idx="56">
                  <c:v>-2.2489113159796202E-3</c:v>
                </c:pt>
                <c:pt idx="57">
                  <c:v>1.9781888717590201E-3</c:v>
                </c:pt>
                <c:pt idx="58">
                  <c:v>4.9737435798763495E-4</c:v>
                </c:pt>
                <c:pt idx="59">
                  <c:v>1.3494508322542901E-3</c:v>
                </c:pt>
                <c:pt idx="60">
                  <c:v>2.6902665370112801E-4</c:v>
                </c:pt>
                <c:pt idx="61">
                  <c:v>-5.5834353457312799E-3</c:v>
                </c:pt>
                <c:pt idx="62">
                  <c:v>-1.1408449341371999E-3</c:v>
                </c:pt>
                <c:pt idx="63">
                  <c:v>-4.27248391246088E-3</c:v>
                </c:pt>
                <c:pt idx="64">
                  <c:v>-1.1434633261394201E-3</c:v>
                </c:pt>
                <c:pt idx="65">
                  <c:v>-4.0921217881375697E-3</c:v>
                </c:pt>
                <c:pt idx="66">
                  <c:v>-2.2166832461363202E-3</c:v>
                </c:pt>
                <c:pt idx="67">
                  <c:v>-5.2534040480116203E-5</c:v>
                </c:pt>
                <c:pt idx="68">
                  <c:v>-1.62312854797249E-3</c:v>
                </c:pt>
                <c:pt idx="69">
                  <c:v>-1.89746418302075E-3</c:v>
                </c:pt>
                <c:pt idx="70">
                  <c:v>-2.6014174952980001E-3</c:v>
                </c:pt>
                <c:pt idx="71">
                  <c:v>-4.27745608025684E-3</c:v>
                </c:pt>
                <c:pt idx="72">
                  <c:v>-9.936374369602769E-4</c:v>
                </c:pt>
                <c:pt idx="73">
                  <c:v>-1.96646400738583E-4</c:v>
                </c:pt>
                <c:pt idx="74">
                  <c:v>2.4745486891792002E-4</c:v>
                </c:pt>
                <c:pt idx="75">
                  <c:v>8.1114227185638597E-4</c:v>
                </c:pt>
                <c:pt idx="76">
                  <c:v>2.1592984147752398E-3</c:v>
                </c:pt>
                <c:pt idx="77">
                  <c:v>-5.9116242052626605E-4</c:v>
                </c:pt>
                <c:pt idx="78">
                  <c:v>5.2837700482820295E-4</c:v>
                </c:pt>
                <c:pt idx="79">
                  <c:v>-6.4857691016390496E-4</c:v>
                </c:pt>
                <c:pt idx="80">
                  <c:v>-1.3922313624153799E-3</c:v>
                </c:pt>
                <c:pt idx="81">
                  <c:v>-1.05345635705989E-3</c:v>
                </c:pt>
                <c:pt idx="82">
                  <c:v>-6.5435653853856596E-5</c:v>
                </c:pt>
                <c:pt idx="83">
                  <c:v>-3.0056265778467101E-3</c:v>
                </c:pt>
                <c:pt idx="84">
                  <c:v>-4.2255673525839E-3</c:v>
                </c:pt>
                <c:pt idx="85">
                  <c:v>-4.8274099258960502E-4</c:v>
                </c:pt>
                <c:pt idx="86">
                  <c:v>5.1077782469815E-6</c:v>
                </c:pt>
                <c:pt idx="87">
                  <c:v>-2.60815359919526E-3</c:v>
                </c:pt>
                <c:pt idx="88">
                  <c:v>2.1988341930436498E-3</c:v>
                </c:pt>
                <c:pt idx="89">
                  <c:v>-2.2194709999088301E-3</c:v>
                </c:pt>
                <c:pt idx="90">
                  <c:v>-1.8893213991379499E-3</c:v>
                </c:pt>
                <c:pt idx="91">
                  <c:v>-2.6773116762191999E-3</c:v>
                </c:pt>
                <c:pt idx="92">
                  <c:v>-1.6615479898334201E-3</c:v>
                </c:pt>
                <c:pt idx="93">
                  <c:v>-2.4955537661981398E-3</c:v>
                </c:pt>
                <c:pt idx="94">
                  <c:v>2.39661075231457E-4</c:v>
                </c:pt>
                <c:pt idx="95">
                  <c:v>-2.8970725445027802E-3</c:v>
                </c:pt>
                <c:pt idx="96">
                  <c:v>-3.1165992487876899E-3</c:v>
                </c:pt>
                <c:pt idx="97">
                  <c:v>-1.2930613105834501E-3</c:v>
                </c:pt>
                <c:pt idx="98">
                  <c:v>-2.1499480240557999E-3</c:v>
                </c:pt>
                <c:pt idx="99">
                  <c:v>-1.7857740139187899E-3</c:v>
                </c:pt>
                <c:pt idx="100">
                  <c:v>-1.5870353292316E-3</c:v>
                </c:pt>
                <c:pt idx="101">
                  <c:v>-1.4492928630205899E-3</c:v>
                </c:pt>
                <c:pt idx="102">
                  <c:v>-1.09307640197083E-3</c:v>
                </c:pt>
                <c:pt idx="103">
                  <c:v>-3.9548193790206199E-4</c:v>
                </c:pt>
                <c:pt idx="104">
                  <c:v>-4.3384985662725399E-5</c:v>
                </c:pt>
                <c:pt idx="105">
                  <c:v>1.2680192434100499E-3</c:v>
                </c:pt>
                <c:pt idx="106">
                  <c:v>1.6278302404217201E-3</c:v>
                </c:pt>
                <c:pt idx="107">
                  <c:v>3.3029305891820299E-3</c:v>
                </c:pt>
                <c:pt idx="108">
                  <c:v>3.61335584277583E-3</c:v>
                </c:pt>
                <c:pt idx="109">
                  <c:v>4.4270707235378402E-4</c:v>
                </c:pt>
                <c:pt idx="110">
                  <c:v>5.6517551977272804E-3</c:v>
                </c:pt>
                <c:pt idx="111">
                  <c:v>4.5281869549645398E-3</c:v>
                </c:pt>
                <c:pt idx="112">
                  <c:v>2.4035631083119601E-3</c:v>
                </c:pt>
                <c:pt idx="113">
                  <c:v>2.57623821836805E-3</c:v>
                </c:pt>
                <c:pt idx="114">
                  <c:v>3.50090696855395E-3</c:v>
                </c:pt>
                <c:pt idx="115">
                  <c:v>6.4831163588892904E-3</c:v>
                </c:pt>
                <c:pt idx="116">
                  <c:v>5.0160995844935E-3</c:v>
                </c:pt>
                <c:pt idx="117">
                  <c:v>7.0344994685399599E-3</c:v>
                </c:pt>
                <c:pt idx="118">
                  <c:v>5.9919821590250803E-3</c:v>
                </c:pt>
                <c:pt idx="119">
                  <c:v>1.79862064787622E-3</c:v>
                </c:pt>
                <c:pt idx="120">
                  <c:v>-2.0998464605538202E-3</c:v>
                </c:pt>
                <c:pt idx="121">
                  <c:v>-9.04373739997379E-4</c:v>
                </c:pt>
                <c:pt idx="122">
                  <c:v>-5.7304470240528201E-3</c:v>
                </c:pt>
                <c:pt idx="123">
                  <c:v>-3.5323506490345202E-3</c:v>
                </c:pt>
                <c:pt idx="124">
                  <c:v>-4.7350772648602803E-3</c:v>
                </c:pt>
                <c:pt idx="125">
                  <c:v>1.4746441615634E-3</c:v>
                </c:pt>
                <c:pt idx="126">
                  <c:v>-3.77414087108902E-3</c:v>
                </c:pt>
                <c:pt idx="127">
                  <c:v>-3.2591207452163698E-3</c:v>
                </c:pt>
                <c:pt idx="128">
                  <c:v>-1.61114999804321E-3</c:v>
                </c:pt>
                <c:pt idx="129">
                  <c:v>-1.3796460395896199E-4</c:v>
                </c:pt>
                <c:pt idx="130">
                  <c:v>5.3673233193299004E-4</c:v>
                </c:pt>
                <c:pt idx="131">
                  <c:v>-2.2001539649154801E-4</c:v>
                </c:pt>
                <c:pt idx="132">
                  <c:v>4.0385570437391303E-3</c:v>
                </c:pt>
                <c:pt idx="133">
                  <c:v>3.91111821367391E-3</c:v>
                </c:pt>
                <c:pt idx="134">
                  <c:v>3.6736687964005702E-3</c:v>
                </c:pt>
                <c:pt idx="135">
                  <c:v>3.6482016009178201E-3</c:v>
                </c:pt>
                <c:pt idx="136">
                  <c:v>2.6525714835727702E-3</c:v>
                </c:pt>
                <c:pt idx="137">
                  <c:v>4.9050404977443798E-3</c:v>
                </c:pt>
                <c:pt idx="138">
                  <c:v>7.4942810772120798E-3</c:v>
                </c:pt>
                <c:pt idx="139">
                  <c:v>3.27780332887802E-3</c:v>
                </c:pt>
                <c:pt idx="140">
                  <c:v>5.2237792899026501E-3</c:v>
                </c:pt>
                <c:pt idx="141">
                  <c:v>1.45849859367231E-3</c:v>
                </c:pt>
                <c:pt idx="142">
                  <c:v>1.79520707722386E-3</c:v>
                </c:pt>
                <c:pt idx="143">
                  <c:v>4.2522114912905001E-3</c:v>
                </c:pt>
                <c:pt idx="144">
                  <c:v>5.1863663491736401E-3</c:v>
                </c:pt>
                <c:pt idx="145">
                  <c:v>3.4454036009817302E-4</c:v>
                </c:pt>
                <c:pt idx="146">
                  <c:v>-3.0500155035242602E-3</c:v>
                </c:pt>
                <c:pt idx="147">
                  <c:v>-3.46940574282771E-3</c:v>
                </c:pt>
                <c:pt idx="148">
                  <c:v>-3.9450535245295502E-4</c:v>
                </c:pt>
                <c:pt idx="149">
                  <c:v>2.1078763500672801E-4</c:v>
                </c:pt>
                <c:pt idx="150">
                  <c:v>-2.3388573260221101E-3</c:v>
                </c:pt>
                <c:pt idx="151">
                  <c:v>1.5378056034415302E-5</c:v>
                </c:pt>
                <c:pt idx="152">
                  <c:v>-1.2545041806046799E-3</c:v>
                </c:pt>
                <c:pt idx="153">
                  <c:v>-4.7796356981175099E-3</c:v>
                </c:pt>
                <c:pt idx="154">
                  <c:v>-4.3549902185764404E-3</c:v>
                </c:pt>
                <c:pt idx="155">
                  <c:v>-4.7002969272654099E-3</c:v>
                </c:pt>
                <c:pt idx="156">
                  <c:v>-5.49516336690561E-3</c:v>
                </c:pt>
                <c:pt idx="157">
                  <c:v>-5.4866342087969699E-3</c:v>
                </c:pt>
                <c:pt idx="158">
                  <c:v>-3.55000514503323E-3</c:v>
                </c:pt>
                <c:pt idx="159">
                  <c:v>-4.7508268073506704E-3</c:v>
                </c:pt>
                <c:pt idx="160">
                  <c:v>-5.4815409881706001E-3</c:v>
                </c:pt>
                <c:pt idx="161">
                  <c:v>-5.4476414853570701E-3</c:v>
                </c:pt>
                <c:pt idx="162">
                  <c:v>-3.1166084659744698E-3</c:v>
                </c:pt>
                <c:pt idx="163">
                  <c:v>-2.9843875174558102E-3</c:v>
                </c:pt>
                <c:pt idx="164">
                  <c:v>-4.6426600726591997E-3</c:v>
                </c:pt>
                <c:pt idx="165">
                  <c:v>-4.9490507898591902E-3</c:v>
                </c:pt>
                <c:pt idx="166">
                  <c:v>-1.79096635593318E-3</c:v>
                </c:pt>
                <c:pt idx="167">
                  <c:v>-2.6400767272911799E-3</c:v>
                </c:pt>
                <c:pt idx="168">
                  <c:v>-2.48074930374346E-3</c:v>
                </c:pt>
                <c:pt idx="169">
                  <c:v>-1.5136894687194701E-3</c:v>
                </c:pt>
                <c:pt idx="170">
                  <c:v>-6.5995373070113698E-4</c:v>
                </c:pt>
                <c:pt idx="171">
                  <c:v>1.50379883708622E-3</c:v>
                </c:pt>
                <c:pt idx="172">
                  <c:v>1.95302490765364E-3</c:v>
                </c:pt>
                <c:pt idx="173">
                  <c:v>-2.6919324129405698E-4</c:v>
                </c:pt>
                <c:pt idx="174">
                  <c:v>-1.70461480776483E-3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0B-42AD-8CFC-AAF903E9A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3.4061735116109985E-4</c:v>
                </c:pt>
                <c:pt idx="32">
                  <c:v>2.9963490840410997E-4</c:v>
                </c:pt>
                <c:pt idx="33">
                  <c:v>-2.5008931275972901E-3</c:v>
                </c:pt>
                <c:pt idx="34">
                  <c:v>-5.2468262276164981E-3</c:v>
                </c:pt>
                <c:pt idx="35">
                  <c:v>5.8986189736090489E-4</c:v>
                </c:pt>
                <c:pt idx="36">
                  <c:v>2.5182724686743474E-4</c:v>
                </c:pt>
                <c:pt idx="37">
                  <c:v>4.2274289401576333E-3</c:v>
                </c:pt>
                <c:pt idx="38">
                  <c:v>4.2274289401576333E-3</c:v>
                </c:pt>
                <c:pt idx="39">
                  <c:v>4.2274289401576333E-3</c:v>
                </c:pt>
                <c:pt idx="40">
                  <c:v>4.2274289401576333E-3</c:v>
                </c:pt>
                <c:pt idx="41">
                  <c:v>4.2274289401576333E-3</c:v>
                </c:pt>
                <c:pt idx="42">
                  <c:v>8.1965670140457421E-3</c:v>
                </c:pt>
                <c:pt idx="43">
                  <c:v>8.1965670140457421E-3</c:v>
                </c:pt>
                <c:pt idx="44">
                  <c:v>1.0972386831729141E-2</c:v>
                </c:pt>
                <c:pt idx="45">
                  <c:v>1.0972386831729141E-2</c:v>
                </c:pt>
                <c:pt idx="46">
                  <c:v>1.2457551458126232E-2</c:v>
                </c:pt>
                <c:pt idx="47">
                  <c:v>1.4333373717895712E-2</c:v>
                </c:pt>
                <c:pt idx="48">
                  <c:v>1.4333373717895712E-2</c:v>
                </c:pt>
                <c:pt idx="49">
                  <c:v>1.4333373717895712E-2</c:v>
                </c:pt>
                <c:pt idx="50">
                  <c:v>1.4333373717895712E-2</c:v>
                </c:pt>
                <c:pt idx="51">
                  <c:v>1.4333373717895712E-2</c:v>
                </c:pt>
                <c:pt idx="52">
                  <c:v>1.7357221333017911E-2</c:v>
                </c:pt>
                <c:pt idx="53">
                  <c:v>1.7357221333017911E-2</c:v>
                </c:pt>
                <c:pt idx="54">
                  <c:v>1.7357221333017911E-2</c:v>
                </c:pt>
                <c:pt idx="55">
                  <c:v>1.7357221333017911E-2</c:v>
                </c:pt>
                <c:pt idx="56">
                  <c:v>1.7357221333017911E-2</c:v>
                </c:pt>
                <c:pt idx="57">
                  <c:v>1.7357221333017911E-2</c:v>
                </c:pt>
                <c:pt idx="58">
                  <c:v>1.7357221333017911E-2</c:v>
                </c:pt>
                <c:pt idx="59">
                  <c:v>1.7357221333017911E-2</c:v>
                </c:pt>
                <c:pt idx="60">
                  <c:v>1.7357221333017911E-2</c:v>
                </c:pt>
                <c:pt idx="61">
                  <c:v>1.7357221333017911E-2</c:v>
                </c:pt>
                <c:pt idx="62">
                  <c:v>1.7357221333017911E-2</c:v>
                </c:pt>
                <c:pt idx="63">
                  <c:v>1.7357221333017911E-2</c:v>
                </c:pt>
                <c:pt idx="64">
                  <c:v>1.7357221333017911E-2</c:v>
                </c:pt>
                <c:pt idx="65">
                  <c:v>2.0812393953284412E-2</c:v>
                </c:pt>
                <c:pt idx="66">
                  <c:v>2.0812393953284412E-2</c:v>
                </c:pt>
                <c:pt idx="67">
                  <c:v>2.0812393953284412E-2</c:v>
                </c:pt>
                <c:pt idx="68">
                  <c:v>2.0812393953284412E-2</c:v>
                </c:pt>
                <c:pt idx="69">
                  <c:v>2.0812393953284412E-2</c:v>
                </c:pt>
                <c:pt idx="70">
                  <c:v>2.0812393953284412E-2</c:v>
                </c:pt>
                <c:pt idx="71">
                  <c:v>2.0812393953284412E-2</c:v>
                </c:pt>
                <c:pt idx="72">
                  <c:v>2.0812393953284412E-2</c:v>
                </c:pt>
                <c:pt idx="73">
                  <c:v>2.0812393953284412E-2</c:v>
                </c:pt>
                <c:pt idx="74">
                  <c:v>2.0812393953284412E-2</c:v>
                </c:pt>
                <c:pt idx="75">
                  <c:v>2.0812393953284412E-2</c:v>
                </c:pt>
                <c:pt idx="76">
                  <c:v>2.0812393953284412E-2</c:v>
                </c:pt>
                <c:pt idx="77">
                  <c:v>2.0812393953284412E-2</c:v>
                </c:pt>
                <c:pt idx="78">
                  <c:v>2.0812393953284412E-2</c:v>
                </c:pt>
                <c:pt idx="79">
                  <c:v>2.0812393953284412E-2</c:v>
                </c:pt>
                <c:pt idx="80">
                  <c:v>2.0812393953284412E-2</c:v>
                </c:pt>
                <c:pt idx="81">
                  <c:v>2.0812393953284412E-2</c:v>
                </c:pt>
                <c:pt idx="82">
                  <c:v>2.0812393953284412E-2</c:v>
                </c:pt>
                <c:pt idx="83">
                  <c:v>2.0812393953284412E-2</c:v>
                </c:pt>
                <c:pt idx="84">
                  <c:v>2.0812393953284412E-2</c:v>
                </c:pt>
                <c:pt idx="85">
                  <c:v>2.0812393953284412E-2</c:v>
                </c:pt>
                <c:pt idx="86">
                  <c:v>2.0812393953284412E-2</c:v>
                </c:pt>
                <c:pt idx="87">
                  <c:v>2.0812393953284412E-2</c:v>
                </c:pt>
                <c:pt idx="88">
                  <c:v>2.0812393953284412E-2</c:v>
                </c:pt>
                <c:pt idx="89">
                  <c:v>2.0812393953284412E-2</c:v>
                </c:pt>
                <c:pt idx="90">
                  <c:v>2.0812393953284412E-2</c:v>
                </c:pt>
                <c:pt idx="91">
                  <c:v>2.0812393953284412E-2</c:v>
                </c:pt>
                <c:pt idx="92">
                  <c:v>2.0812393953284412E-2</c:v>
                </c:pt>
                <c:pt idx="93">
                  <c:v>2.0812393953284412E-2</c:v>
                </c:pt>
                <c:pt idx="94">
                  <c:v>2.0812393953284412E-2</c:v>
                </c:pt>
                <c:pt idx="95">
                  <c:v>2.0812393953284412E-2</c:v>
                </c:pt>
                <c:pt idx="96">
                  <c:v>2.0812393953284412E-2</c:v>
                </c:pt>
                <c:pt idx="97">
                  <c:v>2.0812393953284412E-2</c:v>
                </c:pt>
                <c:pt idx="98">
                  <c:v>2.0812393953284412E-2</c:v>
                </c:pt>
                <c:pt idx="99">
                  <c:v>2.0812393953284412E-2</c:v>
                </c:pt>
                <c:pt idx="100">
                  <c:v>2.0812393953284412E-2</c:v>
                </c:pt>
                <c:pt idx="101">
                  <c:v>2.0812393953284412E-2</c:v>
                </c:pt>
                <c:pt idx="102">
                  <c:v>2.0812393953284412E-2</c:v>
                </c:pt>
                <c:pt idx="103">
                  <c:v>2.2947759124393313E-2</c:v>
                </c:pt>
                <c:pt idx="104">
                  <c:v>2.1763810013649753E-2</c:v>
                </c:pt>
                <c:pt idx="105">
                  <c:v>2.7915557751109554E-2</c:v>
                </c:pt>
                <c:pt idx="106">
                  <c:v>2.7915557751109554E-2</c:v>
                </c:pt>
                <c:pt idx="107">
                  <c:v>2.7915557751109554E-2</c:v>
                </c:pt>
                <c:pt idx="108">
                  <c:v>2.7915557751109554E-2</c:v>
                </c:pt>
                <c:pt idx="109">
                  <c:v>2.7915557751109554E-2</c:v>
                </c:pt>
                <c:pt idx="110">
                  <c:v>2.7915557751109554E-2</c:v>
                </c:pt>
                <c:pt idx="111">
                  <c:v>2.7915557751109554E-2</c:v>
                </c:pt>
                <c:pt idx="112">
                  <c:v>2.7915557751109554E-2</c:v>
                </c:pt>
                <c:pt idx="113">
                  <c:v>2.7915557751109554E-2</c:v>
                </c:pt>
                <c:pt idx="114">
                  <c:v>2.7915557751109554E-2</c:v>
                </c:pt>
                <c:pt idx="115">
                  <c:v>2.7915557751109554E-2</c:v>
                </c:pt>
                <c:pt idx="116">
                  <c:v>2.7915557751109554E-2</c:v>
                </c:pt>
                <c:pt idx="117">
                  <c:v>2.7915557751109554E-2</c:v>
                </c:pt>
                <c:pt idx="118">
                  <c:v>2.7915557751109554E-2</c:v>
                </c:pt>
                <c:pt idx="119">
                  <c:v>2.7915557751109554E-2</c:v>
                </c:pt>
                <c:pt idx="120">
                  <c:v>2.7915557751109554E-2</c:v>
                </c:pt>
                <c:pt idx="121">
                  <c:v>2.7915557751109554E-2</c:v>
                </c:pt>
                <c:pt idx="122">
                  <c:v>2.7915557751109554E-2</c:v>
                </c:pt>
                <c:pt idx="123">
                  <c:v>2.7915557751109554E-2</c:v>
                </c:pt>
                <c:pt idx="124">
                  <c:v>2.7915557751109554E-2</c:v>
                </c:pt>
                <c:pt idx="125">
                  <c:v>2.7915557751109554E-2</c:v>
                </c:pt>
                <c:pt idx="126">
                  <c:v>2.7915557751109554E-2</c:v>
                </c:pt>
                <c:pt idx="127">
                  <c:v>2.7915557751109554E-2</c:v>
                </c:pt>
                <c:pt idx="128">
                  <c:v>2.7915557751109554E-2</c:v>
                </c:pt>
                <c:pt idx="129">
                  <c:v>2.7915557751109554E-2</c:v>
                </c:pt>
                <c:pt idx="130">
                  <c:v>2.7915557751109554E-2</c:v>
                </c:pt>
                <c:pt idx="131">
                  <c:v>2.7915557751109554E-2</c:v>
                </c:pt>
                <c:pt idx="132">
                  <c:v>2.7915557751109554E-2</c:v>
                </c:pt>
                <c:pt idx="133">
                  <c:v>2.7915557751109554E-2</c:v>
                </c:pt>
                <c:pt idx="134">
                  <c:v>2.8080868040413043E-2</c:v>
                </c:pt>
                <c:pt idx="135">
                  <c:v>2.7486628808356561E-2</c:v>
                </c:pt>
                <c:pt idx="136">
                  <c:v>2.6407401720258045E-2</c:v>
                </c:pt>
                <c:pt idx="137">
                  <c:v>2.6127696588320145E-2</c:v>
                </c:pt>
                <c:pt idx="138">
                  <c:v>2.7650200455654545E-2</c:v>
                </c:pt>
                <c:pt idx="139">
                  <c:v>2.5983964631010645E-2</c:v>
                </c:pt>
                <c:pt idx="140">
                  <c:v>2.4907456588753405E-2</c:v>
                </c:pt>
                <c:pt idx="141">
                  <c:v>2.4438741090329136E-2</c:v>
                </c:pt>
                <c:pt idx="142">
                  <c:v>2.6411342843644638E-2</c:v>
                </c:pt>
                <c:pt idx="143">
                  <c:v>2.6259012589801907E-2</c:v>
                </c:pt>
                <c:pt idx="144">
                  <c:v>2.4165037336886706E-2</c:v>
                </c:pt>
                <c:pt idx="145">
                  <c:v>2.3248671715629304E-2</c:v>
                </c:pt>
                <c:pt idx="146">
                  <c:v>2.5962125519038204E-2</c:v>
                </c:pt>
                <c:pt idx="147">
                  <c:v>2.5962125519038204E-2</c:v>
                </c:pt>
                <c:pt idx="148">
                  <c:v>2.5962125519038204E-2</c:v>
                </c:pt>
                <c:pt idx="149">
                  <c:v>2.5962125519038204E-2</c:v>
                </c:pt>
                <c:pt idx="150">
                  <c:v>2.5962125519038204E-2</c:v>
                </c:pt>
                <c:pt idx="151">
                  <c:v>2.5962125519038204E-2</c:v>
                </c:pt>
                <c:pt idx="152">
                  <c:v>2.5962125519038204E-2</c:v>
                </c:pt>
                <c:pt idx="153">
                  <c:v>2.5962125519038204E-2</c:v>
                </c:pt>
                <c:pt idx="154">
                  <c:v>2.5962125519038204E-2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8-4A11-BD76-E76E1571B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8.4714013536039013E-4</c:v>
                </c:pt>
                <c:pt idx="92">
                  <c:v>2.6953801118592908E-3</c:v>
                </c:pt>
                <c:pt idx="93">
                  <c:v>2.6953801118592908E-3</c:v>
                </c:pt>
                <c:pt idx="94">
                  <c:v>2.6953801118592908E-3</c:v>
                </c:pt>
                <c:pt idx="95">
                  <c:v>2.6953801118592908E-3</c:v>
                </c:pt>
                <c:pt idx="96">
                  <c:v>3.7224923318480924E-3</c:v>
                </c:pt>
                <c:pt idx="97">
                  <c:v>1.2898575483916621E-3</c:v>
                </c:pt>
                <c:pt idx="98">
                  <c:v>1.8696840307483422E-3</c:v>
                </c:pt>
                <c:pt idx="99">
                  <c:v>5.5775329374423725E-3</c:v>
                </c:pt>
                <c:pt idx="100">
                  <c:v>5.5775329374423725E-3</c:v>
                </c:pt>
                <c:pt idx="101">
                  <c:v>5.5775329374423725E-3</c:v>
                </c:pt>
                <c:pt idx="102">
                  <c:v>5.5775329374423725E-3</c:v>
                </c:pt>
                <c:pt idx="103">
                  <c:v>5.5775329374423725E-3</c:v>
                </c:pt>
                <c:pt idx="104">
                  <c:v>5.5775329374423725E-3</c:v>
                </c:pt>
                <c:pt idx="105">
                  <c:v>5.5775329374423725E-3</c:v>
                </c:pt>
                <c:pt idx="106">
                  <c:v>5.5775329374423725E-3</c:v>
                </c:pt>
                <c:pt idx="107">
                  <c:v>5.5775329374423725E-3</c:v>
                </c:pt>
                <c:pt idx="108">
                  <c:v>5.5775329374423725E-3</c:v>
                </c:pt>
                <c:pt idx="109">
                  <c:v>5.5775329374423725E-3</c:v>
                </c:pt>
                <c:pt idx="110">
                  <c:v>5.5775329374423725E-3</c:v>
                </c:pt>
                <c:pt idx="111">
                  <c:v>5.5775329374423725E-3</c:v>
                </c:pt>
                <c:pt idx="112">
                  <c:v>5.5775329374423725E-3</c:v>
                </c:pt>
                <c:pt idx="113">
                  <c:v>5.5775329374423725E-3</c:v>
                </c:pt>
                <c:pt idx="114">
                  <c:v>5.5775329374423725E-3</c:v>
                </c:pt>
                <c:pt idx="115">
                  <c:v>5.5775329374423725E-3</c:v>
                </c:pt>
                <c:pt idx="116">
                  <c:v>5.5775329374423725E-3</c:v>
                </c:pt>
                <c:pt idx="117">
                  <c:v>5.5775329374423725E-3</c:v>
                </c:pt>
                <c:pt idx="118">
                  <c:v>5.5775329374423725E-3</c:v>
                </c:pt>
                <c:pt idx="119">
                  <c:v>9.6564332766220333E-3</c:v>
                </c:pt>
                <c:pt idx="120">
                  <c:v>7.5908406193629339E-3</c:v>
                </c:pt>
                <c:pt idx="121">
                  <c:v>1.0953247980268033E-2</c:v>
                </c:pt>
                <c:pt idx="122">
                  <c:v>1.0953247980268033E-2</c:v>
                </c:pt>
                <c:pt idx="123">
                  <c:v>1.0953247980268033E-2</c:v>
                </c:pt>
                <c:pt idx="124">
                  <c:v>1.0953247980268033E-2</c:v>
                </c:pt>
                <c:pt idx="125">
                  <c:v>1.5200604283346138E-2</c:v>
                </c:pt>
                <c:pt idx="126">
                  <c:v>1.5200604283346138E-2</c:v>
                </c:pt>
                <c:pt idx="127">
                  <c:v>1.5200604283346138E-2</c:v>
                </c:pt>
                <c:pt idx="128">
                  <c:v>1.5200604283346138E-2</c:v>
                </c:pt>
                <c:pt idx="129">
                  <c:v>1.5200604283346138E-2</c:v>
                </c:pt>
                <c:pt idx="130">
                  <c:v>1.5200604283346138E-2</c:v>
                </c:pt>
                <c:pt idx="131">
                  <c:v>1.5200604283346138E-2</c:v>
                </c:pt>
                <c:pt idx="132">
                  <c:v>1.5200604283346138E-2</c:v>
                </c:pt>
                <c:pt idx="133">
                  <c:v>1.5200604283346138E-2</c:v>
                </c:pt>
                <c:pt idx="134">
                  <c:v>1.5200604283346138E-2</c:v>
                </c:pt>
                <c:pt idx="135">
                  <c:v>1.5200604283346138E-2</c:v>
                </c:pt>
                <c:pt idx="136">
                  <c:v>1.5200604283346138E-2</c:v>
                </c:pt>
                <c:pt idx="137">
                  <c:v>1.5200604283346138E-2</c:v>
                </c:pt>
                <c:pt idx="138">
                  <c:v>1.5200604283346138E-2</c:v>
                </c:pt>
                <c:pt idx="139">
                  <c:v>1.5200604283346138E-2</c:v>
                </c:pt>
                <c:pt idx="140">
                  <c:v>1.5200604283346138E-2</c:v>
                </c:pt>
                <c:pt idx="141">
                  <c:v>1.5200604283346138E-2</c:v>
                </c:pt>
                <c:pt idx="142">
                  <c:v>1.5200604283346138E-2</c:v>
                </c:pt>
                <c:pt idx="143">
                  <c:v>1.5200604283346138E-2</c:v>
                </c:pt>
                <c:pt idx="144">
                  <c:v>1.5200604283346138E-2</c:v>
                </c:pt>
                <c:pt idx="145">
                  <c:v>1.5200604283346138E-2</c:v>
                </c:pt>
                <c:pt idx="146">
                  <c:v>1.5200604283346138E-2</c:v>
                </c:pt>
                <c:pt idx="147">
                  <c:v>1.5200604283346138E-2</c:v>
                </c:pt>
                <c:pt idx="148">
                  <c:v>1.5200604283346138E-2</c:v>
                </c:pt>
                <c:pt idx="149">
                  <c:v>1.5200604283346138E-2</c:v>
                </c:pt>
                <c:pt idx="150">
                  <c:v>1.5200604283346138E-2</c:v>
                </c:pt>
                <c:pt idx="151">
                  <c:v>1.5200604283346138E-2</c:v>
                </c:pt>
                <c:pt idx="152">
                  <c:v>1.5200604283346138E-2</c:v>
                </c:pt>
                <c:pt idx="153">
                  <c:v>1.5200604283346138E-2</c:v>
                </c:pt>
                <c:pt idx="154">
                  <c:v>1.5200604283346138E-2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8-4102-8380-8D264D0C8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3.4061735116109985E-4</c:v>
                </c:pt>
                <c:pt idx="32">
                  <c:v>2.9963490840410997E-4</c:v>
                </c:pt>
                <c:pt idx="33">
                  <c:v>-2.5008931275972901E-3</c:v>
                </c:pt>
                <c:pt idx="34">
                  <c:v>-5.2468262276164981E-3</c:v>
                </c:pt>
                <c:pt idx="35">
                  <c:v>5.8986189736090489E-4</c:v>
                </c:pt>
                <c:pt idx="36">
                  <c:v>2.5182724686743474E-4</c:v>
                </c:pt>
                <c:pt idx="37">
                  <c:v>4.2274289401576333E-3</c:v>
                </c:pt>
                <c:pt idx="38">
                  <c:v>4.2274289401576333E-3</c:v>
                </c:pt>
                <c:pt idx="39">
                  <c:v>4.2274289401576333E-3</c:v>
                </c:pt>
                <c:pt idx="40">
                  <c:v>4.2274289401576333E-3</c:v>
                </c:pt>
                <c:pt idx="41">
                  <c:v>4.2274289401576333E-3</c:v>
                </c:pt>
                <c:pt idx="42">
                  <c:v>8.1965670140457421E-3</c:v>
                </c:pt>
                <c:pt idx="43">
                  <c:v>8.1965670140457421E-3</c:v>
                </c:pt>
                <c:pt idx="44">
                  <c:v>1.0972386831729141E-2</c:v>
                </c:pt>
                <c:pt idx="45">
                  <c:v>1.0972386831729141E-2</c:v>
                </c:pt>
                <c:pt idx="46">
                  <c:v>1.2457551458126232E-2</c:v>
                </c:pt>
                <c:pt idx="47">
                  <c:v>1.4333373717895712E-2</c:v>
                </c:pt>
                <c:pt idx="48">
                  <c:v>1.4333373717895712E-2</c:v>
                </c:pt>
                <c:pt idx="49">
                  <c:v>1.4333373717895712E-2</c:v>
                </c:pt>
                <c:pt idx="50">
                  <c:v>1.4333373717895712E-2</c:v>
                </c:pt>
                <c:pt idx="51">
                  <c:v>1.4333373717895712E-2</c:v>
                </c:pt>
                <c:pt idx="52">
                  <c:v>1.7357221333017911E-2</c:v>
                </c:pt>
                <c:pt idx="53">
                  <c:v>1.7357221333017911E-2</c:v>
                </c:pt>
                <c:pt idx="54">
                  <c:v>1.7357221333017911E-2</c:v>
                </c:pt>
                <c:pt idx="55">
                  <c:v>1.7357221333017911E-2</c:v>
                </c:pt>
                <c:pt idx="56">
                  <c:v>1.7357221333017911E-2</c:v>
                </c:pt>
                <c:pt idx="57">
                  <c:v>1.7357221333017911E-2</c:v>
                </c:pt>
                <c:pt idx="58">
                  <c:v>1.7357221333017911E-2</c:v>
                </c:pt>
                <c:pt idx="59">
                  <c:v>1.7357221333017911E-2</c:v>
                </c:pt>
                <c:pt idx="60">
                  <c:v>1.7357221333017911E-2</c:v>
                </c:pt>
                <c:pt idx="61">
                  <c:v>1.7357221333017911E-2</c:v>
                </c:pt>
                <c:pt idx="62">
                  <c:v>1.7357221333017911E-2</c:v>
                </c:pt>
                <c:pt idx="63">
                  <c:v>1.7357221333017911E-2</c:v>
                </c:pt>
                <c:pt idx="64">
                  <c:v>1.7357221333017911E-2</c:v>
                </c:pt>
                <c:pt idx="65">
                  <c:v>2.0812393953284412E-2</c:v>
                </c:pt>
                <c:pt idx="66">
                  <c:v>2.0812393953284412E-2</c:v>
                </c:pt>
                <c:pt idx="67">
                  <c:v>2.0812393953284412E-2</c:v>
                </c:pt>
                <c:pt idx="68">
                  <c:v>2.0812393953284412E-2</c:v>
                </c:pt>
                <c:pt idx="69">
                  <c:v>2.0812393953284412E-2</c:v>
                </c:pt>
                <c:pt idx="70">
                  <c:v>2.0812393953284412E-2</c:v>
                </c:pt>
                <c:pt idx="71">
                  <c:v>2.0812393953284412E-2</c:v>
                </c:pt>
                <c:pt idx="72">
                  <c:v>2.0812393953284412E-2</c:v>
                </c:pt>
                <c:pt idx="73">
                  <c:v>2.0812393953284412E-2</c:v>
                </c:pt>
                <c:pt idx="74">
                  <c:v>2.0812393953284412E-2</c:v>
                </c:pt>
                <c:pt idx="75">
                  <c:v>2.0812393953284412E-2</c:v>
                </c:pt>
                <c:pt idx="76">
                  <c:v>2.0812393953284412E-2</c:v>
                </c:pt>
                <c:pt idx="77">
                  <c:v>2.0812393953284412E-2</c:v>
                </c:pt>
                <c:pt idx="78">
                  <c:v>2.0812393953284412E-2</c:v>
                </c:pt>
                <c:pt idx="79">
                  <c:v>2.0812393953284412E-2</c:v>
                </c:pt>
                <c:pt idx="80">
                  <c:v>2.0812393953284412E-2</c:v>
                </c:pt>
                <c:pt idx="81">
                  <c:v>2.0812393953284412E-2</c:v>
                </c:pt>
                <c:pt idx="82">
                  <c:v>2.0812393953284412E-2</c:v>
                </c:pt>
                <c:pt idx="83">
                  <c:v>2.0812393953284412E-2</c:v>
                </c:pt>
                <c:pt idx="84">
                  <c:v>2.0812393953284412E-2</c:v>
                </c:pt>
                <c:pt idx="85">
                  <c:v>2.0812393953284412E-2</c:v>
                </c:pt>
                <c:pt idx="86">
                  <c:v>2.0812393953284412E-2</c:v>
                </c:pt>
                <c:pt idx="87">
                  <c:v>2.0812393953284412E-2</c:v>
                </c:pt>
                <c:pt idx="88">
                  <c:v>2.0812393953284412E-2</c:v>
                </c:pt>
                <c:pt idx="89">
                  <c:v>2.0812393953284412E-2</c:v>
                </c:pt>
                <c:pt idx="90">
                  <c:v>2.0812393953284412E-2</c:v>
                </c:pt>
                <c:pt idx="91">
                  <c:v>2.1659534088644801E-2</c:v>
                </c:pt>
                <c:pt idx="92">
                  <c:v>2.3507774065143702E-2</c:v>
                </c:pt>
                <c:pt idx="93">
                  <c:v>2.3507774065143702E-2</c:v>
                </c:pt>
                <c:pt idx="94">
                  <c:v>2.3507774065143702E-2</c:v>
                </c:pt>
                <c:pt idx="95">
                  <c:v>2.3507774065143702E-2</c:v>
                </c:pt>
                <c:pt idx="96">
                  <c:v>2.4534886285132503E-2</c:v>
                </c:pt>
                <c:pt idx="97">
                  <c:v>2.2102251501676072E-2</c:v>
                </c:pt>
                <c:pt idx="98">
                  <c:v>2.2682077984032753E-2</c:v>
                </c:pt>
                <c:pt idx="99">
                  <c:v>2.6389926890726785E-2</c:v>
                </c:pt>
                <c:pt idx="100">
                  <c:v>2.6389926890726785E-2</c:v>
                </c:pt>
                <c:pt idx="101">
                  <c:v>2.6389926890726785E-2</c:v>
                </c:pt>
                <c:pt idx="102">
                  <c:v>2.6389926890726785E-2</c:v>
                </c:pt>
                <c:pt idx="103">
                  <c:v>2.8525292061835683E-2</c:v>
                </c:pt>
                <c:pt idx="104">
                  <c:v>2.7341342951092123E-2</c:v>
                </c:pt>
                <c:pt idx="105">
                  <c:v>3.3493090688551927E-2</c:v>
                </c:pt>
                <c:pt idx="106">
                  <c:v>3.3493090688551927E-2</c:v>
                </c:pt>
                <c:pt idx="107">
                  <c:v>3.3493090688551927E-2</c:v>
                </c:pt>
                <c:pt idx="108">
                  <c:v>3.3493090688551927E-2</c:v>
                </c:pt>
                <c:pt idx="109">
                  <c:v>3.3493090688551927E-2</c:v>
                </c:pt>
                <c:pt idx="110">
                  <c:v>3.3493090688551927E-2</c:v>
                </c:pt>
                <c:pt idx="111">
                  <c:v>3.3493090688551927E-2</c:v>
                </c:pt>
                <c:pt idx="112">
                  <c:v>3.3493090688551927E-2</c:v>
                </c:pt>
                <c:pt idx="113">
                  <c:v>3.3493090688551927E-2</c:v>
                </c:pt>
                <c:pt idx="114">
                  <c:v>3.3493090688551927E-2</c:v>
                </c:pt>
                <c:pt idx="115">
                  <c:v>3.3493090688551927E-2</c:v>
                </c:pt>
                <c:pt idx="116">
                  <c:v>3.3493090688551927E-2</c:v>
                </c:pt>
                <c:pt idx="117">
                  <c:v>3.3493090688551927E-2</c:v>
                </c:pt>
                <c:pt idx="118">
                  <c:v>3.3493090688551927E-2</c:v>
                </c:pt>
                <c:pt idx="119">
                  <c:v>3.7571991027731587E-2</c:v>
                </c:pt>
                <c:pt idx="120">
                  <c:v>3.5506398370472488E-2</c:v>
                </c:pt>
                <c:pt idx="121">
                  <c:v>3.886880573137759E-2</c:v>
                </c:pt>
                <c:pt idx="122">
                  <c:v>3.886880573137759E-2</c:v>
                </c:pt>
                <c:pt idx="123">
                  <c:v>3.886880573137759E-2</c:v>
                </c:pt>
                <c:pt idx="124">
                  <c:v>3.886880573137759E-2</c:v>
                </c:pt>
                <c:pt idx="125">
                  <c:v>4.3116162034455695E-2</c:v>
                </c:pt>
                <c:pt idx="126">
                  <c:v>4.3116162034455695E-2</c:v>
                </c:pt>
                <c:pt idx="127">
                  <c:v>4.3116162034455695E-2</c:v>
                </c:pt>
                <c:pt idx="128">
                  <c:v>4.3116162034455695E-2</c:v>
                </c:pt>
                <c:pt idx="129">
                  <c:v>4.3116162034455695E-2</c:v>
                </c:pt>
                <c:pt idx="130">
                  <c:v>4.3116162034455695E-2</c:v>
                </c:pt>
                <c:pt idx="131">
                  <c:v>4.3116162034455695E-2</c:v>
                </c:pt>
                <c:pt idx="132">
                  <c:v>4.3116162034455695E-2</c:v>
                </c:pt>
                <c:pt idx="133">
                  <c:v>4.3116162034455695E-2</c:v>
                </c:pt>
                <c:pt idx="134">
                  <c:v>4.3281472323759188E-2</c:v>
                </c:pt>
                <c:pt idx="135">
                  <c:v>4.2687233091702706E-2</c:v>
                </c:pt>
                <c:pt idx="136">
                  <c:v>4.1608006003604189E-2</c:v>
                </c:pt>
                <c:pt idx="137">
                  <c:v>4.1328300871666286E-2</c:v>
                </c:pt>
                <c:pt idx="138">
                  <c:v>4.2850804739000686E-2</c:v>
                </c:pt>
                <c:pt idx="139">
                  <c:v>4.1184568914356789E-2</c:v>
                </c:pt>
                <c:pt idx="140">
                  <c:v>4.0108060872099546E-2</c:v>
                </c:pt>
                <c:pt idx="141">
                  <c:v>3.9639345373675278E-2</c:v>
                </c:pt>
                <c:pt idx="142">
                  <c:v>4.1611947126990775E-2</c:v>
                </c:pt>
                <c:pt idx="143">
                  <c:v>4.1459616873148045E-2</c:v>
                </c:pt>
                <c:pt idx="144">
                  <c:v>3.9365641620232844E-2</c:v>
                </c:pt>
                <c:pt idx="145">
                  <c:v>3.8449275998975442E-2</c:v>
                </c:pt>
                <c:pt idx="146">
                  <c:v>4.1162729802384342E-2</c:v>
                </c:pt>
                <c:pt idx="147">
                  <c:v>4.1162729802384342E-2</c:v>
                </c:pt>
                <c:pt idx="148">
                  <c:v>4.1162729802384342E-2</c:v>
                </c:pt>
                <c:pt idx="149">
                  <c:v>4.1162729802384342E-2</c:v>
                </c:pt>
                <c:pt idx="150">
                  <c:v>4.1162729802384342E-2</c:v>
                </c:pt>
                <c:pt idx="151">
                  <c:v>4.1162729802384342E-2</c:v>
                </c:pt>
                <c:pt idx="152">
                  <c:v>4.1162729802384342E-2</c:v>
                </c:pt>
                <c:pt idx="153">
                  <c:v>4.1162729802384342E-2</c:v>
                </c:pt>
                <c:pt idx="154">
                  <c:v>4.1162729802384342E-2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F-49E0-BED6-8847C0999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FB01EE9-0A3D-4D30-BAB6-E18D085E8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42154D-D64E-4E1B-99B7-4B5B0EEE5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4E24B9-64B0-4A3F-AD03-C310A092A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C6124EE-CF83-4130-9D65-2042837A4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6F1C701-5BBF-4616-989C-4AE877BDC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5124E79-BB2A-4F90-9DF2-4635168A2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7FFD324-BE80-4C8B-8FB6-4E594797F5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TEMPLATE.xlsx" TargetMode="External"/><Relationship Id="rId1" Type="http://schemas.openxmlformats.org/officeDocument/2006/relationships/externalLinkPath" Target="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HEI/HEI A avg</v>
          </cell>
          <cell r="P1" t="str">
            <v>HEI/HEI A 10 dma</v>
          </cell>
          <cell r="Q1" t="str">
            <v>HEI/HEI A 20 dma</v>
          </cell>
          <cell r="U1" t="str">
            <v>log diff HEI A x avg / HEI</v>
          </cell>
          <cell r="V1" t="str">
            <v>log diff HEI A x 10 dma / HEI</v>
          </cell>
          <cell r="W1" t="str">
            <v>log diff HEI A x 20 dma / HEI</v>
          </cell>
          <cell r="Y1" t="str">
            <v>HEI*/HEI A* avg</v>
          </cell>
          <cell r="Z1" t="str">
            <v>HEI*/HEI A* 10 dma</v>
          </cell>
          <cell r="AA1" t="str">
            <v>HEI*/HEI A* 20 dma</v>
          </cell>
          <cell r="AE1" t="str">
            <v>log diff HEI A* x avg / HEI*</v>
          </cell>
          <cell r="AF1" t="str">
            <v>log diff HEI A* x 10 dma / HEI*</v>
          </cell>
          <cell r="AG1" t="str">
            <v>log diff HEI A* x 20 dma / HEI*</v>
          </cell>
        </row>
        <row r="2">
          <cell r="O2">
            <v>1.3338063878300499</v>
          </cell>
          <cell r="Y2">
            <v>1.3338063878300499</v>
          </cell>
        </row>
        <row r="3">
          <cell r="O3">
            <v>1.3338063878300499</v>
          </cell>
          <cell r="U3">
            <v>3.79092861161619E-2</v>
          </cell>
          <cell r="Y3">
            <v>1.3338063878300499</v>
          </cell>
          <cell r="AE3">
            <v>3.79092861161619E-2</v>
          </cell>
        </row>
        <row r="4">
          <cell r="O4">
            <v>1.3338063878300499</v>
          </cell>
          <cell r="U4">
            <v>3.3895750640528598E-2</v>
          </cell>
          <cell r="Y4">
            <v>1.3338063878300499</v>
          </cell>
          <cell r="AE4">
            <v>3.3895750640528598E-2</v>
          </cell>
        </row>
        <row r="5">
          <cell r="O5">
            <v>1.3338063878300499</v>
          </cell>
          <cell r="U5">
            <v>2.9884110178559201E-2</v>
          </cell>
          <cell r="Y5">
            <v>1.3338063878300499</v>
          </cell>
          <cell r="AE5">
            <v>2.9884110178559201E-2</v>
          </cell>
        </row>
        <row r="6">
          <cell r="O6">
            <v>1.3338063878300499</v>
          </cell>
          <cell r="U6">
            <v>3.0718923557298099E-2</v>
          </cell>
          <cell r="Y6">
            <v>1.3338063878300499</v>
          </cell>
          <cell r="AE6">
            <v>3.0718923557298099E-2</v>
          </cell>
        </row>
        <row r="7">
          <cell r="O7">
            <v>1.3338063878300499</v>
          </cell>
          <cell r="U7">
            <v>3.0041302301067999E-2</v>
          </cell>
          <cell r="Y7">
            <v>1.3338063878300499</v>
          </cell>
          <cell r="AE7">
            <v>3.0041302301067999E-2</v>
          </cell>
        </row>
        <row r="8">
          <cell r="O8">
            <v>1.3338063878300499</v>
          </cell>
          <cell r="U8">
            <v>2.6381484547543799E-2</v>
          </cell>
          <cell r="Y8">
            <v>1.3338063878300499</v>
          </cell>
          <cell r="AE8">
            <v>2.6381484547543799E-2</v>
          </cell>
        </row>
        <row r="9">
          <cell r="O9">
            <v>1.3338063878300499</v>
          </cell>
          <cell r="U9">
            <v>2.58939136416045E-2</v>
          </cell>
          <cell r="Y9">
            <v>1.3338063878300499</v>
          </cell>
          <cell r="AE9">
            <v>2.58939136416045E-2</v>
          </cell>
          <cell r="AF9" t="str">
            <v>row</v>
          </cell>
        </row>
        <row r="10">
          <cell r="O10">
            <v>1.3338063878300499</v>
          </cell>
          <cell r="U10">
            <v>2.7212693061586999E-2</v>
          </cell>
          <cell r="Y10">
            <v>1.3338063878300499</v>
          </cell>
          <cell r="AE10">
            <v>2.7212693061586999E-2</v>
          </cell>
          <cell r="AF10" t="str">
            <v>col</v>
          </cell>
        </row>
        <row r="11">
          <cell r="O11">
            <v>1.3338063878300499</v>
          </cell>
          <cell r="P11">
            <v>1.29294110243798</v>
          </cell>
          <cell r="U11">
            <v>2.8263857715585601E-2</v>
          </cell>
          <cell r="Y11">
            <v>1.3338063878300499</v>
          </cell>
          <cell r="Z11">
            <v>1.29294110243798</v>
          </cell>
          <cell r="AE11">
            <v>2.8263857715585601E-2</v>
          </cell>
        </row>
        <row r="12">
          <cell r="O12">
            <v>1.3338063878300499</v>
          </cell>
          <cell r="P12">
            <v>1.2943625855015399</v>
          </cell>
          <cell r="U12">
            <v>3.00424943766881E-2</v>
          </cell>
          <cell r="V12">
            <v>-1.0747583640456199E-3</v>
          </cell>
          <cell r="Y12">
            <v>1.3338063878300499</v>
          </cell>
          <cell r="Z12">
            <v>1.2943625855015399</v>
          </cell>
          <cell r="AE12">
            <v>3.00424943766881E-2</v>
          </cell>
          <cell r="AF12">
            <v>-1.0747583640456199E-3</v>
          </cell>
        </row>
        <row r="13">
          <cell r="O13">
            <v>1.3338063878300499</v>
          </cell>
          <cell r="P13">
            <v>1.2949387272911801</v>
          </cell>
          <cell r="U13">
            <v>3.3432895469621603E-2</v>
          </cell>
          <cell r="V13">
            <v>3.4144570761993199E-3</v>
          </cell>
          <cell r="Y13">
            <v>1.3338063878300499</v>
          </cell>
          <cell r="Z13">
            <v>1.2949387272911801</v>
          </cell>
          <cell r="AE13">
            <v>3.3432895469621603E-2</v>
          </cell>
          <cell r="AF13">
            <v>3.4144570761993199E-3</v>
          </cell>
        </row>
        <row r="14">
          <cell r="O14">
            <v>1.3338063878300499</v>
          </cell>
          <cell r="P14">
            <v>1.29518241087869</v>
          </cell>
          <cell r="U14">
            <v>3.2007567367947E-2</v>
          </cell>
          <cell r="V14">
            <v>2.4341461660740298E-3</v>
          </cell>
          <cell r="Y14">
            <v>1.3338063878300499</v>
          </cell>
          <cell r="Z14">
            <v>1.29518241087869</v>
          </cell>
          <cell r="AE14">
            <v>3.2007567367947E-2</v>
          </cell>
          <cell r="AF14">
            <v>2.4341461660740298E-3</v>
          </cell>
        </row>
        <row r="15">
          <cell r="O15">
            <v>1.3338063878300499</v>
          </cell>
          <cell r="P15">
            <v>1.2952365856613599</v>
          </cell>
          <cell r="U15">
            <v>2.94657098362178E-2</v>
          </cell>
          <cell r="V15">
            <v>8.0452488649974699E-5</v>
          </cell>
          <cell r="Y15">
            <v>1.3338063878300499</v>
          </cell>
          <cell r="Z15">
            <v>1.2952365856613599</v>
          </cell>
          <cell r="AE15">
            <v>2.94657098362178E-2</v>
          </cell>
          <cell r="AF15">
            <v>8.0452488649974699E-5</v>
          </cell>
        </row>
        <row r="16">
          <cell r="O16">
            <v>1.3338063878300499</v>
          </cell>
          <cell r="P16">
            <v>1.29551729116384</v>
          </cell>
          <cell r="U16">
            <v>2.85510778682748E-2</v>
          </cell>
          <cell r="V16">
            <v>-7.9235243683922795E-4</v>
          </cell>
          <cell r="Y16">
            <v>1.3338063878300499</v>
          </cell>
          <cell r="Z16">
            <v>1.29551729116384</v>
          </cell>
          <cell r="AE16">
            <v>2.85510778682748E-2</v>
          </cell>
          <cell r="AF16">
            <v>-7.9235243683922795E-4</v>
          </cell>
        </row>
        <row r="17">
          <cell r="O17">
            <v>1.3338063878300499</v>
          </cell>
          <cell r="P17">
            <v>1.2958966971539501</v>
          </cell>
          <cell r="U17">
            <v>2.71143043557815E-2</v>
          </cell>
          <cell r="V17">
            <v>-2.0124280174370702E-3</v>
          </cell>
          <cell r="Y17">
            <v>1.3338063878300499</v>
          </cell>
          <cell r="Z17">
            <v>1.2958966971539501</v>
          </cell>
          <cell r="AE17">
            <v>2.71143043557815E-2</v>
          </cell>
          <cell r="AF17">
            <v>-2.0124280174370702E-3</v>
          </cell>
        </row>
        <row r="18">
          <cell r="O18">
            <v>1.3338063878300499</v>
          </cell>
          <cell r="P18">
            <v>1.2955315865646</v>
          </cell>
          <cell r="U18">
            <v>2.9195976329977499E-2</v>
          </cell>
          <cell r="V18">
            <v>3.62061696056911E-4</v>
          </cell>
          <cell r="Y18">
            <v>1.3338063878300499</v>
          </cell>
          <cell r="Z18">
            <v>1.2955315865646</v>
          </cell>
          <cell r="AE18">
            <v>2.9195976329977499E-2</v>
          </cell>
          <cell r="AF18">
            <v>3.62061696056911E-4</v>
          </cell>
        </row>
        <row r="19">
          <cell r="O19">
            <v>1.3338063878300499</v>
          </cell>
          <cell r="P19">
            <v>1.2953565208506399</v>
          </cell>
          <cell r="U19">
            <v>2.72417790957898E-2</v>
          </cell>
          <cell r="V19">
            <v>-1.87391882656297E-3</v>
          </cell>
          <cell r="Y19">
            <v>1.3338063878300499</v>
          </cell>
          <cell r="Z19">
            <v>1.2953565208506399</v>
          </cell>
          <cell r="AE19">
            <v>2.72417790957898E-2</v>
          </cell>
          <cell r="AF19">
            <v>-1.87391882656297E-3</v>
          </cell>
        </row>
        <row r="20">
          <cell r="O20">
            <v>1.3338063878300499</v>
          </cell>
          <cell r="P20">
            <v>1.2958903131230699</v>
          </cell>
          <cell r="U20">
            <v>2.31087026560906E-2</v>
          </cell>
          <cell r="V20">
            <v>-6.1421348068135496E-3</v>
          </cell>
          <cell r="Y20">
            <v>1.3338063878300499</v>
          </cell>
          <cell r="Z20">
            <v>1.2958903131230699</v>
          </cell>
          <cell r="AE20">
            <v>2.31087026560906E-2</v>
          </cell>
          <cell r="AF20">
            <v>-6.1421348068135496E-3</v>
          </cell>
        </row>
        <row r="21">
          <cell r="O21">
            <v>1.3338063878300499</v>
          </cell>
          <cell r="P21">
            <v>1.29620435992078</v>
          </cell>
          <cell r="Q21">
            <v>1.29457273117938</v>
          </cell>
          <cell r="U21">
            <v>2.5844773373747999E-2</v>
          </cell>
          <cell r="V21">
            <v>-2.9940676147334599E-3</v>
          </cell>
          <cell r="Y21">
            <v>1.3338063878300499</v>
          </cell>
          <cell r="Z21">
            <v>1.29620435992078</v>
          </cell>
          <cell r="AA21">
            <v>1.29457273117938</v>
          </cell>
          <cell r="AE21">
            <v>2.5844773373747999E-2</v>
          </cell>
          <cell r="AF21">
            <v>-2.9940676147334599E-3</v>
          </cell>
        </row>
        <row r="22">
          <cell r="O22">
            <v>1.3338063878300499</v>
          </cell>
          <cell r="P22">
            <v>1.29604017198074</v>
          </cell>
          <cell r="Q22">
            <v>1.2952013787411401</v>
          </cell>
          <cell r="U22">
            <v>3.1311815042729702E-2</v>
          </cell>
          <cell r="V22">
            <v>2.7152852649574501E-3</v>
          </cell>
          <cell r="W22">
            <v>1.4557180387985401E-3</v>
          </cell>
          <cell r="Y22">
            <v>1.3338063878300499</v>
          </cell>
          <cell r="Z22">
            <v>1.29604017198074</v>
          </cell>
          <cell r="AA22">
            <v>1.2952013787411401</v>
          </cell>
          <cell r="AE22">
            <v>3.1311815042729702E-2</v>
          </cell>
          <cell r="AF22">
            <v>2.7152852649574501E-3</v>
          </cell>
          <cell r="AG22">
            <v>1.4557180387985401E-3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1.3338063878300499</v>
          </cell>
          <cell r="P23">
            <v>1.2970144025057899</v>
          </cell>
          <cell r="Q23">
            <v>1.29597656489848</v>
          </cell>
          <cell r="U23">
            <v>2.5908808569228801E-2</v>
          </cell>
          <cell r="V23">
            <v>-2.8143974832833701E-3</v>
          </cell>
          <cell r="W23">
            <v>-3.4618039504011999E-3</v>
          </cell>
          <cell r="Y23">
            <v>1.3338063878300499</v>
          </cell>
          <cell r="Z23">
            <v>1.2970144025057899</v>
          </cell>
          <cell r="AA23">
            <v>1.29597656489848</v>
          </cell>
          <cell r="AE23">
            <v>2.5908808569228801E-2</v>
          </cell>
          <cell r="AF23">
            <v>-2.8143974832833701E-3</v>
          </cell>
          <cell r="AG23">
            <v>-3.4618039504011999E-3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1.3338063878300499</v>
          </cell>
          <cell r="P24">
            <v>1.2979656923527001</v>
          </cell>
          <cell r="Q24">
            <v>1.2965740516157001</v>
          </cell>
          <cell r="U24">
            <v>2.46704314302943E-2</v>
          </cell>
          <cell r="V24">
            <v>-3.3013592216557001E-3</v>
          </cell>
          <cell r="W24">
            <v>-4.1018538440990198E-3</v>
          </cell>
          <cell r="Y24">
            <v>1.3338063878300499</v>
          </cell>
          <cell r="Z24">
            <v>1.2979656923527001</v>
          </cell>
          <cell r="AA24">
            <v>1.2965740516157001</v>
          </cell>
          <cell r="AE24">
            <v>2.46704314302943E-2</v>
          </cell>
          <cell r="AF24">
            <v>-3.3013592216557001E-3</v>
          </cell>
          <cell r="AG24">
            <v>-4.1018538440990198E-3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1.3338063878300499</v>
          </cell>
          <cell r="P25">
            <v>1.29816649937155</v>
          </cell>
          <cell r="Q25">
            <v>1.2967015425164501</v>
          </cell>
          <cell r="U25">
            <v>2.79163709799111E-2</v>
          </cell>
          <cell r="V25">
            <v>6.7775735033146097E-4</v>
          </cell>
          <cell r="W25">
            <v>-3.9498849886684099E-4</v>
          </cell>
          <cell r="Y25">
            <v>1.3338063878300499</v>
          </cell>
          <cell r="Z25">
            <v>1.29816649937155</v>
          </cell>
          <cell r="AA25">
            <v>1.2967015425164501</v>
          </cell>
          <cell r="AE25">
            <v>2.79163709799111E-2</v>
          </cell>
          <cell r="AF25">
            <v>6.7775735033146097E-4</v>
          </cell>
          <cell r="AG25">
            <v>-3.9498849886684099E-4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1.3338063878300499</v>
          </cell>
          <cell r="P26">
            <v>1.2986098512236699</v>
          </cell>
          <cell r="Q26">
            <v>1.2970635711937499</v>
          </cell>
          <cell r="U26">
            <v>2.5136683570901E-2</v>
          </cell>
          <cell r="V26">
            <v>-1.94723299056628E-3</v>
          </cell>
          <cell r="W26">
            <v>-3.0763516872308301E-3</v>
          </cell>
          <cell r="Y26">
            <v>1.3338063878300499</v>
          </cell>
          <cell r="Z26">
            <v>1.2986098512236699</v>
          </cell>
          <cell r="AA26">
            <v>1.2970635711937499</v>
          </cell>
          <cell r="AE26">
            <v>2.5136683570901E-2</v>
          </cell>
          <cell r="AF26">
            <v>-1.94723299056628E-3</v>
          </cell>
          <cell r="AG26">
            <v>-3.0763516872308301E-3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1.3338063878300499</v>
          </cell>
          <cell r="P27">
            <v>1.2987600702239499</v>
          </cell>
          <cell r="Q27">
            <v>1.29732838368895</v>
          </cell>
          <cell r="U27">
            <v>2.5957775412513099E-2</v>
          </cell>
          <cell r="V27">
            <v>-7.8467789099796704E-4</v>
          </cell>
          <cell r="W27">
            <v>-1.9761068276847298E-3</v>
          </cell>
          <cell r="Y27">
            <v>1.3338063878300499</v>
          </cell>
          <cell r="Z27">
            <v>1.2987600702239499</v>
          </cell>
          <cell r="AA27">
            <v>1.29732838368895</v>
          </cell>
          <cell r="AE27">
            <v>2.5957775412513099E-2</v>
          </cell>
          <cell r="AF27">
            <v>-7.8467789099796704E-4</v>
          </cell>
          <cell r="AG27">
            <v>-1.9761068276847298E-3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1.3338063878300499</v>
          </cell>
          <cell r="P28">
            <v>1.2996727921668501</v>
          </cell>
          <cell r="Q28">
            <v>1.2976021893657299</v>
          </cell>
          <cell r="U28">
            <v>2.2174961924741301E-2</v>
          </cell>
          <cell r="V28">
            <v>-4.4518212932650597E-3</v>
          </cell>
          <cell r="W28">
            <v>-5.5547780727097E-3</v>
          </cell>
          <cell r="Y28">
            <v>1.3338063878300499</v>
          </cell>
          <cell r="Z28">
            <v>1.2996727921668501</v>
          </cell>
          <cell r="AA28">
            <v>1.2976021893657299</v>
          </cell>
          <cell r="AE28">
            <v>2.2174961924741301E-2</v>
          </cell>
          <cell r="AF28">
            <v>-4.4518212932650597E-3</v>
          </cell>
          <cell r="AG28">
            <v>-5.5547780727097E-3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1.3338063878300499</v>
          </cell>
          <cell r="P29">
            <v>1.3004082342672401</v>
          </cell>
          <cell r="Q29">
            <v>1.2978823775589401</v>
          </cell>
          <cell r="U29">
            <v>2.15916397468978E-2</v>
          </cell>
          <cell r="V29">
            <v>-4.3326262010693097E-3</v>
          </cell>
          <cell r="W29">
            <v>-5.9270690340465504E-3</v>
          </cell>
          <cell r="Y29">
            <v>1.3338063878300499</v>
          </cell>
          <cell r="Z29">
            <v>1.3004082342672401</v>
          </cell>
          <cell r="AA29">
            <v>1.2978823775589401</v>
          </cell>
          <cell r="AE29">
            <v>2.15916397468978E-2</v>
          </cell>
          <cell r="AF29">
            <v>-4.3326262010693097E-3</v>
          </cell>
          <cell r="AG29">
            <v>-5.9270690340465504E-3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1.3338063878300499</v>
          </cell>
          <cell r="P30">
            <v>1.30127607418555</v>
          </cell>
          <cell r="Q30">
            <v>1.29858319365431</v>
          </cell>
          <cell r="U30">
            <v>1.6472174962321999E-2</v>
          </cell>
          <cell r="V30">
            <v>-8.8863839076547494E-3</v>
          </cell>
          <cell r="W30">
            <v>-1.0830629476233301E-2</v>
          </cell>
          <cell r="Y30">
            <v>1.3338063878300499</v>
          </cell>
          <cell r="Z30">
            <v>1.30127607418555</v>
          </cell>
          <cell r="AA30">
            <v>1.29858319365431</v>
          </cell>
          <cell r="AE30">
            <v>1.6472174962321999E-2</v>
          </cell>
          <cell r="AF30">
            <v>-8.8863839076547494E-3</v>
          </cell>
          <cell r="AG30">
            <v>-1.0830629476233301E-2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1.3338063878300499</v>
          </cell>
          <cell r="P31">
            <v>1.3027760638521599</v>
          </cell>
          <cell r="Q31">
            <v>1.29949021188647</v>
          </cell>
          <cell r="U31">
            <v>1.4370485952901401E-2</v>
          </cell>
          <cell r="V31">
            <v>-1.0320935903038999E-2</v>
          </cell>
          <cell r="W31">
            <v>-1.2392495335167999E-2</v>
          </cell>
          <cell r="Y31">
            <v>1.3338063878300499</v>
          </cell>
          <cell r="Z31">
            <v>1.3027760638521599</v>
          </cell>
          <cell r="AA31">
            <v>1.29949021188647</v>
          </cell>
          <cell r="AE31">
            <v>1.4370485952901401E-2</v>
          </cell>
          <cell r="AF31">
            <v>-1.0320935903038999E-2</v>
          </cell>
          <cell r="AG31">
            <v>-1.2392495335167999E-2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1.3338063878300499</v>
          </cell>
          <cell r="P32">
            <v>1.3061364087892999</v>
          </cell>
          <cell r="Q32">
            <v>1.3010882903850201</v>
          </cell>
          <cell r="U32">
            <v>5.64895365111567E-3</v>
          </cell>
          <cell r="V32">
            <v>-1.7890425347772399E-2</v>
          </cell>
          <cell r="W32">
            <v>-2.0415803893871199E-2</v>
          </cell>
          <cell r="Y32">
            <v>1.3338063878300499</v>
          </cell>
          <cell r="Z32">
            <v>1.3061364087892999</v>
          </cell>
          <cell r="AA32">
            <v>1.3010882903850201</v>
          </cell>
          <cell r="AE32">
            <v>5.64895365111567E-3</v>
          </cell>
          <cell r="AF32">
            <v>-1.7890425347772399E-2</v>
          </cell>
          <cell r="AG32">
            <v>-2.0415803893871199E-2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1.3338063878300499</v>
          </cell>
          <cell r="P33">
            <v>1.3088208146884499</v>
          </cell>
          <cell r="Q33">
            <v>1.3029176085971199</v>
          </cell>
          <cell r="U33">
            <v>5.4650578340921198E-3</v>
          </cell>
          <cell r="V33">
            <v>-1.54982693955905E-2</v>
          </cell>
          <cell r="W33">
            <v>-1.9370681860972301E-2</v>
          </cell>
          <cell r="Y33">
            <v>1.3338063878300499</v>
          </cell>
          <cell r="Z33">
            <v>1.3088208146884499</v>
          </cell>
          <cell r="AA33">
            <v>1.3029176085971199</v>
          </cell>
          <cell r="AE33">
            <v>5.4650578340921198E-3</v>
          </cell>
          <cell r="AF33">
            <v>-1.54982693955905E-2</v>
          </cell>
          <cell r="AG33">
            <v>-1.9370681860972301E-2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1.3338063878300499</v>
          </cell>
          <cell r="P34">
            <v>1.3116612675060499</v>
          </cell>
          <cell r="Q34">
            <v>1.30481347992938</v>
          </cell>
          <cell r="U34">
            <v>3.0774935733743E-3</v>
          </cell>
          <cell r="V34">
            <v>-1.58327164442916E-2</v>
          </cell>
          <cell r="W34">
            <v>-2.03532427661011E-2</v>
          </cell>
          <cell r="Y34">
            <v>1.3338063878300499</v>
          </cell>
          <cell r="Z34">
            <v>1.3116612675060499</v>
          </cell>
          <cell r="AA34">
            <v>1.30481347992938</v>
          </cell>
          <cell r="AE34">
            <v>3.0774935733743E-3</v>
          </cell>
          <cell r="AF34">
            <v>-1.58327164442916E-2</v>
          </cell>
          <cell r="AG34">
            <v>-2.03532427661011E-2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1.3338063878300499</v>
          </cell>
          <cell r="P35">
            <v>1.3163741061143099</v>
          </cell>
          <cell r="Q35">
            <v>1.30727030274293</v>
          </cell>
          <cell r="U35">
            <v>-7.7731541633349202E-3</v>
          </cell>
          <cell r="V35">
            <v>-2.45154776311561E-2</v>
          </cell>
          <cell r="W35">
            <v>-2.9749851261858098E-2</v>
          </cell>
          <cell r="Y35">
            <v>1.3338063878300499</v>
          </cell>
          <cell r="Z35">
            <v>1.3163741061143099</v>
          </cell>
          <cell r="AA35">
            <v>1.30727030274293</v>
          </cell>
          <cell r="AE35">
            <v>-7.7731541633349202E-3</v>
          </cell>
          <cell r="AF35">
            <v>-2.45154776311561E-2</v>
          </cell>
          <cell r="AG35">
            <v>-2.9749851261858098E-2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1.3338063878300499</v>
          </cell>
          <cell r="P36">
            <v>1.32007171397667</v>
          </cell>
          <cell r="Q36">
            <v>1.30934078260017</v>
          </cell>
          <cell r="U36">
            <v>-2.89464215103681E-3</v>
          </cell>
          <cell r="V36">
            <v>-1.60503748845147E-2</v>
          </cell>
          <cell r="W36">
            <v>-2.2990217706423E-2</v>
          </cell>
          <cell r="Y36">
            <v>1.3338063878300499</v>
          </cell>
          <cell r="Z36">
            <v>1.32007171397667</v>
          </cell>
          <cell r="AA36">
            <v>1.30934078260017</v>
          </cell>
          <cell r="AE36">
            <v>-2.89464215103681E-3</v>
          </cell>
          <cell r="AF36">
            <v>-1.60503748845147E-2</v>
          </cell>
          <cell r="AG36">
            <v>-2.2990217706423E-2</v>
          </cell>
          <cell r="AR36">
            <v>4.8785120122979992E-3</v>
          </cell>
          <cell r="BC36">
            <v>0</v>
          </cell>
          <cell r="BF36">
            <v>4.8785120122979992E-3</v>
          </cell>
        </row>
        <row r="37">
          <cell r="O37">
            <v>1.3338063878300499</v>
          </cell>
          <cell r="P37">
            <v>1.3252874782823501</v>
          </cell>
          <cell r="Q37">
            <v>1.31202377425315</v>
          </cell>
          <cell r="U37">
            <v>-1.33905350715298E-2</v>
          </cell>
          <cell r="V37">
            <v>-2.3741271579719999E-2</v>
          </cell>
          <cell r="W37">
            <v>-3.1903544305943797E-2</v>
          </cell>
          <cell r="Y37">
            <v>1.3338063878300499</v>
          </cell>
          <cell r="Z37">
            <v>1.3252874782823501</v>
          </cell>
          <cell r="AA37">
            <v>1.31202377425315</v>
          </cell>
          <cell r="AE37">
            <v>-1.33905350715298E-2</v>
          </cell>
          <cell r="AF37">
            <v>-2.3741271579719999E-2</v>
          </cell>
          <cell r="AG37">
            <v>-3.1903544305943797E-2</v>
          </cell>
          <cell r="AR37">
            <v>-5.6173809081950105E-3</v>
          </cell>
          <cell r="BC37">
            <v>0</v>
          </cell>
          <cell r="BF37">
            <v>-5.6173809081950105E-3</v>
          </cell>
        </row>
        <row r="38">
          <cell r="O38">
            <v>1.3338063878300499</v>
          </cell>
          <cell r="P38">
            <v>1.33109573385056</v>
          </cell>
          <cell r="Q38">
            <v>1.3153842630087</v>
          </cell>
          <cell r="U38">
            <v>-2.1385258687260499E-2</v>
          </cell>
          <cell r="V38">
            <v>-2.7792658442050401E-2</v>
          </cell>
          <cell r="W38">
            <v>-3.7851248110683897E-2</v>
          </cell>
          <cell r="Y38">
            <v>1.3338063878300499</v>
          </cell>
          <cell r="Z38">
            <v>1.33109573385056</v>
          </cell>
          <cell r="AA38">
            <v>1.3153842630087</v>
          </cell>
          <cell r="AE38">
            <v>-2.1385258687260499E-2</v>
          </cell>
          <cell r="AF38">
            <v>-2.7792658442050401E-2</v>
          </cell>
          <cell r="AG38">
            <v>-3.7851248110683897E-2</v>
          </cell>
          <cell r="AR38">
            <v>-1.361210452392551E-2</v>
          </cell>
          <cell r="BC38">
            <v>0</v>
          </cell>
          <cell r="BF38">
            <v>-1.361210452392551E-2</v>
          </cell>
        </row>
        <row r="39">
          <cell r="O39">
            <v>1.3338063878300499</v>
          </cell>
          <cell r="P39">
            <v>1.33214020434403</v>
          </cell>
          <cell r="Q39">
            <v>1.31627421930563</v>
          </cell>
          <cell r="U39">
            <v>1.36218156183177E-2</v>
          </cell>
          <cell r="V39">
            <v>1.158747830267E-2</v>
          </cell>
          <cell r="W39">
            <v>-2.8614662368466E-4</v>
          </cell>
          <cell r="Y39">
            <v>1.3338063878300499</v>
          </cell>
          <cell r="Z39">
            <v>1.33214020434403</v>
          </cell>
          <cell r="AA39">
            <v>1.31627421930563</v>
          </cell>
          <cell r="AE39">
            <v>1.36218156183177E-2</v>
          </cell>
          <cell r="AF39">
            <v>1.158747830267E-2</v>
          </cell>
          <cell r="AG39">
            <v>-2.8614662368466E-4</v>
          </cell>
          <cell r="AR39">
            <v>2.1394969781652787E-2</v>
          </cell>
          <cell r="BC39">
            <v>0</v>
          </cell>
          <cell r="BF39">
            <v>2.1394969781652787E-2</v>
          </cell>
        </row>
        <row r="40">
          <cell r="O40">
            <v>1.3338063878300499</v>
          </cell>
          <cell r="P40">
            <v>1.3339859917700201</v>
          </cell>
          <cell r="Q40">
            <v>1.3176310329777901</v>
          </cell>
          <cell r="U40">
            <v>2.5018817118014798E-3</v>
          </cell>
          <cell r="V40">
            <v>1.2519064063279499E-3</v>
          </cell>
          <cell r="W40">
            <v>-1.07297341601548E-2</v>
          </cell>
          <cell r="Y40">
            <v>1.3338063878300499</v>
          </cell>
          <cell r="Z40">
            <v>1.3339859917700201</v>
          </cell>
          <cell r="AA40">
            <v>1.3176310329777901</v>
          </cell>
          <cell r="AE40">
            <v>2.5018817118014798E-3</v>
          </cell>
          <cell r="AF40">
            <v>1.2519064063279499E-3</v>
          </cell>
          <cell r="AG40">
            <v>-1.07297341601548E-2</v>
          </cell>
          <cell r="AR40">
            <v>2.1394969781652787E-2</v>
          </cell>
          <cell r="BC40">
            <v>0</v>
          </cell>
          <cell r="BF40">
            <v>2.1394969781652787E-2</v>
          </cell>
        </row>
        <row r="41">
          <cell r="O41">
            <v>1.3338063878300499</v>
          </cell>
          <cell r="P41">
            <v>1.3361380026338701</v>
          </cell>
          <cell r="Q41">
            <v>1.31945703324302</v>
          </cell>
          <cell r="U41">
            <v>-1.8648938022533901E-3</v>
          </cell>
          <cell r="V41">
            <v>-1.7302476869017001E-3</v>
          </cell>
          <cell r="W41">
            <v>-1.4066241944577E-2</v>
          </cell>
          <cell r="Y41">
            <v>1.3338063878300499</v>
          </cell>
          <cell r="Z41">
            <v>1.3361380026338701</v>
          </cell>
          <cell r="AA41">
            <v>1.31945703324302</v>
          </cell>
          <cell r="AE41">
            <v>-1.8648938022533901E-3</v>
          </cell>
          <cell r="AF41">
            <v>-1.7302476869017001E-3</v>
          </cell>
          <cell r="AG41">
            <v>-1.4066241944577E-2</v>
          </cell>
          <cell r="AR41">
            <v>2.1394969781652787E-2</v>
          </cell>
          <cell r="BC41">
            <v>0</v>
          </cell>
          <cell r="BF41">
            <v>2.1394969781652787E-2</v>
          </cell>
        </row>
        <row r="42">
          <cell r="O42">
            <v>1.3338063878300499</v>
          </cell>
          <cell r="P42">
            <v>1.3371269576876399</v>
          </cell>
          <cell r="Q42">
            <v>1.32163168323847</v>
          </cell>
          <cell r="U42">
            <v>-1.7799189851126101E-3</v>
          </cell>
          <cell r="V42">
            <v>-3.3354221549078297E-5</v>
          </cell>
          <cell r="W42">
            <v>-1.25964058628845E-2</v>
          </cell>
          <cell r="Y42">
            <v>1.3338063878300499</v>
          </cell>
          <cell r="Z42">
            <v>1.3371269576876399</v>
          </cell>
          <cell r="AA42">
            <v>1.32163168323847</v>
          </cell>
          <cell r="AE42">
            <v>-1.7799189851126101E-3</v>
          </cell>
          <cell r="AF42">
            <v>-3.3354221549078297E-5</v>
          </cell>
          <cell r="AG42">
            <v>-1.25964058628845E-2</v>
          </cell>
          <cell r="AR42">
            <v>2.1394969781652787E-2</v>
          </cell>
          <cell r="BC42">
            <v>0</v>
          </cell>
          <cell r="BF42">
            <v>2.1394969781652787E-2</v>
          </cell>
        </row>
        <row r="43">
          <cell r="O43">
            <v>1.3338063878300499</v>
          </cell>
          <cell r="P43">
            <v>1.33580276709072</v>
          </cell>
          <cell r="Q43">
            <v>1.3223117908895801</v>
          </cell>
          <cell r="U43">
            <v>1.5497527444074601E-2</v>
          </cell>
          <cell r="V43">
            <v>1.7983977788425299E-2</v>
          </cell>
          <cell r="W43">
            <v>6.3278239350976701E-3</v>
          </cell>
          <cell r="Y43">
            <v>1.3338063878300499</v>
          </cell>
          <cell r="Z43">
            <v>1.33580276709072</v>
          </cell>
          <cell r="AA43">
            <v>1.3223117908895801</v>
          </cell>
          <cell r="AE43">
            <v>1.5497527444074601E-2</v>
          </cell>
          <cell r="AF43">
            <v>1.7983977788425299E-2</v>
          </cell>
          <cell r="AG43">
            <v>6.3278239350976701E-3</v>
          </cell>
          <cell r="AR43">
            <v>2.1394969781652787E-2</v>
          </cell>
          <cell r="BC43">
            <v>0</v>
          </cell>
          <cell r="BF43">
            <v>2.1394969781652787E-2</v>
          </cell>
        </row>
        <row r="44">
          <cell r="O44">
            <v>1.3338063878300499</v>
          </cell>
          <cell r="P44">
            <v>1.3337571755964901</v>
          </cell>
          <cell r="Q44">
            <v>1.3227092215512699</v>
          </cell>
          <cell r="U44">
            <v>1.8580817070813601E-2</v>
          </cell>
          <cell r="V44">
            <v>2.0076451462934901E-2</v>
          </cell>
          <cell r="W44">
            <v>9.9255781657647205E-3</v>
          </cell>
          <cell r="Y44">
            <v>1.3338063878300499</v>
          </cell>
          <cell r="Z44">
            <v>1.3337571755964901</v>
          </cell>
          <cell r="AA44">
            <v>1.3227092215512699</v>
          </cell>
          <cell r="AE44">
            <v>1.8580817070813601E-2</v>
          </cell>
          <cell r="AF44">
            <v>2.0076451462934901E-2</v>
          </cell>
          <cell r="AG44">
            <v>9.9255781657647205E-3</v>
          </cell>
          <cell r="AR44">
            <v>2.1394969781652787E-2</v>
          </cell>
          <cell r="BC44">
            <v>0</v>
          </cell>
          <cell r="BF44">
            <v>2.1394969781652787E-2</v>
          </cell>
        </row>
        <row r="45">
          <cell r="O45">
            <v>1.3338063878300499</v>
          </cell>
          <cell r="P45">
            <v>1.32977030442172</v>
          </cell>
          <cell r="Q45">
            <v>1.3230722052680099</v>
          </cell>
          <cell r="U45">
            <v>2.23350661442238E-2</v>
          </cell>
          <cell r="V45">
            <v>2.22981693787676E-2</v>
          </cell>
          <cell r="W45">
            <v>1.3980339532127E-2</v>
          </cell>
          <cell r="Y45">
            <v>1.3338063878300499</v>
          </cell>
          <cell r="Z45">
            <v>1.32977030442172</v>
          </cell>
          <cell r="AA45">
            <v>1.3230722052680099</v>
          </cell>
          <cell r="AE45">
            <v>2.23350661442238E-2</v>
          </cell>
          <cell r="AF45">
            <v>2.22981693787676E-2</v>
          </cell>
          <cell r="AG45">
            <v>1.3980339532127E-2</v>
          </cell>
          <cell r="AR45">
            <v>2.1394969781652787E-2</v>
          </cell>
          <cell r="BC45">
            <v>0</v>
          </cell>
          <cell r="BF45">
            <v>2.1394969781652787E-2</v>
          </cell>
        </row>
        <row r="46">
          <cell r="O46">
            <v>1.3338063878300499</v>
          </cell>
          <cell r="P46">
            <v>1.3285545998095301</v>
          </cell>
          <cell r="Q46">
            <v>1.3243131568930999</v>
          </cell>
          <cell r="U46">
            <v>6.2351131398841898E-3</v>
          </cell>
          <cell r="V46">
            <v>3.2045366153492499E-3</v>
          </cell>
          <cell r="W46">
            <v>-1.8452266953298999E-3</v>
          </cell>
          <cell r="Y46">
            <v>1.3338063878300499</v>
          </cell>
          <cell r="Z46">
            <v>1.3285545998095301</v>
          </cell>
          <cell r="AA46">
            <v>1.3243131568930999</v>
          </cell>
          <cell r="AE46">
            <v>6.2351131398841898E-3</v>
          </cell>
          <cell r="AF46">
            <v>3.2045366153492499E-3</v>
          </cell>
          <cell r="AG46">
            <v>-1.8452266953298999E-3</v>
          </cell>
          <cell r="AR46">
            <v>2.1394969781652787E-2</v>
          </cell>
          <cell r="BC46">
            <v>0</v>
          </cell>
          <cell r="BF46">
            <v>2.1394969781652787E-2</v>
          </cell>
        </row>
        <row r="47">
          <cell r="O47">
            <v>1.3338063878300499</v>
          </cell>
          <cell r="P47">
            <v>1.3255588276553001</v>
          </cell>
          <cell r="Q47">
            <v>1.3254231529688201</v>
          </cell>
          <cell r="U47">
            <v>9.0202934401419198E-3</v>
          </cell>
          <cell r="V47">
            <v>5.0750772528573504E-3</v>
          </cell>
          <cell r="W47">
            <v>1.87744591995901E-3</v>
          </cell>
          <cell r="Y47">
            <v>1.3338063878300499</v>
          </cell>
          <cell r="Z47">
            <v>1.3255588276553001</v>
          </cell>
          <cell r="AA47">
            <v>1.3254231529688201</v>
          </cell>
          <cell r="AE47">
            <v>9.0202934401419198E-3</v>
          </cell>
          <cell r="AF47">
            <v>5.0750772528573504E-3</v>
          </cell>
          <cell r="AG47">
            <v>1.87744591995901E-3</v>
          </cell>
          <cell r="AR47">
            <v>2.1394969781652787E-2</v>
          </cell>
          <cell r="BC47">
            <v>0</v>
          </cell>
          <cell r="BF47">
            <v>2.1394969781652787E-2</v>
          </cell>
        </row>
        <row r="48">
          <cell r="O48">
            <v>1.3338063878300499</v>
          </cell>
          <cell r="P48">
            <v>1.32101999909312</v>
          </cell>
          <cell r="Q48">
            <v>1.3260578664718401</v>
          </cell>
          <cell r="U48">
            <v>1.2491270984336601E-2</v>
          </cell>
          <cell r="V48">
            <v>6.2885978282120197E-3</v>
          </cell>
          <cell r="W48">
            <v>6.1862397680020401E-3</v>
          </cell>
          <cell r="Y48">
            <v>1.3338063878300499</v>
          </cell>
          <cell r="Z48">
            <v>1.32101999909312</v>
          </cell>
          <cell r="AA48">
            <v>1.3260578664718401</v>
          </cell>
          <cell r="AE48">
            <v>1.2491270984336601E-2</v>
          </cell>
          <cell r="AF48">
            <v>6.2885978282120197E-3</v>
          </cell>
          <cell r="AG48">
            <v>6.1862397680020401E-3</v>
          </cell>
          <cell r="AR48">
            <v>2.1394969781652787E-2</v>
          </cell>
          <cell r="BC48">
            <v>0</v>
          </cell>
          <cell r="BF48">
            <v>2.1394969781652787E-2</v>
          </cell>
        </row>
        <row r="49">
          <cell r="O49">
            <v>1.3338063878300499</v>
          </cell>
          <cell r="P49">
            <v>1.3194479627379501</v>
          </cell>
          <cell r="Q49">
            <v>1.32579408354099</v>
          </cell>
          <cell r="U49">
            <v>2.5641500969097199E-2</v>
          </cell>
          <cell r="V49">
            <v>1.6008865352670199E-2</v>
          </cell>
          <cell r="W49">
            <v>1.9815231252832698E-2</v>
          </cell>
          <cell r="Y49">
            <v>1.3338063878300499</v>
          </cell>
          <cell r="Z49">
            <v>1.3194479627379501</v>
          </cell>
          <cell r="AA49">
            <v>1.32579408354099</v>
          </cell>
          <cell r="AE49">
            <v>2.5641500969097199E-2</v>
          </cell>
          <cell r="AF49">
            <v>1.6008865352670199E-2</v>
          </cell>
          <cell r="AG49">
            <v>1.9815231252832698E-2</v>
          </cell>
          <cell r="AR49">
            <v>2.1394969781652787E-2</v>
          </cell>
          <cell r="BC49">
            <v>0</v>
          </cell>
          <cell r="BF49">
            <v>2.1394969781652787E-2</v>
          </cell>
        </row>
        <row r="50">
          <cell r="O50">
            <v>1.3338063878300499</v>
          </cell>
          <cell r="P50">
            <v>1.3166969325059601</v>
          </cell>
          <cell r="Q50">
            <v>1.32534146213799</v>
          </cell>
          <cell r="U50">
            <v>2.3395721655505901E-2</v>
          </cell>
          <cell r="V50">
            <v>1.2572360331647599E-2</v>
          </cell>
          <cell r="W50">
            <v>1.73705095120745E-2</v>
          </cell>
          <cell r="Y50">
            <v>1.3338063878300499</v>
          </cell>
          <cell r="Z50">
            <v>1.3166969325059601</v>
          </cell>
          <cell r="AA50">
            <v>1.32534146213799</v>
          </cell>
          <cell r="AE50">
            <v>2.3395721655505901E-2</v>
          </cell>
          <cell r="AF50">
            <v>1.2572360331647599E-2</v>
          </cell>
          <cell r="AG50">
            <v>1.73705095120745E-2</v>
          </cell>
          <cell r="AR50">
            <v>2.1394969781652787E-2</v>
          </cell>
          <cell r="BC50">
            <v>2.2457793135913394E-3</v>
          </cell>
          <cell r="BF50">
            <v>2.3640749095244128E-2</v>
          </cell>
        </row>
        <row r="51">
          <cell r="O51">
            <v>1.3338063878300499</v>
          </cell>
          <cell r="P51">
            <v>1.31322853200734</v>
          </cell>
          <cell r="Q51">
            <v>1.3246832673205999</v>
          </cell>
          <cell r="U51">
            <v>2.4433218875301799E-2</v>
          </cell>
          <cell r="V51">
            <v>1.15226951684992E-2</v>
          </cell>
          <cell r="W51">
            <v>1.80665519857055E-2</v>
          </cell>
          <cell r="Y51">
            <v>1.3338063878300499</v>
          </cell>
          <cell r="Z51">
            <v>1.31322853200734</v>
          </cell>
          <cell r="AA51">
            <v>1.3246832673205999</v>
          </cell>
          <cell r="AE51">
            <v>2.4433218875301799E-2</v>
          </cell>
          <cell r="AF51">
            <v>1.15226951684992E-2</v>
          </cell>
          <cell r="AG51">
            <v>1.80665519857055E-2</v>
          </cell>
          <cell r="AR51">
            <v>2.1394969781652787E-2</v>
          </cell>
          <cell r="BC51">
            <v>1.2082820937955379E-3</v>
          </cell>
          <cell r="BF51">
            <v>2.2603251875448326E-2</v>
          </cell>
        </row>
        <row r="52">
          <cell r="O52">
            <v>1.3338063878300499</v>
          </cell>
          <cell r="P52">
            <v>1.30938333543973</v>
          </cell>
          <cell r="Q52">
            <v>1.3232551465636799</v>
          </cell>
          <cell r="U52">
            <v>2.7419751006654999E-2</v>
          </cell>
          <cell r="V52">
            <v>1.1871584099480401E-2</v>
          </cell>
          <cell r="W52">
            <v>2.05563379368385E-2</v>
          </cell>
          <cell r="Y52">
            <v>1.3338063878300499</v>
          </cell>
          <cell r="Z52">
            <v>1.30938333543973</v>
          </cell>
          <cell r="AA52">
            <v>1.3232551465636799</v>
          </cell>
          <cell r="AE52">
            <v>2.7419751006654999E-2</v>
          </cell>
          <cell r="AF52">
            <v>1.1871584099480401E-2</v>
          </cell>
          <cell r="AG52">
            <v>2.05563379368385E-2</v>
          </cell>
          <cell r="AR52">
            <v>2.1394969781652787E-2</v>
          </cell>
          <cell r="BC52">
            <v>-1.7782500375577719E-3</v>
          </cell>
          <cell r="BF52">
            <v>1.9616719744095016E-2</v>
          </cell>
        </row>
        <row r="53">
          <cell r="O53">
            <v>1.3338063878300499</v>
          </cell>
          <cell r="P53">
            <v>1.3085198953002499</v>
          </cell>
          <cell r="Q53">
            <v>1.3221613311954801</v>
          </cell>
          <cell r="U53">
            <v>2.2093844415376599E-2</v>
          </cell>
          <cell r="V53">
            <v>3.6133340908448401E-3</v>
          </cell>
          <cell r="W53">
            <v>1.41517650987148E-2</v>
          </cell>
          <cell r="Y53">
            <v>1.3338063878300499</v>
          </cell>
          <cell r="Z53">
            <v>1.3085198953002499</v>
          </cell>
          <cell r="AA53">
            <v>1.3221613311954801</v>
          </cell>
          <cell r="AE53">
            <v>2.2093844415376599E-2</v>
          </cell>
          <cell r="AF53">
            <v>3.6133340908448401E-3</v>
          </cell>
          <cell r="AG53">
            <v>1.41517650987148E-2</v>
          </cell>
          <cell r="AR53">
            <v>2.1394969781652787E-2</v>
          </cell>
          <cell r="BC53">
            <v>3.5476565537206277E-3</v>
          </cell>
          <cell r="BF53">
            <v>2.4942626335373416E-2</v>
          </cell>
        </row>
        <row r="54">
          <cell r="O54">
            <v>1.3338063878300499</v>
          </cell>
          <cell r="P54">
            <v>1.30741202530656</v>
          </cell>
          <cell r="Q54">
            <v>1.32058460045152</v>
          </cell>
          <cell r="U54">
            <v>2.7078676310425199E-2</v>
          </cell>
          <cell r="V54">
            <v>7.9385234439925002E-3</v>
          </cell>
          <cell r="W54">
            <v>1.8309645593310098E-2</v>
          </cell>
          <cell r="Y54">
            <v>1.3338063878300499</v>
          </cell>
          <cell r="Z54">
            <v>1.30741202530656</v>
          </cell>
          <cell r="AA54">
            <v>1.32058460045152</v>
          </cell>
          <cell r="AE54">
            <v>2.7078676310425199E-2</v>
          </cell>
          <cell r="AF54">
            <v>7.9385234439925002E-3</v>
          </cell>
          <cell r="AG54">
            <v>1.8309645593310098E-2</v>
          </cell>
          <cell r="AR54">
            <v>2.1394969781652787E-2</v>
          </cell>
          <cell r="BC54">
            <v>-1.437175341327875E-3</v>
          </cell>
          <cell r="BF54">
            <v>1.9957794440324913E-2</v>
          </cell>
        </row>
        <row r="55">
          <cell r="O55">
            <v>1.3338063878300499</v>
          </cell>
          <cell r="P55">
            <v>1.30836889154554</v>
          </cell>
          <cell r="Q55">
            <v>1.31906959798363</v>
          </cell>
          <cell r="U55">
            <v>1.5025858602429099E-2</v>
          </cell>
          <cell r="V55">
            <v>-4.961311765644E-3</v>
          </cell>
          <cell r="W55">
            <v>5.0635758877121502E-3</v>
          </cell>
          <cell r="Y55">
            <v>1.3338063878300499</v>
          </cell>
          <cell r="Z55">
            <v>1.30836889154554</v>
          </cell>
          <cell r="AA55">
            <v>1.31906959798363</v>
          </cell>
          <cell r="AE55">
            <v>1.5025858602429099E-2</v>
          </cell>
          <cell r="AF55">
            <v>-4.961311765644E-3</v>
          </cell>
          <cell r="AG55">
            <v>5.0635758877121502E-3</v>
          </cell>
          <cell r="AR55">
            <v>2.1394969781652787E-2</v>
          </cell>
          <cell r="BC55">
            <v>1.0615642366668177E-2</v>
          </cell>
          <cell r="BF55">
            <v>3.201061214832096E-2</v>
          </cell>
        </row>
        <row r="56">
          <cell r="O56">
            <v>1.3338063878300499</v>
          </cell>
          <cell r="P56">
            <v>1.30708520536134</v>
          </cell>
          <cell r="Q56">
            <v>1.31781990258543</v>
          </cell>
          <cell r="U56">
            <v>1.5966739619254201E-2</v>
          </cell>
          <cell r="V56">
            <v>-3.2888203333602799E-3</v>
          </cell>
          <cell r="W56">
            <v>4.8565772806502799E-3</v>
          </cell>
          <cell r="Y56">
            <v>1.3338063878300499</v>
          </cell>
          <cell r="Z56">
            <v>1.30708520536134</v>
          </cell>
          <cell r="AA56">
            <v>1.31781990258543</v>
          </cell>
          <cell r="AE56">
            <v>1.5966739619254201E-2</v>
          </cell>
          <cell r="AF56">
            <v>-3.2888203333602799E-3</v>
          </cell>
          <cell r="AG56">
            <v>4.8565772806502799E-3</v>
          </cell>
          <cell r="AR56">
            <v>2.1394969781652787E-2</v>
          </cell>
          <cell r="BC56">
            <v>9.6747613498430786E-3</v>
          </cell>
          <cell r="BF56">
            <v>3.1069731131495863E-2</v>
          </cell>
        </row>
        <row r="57">
          <cell r="O57">
            <v>1.3338063878300499</v>
          </cell>
          <cell r="P57">
            <v>1.3067992863757301</v>
          </cell>
          <cell r="Q57">
            <v>1.3161790570155201</v>
          </cell>
          <cell r="U57">
            <v>1.11856917349209E-2</v>
          </cell>
          <cell r="V57">
            <v>-9.0514845945931094E-3</v>
          </cell>
          <cell r="W57">
            <v>-8.7232639475000502E-4</v>
          </cell>
          <cell r="Y57">
            <v>1.3338063878300499</v>
          </cell>
          <cell r="Z57">
            <v>1.3067992863757301</v>
          </cell>
          <cell r="AA57">
            <v>1.3161790570155201</v>
          </cell>
          <cell r="AE57">
            <v>1.11856917349209E-2</v>
          </cell>
          <cell r="AF57">
            <v>-9.0514845945931094E-3</v>
          </cell>
          <cell r="AG57">
            <v>-8.7232639475000502E-4</v>
          </cell>
          <cell r="AR57">
            <v>2.1394969781652787E-2</v>
          </cell>
          <cell r="BC57">
            <v>9.6747613498430786E-3</v>
          </cell>
          <cell r="BF57">
            <v>3.1069731131495863E-2</v>
          </cell>
        </row>
        <row r="58">
          <cell r="O58">
            <v>1.3338063878300499</v>
          </cell>
          <cell r="P58">
            <v>1.30607179712055</v>
          </cell>
          <cell r="Q58">
            <v>1.31354589810683</v>
          </cell>
          <cell r="U58">
            <v>1.8029369898270801E-2</v>
          </cell>
          <cell r="V58">
            <v>-2.4265758433202E-3</v>
          </cell>
          <cell r="W58">
            <v>4.72545470688065E-3</v>
          </cell>
          <cell r="Y58">
            <v>1.3338063878300499</v>
          </cell>
          <cell r="Z58">
            <v>1.30607179712055</v>
          </cell>
          <cell r="AA58">
            <v>1.31354589810683</v>
          </cell>
          <cell r="AE58">
            <v>1.8029369898270801E-2</v>
          </cell>
          <cell r="AF58">
            <v>-2.4265758433202E-3</v>
          </cell>
          <cell r="AG58">
            <v>4.72545470688065E-3</v>
          </cell>
          <cell r="AR58">
            <v>2.1394969781652787E-2</v>
          </cell>
          <cell r="BC58">
            <v>9.6747613498430786E-3</v>
          </cell>
          <cell r="BF58">
            <v>3.1069731131495863E-2</v>
          </cell>
        </row>
        <row r="59">
          <cell r="O59">
            <v>1.3338063878300499</v>
          </cell>
          <cell r="P59">
            <v>1.3069370564212901</v>
          </cell>
          <cell r="Q59">
            <v>1.31319250957962</v>
          </cell>
          <cell r="U59">
            <v>1.9007917700266198E-2</v>
          </cell>
          <cell r="V59">
            <v>-2.0048785331639798E-3</v>
          </cell>
          <cell r="W59">
            <v>3.70139019494106E-3</v>
          </cell>
          <cell r="Y59">
            <v>1.3338063878300499</v>
          </cell>
          <cell r="Z59">
            <v>1.3069370564212901</v>
          </cell>
          <cell r="AA59">
            <v>1.31319250957962</v>
          </cell>
          <cell r="AE59">
            <v>1.9007917700266198E-2</v>
          </cell>
          <cell r="AF59">
            <v>-2.0048785331639798E-3</v>
          </cell>
          <cell r="AG59">
            <v>3.70139019494106E-3</v>
          </cell>
          <cell r="AR59">
            <v>2.1394969781652787E-2</v>
          </cell>
          <cell r="BC59">
            <v>9.6747613498430786E-3</v>
          </cell>
          <cell r="BF59">
            <v>3.1069731131495863E-2</v>
          </cell>
        </row>
        <row r="60">
          <cell r="O60">
            <v>1.3338063878300499</v>
          </cell>
          <cell r="P60">
            <v>1.3082174009860901</v>
          </cell>
          <cell r="Q60">
            <v>1.3124571667460301</v>
          </cell>
          <cell r="U60">
            <v>1.3617280867167E-2</v>
          </cell>
          <cell r="V60">
            <v>-6.7332448720897999E-3</v>
          </cell>
          <cell r="W60">
            <v>-1.9583168495747802E-3</v>
          </cell>
          <cell r="Y60">
            <v>1.3338063878300499</v>
          </cell>
          <cell r="Z60">
            <v>1.3082174009860901</v>
          </cell>
          <cell r="AA60">
            <v>1.3124571667460301</v>
          </cell>
          <cell r="AE60">
            <v>1.3617280867167E-2</v>
          </cell>
          <cell r="AF60">
            <v>-6.7332448720897999E-3</v>
          </cell>
          <cell r="AG60">
            <v>-1.9583168495747802E-3</v>
          </cell>
          <cell r="AR60">
            <v>2.1394969781652787E-2</v>
          </cell>
          <cell r="BC60">
            <v>9.6747613498430786E-3</v>
          </cell>
          <cell r="BF60">
            <v>3.1069731131495863E-2</v>
          </cell>
        </row>
        <row r="61">
          <cell r="O61">
            <v>1.3338063878300499</v>
          </cell>
          <cell r="P61">
            <v>1.3074099579526901</v>
          </cell>
          <cell r="Q61">
            <v>1.3103192449800101</v>
          </cell>
          <cell r="U61">
            <v>3.0655947455706101E-2</v>
          </cell>
          <cell r="V61">
            <v>1.12845949836194E-2</v>
          </cell>
          <cell r="W61">
            <v>1.4520227145727999E-2</v>
          </cell>
          <cell r="Y61">
            <v>1.3338063878300499</v>
          </cell>
          <cell r="Z61">
            <v>1.3074099579526901</v>
          </cell>
          <cell r="AA61">
            <v>1.3103192449800101</v>
          </cell>
          <cell r="AE61">
            <v>3.0655947455706101E-2</v>
          </cell>
          <cell r="AF61">
            <v>1.12845949836194E-2</v>
          </cell>
          <cell r="AG61">
            <v>1.4520227145727999E-2</v>
          </cell>
          <cell r="AR61">
            <v>2.1394969781652787E-2</v>
          </cell>
          <cell r="BC61">
            <v>9.6747613498430786E-3</v>
          </cell>
          <cell r="BF61">
            <v>3.1069731131495863E-2</v>
          </cell>
        </row>
        <row r="62">
          <cell r="O62">
            <v>1.3338063878300499</v>
          </cell>
          <cell r="P62">
            <v>1.3075340978446399</v>
          </cell>
          <cell r="Q62">
            <v>1.3084587166421799</v>
          </cell>
          <cell r="U62">
            <v>2.6463616090691599E-2</v>
          </cell>
          <cell r="V62">
            <v>6.4748644647921998E-3</v>
          </cell>
          <cell r="W62">
            <v>8.6976216712098698E-3</v>
          </cell>
          <cell r="Y62">
            <v>1.3338063878300499</v>
          </cell>
          <cell r="Z62">
            <v>1.3075340978446399</v>
          </cell>
          <cell r="AA62">
            <v>1.3084587166421799</v>
          </cell>
          <cell r="AE62">
            <v>2.6463616090691599E-2</v>
          </cell>
          <cell r="AF62">
            <v>6.4748644647921998E-3</v>
          </cell>
          <cell r="AG62">
            <v>8.6976216712098698E-3</v>
          </cell>
          <cell r="AR62">
            <v>2.1394969781652787E-2</v>
          </cell>
          <cell r="BC62">
            <v>9.6747613498430786E-3</v>
          </cell>
          <cell r="BF62">
            <v>3.1069731131495863E-2</v>
          </cell>
        </row>
        <row r="63">
          <cell r="O63">
            <v>1.3338063878300499</v>
          </cell>
          <cell r="P63">
            <v>1.3067789300607699</v>
          </cell>
          <cell r="Q63">
            <v>1.30764941268051</v>
          </cell>
          <cell r="U63">
            <v>2.7898892700128498E-2</v>
          </cell>
          <cell r="V63">
            <v>8.0050875735694308E-3</v>
          </cell>
          <cell r="W63">
            <v>8.7119846498370408E-3</v>
          </cell>
          <cell r="Y63">
            <v>1.3338063878300499</v>
          </cell>
          <cell r="Z63">
            <v>1.3067789300607699</v>
          </cell>
          <cell r="AA63">
            <v>1.30764941268051</v>
          </cell>
          <cell r="AE63">
            <v>2.7898892700128498E-2</v>
          </cell>
          <cell r="AF63">
            <v>8.0050875735694308E-3</v>
          </cell>
          <cell r="AG63">
            <v>8.7119846498370408E-3</v>
          </cell>
          <cell r="AR63">
            <v>2.1394969781652787E-2</v>
          </cell>
          <cell r="BC63">
            <v>9.6747613498430786E-3</v>
          </cell>
          <cell r="BF63">
            <v>3.1069731131495863E-2</v>
          </cell>
        </row>
        <row r="64">
          <cell r="O64">
            <v>1.3338063878300499</v>
          </cell>
          <cell r="P64">
            <v>1.3057381351039801</v>
          </cell>
          <cell r="Q64">
            <v>1.30657508020527</v>
          </cell>
          <cell r="U64">
            <v>3.51283690206248E-2</v>
          </cell>
          <cell r="V64">
            <v>1.46568459262441E-2</v>
          </cell>
          <cell r="W64">
            <v>1.53227526085375E-2</v>
          </cell>
          <cell r="Y64">
            <v>1.3338063878300499</v>
          </cell>
          <cell r="Z64">
            <v>1.3057381351039801</v>
          </cell>
          <cell r="AA64">
            <v>1.30657508020527</v>
          </cell>
          <cell r="AE64">
            <v>3.51283690206248E-2</v>
          </cell>
          <cell r="AF64">
            <v>1.46568459262441E-2</v>
          </cell>
          <cell r="AG64">
            <v>1.53227526085375E-2</v>
          </cell>
          <cell r="AR64">
            <v>2.1394969781652787E-2</v>
          </cell>
          <cell r="BC64">
            <v>9.6747613498430786E-3</v>
          </cell>
          <cell r="BF64">
            <v>3.1069731131495863E-2</v>
          </cell>
        </row>
        <row r="65">
          <cell r="O65">
            <v>1.3338063878300499</v>
          </cell>
          <cell r="P65">
            <v>1.3039874055574801</v>
          </cell>
          <cell r="Q65">
            <v>1.30617814855151</v>
          </cell>
          <cell r="U65">
            <v>2.8439957198234399E-2</v>
          </cell>
          <cell r="V65">
            <v>7.1716584381687903E-3</v>
          </cell>
          <cell r="W65">
            <v>7.8124277953956498E-3</v>
          </cell>
          <cell r="Y65">
            <v>1.3338063878300499</v>
          </cell>
          <cell r="Z65">
            <v>1.3039874055574801</v>
          </cell>
          <cell r="AA65">
            <v>1.30617814855151</v>
          </cell>
          <cell r="AE65">
            <v>2.8439957198234399E-2</v>
          </cell>
          <cell r="AF65">
            <v>7.1716584381687903E-3</v>
          </cell>
          <cell r="AG65">
            <v>7.8124277953956498E-3</v>
          </cell>
          <cell r="AR65">
            <v>2.1394969781652787E-2</v>
          </cell>
          <cell r="BC65">
            <v>1.6363173172233576E-2</v>
          </cell>
          <cell r="BF65">
            <v>3.775814295388636E-2</v>
          </cell>
        </row>
        <row r="66">
          <cell r="O66">
            <v>1.3338063878300499</v>
          </cell>
          <cell r="P66">
            <v>1.30235279998352</v>
          </cell>
          <cell r="Q66">
            <v>1.30471900267243</v>
          </cell>
          <cell r="U66">
            <v>2.84973607164925E-2</v>
          </cell>
          <cell r="V66">
            <v>5.8873654585700399E-3</v>
          </cell>
          <cell r="W66">
            <v>7.5659896400918098E-3</v>
          </cell>
          <cell r="Y66">
            <v>1.3338063878300499</v>
          </cell>
          <cell r="Z66">
            <v>1.30235279998352</v>
          </cell>
          <cell r="AA66">
            <v>1.30471900267243</v>
          </cell>
          <cell r="AE66">
            <v>2.84973607164925E-2</v>
          </cell>
          <cell r="AF66">
            <v>5.8873654585700399E-3</v>
          </cell>
          <cell r="AG66">
            <v>7.5659896400918098E-3</v>
          </cell>
          <cell r="AR66">
            <v>2.1394969781652787E-2</v>
          </cell>
          <cell r="BC66">
            <v>1.6305769653975455E-2</v>
          </cell>
          <cell r="BF66">
            <v>3.7700739435628239E-2</v>
          </cell>
        </row>
        <row r="67">
          <cell r="O67">
            <v>1.3338063878300499</v>
          </cell>
          <cell r="P67">
            <v>1.30128850414718</v>
          </cell>
          <cell r="Q67">
            <v>1.3040438952614599</v>
          </cell>
          <cell r="U67">
            <v>1.92875672586976E-2</v>
          </cell>
          <cell r="V67">
            <v>-4.5767583316956304E-3</v>
          </cell>
          <cell r="W67">
            <v>-2.7615391756875898E-3</v>
          </cell>
          <cell r="Y67">
            <v>1.3338063878300499</v>
          </cell>
          <cell r="Z67">
            <v>1.30128850414718</v>
          </cell>
          <cell r="AA67">
            <v>1.3040438952614599</v>
          </cell>
          <cell r="AE67">
            <v>1.92875672586976E-2</v>
          </cell>
          <cell r="AF67">
            <v>-4.5767583316956304E-3</v>
          </cell>
          <cell r="AG67">
            <v>-2.7615391756875898E-3</v>
          </cell>
          <cell r="AR67">
            <v>2.1394969781652787E-2</v>
          </cell>
          <cell r="BC67">
            <v>2.5515563111770251E-2</v>
          </cell>
          <cell r="BF67">
            <v>4.6910532893423035E-2</v>
          </cell>
        </row>
        <row r="68">
          <cell r="O68">
            <v>1.3338063878300499</v>
          </cell>
          <cell r="P68">
            <v>1.30150332895493</v>
          </cell>
          <cell r="Q68">
            <v>1.30378756303774</v>
          </cell>
          <cell r="U68">
            <v>1.6390796747102501E-2</v>
          </cell>
          <cell r="V68">
            <v>-8.2910730218458996E-3</v>
          </cell>
          <cell r="W68">
            <v>-6.1758787055926096E-3</v>
          </cell>
          <cell r="Y68">
            <v>1.3338063878300499</v>
          </cell>
          <cell r="Z68">
            <v>1.30150332895493</v>
          </cell>
          <cell r="AA68">
            <v>1.30378756303774</v>
          </cell>
          <cell r="AE68">
            <v>1.6390796747102501E-2</v>
          </cell>
          <cell r="AF68">
            <v>-8.2910730218458996E-3</v>
          </cell>
          <cell r="AG68">
            <v>-6.1758787055926096E-3</v>
          </cell>
          <cell r="AR68">
            <v>2.1394969781652787E-2</v>
          </cell>
          <cell r="BC68">
            <v>2.5515563111770251E-2</v>
          </cell>
          <cell r="BF68">
            <v>4.6910532893423035E-2</v>
          </cell>
        </row>
        <row r="69">
          <cell r="O69">
            <v>1.3338063878300499</v>
          </cell>
          <cell r="P69">
            <v>1.30220053033719</v>
          </cell>
          <cell r="Q69">
            <v>1.30456879337924</v>
          </cell>
          <cell r="U69">
            <v>1.3694594966122299E-2</v>
          </cell>
          <cell r="V69">
            <v>-1.08222022023132E-2</v>
          </cell>
          <cell r="W69">
            <v>-9.0686669827765801E-3</v>
          </cell>
          <cell r="Y69">
            <v>1.3338063878300499</v>
          </cell>
          <cell r="Z69">
            <v>1.30220053033719</v>
          </cell>
          <cell r="AA69">
            <v>1.30456879337924</v>
          </cell>
          <cell r="AE69">
            <v>1.3694594966122299E-2</v>
          </cell>
          <cell r="AF69">
            <v>-1.08222022023132E-2</v>
          </cell>
          <cell r="AG69">
            <v>-9.0686669827765801E-3</v>
          </cell>
          <cell r="AR69">
            <v>2.1394969781652787E-2</v>
          </cell>
          <cell r="BC69">
            <v>2.5515563111770251E-2</v>
          </cell>
          <cell r="BF69">
            <v>4.6910532893423035E-2</v>
          </cell>
        </row>
        <row r="70">
          <cell r="O70">
            <v>1.3338063878300499</v>
          </cell>
          <cell r="P70">
            <v>1.3021559185818901</v>
          </cell>
          <cell r="Q70">
            <v>1.3051866597839901</v>
          </cell>
          <cell r="U70">
            <v>1.3956393574121199E-2</v>
          </cell>
          <cell r="V70">
            <v>-1.00248577437886E-2</v>
          </cell>
          <cell r="W70">
            <v>-8.2078471843385608E-3</v>
          </cell>
          <cell r="Y70">
            <v>1.3338063878300499</v>
          </cell>
          <cell r="Z70">
            <v>1.3021559185818901</v>
          </cell>
          <cell r="AA70">
            <v>1.3051866597839901</v>
          </cell>
          <cell r="AE70">
            <v>1.3956393574121199E-2</v>
          </cell>
          <cell r="AF70">
            <v>-1.00248577437886E-2</v>
          </cell>
          <cell r="AG70">
            <v>-8.2078471843385608E-3</v>
          </cell>
          <cell r="AR70">
            <v>2.1394969781652787E-2</v>
          </cell>
          <cell r="BC70">
            <v>2.5515563111770251E-2</v>
          </cell>
          <cell r="BF70">
            <v>4.6910532893423035E-2</v>
          </cell>
        </row>
        <row r="71">
          <cell r="O71">
            <v>1.3338063878300499</v>
          </cell>
          <cell r="P71">
            <v>1.3056116068710399</v>
          </cell>
          <cell r="Q71">
            <v>1.30651078241187</v>
          </cell>
          <cell r="U71">
            <v>4.2915444382626696E-3</v>
          </cell>
          <cell r="V71">
            <v>-1.9723966211023101E-2</v>
          </cell>
          <cell r="W71">
            <v>-1.73991910991999E-2</v>
          </cell>
          <cell r="Y71">
            <v>1.3338063878300499</v>
          </cell>
          <cell r="Z71">
            <v>1.3056116068710399</v>
          </cell>
          <cell r="AA71">
            <v>1.30651078241187</v>
          </cell>
          <cell r="AE71">
            <v>4.2915444382626696E-3</v>
          </cell>
          <cell r="AF71">
            <v>-1.9723966211023101E-2</v>
          </cell>
          <cell r="AG71">
            <v>-1.73991910991999E-2</v>
          </cell>
          <cell r="AR71">
            <v>2.1394969781652787E-2</v>
          </cell>
          <cell r="BC71">
            <v>2.5515563111770251E-2</v>
          </cell>
          <cell r="BF71">
            <v>4.6910532893423035E-2</v>
          </cell>
        </row>
        <row r="72">
          <cell r="O72">
            <v>1.3338063878300499</v>
          </cell>
          <cell r="P72">
            <v>1.30741403273399</v>
          </cell>
          <cell r="Q72">
            <v>1.30747406528931</v>
          </cell>
          <cell r="U72">
            <v>1.26832166014114E-2</v>
          </cell>
          <cell r="V72">
            <v>-8.6819885446525E-3</v>
          </cell>
          <cell r="W72">
            <v>-7.99352495655253E-3</v>
          </cell>
          <cell r="Y72">
            <v>1.3338063878300499</v>
          </cell>
          <cell r="Z72">
            <v>1.30741403273399</v>
          </cell>
          <cell r="AA72">
            <v>1.30747406528931</v>
          </cell>
          <cell r="AE72">
            <v>1.26832166014114E-2</v>
          </cell>
          <cell r="AF72">
            <v>-8.6819885446525E-3</v>
          </cell>
          <cell r="AG72">
            <v>-7.99352495655253E-3</v>
          </cell>
          <cell r="AR72">
            <v>2.1394969781652787E-2</v>
          </cell>
          <cell r="BC72">
            <v>2.5515563111770251E-2</v>
          </cell>
          <cell r="BF72">
            <v>4.6910532893423035E-2</v>
          </cell>
        </row>
        <row r="73">
          <cell r="O73">
            <v>1.3338063878300499</v>
          </cell>
          <cell r="P73">
            <v>1.30944747928079</v>
          </cell>
          <cell r="Q73">
            <v>1.30811320467078</v>
          </cell>
          <cell r="U73">
            <v>1.23437440160259E-2</v>
          </cell>
          <cell r="V73">
            <v>-7.6418909325692503E-3</v>
          </cell>
          <cell r="W73">
            <v>-7.5959749674616803E-3</v>
          </cell>
          <cell r="Y73">
            <v>1.3338063878300499</v>
          </cell>
          <cell r="Z73">
            <v>1.30944747928079</v>
          </cell>
          <cell r="AA73">
            <v>1.30811320467078</v>
          </cell>
          <cell r="AE73">
            <v>1.23437440160259E-2</v>
          </cell>
          <cell r="AF73">
            <v>-7.6418909325692503E-3</v>
          </cell>
          <cell r="AG73">
            <v>-7.5959749674616803E-3</v>
          </cell>
          <cell r="AR73">
            <v>2.1394969781652787E-2</v>
          </cell>
          <cell r="BC73">
            <v>2.5515563111770251E-2</v>
          </cell>
          <cell r="BF73">
            <v>4.6910532893423035E-2</v>
          </cell>
        </row>
        <row r="74">
          <cell r="O74">
            <v>1.3338063878300499</v>
          </cell>
          <cell r="P74">
            <v>1.3123052555392201</v>
          </cell>
          <cell r="Q74">
            <v>1.3090216953216001</v>
          </cell>
          <cell r="U74">
            <v>1.31792757026278E-2</v>
          </cell>
          <cell r="V74">
            <v>-5.2522479972533596E-3</v>
          </cell>
          <cell r="W74">
            <v>-6.2717274949022203E-3</v>
          </cell>
          <cell r="Y74">
            <v>1.3338063878300499</v>
          </cell>
          <cell r="Z74">
            <v>1.3123052555392201</v>
          </cell>
          <cell r="AA74">
            <v>1.3090216953216001</v>
          </cell>
          <cell r="AE74">
            <v>1.31792757026278E-2</v>
          </cell>
          <cell r="AF74">
            <v>-5.2522479972533596E-3</v>
          </cell>
          <cell r="AG74">
            <v>-6.2717274949022203E-3</v>
          </cell>
          <cell r="AR74">
            <v>2.1394969781652787E-2</v>
          </cell>
          <cell r="BC74">
            <v>2.5515563111770251E-2</v>
          </cell>
          <cell r="BF74">
            <v>4.6910532893423035E-2</v>
          </cell>
        </row>
        <row r="75">
          <cell r="O75">
            <v>1.3338063878300499</v>
          </cell>
          <cell r="P75">
            <v>1.31468006535496</v>
          </cell>
          <cell r="Q75">
            <v>1.30933373545622</v>
          </cell>
          <cell r="U75">
            <v>1.0287325258744999E-2</v>
          </cell>
          <cell r="V75">
            <v>-5.9641473994737999E-3</v>
          </cell>
          <cell r="W75">
            <v>-8.4694143856795696E-3</v>
          </cell>
          <cell r="Y75">
            <v>1.3338063878300499</v>
          </cell>
          <cell r="Z75">
            <v>1.31468006535496</v>
          </cell>
          <cell r="AA75">
            <v>1.30933373545622</v>
          </cell>
          <cell r="AE75">
            <v>1.0287325258744999E-2</v>
          </cell>
          <cell r="AF75">
            <v>-5.9641473994737999E-3</v>
          </cell>
          <cell r="AG75">
            <v>-8.4694143856795696E-3</v>
          </cell>
          <cell r="AR75">
            <v>2.1394969781652787E-2</v>
          </cell>
          <cell r="BC75">
            <v>2.5515563111770251E-2</v>
          </cell>
          <cell r="BF75">
            <v>4.6910532893423035E-2</v>
          </cell>
        </row>
        <row r="76">
          <cell r="O76">
            <v>1.3338063878300499</v>
          </cell>
          <cell r="P76">
            <v>1.31555885533798</v>
          </cell>
          <cell r="Q76">
            <v>1.30895582766075</v>
          </cell>
          <cell r="U76">
            <v>2.1741189585691101E-2</v>
          </cell>
          <cell r="V76">
            <v>7.2977289051345401E-3</v>
          </cell>
          <cell r="W76">
            <v>3.22279812916145E-3</v>
          </cell>
          <cell r="Y76">
            <v>1.3338063878300499</v>
          </cell>
          <cell r="Z76">
            <v>1.31555885533798</v>
          </cell>
          <cell r="AA76">
            <v>1.30895582766075</v>
          </cell>
          <cell r="AE76">
            <v>2.1741189585691101E-2</v>
          </cell>
          <cell r="AF76">
            <v>7.2977289051345401E-3</v>
          </cell>
          <cell r="AG76">
            <v>3.22279812916145E-3</v>
          </cell>
          <cell r="AR76">
            <v>2.1394969781652787E-2</v>
          </cell>
          <cell r="BC76">
            <v>2.5515563111770251E-2</v>
          </cell>
          <cell r="BF76">
            <v>4.6910532893423035E-2</v>
          </cell>
        </row>
        <row r="77">
          <cell r="O77">
            <v>1.3338063878300499</v>
          </cell>
          <cell r="P77">
            <v>1.3142261297436</v>
          </cell>
          <cell r="Q77">
            <v>1.30775731694539</v>
          </cell>
          <cell r="U77">
            <v>2.9526291420611198E-2</v>
          </cell>
          <cell r="V77">
            <v>1.5751051416741799E-2</v>
          </cell>
          <cell r="W77">
            <v>1.0719232275512299E-2</v>
          </cell>
          <cell r="Y77">
            <v>1.3338063878300499</v>
          </cell>
          <cell r="Z77">
            <v>1.3142261297436</v>
          </cell>
          <cell r="AA77">
            <v>1.30775731694539</v>
          </cell>
          <cell r="AE77">
            <v>2.9526291420611198E-2</v>
          </cell>
          <cell r="AF77">
            <v>1.5751051416741799E-2</v>
          </cell>
          <cell r="AG77">
            <v>1.0719232275512299E-2</v>
          </cell>
          <cell r="AR77">
            <v>2.1394969781652787E-2</v>
          </cell>
          <cell r="BC77">
            <v>2.5515563111770251E-2</v>
          </cell>
          <cell r="BF77">
            <v>4.6910532893423035E-2</v>
          </cell>
        </row>
        <row r="78">
          <cell r="O78">
            <v>1.3338063878300499</v>
          </cell>
          <cell r="P78">
            <v>1.3124211191181601</v>
          </cell>
          <cell r="Q78">
            <v>1.3069622240365499</v>
          </cell>
          <cell r="U78">
            <v>3.0242712308550301E-2</v>
          </cell>
          <cell r="V78">
            <v>1.5453909814945E-2</v>
          </cell>
          <cell r="W78">
            <v>1.05196102248969E-2</v>
          </cell>
          <cell r="Y78">
            <v>1.3338063878300499</v>
          </cell>
          <cell r="Z78">
            <v>1.3124211191181601</v>
          </cell>
          <cell r="AA78">
            <v>1.3069622240365499</v>
          </cell>
          <cell r="AE78">
            <v>3.0242712308550301E-2</v>
          </cell>
          <cell r="AF78">
            <v>1.5453909814945E-2</v>
          </cell>
          <cell r="AG78">
            <v>1.05196102248969E-2</v>
          </cell>
          <cell r="AR78">
            <v>2.1394969781652787E-2</v>
          </cell>
          <cell r="BC78">
            <v>2.5515563111770251E-2</v>
          </cell>
          <cell r="BF78">
            <v>4.6910532893423035E-2</v>
          </cell>
        </row>
        <row r="79">
          <cell r="O79">
            <v>1.3338063878300499</v>
          </cell>
          <cell r="P79">
            <v>1.31038123653262</v>
          </cell>
          <cell r="Q79">
            <v>1.3062908834349101</v>
          </cell>
          <cell r="U79">
            <v>2.9320622845618701E-2</v>
          </cell>
          <cell r="V79">
            <v>1.31574364027805E-2</v>
          </cell>
          <cell r="W79">
            <v>8.9893538661384997E-3</v>
          </cell>
          <cell r="Y79">
            <v>1.3338063878300499</v>
          </cell>
          <cell r="Z79">
            <v>1.31038123653262</v>
          </cell>
          <cell r="AA79">
            <v>1.3062908834349101</v>
          </cell>
          <cell r="AE79">
            <v>2.9320622845618701E-2</v>
          </cell>
          <cell r="AF79">
            <v>1.31574364027805E-2</v>
          </cell>
          <cell r="AG79">
            <v>8.9893538661384997E-3</v>
          </cell>
          <cell r="AR79">
            <v>2.1394969781652787E-2</v>
          </cell>
          <cell r="BC79">
            <v>2.5515563111770251E-2</v>
          </cell>
          <cell r="BF79">
            <v>4.6910532893423035E-2</v>
          </cell>
        </row>
        <row r="80">
          <cell r="O80">
            <v>1.3338063878300499</v>
          </cell>
          <cell r="P80">
            <v>1.30833536205223</v>
          </cell>
          <cell r="Q80">
            <v>1.30524564031706</v>
          </cell>
          <cell r="U80">
            <v>2.96328183288679E-2</v>
          </cell>
          <cell r="V80">
            <v>1.19141330567349E-2</v>
          </cell>
          <cell r="W80">
            <v>8.7877524925196494E-3</v>
          </cell>
          <cell r="Y80">
            <v>1.3338063878300499</v>
          </cell>
          <cell r="Z80">
            <v>1.30833536205223</v>
          </cell>
          <cell r="AA80">
            <v>1.30524564031706</v>
          </cell>
          <cell r="AE80">
            <v>2.96328183288679E-2</v>
          </cell>
          <cell r="AF80">
            <v>1.19141330567349E-2</v>
          </cell>
          <cell r="AG80">
            <v>8.7877524925196494E-3</v>
          </cell>
          <cell r="AR80">
            <v>2.1394969781652787E-2</v>
          </cell>
          <cell r="BC80">
            <v>2.5515563111770251E-2</v>
          </cell>
          <cell r="BF80">
            <v>4.6910532893423035E-2</v>
          </cell>
        </row>
        <row r="81">
          <cell r="O81">
            <v>1.3338063878300499</v>
          </cell>
          <cell r="P81">
            <v>1.30392216884114</v>
          </cell>
          <cell r="Q81">
            <v>1.3047668878560901</v>
          </cell>
          <cell r="U81">
            <v>3.80856988478845E-2</v>
          </cell>
          <cell r="V81">
            <v>1.8804511625194399E-2</v>
          </cell>
          <cell r="W81">
            <v>1.6440151636568701E-2</v>
          </cell>
          <cell r="Y81">
            <v>1.3338063878300499</v>
          </cell>
          <cell r="Z81">
            <v>1.30392216884114</v>
          </cell>
          <cell r="AA81">
            <v>1.3047668878560901</v>
          </cell>
          <cell r="AE81">
            <v>3.80856988478845E-2</v>
          </cell>
          <cell r="AF81">
            <v>1.8804511625194399E-2</v>
          </cell>
          <cell r="AG81">
            <v>1.6440151636568701E-2</v>
          </cell>
          <cell r="AR81">
            <v>2.1394969781652787E-2</v>
          </cell>
          <cell r="BC81">
            <v>2.5515563111770251E-2</v>
          </cell>
          <cell r="BF81">
            <v>4.6910532893423035E-2</v>
          </cell>
        </row>
        <row r="82">
          <cell r="O82">
            <v>1.3338063878300499</v>
          </cell>
          <cell r="P82">
            <v>1.3018876858161099</v>
          </cell>
          <cell r="Q82">
            <v>1.3046508592750501</v>
          </cell>
          <cell r="U82">
            <v>2.8251681500560899E-2</v>
          </cell>
          <cell r="V82">
            <v>5.5916563512710899E-3</v>
          </cell>
          <cell r="W82">
            <v>6.23927592272431E-3</v>
          </cell>
          <cell r="Y82">
            <v>1.3338063878300499</v>
          </cell>
          <cell r="Z82">
            <v>1.3018876858161099</v>
          </cell>
          <cell r="AA82">
            <v>1.3046508592750501</v>
          </cell>
          <cell r="AE82">
            <v>2.8251681500560899E-2</v>
          </cell>
          <cell r="AF82">
            <v>5.5916563512710899E-3</v>
          </cell>
          <cell r="AG82">
            <v>6.23927592272431E-3</v>
          </cell>
          <cell r="AR82">
            <v>2.1394969781652787E-2</v>
          </cell>
          <cell r="BC82">
            <v>3.5349580459094053E-2</v>
          </cell>
          <cell r="BF82">
            <v>5.6744550240746837E-2</v>
          </cell>
        </row>
        <row r="83">
          <cell r="O83">
            <v>1.3338063878300499</v>
          </cell>
          <cell r="P83">
            <v>1.2992793115547301</v>
          </cell>
          <cell r="Q83">
            <v>1.30436339541776</v>
          </cell>
          <cell r="U83">
            <v>3.2341122769625801E-2</v>
          </cell>
          <cell r="V83">
            <v>8.1195996201861003E-3</v>
          </cell>
          <cell r="W83">
            <v>1.02397865625378E-2</v>
          </cell>
          <cell r="Y83">
            <v>1.3338063878300499</v>
          </cell>
          <cell r="Z83">
            <v>1.2992793115547301</v>
          </cell>
          <cell r="AA83">
            <v>1.30436339541776</v>
          </cell>
          <cell r="AE83">
            <v>3.2341122769625801E-2</v>
          </cell>
          <cell r="AF83">
            <v>8.1195996201861003E-3</v>
          </cell>
          <cell r="AG83">
            <v>1.02397865625378E-2</v>
          </cell>
          <cell r="AR83">
            <v>2.1394969781652787E-2</v>
          </cell>
          <cell r="BC83">
            <v>3.1260139190029054E-2</v>
          </cell>
          <cell r="BF83">
            <v>5.2655108971681838E-2</v>
          </cell>
        </row>
        <row r="84">
          <cell r="O84">
            <v>1.3338063878300499</v>
          </cell>
          <cell r="P84">
            <v>1.2958655657915501</v>
          </cell>
          <cell r="Q84">
            <v>1.3040854106653801</v>
          </cell>
          <cell r="U84">
            <v>3.9455035507435003E-2</v>
          </cell>
          <cell r="V84">
            <v>1.32279701238317E-2</v>
          </cell>
          <cell r="W84">
            <v>1.7133337255225999E-2</v>
          </cell>
          <cell r="Y84">
            <v>1.3338063878300499</v>
          </cell>
          <cell r="Z84">
            <v>1.2958655657915501</v>
          </cell>
          <cell r="AA84">
            <v>1.3040854106653801</v>
          </cell>
          <cell r="AE84">
            <v>3.9455035507435003E-2</v>
          </cell>
          <cell r="AF84">
            <v>1.32279701238317E-2</v>
          </cell>
          <cell r="AG84">
            <v>1.7133337255225999E-2</v>
          </cell>
          <cell r="AR84">
            <v>2.1394969781652787E-2</v>
          </cell>
          <cell r="BC84">
            <v>2.4146226452220046E-2</v>
          </cell>
          <cell r="BF84">
            <v>4.554119623387283E-2</v>
          </cell>
        </row>
        <row r="85">
          <cell r="O85">
            <v>1.3338063878300499</v>
          </cell>
          <cell r="P85">
            <v>1.29243167502756</v>
          </cell>
          <cell r="Q85">
            <v>1.30355587019126</v>
          </cell>
          <cell r="U85">
            <v>3.6642862535098103E-2</v>
          </cell>
          <cell r="V85">
            <v>7.7849245848060399E-3</v>
          </cell>
          <cell r="W85">
            <v>1.4108022470194499E-2</v>
          </cell>
          <cell r="Y85">
            <v>1.3338063878300499</v>
          </cell>
          <cell r="Z85">
            <v>1.29243167502756</v>
          </cell>
          <cell r="AA85">
            <v>1.30355587019126</v>
          </cell>
          <cell r="AE85">
            <v>3.6642862535098103E-2</v>
          </cell>
          <cell r="AF85">
            <v>7.7849245848060399E-3</v>
          </cell>
          <cell r="AG85">
            <v>1.4108022470194499E-2</v>
          </cell>
          <cell r="AR85">
            <v>2.1394969781652787E-2</v>
          </cell>
          <cell r="BC85">
            <v>2.6958399424556564E-2</v>
          </cell>
          <cell r="BF85">
            <v>4.8353369206209348E-2</v>
          </cell>
        </row>
        <row r="86">
          <cell r="O86">
            <v>1.3338063878300499</v>
          </cell>
          <cell r="P86">
            <v>1.2913014461891399</v>
          </cell>
          <cell r="Q86">
            <v>1.3034301507635599</v>
          </cell>
          <cell r="U86">
            <v>3.0438860594814598E-2</v>
          </cell>
          <cell r="V86">
            <v>-1.07247645086305E-3</v>
          </cell>
          <cell r="W86">
            <v>7.4978753401632502E-3</v>
          </cell>
          <cell r="Y86">
            <v>1.3338063878300499</v>
          </cell>
          <cell r="Z86">
            <v>1.2913014461891399</v>
          </cell>
          <cell r="AA86">
            <v>1.3034301507635599</v>
          </cell>
          <cell r="AE86">
            <v>3.0438860594814598E-2</v>
          </cell>
          <cell r="AF86">
            <v>-1.07247645086305E-3</v>
          </cell>
          <cell r="AG86">
            <v>7.4978753401632502E-3</v>
          </cell>
          <cell r="AR86">
            <v>2.1394969781652787E-2</v>
          </cell>
          <cell r="BC86">
            <v>3.3162401364840263E-2</v>
          </cell>
          <cell r="BF86">
            <v>5.4557371146493047E-2</v>
          </cell>
        </row>
        <row r="87">
          <cell r="O87">
            <v>1.3338063878300499</v>
          </cell>
          <cell r="P87">
            <v>1.2934147746191</v>
          </cell>
          <cell r="Q87">
            <v>1.3038204521813499</v>
          </cell>
          <cell r="U87">
            <v>1.33388759451423E-2</v>
          </cell>
          <cell r="V87">
            <v>-1.9047341637716798E-2</v>
          </cell>
          <cell r="W87">
            <v>-9.6985574122511794E-3</v>
          </cell>
          <cell r="Y87">
            <v>1.3338063878300499</v>
          </cell>
          <cell r="Z87">
            <v>1.2934147746191</v>
          </cell>
          <cell r="AA87">
            <v>1.3038204521813499</v>
          </cell>
          <cell r="AE87">
            <v>1.33388759451423E-2</v>
          </cell>
          <cell r="AF87">
            <v>-1.9047341637716798E-2</v>
          </cell>
          <cell r="AG87">
            <v>-9.6985574122511794E-3</v>
          </cell>
          <cell r="AR87">
            <v>2.1394969781652787E-2</v>
          </cell>
          <cell r="BC87">
            <v>5.026238601451237E-2</v>
          </cell>
          <cell r="BF87">
            <v>7.1657355796165154E-2</v>
          </cell>
        </row>
        <row r="88">
          <cell r="O88">
            <v>1.3338063878300499</v>
          </cell>
          <cell r="P88">
            <v>1.2952085568048901</v>
          </cell>
          <cell r="Q88">
            <v>1.30381483796153</v>
          </cell>
          <cell r="U88">
            <v>1.64763750424856E-2</v>
          </cell>
          <cell r="V88">
            <v>-1.4274592307581199E-2</v>
          </cell>
          <cell r="W88">
            <v>-6.2616613790973897E-3</v>
          </cell>
          <cell r="Y88">
            <v>1.3338063878300499</v>
          </cell>
          <cell r="Z88">
            <v>1.2952085568048901</v>
          </cell>
          <cell r="AA88">
            <v>1.30381483796153</v>
          </cell>
          <cell r="AE88">
            <v>1.64763750424856E-2</v>
          </cell>
          <cell r="AF88">
            <v>-1.4274592307581199E-2</v>
          </cell>
          <cell r="AG88">
            <v>-6.2616613790973897E-3</v>
          </cell>
          <cell r="AR88">
            <v>2.1394969781652787E-2</v>
          </cell>
          <cell r="BC88">
            <v>5.026238601451237E-2</v>
          </cell>
          <cell r="BF88">
            <v>7.1657355796165154E-2</v>
          </cell>
        </row>
        <row r="89">
          <cell r="O89">
            <v>1.3338063878300499</v>
          </cell>
          <cell r="P89">
            <v>1.2976617311415199</v>
          </cell>
          <cell r="Q89">
            <v>1.3040214838370701</v>
          </cell>
          <cell r="U89">
            <v>1.05582039973249E-2</v>
          </cell>
          <cell r="V89">
            <v>-1.8806866493105302E-2</v>
          </cell>
          <cell r="W89">
            <v>-1.2184138409719899E-2</v>
          </cell>
          <cell r="Y89">
            <v>1.3338063878300499</v>
          </cell>
          <cell r="Z89">
            <v>1.2976617311415199</v>
          </cell>
          <cell r="AA89">
            <v>1.3040214838370701</v>
          </cell>
          <cell r="AE89">
            <v>1.05582039973249E-2</v>
          </cell>
          <cell r="AF89">
            <v>-1.8806866493105302E-2</v>
          </cell>
          <cell r="AG89">
            <v>-1.2184138409719899E-2</v>
          </cell>
          <cell r="AR89">
            <v>2.1394969781652787E-2</v>
          </cell>
          <cell r="BC89">
            <v>5.026238601451237E-2</v>
          </cell>
          <cell r="BF89">
            <v>7.1657355796165154E-2</v>
          </cell>
        </row>
        <row r="90">
          <cell r="O90">
            <v>1.3338063878300499</v>
          </cell>
          <cell r="P90">
            <v>1.30138476227039</v>
          </cell>
          <cell r="Q90">
            <v>1.30486006216131</v>
          </cell>
          <cell r="U90">
            <v>1.28606759322331E-3</v>
          </cell>
          <cell r="V90">
            <v>-2.6186756239115799E-2</v>
          </cell>
          <cell r="W90">
            <v>-2.1297794103777998E-2</v>
          </cell>
          <cell r="Y90">
            <v>1.3338063878300499</v>
          </cell>
          <cell r="Z90">
            <v>1.30138476227039</v>
          </cell>
          <cell r="AA90">
            <v>1.30486006216131</v>
          </cell>
          <cell r="AE90">
            <v>1.28606759322331E-3</v>
          </cell>
          <cell r="AF90">
            <v>-2.6186756239115799E-2</v>
          </cell>
          <cell r="AG90">
            <v>-2.1297794103777998E-2</v>
          </cell>
          <cell r="AR90">
            <v>2.1394969781652787E-2</v>
          </cell>
          <cell r="BC90">
            <v>5.026238601451237E-2</v>
          </cell>
          <cell r="BF90">
            <v>7.1657355796165154E-2</v>
          </cell>
        </row>
        <row r="91">
          <cell r="O91">
            <v>1.3338063878300499</v>
          </cell>
          <cell r="P91">
            <v>1.3054515465152201</v>
          </cell>
          <cell r="Q91">
            <v>1.30468685767818</v>
          </cell>
          <cell r="U91">
            <v>6.9032675403866697E-3</v>
          </cell>
          <cell r="V91">
            <v>-1.7704633571412599E-2</v>
          </cell>
          <cell r="W91">
            <v>-1.50377298959441E-2</v>
          </cell>
          <cell r="Y91">
            <v>1.3338063878300499</v>
          </cell>
          <cell r="Z91">
            <v>1.3054515465152201</v>
          </cell>
          <cell r="AA91">
            <v>1.30468685767818</v>
          </cell>
          <cell r="AE91">
            <v>6.9032675403866697E-3</v>
          </cell>
          <cell r="AF91">
            <v>-1.7704633571412599E-2</v>
          </cell>
          <cell r="AG91">
            <v>-1.50377298959441E-2</v>
          </cell>
          <cell r="AR91">
            <v>2.1394969781652787E-2</v>
          </cell>
          <cell r="BC91">
            <v>5.026238601451237E-2</v>
          </cell>
          <cell r="BF91">
            <v>7.1657355796165154E-2</v>
          </cell>
        </row>
        <row r="92">
          <cell r="O92">
            <v>1.3338063878300499</v>
          </cell>
          <cell r="P92">
            <v>1.3092111862384599</v>
          </cell>
          <cell r="Q92">
            <v>1.3055494360272899</v>
          </cell>
          <cell r="U92">
            <v>-3.3090800503665603E-4</v>
          </cell>
          <cell r="V92">
            <v>-2.1818714824535498E-2</v>
          </cell>
          <cell r="W92">
            <v>-2.2404652227464E-2</v>
          </cell>
          <cell r="Y92">
            <v>1.3338063878300499</v>
          </cell>
          <cell r="Z92">
            <v>1.3092111862384599</v>
          </cell>
          <cell r="AA92">
            <v>1.3055494360272899</v>
          </cell>
          <cell r="AE92">
            <v>-3.3090800503665603E-4</v>
          </cell>
          <cell r="AF92">
            <v>-2.1818714824535498E-2</v>
          </cell>
          <cell r="AG92">
            <v>-2.2404652227464E-2</v>
          </cell>
          <cell r="AR92">
            <v>2.1394969781652787E-2</v>
          </cell>
          <cell r="BC92">
            <v>5.026238601451237E-2</v>
          </cell>
          <cell r="BF92">
            <v>7.1657355796165154E-2</v>
          </cell>
        </row>
        <row r="93">
          <cell r="O93">
            <v>1.3338063878300499</v>
          </cell>
          <cell r="P93">
            <v>1.3136257801862401</v>
          </cell>
          <cell r="Q93">
            <v>1.3064525458704901</v>
          </cell>
          <cell r="U93">
            <v>-1.27315980544819E-3</v>
          </cell>
          <cell r="V93">
            <v>-1.9885152266746201E-2</v>
          </cell>
          <cell r="W93">
            <v>-2.2685984261656401E-2</v>
          </cell>
          <cell r="Y93">
            <v>1.3338063878300499</v>
          </cell>
          <cell r="Z93">
            <v>1.3136257801862401</v>
          </cell>
          <cell r="AA93">
            <v>1.3064525458704901</v>
          </cell>
          <cell r="AE93">
            <v>-1.27315980544819E-3</v>
          </cell>
          <cell r="AF93">
            <v>-1.9885152266746201E-2</v>
          </cell>
          <cell r="AG93">
            <v>-2.2685984261656401E-2</v>
          </cell>
          <cell r="AR93">
            <v>2.1394969781652787E-2</v>
          </cell>
          <cell r="BC93">
            <v>5.026238601451237E-2</v>
          </cell>
          <cell r="BF93">
            <v>7.1657355796165154E-2</v>
          </cell>
        </row>
        <row r="94">
          <cell r="O94">
            <v>1.3338063878300499</v>
          </cell>
          <cell r="P94">
            <v>1.31891110766557</v>
          </cell>
          <cell r="Q94">
            <v>1.3073883367285599</v>
          </cell>
          <cell r="U94">
            <v>-9.3863451116052898E-4</v>
          </cell>
          <cell r="V94">
            <v>-1.61843497900944E-2</v>
          </cell>
          <cell r="W94">
            <v>-2.1659951161902599E-2</v>
          </cell>
          <cell r="Y94">
            <v>1.3338063878300499</v>
          </cell>
          <cell r="Z94">
            <v>1.31891110766557</v>
          </cell>
          <cell r="AA94">
            <v>1.3073883367285599</v>
          </cell>
          <cell r="AE94">
            <v>-9.3863451116052898E-4</v>
          </cell>
          <cell r="AF94">
            <v>-1.61843497900944E-2</v>
          </cell>
          <cell r="AG94">
            <v>-2.1659951161902599E-2</v>
          </cell>
          <cell r="AR94">
            <v>2.1394969781652787E-2</v>
          </cell>
          <cell r="BC94">
            <v>5.026238601451237E-2</v>
          </cell>
          <cell r="BF94">
            <v>7.1657355796165154E-2</v>
          </cell>
        </row>
        <row r="95">
          <cell r="O95">
            <v>1.3338063878300499</v>
          </cell>
          <cell r="P95">
            <v>1.32479720978277</v>
          </cell>
          <cell r="Q95">
            <v>1.30861444240516</v>
          </cell>
          <cell r="U95">
            <v>-8.1174348821235198E-3</v>
          </cell>
          <cell r="V95">
            <v>-1.9347757552383001E-2</v>
          </cell>
          <cell r="W95">
            <v>-2.81227240927212E-2</v>
          </cell>
          <cell r="Y95">
            <v>1.3338063878300499</v>
          </cell>
          <cell r="Z95">
            <v>1.32479720978277</v>
          </cell>
          <cell r="AA95">
            <v>1.30861444240516</v>
          </cell>
          <cell r="AE95">
            <v>-8.1174348821235198E-3</v>
          </cell>
          <cell r="AF95">
            <v>-1.9347757552383001E-2</v>
          </cell>
          <cell r="AG95">
            <v>-2.81227240927212E-2</v>
          </cell>
          <cell r="AR95">
            <v>2.1394969781652787E-2</v>
          </cell>
          <cell r="BC95">
            <v>5.026238601451237E-2</v>
          </cell>
          <cell r="BF95">
            <v>7.1657355796165154E-2</v>
          </cell>
        </row>
        <row r="96">
          <cell r="O96">
            <v>1.3338063878300499</v>
          </cell>
          <cell r="P96">
            <v>1.32955464928488</v>
          </cell>
          <cell r="Q96">
            <v>1.31042804773701</v>
          </cell>
          <cell r="U96">
            <v>-5.6717633169368403E-3</v>
          </cell>
          <cell r="V96">
            <v>-1.24491652134519E-2</v>
          </cell>
          <cell r="W96">
            <v>-2.4739663793726802E-2</v>
          </cell>
          <cell r="Y96">
            <v>1.3338063878300499</v>
          </cell>
          <cell r="Z96">
            <v>1.32955464928488</v>
          </cell>
          <cell r="AA96">
            <v>1.31042804773701</v>
          </cell>
          <cell r="AE96">
            <v>-5.6717633169368403E-3</v>
          </cell>
          <cell r="AF96">
            <v>-1.24491652134519E-2</v>
          </cell>
          <cell r="AG96">
            <v>-2.4739663793726802E-2</v>
          </cell>
          <cell r="AR96">
            <v>2.3840641346839466E-2</v>
          </cell>
          <cell r="BC96">
            <v>5.026238601451237E-2</v>
          </cell>
          <cell r="BF96">
            <v>7.4103027361351839E-2</v>
          </cell>
        </row>
        <row r="97">
          <cell r="O97">
            <v>1.3338063878300499</v>
          </cell>
          <cell r="P97">
            <v>1.33266741521165</v>
          </cell>
          <cell r="Q97">
            <v>1.3130410949153699</v>
          </cell>
          <cell r="U97">
            <v>-1.00366213408307E-2</v>
          </cell>
          <cell r="V97">
            <v>-1.32293857446713E-2</v>
          </cell>
          <cell r="W97">
            <v>-2.7719583903438899E-2</v>
          </cell>
          <cell r="Y97">
            <v>1.3338063878300499</v>
          </cell>
          <cell r="Z97">
            <v>1.33266741521165</v>
          </cell>
          <cell r="AA97">
            <v>1.3130410949153699</v>
          </cell>
          <cell r="AE97">
            <v>-1.00366213408307E-2</v>
          </cell>
          <cell r="AF97">
            <v>-1.32293857446713E-2</v>
          </cell>
          <cell r="AG97">
            <v>-2.7719583903438899E-2</v>
          </cell>
          <cell r="AR97">
            <v>1.9475783322945566E-2</v>
          </cell>
          <cell r="BC97">
            <v>5.026238601451237E-2</v>
          </cell>
          <cell r="BF97">
            <v>6.9738169337457939E-2</v>
          </cell>
        </row>
        <row r="98">
          <cell r="O98">
            <v>1.3338063878300499</v>
          </cell>
          <cell r="P98">
            <v>1.33602078949701</v>
          </cell>
          <cell r="Q98">
            <v>1.3156146731509499</v>
          </cell>
          <cell r="U98">
            <v>-8.7615108378374194E-3</v>
          </cell>
          <cell r="V98">
            <v>-9.6158021392399907E-3</v>
          </cell>
          <cell r="W98">
            <v>-2.4452417919409102E-2</v>
          </cell>
          <cell r="Y98">
            <v>1.3338063878300499</v>
          </cell>
          <cell r="Z98">
            <v>1.33602078949701</v>
          </cell>
          <cell r="AA98">
            <v>1.3156146731509499</v>
          </cell>
          <cell r="AE98">
            <v>-8.7615108378374194E-3</v>
          </cell>
          <cell r="AF98">
            <v>-9.6158021392399907E-3</v>
          </cell>
          <cell r="AG98">
            <v>-2.4452417919409102E-2</v>
          </cell>
          <cell r="AR98">
            <v>2.0750893825938987E-2</v>
          </cell>
          <cell r="BC98">
            <v>5.026238601451237E-2</v>
          </cell>
          <cell r="BF98">
            <v>7.101327984045136E-2</v>
          </cell>
        </row>
        <row r="99">
          <cell r="O99">
            <v>1.3338063878300499</v>
          </cell>
          <cell r="P99">
            <v>1.33840986515805</v>
          </cell>
          <cell r="Q99">
            <v>1.3180357981497799</v>
          </cell>
          <cell r="U99">
            <v>-7.3817385426237997E-3</v>
          </cell>
          <cell r="V99">
            <v>-5.7229029494075302E-3</v>
          </cell>
          <cell r="W99">
            <v>-2.1114550472195098E-2</v>
          </cell>
          <cell r="Y99">
            <v>1.3338063878300499</v>
          </cell>
          <cell r="Z99">
            <v>1.33840986515805</v>
          </cell>
          <cell r="AA99">
            <v>1.3180357981497799</v>
          </cell>
          <cell r="AE99">
            <v>-7.3817385426237997E-3</v>
          </cell>
          <cell r="AF99">
            <v>-5.7229029494075302E-3</v>
          </cell>
          <cell r="AG99">
            <v>-2.1114550472195098E-2</v>
          </cell>
          <cell r="AR99">
            <v>2.2130666121152612E-2</v>
          </cell>
          <cell r="BC99">
            <v>5.026238601451237E-2</v>
          </cell>
          <cell r="BF99">
            <v>7.2393052135664993E-2</v>
          </cell>
        </row>
        <row r="100">
          <cell r="O100">
            <v>1.3338063878300499</v>
          </cell>
          <cell r="P100">
            <v>1.34013883254739</v>
          </cell>
          <cell r="Q100">
            <v>1.3207617974088901</v>
          </cell>
          <cell r="U100">
            <v>-1.1609760589371401E-2</v>
          </cell>
          <cell r="V100">
            <v>-8.1643194677104101E-3</v>
          </cell>
          <cell r="W100">
            <v>-2.3503964315413399E-2</v>
          </cell>
          <cell r="Y100">
            <v>1.3338063878300499</v>
          </cell>
          <cell r="Z100">
            <v>1.34013883254739</v>
          </cell>
          <cell r="AA100">
            <v>1.3207617974088901</v>
          </cell>
          <cell r="AE100">
            <v>-1.1609760589371401E-2</v>
          </cell>
          <cell r="AF100">
            <v>-8.1643194677104101E-3</v>
          </cell>
          <cell r="AG100">
            <v>-2.3503964315413399E-2</v>
          </cell>
          <cell r="AR100">
            <v>1.7902644074405012E-2</v>
          </cell>
          <cell r="BC100">
            <v>5.026238601451237E-2</v>
          </cell>
          <cell r="BF100">
            <v>6.8165030088917389E-2</v>
          </cell>
        </row>
        <row r="101">
          <cell r="O101">
            <v>1.3338063878300499</v>
          </cell>
          <cell r="P101">
            <v>1.3423204607385</v>
          </cell>
          <cell r="Q101">
            <v>1.32388600362686</v>
          </cell>
          <cell r="U101">
            <v>-9.43228937119415E-3</v>
          </cell>
          <cell r="V101">
            <v>-4.6958747974208603E-3</v>
          </cell>
          <cell r="W101">
            <v>-1.9260400393947601E-2</v>
          </cell>
          <cell r="Y101">
            <v>1.3338063878300499</v>
          </cell>
          <cell r="Z101">
            <v>1.3423204607385</v>
          </cell>
          <cell r="AA101">
            <v>1.32388600362686</v>
          </cell>
          <cell r="AE101">
            <v>-9.43228937119415E-3</v>
          </cell>
          <cell r="AF101">
            <v>-4.6958747974208603E-3</v>
          </cell>
          <cell r="AG101">
            <v>-1.9260400393947601E-2</v>
          </cell>
          <cell r="AR101">
            <v>2.0080115292582364E-2</v>
          </cell>
          <cell r="BC101">
            <v>5.026238601451237E-2</v>
          </cell>
          <cell r="BF101">
            <v>7.034250130709474E-2</v>
          </cell>
        </row>
        <row r="102">
          <cell r="O102">
            <v>1.3338063878300499</v>
          </cell>
          <cell r="P102">
            <v>1.3429763431470401</v>
          </cell>
          <cell r="Q102">
            <v>1.32609376469275</v>
          </cell>
          <cell r="U102">
            <v>-5.2346116692598803E-3</v>
          </cell>
          <cell r="V102">
            <v>1.1283913694984499E-3</v>
          </cell>
          <cell r="W102">
            <v>-1.27000582418949E-2</v>
          </cell>
          <cell r="Y102">
            <v>1.3338063878300499</v>
          </cell>
          <cell r="Z102">
            <v>1.3429763431470401</v>
          </cell>
          <cell r="AA102">
            <v>1.32609376469275</v>
          </cell>
          <cell r="AE102">
            <v>-5.2346116692598803E-3</v>
          </cell>
          <cell r="AF102">
            <v>1.1283913694984499E-3</v>
          </cell>
          <cell r="AG102">
            <v>-1.27000582418949E-2</v>
          </cell>
          <cell r="AR102">
            <v>2.4277792994517357E-2</v>
          </cell>
          <cell r="BC102">
            <v>5.026238601451237E-2</v>
          </cell>
          <cell r="BF102">
            <v>7.4540179009029733E-2</v>
          </cell>
        </row>
        <row r="103">
          <cell r="O103">
            <v>1.3338063878300499</v>
          </cell>
          <cell r="P103">
            <v>1.34343909877356</v>
          </cell>
          <cell r="Q103">
            <v>1.3285324394799001</v>
          </cell>
          <cell r="U103">
            <v>-4.7321923868751696E-3</v>
          </cell>
          <cell r="V103">
            <v>2.1193096666920199E-3</v>
          </cell>
          <cell r="W103">
            <v>-1.05313910861625E-2</v>
          </cell>
          <cell r="Y103">
            <v>1.3338063878300499</v>
          </cell>
          <cell r="Z103">
            <v>1.34343909877356</v>
          </cell>
          <cell r="AA103">
            <v>1.3285324394799001</v>
          </cell>
          <cell r="AE103">
            <v>-4.7321923868751696E-3</v>
          </cell>
          <cell r="AF103">
            <v>2.1193096666920199E-3</v>
          </cell>
          <cell r="AG103">
            <v>-1.05313910861625E-2</v>
          </cell>
          <cell r="AR103">
            <v>2.4277792994517357E-2</v>
          </cell>
          <cell r="BC103">
            <v>5.026238601451237E-2</v>
          </cell>
          <cell r="BF103">
            <v>7.4540179009029733E-2</v>
          </cell>
        </row>
        <row r="104">
          <cell r="O104">
            <v>1.3338063878300499</v>
          </cell>
          <cell r="P104">
            <v>1.34543924384858</v>
          </cell>
          <cell r="Q104">
            <v>1.3321751757570801</v>
          </cell>
          <cell r="U104">
            <v>-1.5809216063899699E-2</v>
          </cell>
          <cell r="V104">
            <v>-8.6131986953334495E-3</v>
          </cell>
          <cell r="W104">
            <v>-1.9771112419576999E-2</v>
          </cell>
          <cell r="Y104">
            <v>1.3338063878300499</v>
          </cell>
          <cell r="Z104">
            <v>1.34543924384858</v>
          </cell>
          <cell r="AA104">
            <v>1.3321751757570801</v>
          </cell>
          <cell r="AE104">
            <v>-1.5809216063899699E-2</v>
          </cell>
          <cell r="AF104">
            <v>-8.6131986953334495E-3</v>
          </cell>
          <cell r="AG104">
            <v>-1.9771112419576999E-2</v>
          </cell>
          <cell r="AR104">
            <v>2.4277792994517357E-2</v>
          </cell>
          <cell r="BC104">
            <v>5.026238601451237E-2</v>
          </cell>
          <cell r="BF104">
            <v>7.4540179009029733E-2</v>
          </cell>
        </row>
        <row r="105">
          <cell r="O105">
            <v>1.3338063878300499</v>
          </cell>
          <cell r="P105">
            <v>1.3466662239243801</v>
          </cell>
          <cell r="Q105">
            <v>1.3357317168535801</v>
          </cell>
          <cell r="U105">
            <v>-1.7200772268861901E-2</v>
          </cell>
          <cell r="V105">
            <v>-8.5170375780029492E-3</v>
          </cell>
          <cell r="W105">
            <v>-1.8424495867569401E-2</v>
          </cell>
          <cell r="Y105">
            <v>1.3338063878300499</v>
          </cell>
          <cell r="Z105">
            <v>1.3466662239243801</v>
          </cell>
          <cell r="AA105">
            <v>1.3357317168535801</v>
          </cell>
          <cell r="AE105">
            <v>-1.7200772268861901E-2</v>
          </cell>
          <cell r="AF105">
            <v>-8.5170375780029492E-3</v>
          </cell>
          <cell r="AG105">
            <v>-1.8424495867569401E-2</v>
          </cell>
          <cell r="AR105">
            <v>2.4277792994517357E-2</v>
          </cell>
          <cell r="BC105">
            <v>5.026238601451237E-2</v>
          </cell>
          <cell r="BF105">
            <v>7.4540179009029733E-2</v>
          </cell>
        </row>
        <row r="106">
          <cell r="O106">
            <v>1.3338063878300499</v>
          </cell>
          <cell r="P106">
            <v>1.34837684562752</v>
          </cell>
          <cell r="Q106">
            <v>1.3389657474562</v>
          </cell>
          <cell r="U106">
            <v>-1.8343711399011399E-2</v>
          </cell>
          <cell r="V106">
            <v>-8.7484372640613105E-3</v>
          </cell>
          <cell r="W106">
            <v>-1.6901267588996498E-2</v>
          </cell>
          <cell r="Y106">
            <v>1.3338063878300499</v>
          </cell>
          <cell r="Z106">
            <v>1.34837684562752</v>
          </cell>
          <cell r="AA106">
            <v>1.3389657474562</v>
          </cell>
          <cell r="AE106">
            <v>-1.8343711399011399E-2</v>
          </cell>
          <cell r="AF106">
            <v>-8.7484372640613105E-3</v>
          </cell>
          <cell r="AG106">
            <v>-1.6901267588996498E-2</v>
          </cell>
          <cell r="AR106">
            <v>2.4277792994517357E-2</v>
          </cell>
          <cell r="BC106">
            <v>5.026238601451237E-2</v>
          </cell>
          <cell r="BF106">
            <v>7.4540179009029733E-2</v>
          </cell>
        </row>
        <row r="107">
          <cell r="O107">
            <v>1.3338063878300499</v>
          </cell>
          <cell r="P107">
            <v>1.3488395695334201</v>
          </cell>
          <cell r="Q107">
            <v>1.3407534923725299</v>
          </cell>
          <cell r="U107">
            <v>-1.3465290304579099E-2</v>
          </cell>
          <cell r="V107">
            <v>-2.6005582138851498E-3</v>
          </cell>
          <cell r="W107">
            <v>-9.6046050135785103E-3</v>
          </cell>
          <cell r="Y107">
            <v>1.3338063878300499</v>
          </cell>
          <cell r="Z107">
            <v>1.3488395695334201</v>
          </cell>
          <cell r="AA107">
            <v>1.3407534923725299</v>
          </cell>
          <cell r="AE107">
            <v>-1.3465290304579099E-2</v>
          </cell>
          <cell r="AF107">
            <v>-2.6005582138851498E-3</v>
          </cell>
          <cell r="AG107">
            <v>-9.6046050135785103E-3</v>
          </cell>
          <cell r="AR107">
            <v>2.4277792994517357E-2</v>
          </cell>
          <cell r="BC107">
            <v>5.026238601451237E-2</v>
          </cell>
          <cell r="BF107">
            <v>7.4540179009029733E-2</v>
          </cell>
        </row>
        <row r="108">
          <cell r="O108">
            <v>1.3338063878300499</v>
          </cell>
          <cell r="P108">
            <v>1.3503960633904599</v>
          </cell>
          <cell r="Q108">
            <v>1.3432084264437301</v>
          </cell>
          <cell r="U108">
            <v>-2.0262883017009299E-2</v>
          </cell>
          <cell r="V108">
            <v>-9.0550387401037002E-3</v>
          </cell>
          <cell r="W108">
            <v>-1.50679197501723E-2</v>
          </cell>
          <cell r="Y108">
            <v>1.3338063878300499</v>
          </cell>
          <cell r="Z108">
            <v>1.3503960633904599</v>
          </cell>
          <cell r="AA108">
            <v>1.3432084264437301</v>
          </cell>
          <cell r="AE108">
            <v>-2.0262883017009299E-2</v>
          </cell>
          <cell r="AF108">
            <v>-9.0550387401037002E-3</v>
          </cell>
          <cell r="AG108">
            <v>-1.50679197501723E-2</v>
          </cell>
          <cell r="AR108">
            <v>2.4277792994517357E-2</v>
          </cell>
          <cell r="BC108">
            <v>5.026238601451237E-2</v>
          </cell>
          <cell r="BF108">
            <v>7.4540179009029733E-2</v>
          </cell>
        </row>
        <row r="109">
          <cell r="O109">
            <v>1.3338063878300499</v>
          </cell>
          <cell r="P109">
            <v>1.3511002695809</v>
          </cell>
          <cell r="Q109">
            <v>1.3447550673694699</v>
          </cell>
          <cell r="U109">
            <v>-1.2608896689058799E-2</v>
          </cell>
          <cell r="V109">
            <v>-2.4776737799731501E-4</v>
          </cell>
          <cell r="W109">
            <v>-5.5845969188956903E-3</v>
          </cell>
          <cell r="Y109">
            <v>1.3338063878300499</v>
          </cell>
          <cell r="Z109">
            <v>1.3511002695809</v>
          </cell>
          <cell r="AA109">
            <v>1.3447550673694699</v>
          </cell>
          <cell r="AE109">
            <v>-1.2608896689058799E-2</v>
          </cell>
          <cell r="AF109">
            <v>-2.4776737799731501E-4</v>
          </cell>
          <cell r="AG109">
            <v>-5.5845969188956903E-3</v>
          </cell>
          <cell r="AR109">
            <v>2.4277792994517357E-2</v>
          </cell>
          <cell r="BC109">
            <v>5.026238601451237E-2</v>
          </cell>
          <cell r="BF109">
            <v>7.4540179009029733E-2</v>
          </cell>
        </row>
        <row r="110">
          <cell r="O110">
            <v>1.3338063878300499</v>
          </cell>
          <cell r="P110">
            <v>1.35114120723107</v>
          </cell>
          <cell r="Q110">
            <v>1.34564001988923</v>
          </cell>
          <cell r="U110">
            <v>-1.1913095358003899E-2</v>
          </cell>
          <cell r="V110">
            <v>9.6937925180534397E-4</v>
          </cell>
          <cell r="W110">
            <v>-3.7380053334452302E-3</v>
          </cell>
          <cell r="Y110">
            <v>1.3338063878300499</v>
          </cell>
          <cell r="Z110">
            <v>1.35114120723107</v>
          </cell>
          <cell r="AA110">
            <v>1.34564001988923</v>
          </cell>
          <cell r="AE110">
            <v>-1.1913095358003899E-2</v>
          </cell>
          <cell r="AF110">
            <v>9.6937925180534397E-4</v>
          </cell>
          <cell r="AG110">
            <v>-3.7380053334452302E-3</v>
          </cell>
          <cell r="AR110">
            <v>2.4277792994517357E-2</v>
          </cell>
          <cell r="BC110">
            <v>5.026238601451237E-2</v>
          </cell>
          <cell r="BF110">
            <v>7.4540179009029733E-2</v>
          </cell>
        </row>
        <row r="111">
          <cell r="O111">
            <v>1.3338063878300499</v>
          </cell>
          <cell r="P111">
            <v>1.35163234972468</v>
          </cell>
          <cell r="Q111">
            <v>1.34697640523159</v>
          </cell>
          <cell r="U111">
            <v>-1.307334606574E-2</v>
          </cell>
          <cell r="V111">
            <v>-1.6057242416027699E-4</v>
          </cell>
          <cell r="W111">
            <v>-4.2403953753901297E-3</v>
          </cell>
          <cell r="Y111">
            <v>1.3338063878300499</v>
          </cell>
          <cell r="Z111">
            <v>1.35163234972468</v>
          </cell>
          <cell r="AA111">
            <v>1.34697640523159</v>
          </cell>
          <cell r="AE111">
            <v>-1.307334606574E-2</v>
          </cell>
          <cell r="AF111">
            <v>-1.6057242416027699E-4</v>
          </cell>
          <cell r="AG111">
            <v>-4.2403953753901297E-3</v>
          </cell>
          <cell r="AR111">
            <v>2.4277792994517357E-2</v>
          </cell>
          <cell r="BC111">
            <v>5.026238601451237E-2</v>
          </cell>
          <cell r="BF111">
            <v>7.4540179009029733E-2</v>
          </cell>
        </row>
        <row r="112">
          <cell r="O112">
            <v>1.3338063878300499</v>
          </cell>
          <cell r="P112">
            <v>1.35267217843416</v>
          </cell>
          <cell r="Q112">
            <v>1.3478242607905999</v>
          </cell>
          <cell r="U112">
            <v>-1.29599415620518E-2</v>
          </cell>
          <cell r="V112">
            <v>3.1626800093829E-4</v>
          </cell>
          <cell r="W112">
            <v>-3.1343612200181699E-3</v>
          </cell>
          <cell r="Y112">
            <v>1.3338063878300499</v>
          </cell>
          <cell r="Z112">
            <v>1.35267217843416</v>
          </cell>
          <cell r="AA112">
            <v>1.3478242607905999</v>
          </cell>
          <cell r="AE112">
            <v>-1.29599415620518E-2</v>
          </cell>
          <cell r="AF112">
            <v>3.1626800093829E-4</v>
          </cell>
          <cell r="AG112">
            <v>-3.1343612200181699E-3</v>
          </cell>
          <cell r="AR112">
            <v>2.4277792994517357E-2</v>
          </cell>
          <cell r="BC112">
            <v>5.026238601451237E-2</v>
          </cell>
          <cell r="BF112">
            <v>7.4540179009029733E-2</v>
          </cell>
        </row>
        <row r="113">
          <cell r="O113">
            <v>1.3338063878300499</v>
          </cell>
          <cell r="P113">
            <v>1.35286502070878</v>
          </cell>
          <cell r="Q113">
            <v>1.34815205974117</v>
          </cell>
          <cell r="U113">
            <v>-6.1701364908604396E-3</v>
          </cell>
          <cell r="V113">
            <v>7.8750905772893998E-3</v>
          </cell>
          <cell r="W113">
            <v>4.2846967659984098E-3</v>
          </cell>
          <cell r="Y113">
            <v>1.3338063878300499</v>
          </cell>
          <cell r="Z113">
            <v>1.35286502070878</v>
          </cell>
          <cell r="AA113">
            <v>1.34815205974117</v>
          </cell>
          <cell r="AE113">
            <v>-6.1701364908604396E-3</v>
          </cell>
          <cell r="AF113">
            <v>7.8750905772893998E-3</v>
          </cell>
          <cell r="AG113">
            <v>4.2846967659984098E-3</v>
          </cell>
          <cell r="AR113">
            <v>2.4277792994517357E-2</v>
          </cell>
          <cell r="BC113">
            <v>5.026238601451237E-2</v>
          </cell>
          <cell r="BF113">
            <v>7.4540179009029733E-2</v>
          </cell>
        </row>
        <row r="114">
          <cell r="O114">
            <v>1.3338063878300499</v>
          </cell>
          <cell r="P114">
            <v>1.35251758812224</v>
          </cell>
          <cell r="Q114">
            <v>1.3489784159854099</v>
          </cell>
          <cell r="U114">
            <v>-1.32419596080845E-2</v>
          </cell>
          <cell r="V114">
            <v>9.45821238302761E-4</v>
          </cell>
          <cell r="W114">
            <v>-2.5439499184877999E-3</v>
          </cell>
          <cell r="Y114">
            <v>1.3338063878300499</v>
          </cell>
          <cell r="Z114">
            <v>1.35251758812224</v>
          </cell>
          <cell r="AA114">
            <v>1.3489784159854099</v>
          </cell>
          <cell r="AE114">
            <v>-1.32419596080845E-2</v>
          </cell>
          <cell r="AF114">
            <v>9.45821238302761E-4</v>
          </cell>
          <cell r="AG114">
            <v>-2.5439499184877999E-3</v>
          </cell>
          <cell r="AR114">
            <v>2.4277792994517357E-2</v>
          </cell>
          <cell r="BC114">
            <v>5.026238601451237E-2</v>
          </cell>
          <cell r="BF114">
            <v>7.4540179009029733E-2</v>
          </cell>
        </row>
        <row r="115">
          <cell r="O115">
            <v>1.3338063878300499</v>
          </cell>
          <cell r="P115">
            <v>1.3520572261416799</v>
          </cell>
          <cell r="Q115">
            <v>1.3493617250330301</v>
          </cell>
          <cell r="U115">
            <v>-1.38023745775619E-2</v>
          </cell>
          <cell r="V115">
            <v>1.28560832386386E-4</v>
          </cell>
          <cell r="W115">
            <v>-2.4915978916832198E-3</v>
          </cell>
          <cell r="Y115">
            <v>1.3338063878300499</v>
          </cell>
          <cell r="Z115">
            <v>1.3520572261416799</v>
          </cell>
          <cell r="AA115">
            <v>1.3493617250330301</v>
          </cell>
          <cell r="AE115">
            <v>-1.38023745775619E-2</v>
          </cell>
          <cell r="AF115">
            <v>1.28560832386386E-4</v>
          </cell>
          <cell r="AG115">
            <v>-2.4915978916832198E-3</v>
          </cell>
          <cell r="AR115">
            <v>2.4277792994517357E-2</v>
          </cell>
          <cell r="BC115">
            <v>5.026238601451237E-2</v>
          </cell>
          <cell r="BF115">
            <v>7.4540179009029733E-2</v>
          </cell>
        </row>
        <row r="116">
          <cell r="O116">
            <v>1.3338063878300499</v>
          </cell>
          <cell r="P116">
            <v>1.3521507318630399</v>
          </cell>
          <cell r="Q116">
            <v>1.35026378874528</v>
          </cell>
          <cell r="U116">
            <v>-1.90317762919026E-2</v>
          </cell>
          <cell r="V116">
            <v>-5.4412729399497496E-3</v>
          </cell>
          <cell r="W116">
            <v>-7.4368923177159096E-3</v>
          </cell>
          <cell r="Y116">
            <v>1.3338063878300499</v>
          </cell>
          <cell r="Z116">
            <v>1.3521507318630399</v>
          </cell>
          <cell r="AA116">
            <v>1.35026378874528</v>
          </cell>
          <cell r="AE116">
            <v>-1.90317762919026E-2</v>
          </cell>
          <cell r="AF116">
            <v>-5.4412729399497496E-3</v>
          </cell>
          <cell r="AG116">
            <v>-7.4368923177159096E-3</v>
          </cell>
          <cell r="AR116">
            <v>2.4277792994517357E-2</v>
          </cell>
          <cell r="BC116">
            <v>5.026238601451237E-2</v>
          </cell>
          <cell r="BF116">
            <v>7.4540179009029733E-2</v>
          </cell>
        </row>
        <row r="117">
          <cell r="O117">
            <v>1.3338063878300499</v>
          </cell>
          <cell r="P117">
            <v>1.35311994724185</v>
          </cell>
          <cell r="Q117">
            <v>1.35097975838763</v>
          </cell>
          <cell r="U117">
            <v>-2.06090597354242E-2</v>
          </cell>
          <cell r="V117">
            <v>-6.94940066552542E-3</v>
          </cell>
          <cell r="W117">
            <v>-8.3458877033433104E-3</v>
          </cell>
          <cell r="Y117">
            <v>1.3338063878300499</v>
          </cell>
          <cell r="Z117">
            <v>1.35311994724185</v>
          </cell>
          <cell r="AA117">
            <v>1.35097975838763</v>
          </cell>
          <cell r="AE117">
            <v>-2.06090597354242E-2</v>
          </cell>
          <cell r="AF117">
            <v>-6.94940066552542E-3</v>
          </cell>
          <cell r="AG117">
            <v>-8.3458877033433104E-3</v>
          </cell>
          <cell r="AR117">
            <v>2.4277792994517357E-2</v>
          </cell>
          <cell r="BC117">
            <v>5.026238601451237E-2</v>
          </cell>
          <cell r="BF117">
            <v>7.4540179009029733E-2</v>
          </cell>
        </row>
        <row r="118">
          <cell r="O118">
            <v>1.3338063878300499</v>
          </cell>
          <cell r="P118">
            <v>1.35378008691837</v>
          </cell>
          <cell r="Q118">
            <v>1.35208807515441</v>
          </cell>
          <cell r="U118">
            <v>-2.51011735065753E-2</v>
          </cell>
          <cell r="V118">
            <v>-1.07249758457282E-2</v>
          </cell>
          <cell r="W118">
            <v>-1.2307897730327999E-2</v>
          </cell>
          <cell r="Y118">
            <v>1.3338063878300499</v>
          </cell>
          <cell r="Z118">
            <v>1.35378008691837</v>
          </cell>
          <cell r="AA118">
            <v>1.35208807515441</v>
          </cell>
          <cell r="AE118">
            <v>-2.51011735065753E-2</v>
          </cell>
          <cell r="AF118">
            <v>-1.07249758457282E-2</v>
          </cell>
          <cell r="AG118">
            <v>-1.2307897730327999E-2</v>
          </cell>
          <cell r="AR118">
            <v>2.4277792994517357E-2</v>
          </cell>
          <cell r="BC118">
            <v>5.026238601451237E-2</v>
          </cell>
          <cell r="BF118">
            <v>7.4540179009029733E-2</v>
          </cell>
        </row>
        <row r="119">
          <cell r="O119">
            <v>1.3338063878300499</v>
          </cell>
          <cell r="P119">
            <v>1.3544160823523299</v>
          </cell>
          <cell r="Q119">
            <v>1.3527581759666101</v>
          </cell>
          <cell r="U119">
            <v>-1.73063750337124E-2</v>
          </cell>
          <cell r="V119">
            <v>-2.4424314780911302E-3</v>
          </cell>
          <cell r="W119">
            <v>-3.6930555906826801E-3</v>
          </cell>
          <cell r="Y119">
            <v>1.3338063878300499</v>
          </cell>
          <cell r="Z119">
            <v>1.3544160823523299</v>
          </cell>
          <cell r="AA119">
            <v>1.3527581759666101</v>
          </cell>
          <cell r="AE119">
            <v>-1.73063750337124E-2</v>
          </cell>
          <cell r="AF119">
            <v>-2.4424314780911302E-3</v>
          </cell>
          <cell r="AG119">
            <v>-3.6930555906826801E-3</v>
          </cell>
          <cell r="AR119">
            <v>2.4277792994517357E-2</v>
          </cell>
          <cell r="BC119">
            <v>5.026238601451237E-2</v>
          </cell>
          <cell r="BF119">
            <v>7.4540179009029733E-2</v>
          </cell>
        </row>
        <row r="120">
          <cell r="O120">
            <v>1.3338063878300499</v>
          </cell>
          <cell r="P120">
            <v>1.35575440187623</v>
          </cell>
          <cell r="Q120">
            <v>1.35344780455365</v>
          </cell>
          <cell r="U120">
            <v>-2.1779275795060199E-2</v>
          </cell>
          <cell r="V120">
            <v>-6.4456502770571401E-3</v>
          </cell>
          <cell r="W120">
            <v>-7.6704747137452999E-3</v>
          </cell>
          <cell r="Y120">
            <v>1.3338063878300499</v>
          </cell>
          <cell r="Z120">
            <v>1.35575440187623</v>
          </cell>
          <cell r="AA120">
            <v>1.35344780455365</v>
          </cell>
          <cell r="AE120">
            <v>-2.1779275795060199E-2</v>
          </cell>
          <cell r="AF120">
            <v>-6.4456502770571401E-3</v>
          </cell>
          <cell r="AG120">
            <v>-7.6704747137452999E-3</v>
          </cell>
          <cell r="AR120">
            <v>2.4277792994517357E-2</v>
          </cell>
          <cell r="BC120">
            <v>5.026238601451237E-2</v>
          </cell>
          <cell r="BF120">
            <v>7.4540179009029733E-2</v>
          </cell>
        </row>
        <row r="121">
          <cell r="O121">
            <v>1.3338063878300499</v>
          </cell>
          <cell r="P121">
            <v>1.3536243708912601</v>
          </cell>
          <cell r="Q121">
            <v>1.3526283603079701</v>
          </cell>
          <cell r="U121">
            <v>2.8143472192167702E-3</v>
          </cell>
          <cell r="V121">
            <v>1.91356003720656E-2</v>
          </cell>
          <cell r="W121">
            <v>1.7432812832300301E-2</v>
          </cell>
          <cell r="Y121">
            <v>1.3338063878300499</v>
          </cell>
          <cell r="Z121">
            <v>1.3536243708912601</v>
          </cell>
          <cell r="AA121">
            <v>1.3526283603079701</v>
          </cell>
          <cell r="AE121">
            <v>2.8143472192167702E-3</v>
          </cell>
          <cell r="AF121">
            <v>1.91356003720656E-2</v>
          </cell>
          <cell r="AG121">
            <v>1.7432812832300301E-2</v>
          </cell>
          <cell r="AR121">
            <v>2.4277792994517357E-2</v>
          </cell>
          <cell r="BC121">
            <v>5.026238601451237E-2</v>
          </cell>
          <cell r="BF121">
            <v>7.4540179009029733E-2</v>
          </cell>
        </row>
        <row r="122">
          <cell r="O122">
            <v>1.3338063878300499</v>
          </cell>
          <cell r="P122">
            <v>1.35401851934621</v>
          </cell>
          <cell r="Q122">
            <v>1.3533453488901801</v>
          </cell>
          <cell r="U122">
            <v>-1.5872709940936799E-2</v>
          </cell>
          <cell r="V122">
            <v>-1.12379613407487E-3</v>
          </cell>
          <cell r="W122">
            <v>-1.8598771488116199E-3</v>
          </cell>
          <cell r="Y122">
            <v>1.3338063878300499</v>
          </cell>
          <cell r="Z122">
            <v>1.35401851934621</v>
          </cell>
          <cell r="AA122">
            <v>1.3533453488901801</v>
          </cell>
          <cell r="AE122">
            <v>-1.5872709940936799E-2</v>
          </cell>
          <cell r="AF122">
            <v>-1.12379613407487E-3</v>
          </cell>
          <cell r="AG122">
            <v>-1.8598771488116199E-3</v>
          </cell>
          <cell r="AR122">
            <v>2.4277792994517357E-2</v>
          </cell>
          <cell r="BC122">
            <v>6.8949443174665684E-2</v>
          </cell>
          <cell r="BF122">
            <v>9.3227236169183048E-2</v>
          </cell>
        </row>
        <row r="123">
          <cell r="O123">
            <v>1.3338063878300499</v>
          </cell>
          <cell r="P123">
            <v>1.3575206274876199</v>
          </cell>
          <cell r="Q123">
            <v>1.3551928240982001</v>
          </cell>
          <cell r="U123">
            <v>-3.1930459956347801E-2</v>
          </cell>
          <cell r="V123">
            <v>-1.68904084524443E-2</v>
          </cell>
          <cell r="W123">
            <v>-1.7387696960869E-2</v>
          </cell>
          <cell r="Y123">
            <v>1.3338063878300499</v>
          </cell>
          <cell r="Z123">
            <v>1.3575206274876199</v>
          </cell>
          <cell r="AA123">
            <v>1.3551928240982001</v>
          </cell>
          <cell r="AE123">
            <v>-3.1930459956347801E-2</v>
          </cell>
          <cell r="AF123">
            <v>-1.68904084524443E-2</v>
          </cell>
          <cell r="AG123">
            <v>-1.7387696960869E-2</v>
          </cell>
          <cell r="AR123">
            <v>2.4277792994517357E-2</v>
          </cell>
          <cell r="BC123">
            <v>6.8949443174665684E-2</v>
          </cell>
          <cell r="BF123">
            <v>9.3227236169183048E-2</v>
          </cell>
        </row>
        <row r="124">
          <cell r="O124">
            <v>1.3338063878300499</v>
          </cell>
          <cell r="P124">
            <v>1.3604683379273701</v>
          </cell>
          <cell r="Q124">
            <v>1.3564929630248099</v>
          </cell>
          <cell r="U124">
            <v>-3.4816809090421501E-2</v>
          </cell>
          <cell r="V124">
            <v>-1.7193641578172301E-2</v>
          </cell>
          <cell r="W124">
            <v>-1.8909859676635599E-2</v>
          </cell>
          <cell r="Y124">
            <v>1.3338063878300499</v>
          </cell>
          <cell r="Z124">
            <v>1.3604683379273701</v>
          </cell>
          <cell r="AA124">
            <v>1.3564929630248099</v>
          </cell>
          <cell r="AE124">
            <v>-3.4816809090421501E-2</v>
          </cell>
          <cell r="AF124">
            <v>-1.7193641578172301E-2</v>
          </cell>
          <cell r="AG124">
            <v>-1.8909859676635599E-2</v>
          </cell>
          <cell r="AR124">
            <v>2.4277792994517357E-2</v>
          </cell>
          <cell r="BC124">
            <v>6.8949443174665684E-2</v>
          </cell>
          <cell r="BF124">
            <v>9.3227236169183048E-2</v>
          </cell>
        </row>
        <row r="125">
          <cell r="O125">
            <v>1.3338063878300499</v>
          </cell>
          <cell r="P125">
            <v>1.36270769051723</v>
          </cell>
          <cell r="Q125">
            <v>1.35738245832945</v>
          </cell>
          <cell r="U125">
            <v>-3.0225817482434799E-2</v>
          </cell>
          <cell r="V125">
            <v>-1.0433611292732899E-2</v>
          </cell>
          <cell r="W125">
            <v>-1.3359952376862201E-2</v>
          </cell>
          <cell r="Y125">
            <v>1.3338063878300499</v>
          </cell>
          <cell r="Z125">
            <v>1.36270769051723</v>
          </cell>
          <cell r="AA125">
            <v>1.35738245832945</v>
          </cell>
          <cell r="AE125">
            <v>-3.0225817482434799E-2</v>
          </cell>
          <cell r="AF125">
            <v>-1.0433611292732899E-2</v>
          </cell>
          <cell r="AG125">
            <v>-1.3359952376862201E-2</v>
          </cell>
          <cell r="AR125">
            <v>2.4277792994517357E-2</v>
          </cell>
          <cell r="BC125">
            <v>6.8949443174665684E-2</v>
          </cell>
          <cell r="BF125">
            <v>9.3227236169183048E-2</v>
          </cell>
        </row>
        <row r="126">
          <cell r="O126">
            <v>1.3338063878300499</v>
          </cell>
          <cell r="P126">
            <v>1.36512498985941</v>
          </cell>
          <cell r="Q126">
            <v>1.35863786086123</v>
          </cell>
          <cell r="U126">
            <v>-3.66571897727462E-2</v>
          </cell>
          <cell r="V126">
            <v>-1.5220320828060199E-2</v>
          </cell>
          <cell r="W126">
            <v>-1.9135807962540999E-2</v>
          </cell>
          <cell r="Y126">
            <v>1.3338063878300499</v>
          </cell>
          <cell r="Z126">
            <v>1.36512498985941</v>
          </cell>
          <cell r="AA126">
            <v>1.35863786086123</v>
          </cell>
          <cell r="AE126">
            <v>-3.66571897727462E-2</v>
          </cell>
          <cell r="AF126">
            <v>-1.5220320828060199E-2</v>
          </cell>
          <cell r="AG126">
            <v>-1.9135807962540999E-2</v>
          </cell>
          <cell r="AR126">
            <v>2.4277792994517357E-2</v>
          </cell>
          <cell r="BC126">
            <v>6.8949443174665684E-2</v>
          </cell>
          <cell r="BF126">
            <v>9.3227236169183048E-2</v>
          </cell>
        </row>
        <row r="127">
          <cell r="O127">
            <v>1.3338063878300499</v>
          </cell>
          <cell r="P127">
            <v>1.36806380856458</v>
          </cell>
          <cell r="Q127">
            <v>1.36059187790321</v>
          </cell>
          <cell r="U127">
            <v>-4.1963310249095699E-2</v>
          </cell>
          <cell r="V127">
            <v>-1.8754118542586799E-2</v>
          </cell>
          <cell r="W127">
            <v>-2.3517485707508199E-2</v>
          </cell>
          <cell r="Y127">
            <v>1.3338063878300499</v>
          </cell>
          <cell r="Z127">
            <v>1.36806380856458</v>
          </cell>
          <cell r="AA127">
            <v>1.36059187790321</v>
          </cell>
          <cell r="AE127">
            <v>-4.1963310249095699E-2</v>
          </cell>
          <cell r="AF127">
            <v>-1.8754118542586799E-2</v>
          </cell>
          <cell r="AG127">
            <v>-2.3517485707508199E-2</v>
          </cell>
          <cell r="AR127">
            <v>2.4277792994517357E-2</v>
          </cell>
          <cell r="BC127">
            <v>6.8949443174665684E-2</v>
          </cell>
          <cell r="BF127">
            <v>9.3227236169183048E-2</v>
          </cell>
        </row>
        <row r="128">
          <cell r="O128">
            <v>1.3338063878300499</v>
          </cell>
          <cell r="P128">
            <v>1.3702918929700401</v>
          </cell>
          <cell r="Q128">
            <v>1.36203598994421</v>
          </cell>
          <cell r="U128">
            <v>-4.1260522540198401E-2</v>
          </cell>
          <cell r="V128">
            <v>-1.5900861140985899E-2</v>
          </cell>
          <cell r="W128">
            <v>-2.1377513526504299E-2</v>
          </cell>
          <cell r="Y128">
            <v>1.3338063878300499</v>
          </cell>
          <cell r="Z128">
            <v>1.3702918929700401</v>
          </cell>
          <cell r="AA128">
            <v>1.36203598994421</v>
          </cell>
          <cell r="AE128">
            <v>-4.1260522540198401E-2</v>
          </cell>
          <cell r="AF128">
            <v>-1.5900861140985899E-2</v>
          </cell>
          <cell r="AG128">
            <v>-2.1377513526504299E-2</v>
          </cell>
          <cell r="AR128">
            <v>2.4277792994517357E-2</v>
          </cell>
          <cell r="BC128">
            <v>6.8949443174665684E-2</v>
          </cell>
          <cell r="BF128">
            <v>9.3227236169183048E-2</v>
          </cell>
        </row>
        <row r="129">
          <cell r="O129">
            <v>1.3338063878300499</v>
          </cell>
          <cell r="P129">
            <v>1.3731240388564701</v>
          </cell>
          <cell r="Q129">
            <v>1.3637700606044001</v>
          </cell>
          <cell r="U129">
            <v>-3.7960841651036303E-2</v>
          </cell>
          <cell r="V129">
            <v>-1.09738643440307E-2</v>
          </cell>
          <cell r="W129">
            <v>-1.7017010338802398E-2</v>
          </cell>
          <cell r="Y129">
            <v>1.3338063878300499</v>
          </cell>
          <cell r="Z129">
            <v>1.3731240388564701</v>
          </cell>
          <cell r="AA129">
            <v>1.3637700606044001</v>
          </cell>
          <cell r="AE129">
            <v>-3.7960841651036303E-2</v>
          </cell>
          <cell r="AF129">
            <v>-1.09738643440307E-2</v>
          </cell>
          <cell r="AG129">
            <v>-1.7017010338802398E-2</v>
          </cell>
          <cell r="AR129">
            <v>2.4277792994517357E-2</v>
          </cell>
          <cell r="BC129">
            <v>6.8949443174665684E-2</v>
          </cell>
          <cell r="BF129">
            <v>9.3227236169183048E-2</v>
          </cell>
        </row>
        <row r="130">
          <cell r="O130">
            <v>1.3338063878300499</v>
          </cell>
          <cell r="P130">
            <v>1.3758400443418199</v>
          </cell>
          <cell r="Q130">
            <v>1.3657972231090201</v>
          </cell>
          <cell r="U130">
            <v>-4.1507511840757599E-2</v>
          </cell>
          <cell r="V130">
            <v>-1.2455848053163699E-2</v>
          </cell>
          <cell r="W130">
            <v>-1.9291344300655999E-2</v>
          </cell>
          <cell r="Y130">
            <v>1.3338063878300499</v>
          </cell>
          <cell r="Z130">
            <v>1.3758400443418199</v>
          </cell>
          <cell r="AA130">
            <v>1.3657972231090201</v>
          </cell>
          <cell r="AE130">
            <v>-4.1507511840757599E-2</v>
          </cell>
          <cell r="AF130">
            <v>-1.2455848053163699E-2</v>
          </cell>
          <cell r="AG130">
            <v>-1.9291344300655999E-2</v>
          </cell>
          <cell r="AR130">
            <v>2.4277792994517357E-2</v>
          </cell>
          <cell r="BC130">
            <v>6.8949443174665684E-2</v>
          </cell>
          <cell r="BF130">
            <v>9.3227236169183048E-2</v>
          </cell>
        </row>
        <row r="131">
          <cell r="O131">
            <v>1.3338063878300499</v>
          </cell>
          <cell r="P131">
            <v>1.3809536731688301</v>
          </cell>
          <cell r="Q131">
            <v>1.36728902203004</v>
          </cell>
          <cell r="U131">
            <v>-3.49116572576392E-2</v>
          </cell>
          <cell r="V131">
            <v>-3.8839717492067899E-3</v>
          </cell>
          <cell r="W131">
            <v>-1.12101532765448E-2</v>
          </cell>
          <cell r="Y131">
            <v>1.3338063878300499</v>
          </cell>
          <cell r="Z131">
            <v>1.3809536731688301</v>
          </cell>
          <cell r="AA131">
            <v>1.36728902203004</v>
          </cell>
          <cell r="AE131">
            <v>-3.49116572576392E-2</v>
          </cell>
          <cell r="AF131">
            <v>-3.8839717492067899E-3</v>
          </cell>
          <cell r="AG131">
            <v>-1.12101532765448E-2</v>
          </cell>
          <cell r="AR131">
            <v>2.4277792994517357E-2</v>
          </cell>
          <cell r="BC131">
            <v>6.8949443174665684E-2</v>
          </cell>
          <cell r="BF131">
            <v>9.3227236169183048E-2</v>
          </cell>
        </row>
        <row r="132">
          <cell r="O132">
            <v>1.3338063878300499</v>
          </cell>
          <cell r="P132">
            <v>1.38346951614737</v>
          </cell>
          <cell r="Q132">
            <v>1.36874401774679</v>
          </cell>
          <cell r="U132">
            <v>-3.4267582770107802E-2</v>
          </cell>
          <cell r="V132">
            <v>4.6994483452830201E-4</v>
          </cell>
          <cell r="W132">
            <v>-9.4744198105792092E-3</v>
          </cell>
          <cell r="Y132">
            <v>1.3338063878300499</v>
          </cell>
          <cell r="Z132">
            <v>1.38346951614737</v>
          </cell>
          <cell r="AA132">
            <v>1.36874401774679</v>
          </cell>
          <cell r="AE132">
            <v>-3.4267582770107802E-2</v>
          </cell>
          <cell r="AF132">
            <v>4.6994483452830201E-4</v>
          </cell>
          <cell r="AG132">
            <v>-9.4744198105792092E-3</v>
          </cell>
          <cell r="AR132">
            <v>2.4277792994517357E-2</v>
          </cell>
          <cell r="BC132">
            <v>6.8949443174665684E-2</v>
          </cell>
          <cell r="BF132">
            <v>9.3227236169183048E-2</v>
          </cell>
        </row>
        <row r="133">
          <cell r="O133">
            <v>1.3338063878300499</v>
          </cell>
          <cell r="P133">
            <v>1.3841713404175999</v>
          </cell>
          <cell r="Q133">
            <v>1.3708459839526099</v>
          </cell>
          <cell r="U133">
            <v>-3.7013974009817298E-2</v>
          </cell>
          <cell r="V133">
            <v>-4.5628827393763501E-4</v>
          </cell>
          <cell r="W133">
            <v>-1.1157230433570101E-2</v>
          </cell>
          <cell r="Y133">
            <v>1.3338063878300499</v>
          </cell>
          <cell r="Z133">
            <v>1.3841713404175999</v>
          </cell>
          <cell r="AA133">
            <v>1.3708459839526099</v>
          </cell>
          <cell r="AE133">
            <v>-3.7013974009817298E-2</v>
          </cell>
          <cell r="AF133">
            <v>-4.5628827393763501E-4</v>
          </cell>
          <cell r="AG133">
            <v>-1.1157230433570101E-2</v>
          </cell>
          <cell r="AR133">
            <v>2.4277792994517357E-2</v>
          </cell>
          <cell r="BC133">
            <v>6.8949443174665684E-2</v>
          </cell>
          <cell r="BF133">
            <v>9.3227236169183048E-2</v>
          </cell>
        </row>
        <row r="134">
          <cell r="O134">
            <v>1.3338063878300499</v>
          </cell>
          <cell r="P134">
            <v>1.3849236340554301</v>
          </cell>
          <cell r="Q134">
            <v>1.3726959859914001</v>
          </cell>
          <cell r="U134">
            <v>-4.0249233324915798E-2</v>
          </cell>
          <cell r="V134">
            <v>-3.1843833132884801E-3</v>
          </cell>
          <cell r="W134">
            <v>-1.2857977929762799E-2</v>
          </cell>
          <cell r="Y134">
            <v>1.3338063878300499</v>
          </cell>
          <cell r="Z134">
            <v>1.3849236340554301</v>
          </cell>
          <cell r="AA134">
            <v>1.3726959859914001</v>
          </cell>
          <cell r="AE134">
            <v>-4.0249233324915798E-2</v>
          </cell>
          <cell r="AF134">
            <v>-3.1843833132884801E-3</v>
          </cell>
          <cell r="AG134">
            <v>-1.2857977929762799E-2</v>
          </cell>
          <cell r="AR134">
            <v>2.4277792994517357E-2</v>
          </cell>
          <cell r="BC134">
            <v>6.8949443174665684E-2</v>
          </cell>
          <cell r="BF134">
            <v>9.3227236169183048E-2</v>
          </cell>
        </row>
        <row r="135">
          <cell r="O135">
            <v>1.3338063878300499</v>
          </cell>
          <cell r="P135">
            <v>1.38492992879597</v>
          </cell>
          <cell r="Q135">
            <v>1.3738188096566</v>
          </cell>
          <cell r="U135">
            <v>-3.0271605115340799E-2</v>
          </cell>
          <cell r="V135">
            <v>7.3365947367744098E-3</v>
          </cell>
          <cell r="W135">
            <v>-1.53172641538244E-3</v>
          </cell>
          <cell r="Y135">
            <v>1.3338063878300499</v>
          </cell>
          <cell r="Z135">
            <v>1.38492992879597</v>
          </cell>
          <cell r="AA135">
            <v>1.3738188096566</v>
          </cell>
          <cell r="AE135">
            <v>-3.0271605115340799E-2</v>
          </cell>
          <cell r="AF135">
            <v>7.3365947367744098E-3</v>
          </cell>
          <cell r="AG135">
            <v>-1.53172641538244E-3</v>
          </cell>
          <cell r="AR135">
            <v>2.4277792994517357E-2</v>
          </cell>
          <cell r="BC135">
            <v>6.8949443174665684E-2</v>
          </cell>
          <cell r="BF135">
            <v>9.3227236169183048E-2</v>
          </cell>
        </row>
        <row r="136">
          <cell r="O136">
            <v>1.3338063878300499</v>
          </cell>
          <cell r="P136">
            <v>1.38359484323895</v>
          </cell>
          <cell r="Q136">
            <v>1.37435991654918</v>
          </cell>
          <cell r="U136">
            <v>-2.6961022834337801E-2</v>
          </cell>
          <cell r="V136">
            <v>1.0651722197076999E-2</v>
          </cell>
          <cell r="W136">
            <v>2.5964911680245099E-3</v>
          </cell>
          <cell r="Y136">
            <v>1.3338063878300499</v>
          </cell>
          <cell r="Z136">
            <v>1.38359484323895</v>
          </cell>
          <cell r="AA136">
            <v>1.37435991654918</v>
          </cell>
          <cell r="AE136">
            <v>-2.6961022834337801E-2</v>
          </cell>
          <cell r="AF136">
            <v>1.0651722197076999E-2</v>
          </cell>
          <cell r="AG136">
            <v>2.5964911680245099E-3</v>
          </cell>
          <cell r="AR136">
            <v>2.4277792994517357E-2</v>
          </cell>
          <cell r="BC136">
            <v>6.8949443174665684E-2</v>
          </cell>
          <cell r="BF136">
            <v>9.3227236169183048E-2</v>
          </cell>
        </row>
        <row r="137">
          <cell r="O137">
            <v>1.3338063878300499</v>
          </cell>
          <cell r="P137">
            <v>1.38167264631749</v>
          </cell>
          <cell r="Q137">
            <v>1.37486822744104</v>
          </cell>
          <cell r="U137">
            <v>-2.8047808861360098E-2</v>
          </cell>
          <cell r="V137">
            <v>8.6004617510478804E-3</v>
          </cell>
          <cell r="W137">
            <v>1.9034982334364E-3</v>
          </cell>
          <cell r="Y137">
            <v>1.3338063878300499</v>
          </cell>
          <cell r="Z137">
            <v>1.38167264631749</v>
          </cell>
          <cell r="AA137">
            <v>1.37486822744104</v>
          </cell>
          <cell r="AE137">
            <v>-2.8047808861360098E-2</v>
          </cell>
          <cell r="AF137">
            <v>8.6004617510478804E-3</v>
          </cell>
          <cell r="AG137">
            <v>1.9034982334364E-3</v>
          </cell>
          <cell r="AR137">
            <v>2.4277792994517357E-2</v>
          </cell>
          <cell r="BC137">
            <v>6.8949443174665684E-2</v>
          </cell>
          <cell r="BF137">
            <v>9.3227236169183048E-2</v>
          </cell>
        </row>
        <row r="138">
          <cell r="O138">
            <v>1.3338063878300499</v>
          </cell>
          <cell r="P138">
            <v>1.38013113902019</v>
          </cell>
          <cell r="Q138">
            <v>1.3752115159951099</v>
          </cell>
          <cell r="U138">
            <v>-3.01085176472611E-2</v>
          </cell>
          <cell r="V138">
            <v>5.1495097150300101E-3</v>
          </cell>
          <cell r="W138">
            <v>2.1257388958517701E-4</v>
          </cell>
          <cell r="Y138">
            <v>1.3338063878300499</v>
          </cell>
          <cell r="Z138">
            <v>1.38013113902019</v>
          </cell>
          <cell r="AA138">
            <v>1.3752115159951099</v>
          </cell>
          <cell r="AE138">
            <v>-3.01085176472611E-2</v>
          </cell>
          <cell r="AF138">
            <v>5.1495097150300101E-3</v>
          </cell>
          <cell r="AG138">
            <v>2.1257388958517701E-4</v>
          </cell>
          <cell r="AR138">
            <v>2.4277792994517357E-2</v>
          </cell>
          <cell r="BC138">
            <v>6.8949443174665684E-2</v>
          </cell>
          <cell r="BF138">
            <v>9.3227236169183048E-2</v>
          </cell>
        </row>
        <row r="139">
          <cell r="O139">
            <v>1.3338063878300499</v>
          </cell>
          <cell r="P139">
            <v>1.3788427435452699</v>
          </cell>
          <cell r="Q139">
            <v>1.3759833912008701</v>
          </cell>
          <cell r="U139">
            <v>-2.8617601906886701E-2</v>
          </cell>
          <cell r="V139">
            <v>5.5241206219006399E-3</v>
          </cell>
          <cell r="W139">
            <v>1.9531467947599399E-3</v>
          </cell>
          <cell r="Y139">
            <v>1.3338063878300499</v>
          </cell>
          <cell r="Z139">
            <v>1.3788427435452699</v>
          </cell>
          <cell r="AA139">
            <v>1.3759833912008701</v>
          </cell>
          <cell r="AE139">
            <v>-2.8617601906886701E-2</v>
          </cell>
          <cell r="AF139">
            <v>5.5241206219006399E-3</v>
          </cell>
          <cell r="AG139">
            <v>1.9531467947599399E-3</v>
          </cell>
          <cell r="AR139">
            <v>2.4277792994517357E-2</v>
          </cell>
          <cell r="BC139">
            <v>6.8949443174665684E-2</v>
          </cell>
          <cell r="BF139">
            <v>9.3227236169183048E-2</v>
          </cell>
        </row>
        <row r="140">
          <cell r="O140">
            <v>1.3338063878300499</v>
          </cell>
          <cell r="P140">
            <v>1.3766437928774999</v>
          </cell>
          <cell r="Q140">
            <v>1.3762419186096599</v>
          </cell>
          <cell r="U140">
            <v>-2.5565120815856698E-2</v>
          </cell>
          <cell r="V140">
            <v>7.6426345038037996E-3</v>
          </cell>
          <cell r="W140">
            <v>5.5667478733193903E-3</v>
          </cell>
          <cell r="Y140">
            <v>1.3338063878300499</v>
          </cell>
          <cell r="Z140">
            <v>1.3766437928774999</v>
          </cell>
          <cell r="AA140">
            <v>1.3762419186096599</v>
          </cell>
          <cell r="AE140">
            <v>-2.5565120815856698E-2</v>
          </cell>
          <cell r="AF140">
            <v>7.6426345038037996E-3</v>
          </cell>
          <cell r="AG140">
            <v>5.5667478733193903E-3</v>
          </cell>
          <cell r="AR140">
            <v>2.4277792994517357E-2</v>
          </cell>
          <cell r="BC140">
            <v>6.8949443174665684E-2</v>
          </cell>
          <cell r="BF140">
            <v>9.3227236169183048E-2</v>
          </cell>
        </row>
        <row r="141">
          <cell r="O141">
            <v>1.3338063878300499</v>
          </cell>
          <cell r="P141">
            <v>1.37649201706321</v>
          </cell>
          <cell r="Q141">
            <v>1.3787228451160201</v>
          </cell>
          <cell r="U141">
            <v>-3.3812179203318297E-2</v>
          </cell>
          <cell r="V141">
            <v>-2.2004767806668201E-3</v>
          </cell>
          <cell r="W141">
            <v>-2.4924426033072601E-3</v>
          </cell>
          <cell r="Y141">
            <v>1.3338063878300499</v>
          </cell>
          <cell r="Z141">
            <v>1.37649201706321</v>
          </cell>
          <cell r="AA141">
            <v>1.3787228451160201</v>
          </cell>
          <cell r="AE141">
            <v>-3.3812179203318297E-2</v>
          </cell>
          <cell r="AF141">
            <v>-2.2004767806668201E-3</v>
          </cell>
          <cell r="AG141">
            <v>-2.4924426033072601E-3</v>
          </cell>
          <cell r="AR141">
            <v>2.4277792994517357E-2</v>
          </cell>
          <cell r="BC141">
            <v>6.8949443174665684E-2</v>
          </cell>
          <cell r="BF141">
            <v>9.3227236169183048E-2</v>
          </cell>
        </row>
        <row r="142">
          <cell r="O142">
            <v>1.3338063878300499</v>
          </cell>
          <cell r="P142">
            <v>1.3761340318969399</v>
          </cell>
          <cell r="Q142">
            <v>1.37980177402216</v>
          </cell>
          <cell r="U142">
            <v>-3.1670691287527697E-2</v>
          </cell>
          <cell r="V142">
            <v>-1.6924555028595799E-4</v>
          </cell>
          <cell r="W142">
            <v>1.45010441107193E-3</v>
          </cell>
          <cell r="Y142">
            <v>1.3338063878300499</v>
          </cell>
          <cell r="Z142">
            <v>1.3761340318969399</v>
          </cell>
          <cell r="AA142">
            <v>1.37980177402216</v>
          </cell>
          <cell r="AE142">
            <v>-3.1670691287527697E-2</v>
          </cell>
          <cell r="AF142">
            <v>-1.6924555028595799E-4</v>
          </cell>
          <cell r="AG142">
            <v>1.45010441107193E-3</v>
          </cell>
          <cell r="AR142">
            <v>2.4277792994517357E-2</v>
          </cell>
          <cell r="BC142">
            <v>6.8949443174665684E-2</v>
          </cell>
          <cell r="BF142">
            <v>9.3227236169183048E-2</v>
          </cell>
        </row>
        <row r="143">
          <cell r="O143">
            <v>1.3338063878300499</v>
          </cell>
          <cell r="P143">
            <v>1.3757828191786201</v>
          </cell>
          <cell r="Q143">
            <v>1.3799770797981099</v>
          </cell>
          <cell r="U143">
            <v>-3.44732700361364E-2</v>
          </cell>
          <cell r="V143">
            <v>-3.2319287678040298E-3</v>
          </cell>
          <cell r="W143">
            <v>-5.7022359837866001E-4</v>
          </cell>
          <cell r="Y143">
            <v>1.3338063878300499</v>
          </cell>
          <cell r="Z143">
            <v>1.3757828191786201</v>
          </cell>
          <cell r="AA143">
            <v>1.3799770797981099</v>
          </cell>
          <cell r="AE143">
            <v>-3.44732700361364E-2</v>
          </cell>
          <cell r="AF143">
            <v>-3.2319287678040298E-3</v>
          </cell>
          <cell r="AG143">
            <v>-5.7022359837866001E-4</v>
          </cell>
          <cell r="AR143">
            <v>2.4277792994517357E-2</v>
          </cell>
          <cell r="BC143">
            <v>6.8949443174665684E-2</v>
          </cell>
          <cell r="BF143">
            <v>9.3227236169183048E-2</v>
          </cell>
        </row>
        <row r="144">
          <cell r="O144">
            <v>1.3338063878300499</v>
          </cell>
          <cell r="P144">
            <v>1.37495265203242</v>
          </cell>
          <cell r="Q144">
            <v>1.3799381430439299</v>
          </cell>
          <cell r="U144">
            <v>-3.4252783679277699E-2</v>
          </cell>
          <cell r="V144">
            <v>-3.2666919255443499E-3</v>
          </cell>
          <cell r="W144">
            <v>-2.22693890964001E-4</v>
          </cell>
          <cell r="Y144">
            <v>1.3338063878300499</v>
          </cell>
          <cell r="Z144">
            <v>1.37495265203242</v>
          </cell>
          <cell r="AA144">
            <v>1.3799381430439299</v>
          </cell>
          <cell r="AE144">
            <v>-3.4252783679277699E-2</v>
          </cell>
          <cell r="AF144">
            <v>-3.2666919255443499E-3</v>
          </cell>
          <cell r="AG144">
            <v>-2.22693890964001E-4</v>
          </cell>
          <cell r="AR144">
            <v>2.4277792994517357E-2</v>
          </cell>
          <cell r="BC144">
            <v>6.8949443174665684E-2</v>
          </cell>
          <cell r="BF144">
            <v>9.3227236169183048E-2</v>
          </cell>
        </row>
        <row r="145">
          <cell r="O145">
            <v>1.3338063878300499</v>
          </cell>
          <cell r="P145">
            <v>1.37573927349109</v>
          </cell>
          <cell r="Q145">
            <v>1.38033460114353</v>
          </cell>
          <cell r="U145">
            <v>-3.5977013064739903E-2</v>
          </cell>
          <cell r="V145">
            <v>-5.5945178255325098E-3</v>
          </cell>
          <cell r="W145">
            <v>-1.9751391823822099E-3</v>
          </cell>
          <cell r="Y145">
            <v>1.3338063878300499</v>
          </cell>
          <cell r="Z145">
            <v>1.37573927349109</v>
          </cell>
          <cell r="AA145">
            <v>1.38033460114353</v>
          </cell>
          <cell r="AE145">
            <v>-3.5977013064739903E-2</v>
          </cell>
          <cell r="AF145">
            <v>-5.5945178255325098E-3</v>
          </cell>
          <cell r="AG145">
            <v>-1.9751391823822099E-3</v>
          </cell>
          <cell r="AR145">
            <v>2.4277792994517357E-2</v>
          </cell>
          <cell r="BC145">
            <v>6.8949443174665684E-2</v>
          </cell>
          <cell r="BF145">
            <v>9.3227236169183048E-2</v>
          </cell>
        </row>
        <row r="146">
          <cell r="O146">
            <v>1.3338063878300499</v>
          </cell>
          <cell r="P146">
            <v>1.37722421280758</v>
          </cell>
          <cell r="Q146">
            <v>1.38040952802327</v>
          </cell>
          <cell r="U146">
            <v>-3.7739669460914997E-2</v>
          </cell>
          <cell r="V146">
            <v>-6.7852297790685998E-3</v>
          </cell>
          <cell r="W146">
            <v>-3.4505354857550601E-3</v>
          </cell>
          <cell r="Y146">
            <v>1.3338063878300499</v>
          </cell>
          <cell r="Z146">
            <v>1.37722421280758</v>
          </cell>
          <cell r="AA146">
            <v>1.38040952802327</v>
          </cell>
          <cell r="AE146">
            <v>-3.7739669460914997E-2</v>
          </cell>
          <cell r="AF146">
            <v>-6.7852297790685998E-3</v>
          </cell>
          <cell r="AG146">
            <v>-3.4505354857550601E-3</v>
          </cell>
          <cell r="AR146">
            <v>2.4277792994517357E-2</v>
          </cell>
          <cell r="BC146">
            <v>6.8949443174665684E-2</v>
          </cell>
          <cell r="BF146">
            <v>9.3227236169183048E-2</v>
          </cell>
        </row>
        <row r="147">
          <cell r="O147">
            <v>1.3338063878300499</v>
          </cell>
          <cell r="P147">
            <v>1.3777166810256301</v>
          </cell>
          <cell r="Q147">
            <v>1.3796946636715599</v>
          </cell>
          <cell r="U147">
            <v>-3.1631462213956997E-2</v>
          </cell>
          <cell r="V147">
            <v>4.0177089751380598E-4</v>
          </cell>
          <cell r="W147">
            <v>2.7119519670118701E-3</v>
          </cell>
          <cell r="Y147">
            <v>1.3338063878300499</v>
          </cell>
          <cell r="Z147">
            <v>1.3777166810256301</v>
          </cell>
          <cell r="AA147">
            <v>1.3796946636715599</v>
          </cell>
          <cell r="AE147">
            <v>-3.1631462213956997E-2</v>
          </cell>
          <cell r="AF147">
            <v>4.0177089751380598E-4</v>
          </cell>
          <cell r="AG147">
            <v>2.7119519670118701E-3</v>
          </cell>
          <cell r="AR147">
            <v>2.4277792994517357E-2</v>
          </cell>
          <cell r="BC147">
            <v>6.8949443174665684E-2</v>
          </cell>
          <cell r="BF147">
            <v>9.3227236169183048E-2</v>
          </cell>
        </row>
        <row r="148">
          <cell r="O148">
            <v>1.3338063878300499</v>
          </cell>
          <cell r="P148">
            <v>1.3784979141912801</v>
          </cell>
          <cell r="Q148">
            <v>1.3793145266057301</v>
          </cell>
          <cell r="U148">
            <v>-3.5775876119544997E-2</v>
          </cell>
          <cell r="V148">
            <v>-3.38512664581843E-3</v>
          </cell>
          <cell r="W148">
            <v>-1.95046004157719E-3</v>
          </cell>
          <cell r="Y148">
            <v>1.3338063878300499</v>
          </cell>
          <cell r="Z148">
            <v>1.3784979141912801</v>
          </cell>
          <cell r="AA148">
            <v>1.3793145266057301</v>
          </cell>
          <cell r="AE148">
            <v>-3.5775876119544997E-2</v>
          </cell>
          <cell r="AF148">
            <v>-3.38512664581843E-3</v>
          </cell>
          <cell r="AG148">
            <v>-1.95046004157719E-3</v>
          </cell>
          <cell r="AR148">
            <v>2.4277792994517357E-2</v>
          </cell>
          <cell r="BC148">
            <v>6.8949443174665684E-2</v>
          </cell>
          <cell r="BF148">
            <v>9.3227236169183048E-2</v>
          </cell>
        </row>
        <row r="149">
          <cell r="O149">
            <v>1.3338063878300499</v>
          </cell>
          <cell r="P149">
            <v>1.37890178338233</v>
          </cell>
          <cell r="Q149">
            <v>1.3788722634638</v>
          </cell>
          <cell r="U149">
            <v>-3.1555801449317397E-2</v>
          </cell>
          <cell r="V149">
            <v>1.4018365300581799E-3</v>
          </cell>
          <cell r="W149">
            <v>1.99405406178147E-3</v>
          </cell>
          <cell r="Y149">
            <v>1.3338063878300499</v>
          </cell>
          <cell r="Z149">
            <v>1.37890178338233</v>
          </cell>
          <cell r="AA149">
            <v>1.3788722634638</v>
          </cell>
          <cell r="AE149">
            <v>-3.1555801449317397E-2</v>
          </cell>
          <cell r="AF149">
            <v>1.4018365300581799E-3</v>
          </cell>
          <cell r="AG149">
            <v>1.99405406178147E-3</v>
          </cell>
          <cell r="AR149">
            <v>2.4277792994517357E-2</v>
          </cell>
          <cell r="BC149">
            <v>6.8949443174665684E-2</v>
          </cell>
          <cell r="BF149">
            <v>9.3227236169183048E-2</v>
          </cell>
        </row>
        <row r="150">
          <cell r="O150">
            <v>1.3338063878300499</v>
          </cell>
          <cell r="P150">
            <v>1.37971363710087</v>
          </cell>
          <cell r="Q150">
            <v>1.37817871498918</v>
          </cell>
          <cell r="U150">
            <v>-3.14806965140592E-2</v>
          </cell>
          <cell r="V150">
            <v>1.7698762866933701E-3</v>
          </cell>
          <cell r="W150">
            <v>1.7484677753147101E-3</v>
          </cell>
          <cell r="Y150">
            <v>1.3338063878300499</v>
          </cell>
          <cell r="Z150">
            <v>1.37971363710087</v>
          </cell>
          <cell r="AA150">
            <v>1.37817871498918</v>
          </cell>
          <cell r="AE150">
            <v>-3.14806965140592E-2</v>
          </cell>
          <cell r="AF150">
            <v>1.7698762866933701E-3</v>
          </cell>
          <cell r="AG150">
            <v>1.7484677753147101E-3</v>
          </cell>
          <cell r="AR150">
            <v>2.4277792994517357E-2</v>
          </cell>
          <cell r="BC150">
            <v>6.8949443174665684E-2</v>
          </cell>
          <cell r="BF150">
            <v>9.3227236169183048E-2</v>
          </cell>
        </row>
        <row r="151">
          <cell r="O151">
            <v>1.3338063878300499</v>
          </cell>
          <cell r="P151">
            <v>1.37977310826747</v>
          </cell>
          <cell r="Q151">
            <v>1.37813256266534</v>
          </cell>
          <cell r="U151">
            <v>-3.4243137888063699E-2</v>
          </cell>
          <cell r="V151">
            <v>-4.0397000011472E-4</v>
          </cell>
          <cell r="W151">
            <v>-1.51708253259179E-3</v>
          </cell>
          <cell r="Y151">
            <v>1.3338063878300499</v>
          </cell>
          <cell r="Z151">
            <v>1.37977310826747</v>
          </cell>
          <cell r="AA151">
            <v>1.37813256266534</v>
          </cell>
          <cell r="AE151">
            <v>-3.4243137888063699E-2</v>
          </cell>
          <cell r="AF151">
            <v>-4.0397000011472E-4</v>
          </cell>
          <cell r="AG151">
            <v>-1.51708253259179E-3</v>
          </cell>
          <cell r="AR151">
            <v>2.4277792994517357E-2</v>
          </cell>
          <cell r="BC151">
            <v>6.8949443174665684E-2</v>
          </cell>
          <cell r="BF151">
            <v>9.3227236169183048E-2</v>
          </cell>
        </row>
        <row r="152">
          <cell r="O152">
            <v>1.3338063878300499</v>
          </cell>
          <cell r="P152">
            <v>1.37939500976479</v>
          </cell>
          <cell r="Q152">
            <v>1.37776452083086</v>
          </cell>
          <cell r="U152">
            <v>-2.89205512641439E-2</v>
          </cell>
          <cell r="V152">
            <v>4.9617196875968803E-3</v>
          </cell>
          <cell r="W152">
            <v>3.7720156212676399E-3</v>
          </cell>
          <cell r="Y152">
            <v>1.3338063878300499</v>
          </cell>
          <cell r="Z152">
            <v>1.37939500976479</v>
          </cell>
          <cell r="AA152">
            <v>1.37776452083086</v>
          </cell>
          <cell r="AE152">
            <v>-2.89205512641439E-2</v>
          </cell>
          <cell r="AF152">
            <v>4.9617196875968803E-3</v>
          </cell>
          <cell r="AG152">
            <v>3.7720156212676399E-3</v>
          </cell>
          <cell r="AR152">
            <v>2.4277792994517357E-2</v>
          </cell>
          <cell r="BC152">
            <v>6.8949443174665684E-2</v>
          </cell>
          <cell r="BF152">
            <v>9.3227236169183048E-2</v>
          </cell>
        </row>
        <row r="153">
          <cell r="O153">
            <v>1.3338063878300499</v>
          </cell>
          <cell r="P153">
            <v>1.37994296023054</v>
          </cell>
          <cell r="Q153">
            <v>1.3778628897045799</v>
          </cell>
          <cell r="U153">
            <v>-3.8434376627171397E-2</v>
          </cell>
          <cell r="V153">
            <v>-4.82617270496556E-3</v>
          </cell>
          <cell r="W153">
            <v>-6.0089037772130703E-3</v>
          </cell>
          <cell r="Y153">
            <v>1.3338063878300499</v>
          </cell>
          <cell r="Z153">
            <v>1.37994296023054</v>
          </cell>
          <cell r="AA153">
            <v>1.3778628897045799</v>
          </cell>
          <cell r="AE153">
            <v>-3.8434376627171397E-2</v>
          </cell>
          <cell r="AF153">
            <v>-4.82617270496556E-3</v>
          </cell>
          <cell r="AG153">
            <v>-6.0089037772130703E-3</v>
          </cell>
          <cell r="AR153">
            <v>2.4277792994517357E-2</v>
          </cell>
          <cell r="BC153">
            <v>6.8949443174665684E-2</v>
          </cell>
          <cell r="BF153">
            <v>9.3227236169183048E-2</v>
          </cell>
        </row>
        <row r="154">
          <cell r="O154">
            <v>1.3338063878300499</v>
          </cell>
          <cell r="P154">
            <v>1.3789778143015501</v>
          </cell>
          <cell r="Q154">
            <v>1.3769652331669899</v>
          </cell>
          <cell r="U154">
            <v>-2.7235852590759699E-2</v>
          </cell>
          <cell r="V154">
            <v>6.7695121569134398E-3</v>
          </cell>
          <cell r="W154">
            <v>5.2610151606872196E-3</v>
          </cell>
          <cell r="Y154">
            <v>1.3338063878300499</v>
          </cell>
          <cell r="Z154">
            <v>1.3789778143015501</v>
          </cell>
          <cell r="AA154">
            <v>1.3769652331669899</v>
          </cell>
          <cell r="AE154">
            <v>-2.7235852590759699E-2</v>
          </cell>
          <cell r="AF154">
            <v>6.7695121569134398E-3</v>
          </cell>
          <cell r="AG154">
            <v>5.2610151606872196E-3</v>
          </cell>
          <cell r="AR154">
            <v>2.4277792994517357E-2</v>
          </cell>
          <cell r="BC154">
            <v>6.8949443174665684E-2</v>
          </cell>
          <cell r="BF154">
            <v>9.3227236169183048E-2</v>
          </cell>
        </row>
        <row r="155">
          <cell r="O155">
            <v>1.3338063878300499</v>
          </cell>
          <cell r="P155">
            <v>1.37706847117681</v>
          </cell>
          <cell r="Q155">
            <v>1.37640387233395</v>
          </cell>
          <cell r="U155">
            <v>-2.20716419361617E-2</v>
          </cell>
          <cell r="V155">
            <v>1.123406809343E-2</v>
          </cell>
          <cell r="W155">
            <v>9.7735288459467901E-3</v>
          </cell>
          <cell r="Y155">
            <v>1.3338063878300499</v>
          </cell>
          <cell r="Z155">
            <v>1.37706847117681</v>
          </cell>
          <cell r="AA155">
            <v>1.37640387233395</v>
          </cell>
          <cell r="AE155">
            <v>-2.20716419361617E-2</v>
          </cell>
          <cell r="AF155">
            <v>1.123406809343E-2</v>
          </cell>
          <cell r="AG155">
            <v>9.7735288459467901E-3</v>
          </cell>
          <cell r="AR155">
            <v>2.4277792994517357E-2</v>
          </cell>
          <cell r="BC155">
            <v>6.8949443174665684E-2</v>
          </cell>
          <cell r="BF155">
            <v>9.3227236169183048E-2</v>
          </cell>
        </row>
        <row r="156">
          <cell r="O156">
            <v>1.3338063878300499</v>
          </cell>
          <cell r="P156">
            <v>1.37480648989535</v>
          </cell>
          <cell r="Q156">
            <v>1.3760153513514699</v>
          </cell>
          <cell r="U156">
            <v>-2.1274104773142202E-2</v>
          </cell>
          <cell r="V156">
            <v>1.06460382285896E-2</v>
          </cell>
          <cell r="W156">
            <v>1.01633031415052E-2</v>
          </cell>
          <cell r="Y156">
            <v>1.3338063878300499</v>
          </cell>
          <cell r="Z156">
            <v>1.37480648989535</v>
          </cell>
          <cell r="AA156">
            <v>1.3760153513514699</v>
          </cell>
          <cell r="AE156">
            <v>-2.1274104773142202E-2</v>
          </cell>
          <cell r="AF156">
            <v>1.06460382285896E-2</v>
          </cell>
          <cell r="AG156">
            <v>1.01633031415052E-2</v>
          </cell>
          <cell r="AR156">
            <v>2.4277792994517357E-2</v>
          </cell>
          <cell r="BC156">
            <v>6.8949443174665684E-2</v>
          </cell>
          <cell r="BF156">
            <v>9.3227236169183048E-2</v>
          </cell>
        </row>
        <row r="157">
          <cell r="O157">
            <v>1.3338063878300499</v>
          </cell>
          <cell r="P157">
            <v>1.3743455987870401</v>
          </cell>
          <cell r="Q157">
            <v>1.3760311399063401</v>
          </cell>
          <cell r="U157">
            <v>-2.82779787953059E-2</v>
          </cell>
          <cell r="V157">
            <v>1.99820739669685E-3</v>
          </cell>
          <cell r="W157">
            <v>2.8771167581160099E-3</v>
          </cell>
          <cell r="Y157">
            <v>1.3338063878300499</v>
          </cell>
          <cell r="Z157">
            <v>1.3743455987870401</v>
          </cell>
          <cell r="AA157">
            <v>1.3760311399063401</v>
          </cell>
          <cell r="AE157">
            <v>-2.82779787953059E-2</v>
          </cell>
          <cell r="AF157">
            <v>1.99820739669685E-3</v>
          </cell>
          <cell r="AG157">
            <v>2.8771167581160099E-3</v>
          </cell>
          <cell r="AR157">
            <v>2.4277792994517357E-2</v>
          </cell>
          <cell r="BC157">
            <v>6.8949443174665684E-2</v>
          </cell>
          <cell r="BF157">
            <v>9.3227236169183048E-2</v>
          </cell>
        </row>
        <row r="158">
          <cell r="O158">
            <v>1.3338063878300499</v>
          </cell>
          <cell r="P158">
            <v>1.3730254354236999</v>
          </cell>
          <cell r="Q158">
            <v>1.3757616748074899</v>
          </cell>
          <cell r="U158">
            <v>-2.6180110192925599E-2</v>
          </cell>
          <cell r="V158">
            <v>3.7607790800557E-3</v>
          </cell>
          <cell r="W158">
            <v>4.98645940711587E-3</v>
          </cell>
          <cell r="Y158">
            <v>1.3338063878300499</v>
          </cell>
          <cell r="Z158">
            <v>1.3730254354236999</v>
          </cell>
          <cell r="AA158">
            <v>1.3757616748074899</v>
          </cell>
          <cell r="AE158">
            <v>-2.6180110192925599E-2</v>
          </cell>
          <cell r="AF158">
            <v>3.7607790800557E-3</v>
          </cell>
          <cell r="AG158">
            <v>4.98645940711587E-3</v>
          </cell>
          <cell r="AR158">
            <v>2.4277792994517357E-2</v>
          </cell>
          <cell r="BC158">
            <v>6.8949443174665684E-2</v>
          </cell>
          <cell r="BF158">
            <v>9.3227236169183048E-2</v>
          </cell>
        </row>
        <row r="159">
          <cell r="O159">
            <v>1.3338063878300499</v>
          </cell>
          <cell r="P159">
            <v>1.37282478235715</v>
          </cell>
          <cell r="Q159">
            <v>1.3758632828697399</v>
          </cell>
          <cell r="U159">
            <v>-3.0097104040305599E-2</v>
          </cell>
          <cell r="V159">
            <v>-1.1172523909347401E-3</v>
          </cell>
          <cell r="W159">
            <v>8.7361862077461503E-4</v>
          </cell>
          <cell r="Y159">
            <v>1.3338063878300499</v>
          </cell>
          <cell r="Z159">
            <v>1.37282478235715</v>
          </cell>
          <cell r="AA159">
            <v>1.3758632828697399</v>
          </cell>
          <cell r="AE159">
            <v>-3.0097104040305599E-2</v>
          </cell>
          <cell r="AF159">
            <v>-1.1172523909347401E-3</v>
          </cell>
          <cell r="AG159">
            <v>8.7361862077461503E-4</v>
          </cell>
          <cell r="AR159">
            <v>2.4277792994517357E-2</v>
          </cell>
          <cell r="BC159">
            <v>6.8949443174665684E-2</v>
          </cell>
          <cell r="BF159">
            <v>9.3227236169183048E-2</v>
          </cell>
        </row>
        <row r="160">
          <cell r="O160">
            <v>1.3338063878300499</v>
          </cell>
          <cell r="P160">
            <v>1.3711043052215599</v>
          </cell>
          <cell r="Q160">
            <v>1.3754089711612101</v>
          </cell>
          <cell r="U160">
            <v>-1.89026660752105E-2</v>
          </cell>
          <cell r="V160">
            <v>9.9310355288252106E-3</v>
          </cell>
          <cell r="W160">
            <v>1.21419097190976E-2</v>
          </cell>
          <cell r="Y160">
            <v>1.3338063878300499</v>
          </cell>
          <cell r="Z160">
            <v>1.3711043052215599</v>
          </cell>
          <cell r="AA160">
            <v>1.3754089711612101</v>
          </cell>
          <cell r="AE160">
            <v>-1.89026660752105E-2</v>
          </cell>
          <cell r="AF160">
            <v>9.9310355288252106E-3</v>
          </cell>
          <cell r="AG160">
            <v>1.21419097190976E-2</v>
          </cell>
          <cell r="AR160">
            <v>2.4277792994517357E-2</v>
          </cell>
          <cell r="BC160">
            <v>6.8949443174665684E-2</v>
          </cell>
          <cell r="BF160">
            <v>9.3227236169183048E-2</v>
          </cell>
        </row>
        <row r="161">
          <cell r="O161">
            <v>1.3338063878300499</v>
          </cell>
          <cell r="P161">
            <v>1.36910784530124</v>
          </cell>
          <cell r="Q161">
            <v>1.3744404767843601</v>
          </cell>
          <cell r="U161">
            <v>-1.9673251460663899E-2</v>
          </cell>
          <cell r="V161">
            <v>7.9064254902959097E-3</v>
          </cell>
          <cell r="W161">
            <v>1.10410686041438E-2</v>
          </cell>
          <cell r="Y161">
            <v>1.3338063878300499</v>
          </cell>
          <cell r="Z161">
            <v>1.36910784530124</v>
          </cell>
          <cell r="AA161">
            <v>1.3744404767843601</v>
          </cell>
          <cell r="AE161">
            <v>-1.9673251460663899E-2</v>
          </cell>
          <cell r="AF161">
            <v>7.9064254902959097E-3</v>
          </cell>
          <cell r="AG161">
            <v>1.10410686041438E-2</v>
          </cell>
          <cell r="AR161">
            <v>2.4277792994517357E-2</v>
          </cell>
          <cell r="BC161">
            <v>6.8949443174665684E-2</v>
          </cell>
          <cell r="BF161">
            <v>9.3227236169183048E-2</v>
          </cell>
        </row>
        <row r="162">
          <cell r="O162">
            <v>1.3338063878300499</v>
          </cell>
          <cell r="P162">
            <v>1.3678586544278399</v>
          </cell>
          <cell r="Q162">
            <v>1.3736268320963101</v>
          </cell>
          <cell r="U162">
            <v>-1.9780276578963901E-2</v>
          </cell>
          <cell r="V162">
            <v>6.3422429229324298E-3</v>
          </cell>
          <cell r="W162">
            <v>1.0229645346791501E-2</v>
          </cell>
          <cell r="Y162">
            <v>1.3338063878300499</v>
          </cell>
          <cell r="Z162">
            <v>1.3678586544278399</v>
          </cell>
          <cell r="AA162">
            <v>1.3736268320963101</v>
          </cell>
          <cell r="AE162">
            <v>-1.9780276578963901E-2</v>
          </cell>
          <cell r="AF162">
            <v>6.3422429229324298E-3</v>
          </cell>
          <cell r="AG162">
            <v>1.0229645346791501E-2</v>
          </cell>
          <cell r="AR162">
            <v>2.4277792994517357E-2</v>
          </cell>
          <cell r="BC162">
            <v>6.8949443174665684E-2</v>
          </cell>
          <cell r="BF162">
            <v>9.3227236169183048E-2</v>
          </cell>
        </row>
        <row r="163">
          <cell r="O163">
            <v>1.3338063878300499</v>
          </cell>
          <cell r="P163">
            <v>1.3657940260479</v>
          </cell>
          <cell r="Q163">
            <v>1.3728684931392201</v>
          </cell>
          <cell r="U163">
            <v>-2.3426748790487398E-2</v>
          </cell>
          <cell r="V163">
            <v>1.7829418841130899E-3</v>
          </cell>
          <cell r="W163">
            <v>5.9910153600998004E-3</v>
          </cell>
          <cell r="Y163">
            <v>1.3338063878300499</v>
          </cell>
          <cell r="Z163">
            <v>1.3657940260479</v>
          </cell>
          <cell r="AA163">
            <v>1.3728684931392201</v>
          </cell>
          <cell r="AE163">
            <v>-2.3426748790487398E-2</v>
          </cell>
          <cell r="AF163">
            <v>1.7829418841130899E-3</v>
          </cell>
          <cell r="AG163">
            <v>5.9910153600998004E-3</v>
          </cell>
          <cell r="AR163">
            <v>2.4277792994517357E-2</v>
          </cell>
          <cell r="BC163">
            <v>6.8949443174665684E-2</v>
          </cell>
          <cell r="BF163">
            <v>9.3227236169183048E-2</v>
          </cell>
        </row>
        <row r="164">
          <cell r="O164">
            <v>1.3338063878300499</v>
          </cell>
          <cell r="P164">
            <v>1.36403013520713</v>
          </cell>
          <cell r="Q164">
            <v>1.37150397475434</v>
          </cell>
          <cell r="U164">
            <v>-1.4283157637463699E-2</v>
          </cell>
          <cell r="V164">
            <v>9.4160055387055401E-3</v>
          </cell>
          <cell r="W164">
            <v>1.45823834895503E-2</v>
          </cell>
          <cell r="Y164">
            <v>1.3338063878300499</v>
          </cell>
          <cell r="Z164">
            <v>1.36403013520713</v>
          </cell>
          <cell r="AA164">
            <v>1.37150397475434</v>
          </cell>
          <cell r="AE164">
            <v>-1.4283157637463699E-2</v>
          </cell>
          <cell r="AF164">
            <v>9.4160055387055401E-3</v>
          </cell>
          <cell r="AG164">
            <v>1.45823834895503E-2</v>
          </cell>
          <cell r="AR164">
            <v>2.4277792994517357E-2</v>
          </cell>
          <cell r="BC164">
            <v>6.8949443174665684E-2</v>
          </cell>
          <cell r="BF164">
            <v>9.3227236169183048E-2</v>
          </cell>
        </row>
        <row r="165">
          <cell r="O165">
            <v>1.3338063878300499</v>
          </cell>
          <cell r="P165">
            <v>1.36193442089548</v>
          </cell>
          <cell r="Q165">
            <v>1.3695014460361401</v>
          </cell>
          <cell r="U165">
            <v>-6.5830241260703198E-3</v>
          </cell>
          <cell r="V165">
            <v>1.58238279105824E-2</v>
          </cell>
          <cell r="W165">
            <v>2.1288104971757201E-2</v>
          </cell>
          <cell r="Y165">
            <v>1.3338063878300499</v>
          </cell>
          <cell r="Z165">
            <v>1.36193442089548</v>
          </cell>
          <cell r="AA165">
            <v>1.3695014460361401</v>
          </cell>
          <cell r="AE165">
            <v>-6.5830241260703198E-3</v>
          </cell>
          <cell r="AF165">
            <v>1.58238279105824E-2</v>
          </cell>
          <cell r="AG165">
            <v>2.1288104971757201E-2</v>
          </cell>
          <cell r="AR165">
            <v>2.4277792994517357E-2</v>
          </cell>
          <cell r="BC165">
            <v>6.8949443174665684E-2</v>
          </cell>
          <cell r="BF165">
            <v>9.3227236169183048E-2</v>
          </cell>
        </row>
        <row r="166">
          <cell r="O166">
            <v>1.3338063878300499</v>
          </cell>
          <cell r="P166">
            <v>1.36026553090942</v>
          </cell>
          <cell r="Q166">
            <v>1.3675360104023899</v>
          </cell>
          <cell r="U166">
            <v>-8.9496086891679705E-3</v>
          </cell>
          <cell r="V166">
            <v>1.1919648355761901E-2</v>
          </cell>
          <cell r="W166">
            <v>1.7460356516541101E-2</v>
          </cell>
          <cell r="Y166">
            <v>1.3338063878300499</v>
          </cell>
          <cell r="Z166">
            <v>1.36026553090942</v>
          </cell>
          <cell r="AA166">
            <v>1.3675360104023899</v>
          </cell>
          <cell r="AE166">
            <v>-8.9496086891679705E-3</v>
          </cell>
          <cell r="AF166">
            <v>1.1919648355761901E-2</v>
          </cell>
          <cell r="AG166">
            <v>1.7460356516541101E-2</v>
          </cell>
          <cell r="AR166">
            <v>2.4277792994517357E-2</v>
          </cell>
          <cell r="BC166">
            <v>7.1316027737763327E-2</v>
          </cell>
          <cell r="BF166">
            <v>9.5593820732280704E-2</v>
          </cell>
        </row>
        <row r="167">
          <cell r="O167">
            <v>1.3338063878300499</v>
          </cell>
          <cell r="P167">
            <v>1.3586820443578</v>
          </cell>
          <cell r="Q167">
            <v>1.36651382157242</v>
          </cell>
          <cell r="U167">
            <v>-1.6669940523002202E-2</v>
          </cell>
          <cell r="V167">
            <v>2.9731830822908299E-3</v>
          </cell>
          <cell r="W167">
            <v>8.3038470615646696E-3</v>
          </cell>
          <cell r="Y167">
            <v>1.3338063878300499</v>
          </cell>
          <cell r="Z167">
            <v>1.3586820443578</v>
          </cell>
          <cell r="AA167">
            <v>1.36651382157242</v>
          </cell>
          <cell r="AE167">
            <v>-1.6669940523002202E-2</v>
          </cell>
          <cell r="AF167">
            <v>2.9731830822908299E-3</v>
          </cell>
          <cell r="AG167">
            <v>8.3038470615646696E-3</v>
          </cell>
          <cell r="AR167">
            <v>2.4277792994517357E-2</v>
          </cell>
          <cell r="BC167">
            <v>7.9036359571597326E-2</v>
          </cell>
          <cell r="BF167">
            <v>0.1033141525661147</v>
          </cell>
        </row>
        <row r="168">
          <cell r="O168">
            <v>1.3338063878300499</v>
          </cell>
          <cell r="P168">
            <v>1.3561228789461699</v>
          </cell>
          <cell r="Q168">
            <v>1.3645741571849399</v>
          </cell>
          <cell r="U168">
            <v>-7.3120877575476896E-3</v>
          </cell>
          <cell r="V168">
            <v>1.1166256691980099E-2</v>
          </cell>
          <cell r="W168">
            <v>1.6913952755523199E-2</v>
          </cell>
          <cell r="Y168">
            <v>1.3338063878300499</v>
          </cell>
          <cell r="Z168">
            <v>1.3561228789461699</v>
          </cell>
          <cell r="AA168">
            <v>1.3645741571849399</v>
          </cell>
          <cell r="AE168">
            <v>-7.3120877575476896E-3</v>
          </cell>
          <cell r="AF168">
            <v>1.1166256691980099E-2</v>
          </cell>
          <cell r="AG168">
            <v>1.6913952755523199E-2</v>
          </cell>
          <cell r="AR168">
            <v>2.4277792994517357E-2</v>
          </cell>
          <cell r="BC168">
            <v>6.9678506806143001E-2</v>
          </cell>
          <cell r="BF168">
            <v>9.3956299800660378E-2</v>
          </cell>
        </row>
        <row r="169">
          <cell r="O169">
            <v>1.3338063878300499</v>
          </cell>
          <cell r="P169">
            <v>1.3533038826488299</v>
          </cell>
          <cell r="Q169">
            <v>1.3630643325029901</v>
          </cell>
          <cell r="U169">
            <v>-9.3755383412288396E-3</v>
          </cell>
          <cell r="V169">
            <v>7.2174653622929701E-3</v>
          </cell>
          <cell r="W169">
            <v>1.34300684628583E-2</v>
          </cell>
          <cell r="Y169">
            <v>1.3338063878300499</v>
          </cell>
          <cell r="Z169">
            <v>1.3533038826488299</v>
          </cell>
          <cell r="AA169">
            <v>1.3630643325029901</v>
          </cell>
          <cell r="AE169">
            <v>-9.3755383412288396E-3</v>
          </cell>
          <cell r="AF169">
            <v>7.2174653622929701E-3</v>
          </cell>
          <cell r="AG169">
            <v>1.34300684628583E-2</v>
          </cell>
          <cell r="AR169">
            <v>2.4277792994517357E-2</v>
          </cell>
          <cell r="BC169">
            <v>7.1741957389824071E-2</v>
          </cell>
          <cell r="BF169">
            <v>9.6019750384341448E-2</v>
          </cell>
        </row>
        <row r="170">
          <cell r="O170">
            <v>1.3338063878300499</v>
          </cell>
          <cell r="P170">
            <v>1.3535060756855</v>
          </cell>
          <cell r="Q170">
            <v>1.3623051904535299</v>
          </cell>
          <cell r="U170">
            <v>-2.0389085138503099E-2</v>
          </cell>
          <cell r="V170">
            <v>-5.8769624202194897E-3</v>
          </cell>
          <cell r="W170">
            <v>1.3094652562720499E-3</v>
          </cell>
          <cell r="Y170">
            <v>1.3338063878300499</v>
          </cell>
          <cell r="Z170">
            <v>1.3535060756855</v>
          </cell>
          <cell r="AA170">
            <v>1.3623051904535299</v>
          </cell>
          <cell r="AE170">
            <v>-2.0389085138503099E-2</v>
          </cell>
          <cell r="AF170">
            <v>-5.8769624202194897E-3</v>
          </cell>
          <cell r="AG170">
            <v>1.3094652562720499E-3</v>
          </cell>
          <cell r="AR170">
            <v>2.4277792994517357E-2</v>
          </cell>
          <cell r="BC170">
            <v>8.2755504187098178E-2</v>
          </cell>
          <cell r="BF170">
            <v>0.10703329718161556</v>
          </cell>
        </row>
        <row r="171">
          <cell r="O171">
            <v>1.3338063878300499</v>
          </cell>
          <cell r="P171">
            <v>1.35299045473838</v>
          </cell>
          <cell r="Q171">
            <v>1.3610491500198101</v>
          </cell>
          <cell r="U171">
            <v>-1.5875573194992599E-2</v>
          </cell>
          <cell r="V171">
            <v>-1.21405466380378E-3</v>
          </cell>
          <cell r="W171">
            <v>5.2658842531585603E-3</v>
          </cell>
          <cell r="Y171">
            <v>1.3338063878300499</v>
          </cell>
          <cell r="Z171">
            <v>1.35299045473838</v>
          </cell>
          <cell r="AA171">
            <v>1.3610491500198101</v>
          </cell>
          <cell r="AE171">
            <v>-1.5875573194992599E-2</v>
          </cell>
          <cell r="AF171">
            <v>-1.21405466380378E-3</v>
          </cell>
          <cell r="AG171">
            <v>5.2658842531585603E-3</v>
          </cell>
          <cell r="AR171">
            <v>2.4277792994517357E-2</v>
          </cell>
          <cell r="BC171">
            <v>8.2755504187098178E-2</v>
          </cell>
          <cell r="BF171">
            <v>0.10703329718161556</v>
          </cell>
        </row>
        <row r="172">
          <cell r="O172">
            <v>1.3338063878300499</v>
          </cell>
          <cell r="P172">
            <v>1.3514329906882401</v>
          </cell>
          <cell r="Q172">
            <v>1.3596458225580399</v>
          </cell>
          <cell r="U172">
            <v>-8.2661063950783195E-3</v>
          </cell>
          <cell r="V172">
            <v>6.0143874811244896E-3</v>
          </cell>
          <cell r="W172">
            <v>1.1952929387912901E-2</v>
          </cell>
          <cell r="Y172">
            <v>1.3338063878300499</v>
          </cell>
          <cell r="Z172">
            <v>1.3514329906882401</v>
          </cell>
          <cell r="AA172">
            <v>1.3596458225580399</v>
          </cell>
          <cell r="AE172">
            <v>-8.2661063950783195E-3</v>
          </cell>
          <cell r="AF172">
            <v>6.0143874811244896E-3</v>
          </cell>
          <cell r="AG172">
            <v>1.1952929387912901E-2</v>
          </cell>
          <cell r="AR172">
            <v>2.4277792994517357E-2</v>
          </cell>
          <cell r="BC172">
            <v>8.2755504187098178E-2</v>
          </cell>
          <cell r="BF172">
            <v>0.10703329718161556</v>
          </cell>
        </row>
        <row r="173">
          <cell r="O173">
            <v>1.3338063878300499</v>
          </cell>
          <cell r="P173">
            <v>1.3492335283705701</v>
          </cell>
          <cell r="Q173">
            <v>1.3575137772092301</v>
          </cell>
          <cell r="U173">
            <v>-7.1873030018283499E-3</v>
          </cell>
          <cell r="V173">
            <v>5.9414006656661501E-3</v>
          </cell>
          <cell r="W173">
            <v>1.20001378391584E-2</v>
          </cell>
          <cell r="Y173">
            <v>1.3338063878300499</v>
          </cell>
          <cell r="Z173">
            <v>1.3492335283705701</v>
          </cell>
          <cell r="AA173">
            <v>1.3575137772092301</v>
          </cell>
          <cell r="AE173">
            <v>-7.1873030018283499E-3</v>
          </cell>
          <cell r="AF173">
            <v>5.9414006656661501E-3</v>
          </cell>
          <cell r="AG173">
            <v>1.20001378391584E-2</v>
          </cell>
          <cell r="AR173">
            <v>2.4277792994517357E-2</v>
          </cell>
          <cell r="BC173">
            <v>8.2755504187098178E-2</v>
          </cell>
          <cell r="BF173">
            <v>0.10703329718161556</v>
          </cell>
        </row>
        <row r="174">
          <cell r="O174">
            <v>1.3338063878300499</v>
          </cell>
          <cell r="P174">
            <v>1.3484309805447501</v>
          </cell>
          <cell r="Q174">
            <v>1.3562305578759399</v>
          </cell>
          <cell r="U174">
            <v>-8.33385217819008E-3</v>
          </cell>
          <cell r="V174">
            <v>3.16602187378221E-3</v>
          </cell>
          <cell r="W174">
            <v>9.2842691524184194E-3</v>
          </cell>
          <cell r="Y174">
            <v>1.3338063878300499</v>
          </cell>
          <cell r="Z174">
            <v>1.3484309805447501</v>
          </cell>
          <cell r="AA174">
            <v>1.3562305578759399</v>
          </cell>
          <cell r="AE174">
            <v>-8.33385217819008E-3</v>
          </cell>
          <cell r="AF174">
            <v>3.16602187378221E-3</v>
          </cell>
          <cell r="AG174">
            <v>9.2842691524184194E-3</v>
          </cell>
          <cell r="AR174">
            <v>2.4277792994517357E-2</v>
          </cell>
          <cell r="BC174">
            <v>8.2755504187098178E-2</v>
          </cell>
          <cell r="BF174">
            <v>0.10703329718161556</v>
          </cell>
        </row>
        <row r="175">
          <cell r="O175">
            <v>1.3338063878300499</v>
          </cell>
          <cell r="P175">
            <v>1.34849458331326</v>
          </cell>
          <cell r="Q175">
            <v>1.35521450210437</v>
          </cell>
          <cell r="U175">
            <v>-7.0566347204965201E-3</v>
          </cell>
          <cell r="V175">
            <v>3.8482447746324101E-3</v>
          </cell>
          <cell r="W175">
            <v>9.6157678757816702E-3</v>
          </cell>
          <cell r="Y175">
            <v>1.3338063878300499</v>
          </cell>
          <cell r="Z175">
            <v>1.34849458331326</v>
          </cell>
          <cell r="AA175">
            <v>1.35521450210437</v>
          </cell>
          <cell r="AE175">
            <v>-7.0566347204965201E-3</v>
          </cell>
          <cell r="AF175">
            <v>3.8482447746324101E-3</v>
          </cell>
          <cell r="AG175">
            <v>9.6157678757816702E-3</v>
          </cell>
          <cell r="AR175">
            <v>2.4277792994517357E-2</v>
          </cell>
          <cell r="BC175">
            <v>8.2755504187098178E-2</v>
          </cell>
          <cell r="BF175">
            <v>0.10703329718161556</v>
          </cell>
        </row>
        <row r="176">
          <cell r="O176">
            <v>1.3338063878300499</v>
          </cell>
          <cell r="P176">
            <v>1.34729651858954</v>
          </cell>
          <cell r="Q176">
            <v>1.3537810247494799</v>
          </cell>
          <cell r="U176">
            <v>-7.4775570452221803E-6</v>
          </cell>
          <cell r="V176">
            <v>1.0944568807928099E-2</v>
          </cell>
          <cell r="W176">
            <v>1.59154679809855E-2</v>
          </cell>
          <cell r="Y176">
            <v>1.3338063878300499</v>
          </cell>
          <cell r="Z176">
            <v>1.34729651858954</v>
          </cell>
          <cell r="AA176">
            <v>1.3537810247494799</v>
          </cell>
          <cell r="AE176">
            <v>-7.4775570452221803E-6</v>
          </cell>
          <cell r="AF176">
            <v>1.0944568807928099E-2</v>
          </cell>
          <cell r="AG176">
            <v>1.59154679809855E-2</v>
          </cell>
          <cell r="AR176">
            <v>2.4277792994517357E-2</v>
          </cell>
          <cell r="BC176">
            <v>8.2755504187098178E-2</v>
          </cell>
          <cell r="BF176">
            <v>0.10703329718161556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8757-3109-48DC-AF0F-C5B8B14C40C4}">
  <dimension ref="A1:DR179"/>
  <sheetViews>
    <sheetView tabSelected="1" topLeftCell="AS1" workbookViewId="0">
      <selection activeCell="BS38" sqref="BS38"/>
    </sheetView>
  </sheetViews>
  <sheetFormatPr defaultRowHeight="15" x14ac:dyDescent="0.25"/>
  <cols>
    <col min="1" max="1" width="9.42578125" bestFit="1" customWidth="1"/>
    <col min="2" max="3" width="11" style="21" bestFit="1" customWidth="1"/>
    <col min="4" max="4" width="12.85546875" style="22" bestFit="1" customWidth="1"/>
    <col min="5" max="5" width="14" style="22" bestFit="1" customWidth="1"/>
    <col min="6" max="6" width="11.28515625" style="21" bestFit="1" customWidth="1"/>
    <col min="7" max="7" width="19.7109375" style="21" bestFit="1" customWidth="1"/>
    <col min="8" max="8" width="12.28515625" style="21" bestFit="1" customWidth="1"/>
    <col min="9" max="9" width="20.7109375" style="21" bestFit="1" customWidth="1"/>
    <col min="10" max="10" width="22.42578125" style="21" bestFit="1" customWidth="1"/>
    <col min="11" max="11" width="23.42578125" style="21" bestFit="1" customWidth="1"/>
    <col min="12" max="13" width="11" style="21" bestFit="1" customWidth="1"/>
    <col min="14" max="14" width="15.7109375" style="23" bestFit="1" customWidth="1"/>
    <col min="15" max="15" width="19.28515625" style="23" bestFit="1" customWidth="1"/>
    <col min="16" max="17" width="22.7109375" style="23" bestFit="1" customWidth="1"/>
    <col min="18" max="18" width="13.140625" style="21" bestFit="1" customWidth="1"/>
    <col min="19" max="20" width="16.42578125" style="21" bestFit="1" customWidth="1"/>
    <col min="21" max="21" width="27.140625" style="22" bestFit="1" customWidth="1"/>
    <col min="22" max="23" width="30.5703125" style="22" bestFit="1" customWidth="1"/>
    <col min="24" max="24" width="17.85546875" style="23" bestFit="1" customWidth="1"/>
    <col min="25" max="25" width="21.42578125" style="23" bestFit="1" customWidth="1"/>
    <col min="26" max="27" width="24.7109375" style="23" bestFit="1" customWidth="1"/>
    <col min="28" max="28" width="14.140625" style="21" bestFit="1" customWidth="1"/>
    <col min="29" max="30" width="17.5703125" style="21" bestFit="1" customWidth="1"/>
    <col min="31" max="31" width="29.140625" style="22" bestFit="1" customWidth="1"/>
    <col min="32" max="33" width="32.5703125" style="22" bestFit="1" customWidth="1"/>
    <col min="34" max="34" width="1.7109375" style="26" customWidth="1"/>
    <col min="35" max="35" width="7.7109375" style="22" bestFit="1" customWidth="1"/>
    <col min="36" max="36" width="6.28515625" style="22" bestFit="1" customWidth="1"/>
    <col min="37" max="38" width="6.85546875" style="22" bestFit="1" customWidth="1"/>
    <col min="39" max="39" width="7.85546875" style="22" bestFit="1" customWidth="1"/>
    <col min="40" max="40" width="8.42578125" style="22" bestFit="1" customWidth="1"/>
    <col min="41" max="41" width="12.85546875" style="22" bestFit="1" customWidth="1"/>
    <col min="42" max="42" width="14" style="22" bestFit="1" customWidth="1"/>
    <col min="43" max="43" width="7.5703125" style="22" bestFit="1" customWidth="1"/>
    <col min="44" max="44" width="8.7109375" style="22" bestFit="1" customWidth="1"/>
    <col min="45" max="45" width="1.7109375" style="26" customWidth="1"/>
    <col min="46" max="46" width="7.7109375" style="22" bestFit="1" customWidth="1"/>
    <col min="47" max="47" width="6.140625" style="22" bestFit="1" customWidth="1"/>
    <col min="48" max="48" width="6.28515625" style="22" bestFit="1" customWidth="1"/>
    <col min="49" max="49" width="6.140625" style="22" bestFit="1" customWidth="1"/>
    <col min="50" max="50" width="7.85546875" style="22" bestFit="1" customWidth="1"/>
    <col min="51" max="51" width="8.42578125" style="22" bestFit="1" customWidth="1"/>
    <col min="52" max="52" width="12.85546875" style="22" bestFit="1" customWidth="1"/>
    <col min="53" max="53" width="14" style="22" bestFit="1" customWidth="1"/>
    <col min="54" max="54" width="7.5703125" style="22" bestFit="1" customWidth="1"/>
    <col min="55" max="55" width="8.7109375" style="22" bestFit="1" customWidth="1"/>
    <col min="56" max="56" width="1.7109375" style="26" customWidth="1"/>
    <col min="57" max="57" width="7.5703125" bestFit="1" customWidth="1"/>
    <col min="58" max="58" width="8.7109375" bestFit="1" customWidth="1"/>
    <col min="59" max="59" width="1.7109375" style="26" customWidth="1"/>
    <col min="60" max="60" width="6.85546875" customWidth="1"/>
    <col min="61" max="61" width="8.7109375" bestFit="1" customWidth="1"/>
    <col min="78" max="78" width="7.28515625" style="5" bestFit="1" customWidth="1"/>
    <col min="79" max="79" width="6.7109375" style="5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5" bestFit="1" customWidth="1"/>
    <col min="91" max="91" width="6.140625" style="5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2" width="7.42578125" bestFit="1" customWidth="1"/>
  </cols>
  <sheetData>
    <row r="1" spans="1:122" s="2" customFormat="1" x14ac:dyDescent="0.25">
      <c r="A1" s="2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H1" s="24"/>
      <c r="AI1" s="6">
        <f>AQ16</f>
        <v>2.460735011040375</v>
      </c>
      <c r="AJ1" s="7">
        <v>0</v>
      </c>
      <c r="AK1" s="7">
        <f>AJ1-$AK12</f>
        <v>-1E-3</v>
      </c>
      <c r="AL1" s="7">
        <f>AK1-$AK12</f>
        <v>-2E-3</v>
      </c>
      <c r="AM1" s="7">
        <f>AL1-$AK12</f>
        <v>-3.0000000000000001E-3</v>
      </c>
      <c r="AN1" s="7">
        <f>AM1-$AK12</f>
        <v>-4.0000000000000001E-3</v>
      </c>
      <c r="AO1" s="7">
        <f>AN1-$AK12</f>
        <v>-5.0000000000000001E-3</v>
      </c>
      <c r="AP1" s="7">
        <f>AO1-$AK12</f>
        <v>-6.0000000000000001E-3</v>
      </c>
      <c r="AQ1" s="7">
        <f>AP1-$AK12</f>
        <v>-7.0000000000000001E-3</v>
      </c>
      <c r="AR1" s="25" t="s">
        <v>33</v>
      </c>
      <c r="AS1" s="24"/>
      <c r="AT1" s="6">
        <f>BB16</f>
        <v>2.2465757823438319</v>
      </c>
      <c r="AU1" s="7">
        <v>0</v>
      </c>
      <c r="AV1" s="13">
        <f>AU1+$AV12</f>
        <v>1E-3</v>
      </c>
      <c r="AW1" s="13">
        <f t="shared" ref="AW1:BB1" si="0">AV1+$AV12</f>
        <v>2E-3</v>
      </c>
      <c r="AX1" s="13">
        <f t="shared" si="0"/>
        <v>3.0000000000000001E-3</v>
      </c>
      <c r="AY1" s="13">
        <f t="shared" si="0"/>
        <v>4.0000000000000001E-3</v>
      </c>
      <c r="AZ1" s="13">
        <f t="shared" si="0"/>
        <v>5.0000000000000001E-3</v>
      </c>
      <c r="BA1" s="13">
        <f t="shared" si="0"/>
        <v>6.0000000000000001E-3</v>
      </c>
      <c r="BB1" s="13">
        <f t="shared" si="0"/>
        <v>7.0000000000000001E-3</v>
      </c>
      <c r="BC1" s="25" t="s">
        <v>33</v>
      </c>
      <c r="BD1" s="24"/>
      <c r="BG1" s="24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Z1" s="3"/>
      <c r="CA1" s="3"/>
      <c r="CB1" s="3"/>
      <c r="CC1" s="3"/>
      <c r="CD1" s="3"/>
      <c r="CE1" s="3"/>
      <c r="CF1" s="3"/>
      <c r="CK1" s="3"/>
      <c r="CL1" s="3"/>
      <c r="CM1" s="3"/>
      <c r="CN1" s="3"/>
      <c r="CO1" s="3"/>
      <c r="CP1" s="3"/>
      <c r="CQ1" s="3"/>
      <c r="CR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</row>
    <row r="2" spans="1:122" x14ac:dyDescent="0.25">
      <c r="A2" s="1">
        <v>46024</v>
      </c>
      <c r="B2" s="21">
        <v>315.32</v>
      </c>
      <c r="C2" s="21">
        <v>315.14999999999998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315.32</v>
      </c>
      <c r="M2" s="21">
        <v>315.14999999999998</v>
      </c>
      <c r="N2" s="23">
        <v>0.99946086515286003</v>
      </c>
      <c r="O2" s="23">
        <v>1.0043771680406</v>
      </c>
      <c r="X2" s="23">
        <v>0.99946086515286003</v>
      </c>
      <c r="Y2" s="23">
        <v>1.0043771680406</v>
      </c>
      <c r="AI2" s="7">
        <v>0</v>
      </c>
      <c r="AJ2" s="8">
        <f t="dataTable" ref="AJ2:AQ9" dt2D="1" dtr="1" r1="AI21" r2="AI22"/>
        <v>1.8885523380187508</v>
      </c>
      <c r="AK2" s="8">
        <v>1.7725272928813691</v>
      </c>
      <c r="AL2" s="8">
        <v>2.2114515785886733</v>
      </c>
      <c r="AM2" s="8">
        <v>1.9617146252990865</v>
      </c>
      <c r="AN2" s="8">
        <v>1.3288399816395886</v>
      </c>
      <c r="AO2" s="8">
        <v>1.404370399811127</v>
      </c>
      <c r="AP2" s="8">
        <v>1.1303320713584446</v>
      </c>
      <c r="AQ2" s="8">
        <v>1.7130797408904532</v>
      </c>
      <c r="AR2"/>
      <c r="AT2" s="7">
        <v>0</v>
      </c>
      <c r="AU2" s="8">
        <f t="dataTable" ref="AU2:BB9" dt2D="1" dtr="1" r1="AT21" r2="AT22"/>
        <v>3.2425503454410403</v>
      </c>
      <c r="AV2" s="10">
        <v>2.5774249715855571</v>
      </c>
      <c r="AW2" s="10">
        <v>1.432719930643175</v>
      </c>
      <c r="AX2" s="10">
        <v>0.61374107262663702</v>
      </c>
      <c r="AY2" s="10">
        <v>0.97365773289220803</v>
      </c>
      <c r="AZ2" s="10">
        <v>1.4855065262804674</v>
      </c>
      <c r="BA2" s="10">
        <v>1.8201432691257109</v>
      </c>
      <c r="BB2" s="10">
        <v>2.0679710876180324</v>
      </c>
      <c r="BC2"/>
    </row>
    <row r="3" spans="1:122" ht="15.75" thickBot="1" x14ac:dyDescent="0.3">
      <c r="A3" s="1">
        <v>46027</v>
      </c>
      <c r="B3" s="21">
        <v>317.32</v>
      </c>
      <c r="C3" s="21">
        <v>316.54000000000002</v>
      </c>
      <c r="D3" s="22">
        <v>6.3227322420947403E-3</v>
      </c>
      <c r="E3" s="22">
        <v>4.4008999460180597E-3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317.32</v>
      </c>
      <c r="M3" s="21">
        <v>316.54000000000002</v>
      </c>
      <c r="N3" s="23">
        <v>0.99754191352577803</v>
      </c>
      <c r="O3" s="23">
        <v>1.0043771680406</v>
      </c>
      <c r="R3" s="21">
        <v>318.70896296264402</v>
      </c>
      <c r="U3" s="22">
        <v>6.8287286327171799E-3</v>
      </c>
      <c r="X3" s="23">
        <v>0.99754191352577803</v>
      </c>
      <c r="Y3" s="23">
        <v>1.0043771680406</v>
      </c>
      <c r="AB3" s="21">
        <v>318.70896296264402</v>
      </c>
      <c r="AE3" s="22">
        <v>6.8287286327171799E-3</v>
      </c>
      <c r="AI3" s="7">
        <f>AI2-AK$12</f>
        <v>-1E-3</v>
      </c>
      <c r="AJ3" s="8">
        <v>1.8885523380187508</v>
      </c>
      <c r="AK3" s="8">
        <v>2.2186460160142838</v>
      </c>
      <c r="AL3" s="8">
        <v>2.4607017893695593</v>
      </c>
      <c r="AM3" s="8">
        <v>1.9978535355227134</v>
      </c>
      <c r="AN3" s="8">
        <v>1.6412929981000486</v>
      </c>
      <c r="AO3" s="10">
        <v>1.5393433023663514</v>
      </c>
      <c r="AP3" s="8">
        <v>1.1303320713584446</v>
      </c>
      <c r="AQ3" s="8">
        <v>1.7130797408904532</v>
      </c>
      <c r="AR3"/>
      <c r="AT3" s="7">
        <f>AT2+AV$12</f>
        <v>1E-3</v>
      </c>
      <c r="AU3" s="8">
        <v>3.2425503454410403</v>
      </c>
      <c r="AV3" s="10">
        <v>2.7525795314733705</v>
      </c>
      <c r="AW3" s="10">
        <v>1.7874023255132629</v>
      </c>
      <c r="AX3" s="10">
        <v>0.90867458978673776</v>
      </c>
      <c r="AY3" s="10">
        <v>0.63396578857129282</v>
      </c>
      <c r="AZ3" s="10">
        <v>1.1519565723733896</v>
      </c>
      <c r="BA3" s="10">
        <v>1.4835406552323283</v>
      </c>
      <c r="BB3" s="10">
        <v>1.7354901407491727</v>
      </c>
      <c r="BC3"/>
    </row>
    <row r="4" spans="1:122" ht="15.75" thickBot="1" x14ac:dyDescent="0.3">
      <c r="A4" s="1">
        <v>46028</v>
      </c>
      <c r="B4" s="21">
        <v>314.55</v>
      </c>
      <c r="C4" s="21">
        <v>314.33999999999997</v>
      </c>
      <c r="D4" s="22">
        <v>-8.7676824177634807E-3</v>
      </c>
      <c r="E4" s="22">
        <v>-6.9744132569538797E-3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314.55</v>
      </c>
      <c r="M4" s="21">
        <v>314.33999999999997</v>
      </c>
      <c r="N4" s="23">
        <v>0.99933237958988996</v>
      </c>
      <c r="O4" s="23">
        <v>1.0043771680406</v>
      </c>
      <c r="R4" s="21">
        <v>315.92683820717099</v>
      </c>
      <c r="U4" s="22">
        <v>5.0354594719075199E-3</v>
      </c>
      <c r="X4" s="23">
        <v>0.99933237958988996</v>
      </c>
      <c r="Y4" s="23">
        <v>1.0043771680406</v>
      </c>
      <c r="AB4" s="21">
        <v>315.92683820717099</v>
      </c>
      <c r="AE4" s="22">
        <v>5.0354594719075199E-3</v>
      </c>
      <c r="AI4" s="7">
        <f>AI3-AK$12</f>
        <v>-2E-3</v>
      </c>
      <c r="AJ4" s="8">
        <v>1.8885523380187508</v>
      </c>
      <c r="AK4" s="10">
        <v>2.2186460160142838</v>
      </c>
      <c r="AL4" s="10">
        <v>3.2617255048955807</v>
      </c>
      <c r="AM4" s="10">
        <v>2.707812112389036</v>
      </c>
      <c r="AN4" s="8">
        <v>2.460735011040375</v>
      </c>
      <c r="AO4" s="10">
        <v>1.8763538014406012</v>
      </c>
      <c r="AP4" s="10">
        <v>1.1303320713584446</v>
      </c>
      <c r="AQ4" s="10">
        <v>1.7130797408904532</v>
      </c>
      <c r="AR4"/>
      <c r="AT4" s="7">
        <f t="shared" ref="AT4:AT9" si="1">AT3+AV$12</f>
        <v>2E-3</v>
      </c>
      <c r="AU4" s="8">
        <v>3.2425503454410403</v>
      </c>
      <c r="AV4" s="10">
        <v>2.7525795314733705</v>
      </c>
      <c r="AW4" s="10">
        <v>1.7034030948653343</v>
      </c>
      <c r="AX4" s="10">
        <v>0.96740354265732187</v>
      </c>
      <c r="AY4" s="10">
        <v>0.67169925714504253</v>
      </c>
      <c r="AZ4" s="10">
        <v>1.4644829920803177</v>
      </c>
      <c r="BA4" s="9">
        <v>1.4440063573441324</v>
      </c>
      <c r="BB4" s="10">
        <v>1.8169353695361787</v>
      </c>
      <c r="BC4"/>
      <c r="BE4" s="3"/>
      <c r="BF4" s="3"/>
    </row>
    <row r="5" spans="1:122" x14ac:dyDescent="0.25">
      <c r="A5" s="1">
        <v>46029</v>
      </c>
      <c r="B5" s="21">
        <v>322.43</v>
      </c>
      <c r="C5" s="21">
        <v>321.98</v>
      </c>
      <c r="D5" s="22">
        <v>2.4743012396536701E-2</v>
      </c>
      <c r="E5" s="22">
        <v>2.4014229165965E-2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322.43</v>
      </c>
      <c r="M5" s="21">
        <v>321.98</v>
      </c>
      <c r="N5" s="23">
        <v>0.99860434823062305</v>
      </c>
      <c r="O5" s="23">
        <v>1.0043771680406</v>
      </c>
      <c r="R5" s="21">
        <v>323.84133029133102</v>
      </c>
      <c r="U5" s="22">
        <v>5.7642427024792303E-3</v>
      </c>
      <c r="X5" s="23">
        <v>0.99860434823062305</v>
      </c>
      <c r="Y5" s="23">
        <v>1.0043771680406</v>
      </c>
      <c r="AB5" s="21">
        <v>323.84133029133102</v>
      </c>
      <c r="AE5" s="22">
        <v>5.7642427024792303E-3</v>
      </c>
      <c r="AI5" s="7">
        <f>AI4-AK$12</f>
        <v>-3.0000000000000001E-3</v>
      </c>
      <c r="AJ5" s="8">
        <v>1.8885523380187508</v>
      </c>
      <c r="AK5" s="10">
        <v>2.2186460160142838</v>
      </c>
      <c r="AL5" s="10">
        <v>3.2617255048955807</v>
      </c>
      <c r="AM5" s="10">
        <v>2.5487024425962654</v>
      </c>
      <c r="AN5" s="10">
        <v>2.2861751141628774</v>
      </c>
      <c r="AO5" s="10">
        <v>1.6954931540726585</v>
      </c>
      <c r="AP5" s="8">
        <v>0.6094411899509008</v>
      </c>
      <c r="AQ5" s="10">
        <v>1.2750711555097241</v>
      </c>
      <c r="AR5"/>
      <c r="AT5" s="7">
        <f t="shared" si="1"/>
        <v>3.0000000000000001E-3</v>
      </c>
      <c r="AU5" s="8">
        <v>3.2425503454410403</v>
      </c>
      <c r="AV5" s="10">
        <v>2.7525795314733705</v>
      </c>
      <c r="AW5" s="10">
        <v>1.7034030948653343</v>
      </c>
      <c r="AX5" s="10">
        <v>1.4553783475482305</v>
      </c>
      <c r="AY5" s="10">
        <v>1.6748214396891055</v>
      </c>
      <c r="AZ5" s="10">
        <v>2.2465757823438319</v>
      </c>
      <c r="BA5" s="10">
        <v>1.4440063573441324</v>
      </c>
      <c r="BB5" s="10">
        <v>1.8169353695361787</v>
      </c>
      <c r="BC5"/>
    </row>
    <row r="6" spans="1:122" x14ac:dyDescent="0.25">
      <c r="A6" s="1">
        <v>46030</v>
      </c>
      <c r="B6" s="21">
        <v>326.01</v>
      </c>
      <c r="C6" s="21">
        <v>325.44</v>
      </c>
      <c r="D6" s="22">
        <v>1.10419973302945E-2</v>
      </c>
      <c r="E6" s="22">
        <v>1.06886810460468E-2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326.01</v>
      </c>
      <c r="M6" s="21">
        <v>325.44</v>
      </c>
      <c r="N6" s="23">
        <v>0.99825158737462005</v>
      </c>
      <c r="O6" s="23">
        <v>1.0043771680406</v>
      </c>
      <c r="R6" s="21">
        <v>327.437000552916</v>
      </c>
      <c r="U6" s="22">
        <v>6.1175589867267901E-3</v>
      </c>
      <c r="X6" s="23">
        <v>0.99825158737462005</v>
      </c>
      <c r="Y6" s="23">
        <v>1.0043771680406</v>
      </c>
      <c r="AB6" s="21">
        <v>327.437000552916</v>
      </c>
      <c r="AE6" s="22">
        <v>6.1175589867267901E-3</v>
      </c>
      <c r="AI6" s="7">
        <f>AI5-AK$12</f>
        <v>-4.0000000000000001E-3</v>
      </c>
      <c r="AJ6" s="8">
        <v>1.8885523380187508</v>
      </c>
      <c r="AK6" s="10">
        <v>2.2186460160142838</v>
      </c>
      <c r="AL6" s="10">
        <v>3.2617255048955807</v>
      </c>
      <c r="AM6" s="10">
        <v>2.5487024425962654</v>
      </c>
      <c r="AN6" s="10">
        <v>3.0160726902456809</v>
      </c>
      <c r="AO6" s="10">
        <v>1.8472532879343628</v>
      </c>
      <c r="AP6" s="10">
        <v>0.6094411899509008</v>
      </c>
      <c r="AQ6" s="10">
        <v>1.2750711555097241</v>
      </c>
      <c r="AR6"/>
      <c r="AT6" s="7">
        <f t="shared" si="1"/>
        <v>4.0000000000000001E-3</v>
      </c>
      <c r="AU6" s="8">
        <v>3.2425503454410403</v>
      </c>
      <c r="AV6" s="10">
        <v>2.7525795314733705</v>
      </c>
      <c r="AW6" s="10">
        <v>1.7034030948653343</v>
      </c>
      <c r="AX6" s="10">
        <v>1.4553783475482305</v>
      </c>
      <c r="AY6" s="10">
        <v>1.8944332903827459</v>
      </c>
      <c r="AZ6" s="10">
        <v>2.6370238782024922</v>
      </c>
      <c r="BA6" s="10">
        <v>1.447017082897553</v>
      </c>
      <c r="BB6" s="10">
        <v>1.9327216910650666</v>
      </c>
      <c r="BC6"/>
    </row>
    <row r="7" spans="1:122" x14ac:dyDescent="0.25">
      <c r="A7" s="1">
        <v>46031</v>
      </c>
      <c r="B7" s="21">
        <v>329.14</v>
      </c>
      <c r="C7" s="21">
        <v>328.57</v>
      </c>
      <c r="D7" s="22">
        <v>9.5551364243667298E-3</v>
      </c>
      <c r="E7" s="22">
        <v>9.5717921661938998E-3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329.14</v>
      </c>
      <c r="M7" s="21">
        <v>328.57</v>
      </c>
      <c r="N7" s="23">
        <v>0.99826821413380296</v>
      </c>
      <c r="O7" s="23">
        <v>1.0043771680406</v>
      </c>
      <c r="R7" s="21">
        <v>330.58070108888302</v>
      </c>
      <c r="U7" s="22">
        <v>6.1009032448997901E-3</v>
      </c>
      <c r="X7" s="23">
        <v>0.99826821413380296</v>
      </c>
      <c r="Y7" s="23">
        <v>1.0043771680406</v>
      </c>
      <c r="AB7" s="21">
        <v>330.58070108888302</v>
      </c>
      <c r="AE7" s="22">
        <v>6.1009032448997901E-3</v>
      </c>
      <c r="AI7" s="7">
        <f>AI6-AK$12</f>
        <v>-5.0000000000000001E-3</v>
      </c>
      <c r="AJ7" s="8">
        <v>1.8885523380187508</v>
      </c>
      <c r="AK7" s="10">
        <v>2.2186460160142838</v>
      </c>
      <c r="AL7" s="10">
        <v>3.2617255048955807</v>
      </c>
      <c r="AM7" s="10">
        <v>2.5487024425962654</v>
      </c>
      <c r="AN7" s="10">
        <v>3.0160726902456809</v>
      </c>
      <c r="AO7" s="10">
        <v>1.8472532879343628</v>
      </c>
      <c r="AP7" s="10">
        <v>0.6094411899509008</v>
      </c>
      <c r="AQ7" s="10">
        <v>1.2750711555097241</v>
      </c>
      <c r="AR7"/>
      <c r="AT7" s="7">
        <f t="shared" si="1"/>
        <v>5.0000000000000001E-3</v>
      </c>
      <c r="AU7" s="8">
        <v>3.2425503454410403</v>
      </c>
      <c r="AV7" s="10">
        <v>2.7525795314733705</v>
      </c>
      <c r="AW7" s="10">
        <v>1.7034030948653343</v>
      </c>
      <c r="AX7" s="10">
        <v>1.4553783475482305</v>
      </c>
      <c r="AY7" s="10">
        <v>1.8944332903827459</v>
      </c>
      <c r="AZ7" s="10">
        <v>2.4079483369491799</v>
      </c>
      <c r="BA7" s="10">
        <v>1.447017082897553</v>
      </c>
      <c r="BB7" s="10">
        <v>1.9327216910650666</v>
      </c>
      <c r="BC7"/>
    </row>
    <row r="8" spans="1:122" x14ac:dyDescent="0.25">
      <c r="A8" s="1">
        <v>46034</v>
      </c>
      <c r="B8" s="21">
        <v>332.73</v>
      </c>
      <c r="C8" s="21">
        <v>331.86</v>
      </c>
      <c r="D8" s="22">
        <v>1.08481581175232E-2</v>
      </c>
      <c r="E8" s="22">
        <v>9.96328820825273E-3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332.73</v>
      </c>
      <c r="M8" s="21">
        <v>331.86</v>
      </c>
      <c r="N8" s="23">
        <v>0.997385267333874</v>
      </c>
      <c r="O8" s="23">
        <v>1.0043771680406</v>
      </c>
      <c r="R8" s="21">
        <v>334.18641512214901</v>
      </c>
      <c r="U8" s="22">
        <v>6.9857731541703699E-3</v>
      </c>
      <c r="X8" s="23">
        <v>0.997385267333874</v>
      </c>
      <c r="Y8" s="23">
        <v>1.0043771680406</v>
      </c>
      <c r="AB8" s="21">
        <v>334.18641512214901</v>
      </c>
      <c r="AE8" s="22">
        <v>6.9857731541703699E-3</v>
      </c>
      <c r="AI8" s="7">
        <f>AI7-AK$12</f>
        <v>-6.0000000000000001E-3</v>
      </c>
      <c r="AJ8" s="8">
        <v>1.8885523380187508</v>
      </c>
      <c r="AK8" s="10">
        <v>2.2186460160142838</v>
      </c>
      <c r="AL8" s="10">
        <v>3.2617255048955807</v>
      </c>
      <c r="AM8" s="10">
        <v>2.5487024425962654</v>
      </c>
      <c r="AN8" s="10">
        <v>3.0160726902456809</v>
      </c>
      <c r="AO8" s="10">
        <v>1.8472532879343628</v>
      </c>
      <c r="AP8" s="10">
        <v>0.6094411899509008</v>
      </c>
      <c r="AQ8" s="10">
        <v>1.2750711555097241</v>
      </c>
      <c r="AR8"/>
      <c r="AT8" s="7">
        <f t="shared" si="1"/>
        <v>6.0000000000000001E-3</v>
      </c>
      <c r="AU8" s="8">
        <v>3.2425503454410403</v>
      </c>
      <c r="AV8" s="10">
        <v>2.7525795314733705</v>
      </c>
      <c r="AW8" s="10">
        <v>1.7034030948653343</v>
      </c>
      <c r="AX8" s="10">
        <v>1.4553783475482305</v>
      </c>
      <c r="AY8" s="10">
        <v>1.8944332903827459</v>
      </c>
      <c r="AZ8" s="10">
        <v>2.4079483369491799</v>
      </c>
      <c r="BA8" s="10">
        <v>1.7118648666724645</v>
      </c>
      <c r="BB8" s="10">
        <v>1.4431372679537859</v>
      </c>
      <c r="BC8"/>
    </row>
    <row r="9" spans="1:122" x14ac:dyDescent="0.25">
      <c r="A9" s="1">
        <v>46035</v>
      </c>
      <c r="B9" s="21">
        <v>336.43</v>
      </c>
      <c r="C9" s="21">
        <v>335.97</v>
      </c>
      <c r="D9" s="22">
        <v>1.10587533859304E-2</v>
      </c>
      <c r="E9" s="22">
        <v>1.2308677028070199E-2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336.43</v>
      </c>
      <c r="M9" s="21">
        <v>335.97</v>
      </c>
      <c r="N9" s="23">
        <v>0.99863270219659295</v>
      </c>
      <c r="O9" s="23">
        <v>1.0043771680406</v>
      </c>
      <c r="R9" s="21">
        <v>337.90261064389898</v>
      </c>
      <c r="U9" s="22">
        <v>5.7358495120305398E-3</v>
      </c>
      <c r="X9" s="23">
        <v>0.99863270219659295</v>
      </c>
      <c r="Y9" s="23">
        <v>1.0043771680406</v>
      </c>
      <c r="AB9" s="21">
        <v>337.90261064389898</v>
      </c>
      <c r="AE9" s="22">
        <v>5.7358495120305398E-3</v>
      </c>
      <c r="AI9" s="7">
        <f>AI8-AK$12</f>
        <v>-7.0000000000000001E-3</v>
      </c>
      <c r="AJ9" s="8">
        <v>1.8885523380187508</v>
      </c>
      <c r="AK9" s="10">
        <v>2.2186460160142838</v>
      </c>
      <c r="AL9" s="10">
        <v>3.2617255048955807</v>
      </c>
      <c r="AM9" s="10">
        <v>2.5487024425962654</v>
      </c>
      <c r="AN9" s="10">
        <v>3.0160726902456809</v>
      </c>
      <c r="AO9" s="10">
        <v>1.8472532879343628</v>
      </c>
      <c r="AP9" s="10">
        <v>0.6094411899509008</v>
      </c>
      <c r="AQ9" s="10">
        <v>1.2750711555097241</v>
      </c>
      <c r="AR9"/>
      <c r="AT9" s="7">
        <f t="shared" si="1"/>
        <v>7.0000000000000001E-3</v>
      </c>
      <c r="AU9" s="8">
        <v>3.2425503454410403</v>
      </c>
      <c r="AV9" s="8">
        <v>2.7525795314733705</v>
      </c>
      <c r="AW9" s="8">
        <v>1.7034030948653343</v>
      </c>
      <c r="AX9" s="8">
        <v>1.4553783475482305</v>
      </c>
      <c r="AY9" s="8">
        <v>1.8944332903827459</v>
      </c>
      <c r="AZ9" s="8">
        <v>2.4079483369491799</v>
      </c>
      <c r="BA9" s="8">
        <v>1.7118648666724645</v>
      </c>
      <c r="BB9" s="8">
        <v>1.4431372679537859</v>
      </c>
      <c r="BC9"/>
    </row>
    <row r="10" spans="1:122" x14ac:dyDescent="0.25">
      <c r="A10" s="1">
        <v>46036</v>
      </c>
      <c r="B10" s="21">
        <v>336.31</v>
      </c>
      <c r="C10" s="21">
        <v>335.84</v>
      </c>
      <c r="D10" s="22">
        <v>-3.5675001121591402E-4</v>
      </c>
      <c r="E10" s="22">
        <v>-3.8701419038917402E-4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336.31</v>
      </c>
      <c r="M10" s="21">
        <v>335.84</v>
      </c>
      <c r="N10" s="23">
        <v>0.99860247985489503</v>
      </c>
      <c r="O10" s="23">
        <v>1.0043771680406</v>
      </c>
      <c r="R10" s="21">
        <v>337.78208538373502</v>
      </c>
      <c r="U10" s="22">
        <v>5.7661136912038101E-3</v>
      </c>
      <c r="X10" s="23">
        <v>0.99860247985489503</v>
      </c>
      <c r="Y10" s="23">
        <v>1.0043771680406</v>
      </c>
      <c r="AB10" s="21">
        <v>337.78208538373502</v>
      </c>
      <c r="AE10" s="22">
        <v>5.7661136912038101E-3</v>
      </c>
      <c r="AI10" s="27" t="s">
        <v>36</v>
      </c>
      <c r="AJ10"/>
      <c r="AK10"/>
      <c r="AL10"/>
      <c r="AM10"/>
      <c r="AN10"/>
      <c r="AO10"/>
      <c r="AP10"/>
      <c r="AQ10"/>
      <c r="AR10"/>
      <c r="AT10" s="27" t="s">
        <v>36</v>
      </c>
      <c r="AU10"/>
      <c r="AV10"/>
      <c r="AW10"/>
      <c r="AX10"/>
      <c r="AY10"/>
      <c r="AZ10"/>
      <c r="BA10"/>
      <c r="BB10"/>
      <c r="BC10"/>
      <c r="BZ10" s="12"/>
      <c r="CL10" s="12"/>
    </row>
    <row r="11" spans="1:122" x14ac:dyDescent="0.25">
      <c r="A11" s="1">
        <v>46037</v>
      </c>
      <c r="B11" s="21">
        <v>333.16</v>
      </c>
      <c r="C11" s="21">
        <v>332.78</v>
      </c>
      <c r="D11" s="22">
        <v>-9.4104985923346793E-3</v>
      </c>
      <c r="E11" s="22">
        <v>-9.1532450849617399E-3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333.16</v>
      </c>
      <c r="M11" s="21">
        <v>332.78</v>
      </c>
      <c r="N11" s="23">
        <v>0.99885940689158303</v>
      </c>
      <c r="O11" s="23">
        <v>1.0043771680406</v>
      </c>
      <c r="P11" s="23">
        <v>0.99849391642845198</v>
      </c>
      <c r="R11" s="21">
        <v>334.61829730440701</v>
      </c>
      <c r="U11" s="22">
        <v>5.5088601838308299E-3</v>
      </c>
      <c r="X11" s="23">
        <v>0.99885940689158303</v>
      </c>
      <c r="Y11" s="23">
        <v>1.0043771680406</v>
      </c>
      <c r="Z11" s="23">
        <v>0.99849391642845198</v>
      </c>
      <c r="AB11" s="21">
        <v>334.61829730440701</v>
      </c>
      <c r="AE11" s="22">
        <v>5.5088601838308299E-3</v>
      </c>
      <c r="AL11" s="28" t="s">
        <v>34</v>
      </c>
      <c r="AM11" s="28" t="s">
        <v>35</v>
      </c>
      <c r="AW11" s="28" t="s">
        <v>34</v>
      </c>
      <c r="AX11" s="28" t="s">
        <v>35</v>
      </c>
    </row>
    <row r="12" spans="1:122" x14ac:dyDescent="0.25">
      <c r="A12" s="1">
        <v>46038</v>
      </c>
      <c r="B12" s="21">
        <v>330.34</v>
      </c>
      <c r="C12" s="21">
        <v>330</v>
      </c>
      <c r="D12" s="22">
        <v>-8.5004279741956804E-3</v>
      </c>
      <c r="E12" s="22">
        <v>-8.3889565268351306E-3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330.34</v>
      </c>
      <c r="M12" s="21">
        <v>330</v>
      </c>
      <c r="N12" s="23">
        <v>0.99897075740146501</v>
      </c>
      <c r="O12" s="23">
        <v>1.0043771680406</v>
      </c>
      <c r="P12" s="23">
        <v>0.99844490565331201</v>
      </c>
      <c r="R12" s="21">
        <v>331.78595369053198</v>
      </c>
      <c r="S12" s="21">
        <v>329.84248035297497</v>
      </c>
      <c r="U12" s="22">
        <v>5.3973887364704596E-3</v>
      </c>
      <c r="V12" s="22">
        <v>-4.7744622302289699E-4</v>
      </c>
      <c r="X12" s="23">
        <v>0.99897075740146501</v>
      </c>
      <c r="Y12" s="23">
        <v>1.0043771680406</v>
      </c>
      <c r="Z12" s="23">
        <v>0.99844490565331201</v>
      </c>
      <c r="AB12" s="21">
        <v>331.78595369053198</v>
      </c>
      <c r="AC12" s="21">
        <v>329.84248035297497</v>
      </c>
      <c r="AE12" s="22">
        <v>5.3973887364704596E-3</v>
      </c>
      <c r="AF12" s="22">
        <v>-4.7744622302289699E-4</v>
      </c>
      <c r="AK12" s="29">
        <v>1E-3</v>
      </c>
      <c r="AL12" s="30" t="s">
        <v>46</v>
      </c>
      <c r="AM12" s="31" t="s">
        <v>47</v>
      </c>
      <c r="AV12" s="29">
        <v>1E-3</v>
      </c>
      <c r="AW12" s="30" t="s">
        <v>48</v>
      </c>
      <c r="AX12" s="31" t="s">
        <v>49</v>
      </c>
    </row>
    <row r="13" spans="1:122" x14ac:dyDescent="0.25">
      <c r="A13" s="1">
        <v>46042</v>
      </c>
      <c r="B13" s="21">
        <v>322.16000000000003</v>
      </c>
      <c r="C13" s="21">
        <v>322</v>
      </c>
      <c r="D13" s="22">
        <v>-2.5074110549745302E-2</v>
      </c>
      <c r="E13" s="22">
        <v>-2.4541108916117601E-2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322.16000000000003</v>
      </c>
      <c r="M13" s="21">
        <v>322</v>
      </c>
      <c r="N13" s="23">
        <v>0.99950335237149202</v>
      </c>
      <c r="O13" s="23">
        <v>1.0043771680406</v>
      </c>
      <c r="P13" s="23">
        <v>0.99864104953788402</v>
      </c>
      <c r="R13" s="21">
        <v>323.57014845596001</v>
      </c>
      <c r="S13" s="21">
        <v>321.65901080527101</v>
      </c>
      <c r="U13" s="22">
        <v>4.86438710284255E-3</v>
      </c>
      <c r="V13" s="22">
        <v>-1.0595337621451999E-3</v>
      </c>
      <c r="X13" s="23">
        <v>0.99950335237149202</v>
      </c>
      <c r="Y13" s="23">
        <v>1.0043771680406</v>
      </c>
      <c r="Z13" s="23">
        <v>0.99864104953788402</v>
      </c>
      <c r="AB13" s="21">
        <v>323.57014845596001</v>
      </c>
      <c r="AC13" s="21">
        <v>321.65901080527101</v>
      </c>
      <c r="AE13" s="22">
        <v>4.86438710284255E-3</v>
      </c>
      <c r="AF13" s="22">
        <v>-1.0595337621451999E-3</v>
      </c>
    </row>
    <row r="14" spans="1:122" x14ac:dyDescent="0.25">
      <c r="A14" s="1">
        <v>46043</v>
      </c>
      <c r="B14" s="21">
        <v>328.38</v>
      </c>
      <c r="C14" s="21">
        <v>328.38</v>
      </c>
      <c r="D14" s="22">
        <v>1.91231578406829E-2</v>
      </c>
      <c r="E14" s="22">
        <v>1.9619928839473302E-2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328.38</v>
      </c>
      <c r="M14" s="21">
        <v>328.38</v>
      </c>
      <c r="N14" s="23">
        <v>1</v>
      </c>
      <c r="O14" s="23">
        <v>1.0043771680406</v>
      </c>
      <c r="P14" s="23">
        <v>0.99870781157889499</v>
      </c>
      <c r="R14" s="21">
        <v>329.817374441173</v>
      </c>
      <c r="S14" s="21">
        <v>327.93374784725</v>
      </c>
      <c r="U14" s="22">
        <v>4.3676161040520798E-3</v>
      </c>
      <c r="V14" s="22">
        <v>-1.3598746726940401E-3</v>
      </c>
      <c r="X14" s="23">
        <v>1</v>
      </c>
      <c r="Y14" s="23">
        <v>1.0043771680406</v>
      </c>
      <c r="Z14" s="23">
        <v>0.99870781157889499</v>
      </c>
      <c r="AB14" s="21">
        <v>329.817374441173</v>
      </c>
      <c r="AC14" s="21">
        <v>327.93374784725</v>
      </c>
      <c r="AE14" s="22">
        <v>4.3676161040520798E-3</v>
      </c>
      <c r="AF14" s="22">
        <v>-1.3598746726940401E-3</v>
      </c>
      <c r="AQ14" s="32">
        <f>AVERAGE(AQ22:AQ176)</f>
        <v>1.6749758399379488E-4</v>
      </c>
      <c r="AR14" s="33" t="s">
        <v>50</v>
      </c>
      <c r="BB14" s="32">
        <f>AVERAGE(BB22:BB176)</f>
        <v>9.80684147312654E-5</v>
      </c>
      <c r="BC14" s="33" t="s">
        <v>50</v>
      </c>
      <c r="BD14" s="34"/>
      <c r="BE14" s="32">
        <f>AVERAGE(BE22:BE176)</f>
        <v>2.6556599872506028E-4</v>
      </c>
      <c r="BF14" s="33" t="s">
        <v>50</v>
      </c>
    </row>
    <row r="15" spans="1:122" x14ac:dyDescent="0.25">
      <c r="A15" s="1">
        <v>46044</v>
      </c>
      <c r="B15" s="21">
        <v>330.84</v>
      </c>
      <c r="C15" s="21">
        <v>330.54</v>
      </c>
      <c r="D15" s="22">
        <v>7.4634004398238798E-3</v>
      </c>
      <c r="E15" s="22">
        <v>6.5562063287984496E-3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330.84</v>
      </c>
      <c r="M15" s="21">
        <v>330.54</v>
      </c>
      <c r="N15" s="23">
        <v>0.999093217265143</v>
      </c>
      <c r="O15" s="23">
        <v>1.0043771680406</v>
      </c>
      <c r="P15" s="23">
        <v>0.99875669848234705</v>
      </c>
      <c r="R15" s="21">
        <v>332.288142274552</v>
      </c>
      <c r="S15" s="21">
        <v>330.412492382761</v>
      </c>
      <c r="U15" s="22">
        <v>5.27481021507753E-3</v>
      </c>
      <c r="V15" s="22">
        <v>-3.85829905445881E-4</v>
      </c>
      <c r="X15" s="23">
        <v>0.999093217265143</v>
      </c>
      <c r="Y15" s="23">
        <v>1.0043771680406</v>
      </c>
      <c r="Z15" s="23">
        <v>0.99875669848234705</v>
      </c>
      <c r="AB15" s="21">
        <v>332.288142274552</v>
      </c>
      <c r="AC15" s="21">
        <v>330.412492382761</v>
      </c>
      <c r="AE15" s="22">
        <v>5.27481021507753E-3</v>
      </c>
      <c r="AF15" s="22">
        <v>-3.85829905445881E-4</v>
      </c>
      <c r="AQ15" s="32">
        <f>STDEV(AQ22:AQ176)</f>
        <v>1.0805477642983714E-3</v>
      </c>
      <c r="AR15" s="33" t="s">
        <v>51</v>
      </c>
      <c r="BB15" s="32">
        <f>STDEV(BB22:BB176)</f>
        <v>6.9296029687965666E-4</v>
      </c>
      <c r="BC15" s="33" t="s">
        <v>51</v>
      </c>
      <c r="BD15" s="34"/>
      <c r="BE15" s="32">
        <f>STDEV(BE22:BE176)</f>
        <v>1.270713056259832E-3</v>
      </c>
      <c r="BF15" s="33" t="s">
        <v>51</v>
      </c>
    </row>
    <row r="16" spans="1:122" x14ac:dyDescent="0.25">
      <c r="A16" s="1">
        <v>46045</v>
      </c>
      <c r="B16" s="21">
        <v>328.43</v>
      </c>
      <c r="C16" s="21">
        <v>327.93</v>
      </c>
      <c r="D16" s="22">
        <v>-7.3111494080289104E-3</v>
      </c>
      <c r="E16" s="22">
        <v>-7.9275097388264004E-3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328.43</v>
      </c>
      <c r="M16" s="21">
        <v>327.93</v>
      </c>
      <c r="N16" s="23">
        <v>0.99847760557805298</v>
      </c>
      <c r="O16" s="23">
        <v>1.0043771680406</v>
      </c>
      <c r="P16" s="23">
        <v>0.99877930030269002</v>
      </c>
      <c r="R16" s="21">
        <v>329.86759329957499</v>
      </c>
      <c r="S16" s="21">
        <v>328.02166248255702</v>
      </c>
      <c r="U16" s="22">
        <v>5.8911705458747701E-3</v>
      </c>
      <c r="V16" s="22">
        <v>2.7947938360896698E-4</v>
      </c>
      <c r="X16" s="23">
        <v>0.99847760557805298</v>
      </c>
      <c r="Y16" s="23">
        <v>1.0043771680406</v>
      </c>
      <c r="Z16" s="23">
        <v>0.99877930030269002</v>
      </c>
      <c r="AB16" s="21">
        <v>329.86759329957499</v>
      </c>
      <c r="AC16" s="21">
        <v>328.02166248255702</v>
      </c>
      <c r="AE16" s="22">
        <v>5.8911705458747701E-3</v>
      </c>
      <c r="AF16" s="22">
        <v>2.7947938360896698E-4</v>
      </c>
      <c r="AQ16" s="35">
        <f>SQRT(252)*AQ14/AQ15</f>
        <v>2.460735011040375</v>
      </c>
      <c r="AR16" s="33" t="s">
        <v>52</v>
      </c>
      <c r="BB16" s="35">
        <f>SQRT(252)*BB14/BB15</f>
        <v>2.2465757823438319</v>
      </c>
      <c r="BC16" s="33" t="s">
        <v>52</v>
      </c>
      <c r="BD16" s="34"/>
      <c r="BE16" s="35">
        <f>SQRT(252)*BE14/BE15</f>
        <v>3.3176093651028111</v>
      </c>
      <c r="BF16" s="33" t="s">
        <v>52</v>
      </c>
    </row>
    <row r="17" spans="1:122" x14ac:dyDescent="0.25">
      <c r="A17" s="1">
        <v>46048</v>
      </c>
      <c r="B17" s="21">
        <v>333.59</v>
      </c>
      <c r="C17" s="21">
        <v>333.26</v>
      </c>
      <c r="D17" s="22">
        <v>1.5588968600440499E-2</v>
      </c>
      <c r="E17" s="22">
        <v>1.61227951366236E-2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333.59</v>
      </c>
      <c r="M17" s="21">
        <v>333.26</v>
      </c>
      <c r="N17" s="23">
        <v>0.99901076171348002</v>
      </c>
      <c r="O17" s="23">
        <v>1.0043771680406</v>
      </c>
      <c r="P17" s="23">
        <v>0.99885355506065798</v>
      </c>
      <c r="R17" s="21">
        <v>335.05017948666398</v>
      </c>
      <c r="S17" s="21">
        <v>333.18278678797401</v>
      </c>
      <c r="U17" s="22">
        <v>5.3573440096917301E-3</v>
      </c>
      <c r="V17" s="22">
        <v>-2.3171745242571399E-4</v>
      </c>
      <c r="X17" s="23">
        <v>0.99901076171348002</v>
      </c>
      <c r="Y17" s="23">
        <v>1.0043771680406</v>
      </c>
      <c r="Z17" s="23">
        <v>0.99885355506065798</v>
      </c>
      <c r="AB17" s="21">
        <v>335.05017948666398</v>
      </c>
      <c r="AC17" s="21">
        <v>333.18278678797401</v>
      </c>
      <c r="AE17" s="22">
        <v>5.3573440096917301E-3</v>
      </c>
      <c r="AF17" s="22">
        <v>-2.3171745242571399E-4</v>
      </c>
    </row>
    <row r="18" spans="1:122" x14ac:dyDescent="0.25">
      <c r="A18" s="1">
        <v>46049</v>
      </c>
      <c r="B18" s="21">
        <v>335</v>
      </c>
      <c r="C18" s="21">
        <v>334.55</v>
      </c>
      <c r="D18" s="22">
        <v>4.2178378089492803E-3</v>
      </c>
      <c r="E18" s="22">
        <v>3.8633791183486301E-3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335</v>
      </c>
      <c r="M18" s="21">
        <v>334.55</v>
      </c>
      <c r="N18" s="23">
        <v>0.99865671641790998</v>
      </c>
      <c r="O18" s="23">
        <v>1.0043771680406</v>
      </c>
      <c r="P18" s="23">
        <v>0.99898069996906103</v>
      </c>
      <c r="R18" s="21">
        <v>336.46635129360101</v>
      </c>
      <c r="S18" s="21">
        <v>334.61594094532001</v>
      </c>
      <c r="U18" s="22">
        <v>5.7118027002925498E-3</v>
      </c>
      <c r="V18" s="22">
        <v>1.9708398619568601E-4</v>
      </c>
      <c r="X18" s="23">
        <v>0.99865671641790998</v>
      </c>
      <c r="Y18" s="23">
        <v>1.0043771680406</v>
      </c>
      <c r="Z18" s="23">
        <v>0.99898069996906103</v>
      </c>
      <c r="AB18" s="21">
        <v>336.46635129360101</v>
      </c>
      <c r="AC18" s="21">
        <v>334.61594094532001</v>
      </c>
      <c r="AE18" s="22">
        <v>5.7118027002925498E-3</v>
      </c>
      <c r="AF18" s="22">
        <v>1.9708398619568601E-4</v>
      </c>
      <c r="BE18" s="4">
        <f>SUM(BE22:BE176)</f>
        <v>4.1162729802384342E-2</v>
      </c>
      <c r="BF18" s="32">
        <f>BF176</f>
        <v>4.1162729802384342E-2</v>
      </c>
    </row>
    <row r="19" spans="1:122" x14ac:dyDescent="0.25">
      <c r="A19" s="1">
        <v>46050</v>
      </c>
      <c r="B19" s="21">
        <v>336.28</v>
      </c>
      <c r="C19" s="21">
        <v>336.01</v>
      </c>
      <c r="D19" s="22">
        <v>3.81361444202956E-3</v>
      </c>
      <c r="E19" s="22">
        <v>4.3545761962633699E-3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336.28</v>
      </c>
      <c r="M19" s="21">
        <v>336.01</v>
      </c>
      <c r="N19" s="23">
        <v>0.99919709765671405</v>
      </c>
      <c r="O19" s="23">
        <v>1.0043771680406</v>
      </c>
      <c r="P19" s="23">
        <v>0.999037139515074</v>
      </c>
      <c r="R19" s="21">
        <v>337.75195406869301</v>
      </c>
      <c r="S19" s="21">
        <v>335.937229785596</v>
      </c>
      <c r="U19" s="22">
        <v>5.17084094605854E-3</v>
      </c>
      <c r="V19" s="22">
        <v>-2.1659502848650299E-4</v>
      </c>
      <c r="X19" s="23">
        <v>0.99919709765671405</v>
      </c>
      <c r="Y19" s="23">
        <v>1.0043771680406</v>
      </c>
      <c r="Z19" s="23">
        <v>0.999037139515074</v>
      </c>
      <c r="AB19" s="21">
        <v>337.75195406869301</v>
      </c>
      <c r="AC19" s="21">
        <v>335.937229785596</v>
      </c>
      <c r="AE19" s="22">
        <v>5.17084094605854E-3</v>
      </c>
      <c r="AF19" s="22">
        <v>-2.1659502848650299E-4</v>
      </c>
      <c r="AI19" s="5"/>
      <c r="AJ19"/>
      <c r="AK19"/>
      <c r="AL19"/>
      <c r="AM19"/>
      <c r="AN19"/>
      <c r="AO19"/>
      <c r="AP19"/>
      <c r="AQ19" s="4">
        <f>SUM(AQ22:AQ176)</f>
        <v>2.5962125519038204E-2</v>
      </c>
      <c r="AR19" s="4">
        <f>AR176</f>
        <v>2.5962125519038204E-2</v>
      </c>
      <c r="AU19"/>
      <c r="AV19"/>
      <c r="AW19"/>
      <c r="AX19"/>
      <c r="AY19"/>
      <c r="AZ19"/>
      <c r="BA19"/>
      <c r="BB19" s="4">
        <f>SUM(BB22:BB176)</f>
        <v>1.5200604283346138E-2</v>
      </c>
      <c r="BC19" s="4">
        <f>BC176</f>
        <v>1.5200604283346138E-2</v>
      </c>
      <c r="BE19" s="2" t="s">
        <v>37</v>
      </c>
      <c r="BF19" s="2" t="s">
        <v>37</v>
      </c>
      <c r="BH19" s="2"/>
    </row>
    <row r="20" spans="1:122" x14ac:dyDescent="0.25">
      <c r="A20" s="1">
        <v>46051</v>
      </c>
      <c r="B20" s="21">
        <v>338.66</v>
      </c>
      <c r="C20" s="21">
        <v>338.25</v>
      </c>
      <c r="D20" s="22">
        <v>7.05250797009858E-3</v>
      </c>
      <c r="E20" s="22">
        <v>6.6443456258079197E-3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338.66</v>
      </c>
      <c r="M20" s="21">
        <v>338.25</v>
      </c>
      <c r="N20" s="23">
        <v>0.99878934624697302</v>
      </c>
      <c r="O20" s="23">
        <v>1.0043771680406</v>
      </c>
      <c r="P20" s="23">
        <v>0.99905582615428101</v>
      </c>
      <c r="R20" s="21">
        <v>340.14237172863</v>
      </c>
      <c r="S20" s="21">
        <v>338.33391766817499</v>
      </c>
      <c r="U20" s="22">
        <v>5.57900329034934E-3</v>
      </c>
      <c r="V20" s="22">
        <v>2.4806285344325298E-4</v>
      </c>
      <c r="X20" s="23">
        <v>0.99878934624697302</v>
      </c>
      <c r="Y20" s="23">
        <v>1.0043771680406</v>
      </c>
      <c r="Z20" s="23">
        <v>0.99905582615428101</v>
      </c>
      <c r="AB20" s="21">
        <v>340.14237172863</v>
      </c>
      <c r="AC20" s="21">
        <v>338.33391766817499</v>
      </c>
      <c r="AE20" s="22">
        <v>5.57900329034934E-3</v>
      </c>
      <c r="AF20" s="22">
        <v>2.4806285344325298E-4</v>
      </c>
      <c r="AI20" s="14" t="s">
        <v>38</v>
      </c>
      <c r="AJ20" s="2" t="s">
        <v>39</v>
      </c>
      <c r="AK20" s="2" t="s">
        <v>40</v>
      </c>
      <c r="AL20" s="2" t="s">
        <v>41</v>
      </c>
      <c r="AM20" s="2" t="s">
        <v>42</v>
      </c>
      <c r="AN20" s="2" t="s">
        <v>43</v>
      </c>
      <c r="AO20" s="2" t="str">
        <f>D1</f>
        <v>GOOG log rtn</v>
      </c>
      <c r="AP20" s="2" t="str">
        <f>E1</f>
        <v>GOOGL log rtn</v>
      </c>
      <c r="AQ20" s="2" t="s">
        <v>44</v>
      </c>
      <c r="AR20" s="2" t="s">
        <v>45</v>
      </c>
      <c r="AT20" s="14" t="s">
        <v>38</v>
      </c>
      <c r="AU20" s="2" t="s">
        <v>40</v>
      </c>
      <c r="AV20" s="2" t="s">
        <v>39</v>
      </c>
      <c r="AW20" s="2" t="s">
        <v>41</v>
      </c>
      <c r="AX20" s="2" t="s">
        <v>42</v>
      </c>
      <c r="AY20" s="2" t="s">
        <v>43</v>
      </c>
      <c r="AZ20" s="4" t="str">
        <f>D1</f>
        <v>GOOG log rtn</v>
      </c>
      <c r="BA20" s="4" t="str">
        <f>E1</f>
        <v>GOOGL log rtn</v>
      </c>
      <c r="BB20" s="2" t="s">
        <v>44</v>
      </c>
      <c r="BC20" s="2" t="s">
        <v>45</v>
      </c>
      <c r="BE20" s="2" t="s">
        <v>44</v>
      </c>
      <c r="BF20" s="2" t="s">
        <v>45</v>
      </c>
      <c r="BH20" s="2"/>
    </row>
    <row r="21" spans="1:122" x14ac:dyDescent="0.25">
      <c r="A21" s="1">
        <v>46052</v>
      </c>
      <c r="B21" s="21">
        <v>338.53</v>
      </c>
      <c r="C21" s="21">
        <v>338</v>
      </c>
      <c r="D21" s="22">
        <v>-3.8393951947601198E-4</v>
      </c>
      <c r="E21" s="22">
        <v>-7.3937156787863198E-4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338.53</v>
      </c>
      <c r="M21" s="21">
        <v>338</v>
      </c>
      <c r="N21" s="23">
        <v>0.99843440758573798</v>
      </c>
      <c r="O21" s="23">
        <v>1.0043771680406</v>
      </c>
      <c r="P21" s="23">
        <v>0.99901332622369698</v>
      </c>
      <c r="Q21" s="23">
        <v>0.99875362132607404</v>
      </c>
      <c r="R21" s="21">
        <v>340.01180269678503</v>
      </c>
      <c r="S21" s="21">
        <v>338.210368828009</v>
      </c>
      <c r="U21" s="22">
        <v>5.9344353387518201E-3</v>
      </c>
      <c r="V21" s="22">
        <v>6.2219937609146096E-4</v>
      </c>
      <c r="X21" s="23">
        <v>0.99843440758573798</v>
      </c>
      <c r="Y21" s="23">
        <v>1.0043771680406</v>
      </c>
      <c r="Z21" s="23">
        <v>0.99901332622369698</v>
      </c>
      <c r="AA21" s="23">
        <v>0.99875362132607404</v>
      </c>
      <c r="AB21" s="21">
        <v>340.01180269678503</v>
      </c>
      <c r="AC21" s="21">
        <v>338.210368828009</v>
      </c>
      <c r="AE21" s="22">
        <v>5.9344353387518201E-3</v>
      </c>
      <c r="AF21" s="22">
        <v>6.2219937609146096E-4</v>
      </c>
      <c r="AI21" s="15">
        <v>-4.0000000000000001E-3</v>
      </c>
      <c r="AJ21"/>
      <c r="AK21"/>
      <c r="AL21"/>
      <c r="AM21">
        <f>IF(F22+H22&gt;0,0,1)</f>
        <v>1</v>
      </c>
      <c r="AN21" s="16">
        <v>0</v>
      </c>
      <c r="AO21"/>
      <c r="AP21"/>
      <c r="AQ21"/>
      <c r="AR21"/>
      <c r="AT21" s="15">
        <v>5.0000000000000001E-3</v>
      </c>
      <c r="AU21"/>
      <c r="AV21"/>
      <c r="AW21"/>
      <c r="AX21">
        <f>IF(F22+H22&gt;0,0,1)</f>
        <v>1</v>
      </c>
      <c r="AY21" s="16">
        <v>0</v>
      </c>
      <c r="AZ21"/>
      <c r="BA21"/>
      <c r="BB21"/>
      <c r="BC21"/>
    </row>
    <row r="22" spans="1:122" x14ac:dyDescent="0.25">
      <c r="A22" s="1">
        <v>46055</v>
      </c>
      <c r="B22" s="21">
        <v>344.9</v>
      </c>
      <c r="C22" s="21">
        <v>343.69</v>
      </c>
      <c r="D22" s="22">
        <v>1.86418052250765E-2</v>
      </c>
      <c r="E22" s="22">
        <v>1.6694192808386101E-2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344.9</v>
      </c>
      <c r="M22" s="21">
        <v>343.69</v>
      </c>
      <c r="N22" s="23">
        <v>0.99649173673528502</v>
      </c>
      <c r="O22" s="23">
        <v>1.0043771680406</v>
      </c>
      <c r="P22" s="23">
        <v>0.99876542415707903</v>
      </c>
      <c r="Q22" s="23">
        <v>0.99860516490519502</v>
      </c>
      <c r="R22" s="21">
        <v>346.40968525720302</v>
      </c>
      <c r="S22" s="21">
        <v>344.55969621455301</v>
      </c>
      <c r="T22" s="21">
        <v>344.470123995363</v>
      </c>
      <c r="U22" s="22">
        <v>7.8820477554423195E-3</v>
      </c>
      <c r="V22" s="22">
        <v>2.5272707920959499E-3</v>
      </c>
      <c r="W22" s="22">
        <v>2.2672756015618802E-3</v>
      </c>
      <c r="X22" s="23">
        <v>0.99649173673528502</v>
      </c>
      <c r="Y22" s="23">
        <v>1.0043771680406</v>
      </c>
      <c r="Z22" s="23">
        <v>0.99876542415707903</v>
      </c>
      <c r="AA22" s="23">
        <v>0.99860516490519502</v>
      </c>
      <c r="AB22" s="21">
        <v>346.40968525720302</v>
      </c>
      <c r="AC22" s="21">
        <v>344.55969621455301</v>
      </c>
      <c r="AD22" s="21">
        <v>344.470123995363</v>
      </c>
      <c r="AE22" s="22">
        <v>7.8820477554423195E-3</v>
      </c>
      <c r="AF22" s="22">
        <v>2.5272707920959499E-3</v>
      </c>
      <c r="AG22" s="22">
        <v>2.2672756015618802E-3</v>
      </c>
      <c r="AI22" s="15">
        <v>-2E-3</v>
      </c>
      <c r="AJ22">
        <f>IF($AG22&lt;AI$21,1,0)</f>
        <v>0</v>
      </c>
      <c r="AK22">
        <f>IF($AG22&gt;AI$22,1,0)</f>
        <v>1</v>
      </c>
      <c r="AL22">
        <f>AN21</f>
        <v>0</v>
      </c>
      <c r="AM22">
        <f>IF(F23+H23&gt;0,0,1)</f>
        <v>1</v>
      </c>
      <c r="AN22">
        <f>IF(AJ21,1,IF(AK21,0,AL21))*AM21</f>
        <v>0</v>
      </c>
      <c r="AO22" s="17">
        <f>AN22*D22</f>
        <v>0</v>
      </c>
      <c r="AP22" s="17">
        <f>-AN22*$E22</f>
        <v>0</v>
      </c>
      <c r="AQ22" s="17">
        <f>AO22+AP22</f>
        <v>0</v>
      </c>
      <c r="AR22" s="11">
        <f>AR21+AQ22</f>
        <v>0</v>
      </c>
      <c r="AT22" s="15">
        <v>3.0000000000000001E-3</v>
      </c>
      <c r="AU22">
        <f>IF($AG22&gt;AT$21,1,0)</f>
        <v>0</v>
      </c>
      <c r="AV22">
        <f>IF($AG22&lt;AT$22,1,0)</f>
        <v>1</v>
      </c>
      <c r="AW22">
        <f>AY21</f>
        <v>0</v>
      </c>
      <c r="AX22">
        <f>IF(F23+H23&gt;0,0,1)</f>
        <v>1</v>
      </c>
      <c r="AY22">
        <f>IF(AU21,1,IF(AV21,0,AW21))*AX21</f>
        <v>0</v>
      </c>
      <c r="AZ22" s="17">
        <f>-AY22*D22</f>
        <v>0</v>
      </c>
      <c r="BA22" s="17">
        <f>AY22*$E22</f>
        <v>0</v>
      </c>
      <c r="BB22" s="17">
        <f>AZ22+BA22</f>
        <v>0</v>
      </c>
      <c r="BC22" s="11">
        <f>BC21+BB22</f>
        <v>0</v>
      </c>
      <c r="BE22" s="11">
        <f>AQ22+BB22</f>
        <v>0</v>
      </c>
      <c r="BF22" s="11">
        <f>BF21+BE22</f>
        <v>0</v>
      </c>
      <c r="BH22" s="11"/>
    </row>
    <row r="23" spans="1:122" x14ac:dyDescent="0.25">
      <c r="A23" s="1">
        <v>46056</v>
      </c>
      <c r="B23" s="21">
        <v>340.7</v>
      </c>
      <c r="C23" s="21">
        <v>339.71</v>
      </c>
      <c r="D23" s="22">
        <v>-1.2252195275874201E-2</v>
      </c>
      <c r="E23" s="22">
        <v>-1.16477758189668E-2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340.7</v>
      </c>
      <c r="M23" s="21">
        <v>339.71</v>
      </c>
      <c r="N23" s="23">
        <v>0.99709421778690899</v>
      </c>
      <c r="O23" s="23">
        <v>1.0043771680406</v>
      </c>
      <c r="P23" s="23">
        <v>0.99852451069862003</v>
      </c>
      <c r="Q23" s="23">
        <v>0.99858278011825197</v>
      </c>
      <c r="R23" s="21">
        <v>342.19130115143298</v>
      </c>
      <c r="S23" s="21">
        <v>340.279380010316</v>
      </c>
      <c r="T23" s="21">
        <v>340.22477968319998</v>
      </c>
      <c r="U23" s="22">
        <v>7.2776282985348301E-3</v>
      </c>
      <c r="V23" s="22">
        <v>1.67467363498712E-3</v>
      </c>
      <c r="W23" s="22">
        <v>1.5142034116795899E-3</v>
      </c>
      <c r="X23" s="23">
        <v>0.99709421778690899</v>
      </c>
      <c r="Y23" s="23">
        <v>1.0043771680406</v>
      </c>
      <c r="Z23" s="23">
        <v>0.99852451069862003</v>
      </c>
      <c r="AA23" s="23">
        <v>0.99858278011825197</v>
      </c>
      <c r="AB23" s="21">
        <v>342.19130115143298</v>
      </c>
      <c r="AC23" s="21">
        <v>340.279380010316</v>
      </c>
      <c r="AD23" s="21">
        <v>340.22477968319998</v>
      </c>
      <c r="AE23" s="22">
        <v>7.2776282985348301E-3</v>
      </c>
      <c r="AF23" s="22">
        <v>1.67467363498712E-3</v>
      </c>
      <c r="AG23" s="22">
        <v>1.5142034116795899E-3</v>
      </c>
      <c r="AI23" s="5"/>
      <c r="AJ23">
        <f>IF($AG23&lt;AI$21,1,0)</f>
        <v>0</v>
      </c>
      <c r="AK23">
        <f>IF($AG23&gt;AI$22,1,0)</f>
        <v>1</v>
      </c>
      <c r="AL23">
        <f t="shared" ref="AL23:AL86" si="2">AN23</f>
        <v>0</v>
      </c>
      <c r="AM23">
        <f>IF(F24+H24&gt;0,0,1)</f>
        <v>1</v>
      </c>
      <c r="AN23">
        <f t="shared" ref="AN23:AN86" si="3">IF(AJ22,1,IF(AK22,0,AL22))*AM22</f>
        <v>0</v>
      </c>
      <c r="AO23" s="17">
        <f>AN23*D23</f>
        <v>0</v>
      </c>
      <c r="AP23" s="17">
        <f>-AN23*$E23</f>
        <v>0</v>
      </c>
      <c r="AQ23" s="17">
        <f t="shared" ref="AQ23:AQ86" si="4">AO23+AP23</f>
        <v>0</v>
      </c>
      <c r="AR23" s="11">
        <f t="shared" ref="AR23:AR86" si="5">AR22+AQ23</f>
        <v>0</v>
      </c>
      <c r="AT23" s="5"/>
      <c r="AU23">
        <f>IF($AG23&gt;AT$21,1,0)</f>
        <v>0</v>
      </c>
      <c r="AV23">
        <f>IF($AG23&lt;AT$22,1,0)</f>
        <v>1</v>
      </c>
      <c r="AW23">
        <f t="shared" ref="AW23:AW86" si="6">AY23</f>
        <v>0</v>
      </c>
      <c r="AX23">
        <f>IF(F24+H24&gt;0,0,1)</f>
        <v>1</v>
      </c>
      <c r="AY23">
        <f t="shared" ref="AY23:AY86" si="7">IF(AU22,1,IF(AV22,0,AW22))*AX22</f>
        <v>0</v>
      </c>
      <c r="AZ23" s="17">
        <f>-AY23*D23</f>
        <v>0</v>
      </c>
      <c r="BA23" s="17">
        <f>AY23*$E23</f>
        <v>0</v>
      </c>
      <c r="BB23" s="17">
        <f t="shared" ref="BB23:BB86" si="8">AZ23+BA23</f>
        <v>0</v>
      </c>
      <c r="BC23" s="11">
        <f t="shared" ref="BC23:BC86" si="9">BC22+BB23</f>
        <v>0</v>
      </c>
      <c r="BE23" s="11">
        <f t="shared" ref="BE23:BE86" si="10">AQ23+BB23</f>
        <v>0</v>
      </c>
      <c r="BF23" s="11">
        <f t="shared" ref="BF23:BF86" si="11">BF22+BE23</f>
        <v>0</v>
      </c>
      <c r="BH23" s="11"/>
    </row>
    <row r="24" spans="1:122" x14ac:dyDescent="0.25">
      <c r="A24" s="1">
        <v>46057</v>
      </c>
      <c r="B24" s="21">
        <v>333.34</v>
      </c>
      <c r="C24" s="21">
        <v>333.04</v>
      </c>
      <c r="D24" s="22">
        <v>-2.1839334552890902E-2</v>
      </c>
      <c r="E24" s="22">
        <v>-1.9829709585717999E-2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333.34</v>
      </c>
      <c r="M24" s="21">
        <v>333.04</v>
      </c>
      <c r="N24" s="23">
        <v>0.99910001799963999</v>
      </c>
      <c r="O24" s="23">
        <v>1.0043771680406</v>
      </c>
      <c r="P24" s="23">
        <v>0.99843451249858495</v>
      </c>
      <c r="Q24" s="23">
        <v>0.99857116203873997</v>
      </c>
      <c r="R24" s="21">
        <v>334.79908519465403</v>
      </c>
      <c r="S24" s="21">
        <v>332.84816039627799</v>
      </c>
      <c r="T24" s="21">
        <v>332.86758392461797</v>
      </c>
      <c r="U24" s="22">
        <v>5.2680033313619503E-3</v>
      </c>
      <c r="V24" s="22">
        <v>-5.7619168034187299E-4</v>
      </c>
      <c r="W24" s="22">
        <v>-5.1783786037801996E-4</v>
      </c>
      <c r="X24" s="23">
        <v>0.99910001799963999</v>
      </c>
      <c r="Y24" s="23">
        <v>1.0043771680406</v>
      </c>
      <c r="Z24" s="23">
        <v>0.99843451249858495</v>
      </c>
      <c r="AA24" s="23">
        <v>0.99857116203873997</v>
      </c>
      <c r="AB24" s="21">
        <v>334.79908519465403</v>
      </c>
      <c r="AC24" s="21">
        <v>332.84816039627799</v>
      </c>
      <c r="AD24" s="21">
        <v>332.86758392461797</v>
      </c>
      <c r="AE24" s="22">
        <v>5.2680033313619503E-3</v>
      </c>
      <c r="AF24" s="22">
        <v>-5.7619168034187299E-4</v>
      </c>
      <c r="AG24" s="22">
        <v>-5.1783786037801996E-4</v>
      </c>
      <c r="AI24" s="5"/>
      <c r="AJ24">
        <f>IF($AG24&lt;AI$21,1,0)</f>
        <v>0</v>
      </c>
      <c r="AK24">
        <f>IF($AG24&gt;AI$22,1,0)</f>
        <v>1</v>
      </c>
      <c r="AL24">
        <f t="shared" si="2"/>
        <v>0</v>
      </c>
      <c r="AM24">
        <f>IF(F25+H25&gt;0,0,1)</f>
        <v>1</v>
      </c>
      <c r="AN24">
        <f t="shared" si="3"/>
        <v>0</v>
      </c>
      <c r="AO24" s="17">
        <f>AN24*D24</f>
        <v>0</v>
      </c>
      <c r="AP24" s="17">
        <f>-AN24*$E24</f>
        <v>0</v>
      </c>
      <c r="AQ24" s="17">
        <f t="shared" si="4"/>
        <v>0</v>
      </c>
      <c r="AR24" s="11">
        <f t="shared" si="5"/>
        <v>0</v>
      </c>
      <c r="AT24" s="5"/>
      <c r="AU24">
        <f>IF($AG24&gt;AT$21,1,0)</f>
        <v>0</v>
      </c>
      <c r="AV24">
        <f>IF($AG24&lt;AT$22,1,0)</f>
        <v>1</v>
      </c>
      <c r="AW24">
        <f t="shared" si="6"/>
        <v>0</v>
      </c>
      <c r="AX24">
        <f>IF(F25+H25&gt;0,0,1)</f>
        <v>1</v>
      </c>
      <c r="AY24">
        <f t="shared" si="7"/>
        <v>0</v>
      </c>
      <c r="AZ24" s="17">
        <f>-AY24*D24</f>
        <v>0</v>
      </c>
      <c r="BA24" s="17">
        <f>AY24*$E24</f>
        <v>0</v>
      </c>
      <c r="BB24" s="17">
        <f t="shared" si="8"/>
        <v>0</v>
      </c>
      <c r="BC24" s="11">
        <f t="shared" si="9"/>
        <v>0</v>
      </c>
      <c r="BE24" s="11">
        <f t="shared" si="10"/>
        <v>0</v>
      </c>
      <c r="BF24" s="11">
        <f t="shared" si="11"/>
        <v>0</v>
      </c>
      <c r="BH24" s="11"/>
    </row>
    <row r="25" spans="1:122" x14ac:dyDescent="0.25">
      <c r="A25" s="1">
        <v>46058</v>
      </c>
      <c r="B25" s="21">
        <v>331.33</v>
      </c>
      <c r="C25" s="21">
        <v>331.25</v>
      </c>
      <c r="D25" s="22">
        <v>-6.0481325383445004E-3</v>
      </c>
      <c r="E25" s="22">
        <v>-5.3892255862880798E-3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331.33</v>
      </c>
      <c r="M25" s="21">
        <v>331.25</v>
      </c>
      <c r="N25" s="23">
        <v>0.99975854887876103</v>
      </c>
      <c r="O25" s="23">
        <v>1.0043771680406</v>
      </c>
      <c r="P25" s="23">
        <v>0.99850104565994602</v>
      </c>
      <c r="Q25" s="23">
        <v>0.99862887207114603</v>
      </c>
      <c r="R25" s="21">
        <v>332.78028708689197</v>
      </c>
      <c r="S25" s="21">
        <v>330.81130702615599</v>
      </c>
      <c r="T25" s="21">
        <v>330.85658311829502</v>
      </c>
      <c r="U25" s="22">
        <v>4.6090963793054499E-3</v>
      </c>
      <c r="V25" s="22">
        <v>-1.3252338820968199E-3</v>
      </c>
      <c r="W25" s="22">
        <v>-1.18837944837059E-3</v>
      </c>
      <c r="X25" s="23">
        <v>0.99975854887876103</v>
      </c>
      <c r="Y25" s="23">
        <v>1.0043771680406</v>
      </c>
      <c r="Z25" s="23">
        <v>0.99850104565994602</v>
      </c>
      <c r="AA25" s="23">
        <v>0.99862887207114603</v>
      </c>
      <c r="AB25" s="21">
        <v>332.78028708689197</v>
      </c>
      <c r="AC25" s="21">
        <v>330.81130702615599</v>
      </c>
      <c r="AD25" s="21">
        <v>330.85658311829502</v>
      </c>
      <c r="AE25" s="22">
        <v>4.6090963793054499E-3</v>
      </c>
      <c r="AF25" s="22">
        <v>-1.3252338820968199E-3</v>
      </c>
      <c r="AG25" s="22">
        <v>-1.18837944837059E-3</v>
      </c>
      <c r="AI25" s="5"/>
      <c r="AJ25">
        <f>IF($AG25&lt;AI$21,1,0)</f>
        <v>0</v>
      </c>
      <c r="AK25">
        <f>IF($AG25&gt;AI$22,1,0)</f>
        <v>1</v>
      </c>
      <c r="AL25">
        <f t="shared" si="2"/>
        <v>0</v>
      </c>
      <c r="AM25">
        <f>IF(F26+H26&gt;0,0,1)</f>
        <v>1</v>
      </c>
      <c r="AN25">
        <f t="shared" si="3"/>
        <v>0</v>
      </c>
      <c r="AO25" s="17">
        <f>AN25*D25</f>
        <v>0</v>
      </c>
      <c r="AP25" s="17">
        <f>-AN25*$E25</f>
        <v>0</v>
      </c>
      <c r="AQ25" s="17">
        <f t="shared" si="4"/>
        <v>0</v>
      </c>
      <c r="AR25" s="11">
        <f t="shared" si="5"/>
        <v>0</v>
      </c>
      <c r="AT25" s="5"/>
      <c r="AU25">
        <f>IF($AG25&gt;AT$21,1,0)</f>
        <v>0</v>
      </c>
      <c r="AV25">
        <f>IF($AG25&lt;AT$22,1,0)</f>
        <v>1</v>
      </c>
      <c r="AW25">
        <f t="shared" si="6"/>
        <v>0</v>
      </c>
      <c r="AX25">
        <f>IF(F26+H26&gt;0,0,1)</f>
        <v>1</v>
      </c>
      <c r="AY25">
        <f t="shared" si="7"/>
        <v>0</v>
      </c>
      <c r="AZ25" s="17">
        <f>-AY25*D25</f>
        <v>0</v>
      </c>
      <c r="BA25" s="17">
        <f>AY25*$E25</f>
        <v>0</v>
      </c>
      <c r="BB25" s="17">
        <f t="shared" si="8"/>
        <v>0</v>
      </c>
      <c r="BC25" s="11">
        <f t="shared" si="9"/>
        <v>0</v>
      </c>
      <c r="BE25" s="11">
        <f t="shared" si="10"/>
        <v>0</v>
      </c>
      <c r="BF25" s="11">
        <f t="shared" si="11"/>
        <v>0</v>
      </c>
      <c r="BH25" s="11"/>
      <c r="DL25" s="7"/>
      <c r="DM25" s="7"/>
      <c r="DN25" s="7"/>
      <c r="DO25" s="7"/>
      <c r="DP25" s="7"/>
      <c r="DR25" s="7"/>
    </row>
    <row r="26" spans="1:122" x14ac:dyDescent="0.25">
      <c r="A26" s="1">
        <v>46059</v>
      </c>
      <c r="B26" s="21">
        <v>323.10000000000002</v>
      </c>
      <c r="C26" s="21">
        <v>322.86</v>
      </c>
      <c r="D26" s="22">
        <v>-2.5152984745232799E-2</v>
      </c>
      <c r="E26" s="22">
        <v>-2.5654584571048501E-2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323.10000000000002</v>
      </c>
      <c r="M26" s="21">
        <v>322.86</v>
      </c>
      <c r="N26" s="23">
        <v>0.99925719591457696</v>
      </c>
      <c r="O26" s="23">
        <v>1.0043771680406</v>
      </c>
      <c r="P26" s="23">
        <v>0.99857900469359895</v>
      </c>
      <c r="Q26" s="23">
        <v>0.99867915249814398</v>
      </c>
      <c r="R26" s="21">
        <v>324.51426299391801</v>
      </c>
      <c r="S26" s="21">
        <v>322.615687852728</v>
      </c>
      <c r="T26" s="21">
        <v>322.65698856618701</v>
      </c>
      <c r="U26" s="22">
        <v>5.1106962051214802E-3</v>
      </c>
      <c r="V26" s="22">
        <v>-7.5699879495316801E-4</v>
      </c>
      <c r="W26" s="22">
        <v>-6.2898868380340304E-4</v>
      </c>
      <c r="X26" s="23">
        <v>0.99925719591457696</v>
      </c>
      <c r="Y26" s="23">
        <v>1.0043771680406</v>
      </c>
      <c r="Z26" s="23">
        <v>0.99857900469359895</v>
      </c>
      <c r="AA26" s="23">
        <v>0.99867915249814398</v>
      </c>
      <c r="AB26" s="21">
        <v>324.51426299391801</v>
      </c>
      <c r="AC26" s="21">
        <v>322.615687852728</v>
      </c>
      <c r="AD26" s="21">
        <v>322.65698856618701</v>
      </c>
      <c r="AE26" s="22">
        <v>5.1106962051214802E-3</v>
      </c>
      <c r="AF26" s="22">
        <v>-7.5699879495316801E-4</v>
      </c>
      <c r="AG26" s="22">
        <v>-6.2898868380340304E-4</v>
      </c>
      <c r="AI26" s="5"/>
      <c r="AJ26">
        <f>IF($AG26&lt;AI$21,1,0)</f>
        <v>0</v>
      </c>
      <c r="AK26">
        <f>IF($AG26&gt;AI$22,1,0)</f>
        <v>1</v>
      </c>
      <c r="AL26">
        <f t="shared" si="2"/>
        <v>0</v>
      </c>
      <c r="AM26">
        <f>IF(F27+H27&gt;0,0,1)</f>
        <v>1</v>
      </c>
      <c r="AN26">
        <f t="shared" si="3"/>
        <v>0</v>
      </c>
      <c r="AO26" s="17">
        <f>AN26*D26</f>
        <v>0</v>
      </c>
      <c r="AP26" s="17">
        <f>-AN26*$E26</f>
        <v>0</v>
      </c>
      <c r="AQ26" s="17">
        <f t="shared" si="4"/>
        <v>0</v>
      </c>
      <c r="AR26" s="11">
        <f t="shared" si="5"/>
        <v>0</v>
      </c>
      <c r="AT26" s="5"/>
      <c r="AU26">
        <f>IF($AG26&gt;AT$21,1,0)</f>
        <v>0</v>
      </c>
      <c r="AV26">
        <f>IF($AG26&lt;AT$22,1,0)</f>
        <v>1</v>
      </c>
      <c r="AW26">
        <f t="shared" si="6"/>
        <v>0</v>
      </c>
      <c r="AX26">
        <f>IF(F27+H27&gt;0,0,1)</f>
        <v>1</v>
      </c>
      <c r="AY26">
        <f t="shared" si="7"/>
        <v>0</v>
      </c>
      <c r="AZ26" s="17">
        <f>-AY26*D26</f>
        <v>0</v>
      </c>
      <c r="BA26" s="17">
        <f>AY26*$E26</f>
        <v>0</v>
      </c>
      <c r="BB26" s="17">
        <f t="shared" si="8"/>
        <v>0</v>
      </c>
      <c r="BC26" s="11">
        <f t="shared" si="9"/>
        <v>0</v>
      </c>
      <c r="BE26" s="11">
        <f t="shared" si="10"/>
        <v>0</v>
      </c>
      <c r="BF26" s="11">
        <f t="shared" si="11"/>
        <v>0</v>
      </c>
      <c r="BH26" s="11"/>
      <c r="DL26" s="7"/>
      <c r="DM26" s="8"/>
      <c r="DN26" s="8"/>
      <c r="DO26" s="8"/>
      <c r="DP26" s="8"/>
      <c r="DR26" s="8"/>
    </row>
    <row r="27" spans="1:122" x14ac:dyDescent="0.25">
      <c r="A27" s="1">
        <v>46062</v>
      </c>
      <c r="B27" s="21">
        <v>324.39999999999998</v>
      </c>
      <c r="C27" s="21">
        <v>324.32</v>
      </c>
      <c r="D27" s="22">
        <v>4.0154494108051901E-3</v>
      </c>
      <c r="E27" s="22">
        <v>4.5118899743065901E-3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324.39999999999998</v>
      </c>
      <c r="M27" s="21">
        <v>324.32</v>
      </c>
      <c r="N27" s="23">
        <v>0.999753390875462</v>
      </c>
      <c r="O27" s="23">
        <v>1.0043771680406</v>
      </c>
      <c r="P27" s="23">
        <v>0.998653267609797</v>
      </c>
      <c r="Q27" s="23">
        <v>0.99875341133522699</v>
      </c>
      <c r="R27" s="21">
        <v>325.81995331237101</v>
      </c>
      <c r="S27" s="21">
        <v>323.93902912260302</v>
      </c>
      <c r="T27" s="21">
        <v>323.97151707039802</v>
      </c>
      <c r="U27" s="22">
        <v>4.6142556416200898E-3</v>
      </c>
      <c r="V27" s="22">
        <v>-1.1753663401215099E-3</v>
      </c>
      <c r="W27" s="22">
        <v>-1.07508105224409E-3</v>
      </c>
      <c r="X27" s="23">
        <v>0.999753390875462</v>
      </c>
      <c r="Y27" s="23">
        <v>1.0043771680406</v>
      </c>
      <c r="Z27" s="23">
        <v>0.998653267609797</v>
      </c>
      <c r="AA27" s="23">
        <v>0.99875341133522699</v>
      </c>
      <c r="AB27" s="21">
        <v>325.81995331237101</v>
      </c>
      <c r="AC27" s="21">
        <v>323.93902912260302</v>
      </c>
      <c r="AD27" s="21">
        <v>323.97151707039802</v>
      </c>
      <c r="AE27" s="22">
        <v>4.6142556416200898E-3</v>
      </c>
      <c r="AF27" s="22">
        <v>-1.1753663401215099E-3</v>
      </c>
      <c r="AG27" s="22">
        <v>-1.07508105224409E-3</v>
      </c>
      <c r="AI27" s="5"/>
      <c r="AJ27">
        <f>IF($AG27&lt;AI$21,1,0)</f>
        <v>0</v>
      </c>
      <c r="AK27">
        <f>IF($AG27&gt;AI$22,1,0)</f>
        <v>1</v>
      </c>
      <c r="AL27">
        <f t="shared" si="2"/>
        <v>0</v>
      </c>
      <c r="AM27">
        <f>IF(F28+H28&gt;0,0,1)</f>
        <v>1</v>
      </c>
      <c r="AN27">
        <f t="shared" si="3"/>
        <v>0</v>
      </c>
      <c r="AO27" s="17">
        <f>AN27*D27</f>
        <v>0</v>
      </c>
      <c r="AP27" s="17">
        <f>-AN27*$E27</f>
        <v>0</v>
      </c>
      <c r="AQ27" s="17">
        <f t="shared" si="4"/>
        <v>0</v>
      </c>
      <c r="AR27" s="11">
        <f t="shared" si="5"/>
        <v>0</v>
      </c>
      <c r="AT27" s="5"/>
      <c r="AU27">
        <f>IF($AG27&gt;AT$21,1,0)</f>
        <v>0</v>
      </c>
      <c r="AV27">
        <f>IF($AG27&lt;AT$22,1,0)</f>
        <v>1</v>
      </c>
      <c r="AW27">
        <f t="shared" si="6"/>
        <v>0</v>
      </c>
      <c r="AX27">
        <f>IF(F28+H28&gt;0,0,1)</f>
        <v>1</v>
      </c>
      <c r="AY27">
        <f t="shared" si="7"/>
        <v>0</v>
      </c>
      <c r="AZ27" s="17">
        <f>-AY27*D27</f>
        <v>0</v>
      </c>
      <c r="BA27" s="17">
        <f>AY27*$E27</f>
        <v>0</v>
      </c>
      <c r="BB27" s="17">
        <f t="shared" si="8"/>
        <v>0</v>
      </c>
      <c r="BC27" s="11">
        <f t="shared" si="9"/>
        <v>0</v>
      </c>
      <c r="BE27" s="11">
        <f t="shared" si="10"/>
        <v>0</v>
      </c>
      <c r="BF27" s="11">
        <f t="shared" si="11"/>
        <v>0</v>
      </c>
      <c r="BH27" s="11"/>
      <c r="DL27" s="7"/>
      <c r="DM27" s="8"/>
      <c r="DN27" s="8"/>
      <c r="DO27" s="8"/>
      <c r="DP27" s="8"/>
      <c r="DR27" s="8"/>
    </row>
    <row r="28" spans="1:122" x14ac:dyDescent="0.25">
      <c r="A28" s="1">
        <v>46063</v>
      </c>
      <c r="B28" s="21">
        <v>318.63</v>
      </c>
      <c r="C28" s="21">
        <v>318.58</v>
      </c>
      <c r="D28" s="22">
        <v>-1.7946767239699801E-2</v>
      </c>
      <c r="E28" s="22">
        <v>-1.78570618371976E-2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318.63</v>
      </c>
      <c r="M28" s="21">
        <v>318.58</v>
      </c>
      <c r="N28" s="23">
        <v>0.99984307817845097</v>
      </c>
      <c r="O28" s="23">
        <v>1.0043771680406</v>
      </c>
      <c r="P28" s="23">
        <v>0.99877190378585101</v>
      </c>
      <c r="Q28" s="23">
        <v>0.99887630187745602</v>
      </c>
      <c r="R28" s="21">
        <v>320.02469705277701</v>
      </c>
      <c r="S28" s="21">
        <v>318.20089065850902</v>
      </c>
      <c r="T28" s="21">
        <v>318.23279945374298</v>
      </c>
      <c r="U28" s="22">
        <v>4.5245502391177798E-3</v>
      </c>
      <c r="V28" s="22">
        <v>-1.1907059142098201E-3</v>
      </c>
      <c r="W28" s="22">
        <v>-1.0904321676863901E-3</v>
      </c>
      <c r="X28" s="23">
        <v>0.99984307817845097</v>
      </c>
      <c r="Y28" s="23">
        <v>1.0043771680406</v>
      </c>
      <c r="Z28" s="23">
        <v>0.99877190378585101</v>
      </c>
      <c r="AA28" s="23">
        <v>0.99887630187745602</v>
      </c>
      <c r="AB28" s="21">
        <v>320.02469705277701</v>
      </c>
      <c r="AC28" s="21">
        <v>318.20089065850902</v>
      </c>
      <c r="AD28" s="21">
        <v>318.23279945374298</v>
      </c>
      <c r="AE28" s="22">
        <v>4.5245502391177798E-3</v>
      </c>
      <c r="AF28" s="22">
        <v>-1.1907059142098201E-3</v>
      </c>
      <c r="AG28" s="22">
        <v>-1.0904321676863901E-3</v>
      </c>
      <c r="AI28" s="5"/>
      <c r="AJ28">
        <f>IF($AG28&lt;AI$21,1,0)</f>
        <v>0</v>
      </c>
      <c r="AK28">
        <f>IF($AG28&gt;AI$22,1,0)</f>
        <v>1</v>
      </c>
      <c r="AL28">
        <f t="shared" si="2"/>
        <v>0</v>
      </c>
      <c r="AM28">
        <f>IF(F29+H29&gt;0,0,1)</f>
        <v>1</v>
      </c>
      <c r="AN28">
        <f t="shared" si="3"/>
        <v>0</v>
      </c>
      <c r="AO28" s="17">
        <f>AN28*D28</f>
        <v>0</v>
      </c>
      <c r="AP28" s="17">
        <f>-AN28*$E28</f>
        <v>0</v>
      </c>
      <c r="AQ28" s="17">
        <f t="shared" si="4"/>
        <v>0</v>
      </c>
      <c r="AR28" s="11">
        <f t="shared" si="5"/>
        <v>0</v>
      </c>
      <c r="AT28" s="5"/>
      <c r="AU28">
        <f>IF($AG28&gt;AT$21,1,0)</f>
        <v>0</v>
      </c>
      <c r="AV28">
        <f>IF($AG28&lt;AT$22,1,0)</f>
        <v>1</v>
      </c>
      <c r="AW28">
        <f t="shared" si="6"/>
        <v>0</v>
      </c>
      <c r="AX28">
        <f>IF(F29+H29&gt;0,0,1)</f>
        <v>1</v>
      </c>
      <c r="AY28">
        <f t="shared" si="7"/>
        <v>0</v>
      </c>
      <c r="AZ28" s="17">
        <f>-AY28*D28</f>
        <v>0</v>
      </c>
      <c r="BA28" s="17">
        <f>AY28*$E28</f>
        <v>0</v>
      </c>
      <c r="BB28" s="17">
        <f t="shared" si="8"/>
        <v>0</v>
      </c>
      <c r="BC28" s="11">
        <f t="shared" si="9"/>
        <v>0</v>
      </c>
      <c r="BE28" s="11">
        <f t="shared" si="10"/>
        <v>0</v>
      </c>
      <c r="BF28" s="11">
        <f t="shared" si="11"/>
        <v>0</v>
      </c>
      <c r="BH28" s="11"/>
      <c r="DL28" s="7"/>
      <c r="DM28" s="8"/>
      <c r="DN28" s="8"/>
      <c r="DO28" s="8"/>
      <c r="DP28" s="10"/>
      <c r="DR28" s="8"/>
    </row>
    <row r="29" spans="1:122" x14ac:dyDescent="0.25">
      <c r="A29" s="1">
        <v>46064</v>
      </c>
      <c r="B29" s="21">
        <v>311.33</v>
      </c>
      <c r="C29" s="21">
        <v>310.95999999999998</v>
      </c>
      <c r="D29" s="22">
        <v>-2.3177112136257099E-2</v>
      </c>
      <c r="E29" s="22">
        <v>-2.4209334322524399E-2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311.33</v>
      </c>
      <c r="M29" s="21">
        <v>310.95999999999998</v>
      </c>
      <c r="N29" s="23">
        <v>0.99881155044486503</v>
      </c>
      <c r="O29" s="23">
        <v>1.0043771680406</v>
      </c>
      <c r="P29" s="23">
        <v>0.99873334906466604</v>
      </c>
      <c r="Q29" s="23">
        <v>0.99888524428987002</v>
      </c>
      <c r="R29" s="21">
        <v>312.69274372607998</v>
      </c>
      <c r="S29" s="21">
        <v>310.94765680564899</v>
      </c>
      <c r="T29" s="21">
        <v>310.98015906350798</v>
      </c>
      <c r="U29" s="22">
        <v>5.5567724253852303E-3</v>
      </c>
      <c r="V29" s="22">
        <v>-3.9694620953556901E-5</v>
      </c>
      <c r="W29" s="22">
        <v>6.4826376691997194E-5</v>
      </c>
      <c r="X29" s="23">
        <v>0.99881155044486503</v>
      </c>
      <c r="Y29" s="23">
        <v>1.0043771680406</v>
      </c>
      <c r="Z29" s="23">
        <v>0.99873334906466604</v>
      </c>
      <c r="AA29" s="23">
        <v>0.99888524428987002</v>
      </c>
      <c r="AB29" s="21">
        <v>312.69274372607998</v>
      </c>
      <c r="AC29" s="21">
        <v>310.94765680564899</v>
      </c>
      <c r="AD29" s="21">
        <v>310.98015906350798</v>
      </c>
      <c r="AE29" s="22">
        <v>5.5567724253852303E-3</v>
      </c>
      <c r="AF29" s="22">
        <v>-3.9694620953556901E-5</v>
      </c>
      <c r="AG29" s="22">
        <v>6.4826376691997194E-5</v>
      </c>
      <c r="AI29" s="5"/>
      <c r="AJ29">
        <f>IF($AG29&lt;AI$21,1,0)</f>
        <v>0</v>
      </c>
      <c r="AK29">
        <f>IF($AG29&gt;AI$22,1,0)</f>
        <v>1</v>
      </c>
      <c r="AL29">
        <f t="shared" si="2"/>
        <v>0</v>
      </c>
      <c r="AM29">
        <f>IF(F30+H30&gt;0,0,1)</f>
        <v>1</v>
      </c>
      <c r="AN29">
        <f t="shared" si="3"/>
        <v>0</v>
      </c>
      <c r="AO29" s="17">
        <f>AN29*D29</f>
        <v>0</v>
      </c>
      <c r="AP29" s="17">
        <f>-AN29*$E29</f>
        <v>0</v>
      </c>
      <c r="AQ29" s="17">
        <f t="shared" si="4"/>
        <v>0</v>
      </c>
      <c r="AR29" s="11">
        <f t="shared" si="5"/>
        <v>0</v>
      </c>
      <c r="AT29" s="5"/>
      <c r="AU29">
        <f>IF($AG29&gt;AT$21,1,0)</f>
        <v>0</v>
      </c>
      <c r="AV29">
        <f>IF($AG29&lt;AT$22,1,0)</f>
        <v>1</v>
      </c>
      <c r="AW29">
        <f t="shared" si="6"/>
        <v>0</v>
      </c>
      <c r="AX29">
        <f>IF(F30+H30&gt;0,0,1)</f>
        <v>1</v>
      </c>
      <c r="AY29">
        <f t="shared" si="7"/>
        <v>0</v>
      </c>
      <c r="AZ29" s="17">
        <f>-AY29*D29</f>
        <v>0</v>
      </c>
      <c r="BA29" s="17">
        <f>AY29*$E29</f>
        <v>0</v>
      </c>
      <c r="BB29" s="17">
        <f t="shared" si="8"/>
        <v>0</v>
      </c>
      <c r="BC29" s="11">
        <f t="shared" si="9"/>
        <v>0</v>
      </c>
      <c r="BE29" s="11">
        <f t="shared" si="10"/>
        <v>0</v>
      </c>
      <c r="BF29" s="11">
        <f t="shared" si="11"/>
        <v>0</v>
      </c>
      <c r="BH29" s="11"/>
      <c r="DL29" s="7"/>
      <c r="DM29" s="8"/>
      <c r="DN29" s="8"/>
      <c r="DO29" s="8"/>
      <c r="DP29" s="8"/>
      <c r="DR29" s="8"/>
    </row>
    <row r="30" spans="1:122" x14ac:dyDescent="0.25">
      <c r="A30" s="1">
        <v>46065</v>
      </c>
      <c r="B30" s="21">
        <v>309.37</v>
      </c>
      <c r="C30" s="21">
        <v>309</v>
      </c>
      <c r="D30" s="22">
        <v>-6.3154712891079099E-3</v>
      </c>
      <c r="E30" s="22">
        <v>-6.3230096462221601E-3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309.37</v>
      </c>
      <c r="M30" s="21">
        <v>309</v>
      </c>
      <c r="N30" s="23">
        <v>0.99880402107508803</v>
      </c>
      <c r="O30" s="23">
        <v>1.0043771680406</v>
      </c>
      <c r="P30" s="23">
        <v>0.99873481654747798</v>
      </c>
      <c r="Q30" s="23">
        <v>0.998895321350879</v>
      </c>
      <c r="R30" s="21">
        <v>310.724164476721</v>
      </c>
      <c r="S30" s="21">
        <v>308.978136200135</v>
      </c>
      <c r="T30" s="21">
        <v>309.02512802595697</v>
      </c>
      <c r="U30" s="22">
        <v>5.56431078249947E-3</v>
      </c>
      <c r="V30" s="22">
        <v>-7.0759137233282306E-5</v>
      </c>
      <c r="W30" s="22">
        <v>8.13171660229541E-5</v>
      </c>
      <c r="X30" s="23">
        <v>0.99880402107508803</v>
      </c>
      <c r="Y30" s="23">
        <v>1.0043771680406</v>
      </c>
      <c r="Z30" s="23">
        <v>0.99873481654747798</v>
      </c>
      <c r="AA30" s="23">
        <v>0.998895321350879</v>
      </c>
      <c r="AB30" s="21">
        <v>310.724164476721</v>
      </c>
      <c r="AC30" s="21">
        <v>308.978136200135</v>
      </c>
      <c r="AD30" s="21">
        <v>309.02512802595697</v>
      </c>
      <c r="AE30" s="22">
        <v>5.56431078249947E-3</v>
      </c>
      <c r="AF30" s="22">
        <v>-7.0759137233282306E-5</v>
      </c>
      <c r="AG30" s="22">
        <v>8.13171660229541E-5</v>
      </c>
      <c r="AI30" s="5"/>
      <c r="AJ30">
        <f>IF($AG30&lt;AI$21,1,0)</f>
        <v>0</v>
      </c>
      <c r="AK30">
        <f>IF($AG30&gt;AI$22,1,0)</f>
        <v>1</v>
      </c>
      <c r="AL30">
        <f t="shared" si="2"/>
        <v>0</v>
      </c>
      <c r="AM30">
        <f>IF(F31+H31&gt;0,0,1)</f>
        <v>1</v>
      </c>
      <c r="AN30">
        <f t="shared" si="3"/>
        <v>0</v>
      </c>
      <c r="AO30" s="17">
        <f>AN30*D30</f>
        <v>0</v>
      </c>
      <c r="AP30" s="17">
        <f>-AN30*$E30</f>
        <v>0</v>
      </c>
      <c r="AQ30" s="17">
        <f t="shared" si="4"/>
        <v>0</v>
      </c>
      <c r="AR30" s="11">
        <f t="shared" si="5"/>
        <v>0</v>
      </c>
      <c r="AT30" s="5"/>
      <c r="AU30">
        <f>IF($AG30&gt;AT$21,1,0)</f>
        <v>0</v>
      </c>
      <c r="AV30">
        <f>IF($AG30&lt;AT$22,1,0)</f>
        <v>1</v>
      </c>
      <c r="AW30">
        <f t="shared" si="6"/>
        <v>0</v>
      </c>
      <c r="AX30">
        <f>IF(F31+H31&gt;0,0,1)</f>
        <v>1</v>
      </c>
      <c r="AY30">
        <f t="shared" si="7"/>
        <v>0</v>
      </c>
      <c r="AZ30" s="17">
        <f>-AY30*D30</f>
        <v>0</v>
      </c>
      <c r="BA30" s="17">
        <f>AY30*$E30</f>
        <v>0</v>
      </c>
      <c r="BB30" s="17">
        <f t="shared" si="8"/>
        <v>0</v>
      </c>
      <c r="BC30" s="11">
        <f t="shared" si="9"/>
        <v>0</v>
      </c>
      <c r="BE30" s="11">
        <f t="shared" si="10"/>
        <v>0</v>
      </c>
      <c r="BF30" s="11">
        <f t="shared" si="11"/>
        <v>0</v>
      </c>
      <c r="BH30" s="11"/>
      <c r="DL30" s="7"/>
      <c r="DM30" s="8"/>
      <c r="DN30" s="8"/>
      <c r="DO30" s="8"/>
      <c r="DP30" s="8"/>
      <c r="DR30" s="8"/>
    </row>
    <row r="31" spans="1:122" x14ac:dyDescent="0.25">
      <c r="A31" s="1">
        <v>46066</v>
      </c>
      <c r="B31" s="21">
        <v>306.02</v>
      </c>
      <c r="C31" s="21">
        <v>305.72000000000003</v>
      </c>
      <c r="D31" s="22">
        <v>-1.0887512282525399E-2</v>
      </c>
      <c r="E31" s="22">
        <v>-1.0671626523062E-2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306.02</v>
      </c>
      <c r="M31" s="21">
        <v>305.72000000000003</v>
      </c>
      <c r="N31" s="23">
        <v>0.99901967191686802</v>
      </c>
      <c r="O31" s="23">
        <v>1.0043771680406</v>
      </c>
      <c r="P31" s="23">
        <v>0.99879334298059097</v>
      </c>
      <c r="Q31" s="23">
        <v>0.99890333460214398</v>
      </c>
      <c r="R31" s="21">
        <v>307.35950096378502</v>
      </c>
      <c r="S31" s="21">
        <v>305.63282855985898</v>
      </c>
      <c r="T31" s="21">
        <v>305.68194623979599</v>
      </c>
      <c r="U31" s="22">
        <v>5.3484250230359997E-3</v>
      </c>
      <c r="V31" s="22">
        <v>-2.8517555381868702E-4</v>
      </c>
      <c r="W31" s="22">
        <v>-1.2448033731978501E-4</v>
      </c>
      <c r="X31" s="23">
        <v>0.99901967191686802</v>
      </c>
      <c r="Y31" s="23">
        <v>1.0043771680406</v>
      </c>
      <c r="Z31" s="23">
        <v>0.99879334298059097</v>
      </c>
      <c r="AA31" s="23">
        <v>0.99890333460214398</v>
      </c>
      <c r="AB31" s="21">
        <v>307.35950096378502</v>
      </c>
      <c r="AC31" s="21">
        <v>305.63282855985898</v>
      </c>
      <c r="AD31" s="21">
        <v>305.68194623979599</v>
      </c>
      <c r="AE31" s="22">
        <v>5.3484250230359997E-3</v>
      </c>
      <c r="AF31" s="22">
        <v>-2.8517555381868702E-4</v>
      </c>
      <c r="AG31" s="22">
        <v>-1.2448033731978501E-4</v>
      </c>
      <c r="AI31" s="5"/>
      <c r="AJ31">
        <f>IF($AG31&lt;AI$21,1,0)</f>
        <v>0</v>
      </c>
      <c r="AK31">
        <f>IF($AG31&gt;AI$22,1,0)</f>
        <v>1</v>
      </c>
      <c r="AL31">
        <f t="shared" si="2"/>
        <v>0</v>
      </c>
      <c r="AM31">
        <f>IF(F32+H32&gt;0,0,1)</f>
        <v>1</v>
      </c>
      <c r="AN31">
        <f t="shared" si="3"/>
        <v>0</v>
      </c>
      <c r="AO31" s="17">
        <f>AN31*D31</f>
        <v>0</v>
      </c>
      <c r="AP31" s="17">
        <f>-AN31*$E31</f>
        <v>0</v>
      </c>
      <c r="AQ31" s="17">
        <f t="shared" si="4"/>
        <v>0</v>
      </c>
      <c r="AR31" s="11">
        <f t="shared" si="5"/>
        <v>0</v>
      </c>
      <c r="AT31" s="5"/>
      <c r="AU31">
        <f>IF($AG31&gt;AT$21,1,0)</f>
        <v>0</v>
      </c>
      <c r="AV31">
        <f>IF($AG31&lt;AT$22,1,0)</f>
        <v>1</v>
      </c>
      <c r="AW31">
        <f t="shared" si="6"/>
        <v>0</v>
      </c>
      <c r="AX31">
        <f>IF(F32+H32&gt;0,0,1)</f>
        <v>1</v>
      </c>
      <c r="AY31">
        <f t="shared" si="7"/>
        <v>0</v>
      </c>
      <c r="AZ31" s="17">
        <f>-AY31*D31</f>
        <v>0</v>
      </c>
      <c r="BA31" s="17">
        <f>AY31*$E31</f>
        <v>0</v>
      </c>
      <c r="BB31" s="17">
        <f t="shared" si="8"/>
        <v>0</v>
      </c>
      <c r="BC31" s="11">
        <f t="shared" si="9"/>
        <v>0</v>
      </c>
      <c r="BE31" s="11">
        <f t="shared" si="10"/>
        <v>0</v>
      </c>
      <c r="BF31" s="11">
        <f t="shared" si="11"/>
        <v>0</v>
      </c>
      <c r="BH31" s="11"/>
      <c r="DL31" s="7"/>
      <c r="DM31" s="8"/>
      <c r="DN31" s="8"/>
      <c r="DO31" s="8"/>
      <c r="DP31" s="8"/>
      <c r="DR31" s="8"/>
    </row>
    <row r="32" spans="1:122" x14ac:dyDescent="0.25">
      <c r="A32" s="1">
        <v>46070</v>
      </c>
      <c r="B32" s="21">
        <v>302.82</v>
      </c>
      <c r="C32" s="21">
        <v>302.02</v>
      </c>
      <c r="D32" s="22">
        <v>-1.0511889713441301E-2</v>
      </c>
      <c r="E32" s="22">
        <v>-1.21764100270404E-2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302.82</v>
      </c>
      <c r="M32" s="21">
        <v>302.02</v>
      </c>
      <c r="N32" s="23">
        <v>0.99735816656759702</v>
      </c>
      <c r="O32" s="23">
        <v>1.0043771680406</v>
      </c>
      <c r="P32" s="23">
        <v>0.99887998596382199</v>
      </c>
      <c r="Q32" s="23">
        <v>0.99882270506045001</v>
      </c>
      <c r="R32" s="21">
        <v>304.14549402605502</v>
      </c>
      <c r="S32" s="21">
        <v>302.45460012138199</v>
      </c>
      <c r="T32" s="21">
        <v>302.48790778422102</v>
      </c>
      <c r="U32" s="22">
        <v>7.0129453366350302E-3</v>
      </c>
      <c r="V32" s="22">
        <v>1.43794361642273E-3</v>
      </c>
      <c r="W32" s="22">
        <v>1.54806205722387E-3</v>
      </c>
      <c r="X32" s="23">
        <v>0.99735816656759702</v>
      </c>
      <c r="Y32" s="23">
        <v>1.0043771680406</v>
      </c>
      <c r="Z32" s="23">
        <v>0.99887998596382199</v>
      </c>
      <c r="AA32" s="23">
        <v>0.99882270506045001</v>
      </c>
      <c r="AB32" s="21">
        <v>304.14549402605502</v>
      </c>
      <c r="AC32" s="21">
        <v>302.45460012138199</v>
      </c>
      <c r="AD32" s="21">
        <v>302.48790778422102</v>
      </c>
      <c r="AE32" s="22">
        <v>7.0129453366350302E-3</v>
      </c>
      <c r="AF32" s="22">
        <v>1.43794361642273E-3</v>
      </c>
      <c r="AG32" s="22">
        <v>1.54806205722387E-3</v>
      </c>
      <c r="AI32" s="5"/>
      <c r="AJ32">
        <f>IF($AG32&lt;AI$21,1,0)</f>
        <v>0</v>
      </c>
      <c r="AK32">
        <f>IF($AG32&gt;AI$22,1,0)</f>
        <v>1</v>
      </c>
      <c r="AL32">
        <f t="shared" si="2"/>
        <v>0</v>
      </c>
      <c r="AM32">
        <f>IF(F33+H33&gt;0,0,1)</f>
        <v>1</v>
      </c>
      <c r="AN32">
        <f t="shared" si="3"/>
        <v>0</v>
      </c>
      <c r="AO32" s="17">
        <f>AN32*D32</f>
        <v>0</v>
      </c>
      <c r="AP32" s="17">
        <f>-AN32*$E32</f>
        <v>0</v>
      </c>
      <c r="AQ32" s="17">
        <f t="shared" si="4"/>
        <v>0</v>
      </c>
      <c r="AR32" s="11">
        <f t="shared" si="5"/>
        <v>0</v>
      </c>
      <c r="AT32" s="5"/>
      <c r="AU32">
        <f>IF($AG32&gt;AT$21,1,0)</f>
        <v>0</v>
      </c>
      <c r="AV32">
        <f>IF($AG32&lt;AT$22,1,0)</f>
        <v>1</v>
      </c>
      <c r="AW32">
        <f t="shared" si="6"/>
        <v>0</v>
      </c>
      <c r="AX32">
        <f>IF(F33+H33&gt;0,0,1)</f>
        <v>1</v>
      </c>
      <c r="AY32">
        <f t="shared" si="7"/>
        <v>0</v>
      </c>
      <c r="AZ32" s="17">
        <f>-AY32*D32</f>
        <v>0</v>
      </c>
      <c r="BA32" s="17">
        <f>AY32*$E32</f>
        <v>0</v>
      </c>
      <c r="BB32" s="17">
        <f t="shared" si="8"/>
        <v>0</v>
      </c>
      <c r="BC32" s="11">
        <f t="shared" si="9"/>
        <v>0</v>
      </c>
      <c r="BE32" s="11">
        <f t="shared" si="10"/>
        <v>0</v>
      </c>
      <c r="BF32" s="11">
        <f t="shared" si="11"/>
        <v>0</v>
      </c>
      <c r="BH32" s="11"/>
      <c r="DL32" s="7"/>
      <c r="DM32" s="8"/>
      <c r="DN32" s="8"/>
      <c r="DO32" s="8"/>
      <c r="DP32" s="8"/>
      <c r="DR32" s="8"/>
    </row>
    <row r="33" spans="1:122" x14ac:dyDescent="0.25">
      <c r="A33" s="1">
        <v>46071</v>
      </c>
      <c r="B33" s="21">
        <v>303.94</v>
      </c>
      <c r="C33" s="21">
        <v>303.33</v>
      </c>
      <c r="D33" s="22">
        <v>3.691743925233E-3</v>
      </c>
      <c r="E33" s="22">
        <v>4.3280814237743699E-3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303.94</v>
      </c>
      <c r="M33" s="21">
        <v>303.33</v>
      </c>
      <c r="N33" s="23">
        <v>0.997993024939132</v>
      </c>
      <c r="O33" s="23">
        <v>1.0043771680406</v>
      </c>
      <c r="P33" s="23">
        <v>0.99896986667904397</v>
      </c>
      <c r="Q33" s="23">
        <v>0.99874718868883205</v>
      </c>
      <c r="R33" s="21">
        <v>305.27039645425998</v>
      </c>
      <c r="S33" s="21">
        <v>303.59958293384398</v>
      </c>
      <c r="T33" s="21">
        <v>303.58217297607302</v>
      </c>
      <c r="U33" s="22">
        <v>6.3766078380938203E-3</v>
      </c>
      <c r="V33" s="22">
        <v>8.8835001342277297E-4</v>
      </c>
      <c r="W33" s="22">
        <v>8.3100323840516396E-4</v>
      </c>
      <c r="X33" s="23">
        <v>0.997993024939132</v>
      </c>
      <c r="Y33" s="23">
        <v>1.0043771680406</v>
      </c>
      <c r="Z33" s="23">
        <v>0.99896986667904397</v>
      </c>
      <c r="AA33" s="23">
        <v>0.99874718868883205</v>
      </c>
      <c r="AB33" s="21">
        <v>305.27039645425998</v>
      </c>
      <c r="AC33" s="21">
        <v>303.59958293384398</v>
      </c>
      <c r="AD33" s="21">
        <v>303.58217297607302</v>
      </c>
      <c r="AE33" s="22">
        <v>6.3766078380938203E-3</v>
      </c>
      <c r="AF33" s="22">
        <v>8.8835001342277297E-4</v>
      </c>
      <c r="AG33" s="22">
        <v>8.3100323840516396E-4</v>
      </c>
      <c r="AI33" s="5"/>
      <c r="AJ33">
        <f>IF($AG33&lt;AI$21,1,0)</f>
        <v>0</v>
      </c>
      <c r="AK33">
        <f>IF($AG33&gt;AI$22,1,0)</f>
        <v>1</v>
      </c>
      <c r="AL33">
        <f t="shared" si="2"/>
        <v>0</v>
      </c>
      <c r="AM33">
        <f>IF(F34+H34&gt;0,0,1)</f>
        <v>1</v>
      </c>
      <c r="AN33">
        <f t="shared" si="3"/>
        <v>0</v>
      </c>
      <c r="AO33" s="17">
        <f>AN33*D33</f>
        <v>0</v>
      </c>
      <c r="AP33" s="17">
        <f>-AN33*$E33</f>
        <v>0</v>
      </c>
      <c r="AQ33" s="17">
        <f t="shared" si="4"/>
        <v>0</v>
      </c>
      <c r="AR33" s="11">
        <f t="shared" si="5"/>
        <v>0</v>
      </c>
      <c r="AT33" s="5"/>
      <c r="AU33">
        <f>IF($AG33&gt;AT$21,1,0)</f>
        <v>0</v>
      </c>
      <c r="AV33">
        <f>IF($AG33&lt;AT$22,1,0)</f>
        <v>1</v>
      </c>
      <c r="AW33">
        <f t="shared" si="6"/>
        <v>0</v>
      </c>
      <c r="AX33">
        <f>IF(F34+H34&gt;0,0,1)</f>
        <v>1</v>
      </c>
      <c r="AY33">
        <f t="shared" si="7"/>
        <v>0</v>
      </c>
      <c r="AZ33" s="17">
        <f>-AY33*D33</f>
        <v>0</v>
      </c>
      <c r="BA33" s="17">
        <f>AY33*$E33</f>
        <v>0</v>
      </c>
      <c r="BB33" s="17">
        <f t="shared" si="8"/>
        <v>0</v>
      </c>
      <c r="BC33" s="11">
        <f t="shared" si="9"/>
        <v>0</v>
      </c>
      <c r="BE33" s="11">
        <f t="shared" si="10"/>
        <v>0</v>
      </c>
      <c r="BF33" s="11">
        <f t="shared" si="11"/>
        <v>0</v>
      </c>
      <c r="BH33" s="11"/>
      <c r="DL33" s="7"/>
      <c r="DM33" s="8"/>
      <c r="DN33" s="8"/>
      <c r="DO33" s="8"/>
      <c r="DP33" s="8"/>
      <c r="DQ33" s="8"/>
      <c r="DR33" s="8"/>
    </row>
    <row r="34" spans="1:122" x14ac:dyDescent="0.25">
      <c r="A34" s="1">
        <v>46072</v>
      </c>
      <c r="B34" s="21">
        <v>303.56</v>
      </c>
      <c r="C34" s="21">
        <v>302.85000000000002</v>
      </c>
      <c r="D34" s="22">
        <v>-1.25102896974703E-3</v>
      </c>
      <c r="E34" s="22">
        <v>-1.5836883444610901E-3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303.56</v>
      </c>
      <c r="M34" s="21">
        <v>302.85000000000002</v>
      </c>
      <c r="N34" s="23">
        <v>0.99766108841744605</v>
      </c>
      <c r="O34" s="23">
        <v>1.0043771680406</v>
      </c>
      <c r="P34" s="23">
        <v>0.99882597372082504</v>
      </c>
      <c r="Q34" s="23">
        <v>0.99863024310970405</v>
      </c>
      <c r="R34" s="21">
        <v>304.888733130405</v>
      </c>
      <c r="S34" s="21">
        <v>303.24729272909002</v>
      </c>
      <c r="T34" s="21">
        <v>303.17969659838201</v>
      </c>
      <c r="U34" s="22">
        <v>6.7092672128078101E-3</v>
      </c>
      <c r="V34" s="22">
        <v>1.3109868358053499E-3</v>
      </c>
      <c r="W34" s="22">
        <v>1.0880543734369801E-3</v>
      </c>
      <c r="X34" s="23">
        <v>0.99766108841744605</v>
      </c>
      <c r="Y34" s="23">
        <v>1.0043771680406</v>
      </c>
      <c r="Z34" s="23">
        <v>0.99882597372082504</v>
      </c>
      <c r="AA34" s="23">
        <v>0.99863024310970405</v>
      </c>
      <c r="AB34" s="21">
        <v>304.888733130405</v>
      </c>
      <c r="AC34" s="21">
        <v>303.24729272909002</v>
      </c>
      <c r="AD34" s="21">
        <v>303.17969659838201</v>
      </c>
      <c r="AE34" s="22">
        <v>6.7092672128078101E-3</v>
      </c>
      <c r="AF34" s="22">
        <v>1.3109868358053499E-3</v>
      </c>
      <c r="AG34" s="22">
        <v>1.0880543734369801E-3</v>
      </c>
      <c r="AI34" s="5"/>
      <c r="AJ34">
        <f>IF($AG34&lt;AI$21,1,0)</f>
        <v>0</v>
      </c>
      <c r="AK34">
        <f>IF($AG34&gt;AI$22,1,0)</f>
        <v>1</v>
      </c>
      <c r="AL34">
        <f t="shared" si="2"/>
        <v>0</v>
      </c>
      <c r="AM34">
        <f>IF(F35+H35&gt;0,0,1)</f>
        <v>1</v>
      </c>
      <c r="AN34">
        <f t="shared" si="3"/>
        <v>0</v>
      </c>
      <c r="AO34" s="17">
        <f>AN34*D34</f>
        <v>0</v>
      </c>
      <c r="AP34" s="17">
        <f>-AN34*$E34</f>
        <v>0</v>
      </c>
      <c r="AQ34" s="17">
        <f t="shared" si="4"/>
        <v>0</v>
      </c>
      <c r="AR34" s="11">
        <f t="shared" si="5"/>
        <v>0</v>
      </c>
      <c r="AT34" s="5"/>
      <c r="AU34">
        <f>IF($AG34&gt;AT$21,1,0)</f>
        <v>0</v>
      </c>
      <c r="AV34">
        <f>IF($AG34&lt;AT$22,1,0)</f>
        <v>1</v>
      </c>
      <c r="AW34">
        <f t="shared" si="6"/>
        <v>0</v>
      </c>
      <c r="AX34">
        <f>IF(F35+H35&gt;0,0,1)</f>
        <v>1</v>
      </c>
      <c r="AY34">
        <f t="shared" si="7"/>
        <v>0</v>
      </c>
      <c r="AZ34" s="17">
        <f>-AY34*D34</f>
        <v>0</v>
      </c>
      <c r="BA34" s="17">
        <f>AY34*$E34</f>
        <v>0</v>
      </c>
      <c r="BB34" s="17">
        <f t="shared" si="8"/>
        <v>0</v>
      </c>
      <c r="BC34" s="11">
        <f t="shared" si="9"/>
        <v>0</v>
      </c>
      <c r="BE34" s="11">
        <f t="shared" si="10"/>
        <v>0</v>
      </c>
      <c r="BF34" s="11">
        <f t="shared" si="11"/>
        <v>0</v>
      </c>
      <c r="BH34" s="11"/>
    </row>
    <row r="35" spans="1:122" x14ac:dyDescent="0.25">
      <c r="A35" s="1">
        <v>46073</v>
      </c>
      <c r="B35" s="21">
        <v>314.89999999999998</v>
      </c>
      <c r="C35" s="21">
        <v>314.98</v>
      </c>
      <c r="D35" s="22">
        <v>3.6675843571266797E-2</v>
      </c>
      <c r="E35" s="22">
        <v>3.9271511319478397E-2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314.89999999999998</v>
      </c>
      <c r="M35" s="21">
        <v>314.98</v>
      </c>
      <c r="N35" s="23">
        <v>1.0002540489044101</v>
      </c>
      <c r="O35" s="23">
        <v>1.0043771680406</v>
      </c>
      <c r="P35" s="23">
        <v>0.99887552372338995</v>
      </c>
      <c r="Q35" s="23">
        <v>0.99868828469166804</v>
      </c>
      <c r="R35" s="21">
        <v>316.27837021598498</v>
      </c>
      <c r="S35" s="21">
        <v>314.53029912468702</v>
      </c>
      <c r="T35" s="21">
        <v>314.468663555246</v>
      </c>
      <c r="U35" s="22">
        <v>4.1135994645962503E-3</v>
      </c>
      <c r="V35" s="22">
        <v>-1.42873262735965E-3</v>
      </c>
      <c r="W35" s="22">
        <v>-1.62471250426257E-3</v>
      </c>
      <c r="X35" s="23">
        <v>1.0002540489044101</v>
      </c>
      <c r="Y35" s="23">
        <v>1.0043771680406</v>
      </c>
      <c r="Z35" s="23">
        <v>0.99887552372338995</v>
      </c>
      <c r="AA35" s="23">
        <v>0.99868828469166804</v>
      </c>
      <c r="AB35" s="21">
        <v>316.27837021598498</v>
      </c>
      <c r="AC35" s="21">
        <v>314.53029912468702</v>
      </c>
      <c r="AD35" s="21">
        <v>314.468663555246</v>
      </c>
      <c r="AE35" s="22">
        <v>4.1135994645962503E-3</v>
      </c>
      <c r="AF35" s="22">
        <v>-1.42873262735965E-3</v>
      </c>
      <c r="AG35" s="22">
        <v>-1.62471250426257E-3</v>
      </c>
      <c r="AI35" s="5"/>
      <c r="AJ35">
        <f>IF($AG35&lt;AI$21,1,0)</f>
        <v>0</v>
      </c>
      <c r="AK35">
        <f>IF($AG35&gt;AI$22,1,0)</f>
        <v>1</v>
      </c>
      <c r="AL35">
        <f t="shared" si="2"/>
        <v>0</v>
      </c>
      <c r="AM35">
        <f>IF(F36+H36&gt;0,0,1)</f>
        <v>1</v>
      </c>
      <c r="AN35">
        <f t="shared" si="3"/>
        <v>0</v>
      </c>
      <c r="AO35" s="17">
        <f>AN35*D35</f>
        <v>0</v>
      </c>
      <c r="AP35" s="17">
        <f>-AN35*$E35</f>
        <v>0</v>
      </c>
      <c r="AQ35" s="17">
        <f t="shared" si="4"/>
        <v>0</v>
      </c>
      <c r="AR35" s="11">
        <f t="shared" si="5"/>
        <v>0</v>
      </c>
      <c r="AT35" s="5"/>
      <c r="AU35">
        <f>IF($AG35&gt;AT$21,1,0)</f>
        <v>0</v>
      </c>
      <c r="AV35">
        <f>IF($AG35&lt;AT$22,1,0)</f>
        <v>1</v>
      </c>
      <c r="AW35">
        <f t="shared" si="6"/>
        <v>0</v>
      </c>
      <c r="AX35">
        <f>IF(F36+H36&gt;0,0,1)</f>
        <v>1</v>
      </c>
      <c r="AY35">
        <f t="shared" si="7"/>
        <v>0</v>
      </c>
      <c r="AZ35" s="17">
        <f>-AY35*D35</f>
        <v>0</v>
      </c>
      <c r="BA35" s="17">
        <f>AY35*$E35</f>
        <v>0</v>
      </c>
      <c r="BB35" s="17">
        <f t="shared" si="8"/>
        <v>0</v>
      </c>
      <c r="BC35" s="11">
        <f t="shared" si="9"/>
        <v>0</v>
      </c>
      <c r="BE35" s="11">
        <f t="shared" si="10"/>
        <v>0</v>
      </c>
      <c r="BF35" s="11">
        <f t="shared" si="11"/>
        <v>0</v>
      </c>
      <c r="BH35" s="11"/>
    </row>
    <row r="36" spans="1:122" x14ac:dyDescent="0.25">
      <c r="A36" s="1">
        <v>46076</v>
      </c>
      <c r="B36" s="21">
        <v>311.69</v>
      </c>
      <c r="C36" s="21">
        <v>311.49</v>
      </c>
      <c r="D36" s="22">
        <v>-1.0246023978583501E-2</v>
      </c>
      <c r="E36" s="22">
        <v>-1.1141909762962299E-2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311.69</v>
      </c>
      <c r="M36" s="21">
        <v>311.49</v>
      </c>
      <c r="N36" s="23">
        <v>0.99935833680900898</v>
      </c>
      <c r="O36" s="23">
        <v>1.0043771680406</v>
      </c>
      <c r="P36" s="23">
        <v>0.99888563781283302</v>
      </c>
      <c r="Q36" s="23">
        <v>0.99873232125321598</v>
      </c>
      <c r="R36" s="21">
        <v>313.05431950657498</v>
      </c>
      <c r="S36" s="21">
        <v>311.33951198934301</v>
      </c>
      <c r="T36" s="21">
        <v>311.28115145554602</v>
      </c>
      <c r="U36" s="22">
        <v>5.0094852489751896E-3</v>
      </c>
      <c r="V36" s="22">
        <v>-4.8323982948189501E-4</v>
      </c>
      <c r="W36" s="22">
        <v>-6.7070721498542496E-4</v>
      </c>
      <c r="X36" s="23">
        <v>0.99935833680900898</v>
      </c>
      <c r="Y36" s="23">
        <v>1.0043771680406</v>
      </c>
      <c r="Z36" s="23">
        <v>0.99888563781283302</v>
      </c>
      <c r="AA36" s="23">
        <v>0.99873232125321598</v>
      </c>
      <c r="AB36" s="21">
        <v>313.05431950657498</v>
      </c>
      <c r="AC36" s="21">
        <v>311.33951198934301</v>
      </c>
      <c r="AD36" s="21">
        <v>311.28115145554602</v>
      </c>
      <c r="AE36" s="22">
        <v>5.0094852489751896E-3</v>
      </c>
      <c r="AF36" s="22">
        <v>-4.8323982948189501E-4</v>
      </c>
      <c r="AG36" s="22">
        <v>-6.7070721498542496E-4</v>
      </c>
      <c r="AI36" s="5"/>
      <c r="AJ36">
        <f>IF($AG36&lt;AI$21,1,0)</f>
        <v>0</v>
      </c>
      <c r="AK36">
        <f>IF($AG36&gt;AI$22,1,0)</f>
        <v>1</v>
      </c>
      <c r="AL36">
        <f t="shared" si="2"/>
        <v>0</v>
      </c>
      <c r="AM36">
        <f>IF(F37+H37&gt;0,0,1)</f>
        <v>1</v>
      </c>
      <c r="AN36">
        <f t="shared" si="3"/>
        <v>0</v>
      </c>
      <c r="AO36" s="17">
        <f>AN36*D36</f>
        <v>0</v>
      </c>
      <c r="AP36" s="17">
        <f>-AN36*$E36</f>
        <v>0</v>
      </c>
      <c r="AQ36" s="17">
        <f t="shared" si="4"/>
        <v>0</v>
      </c>
      <c r="AR36" s="11">
        <f t="shared" si="5"/>
        <v>0</v>
      </c>
      <c r="AT36" s="5"/>
      <c r="AU36">
        <f>IF($AG36&gt;AT$21,1,0)</f>
        <v>0</v>
      </c>
      <c r="AV36">
        <f>IF($AG36&lt;AT$22,1,0)</f>
        <v>1</v>
      </c>
      <c r="AW36">
        <f t="shared" si="6"/>
        <v>0</v>
      </c>
      <c r="AX36">
        <f>IF(F37+H37&gt;0,0,1)</f>
        <v>1</v>
      </c>
      <c r="AY36">
        <f t="shared" si="7"/>
        <v>0</v>
      </c>
      <c r="AZ36" s="17">
        <f>-AY36*D36</f>
        <v>0</v>
      </c>
      <c r="BA36" s="17">
        <f>AY36*$E36</f>
        <v>0</v>
      </c>
      <c r="BB36" s="17">
        <f t="shared" si="8"/>
        <v>0</v>
      </c>
      <c r="BC36" s="11">
        <f t="shared" si="9"/>
        <v>0</v>
      </c>
      <c r="BE36" s="11">
        <f t="shared" si="10"/>
        <v>0</v>
      </c>
      <c r="BF36" s="11">
        <f t="shared" si="11"/>
        <v>0</v>
      </c>
      <c r="BH36" s="11"/>
    </row>
    <row r="37" spans="1:122" x14ac:dyDescent="0.25">
      <c r="A37" s="1">
        <v>46077</v>
      </c>
      <c r="B37" s="21">
        <v>310.92</v>
      </c>
      <c r="C37" s="21">
        <v>310.89999999999998</v>
      </c>
      <c r="D37" s="22">
        <v>-2.4734597663763902E-3</v>
      </c>
      <c r="E37" s="22">
        <v>-1.8959179187641999E-3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310.92</v>
      </c>
      <c r="M37" s="21">
        <v>310.89999999999998</v>
      </c>
      <c r="N37" s="23">
        <v>0.99993567477164502</v>
      </c>
      <c r="O37" s="23">
        <v>1.0043771680406</v>
      </c>
      <c r="P37" s="23">
        <v>0.99890386620245197</v>
      </c>
      <c r="Q37" s="23">
        <v>0.99877856690612399</v>
      </c>
      <c r="R37" s="21">
        <v>312.28094908718401</v>
      </c>
      <c r="S37" s="21">
        <v>310.57352250876602</v>
      </c>
      <c r="T37" s="21">
        <v>310.52585332404999</v>
      </c>
      <c r="U37" s="22">
        <v>4.4319434013629696E-3</v>
      </c>
      <c r="V37" s="22">
        <v>-1.0506562530562299E-3</v>
      </c>
      <c r="W37" s="22">
        <v>-1.2041556338787901E-3</v>
      </c>
      <c r="X37" s="23">
        <v>0.99993567477164502</v>
      </c>
      <c r="Y37" s="23">
        <v>1.0043771680406</v>
      </c>
      <c r="Z37" s="23">
        <v>0.99890386620245197</v>
      </c>
      <c r="AA37" s="23">
        <v>0.99877856690612399</v>
      </c>
      <c r="AB37" s="21">
        <v>312.28094908718401</v>
      </c>
      <c r="AC37" s="21">
        <v>310.57352250876602</v>
      </c>
      <c r="AD37" s="21">
        <v>310.52585332404999</v>
      </c>
      <c r="AE37" s="22">
        <v>4.4319434013629696E-3</v>
      </c>
      <c r="AF37" s="22">
        <v>-1.0506562530562299E-3</v>
      </c>
      <c r="AG37" s="22">
        <v>-1.2041556338787901E-3</v>
      </c>
      <c r="AI37" s="5"/>
      <c r="AJ37">
        <f>IF($AG37&lt;AI$21,1,0)</f>
        <v>0</v>
      </c>
      <c r="AK37">
        <f>IF($AG37&gt;AI$22,1,0)</f>
        <v>1</v>
      </c>
      <c r="AL37">
        <f t="shared" si="2"/>
        <v>0</v>
      </c>
      <c r="AM37">
        <f>IF(F38+H38&gt;0,0,1)</f>
        <v>1</v>
      </c>
      <c r="AN37">
        <f t="shared" si="3"/>
        <v>0</v>
      </c>
      <c r="AO37" s="17">
        <f>AN37*D37</f>
        <v>0</v>
      </c>
      <c r="AP37" s="17">
        <f>-AN37*$E37</f>
        <v>0</v>
      </c>
      <c r="AQ37" s="17">
        <f t="shared" si="4"/>
        <v>0</v>
      </c>
      <c r="AR37" s="11">
        <f t="shared" si="5"/>
        <v>0</v>
      </c>
      <c r="AT37" s="5"/>
      <c r="AU37">
        <f>IF($AG37&gt;AT$21,1,0)</f>
        <v>0</v>
      </c>
      <c r="AV37">
        <f>IF($AG37&lt;AT$22,1,0)</f>
        <v>1</v>
      </c>
      <c r="AW37">
        <f t="shared" si="6"/>
        <v>0</v>
      </c>
      <c r="AX37">
        <f>IF(F38+H38&gt;0,0,1)</f>
        <v>1</v>
      </c>
      <c r="AY37">
        <f t="shared" si="7"/>
        <v>0</v>
      </c>
      <c r="AZ37" s="17">
        <f>-AY37*D37</f>
        <v>0</v>
      </c>
      <c r="BA37" s="17">
        <f>AY37*$E37</f>
        <v>0</v>
      </c>
      <c r="BB37" s="17">
        <f t="shared" si="8"/>
        <v>0</v>
      </c>
      <c r="BC37" s="11">
        <f t="shared" si="9"/>
        <v>0</v>
      </c>
      <c r="BE37" s="11">
        <f t="shared" si="10"/>
        <v>0</v>
      </c>
      <c r="BF37" s="11">
        <f t="shared" si="11"/>
        <v>0</v>
      </c>
      <c r="BH37" s="11"/>
    </row>
    <row r="38" spans="1:122" x14ac:dyDescent="0.25">
      <c r="A38" s="1">
        <v>46078</v>
      </c>
      <c r="B38" s="21">
        <v>313.02999999999997</v>
      </c>
      <c r="C38" s="21">
        <v>312.89999999999998</v>
      </c>
      <c r="D38" s="22">
        <v>6.7633882305053001E-3</v>
      </c>
      <c r="E38" s="22">
        <v>6.4123336101283897E-3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313.02999999999997</v>
      </c>
      <c r="M38" s="21">
        <v>312.89999999999998</v>
      </c>
      <c r="N38" s="23">
        <v>0.99958470434143698</v>
      </c>
      <c r="O38" s="23">
        <v>1.0043771680406</v>
      </c>
      <c r="P38" s="23">
        <v>0.99887802881874999</v>
      </c>
      <c r="Q38" s="23">
        <v>0.9988249663023</v>
      </c>
      <c r="R38" s="21">
        <v>314.40018491174902</v>
      </c>
      <c r="S38" s="21">
        <v>312.68687723735297</v>
      </c>
      <c r="T38" s="21">
        <v>312.64765479862399</v>
      </c>
      <c r="U38" s="22">
        <v>4.7829980217400196E-3</v>
      </c>
      <c r="V38" s="22">
        <v>-6.8135307387731897E-4</v>
      </c>
      <c r="W38" s="22">
        <v>-8.0679773356398901E-4</v>
      </c>
      <c r="X38" s="23">
        <v>0.99958470434143698</v>
      </c>
      <c r="Y38" s="23">
        <v>1.0043771680406</v>
      </c>
      <c r="Z38" s="23">
        <v>0.99887802881874999</v>
      </c>
      <c r="AA38" s="23">
        <v>0.9988249663023</v>
      </c>
      <c r="AB38" s="21">
        <v>314.40018491174902</v>
      </c>
      <c r="AC38" s="21">
        <v>312.68687723735297</v>
      </c>
      <c r="AD38" s="21">
        <v>312.64765479862399</v>
      </c>
      <c r="AE38" s="22">
        <v>4.7829980217400196E-3</v>
      </c>
      <c r="AF38" s="22">
        <v>-6.8135307387731897E-4</v>
      </c>
      <c r="AG38" s="22">
        <v>-8.0679773356398901E-4</v>
      </c>
      <c r="AI38" s="5"/>
      <c r="AJ38">
        <f>IF($AG38&lt;AI$21,1,0)</f>
        <v>0</v>
      </c>
      <c r="AK38">
        <f>IF($AG38&gt;AI$22,1,0)</f>
        <v>1</v>
      </c>
      <c r="AL38">
        <f t="shared" si="2"/>
        <v>0</v>
      </c>
      <c r="AM38">
        <f>IF(F39+H39&gt;0,0,1)</f>
        <v>1</v>
      </c>
      <c r="AN38">
        <f t="shared" si="3"/>
        <v>0</v>
      </c>
      <c r="AO38" s="17">
        <f>AN38*D38</f>
        <v>0</v>
      </c>
      <c r="AP38" s="17">
        <f>-AN38*$E38</f>
        <v>0</v>
      </c>
      <c r="AQ38" s="17">
        <f t="shared" si="4"/>
        <v>0</v>
      </c>
      <c r="AR38" s="11">
        <f t="shared" si="5"/>
        <v>0</v>
      </c>
      <c r="AT38" s="5"/>
      <c r="AU38">
        <f>IF($AG38&gt;AT$21,1,0)</f>
        <v>0</v>
      </c>
      <c r="AV38">
        <f>IF($AG38&lt;AT$22,1,0)</f>
        <v>1</v>
      </c>
      <c r="AW38">
        <f t="shared" si="6"/>
        <v>0</v>
      </c>
      <c r="AX38">
        <f>IF(F39+H39&gt;0,0,1)</f>
        <v>1</v>
      </c>
      <c r="AY38">
        <f t="shared" si="7"/>
        <v>0</v>
      </c>
      <c r="AZ38" s="17">
        <f>-AY38*D38</f>
        <v>0</v>
      </c>
      <c r="BA38" s="17">
        <f>AY38*$E38</f>
        <v>0</v>
      </c>
      <c r="BB38" s="17">
        <f t="shared" si="8"/>
        <v>0</v>
      </c>
      <c r="BC38" s="11">
        <f t="shared" si="9"/>
        <v>0</v>
      </c>
      <c r="BE38" s="11">
        <f t="shared" si="10"/>
        <v>0</v>
      </c>
      <c r="BF38" s="11">
        <f t="shared" si="11"/>
        <v>0</v>
      </c>
      <c r="BH38" s="11"/>
    </row>
    <row r="39" spans="1:122" x14ac:dyDescent="0.25">
      <c r="A39" s="1">
        <v>46079</v>
      </c>
      <c r="B39" s="21">
        <v>307.14999999999998</v>
      </c>
      <c r="C39" s="21">
        <v>307.38</v>
      </c>
      <c r="D39" s="22">
        <v>-1.8962804982588E-2</v>
      </c>
      <c r="E39" s="22">
        <v>-1.7798883495670399E-2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307.14999999999998</v>
      </c>
      <c r="M39" s="21">
        <v>307.38</v>
      </c>
      <c r="N39" s="23">
        <v>1.00074881979488</v>
      </c>
      <c r="O39" s="23">
        <v>1.0043771680406</v>
      </c>
      <c r="P39" s="23">
        <v>0.99907175575375196</v>
      </c>
      <c r="Q39" s="23">
        <v>0.998902552409209</v>
      </c>
      <c r="R39" s="21">
        <v>308.494447163671</v>
      </c>
      <c r="S39" s="21">
        <v>306.80538655167902</v>
      </c>
      <c r="T39" s="21">
        <v>306.78908839975099</v>
      </c>
      <c r="U39" s="22">
        <v>3.6190765348224998E-3</v>
      </c>
      <c r="V39" s="22">
        <v>-1.8711406313276599E-3</v>
      </c>
      <c r="W39" s="22">
        <v>-1.9242641602924401E-3</v>
      </c>
      <c r="X39" s="23">
        <v>1.00074881979488</v>
      </c>
      <c r="Y39" s="23">
        <v>1.0043771680406</v>
      </c>
      <c r="Z39" s="23">
        <v>0.99907175575375196</v>
      </c>
      <c r="AA39" s="23">
        <v>0.998902552409209</v>
      </c>
      <c r="AB39" s="21">
        <v>308.494447163671</v>
      </c>
      <c r="AC39" s="21">
        <v>306.80538655167902</v>
      </c>
      <c r="AD39" s="21">
        <v>306.78908839975099</v>
      </c>
      <c r="AE39" s="22">
        <v>3.6190765348224998E-3</v>
      </c>
      <c r="AF39" s="22">
        <v>-1.8711406313276599E-3</v>
      </c>
      <c r="AG39" s="22">
        <v>-1.9242641602924401E-3</v>
      </c>
      <c r="AI39" s="5"/>
      <c r="AJ39">
        <f>IF($AG39&lt;AI$21,1,0)</f>
        <v>0</v>
      </c>
      <c r="AK39">
        <f>IF($AG39&gt;AI$22,1,0)</f>
        <v>1</v>
      </c>
      <c r="AL39">
        <f t="shared" si="2"/>
        <v>0</v>
      </c>
      <c r="AM39">
        <f>IF(F40+H40&gt;0,0,1)</f>
        <v>1</v>
      </c>
      <c r="AN39">
        <f t="shared" si="3"/>
        <v>0</v>
      </c>
      <c r="AO39" s="17">
        <f>AN39*D39</f>
        <v>0</v>
      </c>
      <c r="AP39" s="17">
        <f>-AN39*$E39</f>
        <v>0</v>
      </c>
      <c r="AQ39" s="17">
        <f t="shared" si="4"/>
        <v>0</v>
      </c>
      <c r="AR39" s="11">
        <f t="shared" si="5"/>
        <v>0</v>
      </c>
      <c r="AT39" s="5"/>
      <c r="AU39">
        <f>IF($AG39&gt;AT$21,1,0)</f>
        <v>0</v>
      </c>
      <c r="AV39">
        <f>IF($AG39&lt;AT$22,1,0)</f>
        <v>1</v>
      </c>
      <c r="AW39">
        <f t="shared" si="6"/>
        <v>0</v>
      </c>
      <c r="AX39">
        <f>IF(F40+H40&gt;0,0,1)</f>
        <v>1</v>
      </c>
      <c r="AY39">
        <f t="shared" si="7"/>
        <v>0</v>
      </c>
      <c r="AZ39" s="17">
        <f>-AY39*D39</f>
        <v>0</v>
      </c>
      <c r="BA39" s="17">
        <f>AY39*$E39</f>
        <v>0</v>
      </c>
      <c r="BB39" s="17">
        <f t="shared" si="8"/>
        <v>0</v>
      </c>
      <c r="BC39" s="11">
        <f t="shared" si="9"/>
        <v>0</v>
      </c>
      <c r="BE39" s="11">
        <f t="shared" si="10"/>
        <v>0</v>
      </c>
      <c r="BF39" s="11">
        <f t="shared" si="11"/>
        <v>0</v>
      </c>
      <c r="BH39" s="11"/>
    </row>
    <row r="40" spans="1:122" x14ac:dyDescent="0.25">
      <c r="A40" s="1">
        <v>46080</v>
      </c>
      <c r="B40" s="21">
        <v>311.43</v>
      </c>
      <c r="C40" s="21">
        <v>311.76</v>
      </c>
      <c r="D40" s="22">
        <v>1.3838366263327399E-2</v>
      </c>
      <c r="E40" s="22">
        <v>1.41488938512879E-2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311.43</v>
      </c>
      <c r="M40" s="21">
        <v>311.76</v>
      </c>
      <c r="N40" s="23">
        <v>1.00105962816684</v>
      </c>
      <c r="O40" s="23">
        <v>1.0043771680406</v>
      </c>
      <c r="P40" s="23">
        <v>0.99929731646292796</v>
      </c>
      <c r="Q40" s="23">
        <v>0.99901606650520303</v>
      </c>
      <c r="R40" s="21">
        <v>312.79318144288402</v>
      </c>
      <c r="S40" s="21">
        <v>311.14091689439101</v>
      </c>
      <c r="T40" s="21">
        <v>311.08822189680001</v>
      </c>
      <c r="U40" s="22">
        <v>3.3085489468619601E-3</v>
      </c>
      <c r="V40" s="22">
        <v>-1.98774248891667E-3</v>
      </c>
      <c r="W40" s="22">
        <v>-2.1571173845358E-3</v>
      </c>
      <c r="X40" s="23">
        <v>1.00105962816684</v>
      </c>
      <c r="Y40" s="23">
        <v>1.0043771680406</v>
      </c>
      <c r="Z40" s="23">
        <v>0.99929731646292796</v>
      </c>
      <c r="AA40" s="23">
        <v>0.99901606650520303</v>
      </c>
      <c r="AB40" s="21">
        <v>312.79318144288402</v>
      </c>
      <c r="AC40" s="21">
        <v>311.14091689439101</v>
      </c>
      <c r="AD40" s="21">
        <v>311.08822189680001</v>
      </c>
      <c r="AE40" s="22">
        <v>3.3085489468619601E-3</v>
      </c>
      <c r="AF40" s="22">
        <v>-1.98774248891667E-3</v>
      </c>
      <c r="AG40" s="22">
        <v>-2.1571173845358E-3</v>
      </c>
      <c r="AI40" s="5"/>
      <c r="AJ40">
        <f>IF($AG40&lt;AI$21,1,0)</f>
        <v>0</v>
      </c>
      <c r="AK40">
        <f>IF($AG40&gt;AI$22,1,0)</f>
        <v>0</v>
      </c>
      <c r="AL40">
        <f t="shared" si="2"/>
        <v>0</v>
      </c>
      <c r="AM40">
        <f>IF(F41+H41&gt;0,0,1)</f>
        <v>1</v>
      </c>
      <c r="AN40">
        <f t="shared" si="3"/>
        <v>0</v>
      </c>
      <c r="AO40" s="17">
        <f>AN40*D40</f>
        <v>0</v>
      </c>
      <c r="AP40" s="17">
        <f>-AN40*$E40</f>
        <v>0</v>
      </c>
      <c r="AQ40" s="17">
        <f t="shared" si="4"/>
        <v>0</v>
      </c>
      <c r="AR40" s="11">
        <f t="shared" si="5"/>
        <v>0</v>
      </c>
      <c r="AT40" s="5"/>
      <c r="AU40">
        <f>IF($AG40&gt;AT$21,1,0)</f>
        <v>0</v>
      </c>
      <c r="AV40">
        <f>IF($AG40&lt;AT$22,1,0)</f>
        <v>1</v>
      </c>
      <c r="AW40">
        <f t="shared" si="6"/>
        <v>0</v>
      </c>
      <c r="AX40">
        <f>IF(F41+H41&gt;0,0,1)</f>
        <v>1</v>
      </c>
      <c r="AY40">
        <f t="shared" si="7"/>
        <v>0</v>
      </c>
      <c r="AZ40" s="17">
        <f>-AY40*D40</f>
        <v>0</v>
      </c>
      <c r="BA40" s="17">
        <f>AY40*$E40</f>
        <v>0</v>
      </c>
      <c r="BB40" s="17">
        <f t="shared" si="8"/>
        <v>0</v>
      </c>
      <c r="BC40" s="11">
        <f t="shared" si="9"/>
        <v>0</v>
      </c>
      <c r="BE40" s="11">
        <f t="shared" si="10"/>
        <v>0</v>
      </c>
      <c r="BF40" s="11">
        <f t="shared" si="11"/>
        <v>0</v>
      </c>
      <c r="BH40" s="11"/>
    </row>
    <row r="41" spans="1:122" x14ac:dyDescent="0.25">
      <c r="A41" s="1">
        <v>46083</v>
      </c>
      <c r="B41" s="21">
        <v>306.36</v>
      </c>
      <c r="C41" s="21">
        <v>306.52</v>
      </c>
      <c r="D41" s="22">
        <v>-1.6413712831870899E-2</v>
      </c>
      <c r="E41" s="22">
        <v>-1.6950654928250201E-2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306.36</v>
      </c>
      <c r="M41" s="21">
        <v>306.52</v>
      </c>
      <c r="N41" s="23">
        <v>1.0005222613918201</v>
      </c>
      <c r="O41" s="23">
        <v>1.0043771680406</v>
      </c>
      <c r="P41" s="23">
        <v>0.99944757541042395</v>
      </c>
      <c r="Q41" s="23">
        <v>0.99912045919550696</v>
      </c>
      <c r="R41" s="21">
        <v>307.70098920091903</v>
      </c>
      <c r="S41" s="21">
        <v>306.14472587158201</v>
      </c>
      <c r="T41" s="21">
        <v>306.05856213453399</v>
      </c>
      <c r="U41" s="22">
        <v>3.8454910432413301E-3</v>
      </c>
      <c r="V41" s="22">
        <v>-1.2250555956732599E-3</v>
      </c>
      <c r="W41" s="22">
        <v>-1.5065429359265999E-3</v>
      </c>
      <c r="X41" s="23">
        <v>1.0005222613918201</v>
      </c>
      <c r="Y41" s="23">
        <v>1.0043771680406</v>
      </c>
      <c r="Z41" s="23">
        <v>0.99944757541042395</v>
      </c>
      <c r="AA41" s="23">
        <v>0.99912045919550696</v>
      </c>
      <c r="AB41" s="21">
        <v>307.70098920091903</v>
      </c>
      <c r="AC41" s="21">
        <v>306.14472587158201</v>
      </c>
      <c r="AD41" s="21">
        <v>306.05856213453399</v>
      </c>
      <c r="AE41" s="22">
        <v>3.8454910432413301E-3</v>
      </c>
      <c r="AF41" s="22">
        <v>-1.2250555956732599E-3</v>
      </c>
      <c r="AG41" s="22">
        <v>-1.5065429359265999E-3</v>
      </c>
      <c r="AI41" s="5"/>
      <c r="AJ41">
        <f>IF($AG41&lt;AI$21,1,0)</f>
        <v>0</v>
      </c>
      <c r="AK41">
        <f>IF($AG41&gt;AI$22,1,0)</f>
        <v>1</v>
      </c>
      <c r="AL41">
        <f t="shared" si="2"/>
        <v>0</v>
      </c>
      <c r="AM41">
        <f>IF(F42+H42&gt;0,0,1)</f>
        <v>1</v>
      </c>
      <c r="AN41">
        <f t="shared" si="3"/>
        <v>0</v>
      </c>
      <c r="AO41" s="17">
        <f>AN41*D41</f>
        <v>0</v>
      </c>
      <c r="AP41" s="17">
        <f>-AN41*$E41</f>
        <v>0</v>
      </c>
      <c r="AQ41" s="17">
        <f t="shared" si="4"/>
        <v>0</v>
      </c>
      <c r="AR41" s="11">
        <f t="shared" si="5"/>
        <v>0</v>
      </c>
      <c r="AT41" s="5"/>
      <c r="AU41">
        <f>IF($AG41&gt;AT$21,1,0)</f>
        <v>0</v>
      </c>
      <c r="AV41">
        <f>IF($AG41&lt;AT$22,1,0)</f>
        <v>1</v>
      </c>
      <c r="AW41">
        <f t="shared" si="6"/>
        <v>0</v>
      </c>
      <c r="AX41">
        <f>IF(F42+H42&gt;0,0,1)</f>
        <v>1</v>
      </c>
      <c r="AY41">
        <f t="shared" si="7"/>
        <v>0</v>
      </c>
      <c r="AZ41" s="17">
        <f>-AY41*D41</f>
        <v>0</v>
      </c>
      <c r="BA41" s="17">
        <f>AY41*$E41</f>
        <v>0</v>
      </c>
      <c r="BB41" s="17">
        <f t="shared" si="8"/>
        <v>0</v>
      </c>
      <c r="BC41" s="11">
        <f t="shared" si="9"/>
        <v>0</v>
      </c>
      <c r="BE41" s="11">
        <f t="shared" si="10"/>
        <v>0</v>
      </c>
      <c r="BF41" s="11">
        <f t="shared" si="11"/>
        <v>0</v>
      </c>
      <c r="BH41" s="11"/>
    </row>
    <row r="42" spans="1:122" x14ac:dyDescent="0.25">
      <c r="A42" s="1">
        <v>46084</v>
      </c>
      <c r="B42" s="21">
        <v>303.56</v>
      </c>
      <c r="C42" s="21">
        <v>303.58</v>
      </c>
      <c r="D42" s="22">
        <v>-9.1815965056807006E-3</v>
      </c>
      <c r="E42" s="22">
        <v>-9.6378389034904501E-3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303.56</v>
      </c>
      <c r="M42" s="21">
        <v>303.58</v>
      </c>
      <c r="N42" s="23">
        <v>1.0000658848333099</v>
      </c>
      <c r="O42" s="23">
        <v>1.0043771680406</v>
      </c>
      <c r="P42" s="23">
        <v>0.99971834723699504</v>
      </c>
      <c r="Q42" s="23">
        <v>0.99929916660040796</v>
      </c>
      <c r="R42" s="21">
        <v>304.888733130405</v>
      </c>
      <c r="S42" s="21">
        <v>303.39230599158799</v>
      </c>
      <c r="T42" s="21">
        <v>303.29300659338799</v>
      </c>
      <c r="U42" s="22">
        <v>4.3017334410511802E-3</v>
      </c>
      <c r="V42" s="22">
        <v>-6.18459895259071E-4</v>
      </c>
      <c r="W42" s="22">
        <v>-9.4581049045852899E-4</v>
      </c>
      <c r="X42" s="23">
        <v>1.0000658848333099</v>
      </c>
      <c r="Y42" s="23">
        <v>1.0043771680406</v>
      </c>
      <c r="Z42" s="23">
        <v>0.99971834723699504</v>
      </c>
      <c r="AA42" s="23">
        <v>0.99929916660040796</v>
      </c>
      <c r="AB42" s="21">
        <v>304.888733130405</v>
      </c>
      <c r="AC42" s="21">
        <v>303.39230599158799</v>
      </c>
      <c r="AD42" s="21">
        <v>303.29300659338799</v>
      </c>
      <c r="AE42" s="22">
        <v>4.3017334410511802E-3</v>
      </c>
      <c r="AF42" s="22">
        <v>-6.18459895259071E-4</v>
      </c>
      <c r="AG42" s="22">
        <v>-9.4581049045852899E-4</v>
      </c>
      <c r="AI42" s="5"/>
      <c r="AJ42">
        <f>IF($AG42&lt;AI$21,1,0)</f>
        <v>0</v>
      </c>
      <c r="AK42">
        <f>IF($AG42&gt;AI$22,1,0)</f>
        <v>1</v>
      </c>
      <c r="AL42">
        <f t="shared" si="2"/>
        <v>0</v>
      </c>
      <c r="AM42">
        <f>IF(F43+H43&gt;0,0,1)</f>
        <v>1</v>
      </c>
      <c r="AN42">
        <f t="shared" si="3"/>
        <v>0</v>
      </c>
      <c r="AO42" s="17">
        <f>AN42*D42</f>
        <v>0</v>
      </c>
      <c r="AP42" s="17">
        <f>-AN42*$E42</f>
        <v>0</v>
      </c>
      <c r="AQ42" s="17">
        <f t="shared" si="4"/>
        <v>0</v>
      </c>
      <c r="AR42" s="11">
        <f t="shared" si="5"/>
        <v>0</v>
      </c>
      <c r="AT42" s="5"/>
      <c r="AU42">
        <f>IF($AG42&gt;AT$21,1,0)</f>
        <v>0</v>
      </c>
      <c r="AV42">
        <f>IF($AG42&lt;AT$22,1,0)</f>
        <v>1</v>
      </c>
      <c r="AW42">
        <f t="shared" si="6"/>
        <v>0</v>
      </c>
      <c r="AX42">
        <f>IF(F43+H43&gt;0,0,1)</f>
        <v>1</v>
      </c>
      <c r="AY42">
        <f t="shared" si="7"/>
        <v>0</v>
      </c>
      <c r="AZ42" s="17">
        <f>-AY42*D42</f>
        <v>0</v>
      </c>
      <c r="BA42" s="17">
        <f>AY42*$E42</f>
        <v>0</v>
      </c>
      <c r="BB42" s="17">
        <f t="shared" si="8"/>
        <v>0</v>
      </c>
      <c r="BC42" s="11">
        <f t="shared" si="9"/>
        <v>0</v>
      </c>
      <c r="BE42" s="11">
        <f t="shared" si="10"/>
        <v>0</v>
      </c>
      <c r="BF42" s="11">
        <f t="shared" si="11"/>
        <v>0</v>
      </c>
      <c r="BH42" s="11"/>
    </row>
    <row r="43" spans="1:122" x14ac:dyDescent="0.25">
      <c r="A43" s="1">
        <v>46085</v>
      </c>
      <c r="B43" s="21">
        <v>303.45</v>
      </c>
      <c r="C43" s="21">
        <v>303.13</v>
      </c>
      <c r="D43" s="22">
        <v>-3.6243225384789202E-4</v>
      </c>
      <c r="E43" s="22">
        <v>-1.4834107976431201E-3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303.45</v>
      </c>
      <c r="M43" s="21">
        <v>303.13</v>
      </c>
      <c r="N43" s="23">
        <v>0.99894546053715605</v>
      </c>
      <c r="O43" s="23">
        <v>1.0043771680406</v>
      </c>
      <c r="P43" s="23">
        <v>0.99981359079679699</v>
      </c>
      <c r="Q43" s="23">
        <v>0.99939172873792104</v>
      </c>
      <c r="R43" s="21">
        <v>304.77825164192001</v>
      </c>
      <c r="S43" s="21">
        <v>303.36453246906598</v>
      </c>
      <c r="T43" s="21">
        <v>303.23733210489399</v>
      </c>
      <c r="U43" s="22">
        <v>5.42271198484621E-3</v>
      </c>
      <c r="V43" s="22">
        <v>7.7340344620093295E-4</v>
      </c>
      <c r="W43" s="22">
        <v>3.5401678267322399E-4</v>
      </c>
      <c r="X43" s="23">
        <v>0.99894546053715605</v>
      </c>
      <c r="Y43" s="23">
        <v>1.0043771680406</v>
      </c>
      <c r="Z43" s="23">
        <v>0.99981359079679699</v>
      </c>
      <c r="AA43" s="23">
        <v>0.99939172873792104</v>
      </c>
      <c r="AB43" s="21">
        <v>304.77825164192001</v>
      </c>
      <c r="AC43" s="21">
        <v>303.36453246906598</v>
      </c>
      <c r="AD43" s="21">
        <v>303.23733210489399</v>
      </c>
      <c r="AE43" s="22">
        <v>5.42271198484621E-3</v>
      </c>
      <c r="AF43" s="22">
        <v>7.7340344620093295E-4</v>
      </c>
      <c r="AG43" s="22">
        <v>3.5401678267322399E-4</v>
      </c>
      <c r="AI43" s="5"/>
      <c r="AJ43">
        <f>IF($AG43&lt;AI$21,1,0)</f>
        <v>0</v>
      </c>
      <c r="AK43">
        <f>IF($AG43&gt;AI$22,1,0)</f>
        <v>1</v>
      </c>
      <c r="AL43">
        <f t="shared" si="2"/>
        <v>0</v>
      </c>
      <c r="AM43">
        <f>IF(F44+H44&gt;0,0,1)</f>
        <v>1</v>
      </c>
      <c r="AN43">
        <f t="shared" si="3"/>
        <v>0</v>
      </c>
      <c r="AO43" s="17">
        <f>AN43*D43</f>
        <v>0</v>
      </c>
      <c r="AP43" s="17">
        <f>-AN43*$E43</f>
        <v>0</v>
      </c>
      <c r="AQ43" s="17">
        <f t="shared" si="4"/>
        <v>0</v>
      </c>
      <c r="AR43" s="11">
        <f t="shared" si="5"/>
        <v>0</v>
      </c>
      <c r="AT43" s="5"/>
      <c r="AU43">
        <f>IF($AG43&gt;AT$21,1,0)</f>
        <v>0</v>
      </c>
      <c r="AV43">
        <f>IF($AG43&lt;AT$22,1,0)</f>
        <v>1</v>
      </c>
      <c r="AW43">
        <f t="shared" si="6"/>
        <v>0</v>
      </c>
      <c r="AX43">
        <f>IF(F44+H44&gt;0,0,1)</f>
        <v>1</v>
      </c>
      <c r="AY43">
        <f t="shared" si="7"/>
        <v>0</v>
      </c>
      <c r="AZ43" s="17">
        <f>-AY43*D43</f>
        <v>0</v>
      </c>
      <c r="BA43" s="17">
        <f>AY43*$E43</f>
        <v>0</v>
      </c>
      <c r="BB43" s="17">
        <f t="shared" si="8"/>
        <v>0</v>
      </c>
      <c r="BC43" s="11">
        <f t="shared" si="9"/>
        <v>0</v>
      </c>
      <c r="BE43" s="11">
        <f t="shared" si="10"/>
        <v>0</v>
      </c>
      <c r="BF43" s="11">
        <f t="shared" si="11"/>
        <v>0</v>
      </c>
      <c r="BH43" s="11"/>
    </row>
    <row r="44" spans="1:122" x14ac:dyDescent="0.25">
      <c r="A44" s="1">
        <v>46086</v>
      </c>
      <c r="B44" s="21">
        <v>300.91000000000003</v>
      </c>
      <c r="C44" s="21">
        <v>300.88</v>
      </c>
      <c r="D44" s="22">
        <v>-8.4056355656534302E-3</v>
      </c>
      <c r="E44" s="22">
        <v>-7.4502422389890102E-3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300.91000000000003</v>
      </c>
      <c r="M44" s="21">
        <v>300.88</v>
      </c>
      <c r="N44" s="23">
        <v>0.99990030241600403</v>
      </c>
      <c r="O44" s="23">
        <v>1.0043771680406</v>
      </c>
      <c r="P44" s="23">
        <v>1.00003751219665</v>
      </c>
      <c r="Q44" s="23">
        <v>0.99943174295873904</v>
      </c>
      <c r="R44" s="21">
        <v>302.227133635097</v>
      </c>
      <c r="S44" s="21">
        <v>300.853907606664</v>
      </c>
      <c r="T44" s="21">
        <v>300.72696509452697</v>
      </c>
      <c r="U44" s="22">
        <v>4.4673186581819201E-3</v>
      </c>
      <c r="V44" s="22">
        <v>-8.6724025427364199E-5</v>
      </c>
      <c r="W44" s="22">
        <v>-5.0875377996646102E-4</v>
      </c>
      <c r="X44" s="23">
        <v>0.99990030241600403</v>
      </c>
      <c r="Y44" s="23">
        <v>1.0043771680406</v>
      </c>
      <c r="Z44" s="23">
        <v>1.00003751219665</v>
      </c>
      <c r="AA44" s="23">
        <v>0.99943174295873904</v>
      </c>
      <c r="AB44" s="21">
        <v>302.227133635097</v>
      </c>
      <c r="AC44" s="21">
        <v>300.853907606664</v>
      </c>
      <c r="AD44" s="21">
        <v>300.72696509452697</v>
      </c>
      <c r="AE44" s="22">
        <v>4.4673186581819201E-3</v>
      </c>
      <c r="AF44" s="22">
        <v>-8.6724025427364199E-5</v>
      </c>
      <c r="AG44" s="22">
        <v>-5.0875377996646102E-4</v>
      </c>
      <c r="AI44" s="5"/>
      <c r="AJ44">
        <f>IF($AG44&lt;AI$21,1,0)</f>
        <v>0</v>
      </c>
      <c r="AK44">
        <f>IF($AG44&gt;AI$22,1,0)</f>
        <v>1</v>
      </c>
      <c r="AL44">
        <f t="shared" si="2"/>
        <v>0</v>
      </c>
      <c r="AM44">
        <f>IF(F45+H45&gt;0,0,1)</f>
        <v>1</v>
      </c>
      <c r="AN44">
        <f t="shared" si="3"/>
        <v>0</v>
      </c>
      <c r="AO44" s="17">
        <f>AN44*D44</f>
        <v>0</v>
      </c>
      <c r="AP44" s="17">
        <f>-AN44*$E44</f>
        <v>0</v>
      </c>
      <c r="AQ44" s="17">
        <f t="shared" si="4"/>
        <v>0</v>
      </c>
      <c r="AR44" s="11">
        <f t="shared" si="5"/>
        <v>0</v>
      </c>
      <c r="AT44" s="5"/>
      <c r="AU44">
        <f>IF($AG44&gt;AT$21,1,0)</f>
        <v>0</v>
      </c>
      <c r="AV44">
        <f>IF($AG44&lt;AT$22,1,0)</f>
        <v>1</v>
      </c>
      <c r="AW44">
        <f t="shared" si="6"/>
        <v>0</v>
      </c>
      <c r="AX44">
        <f>IF(F45+H45&gt;0,0,1)</f>
        <v>1</v>
      </c>
      <c r="AY44">
        <f t="shared" si="7"/>
        <v>0</v>
      </c>
      <c r="AZ44" s="17">
        <f>-AY44*D44</f>
        <v>0</v>
      </c>
      <c r="BA44" s="17">
        <f>AY44*$E44</f>
        <v>0</v>
      </c>
      <c r="BB44" s="17">
        <f t="shared" si="8"/>
        <v>0</v>
      </c>
      <c r="BC44" s="11">
        <f t="shared" si="9"/>
        <v>0</v>
      </c>
      <c r="BE44" s="11">
        <f t="shared" si="10"/>
        <v>0</v>
      </c>
      <c r="BF44" s="11">
        <f t="shared" si="11"/>
        <v>0</v>
      </c>
      <c r="BH44" s="11"/>
    </row>
    <row r="45" spans="1:122" x14ac:dyDescent="0.25">
      <c r="A45" s="1">
        <v>46087</v>
      </c>
      <c r="B45" s="21">
        <v>298.3</v>
      </c>
      <c r="C45" s="21">
        <v>298.52</v>
      </c>
      <c r="D45" s="22">
        <v>-8.7115251955078993E-3</v>
      </c>
      <c r="E45" s="22">
        <v>-7.8745818988943499E-3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298.3</v>
      </c>
      <c r="M45" s="21">
        <v>298.52</v>
      </c>
      <c r="N45" s="23">
        <v>1.0007375125712299</v>
      </c>
      <c r="O45" s="23">
        <v>1.0043771680406</v>
      </c>
      <c r="P45" s="23">
        <v>1.0000858585633301</v>
      </c>
      <c r="Q45" s="23">
        <v>0.99948069114336302</v>
      </c>
      <c r="R45" s="21">
        <v>299.60570922651101</v>
      </c>
      <c r="S45" s="21">
        <v>298.31118988826103</v>
      </c>
      <c r="T45" s="21">
        <v>298.13048892459199</v>
      </c>
      <c r="U45" s="22">
        <v>3.6303753615681898E-3</v>
      </c>
      <c r="V45" s="22">
        <v>-6.9972924939520301E-4</v>
      </c>
      <c r="W45" s="22">
        <v>-1.3056593029692901E-3</v>
      </c>
      <c r="X45" s="23">
        <v>1.0007375125712299</v>
      </c>
      <c r="Y45" s="23">
        <v>1.0043771680406</v>
      </c>
      <c r="Z45" s="23">
        <v>1.0000858585633301</v>
      </c>
      <c r="AA45" s="23">
        <v>0.99948069114336302</v>
      </c>
      <c r="AB45" s="21">
        <v>299.60570922651101</v>
      </c>
      <c r="AC45" s="21">
        <v>298.31118988826103</v>
      </c>
      <c r="AD45" s="21">
        <v>298.13048892459199</v>
      </c>
      <c r="AE45" s="22">
        <v>3.6303753615681898E-3</v>
      </c>
      <c r="AF45" s="22">
        <v>-6.9972924939520301E-4</v>
      </c>
      <c r="AG45" s="22">
        <v>-1.3056593029692901E-3</v>
      </c>
      <c r="AI45" s="5"/>
      <c r="AJ45">
        <f>IF($AG45&lt;AI$21,1,0)</f>
        <v>0</v>
      </c>
      <c r="AK45">
        <f>IF($AG45&gt;AI$22,1,0)</f>
        <v>1</v>
      </c>
      <c r="AL45">
        <f t="shared" si="2"/>
        <v>0</v>
      </c>
      <c r="AM45">
        <f>IF(F46+H46&gt;0,0,1)</f>
        <v>0</v>
      </c>
      <c r="AN45">
        <f t="shared" si="3"/>
        <v>0</v>
      </c>
      <c r="AO45" s="17">
        <f>AN45*D45</f>
        <v>0</v>
      </c>
      <c r="AP45" s="17">
        <f>-AN45*$E45</f>
        <v>0</v>
      </c>
      <c r="AQ45" s="17">
        <f t="shared" si="4"/>
        <v>0</v>
      </c>
      <c r="AR45" s="11">
        <f t="shared" si="5"/>
        <v>0</v>
      </c>
      <c r="AT45" s="5"/>
      <c r="AU45">
        <f>IF($AG45&gt;AT$21,1,0)</f>
        <v>0</v>
      </c>
      <c r="AV45">
        <f>IF($AG45&lt;AT$22,1,0)</f>
        <v>1</v>
      </c>
      <c r="AW45">
        <f t="shared" si="6"/>
        <v>0</v>
      </c>
      <c r="AX45">
        <f>IF(F46+H46&gt;0,0,1)</f>
        <v>0</v>
      </c>
      <c r="AY45">
        <f t="shared" si="7"/>
        <v>0</v>
      </c>
      <c r="AZ45" s="17">
        <f>-AY45*D45</f>
        <v>0</v>
      </c>
      <c r="BA45" s="17">
        <f>AY45*$E45</f>
        <v>0</v>
      </c>
      <c r="BB45" s="17">
        <f t="shared" si="8"/>
        <v>0</v>
      </c>
      <c r="BC45" s="11">
        <f t="shared" si="9"/>
        <v>0</v>
      </c>
      <c r="BE45" s="11">
        <f t="shared" si="10"/>
        <v>0</v>
      </c>
      <c r="BF45" s="11">
        <f t="shared" si="11"/>
        <v>0</v>
      </c>
      <c r="BH45" s="11"/>
    </row>
    <row r="46" spans="1:122" x14ac:dyDescent="0.25">
      <c r="A46" s="1">
        <v>46090</v>
      </c>
      <c r="B46" s="21">
        <v>306.01</v>
      </c>
      <c r="C46" s="21">
        <v>306.36</v>
      </c>
      <c r="D46" s="22">
        <v>2.5518089636268899E-2</v>
      </c>
      <c r="E46" s="22">
        <v>2.5923948778206099E-2</v>
      </c>
      <c r="F46" s="21">
        <v>0.21</v>
      </c>
      <c r="G46" s="21">
        <v>0.21</v>
      </c>
      <c r="H46" s="21">
        <v>0.21</v>
      </c>
      <c r="I46" s="21">
        <v>0.21</v>
      </c>
      <c r="J46" s="21">
        <v>0</v>
      </c>
      <c r="K46" s="21">
        <v>0</v>
      </c>
      <c r="L46" s="21">
        <v>306.01</v>
      </c>
      <c r="M46" s="21">
        <v>306.36</v>
      </c>
      <c r="N46" s="23">
        <v>1.0011437534720999</v>
      </c>
      <c r="O46" s="23">
        <v>1.0043771680406</v>
      </c>
      <c r="P46" s="23">
        <v>1.0002644002296399</v>
      </c>
      <c r="Q46" s="23">
        <v>0.99957501902123902</v>
      </c>
      <c r="R46" s="21">
        <v>307.34945719210401</v>
      </c>
      <c r="S46" s="21">
        <v>306.03627357896602</v>
      </c>
      <c r="T46" s="21">
        <v>305.85108629678001</v>
      </c>
      <c r="U46" s="22">
        <v>3.2245162196310601E-3</v>
      </c>
      <c r="V46" s="22">
        <v>-1.0572450067205699E-3</v>
      </c>
      <c r="W46" s="22">
        <v>-1.6625436286030601E-3</v>
      </c>
      <c r="X46" s="23">
        <v>1.0011437534720999</v>
      </c>
      <c r="Y46" s="23">
        <v>1.0043771680406</v>
      </c>
      <c r="Z46" s="23">
        <v>1.0002644002296399</v>
      </c>
      <c r="AA46" s="23">
        <v>0.99957501902123902</v>
      </c>
      <c r="AB46" s="21">
        <v>307.34945719210401</v>
      </c>
      <c r="AC46" s="21">
        <v>306.03627357896602</v>
      </c>
      <c r="AD46" s="21">
        <v>305.85108629678001</v>
      </c>
      <c r="AE46" s="22">
        <v>3.2245162196310601E-3</v>
      </c>
      <c r="AF46" s="22">
        <v>-1.0572450067205699E-3</v>
      </c>
      <c r="AG46" s="22">
        <v>-1.6625436286030601E-3</v>
      </c>
      <c r="AI46" s="5"/>
      <c r="AJ46">
        <f>IF($AG46&lt;AI$21,1,0)</f>
        <v>0</v>
      </c>
      <c r="AK46">
        <f>IF($AG46&gt;AI$22,1,0)</f>
        <v>1</v>
      </c>
      <c r="AL46">
        <f t="shared" si="2"/>
        <v>0</v>
      </c>
      <c r="AM46">
        <f>IF(F47+H47&gt;0,0,1)</f>
        <v>1</v>
      </c>
      <c r="AN46">
        <f t="shared" si="3"/>
        <v>0</v>
      </c>
      <c r="AO46" s="17">
        <f>AN46*D46</f>
        <v>0</v>
      </c>
      <c r="AP46" s="17">
        <f>-AN46*$E46</f>
        <v>0</v>
      </c>
      <c r="AQ46" s="17">
        <f t="shared" si="4"/>
        <v>0</v>
      </c>
      <c r="AR46" s="11">
        <f t="shared" si="5"/>
        <v>0</v>
      </c>
      <c r="AT46" s="5"/>
      <c r="AU46">
        <f>IF($AG46&gt;AT$21,1,0)</f>
        <v>0</v>
      </c>
      <c r="AV46">
        <f>IF($AG46&lt;AT$22,1,0)</f>
        <v>1</v>
      </c>
      <c r="AW46">
        <f t="shared" si="6"/>
        <v>0</v>
      </c>
      <c r="AX46">
        <f>IF(F47+H47&gt;0,0,1)</f>
        <v>1</v>
      </c>
      <c r="AY46">
        <f t="shared" si="7"/>
        <v>0</v>
      </c>
      <c r="AZ46" s="17">
        <f>-AY46*D46</f>
        <v>0</v>
      </c>
      <c r="BA46" s="17">
        <f>AY46*$E46</f>
        <v>0</v>
      </c>
      <c r="BB46" s="17">
        <f t="shared" si="8"/>
        <v>0</v>
      </c>
      <c r="BC46" s="11">
        <f t="shared" si="9"/>
        <v>0</v>
      </c>
      <c r="BE46" s="11">
        <f t="shared" si="10"/>
        <v>0</v>
      </c>
      <c r="BF46" s="11">
        <f t="shared" si="11"/>
        <v>0</v>
      </c>
      <c r="BH46" s="11"/>
    </row>
    <row r="47" spans="1:122" x14ac:dyDescent="0.25">
      <c r="A47" s="1">
        <v>46091</v>
      </c>
      <c r="B47" s="21">
        <v>306.93</v>
      </c>
      <c r="C47" s="21">
        <v>307.04000000000002</v>
      </c>
      <c r="D47" s="22">
        <v>3.0019274019864798E-3</v>
      </c>
      <c r="E47" s="22">
        <v>2.2171512179969301E-3</v>
      </c>
      <c r="F47" s="21">
        <v>0</v>
      </c>
      <c r="G47" s="21">
        <v>0.21</v>
      </c>
      <c r="H47" s="21">
        <v>0</v>
      </c>
      <c r="I47" s="21">
        <v>0.21</v>
      </c>
      <c r="J47" s="21">
        <v>0</v>
      </c>
      <c r="K47" s="21">
        <v>0</v>
      </c>
      <c r="L47" s="21">
        <v>306.93</v>
      </c>
      <c r="M47" s="21">
        <v>307.04000000000002</v>
      </c>
      <c r="N47" s="23">
        <v>1.00035838790603</v>
      </c>
      <c r="O47" s="23">
        <v>1.0043771680406</v>
      </c>
      <c r="P47" s="23">
        <v>1.00030667154308</v>
      </c>
      <c r="Q47" s="23">
        <v>0.99960526887276802</v>
      </c>
      <c r="R47" s="21">
        <v>308.27348418670198</v>
      </c>
      <c r="S47" s="21">
        <v>307.01115236248501</v>
      </c>
      <c r="T47" s="21">
        <v>306.79956058818902</v>
      </c>
      <c r="U47" s="22">
        <v>4.0092924036204004E-3</v>
      </c>
      <c r="V47" s="22">
        <v>-9.3958418366313703E-5</v>
      </c>
      <c r="W47" s="22">
        <v>-7.8339500920113203E-4</v>
      </c>
      <c r="X47" s="23">
        <v>1.00035838790603</v>
      </c>
      <c r="Y47" s="23">
        <v>1.0043771680406</v>
      </c>
      <c r="Z47" s="23">
        <v>1.00030667154308</v>
      </c>
      <c r="AA47" s="23">
        <v>0.99960526887276802</v>
      </c>
      <c r="AB47" s="21">
        <v>308.27348418670198</v>
      </c>
      <c r="AC47" s="21">
        <v>307.01115236248501</v>
      </c>
      <c r="AD47" s="21">
        <v>306.79956058818902</v>
      </c>
      <c r="AE47" s="22">
        <v>4.0092924036204004E-3</v>
      </c>
      <c r="AF47" s="22">
        <v>-9.3958418366313703E-5</v>
      </c>
      <c r="AG47" s="22">
        <v>-7.8339500920113203E-4</v>
      </c>
      <c r="AI47" s="5"/>
      <c r="AJ47">
        <f>IF($AG47&lt;AI$21,1,0)</f>
        <v>0</v>
      </c>
      <c r="AK47">
        <f>IF($AG47&gt;AI$22,1,0)</f>
        <v>1</v>
      </c>
      <c r="AL47">
        <f t="shared" si="2"/>
        <v>0</v>
      </c>
      <c r="AM47">
        <f>IF(F48+H48&gt;0,0,1)</f>
        <v>1</v>
      </c>
      <c r="AN47">
        <f t="shared" si="3"/>
        <v>0</v>
      </c>
      <c r="AO47" s="17">
        <f>AN47*D47</f>
        <v>0</v>
      </c>
      <c r="AP47" s="17">
        <f>-AN47*$E47</f>
        <v>0</v>
      </c>
      <c r="AQ47" s="17">
        <f t="shared" si="4"/>
        <v>0</v>
      </c>
      <c r="AR47" s="11">
        <f t="shared" si="5"/>
        <v>0</v>
      </c>
      <c r="AT47" s="5"/>
      <c r="AU47">
        <f>IF($AG47&gt;AT$21,1,0)</f>
        <v>0</v>
      </c>
      <c r="AV47">
        <f>IF($AG47&lt;AT$22,1,0)</f>
        <v>1</v>
      </c>
      <c r="AW47">
        <f t="shared" si="6"/>
        <v>0</v>
      </c>
      <c r="AX47">
        <f>IF(F48+H48&gt;0,0,1)</f>
        <v>1</v>
      </c>
      <c r="AY47">
        <f t="shared" si="7"/>
        <v>0</v>
      </c>
      <c r="AZ47" s="17">
        <f>-AY47*D47</f>
        <v>0</v>
      </c>
      <c r="BA47" s="17">
        <f>AY47*$E47</f>
        <v>0</v>
      </c>
      <c r="BB47" s="17">
        <f t="shared" si="8"/>
        <v>0</v>
      </c>
      <c r="BC47" s="11">
        <f t="shared" si="9"/>
        <v>0</v>
      </c>
      <c r="BE47" s="11">
        <f t="shared" si="10"/>
        <v>0</v>
      </c>
      <c r="BF47" s="11">
        <f t="shared" si="11"/>
        <v>0</v>
      </c>
      <c r="BH47" s="11"/>
    </row>
    <row r="48" spans="1:122" x14ac:dyDescent="0.25">
      <c r="A48" s="1">
        <v>46092</v>
      </c>
      <c r="B48" s="21">
        <v>308.42</v>
      </c>
      <c r="C48" s="21">
        <v>308.7</v>
      </c>
      <c r="D48" s="22">
        <v>4.8427818705522102E-3</v>
      </c>
      <c r="E48" s="22">
        <v>5.3918992487237997E-3</v>
      </c>
      <c r="F48" s="21">
        <v>0</v>
      </c>
      <c r="G48" s="21">
        <v>0.21</v>
      </c>
      <c r="H48" s="21">
        <v>0</v>
      </c>
      <c r="I48" s="21">
        <v>0.21</v>
      </c>
      <c r="J48" s="21">
        <v>0</v>
      </c>
      <c r="K48" s="21">
        <v>0</v>
      </c>
      <c r="L48" s="21">
        <v>308.42</v>
      </c>
      <c r="M48" s="21">
        <v>308.7</v>
      </c>
      <c r="N48" s="23">
        <v>1.0009078529278199</v>
      </c>
      <c r="O48" s="23">
        <v>1.0043771680406</v>
      </c>
      <c r="P48" s="23">
        <v>1.00043898640172</v>
      </c>
      <c r="Q48" s="23">
        <v>0.999658507610237</v>
      </c>
      <c r="R48" s="21">
        <v>309.77000616708199</v>
      </c>
      <c r="S48" s="21">
        <v>308.51458363731803</v>
      </c>
      <c r="T48" s="21">
        <v>308.29825702573902</v>
      </c>
      <c r="U48" s="22">
        <v>3.4601750254489201E-3</v>
      </c>
      <c r="V48" s="22">
        <v>-6.0081654962404897E-4</v>
      </c>
      <c r="W48" s="22">
        <v>-1.3022501326733799E-3</v>
      </c>
      <c r="X48" s="23">
        <v>1.0009078529278199</v>
      </c>
      <c r="Y48" s="23">
        <v>1.0043771680406</v>
      </c>
      <c r="Z48" s="23">
        <v>1.00043898640172</v>
      </c>
      <c r="AA48" s="23">
        <v>0.999658507610237</v>
      </c>
      <c r="AB48" s="21">
        <v>309.77000616708199</v>
      </c>
      <c r="AC48" s="21">
        <v>308.51458363731803</v>
      </c>
      <c r="AD48" s="21">
        <v>308.29825702573902</v>
      </c>
      <c r="AE48" s="22">
        <v>3.4601750254489201E-3</v>
      </c>
      <c r="AF48" s="22">
        <v>-6.0081654962404897E-4</v>
      </c>
      <c r="AG48" s="22">
        <v>-1.3022501326733799E-3</v>
      </c>
      <c r="AI48" s="5"/>
      <c r="AJ48">
        <f>IF($AG48&lt;AI$21,1,0)</f>
        <v>0</v>
      </c>
      <c r="AK48">
        <f>IF($AG48&gt;AI$22,1,0)</f>
        <v>1</v>
      </c>
      <c r="AL48">
        <f t="shared" si="2"/>
        <v>0</v>
      </c>
      <c r="AM48">
        <f>IF(F49+H49&gt;0,0,1)</f>
        <v>1</v>
      </c>
      <c r="AN48">
        <f t="shared" si="3"/>
        <v>0</v>
      </c>
      <c r="AO48" s="17">
        <f>AN48*D48</f>
        <v>0</v>
      </c>
      <c r="AP48" s="17">
        <f>-AN48*$E48</f>
        <v>0</v>
      </c>
      <c r="AQ48" s="17">
        <f t="shared" si="4"/>
        <v>0</v>
      </c>
      <c r="AR48" s="11">
        <f t="shared" si="5"/>
        <v>0</v>
      </c>
      <c r="AT48" s="5"/>
      <c r="AU48">
        <f>IF($AG48&gt;AT$21,1,0)</f>
        <v>0</v>
      </c>
      <c r="AV48">
        <f>IF($AG48&lt;AT$22,1,0)</f>
        <v>1</v>
      </c>
      <c r="AW48">
        <f t="shared" si="6"/>
        <v>0</v>
      </c>
      <c r="AX48">
        <f>IF(F49+H49&gt;0,0,1)</f>
        <v>1</v>
      </c>
      <c r="AY48">
        <f t="shared" si="7"/>
        <v>0</v>
      </c>
      <c r="AZ48" s="17">
        <f>-AY48*D48</f>
        <v>0</v>
      </c>
      <c r="BA48" s="17">
        <f>AY48*$E48</f>
        <v>0</v>
      </c>
      <c r="BB48" s="17">
        <f t="shared" si="8"/>
        <v>0</v>
      </c>
      <c r="BC48" s="11">
        <f t="shared" si="9"/>
        <v>0</v>
      </c>
      <c r="BE48" s="11">
        <f t="shared" si="10"/>
        <v>0</v>
      </c>
      <c r="BF48" s="11">
        <f t="shared" si="11"/>
        <v>0</v>
      </c>
      <c r="BH48" s="11"/>
    </row>
    <row r="49" spans="1:60" x14ac:dyDescent="0.25">
      <c r="A49" s="1">
        <v>46093</v>
      </c>
      <c r="B49" s="21">
        <v>303.20999999999998</v>
      </c>
      <c r="C49" s="21">
        <v>303.55</v>
      </c>
      <c r="D49" s="22">
        <v>-1.7036855674829599E-2</v>
      </c>
      <c r="E49" s="22">
        <v>-1.68235899316704E-2</v>
      </c>
      <c r="F49" s="21">
        <v>0</v>
      </c>
      <c r="G49" s="21">
        <v>0.21</v>
      </c>
      <c r="H49" s="21">
        <v>0</v>
      </c>
      <c r="I49" s="21">
        <v>0.21</v>
      </c>
      <c r="J49" s="21">
        <v>0</v>
      </c>
      <c r="K49" s="21">
        <v>0</v>
      </c>
      <c r="L49" s="21">
        <v>303.20999999999998</v>
      </c>
      <c r="M49" s="21">
        <v>303.55</v>
      </c>
      <c r="N49" s="23">
        <v>1.0011213350483099</v>
      </c>
      <c r="O49" s="23">
        <v>1.0043771680406</v>
      </c>
      <c r="P49" s="23">
        <v>1.00047623792706</v>
      </c>
      <c r="Q49" s="23">
        <v>0.99977399684040902</v>
      </c>
      <c r="R49" s="21">
        <v>304.53720112159101</v>
      </c>
      <c r="S49" s="21">
        <v>303.34310506686597</v>
      </c>
      <c r="T49" s="21">
        <v>303.10645609250003</v>
      </c>
      <c r="U49" s="22">
        <v>3.2469092822898699E-3</v>
      </c>
      <c r="V49" s="22">
        <v>-6.8181674637926299E-4</v>
      </c>
      <c r="W49" s="22">
        <v>-1.4622575333291101E-3</v>
      </c>
      <c r="X49" s="23">
        <v>1.0011213350483099</v>
      </c>
      <c r="Y49" s="23">
        <v>1.0043771680406</v>
      </c>
      <c r="Z49" s="23">
        <v>1.00047623792706</v>
      </c>
      <c r="AA49" s="23">
        <v>0.99977399684040902</v>
      </c>
      <c r="AB49" s="21">
        <v>304.53720112159101</v>
      </c>
      <c r="AC49" s="21">
        <v>303.34310506686597</v>
      </c>
      <c r="AD49" s="21">
        <v>303.10645609250003</v>
      </c>
      <c r="AE49" s="22">
        <v>3.2469092822898699E-3</v>
      </c>
      <c r="AF49" s="22">
        <v>-6.8181674637926299E-4</v>
      </c>
      <c r="AG49" s="22">
        <v>-1.4622575333291101E-3</v>
      </c>
      <c r="AI49" s="5"/>
      <c r="AJ49">
        <f>IF($AG49&lt;AI$21,1,0)</f>
        <v>0</v>
      </c>
      <c r="AK49">
        <f>IF($AG49&gt;AI$22,1,0)</f>
        <v>1</v>
      </c>
      <c r="AL49">
        <f t="shared" si="2"/>
        <v>0</v>
      </c>
      <c r="AM49">
        <f>IF(F50+H50&gt;0,0,1)</f>
        <v>1</v>
      </c>
      <c r="AN49">
        <f t="shared" si="3"/>
        <v>0</v>
      </c>
      <c r="AO49" s="17">
        <f>AN49*D49</f>
        <v>0</v>
      </c>
      <c r="AP49" s="17">
        <f>-AN49*$E49</f>
        <v>0</v>
      </c>
      <c r="AQ49" s="17">
        <f t="shared" si="4"/>
        <v>0</v>
      </c>
      <c r="AR49" s="11">
        <f t="shared" si="5"/>
        <v>0</v>
      </c>
      <c r="AT49" s="5"/>
      <c r="AU49">
        <f>IF($AG49&gt;AT$21,1,0)</f>
        <v>0</v>
      </c>
      <c r="AV49">
        <f>IF($AG49&lt;AT$22,1,0)</f>
        <v>1</v>
      </c>
      <c r="AW49">
        <f t="shared" si="6"/>
        <v>0</v>
      </c>
      <c r="AX49">
        <f>IF(F50+H50&gt;0,0,1)</f>
        <v>1</v>
      </c>
      <c r="AY49">
        <f t="shared" si="7"/>
        <v>0</v>
      </c>
      <c r="AZ49" s="17">
        <f>-AY49*D49</f>
        <v>0</v>
      </c>
      <c r="BA49" s="17">
        <f>AY49*$E49</f>
        <v>0</v>
      </c>
      <c r="BB49" s="17">
        <f t="shared" si="8"/>
        <v>0</v>
      </c>
      <c r="BC49" s="11">
        <f t="shared" si="9"/>
        <v>0</v>
      </c>
      <c r="BE49" s="11">
        <f t="shared" si="10"/>
        <v>0</v>
      </c>
      <c r="BF49" s="11">
        <f t="shared" si="11"/>
        <v>0</v>
      </c>
      <c r="BH49" s="11"/>
    </row>
    <row r="50" spans="1:60" x14ac:dyDescent="0.25">
      <c r="A50" s="1">
        <v>46094</v>
      </c>
      <c r="B50" s="21">
        <v>301.45999999999998</v>
      </c>
      <c r="C50" s="21">
        <v>302.27999999999997</v>
      </c>
      <c r="D50" s="22">
        <v>-5.7882973722977399E-3</v>
      </c>
      <c r="E50" s="22">
        <v>-4.1926014239239903E-3</v>
      </c>
      <c r="F50" s="21">
        <v>0</v>
      </c>
      <c r="G50" s="21">
        <v>0.21</v>
      </c>
      <c r="H50" s="21">
        <v>0</v>
      </c>
      <c r="I50" s="21">
        <v>0.21</v>
      </c>
      <c r="J50" s="21">
        <v>0</v>
      </c>
      <c r="K50" s="21">
        <v>0</v>
      </c>
      <c r="L50" s="21">
        <v>301.45999999999998</v>
      </c>
      <c r="M50" s="21">
        <v>302.27999999999997</v>
      </c>
      <c r="N50" s="23">
        <v>1.0027200955350599</v>
      </c>
      <c r="O50" s="23">
        <v>1.0043771680406</v>
      </c>
      <c r="P50" s="23">
        <v>1.0006422846638801</v>
      </c>
      <c r="Q50" s="23">
        <v>0.99996980056340801</v>
      </c>
      <c r="R50" s="21">
        <v>302.77954107751998</v>
      </c>
      <c r="S50" s="21">
        <v>301.60356668549298</v>
      </c>
      <c r="T50" s="21">
        <v>301.39186908750901</v>
      </c>
      <c r="U50" s="22">
        <v>1.65121333391602E-3</v>
      </c>
      <c r="V50" s="22">
        <v>-2.2402782083595402E-3</v>
      </c>
      <c r="W50" s="22">
        <v>-2.9424314722887499E-3</v>
      </c>
      <c r="X50" s="23">
        <v>1.0027200955350599</v>
      </c>
      <c r="Y50" s="23">
        <v>1.0043771680406</v>
      </c>
      <c r="Z50" s="23">
        <v>1.0006422846638801</v>
      </c>
      <c r="AA50" s="23">
        <v>0.99996980056340801</v>
      </c>
      <c r="AB50" s="21">
        <v>302.77954107751998</v>
      </c>
      <c r="AC50" s="21">
        <v>301.60356668549298</v>
      </c>
      <c r="AD50" s="21">
        <v>301.39186908750901</v>
      </c>
      <c r="AE50" s="22">
        <v>1.65121333391602E-3</v>
      </c>
      <c r="AF50" s="22">
        <v>-2.2402782083595402E-3</v>
      </c>
      <c r="AG50" s="22">
        <v>-2.9424314722887499E-3</v>
      </c>
      <c r="AI50" s="5"/>
      <c r="AJ50">
        <f>IF($AG50&lt;AI$21,1,0)</f>
        <v>0</v>
      </c>
      <c r="AK50">
        <f>IF($AG50&gt;AI$22,1,0)</f>
        <v>0</v>
      </c>
      <c r="AL50">
        <f t="shared" si="2"/>
        <v>0</v>
      </c>
      <c r="AM50">
        <f>IF(F51+H51&gt;0,0,1)</f>
        <v>1</v>
      </c>
      <c r="AN50">
        <f t="shared" si="3"/>
        <v>0</v>
      </c>
      <c r="AO50" s="17">
        <f>AN50*D50</f>
        <v>0</v>
      </c>
      <c r="AP50" s="17">
        <f>-AN50*$E50</f>
        <v>0</v>
      </c>
      <c r="AQ50" s="17">
        <f t="shared" si="4"/>
        <v>0</v>
      </c>
      <c r="AR50" s="11">
        <f t="shared" si="5"/>
        <v>0</v>
      </c>
      <c r="AT50" s="5"/>
      <c r="AU50">
        <f>IF($AG50&gt;AT$21,1,0)</f>
        <v>0</v>
      </c>
      <c r="AV50">
        <f>IF($AG50&lt;AT$22,1,0)</f>
        <v>1</v>
      </c>
      <c r="AW50">
        <f t="shared" si="6"/>
        <v>0</v>
      </c>
      <c r="AX50">
        <f>IF(F51+H51&gt;0,0,1)</f>
        <v>1</v>
      </c>
      <c r="AY50">
        <f t="shared" si="7"/>
        <v>0</v>
      </c>
      <c r="AZ50" s="17">
        <f>-AY50*D50</f>
        <v>0</v>
      </c>
      <c r="BA50" s="17">
        <f>AY50*$E50</f>
        <v>0</v>
      </c>
      <c r="BB50" s="17">
        <f t="shared" si="8"/>
        <v>0</v>
      </c>
      <c r="BC50" s="11">
        <f t="shared" si="9"/>
        <v>0</v>
      </c>
      <c r="BE50" s="11">
        <f t="shared" si="10"/>
        <v>0</v>
      </c>
      <c r="BF50" s="11">
        <f t="shared" si="11"/>
        <v>0</v>
      </c>
      <c r="BH50" s="11"/>
    </row>
    <row r="51" spans="1:60" x14ac:dyDescent="0.25">
      <c r="A51" s="1">
        <v>46097</v>
      </c>
      <c r="B51" s="21">
        <v>304.42</v>
      </c>
      <c r="C51" s="21">
        <v>305.56</v>
      </c>
      <c r="D51" s="22">
        <v>9.7709894691377207E-3</v>
      </c>
      <c r="E51" s="22">
        <v>1.0792418520639901E-2</v>
      </c>
      <c r="F51" s="21">
        <v>0</v>
      </c>
      <c r="G51" s="21">
        <v>0.21</v>
      </c>
      <c r="H51" s="21">
        <v>0</v>
      </c>
      <c r="I51" s="21">
        <v>0.21</v>
      </c>
      <c r="J51" s="21">
        <v>0</v>
      </c>
      <c r="K51" s="21">
        <v>0</v>
      </c>
      <c r="L51" s="21">
        <v>304.42</v>
      </c>
      <c r="M51" s="21">
        <v>305.56</v>
      </c>
      <c r="N51" s="23">
        <v>1.00374482622692</v>
      </c>
      <c r="O51" s="23">
        <v>1.0043771680406</v>
      </c>
      <c r="P51" s="23">
        <v>1.00096454114739</v>
      </c>
      <c r="Q51" s="23">
        <v>1.0002060582789101</v>
      </c>
      <c r="R51" s="21">
        <v>305.75249749492002</v>
      </c>
      <c r="S51" s="21">
        <v>304.61552429737998</v>
      </c>
      <c r="T51" s="21">
        <v>304.41080668751198</v>
      </c>
      <c r="U51" s="22">
        <v>6.2978428241381595E-4</v>
      </c>
      <c r="V51" s="22">
        <v>-3.0957533342664402E-3</v>
      </c>
      <c r="W51" s="22">
        <v>-3.7680317142419501E-3</v>
      </c>
      <c r="X51" s="23">
        <v>1.00374482622692</v>
      </c>
      <c r="Y51" s="23">
        <v>1.0043771680406</v>
      </c>
      <c r="Z51" s="23">
        <v>1.00096454114739</v>
      </c>
      <c r="AA51" s="23">
        <v>1.0002060582789101</v>
      </c>
      <c r="AB51" s="21">
        <v>305.75249749492002</v>
      </c>
      <c r="AC51" s="21">
        <v>304.61552429737998</v>
      </c>
      <c r="AD51" s="21">
        <v>304.41080668751198</v>
      </c>
      <c r="AE51" s="22">
        <v>6.2978428241381595E-4</v>
      </c>
      <c r="AF51" s="22">
        <v>-3.0957533342664402E-3</v>
      </c>
      <c r="AG51" s="22">
        <v>-3.7680317142419501E-3</v>
      </c>
      <c r="AI51" s="5"/>
      <c r="AJ51">
        <f>IF($AG51&lt;AI$21,1,0)</f>
        <v>0</v>
      </c>
      <c r="AK51">
        <f>IF($AG51&gt;AI$22,1,0)</f>
        <v>0</v>
      </c>
      <c r="AL51">
        <f t="shared" si="2"/>
        <v>0</v>
      </c>
      <c r="AM51">
        <f>IF(F52+H52&gt;0,0,1)</f>
        <v>1</v>
      </c>
      <c r="AN51">
        <f t="shared" si="3"/>
        <v>0</v>
      </c>
      <c r="AO51" s="17">
        <f>AN51*D51</f>
        <v>0</v>
      </c>
      <c r="AP51" s="17">
        <f>-AN51*$E51</f>
        <v>0</v>
      </c>
      <c r="AQ51" s="17">
        <f t="shared" si="4"/>
        <v>0</v>
      </c>
      <c r="AR51" s="11">
        <f t="shared" si="5"/>
        <v>0</v>
      </c>
      <c r="AT51" s="5"/>
      <c r="AU51">
        <f>IF($AG51&gt;AT$21,1,0)</f>
        <v>0</v>
      </c>
      <c r="AV51">
        <f>IF($AG51&lt;AT$22,1,0)</f>
        <v>1</v>
      </c>
      <c r="AW51">
        <f t="shared" si="6"/>
        <v>0</v>
      </c>
      <c r="AX51">
        <f>IF(F52+H52&gt;0,0,1)</f>
        <v>1</v>
      </c>
      <c r="AY51">
        <f t="shared" si="7"/>
        <v>0</v>
      </c>
      <c r="AZ51" s="17">
        <f>-AY51*D51</f>
        <v>0</v>
      </c>
      <c r="BA51" s="17">
        <f>AY51*$E51</f>
        <v>0</v>
      </c>
      <c r="BB51" s="17">
        <f t="shared" si="8"/>
        <v>0</v>
      </c>
      <c r="BC51" s="11">
        <f t="shared" si="9"/>
        <v>0</v>
      </c>
      <c r="BE51" s="11">
        <f t="shared" si="10"/>
        <v>0</v>
      </c>
      <c r="BF51" s="11">
        <f t="shared" si="11"/>
        <v>0</v>
      </c>
      <c r="BH51" s="11"/>
    </row>
    <row r="52" spans="1:60" x14ac:dyDescent="0.25">
      <c r="A52" s="1">
        <v>46098</v>
      </c>
      <c r="B52" s="21">
        <v>309.41000000000003</v>
      </c>
      <c r="C52" s="21">
        <v>310.92</v>
      </c>
      <c r="D52" s="22">
        <v>1.6258931385701E-2</v>
      </c>
      <c r="E52" s="22">
        <v>1.738948568886E-2</v>
      </c>
      <c r="F52" s="21">
        <v>0</v>
      </c>
      <c r="G52" s="21">
        <v>0.21</v>
      </c>
      <c r="H52" s="21">
        <v>0</v>
      </c>
      <c r="I52" s="21">
        <v>0.21</v>
      </c>
      <c r="J52" s="21">
        <v>0</v>
      </c>
      <c r="K52" s="21">
        <v>0</v>
      </c>
      <c r="L52" s="21">
        <v>309.41000000000003</v>
      </c>
      <c r="M52" s="21">
        <v>310.92</v>
      </c>
      <c r="N52" s="23">
        <v>1.0048802559710399</v>
      </c>
      <c r="O52" s="23">
        <v>1.0043771680406</v>
      </c>
      <c r="P52" s="23">
        <v>1.00144597826117</v>
      </c>
      <c r="Q52" s="23">
        <v>1.0005821627490801</v>
      </c>
      <c r="R52" s="21">
        <v>310.76433956344198</v>
      </c>
      <c r="S52" s="21">
        <v>309.70843867641599</v>
      </c>
      <c r="T52" s="21">
        <v>309.47375649207697</v>
      </c>
      <c r="U52" s="22">
        <v>-5.0077002074506896E-4</v>
      </c>
      <c r="V52" s="22">
        <v>-3.90430984831079E-3</v>
      </c>
      <c r="W52" s="22">
        <v>-4.6623490729772298E-3</v>
      </c>
      <c r="X52" s="23">
        <v>1.0048802559710399</v>
      </c>
      <c r="Y52" s="23">
        <v>1.0043771680406</v>
      </c>
      <c r="Z52" s="23">
        <v>1.00144597826117</v>
      </c>
      <c r="AA52" s="23">
        <v>1.0005821627490801</v>
      </c>
      <c r="AB52" s="21">
        <v>310.76433956344198</v>
      </c>
      <c r="AC52" s="21">
        <v>309.70843867641599</v>
      </c>
      <c r="AD52" s="21">
        <v>309.47375649207697</v>
      </c>
      <c r="AE52" s="22">
        <v>-5.0077002074506896E-4</v>
      </c>
      <c r="AF52" s="22">
        <v>-3.90430984831079E-3</v>
      </c>
      <c r="AG52" s="22">
        <v>-4.6623490729772298E-3</v>
      </c>
      <c r="AI52" s="5"/>
      <c r="AJ52">
        <f>IF($AG52&lt;AI$21,1,0)</f>
        <v>1</v>
      </c>
      <c r="AK52">
        <f>IF($AG52&gt;AI$22,1,0)</f>
        <v>0</v>
      </c>
      <c r="AL52">
        <f t="shared" si="2"/>
        <v>0</v>
      </c>
      <c r="AM52">
        <f>IF(F53+H53&gt;0,0,1)</f>
        <v>1</v>
      </c>
      <c r="AN52">
        <f t="shared" si="3"/>
        <v>0</v>
      </c>
      <c r="AO52" s="17">
        <f>AN52*D52</f>
        <v>0</v>
      </c>
      <c r="AP52" s="17">
        <f>-AN52*$E52</f>
        <v>0</v>
      </c>
      <c r="AQ52" s="17">
        <f t="shared" si="4"/>
        <v>0</v>
      </c>
      <c r="AR52" s="11">
        <f t="shared" si="5"/>
        <v>0</v>
      </c>
      <c r="AT52" s="5"/>
      <c r="AU52">
        <f>IF($AG52&gt;AT$21,1,0)</f>
        <v>0</v>
      </c>
      <c r="AV52">
        <f>IF($AG52&lt;AT$22,1,0)</f>
        <v>1</v>
      </c>
      <c r="AW52">
        <f t="shared" si="6"/>
        <v>0</v>
      </c>
      <c r="AX52">
        <f>IF(F53+H53&gt;0,0,1)</f>
        <v>1</v>
      </c>
      <c r="AY52">
        <f t="shared" si="7"/>
        <v>0</v>
      </c>
      <c r="AZ52" s="17">
        <f>-AY52*D52</f>
        <v>0</v>
      </c>
      <c r="BA52" s="17">
        <f>AY52*$E52</f>
        <v>0</v>
      </c>
      <c r="BB52" s="17">
        <f t="shared" si="8"/>
        <v>0</v>
      </c>
      <c r="BC52" s="11">
        <f t="shared" si="9"/>
        <v>0</v>
      </c>
      <c r="BE52" s="11">
        <f t="shared" si="10"/>
        <v>0</v>
      </c>
      <c r="BF52" s="11">
        <f t="shared" si="11"/>
        <v>0</v>
      </c>
      <c r="BH52" s="11"/>
    </row>
    <row r="53" spans="1:60" x14ac:dyDescent="0.25">
      <c r="A53" s="1">
        <v>46099</v>
      </c>
      <c r="B53" s="21">
        <v>306.3</v>
      </c>
      <c r="C53" s="21">
        <v>307.69</v>
      </c>
      <c r="D53" s="22">
        <v>-1.01022443984921E-2</v>
      </c>
      <c r="E53" s="22">
        <v>-1.04428617496532E-2</v>
      </c>
      <c r="F53" s="21">
        <v>0</v>
      </c>
      <c r="G53" s="21">
        <v>0.21</v>
      </c>
      <c r="H53" s="21">
        <v>0</v>
      </c>
      <c r="I53" s="21">
        <v>0.21</v>
      </c>
      <c r="J53" s="21">
        <v>0</v>
      </c>
      <c r="K53" s="21">
        <v>0</v>
      </c>
      <c r="L53" s="21">
        <v>306.3</v>
      </c>
      <c r="M53" s="21">
        <v>307.69</v>
      </c>
      <c r="N53" s="23">
        <v>1.00453803460659</v>
      </c>
      <c r="O53" s="23">
        <v>1.0043771680406</v>
      </c>
      <c r="P53" s="23">
        <v>1.00200523566811</v>
      </c>
      <c r="Q53" s="23">
        <v>1.0009094132324501</v>
      </c>
      <c r="R53" s="21">
        <v>307.64072657083602</v>
      </c>
      <c r="S53" s="21">
        <v>306.74290314139603</v>
      </c>
      <c r="T53" s="21">
        <v>306.47831645004402</v>
      </c>
      <c r="U53" s="22">
        <v>-1.6015266958415699E-4</v>
      </c>
      <c r="V53" s="22">
        <v>-3.0828349323463598E-3</v>
      </c>
      <c r="W53" s="22">
        <v>-3.9457754155470901E-3</v>
      </c>
      <c r="X53" s="23">
        <v>1.00453803460659</v>
      </c>
      <c r="Y53" s="23">
        <v>1.0043771680406</v>
      </c>
      <c r="Z53" s="23">
        <v>1.00200523566811</v>
      </c>
      <c r="AA53" s="23">
        <v>1.0009094132324501</v>
      </c>
      <c r="AB53" s="21">
        <v>307.64072657083602</v>
      </c>
      <c r="AC53" s="21">
        <v>306.74290314139603</v>
      </c>
      <c r="AD53" s="21">
        <v>306.47831645004402</v>
      </c>
      <c r="AE53" s="22">
        <v>-1.6015266958415699E-4</v>
      </c>
      <c r="AF53" s="22">
        <v>-3.0828349323463598E-3</v>
      </c>
      <c r="AG53" s="22">
        <v>-3.9457754155470901E-3</v>
      </c>
      <c r="AI53" s="5"/>
      <c r="AJ53">
        <f>IF($AG53&lt;AI$21,1,0)</f>
        <v>0</v>
      </c>
      <c r="AK53">
        <f>IF($AG53&gt;AI$22,1,0)</f>
        <v>0</v>
      </c>
      <c r="AL53">
        <f t="shared" si="2"/>
        <v>1</v>
      </c>
      <c r="AM53">
        <f>IF(F54+H54&gt;0,0,1)</f>
        <v>1</v>
      </c>
      <c r="AN53">
        <f t="shared" si="3"/>
        <v>1</v>
      </c>
      <c r="AO53" s="17">
        <f>AN53*D53</f>
        <v>-1.01022443984921E-2</v>
      </c>
      <c r="AP53" s="17">
        <f>-AN53*$E53</f>
        <v>1.04428617496532E-2</v>
      </c>
      <c r="AQ53" s="17">
        <f t="shared" si="4"/>
        <v>3.4061735116109985E-4</v>
      </c>
      <c r="AR53" s="11">
        <f t="shared" si="5"/>
        <v>3.4061735116109985E-4</v>
      </c>
      <c r="AT53" s="5"/>
      <c r="AU53">
        <f>IF($AG53&gt;AT$21,1,0)</f>
        <v>0</v>
      </c>
      <c r="AV53">
        <f>IF($AG53&lt;AT$22,1,0)</f>
        <v>1</v>
      </c>
      <c r="AW53">
        <f t="shared" si="6"/>
        <v>0</v>
      </c>
      <c r="AX53">
        <f>IF(F54+H54&gt;0,0,1)</f>
        <v>1</v>
      </c>
      <c r="AY53">
        <f t="shared" si="7"/>
        <v>0</v>
      </c>
      <c r="AZ53" s="17">
        <f>-AY53*D53</f>
        <v>0</v>
      </c>
      <c r="BA53" s="17">
        <f>AY53*$E53</f>
        <v>0</v>
      </c>
      <c r="BB53" s="17">
        <f t="shared" si="8"/>
        <v>0</v>
      </c>
      <c r="BC53" s="11">
        <f t="shared" si="9"/>
        <v>0</v>
      </c>
      <c r="BE53" s="11">
        <f t="shared" si="10"/>
        <v>3.4061735116109985E-4</v>
      </c>
      <c r="BF53" s="11">
        <f t="shared" si="11"/>
        <v>3.4061735116109985E-4</v>
      </c>
      <c r="BH53" s="11"/>
    </row>
    <row r="54" spans="1:60" x14ac:dyDescent="0.25">
      <c r="A54" s="1">
        <v>46100</v>
      </c>
      <c r="B54" s="21">
        <v>305.73</v>
      </c>
      <c r="C54" s="21">
        <v>307.13</v>
      </c>
      <c r="D54" s="22">
        <v>-1.86265433001765E-3</v>
      </c>
      <c r="E54" s="22">
        <v>-1.8216718872606601E-3</v>
      </c>
      <c r="F54" s="21">
        <v>0</v>
      </c>
      <c r="G54" s="21">
        <v>0.21</v>
      </c>
      <c r="H54" s="21">
        <v>0</v>
      </c>
      <c r="I54" s="21">
        <v>0.21</v>
      </c>
      <c r="J54" s="21">
        <v>0</v>
      </c>
      <c r="K54" s="21">
        <v>0</v>
      </c>
      <c r="L54" s="21">
        <v>305.73</v>
      </c>
      <c r="M54" s="21">
        <v>307.13</v>
      </c>
      <c r="N54" s="23">
        <v>1.00457920387269</v>
      </c>
      <c r="O54" s="23">
        <v>1.0043771680406</v>
      </c>
      <c r="P54" s="23">
        <v>1.00247312581378</v>
      </c>
      <c r="Q54" s="23">
        <v>1.00125531900521</v>
      </c>
      <c r="R54" s="21">
        <v>307.06823158505301</v>
      </c>
      <c r="S54" s="21">
        <v>306.34306070081198</v>
      </c>
      <c r="T54" s="21">
        <v>306.00803490755902</v>
      </c>
      <c r="U54" s="22">
        <v>-2.0113511234108499E-4</v>
      </c>
      <c r="V54" s="22">
        <v>-2.56552334969161E-3</v>
      </c>
      <c r="W54" s="22">
        <v>-3.6597512496161898E-3</v>
      </c>
      <c r="X54" s="23">
        <v>1.00457920387269</v>
      </c>
      <c r="Y54" s="23">
        <v>1.0043771680406</v>
      </c>
      <c r="Z54" s="23">
        <v>1.00247312581378</v>
      </c>
      <c r="AA54" s="23">
        <v>1.00125531900521</v>
      </c>
      <c r="AB54" s="21">
        <v>307.06823158505301</v>
      </c>
      <c r="AC54" s="21">
        <v>306.34306070081198</v>
      </c>
      <c r="AD54" s="21">
        <v>306.00803490755902</v>
      </c>
      <c r="AE54" s="22">
        <v>-2.0113511234108499E-4</v>
      </c>
      <c r="AF54" s="22">
        <v>-2.56552334969161E-3</v>
      </c>
      <c r="AG54" s="22">
        <v>-3.6597512496161898E-3</v>
      </c>
      <c r="AI54" s="5"/>
      <c r="AJ54">
        <f>IF($AG54&lt;AI$21,1,0)</f>
        <v>0</v>
      </c>
      <c r="AK54">
        <f>IF($AG54&gt;AI$22,1,0)</f>
        <v>0</v>
      </c>
      <c r="AL54">
        <f t="shared" si="2"/>
        <v>1</v>
      </c>
      <c r="AM54">
        <f>IF(F55+H55&gt;0,0,1)</f>
        <v>1</v>
      </c>
      <c r="AN54">
        <f t="shared" si="3"/>
        <v>1</v>
      </c>
      <c r="AO54" s="17">
        <f>AN54*D54</f>
        <v>-1.86265433001765E-3</v>
      </c>
      <c r="AP54" s="17">
        <f>-AN54*$E54</f>
        <v>1.8216718872606601E-3</v>
      </c>
      <c r="AQ54" s="17">
        <f t="shared" si="4"/>
        <v>-4.098244275698988E-5</v>
      </c>
      <c r="AR54" s="11">
        <f t="shared" si="5"/>
        <v>2.9963490840410997E-4</v>
      </c>
      <c r="AT54" s="5"/>
      <c r="AU54">
        <f>IF($AG54&gt;AT$21,1,0)</f>
        <v>0</v>
      </c>
      <c r="AV54">
        <f>IF($AG54&lt;AT$22,1,0)</f>
        <v>1</v>
      </c>
      <c r="AW54">
        <f t="shared" si="6"/>
        <v>0</v>
      </c>
      <c r="AX54">
        <f>IF(F55+H55&gt;0,0,1)</f>
        <v>1</v>
      </c>
      <c r="AY54">
        <f t="shared" si="7"/>
        <v>0</v>
      </c>
      <c r="AZ54" s="17">
        <f>-AY54*D54</f>
        <v>0</v>
      </c>
      <c r="BA54" s="17">
        <f>AY54*$E54</f>
        <v>0</v>
      </c>
      <c r="BB54" s="17">
        <f t="shared" si="8"/>
        <v>0</v>
      </c>
      <c r="BC54" s="11">
        <f t="shared" si="9"/>
        <v>0</v>
      </c>
      <c r="BE54" s="11">
        <f t="shared" si="10"/>
        <v>-4.098244275698988E-5</v>
      </c>
      <c r="BF54" s="11">
        <f t="shared" si="11"/>
        <v>2.9963490840410997E-4</v>
      </c>
      <c r="BH54" s="11"/>
    </row>
    <row r="55" spans="1:60" x14ac:dyDescent="0.25">
      <c r="A55" s="1">
        <v>46101</v>
      </c>
      <c r="B55" s="21">
        <v>298.79000000000002</v>
      </c>
      <c r="C55" s="21">
        <v>301</v>
      </c>
      <c r="D55" s="22">
        <v>-2.2961374012230799E-2</v>
      </c>
      <c r="E55" s="22">
        <v>-2.01608459762294E-2</v>
      </c>
      <c r="F55" s="21">
        <v>0</v>
      </c>
      <c r="G55" s="21">
        <v>0.21</v>
      </c>
      <c r="H55" s="21">
        <v>0</v>
      </c>
      <c r="I55" s="21">
        <v>0.21</v>
      </c>
      <c r="J55" s="21">
        <v>0</v>
      </c>
      <c r="K55" s="21">
        <v>0</v>
      </c>
      <c r="L55" s="21">
        <v>298.79000000000002</v>
      </c>
      <c r="M55" s="21">
        <v>301</v>
      </c>
      <c r="N55" s="23">
        <v>1.0073964992134901</v>
      </c>
      <c r="O55" s="23">
        <v>1.0043771680406</v>
      </c>
      <c r="P55" s="23">
        <v>1.0031390244780101</v>
      </c>
      <c r="Q55" s="23">
        <v>1.00161244152067</v>
      </c>
      <c r="R55" s="21">
        <v>300.09785403885098</v>
      </c>
      <c r="S55" s="21">
        <v>299.52894526189999</v>
      </c>
      <c r="T55" s="21">
        <v>299.16507676556898</v>
      </c>
      <c r="U55" s="22">
        <v>-3.0016631483426202E-3</v>
      </c>
      <c r="V55" s="22">
        <v>-4.8992065814205702E-3</v>
      </c>
      <c r="W55" s="22">
        <v>-6.1147475013100701E-3</v>
      </c>
      <c r="X55" s="23">
        <v>1.0073964992134901</v>
      </c>
      <c r="Y55" s="23">
        <v>1.0043771680406</v>
      </c>
      <c r="Z55" s="23">
        <v>1.0031390244780101</v>
      </c>
      <c r="AA55" s="23">
        <v>1.00161244152067</v>
      </c>
      <c r="AB55" s="21">
        <v>300.09785403885098</v>
      </c>
      <c r="AC55" s="21">
        <v>299.52894526189999</v>
      </c>
      <c r="AD55" s="21">
        <v>299.16507676556898</v>
      </c>
      <c r="AE55" s="22">
        <v>-3.0016631483426202E-3</v>
      </c>
      <c r="AF55" s="22">
        <v>-4.8992065814205702E-3</v>
      </c>
      <c r="AG55" s="22">
        <v>-6.1147475013100701E-3</v>
      </c>
      <c r="AI55" s="5"/>
      <c r="AJ55">
        <f>IF($AG55&lt;AI$21,1,0)</f>
        <v>1</v>
      </c>
      <c r="AK55">
        <f>IF($AG55&gt;AI$22,1,0)</f>
        <v>0</v>
      </c>
      <c r="AL55">
        <f t="shared" si="2"/>
        <v>1</v>
      </c>
      <c r="AM55">
        <f>IF(F56+H56&gt;0,0,1)</f>
        <v>1</v>
      </c>
      <c r="AN55">
        <f t="shared" si="3"/>
        <v>1</v>
      </c>
      <c r="AO55" s="17">
        <f>AN55*D55</f>
        <v>-2.2961374012230799E-2</v>
      </c>
      <c r="AP55" s="17">
        <f>-AN55*$E55</f>
        <v>2.01608459762294E-2</v>
      </c>
      <c r="AQ55" s="17">
        <f t="shared" si="4"/>
        <v>-2.8005280360013998E-3</v>
      </c>
      <c r="AR55" s="11">
        <f t="shared" si="5"/>
        <v>-2.5008931275972901E-3</v>
      </c>
      <c r="AT55" s="5"/>
      <c r="AU55">
        <f>IF($AG55&gt;AT$21,1,0)</f>
        <v>0</v>
      </c>
      <c r="AV55">
        <f>IF($AG55&lt;AT$22,1,0)</f>
        <v>1</v>
      </c>
      <c r="AW55">
        <f t="shared" si="6"/>
        <v>0</v>
      </c>
      <c r="AX55">
        <f>IF(F56+H56&gt;0,0,1)</f>
        <v>1</v>
      </c>
      <c r="AY55">
        <f t="shared" si="7"/>
        <v>0</v>
      </c>
      <c r="AZ55" s="17">
        <f>-AY55*D55</f>
        <v>0</v>
      </c>
      <c r="BA55" s="17">
        <f>AY55*$E55</f>
        <v>0</v>
      </c>
      <c r="BB55" s="17">
        <f t="shared" si="8"/>
        <v>0</v>
      </c>
      <c r="BC55" s="11">
        <f t="shared" si="9"/>
        <v>0</v>
      </c>
      <c r="BE55" s="11">
        <f t="shared" si="10"/>
        <v>-2.8005280360013998E-3</v>
      </c>
      <c r="BF55" s="11">
        <f t="shared" si="11"/>
        <v>-2.5008931275972901E-3</v>
      </c>
      <c r="BH55" s="11"/>
    </row>
    <row r="56" spans="1:60" x14ac:dyDescent="0.25">
      <c r="A56" s="1">
        <v>46104</v>
      </c>
      <c r="B56" s="21">
        <v>299.02</v>
      </c>
      <c r="C56" s="21">
        <v>302.06</v>
      </c>
      <c r="D56" s="22">
        <v>7.6947528930061205E-4</v>
      </c>
      <c r="E56" s="22">
        <v>3.5154083893198201E-3</v>
      </c>
      <c r="F56" s="21">
        <v>0</v>
      </c>
      <c r="G56" s="21">
        <v>0.21</v>
      </c>
      <c r="H56" s="21">
        <v>0</v>
      </c>
      <c r="I56" s="21">
        <v>0.21</v>
      </c>
      <c r="J56" s="21">
        <v>0</v>
      </c>
      <c r="K56" s="21">
        <v>0</v>
      </c>
      <c r="L56" s="21">
        <v>299.02</v>
      </c>
      <c r="M56" s="21">
        <v>302.06</v>
      </c>
      <c r="N56" s="23">
        <v>1.0101665440438701</v>
      </c>
      <c r="O56" s="23">
        <v>1.0043771680406</v>
      </c>
      <c r="P56" s="23">
        <v>1.0040413035351801</v>
      </c>
      <c r="Q56" s="23">
        <v>1.0021528518824101</v>
      </c>
      <c r="R56" s="21">
        <v>300.32886078749999</v>
      </c>
      <c r="S56" s="21">
        <v>299.95863109941399</v>
      </c>
      <c r="T56" s="21">
        <v>299.50215226351099</v>
      </c>
      <c r="U56" s="22">
        <v>-5.7475962483617797E-3</v>
      </c>
      <c r="V56" s="22">
        <v>-6.9811043258529203E-3</v>
      </c>
      <c r="W56" s="22">
        <v>-8.5040694198255107E-3</v>
      </c>
      <c r="X56" s="23">
        <v>1.0101665440438701</v>
      </c>
      <c r="Y56" s="23">
        <v>1.0043771680406</v>
      </c>
      <c r="Z56" s="23">
        <v>1.0040413035351801</v>
      </c>
      <c r="AA56" s="23">
        <v>1.0021528518824101</v>
      </c>
      <c r="AB56" s="21">
        <v>300.32886078749999</v>
      </c>
      <c r="AC56" s="21">
        <v>299.95863109941399</v>
      </c>
      <c r="AD56" s="21">
        <v>299.50215226351099</v>
      </c>
      <c r="AE56" s="22">
        <v>-5.7475962483617797E-3</v>
      </c>
      <c r="AF56" s="22">
        <v>-6.9811043258529203E-3</v>
      </c>
      <c r="AG56" s="22">
        <v>-8.5040694198255107E-3</v>
      </c>
      <c r="AI56" s="5"/>
      <c r="AJ56">
        <f>IF($AG56&lt;AI$21,1,0)</f>
        <v>1</v>
      </c>
      <c r="AK56">
        <f>IF($AG56&gt;AI$22,1,0)</f>
        <v>0</v>
      </c>
      <c r="AL56">
        <f t="shared" si="2"/>
        <v>1</v>
      </c>
      <c r="AM56">
        <f>IF(F57+H57&gt;0,0,1)</f>
        <v>1</v>
      </c>
      <c r="AN56">
        <f t="shared" si="3"/>
        <v>1</v>
      </c>
      <c r="AO56" s="17">
        <f>AN56*D56</f>
        <v>7.6947528930061205E-4</v>
      </c>
      <c r="AP56" s="17">
        <f>-AN56*$E56</f>
        <v>-3.5154083893198201E-3</v>
      </c>
      <c r="AQ56" s="17">
        <f t="shared" si="4"/>
        <v>-2.7459331000192081E-3</v>
      </c>
      <c r="AR56" s="11">
        <f t="shared" si="5"/>
        <v>-5.2468262276164981E-3</v>
      </c>
      <c r="AT56" s="5"/>
      <c r="AU56">
        <f>IF($AG56&gt;AT$21,1,0)</f>
        <v>0</v>
      </c>
      <c r="AV56">
        <f>IF($AG56&lt;AT$22,1,0)</f>
        <v>1</v>
      </c>
      <c r="AW56">
        <f t="shared" si="6"/>
        <v>0</v>
      </c>
      <c r="AX56">
        <f>IF(F57+H57&gt;0,0,1)</f>
        <v>1</v>
      </c>
      <c r="AY56">
        <f t="shared" si="7"/>
        <v>0</v>
      </c>
      <c r="AZ56" s="17">
        <f>-AY56*D56</f>
        <v>0</v>
      </c>
      <c r="BA56" s="17">
        <f>AY56*$E56</f>
        <v>0</v>
      </c>
      <c r="BB56" s="17">
        <f t="shared" si="8"/>
        <v>0</v>
      </c>
      <c r="BC56" s="11">
        <f t="shared" si="9"/>
        <v>0</v>
      </c>
      <c r="BE56" s="11">
        <f t="shared" si="10"/>
        <v>-2.7459331000192081E-3</v>
      </c>
      <c r="BF56" s="11">
        <f t="shared" si="11"/>
        <v>-5.2468262276164981E-3</v>
      </c>
      <c r="BH56" s="11"/>
    </row>
    <row r="57" spans="1:60" x14ac:dyDescent="0.25">
      <c r="A57" s="1">
        <v>46105</v>
      </c>
      <c r="B57" s="21">
        <v>289.2</v>
      </c>
      <c r="C57" s="21">
        <v>290.44</v>
      </c>
      <c r="D57" s="22">
        <v>-3.3391970501172097E-2</v>
      </c>
      <c r="E57" s="22">
        <v>-3.92286586261495E-2</v>
      </c>
      <c r="F57" s="21">
        <v>0</v>
      </c>
      <c r="G57" s="21">
        <v>0.21</v>
      </c>
      <c r="H57" s="21">
        <v>0</v>
      </c>
      <c r="I57" s="21">
        <v>0.21</v>
      </c>
      <c r="J57" s="21">
        <v>0</v>
      </c>
      <c r="K57" s="21">
        <v>0</v>
      </c>
      <c r="L57" s="21">
        <v>289.2</v>
      </c>
      <c r="M57" s="21">
        <v>290.44</v>
      </c>
      <c r="N57" s="23">
        <v>1.0042876901797999</v>
      </c>
      <c r="O57" s="23">
        <v>1.0043771680406</v>
      </c>
      <c r="P57" s="23">
        <v>1.00443423376256</v>
      </c>
      <c r="Q57" s="23">
        <v>1.0023704526528201</v>
      </c>
      <c r="R57" s="21">
        <v>290.46587699734198</v>
      </c>
      <c r="S57" s="21">
        <v>290.36874498237597</v>
      </c>
      <c r="T57" s="21">
        <v>289.82260476439399</v>
      </c>
      <c r="U57" s="22">
        <v>8.9091876615620498E-5</v>
      </c>
      <c r="V57" s="22">
        <v>-2.4536482481340999E-4</v>
      </c>
      <c r="W57" s="22">
        <v>-2.1279864100029401E-3</v>
      </c>
      <c r="X57" s="23">
        <v>1.0042876901797999</v>
      </c>
      <c r="Y57" s="23">
        <v>1.0043771680406</v>
      </c>
      <c r="Z57" s="23">
        <v>1.00443423376256</v>
      </c>
      <c r="AA57" s="23">
        <v>1.0023704526528201</v>
      </c>
      <c r="AB57" s="21">
        <v>290.46587699734198</v>
      </c>
      <c r="AC57" s="21">
        <v>290.36874498237597</v>
      </c>
      <c r="AD57" s="21">
        <v>289.82260476439399</v>
      </c>
      <c r="AE57" s="22">
        <v>8.9091876615620498E-5</v>
      </c>
      <c r="AF57" s="22">
        <v>-2.4536482481340999E-4</v>
      </c>
      <c r="AG57" s="22">
        <v>-2.1279864100029401E-3</v>
      </c>
      <c r="AI57" s="5"/>
      <c r="AJ57">
        <f>IF($AG57&lt;AI$21,1,0)</f>
        <v>0</v>
      </c>
      <c r="AK57">
        <f>IF($AG57&gt;AI$22,1,0)</f>
        <v>0</v>
      </c>
      <c r="AL57">
        <f t="shared" si="2"/>
        <v>1</v>
      </c>
      <c r="AM57">
        <f>IF(F58+H58&gt;0,0,1)</f>
        <v>1</v>
      </c>
      <c r="AN57">
        <f t="shared" si="3"/>
        <v>1</v>
      </c>
      <c r="AO57" s="17">
        <f>AN57*D57</f>
        <v>-3.3391970501172097E-2</v>
      </c>
      <c r="AP57" s="17">
        <f>-AN57*$E57</f>
        <v>3.92286586261495E-2</v>
      </c>
      <c r="AQ57" s="17">
        <f t="shared" si="4"/>
        <v>5.836688124977403E-3</v>
      </c>
      <c r="AR57" s="11">
        <f t="shared" si="5"/>
        <v>5.8986189736090489E-4</v>
      </c>
      <c r="AT57" s="5"/>
      <c r="AU57">
        <f>IF($AG57&gt;AT$21,1,0)</f>
        <v>0</v>
      </c>
      <c r="AV57">
        <f>IF($AG57&lt;AT$22,1,0)</f>
        <v>1</v>
      </c>
      <c r="AW57">
        <f t="shared" si="6"/>
        <v>0</v>
      </c>
      <c r="AX57">
        <f>IF(F58+H58&gt;0,0,1)</f>
        <v>1</v>
      </c>
      <c r="AY57">
        <f t="shared" si="7"/>
        <v>0</v>
      </c>
      <c r="AZ57" s="17">
        <f>-AY57*D57</f>
        <v>0</v>
      </c>
      <c r="BA57" s="17">
        <f>AY57*$E57</f>
        <v>0</v>
      </c>
      <c r="BB57" s="17">
        <f t="shared" si="8"/>
        <v>0</v>
      </c>
      <c r="BC57" s="11">
        <f t="shared" si="9"/>
        <v>0</v>
      </c>
      <c r="BE57" s="11">
        <f t="shared" si="10"/>
        <v>5.836688124977403E-3</v>
      </c>
      <c r="BF57" s="11">
        <f t="shared" si="11"/>
        <v>5.8986189736090489E-4</v>
      </c>
      <c r="BH57" s="11"/>
    </row>
    <row r="58" spans="1:60" x14ac:dyDescent="0.25">
      <c r="A58" s="1">
        <v>46106</v>
      </c>
      <c r="B58" s="21">
        <v>289.58999999999997</v>
      </c>
      <c r="C58" s="21">
        <v>290.93</v>
      </c>
      <c r="D58" s="22">
        <v>1.3476392440238099E-3</v>
      </c>
      <c r="E58" s="22">
        <v>1.6856738945172801E-3</v>
      </c>
      <c r="F58" s="21">
        <v>0</v>
      </c>
      <c r="G58" s="21">
        <v>0.21</v>
      </c>
      <c r="H58" s="21">
        <v>0</v>
      </c>
      <c r="I58" s="21">
        <v>0.21</v>
      </c>
      <c r="J58" s="21">
        <v>0</v>
      </c>
      <c r="K58" s="21">
        <v>0</v>
      </c>
      <c r="L58" s="21">
        <v>289.58999999999997</v>
      </c>
      <c r="M58" s="21">
        <v>290.93</v>
      </c>
      <c r="N58" s="23">
        <v>1.0046272316033</v>
      </c>
      <c r="O58" s="23">
        <v>1.0043771680406</v>
      </c>
      <c r="P58" s="23">
        <v>1.00480617163011</v>
      </c>
      <c r="Q58" s="23">
        <v>1.00262257901591</v>
      </c>
      <c r="R58" s="21">
        <v>290.85758409287803</v>
      </c>
      <c r="S58" s="21">
        <v>290.87410975530003</v>
      </c>
      <c r="T58" s="21">
        <v>290.27645938373098</v>
      </c>
      <c r="U58" s="22">
        <v>-2.4894277387792901E-4</v>
      </c>
      <c r="V58" s="22">
        <v>-1.9212736360519901E-4</v>
      </c>
      <c r="W58" s="22">
        <v>-2.2489113159796202E-3</v>
      </c>
      <c r="X58" s="23">
        <v>1.0046272316033</v>
      </c>
      <c r="Y58" s="23">
        <v>1.0043771680406</v>
      </c>
      <c r="Z58" s="23">
        <v>1.00480617163011</v>
      </c>
      <c r="AA58" s="23">
        <v>1.00262257901591</v>
      </c>
      <c r="AB58" s="21">
        <v>290.85758409287803</v>
      </c>
      <c r="AC58" s="21">
        <v>290.87410975530003</v>
      </c>
      <c r="AD58" s="21">
        <v>290.27645938373098</v>
      </c>
      <c r="AE58" s="22">
        <v>-2.4894277387792901E-4</v>
      </c>
      <c r="AF58" s="22">
        <v>-1.9212736360519901E-4</v>
      </c>
      <c r="AG58" s="22">
        <v>-2.2489113159796202E-3</v>
      </c>
      <c r="AI58" s="5"/>
      <c r="AJ58">
        <f>IF($AG58&lt;AI$21,1,0)</f>
        <v>0</v>
      </c>
      <c r="AK58">
        <f>IF($AG58&gt;AI$22,1,0)</f>
        <v>0</v>
      </c>
      <c r="AL58">
        <f t="shared" si="2"/>
        <v>1</v>
      </c>
      <c r="AM58">
        <f>IF(F59+H59&gt;0,0,1)</f>
        <v>1</v>
      </c>
      <c r="AN58">
        <f t="shared" si="3"/>
        <v>1</v>
      </c>
      <c r="AO58" s="17">
        <f>AN58*D58</f>
        <v>1.3476392440238099E-3</v>
      </c>
      <c r="AP58" s="17">
        <f>-AN58*$E58</f>
        <v>-1.6856738945172801E-3</v>
      </c>
      <c r="AQ58" s="17">
        <f t="shared" si="4"/>
        <v>-3.3803465049347015E-4</v>
      </c>
      <c r="AR58" s="11">
        <f t="shared" si="5"/>
        <v>2.5182724686743474E-4</v>
      </c>
      <c r="AT58" s="5"/>
      <c r="AU58">
        <f>IF($AG58&gt;AT$21,1,0)</f>
        <v>0</v>
      </c>
      <c r="AV58">
        <f>IF($AG58&lt;AT$22,1,0)</f>
        <v>1</v>
      </c>
      <c r="AW58">
        <f t="shared" si="6"/>
        <v>0</v>
      </c>
      <c r="AX58">
        <f>IF(F59+H59&gt;0,0,1)</f>
        <v>1</v>
      </c>
      <c r="AY58">
        <f t="shared" si="7"/>
        <v>0</v>
      </c>
      <c r="AZ58" s="17">
        <f>-AY58*D58</f>
        <v>0</v>
      </c>
      <c r="BA58" s="17">
        <f>AY58*$E58</f>
        <v>0</v>
      </c>
      <c r="BB58" s="17">
        <f t="shared" si="8"/>
        <v>0</v>
      </c>
      <c r="BC58" s="11">
        <f t="shared" si="9"/>
        <v>0</v>
      </c>
      <c r="BE58" s="11">
        <f t="shared" si="10"/>
        <v>-3.3803465049347015E-4</v>
      </c>
      <c r="BF58" s="11">
        <f t="shared" si="11"/>
        <v>2.5182724686743474E-4</v>
      </c>
      <c r="BH58" s="11"/>
    </row>
    <row r="59" spans="1:60" x14ac:dyDescent="0.25">
      <c r="A59" s="1">
        <v>46107</v>
      </c>
      <c r="B59" s="21">
        <v>280.74</v>
      </c>
      <c r="C59" s="21">
        <v>280.92</v>
      </c>
      <c r="D59" s="22">
        <v>-3.1037155422453298E-2</v>
      </c>
      <c r="E59" s="22">
        <v>-3.5012757115743497E-2</v>
      </c>
      <c r="F59" s="21">
        <v>0</v>
      </c>
      <c r="G59" s="21">
        <v>0.21</v>
      </c>
      <c r="H59" s="21">
        <v>0</v>
      </c>
      <c r="I59" s="21">
        <v>0.21</v>
      </c>
      <c r="J59" s="21">
        <v>0</v>
      </c>
      <c r="K59" s="21">
        <v>0</v>
      </c>
      <c r="L59" s="21">
        <v>280.74</v>
      </c>
      <c r="M59" s="21">
        <v>280.92</v>
      </c>
      <c r="N59" s="23">
        <v>1.0006411626415901</v>
      </c>
      <c r="O59" s="23">
        <v>1.0043771680406</v>
      </c>
      <c r="P59" s="23">
        <v>1.0047581543894299</v>
      </c>
      <c r="Q59" s="23">
        <v>1.00261719615825</v>
      </c>
      <c r="R59" s="21">
        <v>281.96884615571798</v>
      </c>
      <c r="S59" s="21">
        <v>282.08928462343698</v>
      </c>
      <c r="T59" s="21">
        <v>281.476262832928</v>
      </c>
      <c r="U59" s="22">
        <v>3.7266589194123001E-3</v>
      </c>
      <c r="V59" s="22">
        <v>4.1537016760969303E-3</v>
      </c>
      <c r="W59" s="22">
        <v>1.9781888717590201E-3</v>
      </c>
      <c r="X59" s="23">
        <v>1.0006411626415901</v>
      </c>
      <c r="Y59" s="23">
        <v>1.0043771680406</v>
      </c>
      <c r="Z59" s="23">
        <v>1.0047581543894299</v>
      </c>
      <c r="AA59" s="23">
        <v>1.00261719615825</v>
      </c>
      <c r="AB59" s="21">
        <v>281.96884615571798</v>
      </c>
      <c r="AC59" s="21">
        <v>282.08928462343698</v>
      </c>
      <c r="AD59" s="21">
        <v>281.476262832928</v>
      </c>
      <c r="AE59" s="22">
        <v>3.7266589194123001E-3</v>
      </c>
      <c r="AF59" s="22">
        <v>4.1537016760969303E-3</v>
      </c>
      <c r="AG59" s="22">
        <v>1.9781888717590201E-3</v>
      </c>
      <c r="AI59" s="5"/>
      <c r="AJ59">
        <f>IF($AG59&lt;AI$21,1,0)</f>
        <v>0</v>
      </c>
      <c r="AK59">
        <f>IF($AG59&gt;AI$22,1,0)</f>
        <v>1</v>
      </c>
      <c r="AL59">
        <f t="shared" si="2"/>
        <v>1</v>
      </c>
      <c r="AM59">
        <f>IF(F60+H60&gt;0,0,1)</f>
        <v>1</v>
      </c>
      <c r="AN59">
        <f t="shared" si="3"/>
        <v>1</v>
      </c>
      <c r="AO59" s="17">
        <f>AN59*D59</f>
        <v>-3.1037155422453298E-2</v>
      </c>
      <c r="AP59" s="17">
        <f>-AN59*$E59</f>
        <v>3.5012757115743497E-2</v>
      </c>
      <c r="AQ59" s="17">
        <f t="shared" si="4"/>
        <v>3.9756016932901983E-3</v>
      </c>
      <c r="AR59" s="11">
        <f t="shared" si="5"/>
        <v>4.2274289401576333E-3</v>
      </c>
      <c r="AT59" s="5"/>
      <c r="AU59">
        <f>IF($AG59&gt;AT$21,1,0)</f>
        <v>0</v>
      </c>
      <c r="AV59">
        <f>IF($AG59&lt;AT$22,1,0)</f>
        <v>1</v>
      </c>
      <c r="AW59">
        <f t="shared" si="6"/>
        <v>0</v>
      </c>
      <c r="AX59">
        <f>IF(F60+H60&gt;0,0,1)</f>
        <v>1</v>
      </c>
      <c r="AY59">
        <f t="shared" si="7"/>
        <v>0</v>
      </c>
      <c r="AZ59" s="17">
        <f>-AY59*D59</f>
        <v>0</v>
      </c>
      <c r="BA59" s="17">
        <f>AY59*$E59</f>
        <v>0</v>
      </c>
      <c r="BB59" s="17">
        <f t="shared" si="8"/>
        <v>0</v>
      </c>
      <c r="BC59" s="11">
        <f t="shared" si="9"/>
        <v>0</v>
      </c>
      <c r="BE59" s="11">
        <f t="shared" si="10"/>
        <v>3.9756016932901983E-3</v>
      </c>
      <c r="BF59" s="11">
        <f t="shared" si="11"/>
        <v>4.2274289401576333E-3</v>
      </c>
      <c r="BH59" s="11"/>
    </row>
    <row r="60" spans="1:60" x14ac:dyDescent="0.25">
      <c r="A60" s="1">
        <v>46108</v>
      </c>
      <c r="B60" s="21">
        <v>273.76</v>
      </c>
      <c r="C60" s="21">
        <v>274.33999999999997</v>
      </c>
      <c r="D60" s="22">
        <v>-2.5177163962296498E-2</v>
      </c>
      <c r="E60" s="22">
        <v>-2.3701718240558899E-2</v>
      </c>
      <c r="F60" s="21">
        <v>0</v>
      </c>
      <c r="G60" s="21">
        <v>0.21</v>
      </c>
      <c r="H60" s="21">
        <v>0</v>
      </c>
      <c r="I60" s="21">
        <v>0.21</v>
      </c>
      <c r="J60" s="21">
        <v>0</v>
      </c>
      <c r="K60" s="21">
        <v>0</v>
      </c>
      <c r="L60" s="21">
        <v>273.76</v>
      </c>
      <c r="M60" s="21">
        <v>274.33999999999997</v>
      </c>
      <c r="N60" s="23">
        <v>1.0021186440677901</v>
      </c>
      <c r="O60" s="23">
        <v>1.0043771680406</v>
      </c>
      <c r="P60" s="23">
        <v>1.00469800924271</v>
      </c>
      <c r="Q60" s="23">
        <v>1.0026701469532999</v>
      </c>
      <c r="R60" s="21">
        <v>274.95829352279497</v>
      </c>
      <c r="S60" s="21">
        <v>275.06259234565198</v>
      </c>
      <c r="T60" s="21">
        <v>274.47648362028298</v>
      </c>
      <c r="U60" s="22">
        <v>2.25121319767457E-3</v>
      </c>
      <c r="V60" s="22">
        <v>2.63046724706535E-3</v>
      </c>
      <c r="W60" s="22">
        <v>4.9737435798763495E-4</v>
      </c>
      <c r="X60" s="23">
        <v>1.0021186440677901</v>
      </c>
      <c r="Y60" s="23">
        <v>1.0043771680406</v>
      </c>
      <c r="Z60" s="23">
        <v>1.00469800924271</v>
      </c>
      <c r="AA60" s="23">
        <v>1.0026701469532999</v>
      </c>
      <c r="AB60" s="21">
        <v>274.95829352279497</v>
      </c>
      <c r="AC60" s="21">
        <v>275.06259234565198</v>
      </c>
      <c r="AD60" s="21">
        <v>274.47648362028298</v>
      </c>
      <c r="AE60" s="22">
        <v>2.25121319767457E-3</v>
      </c>
      <c r="AF60" s="22">
        <v>2.63046724706535E-3</v>
      </c>
      <c r="AG60" s="22">
        <v>4.9737435798763495E-4</v>
      </c>
      <c r="AI60" s="5"/>
      <c r="AJ60">
        <f>IF($AG60&lt;AI$21,1,0)</f>
        <v>0</v>
      </c>
      <c r="AK60">
        <f>IF($AG60&gt;AI$22,1,0)</f>
        <v>1</v>
      </c>
      <c r="AL60">
        <f t="shared" si="2"/>
        <v>0</v>
      </c>
      <c r="AM60">
        <f>IF(F61+H61&gt;0,0,1)</f>
        <v>1</v>
      </c>
      <c r="AN60">
        <f t="shared" si="3"/>
        <v>0</v>
      </c>
      <c r="AO60" s="17">
        <f>AN60*D60</f>
        <v>0</v>
      </c>
      <c r="AP60" s="17">
        <f>-AN60*$E60</f>
        <v>0</v>
      </c>
      <c r="AQ60" s="17">
        <f t="shared" si="4"/>
        <v>0</v>
      </c>
      <c r="AR60" s="11">
        <f t="shared" si="5"/>
        <v>4.2274289401576333E-3</v>
      </c>
      <c r="AT60" s="5"/>
      <c r="AU60">
        <f>IF($AG60&gt;AT$21,1,0)</f>
        <v>0</v>
      </c>
      <c r="AV60">
        <f>IF($AG60&lt;AT$22,1,0)</f>
        <v>1</v>
      </c>
      <c r="AW60">
        <f t="shared" si="6"/>
        <v>0</v>
      </c>
      <c r="AX60">
        <f>IF(F61+H61&gt;0,0,1)</f>
        <v>1</v>
      </c>
      <c r="AY60">
        <f t="shared" si="7"/>
        <v>0</v>
      </c>
      <c r="AZ60" s="17">
        <f>-AY60*D60</f>
        <v>0</v>
      </c>
      <c r="BA60" s="17">
        <f>AY60*$E60</f>
        <v>0</v>
      </c>
      <c r="BB60" s="17">
        <f t="shared" si="8"/>
        <v>0</v>
      </c>
      <c r="BC60" s="11">
        <f t="shared" si="9"/>
        <v>0</v>
      </c>
      <c r="BE60" s="11">
        <f t="shared" si="10"/>
        <v>0</v>
      </c>
      <c r="BF60" s="11">
        <f t="shared" si="11"/>
        <v>4.2274289401576333E-3</v>
      </c>
      <c r="BH60" s="11"/>
    </row>
    <row r="61" spans="1:60" x14ac:dyDescent="0.25">
      <c r="A61" s="1">
        <v>46111</v>
      </c>
      <c r="B61" s="21">
        <v>273.14</v>
      </c>
      <c r="C61" s="21">
        <v>273.5</v>
      </c>
      <c r="D61" s="22">
        <v>-2.26732589360486E-3</v>
      </c>
      <c r="E61" s="22">
        <v>-3.0665911882249001E-3</v>
      </c>
      <c r="F61" s="21">
        <v>0</v>
      </c>
      <c r="G61" s="21">
        <v>0.21</v>
      </c>
      <c r="H61" s="21">
        <v>0</v>
      </c>
      <c r="I61" s="21">
        <v>0.21</v>
      </c>
      <c r="J61" s="21">
        <v>0</v>
      </c>
      <c r="K61" s="21">
        <v>0</v>
      </c>
      <c r="L61" s="21">
        <v>273.14</v>
      </c>
      <c r="M61" s="21">
        <v>273.5</v>
      </c>
      <c r="N61" s="23">
        <v>1.0013180054184601</v>
      </c>
      <c r="O61" s="23">
        <v>1.0043771680406</v>
      </c>
      <c r="P61" s="23">
        <v>1.0044553271618599</v>
      </c>
      <c r="Q61" s="23">
        <v>1.0027099341546299</v>
      </c>
      <c r="R61" s="21">
        <v>274.33557967860997</v>
      </c>
      <c r="S61" s="21">
        <v>274.423214244554</v>
      </c>
      <c r="T61" s="21">
        <v>273.86932393882398</v>
      </c>
      <c r="U61" s="22">
        <v>3.0504784922945798E-3</v>
      </c>
      <c r="V61" s="22">
        <v>3.3698704279122699E-3</v>
      </c>
      <c r="W61" s="22">
        <v>1.3494508322542901E-3</v>
      </c>
      <c r="X61" s="23">
        <v>1.0013180054184601</v>
      </c>
      <c r="Y61" s="23">
        <v>1.0043771680406</v>
      </c>
      <c r="Z61" s="23">
        <v>1.0044553271618599</v>
      </c>
      <c r="AA61" s="23">
        <v>1.0027099341546299</v>
      </c>
      <c r="AB61" s="21">
        <v>274.33557967860997</v>
      </c>
      <c r="AC61" s="21">
        <v>274.423214244554</v>
      </c>
      <c r="AD61" s="21">
        <v>273.86932393882398</v>
      </c>
      <c r="AE61" s="22">
        <v>3.0504784922945798E-3</v>
      </c>
      <c r="AF61" s="22">
        <v>3.3698704279122699E-3</v>
      </c>
      <c r="AG61" s="22">
        <v>1.3494508322542901E-3</v>
      </c>
      <c r="AI61" s="5"/>
      <c r="AJ61">
        <f>IF($AG61&lt;AI$21,1,0)</f>
        <v>0</v>
      </c>
      <c r="AK61">
        <f>IF($AG61&gt;AI$22,1,0)</f>
        <v>1</v>
      </c>
      <c r="AL61">
        <f t="shared" si="2"/>
        <v>0</v>
      </c>
      <c r="AM61">
        <f>IF(F62+H62&gt;0,0,1)</f>
        <v>1</v>
      </c>
      <c r="AN61">
        <f t="shared" si="3"/>
        <v>0</v>
      </c>
      <c r="AO61" s="17">
        <f>AN61*D61</f>
        <v>0</v>
      </c>
      <c r="AP61" s="17">
        <f>-AN61*$E61</f>
        <v>0</v>
      </c>
      <c r="AQ61" s="17">
        <f t="shared" si="4"/>
        <v>0</v>
      </c>
      <c r="AR61" s="11">
        <f t="shared" si="5"/>
        <v>4.2274289401576333E-3</v>
      </c>
      <c r="AT61" s="5"/>
      <c r="AU61">
        <f>IF($AG61&gt;AT$21,1,0)</f>
        <v>0</v>
      </c>
      <c r="AV61">
        <f>IF($AG61&lt;AT$22,1,0)</f>
        <v>1</v>
      </c>
      <c r="AW61">
        <f t="shared" si="6"/>
        <v>0</v>
      </c>
      <c r="AX61">
        <f>IF(F62+H62&gt;0,0,1)</f>
        <v>1</v>
      </c>
      <c r="AY61">
        <f t="shared" si="7"/>
        <v>0</v>
      </c>
      <c r="AZ61" s="17">
        <f>-AY61*D61</f>
        <v>0</v>
      </c>
      <c r="BA61" s="17">
        <f>AY61*$E61</f>
        <v>0</v>
      </c>
      <c r="BB61" s="17">
        <f t="shared" si="8"/>
        <v>0</v>
      </c>
      <c r="BC61" s="11">
        <f t="shared" si="9"/>
        <v>0</v>
      </c>
      <c r="BE61" s="11">
        <f t="shared" si="10"/>
        <v>0</v>
      </c>
      <c r="BF61" s="11">
        <f t="shared" si="11"/>
        <v>4.2274289401576333E-3</v>
      </c>
      <c r="BH61" s="11"/>
    </row>
    <row r="62" spans="1:60" x14ac:dyDescent="0.25">
      <c r="A62" s="1">
        <v>46112</v>
      </c>
      <c r="B62" s="21">
        <v>286.86</v>
      </c>
      <c r="C62" s="21">
        <v>287.56</v>
      </c>
      <c r="D62" s="22">
        <v>4.9009807615788603E-2</v>
      </c>
      <c r="E62" s="22">
        <v>5.0129912253634903E-2</v>
      </c>
      <c r="F62" s="21">
        <v>0</v>
      </c>
      <c r="G62" s="21">
        <v>0.21</v>
      </c>
      <c r="H62" s="21">
        <v>0</v>
      </c>
      <c r="I62" s="21">
        <v>0.21</v>
      </c>
      <c r="J62" s="21">
        <v>0</v>
      </c>
      <c r="K62" s="21">
        <v>0</v>
      </c>
      <c r="L62" s="21">
        <v>286.86</v>
      </c>
      <c r="M62" s="21">
        <v>287.56</v>
      </c>
      <c r="N62" s="23">
        <v>1.00244021473889</v>
      </c>
      <c r="O62" s="23">
        <v>1.0043771680406</v>
      </c>
      <c r="P62" s="23">
        <v>1.00421132303865</v>
      </c>
      <c r="Q62" s="23">
        <v>1.00282865064991</v>
      </c>
      <c r="R62" s="21">
        <v>288.11563442412699</v>
      </c>
      <c r="S62" s="21">
        <v>288.13805514965298</v>
      </c>
      <c r="T62" s="21">
        <v>287.63737171159698</v>
      </c>
      <c r="U62" s="22">
        <v>1.9303738544483499E-3</v>
      </c>
      <c r="V62" s="22">
        <v>2.0081893233738599E-3</v>
      </c>
      <c r="W62" s="22">
        <v>2.6902665370112801E-4</v>
      </c>
      <c r="X62" s="23">
        <v>1.00244021473889</v>
      </c>
      <c r="Y62" s="23">
        <v>1.0043771680406</v>
      </c>
      <c r="Z62" s="23">
        <v>1.00421132303865</v>
      </c>
      <c r="AA62" s="23">
        <v>1.00282865064991</v>
      </c>
      <c r="AB62" s="21">
        <v>288.11563442412699</v>
      </c>
      <c r="AC62" s="21">
        <v>288.13805514965298</v>
      </c>
      <c r="AD62" s="21">
        <v>287.63737171159698</v>
      </c>
      <c r="AE62" s="22">
        <v>1.9303738544483499E-3</v>
      </c>
      <c r="AF62" s="22">
        <v>2.0081893233738599E-3</v>
      </c>
      <c r="AG62" s="22">
        <v>2.6902665370112801E-4</v>
      </c>
      <c r="AI62" s="5"/>
      <c r="AJ62">
        <f>IF($AG62&lt;AI$21,1,0)</f>
        <v>0</v>
      </c>
      <c r="AK62">
        <f>IF($AG62&gt;AI$22,1,0)</f>
        <v>1</v>
      </c>
      <c r="AL62">
        <f t="shared" si="2"/>
        <v>0</v>
      </c>
      <c r="AM62">
        <f>IF(F63+H63&gt;0,0,1)</f>
        <v>1</v>
      </c>
      <c r="AN62">
        <f t="shared" si="3"/>
        <v>0</v>
      </c>
      <c r="AO62" s="17">
        <f>AN62*D62</f>
        <v>0</v>
      </c>
      <c r="AP62" s="17">
        <f>-AN62*$E62</f>
        <v>0</v>
      </c>
      <c r="AQ62" s="17">
        <f t="shared" si="4"/>
        <v>0</v>
      </c>
      <c r="AR62" s="11">
        <f t="shared" si="5"/>
        <v>4.2274289401576333E-3</v>
      </c>
      <c r="AT62" s="5"/>
      <c r="AU62">
        <f>IF($AG62&gt;AT$21,1,0)</f>
        <v>0</v>
      </c>
      <c r="AV62">
        <f>IF($AG62&lt;AT$22,1,0)</f>
        <v>1</v>
      </c>
      <c r="AW62">
        <f t="shared" si="6"/>
        <v>0</v>
      </c>
      <c r="AX62">
        <f>IF(F63+H63&gt;0,0,1)</f>
        <v>1</v>
      </c>
      <c r="AY62">
        <f t="shared" si="7"/>
        <v>0</v>
      </c>
      <c r="AZ62" s="17">
        <f>-AY62*D62</f>
        <v>0</v>
      </c>
      <c r="BA62" s="17">
        <f>AY62*$E62</f>
        <v>0</v>
      </c>
      <c r="BB62" s="17">
        <f t="shared" si="8"/>
        <v>0</v>
      </c>
      <c r="BC62" s="11">
        <f t="shared" si="9"/>
        <v>0</v>
      </c>
      <c r="BE62" s="11">
        <f t="shared" si="10"/>
        <v>0</v>
      </c>
      <c r="BF62" s="11">
        <f t="shared" si="11"/>
        <v>4.2274289401576333E-3</v>
      </c>
      <c r="BH62" s="11"/>
    </row>
    <row r="63" spans="1:60" x14ac:dyDescent="0.25">
      <c r="A63" s="1">
        <v>46113</v>
      </c>
      <c r="B63" s="21">
        <v>294.89999999999998</v>
      </c>
      <c r="C63" s="21">
        <v>297.39</v>
      </c>
      <c r="D63" s="22">
        <v>2.7642023955163401E-2</v>
      </c>
      <c r="E63" s="22">
        <v>3.36128745972449E-2</v>
      </c>
      <c r="F63" s="21">
        <v>0</v>
      </c>
      <c r="G63" s="21">
        <v>0.21</v>
      </c>
      <c r="H63" s="21">
        <v>0</v>
      </c>
      <c r="I63" s="21">
        <v>0.21</v>
      </c>
      <c r="J63" s="21">
        <v>0</v>
      </c>
      <c r="K63" s="21">
        <v>0</v>
      </c>
      <c r="L63" s="21">
        <v>294.89999999999998</v>
      </c>
      <c r="M63" s="21">
        <v>297.39</v>
      </c>
      <c r="N63" s="23">
        <v>1.00844354018311</v>
      </c>
      <c r="O63" s="23">
        <v>1.0043771680406</v>
      </c>
      <c r="P63" s="23">
        <v>1.0046018735963</v>
      </c>
      <c r="Q63" s="23">
        <v>1.0033035546322</v>
      </c>
      <c r="R63" s="21">
        <v>296.19082685517299</v>
      </c>
      <c r="S63" s="21">
        <v>296.141919164098</v>
      </c>
      <c r="T63" s="21">
        <v>295.73416907665899</v>
      </c>
      <c r="U63" s="22">
        <v>-4.0404767876332003E-3</v>
      </c>
      <c r="V63" s="22">
        <v>-4.2056126559943596E-3</v>
      </c>
      <c r="W63" s="22">
        <v>-5.5834353457312799E-3</v>
      </c>
      <c r="X63" s="23">
        <v>1.00844354018311</v>
      </c>
      <c r="Y63" s="23">
        <v>1.0043771680406</v>
      </c>
      <c r="Z63" s="23">
        <v>1.0046018735963</v>
      </c>
      <c r="AA63" s="23">
        <v>1.0033035546322</v>
      </c>
      <c r="AB63" s="21">
        <v>296.19082685517299</v>
      </c>
      <c r="AC63" s="21">
        <v>296.141919164098</v>
      </c>
      <c r="AD63" s="21">
        <v>295.73416907665899</v>
      </c>
      <c r="AE63" s="22">
        <v>-4.0404767876332003E-3</v>
      </c>
      <c r="AF63" s="22">
        <v>-4.2056126559943596E-3</v>
      </c>
      <c r="AG63" s="22">
        <v>-5.5834353457312799E-3</v>
      </c>
      <c r="AI63" s="5"/>
      <c r="AJ63">
        <f>IF($AG63&lt;AI$21,1,0)</f>
        <v>1</v>
      </c>
      <c r="AK63">
        <f>IF($AG63&gt;AI$22,1,0)</f>
        <v>0</v>
      </c>
      <c r="AL63">
        <f t="shared" si="2"/>
        <v>0</v>
      </c>
      <c r="AM63">
        <f>IF(F64+H64&gt;0,0,1)</f>
        <v>1</v>
      </c>
      <c r="AN63">
        <f t="shared" si="3"/>
        <v>0</v>
      </c>
      <c r="AO63" s="17">
        <f>AN63*D63</f>
        <v>0</v>
      </c>
      <c r="AP63" s="17">
        <f>-AN63*$E63</f>
        <v>0</v>
      </c>
      <c r="AQ63" s="17">
        <f t="shared" si="4"/>
        <v>0</v>
      </c>
      <c r="AR63" s="11">
        <f t="shared" si="5"/>
        <v>4.2274289401576333E-3</v>
      </c>
      <c r="AT63" s="5"/>
      <c r="AU63">
        <f>IF($AG63&gt;AT$21,1,0)</f>
        <v>0</v>
      </c>
      <c r="AV63">
        <f>IF($AG63&lt;AT$22,1,0)</f>
        <v>1</v>
      </c>
      <c r="AW63">
        <f t="shared" si="6"/>
        <v>0</v>
      </c>
      <c r="AX63">
        <f>IF(F64+H64&gt;0,0,1)</f>
        <v>1</v>
      </c>
      <c r="AY63">
        <f t="shared" si="7"/>
        <v>0</v>
      </c>
      <c r="AZ63" s="17">
        <f>-AY63*D63</f>
        <v>0</v>
      </c>
      <c r="BA63" s="17">
        <f>AY63*$E63</f>
        <v>0</v>
      </c>
      <c r="BB63" s="17">
        <f t="shared" si="8"/>
        <v>0</v>
      </c>
      <c r="BC63" s="11">
        <f t="shared" si="9"/>
        <v>0</v>
      </c>
      <c r="BE63" s="11">
        <f t="shared" si="10"/>
        <v>0</v>
      </c>
      <c r="BF63" s="11">
        <f t="shared" si="11"/>
        <v>4.2274289401576333E-3</v>
      </c>
      <c r="BH63" s="11"/>
    </row>
    <row r="64" spans="1:60" x14ac:dyDescent="0.25">
      <c r="A64" s="1">
        <v>46114</v>
      </c>
      <c r="B64" s="21">
        <v>294.45999999999998</v>
      </c>
      <c r="C64" s="21">
        <v>295.77</v>
      </c>
      <c r="D64" s="22">
        <v>-1.4931453839680401E-3</v>
      </c>
      <c r="E64" s="22">
        <v>-5.4622834578561498E-3</v>
      </c>
      <c r="F64" s="21">
        <v>0</v>
      </c>
      <c r="G64" s="21">
        <v>0.21</v>
      </c>
      <c r="H64" s="21">
        <v>0</v>
      </c>
      <c r="I64" s="21">
        <v>0.21</v>
      </c>
      <c r="J64" s="21">
        <v>0</v>
      </c>
      <c r="K64" s="21">
        <v>0</v>
      </c>
      <c r="L64" s="21">
        <v>294.45999999999998</v>
      </c>
      <c r="M64" s="21">
        <v>295.77</v>
      </c>
      <c r="N64" s="23">
        <v>1.00444882157169</v>
      </c>
      <c r="O64" s="23">
        <v>1.0043771680406</v>
      </c>
      <c r="P64" s="23">
        <v>1.0045888353662</v>
      </c>
      <c r="Q64" s="23">
        <v>1.0035309805899899</v>
      </c>
      <c r="R64" s="21">
        <v>295.748900901235</v>
      </c>
      <c r="S64" s="21">
        <v>295.815067699167</v>
      </c>
      <c r="T64" s="21">
        <v>295.43276469699998</v>
      </c>
      <c r="U64" s="22">
        <v>-7.1338713745162501E-5</v>
      </c>
      <c r="V64" s="22">
        <v>1.5236253149592701E-4</v>
      </c>
      <c r="W64" s="22">
        <v>-1.1408449341371999E-3</v>
      </c>
      <c r="X64" s="23">
        <v>1.00444882157169</v>
      </c>
      <c r="Y64" s="23">
        <v>1.0043771680406</v>
      </c>
      <c r="Z64" s="23">
        <v>1.0045888353662</v>
      </c>
      <c r="AA64" s="23">
        <v>1.0035309805899899</v>
      </c>
      <c r="AB64" s="21">
        <v>295.748900901235</v>
      </c>
      <c r="AC64" s="21">
        <v>295.815067699167</v>
      </c>
      <c r="AD64" s="21">
        <v>295.43276469699998</v>
      </c>
      <c r="AE64" s="22">
        <v>-7.1338713745162501E-5</v>
      </c>
      <c r="AF64" s="22">
        <v>1.5236253149592701E-4</v>
      </c>
      <c r="AG64" s="22">
        <v>-1.1408449341371999E-3</v>
      </c>
      <c r="AI64" s="5"/>
      <c r="AJ64">
        <f>IF($AG64&lt;AI$21,1,0)</f>
        <v>0</v>
      </c>
      <c r="AK64">
        <f>IF($AG64&gt;AI$22,1,0)</f>
        <v>1</v>
      </c>
      <c r="AL64">
        <f t="shared" si="2"/>
        <v>1</v>
      </c>
      <c r="AM64">
        <f>IF(F65+H65&gt;0,0,1)</f>
        <v>1</v>
      </c>
      <c r="AN64">
        <f t="shared" si="3"/>
        <v>1</v>
      </c>
      <c r="AO64" s="17">
        <f>AN64*D64</f>
        <v>-1.4931453839680401E-3</v>
      </c>
      <c r="AP64" s="17">
        <f>-AN64*$E64</f>
        <v>5.4622834578561498E-3</v>
      </c>
      <c r="AQ64" s="17">
        <f t="shared" si="4"/>
        <v>3.9691380738881097E-3</v>
      </c>
      <c r="AR64" s="11">
        <f t="shared" si="5"/>
        <v>8.1965670140457421E-3</v>
      </c>
      <c r="AT64" s="5"/>
      <c r="AU64">
        <f>IF($AG64&gt;AT$21,1,0)</f>
        <v>0</v>
      </c>
      <c r="AV64">
        <f>IF($AG64&lt;AT$22,1,0)</f>
        <v>1</v>
      </c>
      <c r="AW64">
        <f t="shared" si="6"/>
        <v>0</v>
      </c>
      <c r="AX64">
        <f>IF(F65+H65&gt;0,0,1)</f>
        <v>1</v>
      </c>
      <c r="AY64">
        <f t="shared" si="7"/>
        <v>0</v>
      </c>
      <c r="AZ64" s="17">
        <f>-AY64*D64</f>
        <v>0</v>
      </c>
      <c r="BA64" s="17">
        <f>AY64*$E64</f>
        <v>0</v>
      </c>
      <c r="BB64" s="17">
        <f t="shared" si="8"/>
        <v>0</v>
      </c>
      <c r="BC64" s="11">
        <f t="shared" si="9"/>
        <v>0</v>
      </c>
      <c r="BE64" s="11">
        <f t="shared" si="10"/>
        <v>3.9691380738881097E-3</v>
      </c>
      <c r="BF64" s="11">
        <f t="shared" si="11"/>
        <v>8.1965670140457421E-3</v>
      </c>
      <c r="BH64" s="11"/>
    </row>
    <row r="65" spans="1:60" x14ac:dyDescent="0.25">
      <c r="A65" s="1">
        <v>46118</v>
      </c>
      <c r="B65" s="21">
        <v>297.66000000000003</v>
      </c>
      <c r="C65" s="21">
        <v>299.99</v>
      </c>
      <c r="D65" s="22">
        <v>1.08087251037501E-2</v>
      </c>
      <c r="E65" s="22">
        <v>1.41670155122402E-2</v>
      </c>
      <c r="F65" s="21">
        <v>0</v>
      </c>
      <c r="G65" s="21">
        <v>0.21</v>
      </c>
      <c r="H65" s="21">
        <v>0</v>
      </c>
      <c r="I65" s="21">
        <v>0.21</v>
      </c>
      <c r="J65" s="21">
        <v>0</v>
      </c>
      <c r="K65" s="21">
        <v>0</v>
      </c>
      <c r="L65" s="21">
        <v>297.66000000000003</v>
      </c>
      <c r="M65" s="21">
        <v>299.99</v>
      </c>
      <c r="N65" s="23">
        <v>1.0078277229053201</v>
      </c>
      <c r="O65" s="23">
        <v>1.0043771680406</v>
      </c>
      <c r="P65" s="23">
        <v>1.0046319577353799</v>
      </c>
      <c r="Q65" s="23">
        <v>1.0038854911066899</v>
      </c>
      <c r="R65" s="21">
        <v>298.96290783896501</v>
      </c>
      <c r="S65" s="21">
        <v>299.02591273510399</v>
      </c>
      <c r="T65" s="21">
        <v>298.711031682417</v>
      </c>
      <c r="U65" s="22">
        <v>-3.4296291222351799E-3</v>
      </c>
      <c r="V65" s="22">
        <v>-3.2189064658785902E-3</v>
      </c>
      <c r="W65" s="22">
        <v>-4.27248391246088E-3</v>
      </c>
      <c r="X65" s="23">
        <v>1.0078277229053201</v>
      </c>
      <c r="Y65" s="23">
        <v>1.0043771680406</v>
      </c>
      <c r="Z65" s="23">
        <v>1.0046319577353799</v>
      </c>
      <c r="AA65" s="23">
        <v>1.0038854911066899</v>
      </c>
      <c r="AB65" s="21">
        <v>298.96290783896501</v>
      </c>
      <c r="AC65" s="21">
        <v>299.02591273510399</v>
      </c>
      <c r="AD65" s="21">
        <v>298.711031682417</v>
      </c>
      <c r="AE65" s="22">
        <v>-3.4296291222351799E-3</v>
      </c>
      <c r="AF65" s="22">
        <v>-3.2189064658785902E-3</v>
      </c>
      <c r="AG65" s="22">
        <v>-4.27248391246088E-3</v>
      </c>
      <c r="AI65" s="5"/>
      <c r="AJ65">
        <f>IF($AG65&lt;AI$21,1,0)</f>
        <v>1</v>
      </c>
      <c r="AK65">
        <f>IF($AG65&gt;AI$22,1,0)</f>
        <v>0</v>
      </c>
      <c r="AL65">
        <f t="shared" si="2"/>
        <v>0</v>
      </c>
      <c r="AM65">
        <f>IF(F66+H66&gt;0,0,1)</f>
        <v>1</v>
      </c>
      <c r="AN65">
        <f t="shared" si="3"/>
        <v>0</v>
      </c>
      <c r="AO65" s="17">
        <f>AN65*D65</f>
        <v>0</v>
      </c>
      <c r="AP65" s="17">
        <f>-AN65*$E65</f>
        <v>0</v>
      </c>
      <c r="AQ65" s="17">
        <f t="shared" si="4"/>
        <v>0</v>
      </c>
      <c r="AR65" s="11">
        <f t="shared" si="5"/>
        <v>8.1965670140457421E-3</v>
      </c>
      <c r="AT65" s="5"/>
      <c r="AU65">
        <f>IF($AG65&gt;AT$21,1,0)</f>
        <v>0</v>
      </c>
      <c r="AV65">
        <f>IF($AG65&lt;AT$22,1,0)</f>
        <v>1</v>
      </c>
      <c r="AW65">
        <f t="shared" si="6"/>
        <v>0</v>
      </c>
      <c r="AX65">
        <f>IF(F66+H66&gt;0,0,1)</f>
        <v>1</v>
      </c>
      <c r="AY65">
        <f t="shared" si="7"/>
        <v>0</v>
      </c>
      <c r="AZ65" s="17">
        <f>-AY65*D65</f>
        <v>0</v>
      </c>
      <c r="BA65" s="17">
        <f>AY65*$E65</f>
        <v>0</v>
      </c>
      <c r="BB65" s="17">
        <f t="shared" si="8"/>
        <v>0</v>
      </c>
      <c r="BC65" s="11">
        <f t="shared" si="9"/>
        <v>0</v>
      </c>
      <c r="BE65" s="11">
        <f t="shared" si="10"/>
        <v>0</v>
      </c>
      <c r="BF65" s="11">
        <f t="shared" si="11"/>
        <v>8.1965670140457421E-3</v>
      </c>
      <c r="BH65" s="11"/>
    </row>
    <row r="66" spans="1:60" x14ac:dyDescent="0.25">
      <c r="A66" s="1">
        <v>46119</v>
      </c>
      <c r="B66" s="21">
        <v>303.93</v>
      </c>
      <c r="C66" s="21">
        <v>305.45999999999998</v>
      </c>
      <c r="D66" s="22">
        <v>2.08455161926831E-2</v>
      </c>
      <c r="E66" s="22">
        <v>1.8069696374999701E-2</v>
      </c>
      <c r="F66" s="21">
        <v>0</v>
      </c>
      <c r="G66" s="21">
        <v>0.21</v>
      </c>
      <c r="H66" s="21">
        <v>0</v>
      </c>
      <c r="I66" s="21">
        <v>0.21</v>
      </c>
      <c r="J66" s="21">
        <v>0</v>
      </c>
      <c r="K66" s="21">
        <v>0</v>
      </c>
      <c r="L66" s="21">
        <v>303.93</v>
      </c>
      <c r="M66" s="21">
        <v>305.45999999999998</v>
      </c>
      <c r="N66" s="23">
        <v>1.0050340538939799</v>
      </c>
      <c r="O66" s="23">
        <v>1.0043771680406</v>
      </c>
      <c r="P66" s="23">
        <v>1.00411870872039</v>
      </c>
      <c r="Q66" s="23">
        <v>1.0040800061277899</v>
      </c>
      <c r="R66" s="21">
        <v>305.26035268257999</v>
      </c>
      <c r="S66" s="21">
        <v>305.33779091451601</v>
      </c>
      <c r="T66" s="21">
        <v>305.11091731205801</v>
      </c>
      <c r="U66" s="22">
        <v>-6.5380930455188695E-4</v>
      </c>
      <c r="V66" s="22">
        <v>-4.0016217783555902E-4</v>
      </c>
      <c r="W66" s="22">
        <v>-1.1434633261394201E-3</v>
      </c>
      <c r="X66" s="23">
        <v>1.0050340538939799</v>
      </c>
      <c r="Y66" s="23">
        <v>1.0043771680406</v>
      </c>
      <c r="Z66" s="23">
        <v>1.00411870872039</v>
      </c>
      <c r="AA66" s="23">
        <v>1.0040800061277899</v>
      </c>
      <c r="AB66" s="21">
        <v>305.26035268257999</v>
      </c>
      <c r="AC66" s="21">
        <v>305.33779091451601</v>
      </c>
      <c r="AD66" s="21">
        <v>305.11091731205801</v>
      </c>
      <c r="AE66" s="22">
        <v>-6.5380930455188695E-4</v>
      </c>
      <c r="AF66" s="22">
        <v>-4.0016217783555902E-4</v>
      </c>
      <c r="AG66" s="22">
        <v>-1.1434633261394201E-3</v>
      </c>
      <c r="AI66" s="5"/>
      <c r="AJ66">
        <f>IF($AG66&lt;AI$21,1,0)</f>
        <v>0</v>
      </c>
      <c r="AK66">
        <f>IF($AG66&gt;AI$22,1,0)</f>
        <v>1</v>
      </c>
      <c r="AL66">
        <f t="shared" si="2"/>
        <v>1</v>
      </c>
      <c r="AM66">
        <f>IF(F67+H67&gt;0,0,1)</f>
        <v>1</v>
      </c>
      <c r="AN66">
        <f t="shared" si="3"/>
        <v>1</v>
      </c>
      <c r="AO66" s="17">
        <f>AN66*D66</f>
        <v>2.08455161926831E-2</v>
      </c>
      <c r="AP66" s="17">
        <f>-AN66*$E66</f>
        <v>-1.8069696374999701E-2</v>
      </c>
      <c r="AQ66" s="17">
        <f t="shared" si="4"/>
        <v>2.775819817683399E-3</v>
      </c>
      <c r="AR66" s="11">
        <f t="shared" si="5"/>
        <v>1.0972386831729141E-2</v>
      </c>
      <c r="AT66" s="5"/>
      <c r="AU66">
        <f>IF($AG66&gt;AT$21,1,0)</f>
        <v>0</v>
      </c>
      <c r="AV66">
        <f>IF($AG66&lt;AT$22,1,0)</f>
        <v>1</v>
      </c>
      <c r="AW66">
        <f t="shared" si="6"/>
        <v>0</v>
      </c>
      <c r="AX66">
        <f>IF(F67+H67&gt;0,0,1)</f>
        <v>1</v>
      </c>
      <c r="AY66">
        <f t="shared" si="7"/>
        <v>0</v>
      </c>
      <c r="AZ66" s="17">
        <f>-AY66*D66</f>
        <v>0</v>
      </c>
      <c r="BA66" s="17">
        <f>AY66*$E66</f>
        <v>0</v>
      </c>
      <c r="BB66" s="17">
        <f t="shared" si="8"/>
        <v>0</v>
      </c>
      <c r="BC66" s="11">
        <f t="shared" si="9"/>
        <v>0</v>
      </c>
      <c r="BE66" s="11">
        <f t="shared" si="10"/>
        <v>2.775819817683399E-3</v>
      </c>
      <c r="BF66" s="11">
        <f t="shared" si="11"/>
        <v>1.0972386831729141E-2</v>
      </c>
      <c r="BH66" s="11"/>
    </row>
    <row r="67" spans="1:60" x14ac:dyDescent="0.25">
      <c r="A67" s="1">
        <v>46120</v>
      </c>
      <c r="B67" s="21">
        <v>314.74</v>
      </c>
      <c r="C67" s="21">
        <v>317.32</v>
      </c>
      <c r="D67" s="22">
        <v>3.4949489439022603E-2</v>
      </c>
      <c r="E67" s="22">
        <v>3.8091891291502603E-2</v>
      </c>
      <c r="F67" s="21">
        <v>0</v>
      </c>
      <c r="G67" s="21">
        <v>0.21</v>
      </c>
      <c r="H67" s="21">
        <v>0</v>
      </c>
      <c r="I67" s="21">
        <v>0.21</v>
      </c>
      <c r="J67" s="21">
        <v>0</v>
      </c>
      <c r="K67" s="21">
        <v>0</v>
      </c>
      <c r="L67" s="21">
        <v>314.74</v>
      </c>
      <c r="M67" s="21">
        <v>317.32</v>
      </c>
      <c r="N67" s="23">
        <v>1.00819724216813</v>
      </c>
      <c r="O67" s="23">
        <v>1.0043771680406</v>
      </c>
      <c r="P67" s="23">
        <v>1.0045096639192299</v>
      </c>
      <c r="Q67" s="23">
        <v>1.00447194884089</v>
      </c>
      <c r="R67" s="21">
        <v>316.11766986909902</v>
      </c>
      <c r="S67" s="21">
        <v>316.03632238265698</v>
      </c>
      <c r="T67" s="21">
        <v>316.02414112866097</v>
      </c>
      <c r="U67" s="22">
        <v>-3.7962111570315998E-3</v>
      </c>
      <c r="V67" s="22">
        <v>-4.0535772035565302E-3</v>
      </c>
      <c r="W67" s="22">
        <v>-4.0921217881375697E-3</v>
      </c>
      <c r="X67" s="23">
        <v>1.00819724216813</v>
      </c>
      <c r="Y67" s="23">
        <v>1.0043771680406</v>
      </c>
      <c r="Z67" s="23">
        <v>1.0045096639192299</v>
      </c>
      <c r="AA67" s="23">
        <v>1.00447194884089</v>
      </c>
      <c r="AB67" s="21">
        <v>316.11766986909902</v>
      </c>
      <c r="AC67" s="21">
        <v>316.03632238265698</v>
      </c>
      <c r="AD67" s="21">
        <v>316.02414112866097</v>
      </c>
      <c r="AE67" s="22">
        <v>-3.7962111570315998E-3</v>
      </c>
      <c r="AF67" s="22">
        <v>-4.0535772035565302E-3</v>
      </c>
      <c r="AG67" s="22">
        <v>-4.0921217881375697E-3</v>
      </c>
      <c r="AI67" s="5"/>
      <c r="AJ67">
        <f>IF($AG67&lt;AI$21,1,0)</f>
        <v>1</v>
      </c>
      <c r="AK67">
        <f>IF($AG67&gt;AI$22,1,0)</f>
        <v>0</v>
      </c>
      <c r="AL67">
        <f t="shared" si="2"/>
        <v>0</v>
      </c>
      <c r="AM67">
        <f>IF(F68+H68&gt;0,0,1)</f>
        <v>1</v>
      </c>
      <c r="AN67">
        <f t="shared" si="3"/>
        <v>0</v>
      </c>
      <c r="AO67" s="17">
        <f>AN67*D67</f>
        <v>0</v>
      </c>
      <c r="AP67" s="17">
        <f>-AN67*$E67</f>
        <v>0</v>
      </c>
      <c r="AQ67" s="17">
        <f t="shared" si="4"/>
        <v>0</v>
      </c>
      <c r="AR67" s="11">
        <f t="shared" si="5"/>
        <v>1.0972386831729141E-2</v>
      </c>
      <c r="AT67" s="5"/>
      <c r="AU67">
        <f>IF($AG67&gt;AT$21,1,0)</f>
        <v>0</v>
      </c>
      <c r="AV67">
        <f>IF($AG67&lt;AT$22,1,0)</f>
        <v>1</v>
      </c>
      <c r="AW67">
        <f t="shared" si="6"/>
        <v>0</v>
      </c>
      <c r="AX67">
        <f>IF(F68+H68&gt;0,0,1)</f>
        <v>1</v>
      </c>
      <c r="AY67">
        <f t="shared" si="7"/>
        <v>0</v>
      </c>
      <c r="AZ67" s="17">
        <f>-AY67*D67</f>
        <v>0</v>
      </c>
      <c r="BA67" s="17">
        <f>AY67*$E67</f>
        <v>0</v>
      </c>
      <c r="BB67" s="17">
        <f t="shared" si="8"/>
        <v>0</v>
      </c>
      <c r="BC67" s="11">
        <f t="shared" si="9"/>
        <v>0</v>
      </c>
      <c r="BE67" s="11">
        <f t="shared" si="10"/>
        <v>0</v>
      </c>
      <c r="BF67" s="11">
        <f t="shared" si="11"/>
        <v>1.0972386831729141E-2</v>
      </c>
      <c r="BH67" s="11"/>
    </row>
    <row r="68" spans="1:60" x14ac:dyDescent="0.25">
      <c r="A68" s="1">
        <v>46121</v>
      </c>
      <c r="B68" s="21">
        <v>316.37</v>
      </c>
      <c r="C68" s="21">
        <v>318.49</v>
      </c>
      <c r="D68" s="22">
        <v>5.1655135376571801E-3</v>
      </c>
      <c r="E68" s="22">
        <v>3.6803489112600899E-3</v>
      </c>
      <c r="F68" s="21">
        <v>0</v>
      </c>
      <c r="G68" s="21">
        <v>0.21</v>
      </c>
      <c r="H68" s="21">
        <v>0</v>
      </c>
      <c r="I68" s="21">
        <v>0.21</v>
      </c>
      <c r="J68" s="21">
        <v>0</v>
      </c>
      <c r="K68" s="21">
        <v>0</v>
      </c>
      <c r="L68" s="21">
        <v>316.37</v>
      </c>
      <c r="M68" s="21">
        <v>318.49</v>
      </c>
      <c r="N68" s="23">
        <v>1.0067010146347599</v>
      </c>
      <c r="O68" s="23">
        <v>1.0043771680406</v>
      </c>
      <c r="P68" s="23">
        <v>1.0047170422223699</v>
      </c>
      <c r="Q68" s="23">
        <v>1.0047616069262399</v>
      </c>
      <c r="R68" s="21">
        <v>317.75480465300501</v>
      </c>
      <c r="S68" s="21">
        <v>317.796722374127</v>
      </c>
      <c r="T68" s="21">
        <v>317.78479045479401</v>
      </c>
      <c r="U68" s="22">
        <v>-2.3110465306345001E-3</v>
      </c>
      <c r="V68" s="22">
        <v>-2.17913678170061E-3</v>
      </c>
      <c r="W68" s="22">
        <v>-2.2166832461363202E-3</v>
      </c>
      <c r="X68" s="23">
        <v>1.0067010146347599</v>
      </c>
      <c r="Y68" s="23">
        <v>1.0043771680406</v>
      </c>
      <c r="Z68" s="23">
        <v>1.0047170422223699</v>
      </c>
      <c r="AA68" s="23">
        <v>1.0047616069262399</v>
      </c>
      <c r="AB68" s="21">
        <v>317.75480465300501</v>
      </c>
      <c r="AC68" s="21">
        <v>317.796722374127</v>
      </c>
      <c r="AD68" s="21">
        <v>317.78479045479401</v>
      </c>
      <c r="AE68" s="22">
        <v>-2.3110465306345001E-3</v>
      </c>
      <c r="AF68" s="22">
        <v>-2.17913678170061E-3</v>
      </c>
      <c r="AG68" s="22">
        <v>-2.2166832461363202E-3</v>
      </c>
      <c r="AI68" s="5"/>
      <c r="AJ68">
        <f>IF($AG68&lt;AI$21,1,0)</f>
        <v>0</v>
      </c>
      <c r="AK68">
        <f>IF($AG68&gt;AI$22,1,0)</f>
        <v>0</v>
      </c>
      <c r="AL68">
        <f t="shared" si="2"/>
        <v>1</v>
      </c>
      <c r="AM68">
        <f>IF(F69+H69&gt;0,0,1)</f>
        <v>1</v>
      </c>
      <c r="AN68">
        <f t="shared" si="3"/>
        <v>1</v>
      </c>
      <c r="AO68" s="17">
        <f>AN68*D68</f>
        <v>5.1655135376571801E-3</v>
      </c>
      <c r="AP68" s="17">
        <f>-AN68*$E68</f>
        <v>-3.6803489112600899E-3</v>
      </c>
      <c r="AQ68" s="17">
        <f t="shared" si="4"/>
        <v>1.4851646263970902E-3</v>
      </c>
      <c r="AR68" s="11">
        <f t="shared" si="5"/>
        <v>1.2457551458126232E-2</v>
      </c>
      <c r="AT68" s="5"/>
      <c r="AU68">
        <f>IF($AG68&gt;AT$21,1,0)</f>
        <v>0</v>
      </c>
      <c r="AV68">
        <f>IF($AG68&lt;AT$22,1,0)</f>
        <v>1</v>
      </c>
      <c r="AW68">
        <f t="shared" si="6"/>
        <v>0</v>
      </c>
      <c r="AX68">
        <f>IF(F69+H69&gt;0,0,1)</f>
        <v>1</v>
      </c>
      <c r="AY68">
        <f t="shared" si="7"/>
        <v>0</v>
      </c>
      <c r="AZ68" s="17">
        <f>-AY68*D68</f>
        <v>0</v>
      </c>
      <c r="BA68" s="17">
        <f>AY68*$E68</f>
        <v>0</v>
      </c>
      <c r="BB68" s="17">
        <f t="shared" si="8"/>
        <v>0</v>
      </c>
      <c r="BC68" s="11">
        <f t="shared" si="9"/>
        <v>0</v>
      </c>
      <c r="BE68" s="11">
        <f t="shared" si="10"/>
        <v>1.4851646263970902E-3</v>
      </c>
      <c r="BF68" s="11">
        <f t="shared" si="11"/>
        <v>1.2457551458126232E-2</v>
      </c>
      <c r="BH68" s="11"/>
    </row>
    <row r="69" spans="1:60" x14ac:dyDescent="0.25">
      <c r="A69" s="1">
        <v>46122</v>
      </c>
      <c r="B69" s="21">
        <v>315.72000000000003</v>
      </c>
      <c r="C69" s="21">
        <v>317.24</v>
      </c>
      <c r="D69" s="22">
        <v>-2.0566698701737301E-3</v>
      </c>
      <c r="E69" s="22">
        <v>-3.9324921299432099E-3</v>
      </c>
      <c r="F69" s="21">
        <v>0</v>
      </c>
      <c r="G69" s="21">
        <v>0.21</v>
      </c>
      <c r="H69" s="21">
        <v>0</v>
      </c>
      <c r="I69" s="21">
        <v>0.21</v>
      </c>
      <c r="J69" s="21">
        <v>0</v>
      </c>
      <c r="K69" s="21">
        <v>0</v>
      </c>
      <c r="L69" s="21">
        <v>315.72000000000003</v>
      </c>
      <c r="M69" s="21">
        <v>317.24</v>
      </c>
      <c r="N69" s="23">
        <v>1.00481439249968</v>
      </c>
      <c r="O69" s="23">
        <v>1.0043771680406</v>
      </c>
      <c r="P69" s="23">
        <v>1.0051343652081799</v>
      </c>
      <c r="Q69" s="23">
        <v>1.0049462597988099</v>
      </c>
      <c r="R69" s="21">
        <v>317.10195949377902</v>
      </c>
      <c r="S69" s="21">
        <v>317.209264570448</v>
      </c>
      <c r="T69" s="21">
        <v>317.22333453875302</v>
      </c>
      <c r="U69" s="22">
        <v>-4.3522427086505901E-4</v>
      </c>
      <c r="V69" s="22">
        <v>-9.6888534013556097E-5</v>
      </c>
      <c r="W69" s="22">
        <v>-5.2534040480116203E-5</v>
      </c>
      <c r="X69" s="23">
        <v>1.00481439249968</v>
      </c>
      <c r="Y69" s="23">
        <v>1.0043771680406</v>
      </c>
      <c r="Z69" s="23">
        <v>1.0051343652081799</v>
      </c>
      <c r="AA69" s="23">
        <v>1.0049462597988099</v>
      </c>
      <c r="AB69" s="21">
        <v>317.10195949377902</v>
      </c>
      <c r="AC69" s="21">
        <v>317.209264570448</v>
      </c>
      <c r="AD69" s="21">
        <v>317.22333453875302</v>
      </c>
      <c r="AE69" s="22">
        <v>-4.3522427086505901E-4</v>
      </c>
      <c r="AF69" s="22">
        <v>-9.6888534013556097E-5</v>
      </c>
      <c r="AG69" s="22">
        <v>-5.2534040480116203E-5</v>
      </c>
      <c r="AI69" s="5"/>
      <c r="AJ69">
        <f>IF($AG69&lt;AI$21,1,0)</f>
        <v>0</v>
      </c>
      <c r="AK69">
        <f>IF($AG69&gt;AI$22,1,0)</f>
        <v>1</v>
      </c>
      <c r="AL69">
        <f t="shared" si="2"/>
        <v>1</v>
      </c>
      <c r="AM69">
        <f>IF(F70+H70&gt;0,0,1)</f>
        <v>1</v>
      </c>
      <c r="AN69">
        <f t="shared" si="3"/>
        <v>1</v>
      </c>
      <c r="AO69" s="17">
        <f>AN69*D69</f>
        <v>-2.0566698701737301E-3</v>
      </c>
      <c r="AP69" s="17">
        <f>-AN69*$E69</f>
        <v>3.9324921299432099E-3</v>
      </c>
      <c r="AQ69" s="17">
        <f t="shared" si="4"/>
        <v>1.8758222597694799E-3</v>
      </c>
      <c r="AR69" s="11">
        <f t="shared" si="5"/>
        <v>1.4333373717895712E-2</v>
      </c>
      <c r="AT69" s="5"/>
      <c r="AU69">
        <f>IF($AG69&gt;AT$21,1,0)</f>
        <v>0</v>
      </c>
      <c r="AV69">
        <f>IF($AG69&lt;AT$22,1,0)</f>
        <v>1</v>
      </c>
      <c r="AW69">
        <f t="shared" si="6"/>
        <v>0</v>
      </c>
      <c r="AX69">
        <f>IF(F70+H70&gt;0,0,1)</f>
        <v>1</v>
      </c>
      <c r="AY69">
        <f t="shared" si="7"/>
        <v>0</v>
      </c>
      <c r="AZ69" s="17">
        <f>-AY69*D69</f>
        <v>0</v>
      </c>
      <c r="BA69" s="17">
        <f>AY69*$E69</f>
        <v>0</v>
      </c>
      <c r="BB69" s="17">
        <f t="shared" si="8"/>
        <v>0</v>
      </c>
      <c r="BC69" s="11">
        <f t="shared" si="9"/>
        <v>0</v>
      </c>
      <c r="BE69" s="11">
        <f t="shared" si="10"/>
        <v>1.8758222597694799E-3</v>
      </c>
      <c r="BF69" s="11">
        <f t="shared" si="11"/>
        <v>1.4333373717895712E-2</v>
      </c>
      <c r="BH69" s="11"/>
    </row>
    <row r="70" spans="1:60" x14ac:dyDescent="0.25">
      <c r="A70" s="1">
        <v>46125</v>
      </c>
      <c r="B70" s="21">
        <v>319.20999999999998</v>
      </c>
      <c r="C70" s="21">
        <v>321.31</v>
      </c>
      <c r="D70" s="22">
        <v>1.0993448565532299E-2</v>
      </c>
      <c r="E70" s="22">
        <v>1.2747803982901099E-2</v>
      </c>
      <c r="F70" s="21">
        <v>0</v>
      </c>
      <c r="G70" s="21">
        <v>0.21</v>
      </c>
      <c r="H70" s="21">
        <v>0</v>
      </c>
      <c r="I70" s="21">
        <v>0.21</v>
      </c>
      <c r="J70" s="21">
        <v>0</v>
      </c>
      <c r="K70" s="21">
        <v>0</v>
      </c>
      <c r="L70" s="21">
        <v>319.20999999999998</v>
      </c>
      <c r="M70" s="21">
        <v>321.31</v>
      </c>
      <c r="N70" s="23">
        <v>1.0065787412675</v>
      </c>
      <c r="O70" s="23">
        <v>1.0043771680406</v>
      </c>
      <c r="P70" s="23">
        <v>1.00558037492815</v>
      </c>
      <c r="Q70" s="23">
        <v>1.00513919208543</v>
      </c>
      <c r="R70" s="21">
        <v>320.60723581024001</v>
      </c>
      <c r="S70" s="21">
        <v>320.84894071810498</v>
      </c>
      <c r="T70" s="21">
        <v>320.78889559037799</v>
      </c>
      <c r="U70" s="22">
        <v>-2.18957968823393E-3</v>
      </c>
      <c r="V70" s="22">
        <v>-1.43596649329389E-3</v>
      </c>
      <c r="W70" s="22">
        <v>-1.62312854797249E-3</v>
      </c>
      <c r="X70" s="23">
        <v>1.0065787412675</v>
      </c>
      <c r="Y70" s="23">
        <v>1.0043771680406</v>
      </c>
      <c r="Z70" s="23">
        <v>1.00558037492815</v>
      </c>
      <c r="AA70" s="23">
        <v>1.00513919208543</v>
      </c>
      <c r="AB70" s="21">
        <v>320.60723581024001</v>
      </c>
      <c r="AC70" s="21">
        <v>320.84894071810498</v>
      </c>
      <c r="AD70" s="21">
        <v>320.78889559037799</v>
      </c>
      <c r="AE70" s="22">
        <v>-2.18957968823393E-3</v>
      </c>
      <c r="AF70" s="22">
        <v>-1.43596649329389E-3</v>
      </c>
      <c r="AG70" s="22">
        <v>-1.62312854797249E-3</v>
      </c>
      <c r="AI70" s="5"/>
      <c r="AJ70">
        <f>IF($AG70&lt;AI$21,1,0)</f>
        <v>0</v>
      </c>
      <c r="AK70">
        <f>IF($AG70&gt;AI$22,1,0)</f>
        <v>1</v>
      </c>
      <c r="AL70">
        <f t="shared" si="2"/>
        <v>0</v>
      </c>
      <c r="AM70">
        <f>IF(F71+H71&gt;0,0,1)</f>
        <v>1</v>
      </c>
      <c r="AN70">
        <f t="shared" si="3"/>
        <v>0</v>
      </c>
      <c r="AO70" s="17">
        <f>AN70*D70</f>
        <v>0</v>
      </c>
      <c r="AP70" s="17">
        <f>-AN70*$E70</f>
        <v>0</v>
      </c>
      <c r="AQ70" s="17">
        <f t="shared" si="4"/>
        <v>0</v>
      </c>
      <c r="AR70" s="11">
        <f t="shared" si="5"/>
        <v>1.4333373717895712E-2</v>
      </c>
      <c r="AT70" s="5"/>
      <c r="AU70">
        <f>IF($AG70&gt;AT$21,1,0)</f>
        <v>0</v>
      </c>
      <c r="AV70">
        <f>IF($AG70&lt;AT$22,1,0)</f>
        <v>1</v>
      </c>
      <c r="AW70">
        <f t="shared" si="6"/>
        <v>0</v>
      </c>
      <c r="AX70">
        <f>IF(F71+H71&gt;0,0,1)</f>
        <v>1</v>
      </c>
      <c r="AY70">
        <f t="shared" si="7"/>
        <v>0</v>
      </c>
      <c r="AZ70" s="17">
        <f>-AY70*D70</f>
        <v>0</v>
      </c>
      <c r="BA70" s="17">
        <f>AY70*$E70</f>
        <v>0</v>
      </c>
      <c r="BB70" s="17">
        <f t="shared" si="8"/>
        <v>0</v>
      </c>
      <c r="BC70" s="11">
        <f t="shared" si="9"/>
        <v>0</v>
      </c>
      <c r="BE70" s="11">
        <f t="shared" si="10"/>
        <v>0</v>
      </c>
      <c r="BF70" s="11">
        <f t="shared" si="11"/>
        <v>1.4333373717895712E-2</v>
      </c>
      <c r="BH70" s="11"/>
    </row>
    <row r="71" spans="1:60" x14ac:dyDescent="0.25">
      <c r="A71" s="1">
        <v>46126</v>
      </c>
      <c r="B71" s="21">
        <v>330.58</v>
      </c>
      <c r="C71" s="21">
        <v>332.91</v>
      </c>
      <c r="D71" s="22">
        <v>3.49994940834732E-2</v>
      </c>
      <c r="E71" s="22">
        <v>3.5465793982561999E-2</v>
      </c>
      <c r="F71" s="21">
        <v>0</v>
      </c>
      <c r="G71" s="21">
        <v>0.21</v>
      </c>
      <c r="H71" s="21">
        <v>0</v>
      </c>
      <c r="I71" s="21">
        <v>0.21</v>
      </c>
      <c r="J71" s="21">
        <v>0</v>
      </c>
      <c r="K71" s="21">
        <v>0</v>
      </c>
      <c r="L71" s="21">
        <v>330.58</v>
      </c>
      <c r="M71" s="21">
        <v>332.91</v>
      </c>
      <c r="N71" s="23">
        <v>1.0070482182830101</v>
      </c>
      <c r="O71" s="23">
        <v>1.0043771680406</v>
      </c>
      <c r="P71" s="23">
        <v>1.0061533962146101</v>
      </c>
      <c r="Q71" s="23">
        <v>1.00530436168823</v>
      </c>
      <c r="R71" s="21">
        <v>332.027004210862</v>
      </c>
      <c r="S71" s="21">
        <v>332.42476034374999</v>
      </c>
      <c r="T71" s="21">
        <v>332.27891411960297</v>
      </c>
      <c r="U71" s="22">
        <v>-2.6558795873227801E-3</v>
      </c>
      <c r="V71" s="22">
        <v>-1.4586333713649301E-3</v>
      </c>
      <c r="W71" s="22">
        <v>-1.89746418302075E-3</v>
      </c>
      <c r="X71" s="23">
        <v>1.0070482182830101</v>
      </c>
      <c r="Y71" s="23">
        <v>1.0043771680406</v>
      </c>
      <c r="Z71" s="23">
        <v>1.0061533962146101</v>
      </c>
      <c r="AA71" s="23">
        <v>1.00530436168823</v>
      </c>
      <c r="AB71" s="21">
        <v>332.027004210862</v>
      </c>
      <c r="AC71" s="21">
        <v>332.42476034374999</v>
      </c>
      <c r="AD71" s="21">
        <v>332.27891411960297</v>
      </c>
      <c r="AE71" s="22">
        <v>-2.6558795873227801E-3</v>
      </c>
      <c r="AF71" s="22">
        <v>-1.4586333713649301E-3</v>
      </c>
      <c r="AG71" s="22">
        <v>-1.89746418302075E-3</v>
      </c>
      <c r="AI71" s="5"/>
      <c r="AJ71">
        <f>IF($AG71&lt;AI$21,1,0)</f>
        <v>0</v>
      </c>
      <c r="AK71">
        <f>IF($AG71&gt;AI$22,1,0)</f>
        <v>1</v>
      </c>
      <c r="AL71">
        <f t="shared" si="2"/>
        <v>0</v>
      </c>
      <c r="AM71">
        <f>IF(F72+H72&gt;0,0,1)</f>
        <v>1</v>
      </c>
      <c r="AN71">
        <f t="shared" si="3"/>
        <v>0</v>
      </c>
      <c r="AO71" s="17">
        <f>AN71*D71</f>
        <v>0</v>
      </c>
      <c r="AP71" s="17">
        <f>-AN71*$E71</f>
        <v>0</v>
      </c>
      <c r="AQ71" s="17">
        <f t="shared" si="4"/>
        <v>0</v>
      </c>
      <c r="AR71" s="11">
        <f t="shared" si="5"/>
        <v>1.4333373717895712E-2</v>
      </c>
      <c r="AT71" s="5"/>
      <c r="AU71">
        <f>IF($AG71&gt;AT$21,1,0)</f>
        <v>0</v>
      </c>
      <c r="AV71">
        <f>IF($AG71&lt;AT$22,1,0)</f>
        <v>1</v>
      </c>
      <c r="AW71">
        <f t="shared" si="6"/>
        <v>0</v>
      </c>
      <c r="AX71">
        <f>IF(F72+H72&gt;0,0,1)</f>
        <v>1</v>
      </c>
      <c r="AY71">
        <f t="shared" si="7"/>
        <v>0</v>
      </c>
      <c r="AZ71" s="17">
        <f>-AY71*D71</f>
        <v>0</v>
      </c>
      <c r="BA71" s="17">
        <f>AY71*$E71</f>
        <v>0</v>
      </c>
      <c r="BB71" s="17">
        <f t="shared" si="8"/>
        <v>0</v>
      </c>
      <c r="BC71" s="11">
        <f t="shared" si="9"/>
        <v>0</v>
      </c>
      <c r="BE71" s="11">
        <f t="shared" si="10"/>
        <v>0</v>
      </c>
      <c r="BF71" s="11">
        <f t="shared" si="11"/>
        <v>1.4333373717895712E-2</v>
      </c>
      <c r="BH71" s="11"/>
    </row>
    <row r="72" spans="1:60" x14ac:dyDescent="0.25">
      <c r="A72" s="1">
        <v>46127</v>
      </c>
      <c r="B72" s="21">
        <v>334.47</v>
      </c>
      <c r="C72" s="21">
        <v>337.12</v>
      </c>
      <c r="D72" s="22">
        <v>1.1698501958382601E-2</v>
      </c>
      <c r="E72" s="22">
        <v>1.25667668752967E-2</v>
      </c>
      <c r="F72" s="21">
        <v>0</v>
      </c>
      <c r="G72" s="21">
        <v>0.21</v>
      </c>
      <c r="H72" s="21">
        <v>0</v>
      </c>
      <c r="I72" s="21">
        <v>0.21</v>
      </c>
      <c r="J72" s="21">
        <v>0</v>
      </c>
      <c r="K72" s="21">
        <v>0</v>
      </c>
      <c r="L72" s="21">
        <v>334.47</v>
      </c>
      <c r="M72" s="21">
        <v>337.12</v>
      </c>
      <c r="N72" s="23">
        <v>1.00792298262923</v>
      </c>
      <c r="O72" s="23">
        <v>1.0043771680406</v>
      </c>
      <c r="P72" s="23">
        <v>1.00670167300364</v>
      </c>
      <c r="Q72" s="23">
        <v>1.00545649802114</v>
      </c>
      <c r="R72" s="21">
        <v>335.93403139454</v>
      </c>
      <c r="S72" s="21">
        <v>336.528126431901</v>
      </c>
      <c r="T72" s="21">
        <v>336.244149853865</v>
      </c>
      <c r="U72" s="22">
        <v>-3.5241445042369099E-3</v>
      </c>
      <c r="V72" s="22">
        <v>-1.75721922818505E-3</v>
      </c>
      <c r="W72" s="22">
        <v>-2.6014174952980001E-3</v>
      </c>
      <c r="X72" s="23">
        <v>1.00792298262923</v>
      </c>
      <c r="Y72" s="23">
        <v>1.0043771680406</v>
      </c>
      <c r="Z72" s="23">
        <v>1.00670167300364</v>
      </c>
      <c r="AA72" s="23">
        <v>1.00545649802114</v>
      </c>
      <c r="AB72" s="21">
        <v>335.93403139454</v>
      </c>
      <c r="AC72" s="21">
        <v>336.528126431901</v>
      </c>
      <c r="AD72" s="21">
        <v>336.244149853865</v>
      </c>
      <c r="AE72" s="22">
        <v>-3.5241445042369099E-3</v>
      </c>
      <c r="AF72" s="22">
        <v>-1.75721922818505E-3</v>
      </c>
      <c r="AG72" s="22">
        <v>-2.6014174952980001E-3</v>
      </c>
      <c r="AI72" s="5"/>
      <c r="AJ72">
        <f>IF($AG72&lt;AI$21,1,0)</f>
        <v>0</v>
      </c>
      <c r="AK72">
        <f>IF($AG72&gt;AI$22,1,0)</f>
        <v>0</v>
      </c>
      <c r="AL72">
        <f t="shared" si="2"/>
        <v>0</v>
      </c>
      <c r="AM72">
        <f>IF(F73+H73&gt;0,0,1)</f>
        <v>1</v>
      </c>
      <c r="AN72">
        <f t="shared" si="3"/>
        <v>0</v>
      </c>
      <c r="AO72" s="17">
        <f>AN72*D72</f>
        <v>0</v>
      </c>
      <c r="AP72" s="17">
        <f>-AN72*$E72</f>
        <v>0</v>
      </c>
      <c r="AQ72" s="17">
        <f t="shared" si="4"/>
        <v>0</v>
      </c>
      <c r="AR72" s="11">
        <f t="shared" si="5"/>
        <v>1.4333373717895712E-2</v>
      </c>
      <c r="AT72" s="5"/>
      <c r="AU72">
        <f>IF($AG72&gt;AT$21,1,0)</f>
        <v>0</v>
      </c>
      <c r="AV72">
        <f>IF($AG72&lt;AT$22,1,0)</f>
        <v>1</v>
      </c>
      <c r="AW72">
        <f t="shared" si="6"/>
        <v>0</v>
      </c>
      <c r="AX72">
        <f>IF(F73+H73&gt;0,0,1)</f>
        <v>1</v>
      </c>
      <c r="AY72">
        <f t="shared" si="7"/>
        <v>0</v>
      </c>
      <c r="AZ72" s="17">
        <f>-AY72*D72</f>
        <v>0</v>
      </c>
      <c r="BA72" s="17">
        <f>AY72*$E72</f>
        <v>0</v>
      </c>
      <c r="BB72" s="17">
        <f t="shared" si="8"/>
        <v>0</v>
      </c>
      <c r="BC72" s="11">
        <f t="shared" si="9"/>
        <v>0</v>
      </c>
      <c r="BE72" s="11">
        <f t="shared" si="10"/>
        <v>0</v>
      </c>
      <c r="BF72" s="11">
        <f t="shared" si="11"/>
        <v>1.4333373717895712E-2</v>
      </c>
      <c r="BH72" s="11"/>
    </row>
    <row r="73" spans="1:60" x14ac:dyDescent="0.25">
      <c r="A73" s="1">
        <v>46128</v>
      </c>
      <c r="B73" s="21">
        <v>332.77</v>
      </c>
      <c r="C73" s="21">
        <v>336.02</v>
      </c>
      <c r="D73" s="22">
        <v>-5.09562879454095E-3</v>
      </c>
      <c r="E73" s="22">
        <v>-3.26826805462254E-3</v>
      </c>
      <c r="F73" s="21">
        <v>0</v>
      </c>
      <c r="G73" s="21">
        <v>0.21</v>
      </c>
      <c r="H73" s="21">
        <v>0</v>
      </c>
      <c r="I73" s="21">
        <v>0.21</v>
      </c>
      <c r="J73" s="21">
        <v>0</v>
      </c>
      <c r="K73" s="21">
        <v>0</v>
      </c>
      <c r="L73" s="21">
        <v>332.77</v>
      </c>
      <c r="M73" s="21">
        <v>336.02</v>
      </c>
      <c r="N73" s="23">
        <v>1.0097665053941101</v>
      </c>
      <c r="O73" s="23">
        <v>1.0043771680406</v>
      </c>
      <c r="P73" s="23">
        <v>1.0068339695247399</v>
      </c>
      <c r="Q73" s="23">
        <v>1.0057179215605201</v>
      </c>
      <c r="R73" s="21">
        <v>334.22659020887102</v>
      </c>
      <c r="S73" s="21">
        <v>335.00011572542297</v>
      </c>
      <c r="T73" s="21">
        <v>334.58575884649701</v>
      </c>
      <c r="U73" s="22">
        <v>-5.3515052441554202E-3</v>
      </c>
      <c r="V73" s="22">
        <v>-3.0398047272249501E-3</v>
      </c>
      <c r="W73" s="22">
        <v>-4.27745608025684E-3</v>
      </c>
      <c r="X73" s="23">
        <v>1.0097665053941101</v>
      </c>
      <c r="Y73" s="23">
        <v>1.0043771680406</v>
      </c>
      <c r="Z73" s="23">
        <v>1.0068339695247399</v>
      </c>
      <c r="AA73" s="23">
        <v>1.0057179215605201</v>
      </c>
      <c r="AB73" s="21">
        <v>334.22659020887102</v>
      </c>
      <c r="AC73" s="21">
        <v>335.00011572542297</v>
      </c>
      <c r="AD73" s="21">
        <v>334.58575884649701</v>
      </c>
      <c r="AE73" s="22">
        <v>-5.3515052441554202E-3</v>
      </c>
      <c r="AF73" s="22">
        <v>-3.0398047272249501E-3</v>
      </c>
      <c r="AG73" s="22">
        <v>-4.27745608025684E-3</v>
      </c>
      <c r="AI73" s="5"/>
      <c r="AJ73">
        <f>IF($AG73&lt;AI$21,1,0)</f>
        <v>1</v>
      </c>
      <c r="AK73">
        <f>IF($AG73&gt;AI$22,1,0)</f>
        <v>0</v>
      </c>
      <c r="AL73">
        <f t="shared" si="2"/>
        <v>0</v>
      </c>
      <c r="AM73">
        <f>IF(F74+H74&gt;0,0,1)</f>
        <v>1</v>
      </c>
      <c r="AN73">
        <f t="shared" si="3"/>
        <v>0</v>
      </c>
      <c r="AO73" s="17">
        <f>AN73*D73</f>
        <v>0</v>
      </c>
      <c r="AP73" s="17">
        <f>-AN73*$E73</f>
        <v>0</v>
      </c>
      <c r="AQ73" s="17">
        <f t="shared" si="4"/>
        <v>0</v>
      </c>
      <c r="AR73" s="11">
        <f t="shared" si="5"/>
        <v>1.4333373717895712E-2</v>
      </c>
      <c r="AT73" s="5"/>
      <c r="AU73">
        <f>IF($AG73&gt;AT$21,1,0)</f>
        <v>0</v>
      </c>
      <c r="AV73">
        <f>IF($AG73&lt;AT$22,1,0)</f>
        <v>1</v>
      </c>
      <c r="AW73">
        <f t="shared" si="6"/>
        <v>0</v>
      </c>
      <c r="AX73">
        <f>IF(F74+H74&gt;0,0,1)</f>
        <v>1</v>
      </c>
      <c r="AY73">
        <f t="shared" si="7"/>
        <v>0</v>
      </c>
      <c r="AZ73" s="17">
        <f>-AY73*D73</f>
        <v>0</v>
      </c>
      <c r="BA73" s="17">
        <f>AY73*$E73</f>
        <v>0</v>
      </c>
      <c r="BB73" s="17">
        <f t="shared" si="8"/>
        <v>0</v>
      </c>
      <c r="BC73" s="11">
        <f t="shared" si="9"/>
        <v>0</v>
      </c>
      <c r="BE73" s="11">
        <f t="shared" si="10"/>
        <v>0</v>
      </c>
      <c r="BF73" s="11">
        <f t="shared" si="11"/>
        <v>1.4333373717895712E-2</v>
      </c>
      <c r="BH73" s="11"/>
    </row>
    <row r="74" spans="1:60" x14ac:dyDescent="0.25">
      <c r="A74" s="1">
        <v>46129</v>
      </c>
      <c r="B74" s="21">
        <v>339.4</v>
      </c>
      <c r="C74" s="21">
        <v>341.68</v>
      </c>
      <c r="D74" s="22">
        <v>1.97277921470769E-2</v>
      </c>
      <c r="E74" s="22">
        <v>1.6703944531954701E-2</v>
      </c>
      <c r="F74" s="21">
        <v>0</v>
      </c>
      <c r="G74" s="21">
        <v>0.21</v>
      </c>
      <c r="H74" s="21">
        <v>0</v>
      </c>
      <c r="I74" s="21">
        <v>0.21</v>
      </c>
      <c r="J74" s="21">
        <v>0</v>
      </c>
      <c r="K74" s="21">
        <v>0</v>
      </c>
      <c r="L74" s="21">
        <v>339.4</v>
      </c>
      <c r="M74" s="21">
        <v>341.68</v>
      </c>
      <c r="N74" s="23">
        <v>1.0067177371832601</v>
      </c>
      <c r="O74" s="23">
        <v>1.0043771680406</v>
      </c>
      <c r="P74" s="23">
        <v>1.0070608610859</v>
      </c>
      <c r="Q74" s="23">
        <v>1.0058248482260499</v>
      </c>
      <c r="R74" s="21">
        <v>340.88561083297998</v>
      </c>
      <c r="S74" s="21">
        <v>341.719449256698</v>
      </c>
      <c r="T74" s="21">
        <v>341.34066257764198</v>
      </c>
      <c r="U74" s="22">
        <v>-2.3276576290330998E-3</v>
      </c>
      <c r="V74" s="22">
        <v>1.1545006887455E-4</v>
      </c>
      <c r="W74" s="22">
        <v>-9.936374369602769E-4</v>
      </c>
      <c r="X74" s="23">
        <v>1.0067177371832601</v>
      </c>
      <c r="Y74" s="23">
        <v>1.0043771680406</v>
      </c>
      <c r="Z74" s="23">
        <v>1.0070608610859</v>
      </c>
      <c r="AA74" s="23">
        <v>1.0058248482260499</v>
      </c>
      <c r="AB74" s="21">
        <v>340.88561083297998</v>
      </c>
      <c r="AC74" s="21">
        <v>341.719449256698</v>
      </c>
      <c r="AD74" s="21">
        <v>341.34066257764198</v>
      </c>
      <c r="AE74" s="22">
        <v>-2.3276576290330998E-3</v>
      </c>
      <c r="AF74" s="22">
        <v>1.1545006887455E-4</v>
      </c>
      <c r="AG74" s="22">
        <v>-9.936374369602769E-4</v>
      </c>
      <c r="AI74" s="5"/>
      <c r="AJ74">
        <f>IF($AG74&lt;AI$21,1,0)</f>
        <v>0</v>
      </c>
      <c r="AK74">
        <f>IF($AG74&gt;AI$22,1,0)</f>
        <v>1</v>
      </c>
      <c r="AL74">
        <f t="shared" si="2"/>
        <v>1</v>
      </c>
      <c r="AM74">
        <f>IF(F75+H75&gt;0,0,1)</f>
        <v>1</v>
      </c>
      <c r="AN74">
        <f t="shared" si="3"/>
        <v>1</v>
      </c>
      <c r="AO74" s="17">
        <f>AN74*D74</f>
        <v>1.97277921470769E-2</v>
      </c>
      <c r="AP74" s="17">
        <f>-AN74*$E74</f>
        <v>-1.6703944531954701E-2</v>
      </c>
      <c r="AQ74" s="17">
        <f t="shared" si="4"/>
        <v>3.0238476151221994E-3</v>
      </c>
      <c r="AR74" s="11">
        <f t="shared" si="5"/>
        <v>1.7357221333017911E-2</v>
      </c>
      <c r="AT74" s="5"/>
      <c r="AU74">
        <f>IF($AG74&gt;AT$21,1,0)</f>
        <v>0</v>
      </c>
      <c r="AV74">
        <f>IF($AG74&lt;AT$22,1,0)</f>
        <v>1</v>
      </c>
      <c r="AW74">
        <f t="shared" si="6"/>
        <v>0</v>
      </c>
      <c r="AX74">
        <f>IF(F75+H75&gt;0,0,1)</f>
        <v>1</v>
      </c>
      <c r="AY74">
        <f t="shared" si="7"/>
        <v>0</v>
      </c>
      <c r="AZ74" s="17">
        <f>-AY74*D74</f>
        <v>0</v>
      </c>
      <c r="BA74" s="17">
        <f>AY74*$E74</f>
        <v>0</v>
      </c>
      <c r="BB74" s="17">
        <f t="shared" si="8"/>
        <v>0</v>
      </c>
      <c r="BC74" s="11">
        <f t="shared" si="9"/>
        <v>0</v>
      </c>
      <c r="BE74" s="11">
        <f t="shared" si="10"/>
        <v>3.0238476151221994E-3</v>
      </c>
      <c r="BF74" s="11">
        <f t="shared" si="11"/>
        <v>1.7357221333017911E-2</v>
      </c>
      <c r="BH74" s="11"/>
    </row>
    <row r="75" spans="1:60" x14ac:dyDescent="0.25">
      <c r="A75" s="1">
        <v>46132</v>
      </c>
      <c r="B75" s="21">
        <v>335.4</v>
      </c>
      <c r="C75" s="21">
        <v>337.42</v>
      </c>
      <c r="D75" s="22">
        <v>-1.1855503411017401E-2</v>
      </c>
      <c r="E75" s="22">
        <v>-1.25461813553821E-2</v>
      </c>
      <c r="F75" s="21">
        <v>0</v>
      </c>
      <c r="G75" s="21">
        <v>0.21</v>
      </c>
      <c r="H75" s="21">
        <v>0</v>
      </c>
      <c r="I75" s="21">
        <v>0.21</v>
      </c>
      <c r="J75" s="21">
        <v>0</v>
      </c>
      <c r="K75" s="21">
        <v>0</v>
      </c>
      <c r="L75" s="21">
        <v>335.4</v>
      </c>
      <c r="M75" s="21">
        <v>337.42</v>
      </c>
      <c r="N75" s="23">
        <v>1.00602265951103</v>
      </c>
      <c r="O75" s="23">
        <v>1.0043771680406</v>
      </c>
      <c r="P75" s="23">
        <v>1.00688035474647</v>
      </c>
      <c r="Q75" s="23">
        <v>1.0057561562409301</v>
      </c>
      <c r="R75" s="21">
        <v>336.86810216081801</v>
      </c>
      <c r="S75" s="21">
        <v>337.76821280821201</v>
      </c>
      <c r="T75" s="21">
        <v>337.35365409501799</v>
      </c>
      <c r="U75" s="22">
        <v>-1.6369796846684001E-3</v>
      </c>
      <c r="V75" s="22">
        <v>1.03145414116655E-3</v>
      </c>
      <c r="W75" s="22">
        <v>-1.96646400738583E-4</v>
      </c>
      <c r="X75" s="23">
        <v>1.00602265951103</v>
      </c>
      <c r="Y75" s="23">
        <v>1.0043771680406</v>
      </c>
      <c r="Z75" s="23">
        <v>1.00688035474647</v>
      </c>
      <c r="AA75" s="23">
        <v>1.0057561562409301</v>
      </c>
      <c r="AB75" s="21">
        <v>336.86810216081801</v>
      </c>
      <c r="AC75" s="21">
        <v>337.76821280821201</v>
      </c>
      <c r="AD75" s="21">
        <v>337.35365409501799</v>
      </c>
      <c r="AE75" s="22">
        <v>-1.6369796846684001E-3</v>
      </c>
      <c r="AF75" s="22">
        <v>1.03145414116655E-3</v>
      </c>
      <c r="AG75" s="22">
        <v>-1.96646400738583E-4</v>
      </c>
      <c r="AI75" s="5"/>
      <c r="AJ75">
        <f>IF($AG75&lt;AI$21,1,0)</f>
        <v>0</v>
      </c>
      <c r="AK75">
        <f>IF($AG75&gt;AI$22,1,0)</f>
        <v>1</v>
      </c>
      <c r="AL75">
        <f t="shared" si="2"/>
        <v>0</v>
      </c>
      <c r="AM75">
        <f>IF(F76+H76&gt;0,0,1)</f>
        <v>1</v>
      </c>
      <c r="AN75">
        <f t="shared" si="3"/>
        <v>0</v>
      </c>
      <c r="AO75" s="17">
        <f>AN75*D75</f>
        <v>0</v>
      </c>
      <c r="AP75" s="17">
        <f>-AN75*$E75</f>
        <v>0</v>
      </c>
      <c r="AQ75" s="17">
        <f t="shared" si="4"/>
        <v>0</v>
      </c>
      <c r="AR75" s="11">
        <f t="shared" si="5"/>
        <v>1.7357221333017911E-2</v>
      </c>
      <c r="AT75" s="5"/>
      <c r="AU75">
        <f>IF($AG75&gt;AT$21,1,0)</f>
        <v>0</v>
      </c>
      <c r="AV75">
        <f>IF($AG75&lt;AT$22,1,0)</f>
        <v>1</v>
      </c>
      <c r="AW75">
        <f t="shared" si="6"/>
        <v>0</v>
      </c>
      <c r="AX75">
        <f>IF(F76+H76&gt;0,0,1)</f>
        <v>1</v>
      </c>
      <c r="AY75">
        <f t="shared" si="7"/>
        <v>0</v>
      </c>
      <c r="AZ75" s="17">
        <f>-AY75*D75</f>
        <v>0</v>
      </c>
      <c r="BA75" s="17">
        <f>AY75*$E75</f>
        <v>0</v>
      </c>
      <c r="BB75" s="17">
        <f t="shared" si="8"/>
        <v>0</v>
      </c>
      <c r="BC75" s="11">
        <f t="shared" si="9"/>
        <v>0</v>
      </c>
      <c r="BE75" s="11">
        <f t="shared" si="10"/>
        <v>0</v>
      </c>
      <c r="BF75" s="11">
        <f t="shared" si="11"/>
        <v>1.7357221333017911E-2</v>
      </c>
      <c r="BH75" s="11"/>
    </row>
    <row r="76" spans="1:60" x14ac:dyDescent="0.25">
      <c r="A76" s="1">
        <v>46133</v>
      </c>
      <c r="B76" s="21">
        <v>330.47</v>
      </c>
      <c r="C76" s="21">
        <v>332.29</v>
      </c>
      <c r="D76" s="22">
        <v>-1.4807965775599599E-2</v>
      </c>
      <c r="E76" s="22">
        <v>-1.53203635592887E-2</v>
      </c>
      <c r="F76" s="21">
        <v>0</v>
      </c>
      <c r="G76" s="21">
        <v>0.21</v>
      </c>
      <c r="H76" s="21">
        <v>0</v>
      </c>
      <c r="I76" s="21">
        <v>0.21</v>
      </c>
      <c r="J76" s="21">
        <v>0</v>
      </c>
      <c r="K76" s="21">
        <v>0</v>
      </c>
      <c r="L76" s="21">
        <v>330.47</v>
      </c>
      <c r="M76" s="21">
        <v>332.29</v>
      </c>
      <c r="N76" s="23">
        <v>1.00550730777377</v>
      </c>
      <c r="O76" s="23">
        <v>1.0043771680406</v>
      </c>
      <c r="P76" s="23">
        <v>1.00692768013445</v>
      </c>
      <c r="Q76" s="23">
        <v>1.0055231944274201</v>
      </c>
      <c r="R76" s="21">
        <v>331.91652272237798</v>
      </c>
      <c r="S76" s="21">
        <v>332.743750833067</v>
      </c>
      <c r="T76" s="21">
        <v>332.37223695294</v>
      </c>
      <c r="U76" s="22">
        <v>-1.12458190097914E-3</v>
      </c>
      <c r="V76" s="22">
        <v>1.36459511388838E-3</v>
      </c>
      <c r="W76" s="22">
        <v>2.4745486891792002E-4</v>
      </c>
      <c r="X76" s="23">
        <v>1.00550730777377</v>
      </c>
      <c r="Y76" s="23">
        <v>1.0043771680406</v>
      </c>
      <c r="Z76" s="23">
        <v>1.00692768013445</v>
      </c>
      <c r="AA76" s="23">
        <v>1.0055231944274201</v>
      </c>
      <c r="AB76" s="21">
        <v>331.91652272237798</v>
      </c>
      <c r="AC76" s="21">
        <v>332.743750833067</v>
      </c>
      <c r="AD76" s="21">
        <v>332.37223695294</v>
      </c>
      <c r="AE76" s="22">
        <v>-1.12458190097914E-3</v>
      </c>
      <c r="AF76" s="22">
        <v>1.36459511388838E-3</v>
      </c>
      <c r="AG76" s="22">
        <v>2.4745486891792002E-4</v>
      </c>
      <c r="AI76" s="5"/>
      <c r="AJ76">
        <f>IF($AG76&lt;AI$21,1,0)</f>
        <v>0</v>
      </c>
      <c r="AK76">
        <f>IF($AG76&gt;AI$22,1,0)</f>
        <v>1</v>
      </c>
      <c r="AL76">
        <f t="shared" si="2"/>
        <v>0</v>
      </c>
      <c r="AM76">
        <f>IF(F77+H77&gt;0,0,1)</f>
        <v>1</v>
      </c>
      <c r="AN76">
        <f t="shared" si="3"/>
        <v>0</v>
      </c>
      <c r="AO76" s="17">
        <f>AN76*D76</f>
        <v>0</v>
      </c>
      <c r="AP76" s="17">
        <f>-AN76*$E76</f>
        <v>0</v>
      </c>
      <c r="AQ76" s="17">
        <f t="shared" si="4"/>
        <v>0</v>
      </c>
      <c r="AR76" s="11">
        <f t="shared" si="5"/>
        <v>1.7357221333017911E-2</v>
      </c>
      <c r="AT76" s="5"/>
      <c r="AU76">
        <f>IF($AG76&gt;AT$21,1,0)</f>
        <v>0</v>
      </c>
      <c r="AV76">
        <f>IF($AG76&lt;AT$22,1,0)</f>
        <v>1</v>
      </c>
      <c r="AW76">
        <f t="shared" si="6"/>
        <v>0</v>
      </c>
      <c r="AX76">
        <f>IF(F77+H77&gt;0,0,1)</f>
        <v>1</v>
      </c>
      <c r="AY76">
        <f t="shared" si="7"/>
        <v>0</v>
      </c>
      <c r="AZ76" s="17">
        <f>-AY76*D76</f>
        <v>0</v>
      </c>
      <c r="BA76" s="17">
        <f>AY76*$E76</f>
        <v>0</v>
      </c>
      <c r="BB76" s="17">
        <f t="shared" si="8"/>
        <v>0</v>
      </c>
      <c r="BC76" s="11">
        <f t="shared" si="9"/>
        <v>0</v>
      </c>
      <c r="BE76" s="11">
        <f t="shared" si="10"/>
        <v>0</v>
      </c>
      <c r="BF76" s="11">
        <f t="shared" si="11"/>
        <v>1.7357221333017911E-2</v>
      </c>
      <c r="BH76" s="11"/>
    </row>
    <row r="77" spans="1:60" x14ac:dyDescent="0.25">
      <c r="A77" s="1">
        <v>46134</v>
      </c>
      <c r="B77" s="21">
        <v>337.73</v>
      </c>
      <c r="C77" s="21">
        <v>339.32</v>
      </c>
      <c r="D77" s="22">
        <v>2.1730876077495801E-2</v>
      </c>
      <c r="E77" s="22">
        <v>2.0935533320994001E-2</v>
      </c>
      <c r="F77" s="21">
        <v>0</v>
      </c>
      <c r="G77" s="21">
        <v>0.21</v>
      </c>
      <c r="H77" s="21">
        <v>0</v>
      </c>
      <c r="I77" s="21">
        <v>0.21</v>
      </c>
      <c r="J77" s="21">
        <v>0</v>
      </c>
      <c r="K77" s="21">
        <v>0</v>
      </c>
      <c r="L77" s="21">
        <v>337.73</v>
      </c>
      <c r="M77" s="21">
        <v>339.32</v>
      </c>
      <c r="N77" s="23">
        <v>1.0047079027625601</v>
      </c>
      <c r="O77" s="23">
        <v>1.0043771680406</v>
      </c>
      <c r="P77" s="23">
        <v>1.00657874619389</v>
      </c>
      <c r="Q77" s="23">
        <v>1.0055442050565599</v>
      </c>
      <c r="R77" s="21">
        <v>339.20830096235198</v>
      </c>
      <c r="S77" s="21">
        <v>340.069685411808</v>
      </c>
      <c r="T77" s="21">
        <v>339.595348453974</v>
      </c>
      <c r="U77" s="22">
        <v>-3.2923914447737001E-4</v>
      </c>
      <c r="V77" s="22">
        <v>2.2069387633926701E-3</v>
      </c>
      <c r="W77" s="22">
        <v>8.1114227185638597E-4</v>
      </c>
      <c r="X77" s="23">
        <v>1.0047079027625601</v>
      </c>
      <c r="Y77" s="23">
        <v>1.0043771680406</v>
      </c>
      <c r="Z77" s="23">
        <v>1.00657874619389</v>
      </c>
      <c r="AA77" s="23">
        <v>1.0055442050565599</v>
      </c>
      <c r="AB77" s="21">
        <v>339.20830096235198</v>
      </c>
      <c r="AC77" s="21">
        <v>340.069685411808</v>
      </c>
      <c r="AD77" s="21">
        <v>339.595348453974</v>
      </c>
      <c r="AE77" s="22">
        <v>-3.2923914447737001E-4</v>
      </c>
      <c r="AF77" s="22">
        <v>2.2069387633926701E-3</v>
      </c>
      <c r="AG77" s="22">
        <v>8.1114227185638597E-4</v>
      </c>
      <c r="AI77" s="5"/>
      <c r="AJ77">
        <f>IF($AG77&lt;AI$21,1,0)</f>
        <v>0</v>
      </c>
      <c r="AK77">
        <f>IF($AG77&gt;AI$22,1,0)</f>
        <v>1</v>
      </c>
      <c r="AL77">
        <f t="shared" si="2"/>
        <v>0</v>
      </c>
      <c r="AM77">
        <f>IF(F78+H78&gt;0,0,1)</f>
        <v>1</v>
      </c>
      <c r="AN77">
        <f t="shared" si="3"/>
        <v>0</v>
      </c>
      <c r="AO77" s="17">
        <f>AN77*D77</f>
        <v>0</v>
      </c>
      <c r="AP77" s="17">
        <f>-AN77*$E77</f>
        <v>0</v>
      </c>
      <c r="AQ77" s="17">
        <f t="shared" si="4"/>
        <v>0</v>
      </c>
      <c r="AR77" s="11">
        <f t="shared" si="5"/>
        <v>1.7357221333017911E-2</v>
      </c>
      <c r="AT77" s="5"/>
      <c r="AU77">
        <f>IF($AG77&gt;AT$21,1,0)</f>
        <v>0</v>
      </c>
      <c r="AV77">
        <f>IF($AG77&lt;AT$22,1,0)</f>
        <v>1</v>
      </c>
      <c r="AW77">
        <f t="shared" si="6"/>
        <v>0</v>
      </c>
      <c r="AX77">
        <f>IF(F78+H78&gt;0,0,1)</f>
        <v>1</v>
      </c>
      <c r="AY77">
        <f t="shared" si="7"/>
        <v>0</v>
      </c>
      <c r="AZ77" s="17">
        <f>-AY77*D77</f>
        <v>0</v>
      </c>
      <c r="BA77" s="17">
        <f>AY77*$E77</f>
        <v>0</v>
      </c>
      <c r="BB77" s="17">
        <f t="shared" si="8"/>
        <v>0</v>
      </c>
      <c r="BC77" s="11">
        <f t="shared" si="9"/>
        <v>0</v>
      </c>
      <c r="BE77" s="11">
        <f t="shared" si="10"/>
        <v>0</v>
      </c>
      <c r="BF77" s="11">
        <f t="shared" si="11"/>
        <v>1.7357221333017911E-2</v>
      </c>
      <c r="BH77" s="11"/>
    </row>
    <row r="78" spans="1:60" x14ac:dyDescent="0.25">
      <c r="A78" s="1">
        <v>46135</v>
      </c>
      <c r="B78" s="21">
        <v>337.75</v>
      </c>
      <c r="C78" s="21">
        <v>338.89</v>
      </c>
      <c r="D78" s="22">
        <v>5.9217149303579E-5</v>
      </c>
      <c r="E78" s="22">
        <v>-1.26804399114639E-3</v>
      </c>
      <c r="F78" s="21">
        <v>0</v>
      </c>
      <c r="G78" s="21">
        <v>0.21</v>
      </c>
      <c r="H78" s="21">
        <v>0</v>
      </c>
      <c r="I78" s="21">
        <v>0.21</v>
      </c>
      <c r="J78" s="21">
        <v>0</v>
      </c>
      <c r="K78" s="21">
        <v>0</v>
      </c>
      <c r="L78" s="21">
        <v>337.75</v>
      </c>
      <c r="M78" s="21">
        <v>338.89</v>
      </c>
      <c r="N78" s="23">
        <v>1.0033752775721601</v>
      </c>
      <c r="O78" s="23">
        <v>1.0043771680406</v>
      </c>
      <c r="P78" s="23">
        <v>1.0062461724876299</v>
      </c>
      <c r="Q78" s="23">
        <v>1.0054816073549999</v>
      </c>
      <c r="R78" s="21">
        <v>339.22838850571299</v>
      </c>
      <c r="S78" s="21">
        <v>339.971971526988</v>
      </c>
      <c r="T78" s="21">
        <v>339.622555257854</v>
      </c>
      <c r="U78" s="22">
        <v>9.9802199597275694E-4</v>
      </c>
      <c r="V78" s="22">
        <v>3.18760657840039E-3</v>
      </c>
      <c r="W78" s="22">
        <v>2.1592984147752398E-3</v>
      </c>
      <c r="X78" s="23">
        <v>1.0033752775721601</v>
      </c>
      <c r="Y78" s="23">
        <v>1.0043771680406</v>
      </c>
      <c r="Z78" s="23">
        <v>1.0062461724876299</v>
      </c>
      <c r="AA78" s="23">
        <v>1.0054816073549999</v>
      </c>
      <c r="AB78" s="21">
        <v>339.22838850571299</v>
      </c>
      <c r="AC78" s="21">
        <v>339.971971526988</v>
      </c>
      <c r="AD78" s="21">
        <v>339.622555257854</v>
      </c>
      <c r="AE78" s="22">
        <v>9.9802199597275694E-4</v>
      </c>
      <c r="AF78" s="22">
        <v>3.18760657840039E-3</v>
      </c>
      <c r="AG78" s="22">
        <v>2.1592984147752398E-3</v>
      </c>
      <c r="AI78" s="5"/>
      <c r="AJ78">
        <f>IF($AG78&lt;AI$21,1,0)</f>
        <v>0</v>
      </c>
      <c r="AK78">
        <f>IF($AG78&gt;AI$22,1,0)</f>
        <v>1</v>
      </c>
      <c r="AL78">
        <f t="shared" si="2"/>
        <v>0</v>
      </c>
      <c r="AM78">
        <f>IF(F79+H79&gt;0,0,1)</f>
        <v>1</v>
      </c>
      <c r="AN78">
        <f t="shared" si="3"/>
        <v>0</v>
      </c>
      <c r="AO78" s="17">
        <f>AN78*D78</f>
        <v>0</v>
      </c>
      <c r="AP78" s="17">
        <f>-AN78*$E78</f>
        <v>0</v>
      </c>
      <c r="AQ78" s="17">
        <f t="shared" si="4"/>
        <v>0</v>
      </c>
      <c r="AR78" s="11">
        <f t="shared" si="5"/>
        <v>1.7357221333017911E-2</v>
      </c>
      <c r="AT78" s="5"/>
      <c r="AU78">
        <f>IF($AG78&gt;AT$21,1,0)</f>
        <v>0</v>
      </c>
      <c r="AV78">
        <f>IF($AG78&lt;AT$22,1,0)</f>
        <v>1</v>
      </c>
      <c r="AW78">
        <f t="shared" si="6"/>
        <v>0</v>
      </c>
      <c r="AX78">
        <f>IF(F79+H79&gt;0,0,1)</f>
        <v>1</v>
      </c>
      <c r="AY78">
        <f t="shared" si="7"/>
        <v>0</v>
      </c>
      <c r="AZ78" s="17">
        <f>-AY78*D78</f>
        <v>0</v>
      </c>
      <c r="BA78" s="17">
        <f>AY78*$E78</f>
        <v>0</v>
      </c>
      <c r="BB78" s="17">
        <f t="shared" si="8"/>
        <v>0</v>
      </c>
      <c r="BC78" s="11">
        <f t="shared" si="9"/>
        <v>0</v>
      </c>
      <c r="BE78" s="11">
        <f t="shared" si="10"/>
        <v>0</v>
      </c>
      <c r="BF78" s="11">
        <f t="shared" si="11"/>
        <v>1.7357221333017911E-2</v>
      </c>
      <c r="BH78" s="11"/>
    </row>
    <row r="79" spans="1:60" x14ac:dyDescent="0.25">
      <c r="A79" s="1">
        <v>46136</v>
      </c>
      <c r="B79" s="21">
        <v>342.32</v>
      </c>
      <c r="C79" s="21">
        <v>344.4</v>
      </c>
      <c r="D79" s="22">
        <v>1.3439995268253201E-2</v>
      </c>
      <c r="E79" s="22">
        <v>1.6128201605187999E-2</v>
      </c>
      <c r="F79" s="21">
        <v>0</v>
      </c>
      <c r="G79" s="21">
        <v>0.21</v>
      </c>
      <c r="H79" s="21">
        <v>0</v>
      </c>
      <c r="I79" s="21">
        <v>0.21</v>
      </c>
      <c r="J79" s="21">
        <v>0</v>
      </c>
      <c r="K79" s="21">
        <v>0</v>
      </c>
      <c r="L79" s="21">
        <v>342.32</v>
      </c>
      <c r="M79" s="21">
        <v>344.4</v>
      </c>
      <c r="N79" s="23">
        <v>1.00607618602477</v>
      </c>
      <c r="O79" s="23">
        <v>1.0043771680406</v>
      </c>
      <c r="P79" s="23">
        <v>1.00637235184014</v>
      </c>
      <c r="Q79" s="23">
        <v>1.00575335852416</v>
      </c>
      <c r="R79" s="21">
        <v>343.81839216365898</v>
      </c>
      <c r="S79" s="21">
        <v>344.45818976596701</v>
      </c>
      <c r="T79" s="21">
        <v>344.19646382976498</v>
      </c>
      <c r="U79" s="22">
        <v>-1.69018434096212E-3</v>
      </c>
      <c r="V79" s="22">
        <v>1.68945559392151E-4</v>
      </c>
      <c r="W79" s="22">
        <v>-5.9116242052626605E-4</v>
      </c>
      <c r="X79" s="23">
        <v>1.00607618602477</v>
      </c>
      <c r="Y79" s="23">
        <v>1.0043771680406</v>
      </c>
      <c r="Z79" s="23">
        <v>1.00637235184014</v>
      </c>
      <c r="AA79" s="23">
        <v>1.00575335852416</v>
      </c>
      <c r="AB79" s="21">
        <v>343.81839216365898</v>
      </c>
      <c r="AC79" s="21">
        <v>344.45818976596701</v>
      </c>
      <c r="AD79" s="21">
        <v>344.19646382976498</v>
      </c>
      <c r="AE79" s="22">
        <v>-1.69018434096212E-3</v>
      </c>
      <c r="AF79" s="22">
        <v>1.68945559392151E-4</v>
      </c>
      <c r="AG79" s="22">
        <v>-5.9116242052626605E-4</v>
      </c>
      <c r="AI79" s="5"/>
      <c r="AJ79">
        <f>IF($AG79&lt;AI$21,1,0)</f>
        <v>0</v>
      </c>
      <c r="AK79">
        <f>IF($AG79&gt;AI$22,1,0)</f>
        <v>1</v>
      </c>
      <c r="AL79">
        <f t="shared" si="2"/>
        <v>0</v>
      </c>
      <c r="AM79">
        <f>IF(F80+H80&gt;0,0,1)</f>
        <v>1</v>
      </c>
      <c r="AN79">
        <f t="shared" si="3"/>
        <v>0</v>
      </c>
      <c r="AO79" s="17">
        <f>AN79*D79</f>
        <v>0</v>
      </c>
      <c r="AP79" s="17">
        <f>-AN79*$E79</f>
        <v>0</v>
      </c>
      <c r="AQ79" s="17">
        <f t="shared" si="4"/>
        <v>0</v>
      </c>
      <c r="AR79" s="11">
        <f t="shared" si="5"/>
        <v>1.7357221333017911E-2</v>
      </c>
      <c r="AT79" s="5"/>
      <c r="AU79">
        <f>IF($AG79&gt;AT$21,1,0)</f>
        <v>0</v>
      </c>
      <c r="AV79">
        <f>IF($AG79&lt;AT$22,1,0)</f>
        <v>1</v>
      </c>
      <c r="AW79">
        <f t="shared" si="6"/>
        <v>0</v>
      </c>
      <c r="AX79">
        <f>IF(F80+H80&gt;0,0,1)</f>
        <v>1</v>
      </c>
      <c r="AY79">
        <f t="shared" si="7"/>
        <v>0</v>
      </c>
      <c r="AZ79" s="17">
        <f>-AY79*D79</f>
        <v>0</v>
      </c>
      <c r="BA79" s="17">
        <f>AY79*$E79</f>
        <v>0</v>
      </c>
      <c r="BB79" s="17">
        <f t="shared" si="8"/>
        <v>0</v>
      </c>
      <c r="BC79" s="11">
        <f t="shared" si="9"/>
        <v>0</v>
      </c>
      <c r="BE79" s="11">
        <f t="shared" si="10"/>
        <v>0</v>
      </c>
      <c r="BF79" s="11">
        <f t="shared" si="11"/>
        <v>1.7357221333017911E-2</v>
      </c>
      <c r="BH79" s="11"/>
    </row>
    <row r="80" spans="1:60" x14ac:dyDescent="0.25">
      <c r="A80" s="1">
        <v>46139</v>
      </c>
      <c r="B80" s="21">
        <v>348.52</v>
      </c>
      <c r="C80" s="21">
        <v>350.34</v>
      </c>
      <c r="D80" s="22">
        <v>1.79496452545247E-2</v>
      </c>
      <c r="E80" s="22">
        <v>1.7100338969925501E-2</v>
      </c>
      <c r="F80" s="21">
        <v>0</v>
      </c>
      <c r="G80" s="21">
        <v>0.21</v>
      </c>
      <c r="H80" s="21">
        <v>0</v>
      </c>
      <c r="I80" s="21">
        <v>0.21</v>
      </c>
      <c r="J80" s="21">
        <v>0</v>
      </c>
      <c r="K80" s="21">
        <v>0</v>
      </c>
      <c r="L80" s="21">
        <v>348.52</v>
      </c>
      <c r="M80" s="21">
        <v>350.34</v>
      </c>
      <c r="N80" s="23">
        <v>1.0052220819465101</v>
      </c>
      <c r="O80" s="23">
        <v>1.0043771680406</v>
      </c>
      <c r="P80" s="23">
        <v>1.0062366859080401</v>
      </c>
      <c r="Q80" s="23">
        <v>1.0059085304180999</v>
      </c>
      <c r="R80" s="21">
        <v>350.04553060551001</v>
      </c>
      <c r="S80" s="21">
        <v>350.74089206332701</v>
      </c>
      <c r="T80" s="21">
        <v>350.52516051284198</v>
      </c>
      <c r="U80" s="22">
        <v>-8.4087805636307998E-4</v>
      </c>
      <c r="V80" s="22">
        <v>1.14364008935319E-3</v>
      </c>
      <c r="W80" s="22">
        <v>5.2837700482820295E-4</v>
      </c>
      <c r="X80" s="23">
        <v>1.0052220819465101</v>
      </c>
      <c r="Y80" s="23">
        <v>1.0043771680406</v>
      </c>
      <c r="Z80" s="23">
        <v>1.0062366859080401</v>
      </c>
      <c r="AA80" s="23">
        <v>1.0059085304180999</v>
      </c>
      <c r="AB80" s="21">
        <v>350.04553060551001</v>
      </c>
      <c r="AC80" s="21">
        <v>350.74089206332701</v>
      </c>
      <c r="AD80" s="21">
        <v>350.52516051284198</v>
      </c>
      <c r="AE80" s="22">
        <v>-8.4087805636307998E-4</v>
      </c>
      <c r="AF80" s="22">
        <v>1.14364008935319E-3</v>
      </c>
      <c r="AG80" s="22">
        <v>5.2837700482820295E-4</v>
      </c>
      <c r="AI80" s="5"/>
      <c r="AJ80">
        <f>IF($AG80&lt;AI$21,1,0)</f>
        <v>0</v>
      </c>
      <c r="AK80">
        <f>IF($AG80&gt;AI$22,1,0)</f>
        <v>1</v>
      </c>
      <c r="AL80">
        <f t="shared" si="2"/>
        <v>0</v>
      </c>
      <c r="AM80">
        <f>IF(F81+H81&gt;0,0,1)</f>
        <v>1</v>
      </c>
      <c r="AN80">
        <f t="shared" si="3"/>
        <v>0</v>
      </c>
      <c r="AO80" s="17">
        <f>AN80*D80</f>
        <v>0</v>
      </c>
      <c r="AP80" s="17">
        <f>-AN80*$E80</f>
        <v>0</v>
      </c>
      <c r="AQ80" s="17">
        <f t="shared" si="4"/>
        <v>0</v>
      </c>
      <c r="AR80" s="11">
        <f t="shared" si="5"/>
        <v>1.7357221333017911E-2</v>
      </c>
      <c r="AT80" s="5"/>
      <c r="AU80">
        <f>IF($AG80&gt;AT$21,1,0)</f>
        <v>0</v>
      </c>
      <c r="AV80">
        <f>IF($AG80&lt;AT$22,1,0)</f>
        <v>1</v>
      </c>
      <c r="AW80">
        <f t="shared" si="6"/>
        <v>0</v>
      </c>
      <c r="AX80">
        <f>IF(F81+H81&gt;0,0,1)</f>
        <v>1</v>
      </c>
      <c r="AY80">
        <f t="shared" si="7"/>
        <v>0</v>
      </c>
      <c r="AZ80" s="17">
        <f>-AY80*D80</f>
        <v>0</v>
      </c>
      <c r="BA80" s="17">
        <f>AY80*$E80</f>
        <v>0</v>
      </c>
      <c r="BB80" s="17">
        <f t="shared" si="8"/>
        <v>0</v>
      </c>
      <c r="BC80" s="11">
        <f t="shared" si="9"/>
        <v>0</v>
      </c>
      <c r="BE80" s="11">
        <f t="shared" si="10"/>
        <v>0</v>
      </c>
      <c r="BF80" s="11">
        <f t="shared" si="11"/>
        <v>1.7357221333017911E-2</v>
      </c>
      <c r="BH80" s="11"/>
    </row>
    <row r="81" spans="1:60" x14ac:dyDescent="0.25">
      <c r="A81" s="1">
        <v>46140</v>
      </c>
      <c r="B81" s="21">
        <v>347.5</v>
      </c>
      <c r="C81" s="21">
        <v>349.78</v>
      </c>
      <c r="D81" s="22">
        <v>-2.9309523582391498E-3</v>
      </c>
      <c r="E81" s="22">
        <v>-1.59972610245606E-3</v>
      </c>
      <c r="F81" s="21">
        <v>0</v>
      </c>
      <c r="G81" s="21">
        <v>0.21</v>
      </c>
      <c r="H81" s="21">
        <v>0</v>
      </c>
      <c r="I81" s="21">
        <v>0.21</v>
      </c>
      <c r="J81" s="21">
        <v>0</v>
      </c>
      <c r="K81" s="21">
        <v>0</v>
      </c>
      <c r="L81" s="21">
        <v>347.5</v>
      </c>
      <c r="M81" s="21">
        <v>349.78</v>
      </c>
      <c r="N81" s="23">
        <v>1.0065611510791299</v>
      </c>
      <c r="O81" s="23">
        <v>1.0043771680406</v>
      </c>
      <c r="P81" s="23">
        <v>1.00618797918765</v>
      </c>
      <c r="Q81" s="23">
        <v>1.0061706877011301</v>
      </c>
      <c r="R81" s="21">
        <v>349.02106589410897</v>
      </c>
      <c r="S81" s="21">
        <v>349.66724835304501</v>
      </c>
      <c r="T81" s="21">
        <v>349.55321432029001</v>
      </c>
      <c r="U81" s="22">
        <v>-2.1721043121461199E-3</v>
      </c>
      <c r="V81" s="22">
        <v>-3.2240214882875499E-4</v>
      </c>
      <c r="W81" s="22">
        <v>-6.4857691016390496E-4</v>
      </c>
      <c r="X81" s="23">
        <v>1.0065611510791299</v>
      </c>
      <c r="Y81" s="23">
        <v>1.0043771680406</v>
      </c>
      <c r="Z81" s="23">
        <v>1.00618797918765</v>
      </c>
      <c r="AA81" s="23">
        <v>1.0061706877011301</v>
      </c>
      <c r="AB81" s="21">
        <v>349.02106589410897</v>
      </c>
      <c r="AC81" s="21">
        <v>349.66724835304501</v>
      </c>
      <c r="AD81" s="21">
        <v>349.55321432029001</v>
      </c>
      <c r="AE81" s="22">
        <v>-2.1721043121461199E-3</v>
      </c>
      <c r="AF81" s="22">
        <v>-3.2240214882875499E-4</v>
      </c>
      <c r="AG81" s="22">
        <v>-6.4857691016390496E-4</v>
      </c>
      <c r="AI81" s="5"/>
      <c r="AJ81">
        <f>IF($AG81&lt;AI$21,1,0)</f>
        <v>0</v>
      </c>
      <c r="AK81">
        <f>IF($AG81&gt;AI$22,1,0)</f>
        <v>1</v>
      </c>
      <c r="AL81">
        <f t="shared" si="2"/>
        <v>0</v>
      </c>
      <c r="AM81">
        <f>IF(F82+H82&gt;0,0,1)</f>
        <v>1</v>
      </c>
      <c r="AN81">
        <f t="shared" si="3"/>
        <v>0</v>
      </c>
      <c r="AO81" s="17">
        <f>AN81*D81</f>
        <v>0</v>
      </c>
      <c r="AP81" s="17">
        <f>-AN81*$E81</f>
        <v>0</v>
      </c>
      <c r="AQ81" s="17">
        <f t="shared" si="4"/>
        <v>0</v>
      </c>
      <c r="AR81" s="11">
        <f t="shared" si="5"/>
        <v>1.7357221333017911E-2</v>
      </c>
      <c r="AT81" s="5"/>
      <c r="AU81">
        <f>IF($AG81&gt;AT$21,1,0)</f>
        <v>0</v>
      </c>
      <c r="AV81">
        <f>IF($AG81&lt;AT$22,1,0)</f>
        <v>1</v>
      </c>
      <c r="AW81">
        <f t="shared" si="6"/>
        <v>0</v>
      </c>
      <c r="AX81">
        <f>IF(F82+H82&gt;0,0,1)</f>
        <v>1</v>
      </c>
      <c r="AY81">
        <f t="shared" si="7"/>
        <v>0</v>
      </c>
      <c r="AZ81" s="17">
        <f>-AY81*D81</f>
        <v>0</v>
      </c>
      <c r="BA81" s="17">
        <f>AY81*$E81</f>
        <v>0</v>
      </c>
      <c r="BB81" s="17">
        <f t="shared" si="8"/>
        <v>0</v>
      </c>
      <c r="BC81" s="11">
        <f t="shared" si="9"/>
        <v>0</v>
      </c>
      <c r="BE81" s="11">
        <f t="shared" si="10"/>
        <v>0</v>
      </c>
      <c r="BF81" s="11">
        <f t="shared" si="11"/>
        <v>1.7357221333017911E-2</v>
      </c>
      <c r="BH81" s="11"/>
    </row>
    <row r="82" spans="1:60" x14ac:dyDescent="0.25">
      <c r="A82" s="1">
        <v>46141</v>
      </c>
      <c r="B82" s="21">
        <v>347.31</v>
      </c>
      <c r="C82" s="21">
        <v>349.94</v>
      </c>
      <c r="D82" s="22">
        <v>-5.4691211910002399E-4</v>
      </c>
      <c r="E82" s="22">
        <v>4.5732579542849002E-4</v>
      </c>
      <c r="F82" s="21">
        <v>0</v>
      </c>
      <c r="G82" s="21">
        <v>0.21</v>
      </c>
      <c r="H82" s="21">
        <v>0</v>
      </c>
      <c r="I82" s="21">
        <v>0.21</v>
      </c>
      <c r="J82" s="21">
        <v>0</v>
      </c>
      <c r="K82" s="21">
        <v>0</v>
      </c>
      <c r="L82" s="21">
        <v>347.31</v>
      </c>
      <c r="M82" s="21">
        <v>349.94</v>
      </c>
      <c r="N82" s="23">
        <v>1.0075724856756201</v>
      </c>
      <c r="O82" s="23">
        <v>1.0043771680406</v>
      </c>
      <c r="P82" s="23">
        <v>1.00615292949229</v>
      </c>
      <c r="Q82" s="23">
        <v>1.0064273012479701</v>
      </c>
      <c r="R82" s="21">
        <v>348.830234232181</v>
      </c>
      <c r="S82" s="21">
        <v>349.45914705166501</v>
      </c>
      <c r="T82" s="21">
        <v>349.453141545481</v>
      </c>
      <c r="U82" s="22">
        <v>-3.1763422266748499E-3</v>
      </c>
      <c r="V82" s="22">
        <v>-1.3750460695469099E-3</v>
      </c>
      <c r="W82" s="22">
        <v>-1.3922313624153799E-3</v>
      </c>
      <c r="X82" s="23">
        <v>1.0075724856756201</v>
      </c>
      <c r="Y82" s="23">
        <v>1.0043771680406</v>
      </c>
      <c r="Z82" s="23">
        <v>1.00615292949229</v>
      </c>
      <c r="AA82" s="23">
        <v>1.0064273012479701</v>
      </c>
      <c r="AB82" s="21">
        <v>348.830234232181</v>
      </c>
      <c r="AC82" s="21">
        <v>349.45914705166501</v>
      </c>
      <c r="AD82" s="21">
        <v>349.453141545481</v>
      </c>
      <c r="AE82" s="22">
        <v>-3.1763422266748499E-3</v>
      </c>
      <c r="AF82" s="22">
        <v>-1.3750460695469099E-3</v>
      </c>
      <c r="AG82" s="22">
        <v>-1.3922313624153799E-3</v>
      </c>
      <c r="AI82" s="5"/>
      <c r="AJ82">
        <f>IF($AG82&lt;AI$21,1,0)</f>
        <v>0</v>
      </c>
      <c r="AK82">
        <f>IF($AG82&gt;AI$22,1,0)</f>
        <v>1</v>
      </c>
      <c r="AL82">
        <f t="shared" si="2"/>
        <v>0</v>
      </c>
      <c r="AM82">
        <f>IF(F83+H83&gt;0,0,1)</f>
        <v>1</v>
      </c>
      <c r="AN82">
        <f t="shared" si="3"/>
        <v>0</v>
      </c>
      <c r="AO82" s="17">
        <f>AN82*D82</f>
        <v>0</v>
      </c>
      <c r="AP82" s="17">
        <f>-AN82*$E82</f>
        <v>0</v>
      </c>
      <c r="AQ82" s="17">
        <f t="shared" si="4"/>
        <v>0</v>
      </c>
      <c r="AR82" s="11">
        <f t="shared" si="5"/>
        <v>1.7357221333017911E-2</v>
      </c>
      <c r="AT82" s="5"/>
      <c r="AU82">
        <f>IF($AG82&gt;AT$21,1,0)</f>
        <v>0</v>
      </c>
      <c r="AV82">
        <f>IF($AG82&lt;AT$22,1,0)</f>
        <v>1</v>
      </c>
      <c r="AW82">
        <f t="shared" si="6"/>
        <v>0</v>
      </c>
      <c r="AX82">
        <f>IF(F83+H83&gt;0,0,1)</f>
        <v>1</v>
      </c>
      <c r="AY82">
        <f t="shared" si="7"/>
        <v>0</v>
      </c>
      <c r="AZ82" s="17">
        <f>-AY82*D82</f>
        <v>0</v>
      </c>
      <c r="BA82" s="17">
        <f>AY82*$E82</f>
        <v>0</v>
      </c>
      <c r="BB82" s="17">
        <f t="shared" si="8"/>
        <v>0</v>
      </c>
      <c r="BC82" s="11">
        <f t="shared" si="9"/>
        <v>0</v>
      </c>
      <c r="BE82" s="11">
        <f t="shared" si="10"/>
        <v>0</v>
      </c>
      <c r="BF82" s="11">
        <f t="shared" si="11"/>
        <v>1.7357221333017911E-2</v>
      </c>
      <c r="BH82" s="11"/>
    </row>
    <row r="83" spans="1:60" x14ac:dyDescent="0.25">
      <c r="A83" s="1">
        <v>46142</v>
      </c>
      <c r="B83" s="21">
        <v>381.94</v>
      </c>
      <c r="C83" s="21">
        <v>384.8</v>
      </c>
      <c r="D83" s="22">
        <v>9.50457753215211E-2</v>
      </c>
      <c r="E83" s="22">
        <v>9.4962007575077598E-2</v>
      </c>
      <c r="F83" s="21">
        <v>0</v>
      </c>
      <c r="G83" s="21">
        <v>0.21</v>
      </c>
      <c r="H83" s="21">
        <v>0</v>
      </c>
      <c r="I83" s="21">
        <v>0.21</v>
      </c>
      <c r="J83" s="21">
        <v>0</v>
      </c>
      <c r="K83" s="21">
        <v>0</v>
      </c>
      <c r="L83" s="21">
        <v>381.94</v>
      </c>
      <c r="M83" s="21">
        <v>384.8</v>
      </c>
      <c r="N83" s="23">
        <v>1.0074880871341001</v>
      </c>
      <c r="O83" s="23">
        <v>1.0043771680406</v>
      </c>
      <c r="P83" s="23">
        <v>1.00592508766629</v>
      </c>
      <c r="Q83" s="23">
        <v>1.0063795285955199</v>
      </c>
      <c r="R83" s="21">
        <v>383.61181556142702</v>
      </c>
      <c r="S83" s="21">
        <v>384.29004989028698</v>
      </c>
      <c r="T83" s="21">
        <v>384.39484343865001</v>
      </c>
      <c r="U83" s="22">
        <v>-3.09257448023142E-3</v>
      </c>
      <c r="V83" s="22">
        <v>-1.3261130722393899E-3</v>
      </c>
      <c r="W83" s="22">
        <v>-1.05345635705989E-3</v>
      </c>
      <c r="X83" s="23">
        <v>1.0074880871341001</v>
      </c>
      <c r="Y83" s="23">
        <v>1.0043771680406</v>
      </c>
      <c r="Z83" s="23">
        <v>1.00592508766629</v>
      </c>
      <c r="AA83" s="23">
        <v>1.0063795285955199</v>
      </c>
      <c r="AB83" s="21">
        <v>383.61181556142702</v>
      </c>
      <c r="AC83" s="21">
        <v>384.29004989028698</v>
      </c>
      <c r="AD83" s="21">
        <v>384.39484343865001</v>
      </c>
      <c r="AE83" s="22">
        <v>-3.09257448023142E-3</v>
      </c>
      <c r="AF83" s="22">
        <v>-1.3261130722393899E-3</v>
      </c>
      <c r="AG83" s="22">
        <v>-1.05345635705989E-3</v>
      </c>
      <c r="AI83" s="5"/>
      <c r="AJ83">
        <f>IF($AG83&lt;AI$21,1,0)</f>
        <v>0</v>
      </c>
      <c r="AK83">
        <f>IF($AG83&gt;AI$22,1,0)</f>
        <v>1</v>
      </c>
      <c r="AL83">
        <f t="shared" si="2"/>
        <v>0</v>
      </c>
      <c r="AM83">
        <f>IF(F84+H84&gt;0,0,1)</f>
        <v>1</v>
      </c>
      <c r="AN83">
        <f t="shared" si="3"/>
        <v>0</v>
      </c>
      <c r="AO83" s="17">
        <f>AN83*D83</f>
        <v>0</v>
      </c>
      <c r="AP83" s="17">
        <f>-AN83*$E83</f>
        <v>0</v>
      </c>
      <c r="AQ83" s="17">
        <f t="shared" si="4"/>
        <v>0</v>
      </c>
      <c r="AR83" s="11">
        <f t="shared" si="5"/>
        <v>1.7357221333017911E-2</v>
      </c>
      <c r="AT83" s="5"/>
      <c r="AU83">
        <f>IF($AG83&gt;AT$21,1,0)</f>
        <v>0</v>
      </c>
      <c r="AV83">
        <f>IF($AG83&lt;AT$22,1,0)</f>
        <v>1</v>
      </c>
      <c r="AW83">
        <f t="shared" si="6"/>
        <v>0</v>
      </c>
      <c r="AX83">
        <f>IF(F84+H84&gt;0,0,1)</f>
        <v>1</v>
      </c>
      <c r="AY83">
        <f t="shared" si="7"/>
        <v>0</v>
      </c>
      <c r="AZ83" s="17">
        <f>-AY83*D83</f>
        <v>0</v>
      </c>
      <c r="BA83" s="17">
        <f>AY83*$E83</f>
        <v>0</v>
      </c>
      <c r="BB83" s="17">
        <f t="shared" si="8"/>
        <v>0</v>
      </c>
      <c r="BC83" s="11">
        <f t="shared" si="9"/>
        <v>0</v>
      </c>
      <c r="BE83" s="11">
        <f t="shared" si="10"/>
        <v>0</v>
      </c>
      <c r="BF83" s="11">
        <f t="shared" si="11"/>
        <v>1.7357221333017911E-2</v>
      </c>
      <c r="BH83" s="11"/>
    </row>
    <row r="84" spans="1:60" x14ac:dyDescent="0.25">
      <c r="A84" s="1">
        <v>46143</v>
      </c>
      <c r="B84" s="21">
        <v>383.22</v>
      </c>
      <c r="C84" s="21">
        <v>385.69</v>
      </c>
      <c r="D84" s="22">
        <v>3.3457085942848498E-3</v>
      </c>
      <c r="E84" s="22">
        <v>2.3102192003420599E-3</v>
      </c>
      <c r="F84" s="21">
        <v>0</v>
      </c>
      <c r="G84" s="21">
        <v>0.21</v>
      </c>
      <c r="H84" s="21">
        <v>0</v>
      </c>
      <c r="I84" s="21">
        <v>0.21</v>
      </c>
      <c r="J84" s="21">
        <v>0</v>
      </c>
      <c r="K84" s="21">
        <v>0</v>
      </c>
      <c r="L84" s="21">
        <v>383.22</v>
      </c>
      <c r="M84" s="21">
        <v>385.69</v>
      </c>
      <c r="N84" s="23">
        <v>1.00644538385261</v>
      </c>
      <c r="O84" s="23">
        <v>1.0043771680406</v>
      </c>
      <c r="P84" s="23">
        <v>1.00589785233323</v>
      </c>
      <c r="Q84" s="23">
        <v>1.00647935670956</v>
      </c>
      <c r="R84" s="21">
        <v>384.89741833651902</v>
      </c>
      <c r="S84" s="21">
        <v>385.49061209547699</v>
      </c>
      <c r="T84" s="21">
        <v>385.66476294837503</v>
      </c>
      <c r="U84" s="22">
        <v>-2.0570850862886201E-3</v>
      </c>
      <c r="V84" s="22">
        <v>-5.1709782595097103E-4</v>
      </c>
      <c r="W84" s="22">
        <v>-6.5435653853856596E-5</v>
      </c>
      <c r="X84" s="23">
        <v>1.00644538385261</v>
      </c>
      <c r="Y84" s="23">
        <v>1.0043771680406</v>
      </c>
      <c r="Z84" s="23">
        <v>1.00589785233323</v>
      </c>
      <c r="AA84" s="23">
        <v>1.00647935670956</v>
      </c>
      <c r="AB84" s="21">
        <v>384.89741833651902</v>
      </c>
      <c r="AC84" s="21">
        <v>385.49061209547699</v>
      </c>
      <c r="AD84" s="21">
        <v>385.66476294837503</v>
      </c>
      <c r="AE84" s="22">
        <v>-2.0570850862886201E-3</v>
      </c>
      <c r="AF84" s="22">
        <v>-5.1709782595097103E-4</v>
      </c>
      <c r="AG84" s="22">
        <v>-6.5435653853856596E-5</v>
      </c>
      <c r="AI84" s="5"/>
      <c r="AJ84">
        <f>IF($AG84&lt;AI$21,1,0)</f>
        <v>0</v>
      </c>
      <c r="AK84">
        <f>IF($AG84&gt;AI$22,1,0)</f>
        <v>1</v>
      </c>
      <c r="AL84">
        <f t="shared" si="2"/>
        <v>0</v>
      </c>
      <c r="AM84">
        <f>IF(F85+H85&gt;0,0,1)</f>
        <v>1</v>
      </c>
      <c r="AN84">
        <f t="shared" si="3"/>
        <v>0</v>
      </c>
      <c r="AO84" s="17">
        <f>AN84*D84</f>
        <v>0</v>
      </c>
      <c r="AP84" s="17">
        <f>-AN84*$E84</f>
        <v>0</v>
      </c>
      <c r="AQ84" s="17">
        <f t="shared" si="4"/>
        <v>0</v>
      </c>
      <c r="AR84" s="11">
        <f t="shared" si="5"/>
        <v>1.7357221333017911E-2</v>
      </c>
      <c r="AT84" s="5"/>
      <c r="AU84">
        <f>IF($AG84&gt;AT$21,1,0)</f>
        <v>0</v>
      </c>
      <c r="AV84">
        <f>IF($AG84&lt;AT$22,1,0)</f>
        <v>1</v>
      </c>
      <c r="AW84">
        <f t="shared" si="6"/>
        <v>0</v>
      </c>
      <c r="AX84">
        <f>IF(F85+H85&gt;0,0,1)</f>
        <v>1</v>
      </c>
      <c r="AY84">
        <f t="shared" si="7"/>
        <v>0</v>
      </c>
      <c r="AZ84" s="17">
        <f>-AY84*D84</f>
        <v>0</v>
      </c>
      <c r="BA84" s="17">
        <f>AY84*$E84</f>
        <v>0</v>
      </c>
      <c r="BB84" s="17">
        <f t="shared" si="8"/>
        <v>0</v>
      </c>
      <c r="BC84" s="11">
        <f t="shared" si="9"/>
        <v>0</v>
      </c>
      <c r="BE84" s="11">
        <f t="shared" si="10"/>
        <v>0</v>
      </c>
      <c r="BF84" s="11">
        <f t="shared" si="11"/>
        <v>1.7357221333017911E-2</v>
      </c>
      <c r="BH84" s="11"/>
    </row>
    <row r="85" spans="1:60" x14ac:dyDescent="0.25">
      <c r="A85" s="1">
        <v>46146</v>
      </c>
      <c r="B85" s="21">
        <v>379.64</v>
      </c>
      <c r="C85" s="21">
        <v>383.25</v>
      </c>
      <c r="D85" s="22">
        <v>-9.3858015392614003E-3</v>
      </c>
      <c r="E85" s="22">
        <v>-6.3464202399700397E-3</v>
      </c>
      <c r="F85" s="21">
        <v>0</v>
      </c>
      <c r="G85" s="21">
        <v>0.21</v>
      </c>
      <c r="H85" s="21">
        <v>0</v>
      </c>
      <c r="I85" s="21">
        <v>0.21</v>
      </c>
      <c r="J85" s="21">
        <v>0</v>
      </c>
      <c r="K85" s="21">
        <v>0</v>
      </c>
      <c r="L85" s="21">
        <v>379.64</v>
      </c>
      <c r="M85" s="21">
        <v>383.25</v>
      </c>
      <c r="N85" s="23">
        <v>1.0095090085344001</v>
      </c>
      <c r="O85" s="23">
        <v>1.0043771680406</v>
      </c>
      <c r="P85" s="23">
        <v>1.0062464872355601</v>
      </c>
      <c r="Q85" s="23">
        <v>1.0065634209910199</v>
      </c>
      <c r="R85" s="21">
        <v>381.30174807493398</v>
      </c>
      <c r="S85" s="21">
        <v>381.879060659787</v>
      </c>
      <c r="T85" s="21">
        <v>382.09982298121997</v>
      </c>
      <c r="U85" s="22">
        <v>-5.0964663855799699E-3</v>
      </c>
      <c r="V85" s="22">
        <v>-3.5835544036130602E-3</v>
      </c>
      <c r="W85" s="22">
        <v>-3.0056265778467101E-3</v>
      </c>
      <c r="X85" s="23">
        <v>1.0095090085344001</v>
      </c>
      <c r="Y85" s="23">
        <v>1.0043771680406</v>
      </c>
      <c r="Z85" s="23">
        <v>1.0062464872355601</v>
      </c>
      <c r="AA85" s="23">
        <v>1.0065634209910199</v>
      </c>
      <c r="AB85" s="21">
        <v>381.30174807493398</v>
      </c>
      <c r="AC85" s="21">
        <v>381.879060659787</v>
      </c>
      <c r="AD85" s="21">
        <v>382.09982298121997</v>
      </c>
      <c r="AE85" s="22">
        <v>-5.0964663855799699E-3</v>
      </c>
      <c r="AF85" s="22">
        <v>-3.5835544036130602E-3</v>
      </c>
      <c r="AG85" s="22">
        <v>-3.0056265778467101E-3</v>
      </c>
      <c r="AI85" s="5"/>
      <c r="AJ85">
        <f>IF($AG85&lt;AI$21,1,0)</f>
        <v>0</v>
      </c>
      <c r="AK85">
        <f>IF($AG85&gt;AI$22,1,0)</f>
        <v>0</v>
      </c>
      <c r="AL85">
        <f t="shared" si="2"/>
        <v>0</v>
      </c>
      <c r="AM85">
        <f>IF(F86+H86&gt;0,0,1)</f>
        <v>1</v>
      </c>
      <c r="AN85">
        <f t="shared" si="3"/>
        <v>0</v>
      </c>
      <c r="AO85" s="17">
        <f>AN85*D85</f>
        <v>0</v>
      </c>
      <c r="AP85" s="17">
        <f>-AN85*$E85</f>
        <v>0</v>
      </c>
      <c r="AQ85" s="17">
        <f t="shared" si="4"/>
        <v>0</v>
      </c>
      <c r="AR85" s="11">
        <f t="shared" si="5"/>
        <v>1.7357221333017911E-2</v>
      </c>
      <c r="AT85" s="5"/>
      <c r="AU85">
        <f>IF($AG85&gt;AT$21,1,0)</f>
        <v>0</v>
      </c>
      <c r="AV85">
        <f>IF($AG85&lt;AT$22,1,0)</f>
        <v>1</v>
      </c>
      <c r="AW85">
        <f t="shared" si="6"/>
        <v>0</v>
      </c>
      <c r="AX85">
        <f>IF(F86+H86&gt;0,0,1)</f>
        <v>1</v>
      </c>
      <c r="AY85">
        <f t="shared" si="7"/>
        <v>0</v>
      </c>
      <c r="AZ85" s="17">
        <f>-AY85*D85</f>
        <v>0</v>
      </c>
      <c r="BA85" s="17">
        <f>AY85*$E85</f>
        <v>0</v>
      </c>
      <c r="BB85" s="17">
        <f t="shared" si="8"/>
        <v>0</v>
      </c>
      <c r="BC85" s="11">
        <f t="shared" si="9"/>
        <v>0</v>
      </c>
      <c r="BE85" s="11">
        <f t="shared" si="10"/>
        <v>0</v>
      </c>
      <c r="BF85" s="11">
        <f t="shared" si="11"/>
        <v>1.7357221333017911E-2</v>
      </c>
      <c r="BH85" s="11"/>
    </row>
    <row r="86" spans="1:60" x14ac:dyDescent="0.25">
      <c r="A86" s="1">
        <v>46147</v>
      </c>
      <c r="B86" s="21">
        <v>384.27</v>
      </c>
      <c r="C86" s="21">
        <v>388.43</v>
      </c>
      <c r="D86" s="22">
        <v>1.2121995248863E-2</v>
      </c>
      <c r="E86" s="22">
        <v>1.34254556411996E-2</v>
      </c>
      <c r="F86" s="21">
        <v>0</v>
      </c>
      <c r="G86" s="21">
        <v>0.21</v>
      </c>
      <c r="H86" s="21">
        <v>0</v>
      </c>
      <c r="I86" s="21">
        <v>0.21</v>
      </c>
      <c r="J86" s="21">
        <v>0</v>
      </c>
      <c r="K86" s="21">
        <v>0</v>
      </c>
      <c r="L86" s="21">
        <v>384.27</v>
      </c>
      <c r="M86" s="21">
        <v>388.43</v>
      </c>
      <c r="N86" s="23">
        <v>1.0108257214979</v>
      </c>
      <c r="O86" s="23">
        <v>1.0043771680406</v>
      </c>
      <c r="P86" s="23">
        <v>1.0067783286079801</v>
      </c>
      <c r="Q86" s="23">
        <v>1.0068530043712101</v>
      </c>
      <c r="R86" s="21">
        <v>385.95201436296202</v>
      </c>
      <c r="S86" s="21">
        <v>386.67033765001099</v>
      </c>
      <c r="T86" s="21">
        <v>386.79212578421902</v>
      </c>
      <c r="U86" s="22">
        <v>-6.3999267779167E-3</v>
      </c>
      <c r="V86" s="22">
        <v>-4.5404840834458301E-3</v>
      </c>
      <c r="W86" s="22">
        <v>-4.2255673525839E-3</v>
      </c>
      <c r="X86" s="23">
        <v>1.0108257214979</v>
      </c>
      <c r="Y86" s="23">
        <v>1.0043771680406</v>
      </c>
      <c r="Z86" s="23">
        <v>1.0067783286079801</v>
      </c>
      <c r="AA86" s="23">
        <v>1.0068530043712101</v>
      </c>
      <c r="AB86" s="21">
        <v>385.95201436296202</v>
      </c>
      <c r="AC86" s="21">
        <v>386.67033765001099</v>
      </c>
      <c r="AD86" s="21">
        <v>386.79212578421902</v>
      </c>
      <c r="AE86" s="22">
        <v>-6.3999267779167E-3</v>
      </c>
      <c r="AF86" s="22">
        <v>-4.5404840834458301E-3</v>
      </c>
      <c r="AG86" s="22">
        <v>-4.2255673525839E-3</v>
      </c>
      <c r="AI86" s="5"/>
      <c r="AJ86">
        <f>IF($AG86&lt;AI$21,1,0)</f>
        <v>1</v>
      </c>
      <c r="AK86">
        <f>IF($AG86&gt;AI$22,1,0)</f>
        <v>0</v>
      </c>
      <c r="AL86">
        <f t="shared" si="2"/>
        <v>0</v>
      </c>
      <c r="AM86">
        <f>IF(F87+H87&gt;0,0,1)</f>
        <v>1</v>
      </c>
      <c r="AN86">
        <f t="shared" si="3"/>
        <v>0</v>
      </c>
      <c r="AO86" s="17">
        <f>AN86*D86</f>
        <v>0</v>
      </c>
      <c r="AP86" s="17">
        <f>-AN86*$E86</f>
        <v>0</v>
      </c>
      <c r="AQ86" s="17">
        <f t="shared" si="4"/>
        <v>0</v>
      </c>
      <c r="AR86" s="11">
        <f t="shared" si="5"/>
        <v>1.7357221333017911E-2</v>
      </c>
      <c r="AT86" s="5"/>
      <c r="AU86">
        <f>IF($AG86&gt;AT$21,1,0)</f>
        <v>0</v>
      </c>
      <c r="AV86">
        <f>IF($AG86&lt;AT$22,1,0)</f>
        <v>1</v>
      </c>
      <c r="AW86">
        <f t="shared" si="6"/>
        <v>0</v>
      </c>
      <c r="AX86">
        <f>IF(F87+H87&gt;0,0,1)</f>
        <v>1</v>
      </c>
      <c r="AY86">
        <f t="shared" si="7"/>
        <v>0</v>
      </c>
      <c r="AZ86" s="17">
        <f>-AY86*D86</f>
        <v>0</v>
      </c>
      <c r="BA86" s="17">
        <f>AY86*$E86</f>
        <v>0</v>
      </c>
      <c r="BB86" s="17">
        <f t="shared" si="8"/>
        <v>0</v>
      </c>
      <c r="BC86" s="11">
        <f t="shared" si="9"/>
        <v>0</v>
      </c>
      <c r="BE86" s="11">
        <f t="shared" si="10"/>
        <v>0</v>
      </c>
      <c r="BF86" s="11">
        <f t="shared" si="11"/>
        <v>1.7357221333017911E-2</v>
      </c>
      <c r="BH86" s="11"/>
    </row>
    <row r="87" spans="1:60" x14ac:dyDescent="0.25">
      <c r="A87" s="1">
        <v>46148</v>
      </c>
      <c r="B87" s="21">
        <v>395.14</v>
      </c>
      <c r="C87" s="21">
        <v>398.04</v>
      </c>
      <c r="D87" s="22">
        <v>2.78947019741046E-2</v>
      </c>
      <c r="E87" s="22">
        <v>2.4439529353838099E-2</v>
      </c>
      <c r="F87" s="21">
        <v>0</v>
      </c>
      <c r="G87" s="21">
        <v>0.21</v>
      </c>
      <c r="H87" s="21">
        <v>0</v>
      </c>
      <c r="I87" s="21">
        <v>0.21</v>
      </c>
      <c r="J87" s="21">
        <v>0</v>
      </c>
      <c r="K87" s="21">
        <v>0</v>
      </c>
      <c r="L87" s="21">
        <v>395.14</v>
      </c>
      <c r="M87" s="21">
        <v>398.04</v>
      </c>
      <c r="N87" s="23">
        <v>1.0073391709267601</v>
      </c>
      <c r="O87" s="23">
        <v>1.0043771680406</v>
      </c>
      <c r="P87" s="23">
        <v>1.0070414554244</v>
      </c>
      <c r="Q87" s="23">
        <v>1.0068101008091399</v>
      </c>
      <c r="R87" s="21">
        <v>396.86959417956302</v>
      </c>
      <c r="S87" s="21">
        <v>397.818388766157</v>
      </c>
      <c r="T87" s="21">
        <v>397.84789614724201</v>
      </c>
      <c r="U87" s="22">
        <v>-2.9447541576503402E-3</v>
      </c>
      <c r="V87" s="22">
        <v>-5.56911236216062E-4</v>
      </c>
      <c r="W87" s="22">
        <v>-4.8274099258960502E-4</v>
      </c>
      <c r="X87" s="23">
        <v>1.0073391709267601</v>
      </c>
      <c r="Y87" s="23">
        <v>1.0043771680406</v>
      </c>
      <c r="Z87" s="23">
        <v>1.0070414554244</v>
      </c>
      <c r="AA87" s="23">
        <v>1.0068101008091399</v>
      </c>
      <c r="AB87" s="21">
        <v>396.86959417956302</v>
      </c>
      <c r="AC87" s="21">
        <v>397.818388766157</v>
      </c>
      <c r="AD87" s="21">
        <v>397.84789614724201</v>
      </c>
      <c r="AE87" s="22">
        <v>-2.9447541576503402E-3</v>
      </c>
      <c r="AF87" s="22">
        <v>-5.56911236216062E-4</v>
      </c>
      <c r="AG87" s="22">
        <v>-4.8274099258960502E-4</v>
      </c>
      <c r="AI87" s="5"/>
      <c r="AJ87">
        <f>IF($AG87&lt;AI$21,1,0)</f>
        <v>0</v>
      </c>
      <c r="AK87">
        <f>IF($AG87&gt;AI$22,1,0)</f>
        <v>1</v>
      </c>
      <c r="AL87">
        <f t="shared" ref="AL87:AL150" si="12">AN87</f>
        <v>1</v>
      </c>
      <c r="AM87">
        <f>IF(F88+H88&gt;0,0,1)</f>
        <v>1</v>
      </c>
      <c r="AN87">
        <f t="shared" ref="AN87:AN150" si="13">IF(AJ86,1,IF(AK86,0,AL86))*AM86</f>
        <v>1</v>
      </c>
      <c r="AO87" s="17">
        <f>AN87*D87</f>
        <v>2.78947019741046E-2</v>
      </c>
      <c r="AP87" s="17">
        <f>-AN87*$E87</f>
        <v>-2.4439529353838099E-2</v>
      </c>
      <c r="AQ87" s="17">
        <f t="shared" ref="AQ87:AQ150" si="14">AO87+AP87</f>
        <v>3.4551726202665008E-3</v>
      </c>
      <c r="AR87" s="11">
        <f t="shared" ref="AR87:AR150" si="15">AR86+AQ87</f>
        <v>2.0812393953284412E-2</v>
      </c>
      <c r="AT87" s="5"/>
      <c r="AU87">
        <f>IF($AG87&gt;AT$21,1,0)</f>
        <v>0</v>
      </c>
      <c r="AV87">
        <f>IF($AG87&lt;AT$22,1,0)</f>
        <v>1</v>
      </c>
      <c r="AW87">
        <f t="shared" ref="AW87:AW150" si="16">AY87</f>
        <v>0</v>
      </c>
      <c r="AX87">
        <f>IF(F88+H88&gt;0,0,1)</f>
        <v>1</v>
      </c>
      <c r="AY87">
        <f t="shared" ref="AY87:AY150" si="17">IF(AU86,1,IF(AV86,0,AW86))*AX86</f>
        <v>0</v>
      </c>
      <c r="AZ87" s="17">
        <f>-AY87*D87</f>
        <v>0</v>
      </c>
      <c r="BA87" s="17">
        <f>AY87*$E87</f>
        <v>0</v>
      </c>
      <c r="BB87" s="17">
        <f t="shared" ref="BB87:BB150" si="18">AZ87+BA87</f>
        <v>0</v>
      </c>
      <c r="BC87" s="11">
        <f t="shared" ref="BC87:BC150" si="19">BC86+BB87</f>
        <v>0</v>
      </c>
      <c r="BE87" s="11">
        <f t="shared" ref="BE87:BE150" si="20">AQ87+BB87</f>
        <v>3.4551726202665008E-3</v>
      </c>
      <c r="BF87" s="11">
        <f t="shared" ref="BF87:BF150" si="21">BF86+BE87</f>
        <v>2.0812393953284412E-2</v>
      </c>
      <c r="BH87" s="11"/>
    </row>
    <row r="88" spans="1:60" x14ac:dyDescent="0.25">
      <c r="A88" s="1">
        <v>46149</v>
      </c>
      <c r="B88" s="21">
        <v>395.3</v>
      </c>
      <c r="C88" s="21">
        <v>397.99</v>
      </c>
      <c r="D88" s="22">
        <v>4.0483781738087198E-4</v>
      </c>
      <c r="E88" s="22">
        <v>-1.2562340631822299E-4</v>
      </c>
      <c r="F88" s="21">
        <v>0</v>
      </c>
      <c r="G88" s="21">
        <v>0.21</v>
      </c>
      <c r="H88" s="21">
        <v>0</v>
      </c>
      <c r="I88" s="21">
        <v>0.21</v>
      </c>
      <c r="J88" s="21">
        <v>0</v>
      </c>
      <c r="K88" s="21">
        <v>0</v>
      </c>
      <c r="L88" s="21">
        <v>395.3</v>
      </c>
      <c r="M88" s="21">
        <v>397.99</v>
      </c>
      <c r="N88" s="23">
        <v>1.00680495825954</v>
      </c>
      <c r="O88" s="23">
        <v>1.0043771680406</v>
      </c>
      <c r="P88" s="23">
        <v>1.00738442349313</v>
      </c>
      <c r="Q88" s="23">
        <v>1.0068152979903799</v>
      </c>
      <c r="R88" s="21">
        <v>397.03029452645001</v>
      </c>
      <c r="S88" s="21">
        <v>398.08348732926498</v>
      </c>
      <c r="T88" s="21">
        <v>397.992032849856</v>
      </c>
      <c r="U88" s="22">
        <v>-2.41429293395117E-3</v>
      </c>
      <c r="V88" s="22">
        <v>2.3487110469865201E-4</v>
      </c>
      <c r="W88" s="22">
        <v>5.1077782469815E-6</v>
      </c>
      <c r="X88" s="23">
        <v>1.00680495825954</v>
      </c>
      <c r="Y88" s="23">
        <v>1.0043771680406</v>
      </c>
      <c r="Z88" s="23">
        <v>1.00738442349313</v>
      </c>
      <c r="AA88" s="23">
        <v>1.0068152979903799</v>
      </c>
      <c r="AB88" s="21">
        <v>397.03029452645001</v>
      </c>
      <c r="AC88" s="21">
        <v>398.08348732926498</v>
      </c>
      <c r="AD88" s="21">
        <v>397.992032849856</v>
      </c>
      <c r="AE88" s="22">
        <v>-2.41429293395117E-3</v>
      </c>
      <c r="AF88" s="22">
        <v>2.3487110469865201E-4</v>
      </c>
      <c r="AG88" s="22">
        <v>5.1077782469815E-6</v>
      </c>
      <c r="AI88" s="5"/>
      <c r="AJ88">
        <f>IF($AG88&lt;AI$21,1,0)</f>
        <v>0</v>
      </c>
      <c r="AK88">
        <f>IF($AG88&gt;AI$22,1,0)</f>
        <v>1</v>
      </c>
      <c r="AL88">
        <f t="shared" si="12"/>
        <v>0</v>
      </c>
      <c r="AM88">
        <f>IF(F89+H89&gt;0,0,1)</f>
        <v>1</v>
      </c>
      <c r="AN88">
        <f t="shared" si="13"/>
        <v>0</v>
      </c>
      <c r="AO88" s="17">
        <f>AN88*D88</f>
        <v>0</v>
      </c>
      <c r="AP88" s="17">
        <f>-AN88*$E88</f>
        <v>0</v>
      </c>
      <c r="AQ88" s="17">
        <f t="shared" si="14"/>
        <v>0</v>
      </c>
      <c r="AR88" s="11">
        <f t="shared" si="15"/>
        <v>2.0812393953284412E-2</v>
      </c>
      <c r="AT88" s="5"/>
      <c r="AU88">
        <f>IF($AG88&gt;AT$21,1,0)</f>
        <v>0</v>
      </c>
      <c r="AV88">
        <f>IF($AG88&lt;AT$22,1,0)</f>
        <v>1</v>
      </c>
      <c r="AW88">
        <f t="shared" si="16"/>
        <v>0</v>
      </c>
      <c r="AX88">
        <f>IF(F89+H89&gt;0,0,1)</f>
        <v>1</v>
      </c>
      <c r="AY88">
        <f t="shared" si="17"/>
        <v>0</v>
      </c>
      <c r="AZ88" s="17">
        <f>-AY88*D88</f>
        <v>0</v>
      </c>
      <c r="BA88" s="17">
        <f>AY88*$E88</f>
        <v>0</v>
      </c>
      <c r="BB88" s="17">
        <f t="shared" si="18"/>
        <v>0</v>
      </c>
      <c r="BC88" s="11">
        <f t="shared" si="19"/>
        <v>0</v>
      </c>
      <c r="BE88" s="11">
        <f t="shared" si="20"/>
        <v>0</v>
      </c>
      <c r="BF88" s="11">
        <f t="shared" si="21"/>
        <v>2.0812393953284412E-2</v>
      </c>
      <c r="BH88" s="11"/>
    </row>
    <row r="89" spans="1:60" x14ac:dyDescent="0.25">
      <c r="A89" s="1">
        <v>46150</v>
      </c>
      <c r="B89" s="21">
        <v>397.05</v>
      </c>
      <c r="C89" s="21">
        <v>400.8</v>
      </c>
      <c r="D89" s="22">
        <v>4.4172470385800697E-3</v>
      </c>
      <c r="E89" s="22">
        <v>7.0356704300119201E-3</v>
      </c>
      <c r="F89" s="21">
        <v>0</v>
      </c>
      <c r="G89" s="21">
        <v>0.21</v>
      </c>
      <c r="H89" s="21">
        <v>0</v>
      </c>
      <c r="I89" s="21">
        <v>0.21</v>
      </c>
      <c r="J89" s="21">
        <v>0</v>
      </c>
      <c r="K89" s="21">
        <v>0</v>
      </c>
      <c r="L89" s="21">
        <v>397.05</v>
      </c>
      <c r="M89" s="21">
        <v>400.8</v>
      </c>
      <c r="N89" s="23">
        <v>1.0094446543256499</v>
      </c>
      <c r="O89" s="23">
        <v>1.0043771680406</v>
      </c>
      <c r="P89" s="23">
        <v>1.0077212703232199</v>
      </c>
      <c r="Q89" s="23">
        <v>1.0070468110816799</v>
      </c>
      <c r="R89" s="21">
        <v>398.78795457052098</v>
      </c>
      <c r="S89" s="21">
        <v>399.98198534795</v>
      </c>
      <c r="T89" s="21">
        <v>399.75601406708302</v>
      </c>
      <c r="U89" s="22">
        <v>-5.03271632538303E-3</v>
      </c>
      <c r="V89" s="22">
        <v>-2.0430403069758899E-3</v>
      </c>
      <c r="W89" s="22">
        <v>-2.60815359919526E-3</v>
      </c>
      <c r="X89" s="23">
        <v>1.0094446543256499</v>
      </c>
      <c r="Y89" s="23">
        <v>1.0043771680406</v>
      </c>
      <c r="Z89" s="23">
        <v>1.0077212703232199</v>
      </c>
      <c r="AA89" s="23">
        <v>1.0070468110816799</v>
      </c>
      <c r="AB89" s="21">
        <v>398.78795457052098</v>
      </c>
      <c r="AC89" s="21">
        <v>399.98198534795</v>
      </c>
      <c r="AD89" s="21">
        <v>399.75601406708302</v>
      </c>
      <c r="AE89" s="22">
        <v>-5.03271632538303E-3</v>
      </c>
      <c r="AF89" s="22">
        <v>-2.0430403069758899E-3</v>
      </c>
      <c r="AG89" s="22">
        <v>-2.60815359919526E-3</v>
      </c>
      <c r="AI89" s="5"/>
      <c r="AJ89">
        <f>IF($AG89&lt;AI$21,1,0)</f>
        <v>0</v>
      </c>
      <c r="AK89">
        <f>IF($AG89&gt;AI$22,1,0)</f>
        <v>0</v>
      </c>
      <c r="AL89">
        <f t="shared" si="12"/>
        <v>0</v>
      </c>
      <c r="AM89">
        <f>IF(F90+H90&gt;0,0,1)</f>
        <v>1</v>
      </c>
      <c r="AN89">
        <f t="shared" si="13"/>
        <v>0</v>
      </c>
      <c r="AO89" s="17">
        <f>AN89*D89</f>
        <v>0</v>
      </c>
      <c r="AP89" s="17">
        <f>-AN89*$E89</f>
        <v>0</v>
      </c>
      <c r="AQ89" s="17">
        <f t="shared" si="14"/>
        <v>0</v>
      </c>
      <c r="AR89" s="11">
        <f t="shared" si="15"/>
        <v>2.0812393953284412E-2</v>
      </c>
      <c r="AT89" s="5"/>
      <c r="AU89">
        <f>IF($AG89&gt;AT$21,1,0)</f>
        <v>0</v>
      </c>
      <c r="AV89">
        <f>IF($AG89&lt;AT$22,1,0)</f>
        <v>1</v>
      </c>
      <c r="AW89">
        <f t="shared" si="16"/>
        <v>0</v>
      </c>
      <c r="AX89">
        <f>IF(F90+H90&gt;0,0,1)</f>
        <v>1</v>
      </c>
      <c r="AY89">
        <f t="shared" si="17"/>
        <v>0</v>
      </c>
      <c r="AZ89" s="17">
        <f>-AY89*D89</f>
        <v>0</v>
      </c>
      <c r="BA89" s="17">
        <f>AY89*$E89</f>
        <v>0</v>
      </c>
      <c r="BB89" s="17">
        <f t="shared" si="18"/>
        <v>0</v>
      </c>
      <c r="BC89" s="11">
        <f t="shared" si="19"/>
        <v>0</v>
      </c>
      <c r="BE89" s="11">
        <f t="shared" si="20"/>
        <v>0</v>
      </c>
      <c r="BF89" s="11">
        <f t="shared" si="21"/>
        <v>2.0812393953284412E-2</v>
      </c>
      <c r="BH89" s="11"/>
    </row>
    <row r="90" spans="1:60" x14ac:dyDescent="0.25">
      <c r="A90" s="1">
        <v>46153</v>
      </c>
      <c r="B90" s="21">
        <v>386.77</v>
      </c>
      <c r="C90" s="21">
        <v>388.64</v>
      </c>
      <c r="D90" s="22">
        <v>-2.6232016232225701E-2</v>
      </c>
      <c r="E90" s="22">
        <v>-3.0809084516792699E-2</v>
      </c>
      <c r="F90" s="21">
        <v>0</v>
      </c>
      <c r="G90" s="21">
        <v>0.21</v>
      </c>
      <c r="H90" s="21">
        <v>0</v>
      </c>
      <c r="I90" s="21">
        <v>0.21</v>
      </c>
      <c r="J90" s="21">
        <v>0</v>
      </c>
      <c r="K90" s="21">
        <v>0</v>
      </c>
      <c r="L90" s="21">
        <v>386.77</v>
      </c>
      <c r="M90" s="21">
        <v>388.64</v>
      </c>
      <c r="N90" s="23">
        <v>1.00483491480724</v>
      </c>
      <c r="O90" s="23">
        <v>1.0043771680406</v>
      </c>
      <c r="P90" s="23">
        <v>1.0076825536092899</v>
      </c>
      <c r="Q90" s="23">
        <v>1.0069596197586701</v>
      </c>
      <c r="R90" s="21">
        <v>388.46295728306302</v>
      </c>
      <c r="S90" s="21">
        <v>389.75635572291401</v>
      </c>
      <c r="T90" s="21">
        <v>389.49549512206301</v>
      </c>
      <c r="U90" s="22">
        <v>-4.5564804081605899E-4</v>
      </c>
      <c r="V90" s="22">
        <v>2.8683497298038099E-3</v>
      </c>
      <c r="W90" s="22">
        <v>2.1988341930436498E-3</v>
      </c>
      <c r="X90" s="23">
        <v>1.00483491480724</v>
      </c>
      <c r="Y90" s="23">
        <v>1.0043771680406</v>
      </c>
      <c r="Z90" s="23">
        <v>1.0076825536092899</v>
      </c>
      <c r="AA90" s="23">
        <v>1.0069596197586701</v>
      </c>
      <c r="AB90" s="21">
        <v>388.46295728306302</v>
      </c>
      <c r="AC90" s="21">
        <v>389.75635572291401</v>
      </c>
      <c r="AD90" s="21">
        <v>389.49549512206301</v>
      </c>
      <c r="AE90" s="22">
        <v>-4.5564804081605899E-4</v>
      </c>
      <c r="AF90" s="22">
        <v>2.8683497298038099E-3</v>
      </c>
      <c r="AG90" s="22">
        <v>2.1988341930436498E-3</v>
      </c>
      <c r="AI90" s="5"/>
      <c r="AJ90">
        <f>IF($AG90&lt;AI$21,1,0)</f>
        <v>0</v>
      </c>
      <c r="AK90">
        <f>IF($AG90&gt;AI$22,1,0)</f>
        <v>1</v>
      </c>
      <c r="AL90">
        <f t="shared" si="12"/>
        <v>0</v>
      </c>
      <c r="AM90">
        <f>IF(F91+H91&gt;0,0,1)</f>
        <v>1</v>
      </c>
      <c r="AN90">
        <f t="shared" si="13"/>
        <v>0</v>
      </c>
      <c r="AO90" s="17">
        <f>AN90*D90</f>
        <v>0</v>
      </c>
      <c r="AP90" s="17">
        <f>-AN90*$E90</f>
        <v>0</v>
      </c>
      <c r="AQ90" s="17">
        <f t="shared" si="14"/>
        <v>0</v>
      </c>
      <c r="AR90" s="11">
        <f t="shared" si="15"/>
        <v>2.0812393953284412E-2</v>
      </c>
      <c r="AT90" s="5"/>
      <c r="AU90">
        <f>IF($AG90&gt;AT$21,1,0)</f>
        <v>0</v>
      </c>
      <c r="AV90">
        <f>IF($AG90&lt;AT$22,1,0)</f>
        <v>1</v>
      </c>
      <c r="AW90">
        <f t="shared" si="16"/>
        <v>0</v>
      </c>
      <c r="AX90">
        <f>IF(F91+H91&gt;0,0,1)</f>
        <v>1</v>
      </c>
      <c r="AY90">
        <f t="shared" si="17"/>
        <v>0</v>
      </c>
      <c r="AZ90" s="17">
        <f>-AY90*D90</f>
        <v>0</v>
      </c>
      <c r="BA90" s="17">
        <f>AY90*$E90</f>
        <v>0</v>
      </c>
      <c r="BB90" s="17">
        <f t="shared" si="18"/>
        <v>0</v>
      </c>
      <c r="BC90" s="11">
        <f t="shared" si="19"/>
        <v>0</v>
      </c>
      <c r="BE90" s="11">
        <f t="shared" si="20"/>
        <v>0</v>
      </c>
      <c r="BF90" s="11">
        <f t="shared" si="21"/>
        <v>2.0812393953284412E-2</v>
      </c>
      <c r="BH90" s="11"/>
    </row>
    <row r="91" spans="1:60" x14ac:dyDescent="0.25">
      <c r="A91" s="1">
        <v>46154</v>
      </c>
      <c r="B91" s="21">
        <v>383.82</v>
      </c>
      <c r="C91" s="21">
        <v>387.35</v>
      </c>
      <c r="D91" s="22">
        <v>-7.6565084188929501E-3</v>
      </c>
      <c r="E91" s="22">
        <v>-3.3247881759506902E-3</v>
      </c>
      <c r="F91" s="21">
        <v>0</v>
      </c>
      <c r="G91" s="21">
        <v>0.21</v>
      </c>
      <c r="H91" s="21">
        <v>0</v>
      </c>
      <c r="I91" s="21">
        <v>0.21</v>
      </c>
      <c r="J91" s="21">
        <v>0</v>
      </c>
      <c r="K91" s="21">
        <v>0</v>
      </c>
      <c r="L91" s="21">
        <v>383.82</v>
      </c>
      <c r="M91" s="21">
        <v>387.35</v>
      </c>
      <c r="N91" s="23">
        <v>1.0091970194361899</v>
      </c>
      <c r="O91" s="23">
        <v>1.0043771680406</v>
      </c>
      <c r="P91" s="23">
        <v>1.0079461404450001</v>
      </c>
      <c r="Q91" s="23">
        <v>1.00706705981633</v>
      </c>
      <c r="R91" s="21">
        <v>385.50004463734399</v>
      </c>
      <c r="S91" s="21">
        <v>386.76871772632097</v>
      </c>
      <c r="T91" s="21">
        <v>386.49124125577299</v>
      </c>
      <c r="U91" s="22">
        <v>-4.7873682837582497E-3</v>
      </c>
      <c r="V91" s="22">
        <v>-1.5017913134480899E-3</v>
      </c>
      <c r="W91" s="22">
        <v>-2.2194709999088301E-3</v>
      </c>
      <c r="X91" s="23">
        <v>1.0091970194361899</v>
      </c>
      <c r="Y91" s="23">
        <v>1.0043771680406</v>
      </c>
      <c r="Z91" s="23">
        <v>1.0079461404450001</v>
      </c>
      <c r="AA91" s="23">
        <v>1.00706705981633</v>
      </c>
      <c r="AB91" s="21">
        <v>385.50004463734399</v>
      </c>
      <c r="AC91" s="21">
        <v>386.76871772632097</v>
      </c>
      <c r="AD91" s="21">
        <v>386.49124125577299</v>
      </c>
      <c r="AE91" s="22">
        <v>-4.7873682837582497E-3</v>
      </c>
      <c r="AF91" s="22">
        <v>-1.5017913134480899E-3</v>
      </c>
      <c r="AG91" s="22">
        <v>-2.2194709999088301E-3</v>
      </c>
      <c r="AI91" s="5"/>
      <c r="AJ91">
        <f>IF($AG91&lt;AI$21,1,0)</f>
        <v>0</v>
      </c>
      <c r="AK91">
        <f>IF($AG91&gt;AI$22,1,0)</f>
        <v>0</v>
      </c>
      <c r="AL91">
        <f t="shared" si="12"/>
        <v>0</v>
      </c>
      <c r="AM91">
        <f>IF(F92+H92&gt;0,0,1)</f>
        <v>1</v>
      </c>
      <c r="AN91">
        <f t="shared" si="13"/>
        <v>0</v>
      </c>
      <c r="AO91" s="17">
        <f>AN91*D91</f>
        <v>0</v>
      </c>
      <c r="AP91" s="17">
        <f>-AN91*$E91</f>
        <v>0</v>
      </c>
      <c r="AQ91" s="17">
        <f t="shared" si="14"/>
        <v>0</v>
      </c>
      <c r="AR91" s="11">
        <f t="shared" si="15"/>
        <v>2.0812393953284412E-2</v>
      </c>
      <c r="AT91" s="5"/>
      <c r="AU91">
        <f>IF($AG91&gt;AT$21,1,0)</f>
        <v>0</v>
      </c>
      <c r="AV91">
        <f>IF($AG91&lt;AT$22,1,0)</f>
        <v>1</v>
      </c>
      <c r="AW91">
        <f t="shared" si="16"/>
        <v>0</v>
      </c>
      <c r="AX91">
        <f>IF(F92+H92&gt;0,0,1)</f>
        <v>1</v>
      </c>
      <c r="AY91">
        <f t="shared" si="17"/>
        <v>0</v>
      </c>
      <c r="AZ91" s="17">
        <f>-AY91*D91</f>
        <v>0</v>
      </c>
      <c r="BA91" s="17">
        <f>AY91*$E91</f>
        <v>0</v>
      </c>
      <c r="BB91" s="17">
        <f t="shared" si="18"/>
        <v>0</v>
      </c>
      <c r="BC91" s="11">
        <f t="shared" si="19"/>
        <v>0</v>
      </c>
      <c r="BE91" s="11">
        <f t="shared" si="20"/>
        <v>0</v>
      </c>
      <c r="BF91" s="11">
        <f t="shared" si="21"/>
        <v>2.0812393953284412E-2</v>
      </c>
      <c r="BH91" s="11"/>
    </row>
    <row r="92" spans="1:60" x14ac:dyDescent="0.25">
      <c r="A92" s="1">
        <v>46155</v>
      </c>
      <c r="B92" s="21">
        <v>399.04</v>
      </c>
      <c r="C92" s="21">
        <v>402.62</v>
      </c>
      <c r="D92" s="22">
        <v>3.8887969801570499E-2</v>
      </c>
      <c r="E92" s="22">
        <v>3.86645119927706E-2</v>
      </c>
      <c r="F92" s="21">
        <v>0</v>
      </c>
      <c r="G92" s="21">
        <v>0.21</v>
      </c>
      <c r="H92" s="21">
        <v>0</v>
      </c>
      <c r="I92" s="21">
        <v>0.21</v>
      </c>
      <c r="J92" s="21">
        <v>0</v>
      </c>
      <c r="K92" s="21">
        <v>0</v>
      </c>
      <c r="L92" s="21">
        <v>399.04</v>
      </c>
      <c r="M92" s="21">
        <v>402.62</v>
      </c>
      <c r="N92" s="23">
        <v>1.0089715316760199</v>
      </c>
      <c r="O92" s="23">
        <v>1.0043771680406</v>
      </c>
      <c r="P92" s="23">
        <v>1.00808604504504</v>
      </c>
      <c r="Q92" s="23">
        <v>1.00711948726867</v>
      </c>
      <c r="R92" s="21">
        <v>400.78666513492198</v>
      </c>
      <c r="S92" s="21">
        <v>402.210827883175</v>
      </c>
      <c r="T92" s="21">
        <v>401.86003954910899</v>
      </c>
      <c r="U92" s="22">
        <v>-4.5639104749586098E-3</v>
      </c>
      <c r="V92" s="22">
        <v>-1.01679045558805E-3</v>
      </c>
      <c r="W92" s="22">
        <v>-1.8893213991379499E-3</v>
      </c>
      <c r="X92" s="23">
        <v>1.0089715316760199</v>
      </c>
      <c r="Y92" s="23">
        <v>1.0043771680406</v>
      </c>
      <c r="Z92" s="23">
        <v>1.00808604504504</v>
      </c>
      <c r="AA92" s="23">
        <v>1.00711948726867</v>
      </c>
      <c r="AB92" s="21">
        <v>400.78666513492198</v>
      </c>
      <c r="AC92" s="21">
        <v>402.210827883175</v>
      </c>
      <c r="AD92" s="21">
        <v>401.86003954910899</v>
      </c>
      <c r="AE92" s="22">
        <v>-4.5639104749586098E-3</v>
      </c>
      <c r="AF92" s="22">
        <v>-1.01679045558805E-3</v>
      </c>
      <c r="AG92" s="22">
        <v>-1.8893213991379499E-3</v>
      </c>
      <c r="AI92" s="5"/>
      <c r="AJ92">
        <f>IF($AG92&lt;AI$21,1,0)</f>
        <v>0</v>
      </c>
      <c r="AK92">
        <f>IF($AG92&gt;AI$22,1,0)</f>
        <v>1</v>
      </c>
      <c r="AL92">
        <f t="shared" si="12"/>
        <v>0</v>
      </c>
      <c r="AM92">
        <f>IF(F93+H93&gt;0,0,1)</f>
        <v>1</v>
      </c>
      <c r="AN92">
        <f t="shared" si="13"/>
        <v>0</v>
      </c>
      <c r="AO92" s="17">
        <f>AN92*D92</f>
        <v>0</v>
      </c>
      <c r="AP92" s="17">
        <f>-AN92*$E92</f>
        <v>0</v>
      </c>
      <c r="AQ92" s="17">
        <f t="shared" si="14"/>
        <v>0</v>
      </c>
      <c r="AR92" s="11">
        <f t="shared" si="15"/>
        <v>2.0812393953284412E-2</v>
      </c>
      <c r="AT92" s="5"/>
      <c r="AU92">
        <f>IF($AG92&gt;AT$21,1,0)</f>
        <v>0</v>
      </c>
      <c r="AV92">
        <f>IF($AG92&lt;AT$22,1,0)</f>
        <v>1</v>
      </c>
      <c r="AW92">
        <f t="shared" si="16"/>
        <v>0</v>
      </c>
      <c r="AX92">
        <f>IF(F93+H93&gt;0,0,1)</f>
        <v>1</v>
      </c>
      <c r="AY92">
        <f t="shared" si="17"/>
        <v>0</v>
      </c>
      <c r="AZ92" s="17">
        <f>-AY92*D92</f>
        <v>0</v>
      </c>
      <c r="BA92" s="17">
        <f>AY92*$E92</f>
        <v>0</v>
      </c>
      <c r="BB92" s="17">
        <f t="shared" si="18"/>
        <v>0</v>
      </c>
      <c r="BC92" s="11">
        <f t="shared" si="19"/>
        <v>0</v>
      </c>
      <c r="BE92" s="11">
        <f t="shared" si="20"/>
        <v>0</v>
      </c>
      <c r="BF92" s="11">
        <f t="shared" si="21"/>
        <v>2.0812393953284412E-2</v>
      </c>
      <c r="BH92" s="11"/>
    </row>
    <row r="93" spans="1:60" x14ac:dyDescent="0.25">
      <c r="A93" s="1">
        <v>46156</v>
      </c>
      <c r="B93" s="21">
        <v>397.17</v>
      </c>
      <c r="C93" s="21">
        <v>401.07</v>
      </c>
      <c r="D93" s="22">
        <v>-4.69726187399636E-3</v>
      </c>
      <c r="E93" s="22">
        <v>-3.85721340754153E-3</v>
      </c>
      <c r="F93" s="21">
        <v>0</v>
      </c>
      <c r="G93" s="21">
        <v>0.21</v>
      </c>
      <c r="H93" s="21">
        <v>0</v>
      </c>
      <c r="I93" s="21">
        <v>0.21</v>
      </c>
      <c r="J93" s="21">
        <v>0</v>
      </c>
      <c r="K93" s="21">
        <v>0</v>
      </c>
      <c r="L93" s="21">
        <v>397.17</v>
      </c>
      <c r="M93" s="21">
        <v>401.07</v>
      </c>
      <c r="N93" s="23">
        <v>1.00981947276984</v>
      </c>
      <c r="O93" s="23">
        <v>1.0043771680406</v>
      </c>
      <c r="P93" s="23">
        <v>1.0083191836086101</v>
      </c>
      <c r="Q93" s="23">
        <v>1.00712213563745</v>
      </c>
      <c r="R93" s="21">
        <v>398.90847983068602</v>
      </c>
      <c r="S93" s="21">
        <v>400.38153451054001</v>
      </c>
      <c r="T93" s="21">
        <v>399.99764675849798</v>
      </c>
      <c r="U93" s="22">
        <v>-5.4039589414135404E-3</v>
      </c>
      <c r="V93" s="22">
        <v>-1.7180468915668E-3</v>
      </c>
      <c r="W93" s="22">
        <v>-2.6773116762191999E-3</v>
      </c>
      <c r="X93" s="23">
        <v>1.00981947276984</v>
      </c>
      <c r="Y93" s="23">
        <v>1.0043771680406</v>
      </c>
      <c r="Z93" s="23">
        <v>1.0083191836086101</v>
      </c>
      <c r="AA93" s="23">
        <v>1.00712213563745</v>
      </c>
      <c r="AB93" s="21">
        <v>398.90847983068602</v>
      </c>
      <c r="AC93" s="21">
        <v>400.38153451054001</v>
      </c>
      <c r="AD93" s="21">
        <v>399.99764675849798</v>
      </c>
      <c r="AE93" s="22">
        <v>-5.4039589414135404E-3</v>
      </c>
      <c r="AF93" s="22">
        <v>-1.7180468915668E-3</v>
      </c>
      <c r="AG93" s="22">
        <v>-2.6773116762191999E-3</v>
      </c>
      <c r="AI93" s="5"/>
      <c r="AJ93">
        <f>IF($AG93&lt;AI$21,1,0)</f>
        <v>0</v>
      </c>
      <c r="AK93">
        <f>IF($AG93&gt;AI$22,1,0)</f>
        <v>0</v>
      </c>
      <c r="AL93">
        <f t="shared" si="12"/>
        <v>0</v>
      </c>
      <c r="AM93">
        <f>IF(F94+H94&gt;0,0,1)</f>
        <v>1</v>
      </c>
      <c r="AN93">
        <f t="shared" si="13"/>
        <v>0</v>
      </c>
      <c r="AO93" s="17">
        <f>AN93*D93</f>
        <v>0</v>
      </c>
      <c r="AP93" s="17">
        <f>-AN93*$E93</f>
        <v>0</v>
      </c>
      <c r="AQ93" s="17">
        <f t="shared" si="14"/>
        <v>0</v>
      </c>
      <c r="AR93" s="11">
        <f t="shared" si="15"/>
        <v>2.0812393953284412E-2</v>
      </c>
      <c r="AT93" s="5"/>
      <c r="AU93">
        <f>IF($AG93&gt;AT$21,1,0)</f>
        <v>0</v>
      </c>
      <c r="AV93">
        <f>IF($AG93&lt;AT$22,1,0)</f>
        <v>1</v>
      </c>
      <c r="AW93">
        <f t="shared" si="16"/>
        <v>0</v>
      </c>
      <c r="AX93">
        <f>IF(F94+H94&gt;0,0,1)</f>
        <v>1</v>
      </c>
      <c r="AY93">
        <f t="shared" si="17"/>
        <v>0</v>
      </c>
      <c r="AZ93" s="17">
        <f>-AY93*D93</f>
        <v>0</v>
      </c>
      <c r="BA93" s="17">
        <f>AY93*$E93</f>
        <v>0</v>
      </c>
      <c r="BB93" s="17">
        <f t="shared" si="18"/>
        <v>0</v>
      </c>
      <c r="BC93" s="11">
        <f t="shared" si="19"/>
        <v>0</v>
      </c>
      <c r="BE93" s="11">
        <f t="shared" si="20"/>
        <v>0</v>
      </c>
      <c r="BF93" s="11">
        <f t="shared" si="21"/>
        <v>2.0812393953284412E-2</v>
      </c>
      <c r="BH93" s="11"/>
    </row>
    <row r="94" spans="1:60" x14ac:dyDescent="0.25">
      <c r="A94" s="1">
        <v>46157</v>
      </c>
      <c r="B94" s="21">
        <v>393.32</v>
      </c>
      <c r="C94" s="21">
        <v>396.78</v>
      </c>
      <c r="D94" s="22">
        <v>-9.74087070571974E-3</v>
      </c>
      <c r="E94" s="22">
        <v>-1.07540047485148E-2</v>
      </c>
      <c r="F94" s="21">
        <v>0</v>
      </c>
      <c r="G94" s="21">
        <v>0.21</v>
      </c>
      <c r="H94" s="21">
        <v>0</v>
      </c>
      <c r="I94" s="21">
        <v>0.21</v>
      </c>
      <c r="J94" s="21">
        <v>0</v>
      </c>
      <c r="K94" s="21">
        <v>0</v>
      </c>
      <c r="L94" s="21">
        <v>393.32</v>
      </c>
      <c r="M94" s="21">
        <v>396.78</v>
      </c>
      <c r="N94" s="23">
        <v>1.0087969083697701</v>
      </c>
      <c r="O94" s="23">
        <v>1.0043771680406</v>
      </c>
      <c r="P94" s="23">
        <v>1.00855433606033</v>
      </c>
      <c r="Q94" s="23">
        <v>1.0072260941967801</v>
      </c>
      <c r="R94" s="21">
        <v>395.041627733729</v>
      </c>
      <c r="S94" s="21">
        <v>396.59210129694202</v>
      </c>
      <c r="T94" s="21">
        <v>396.121278388924</v>
      </c>
      <c r="U94" s="22">
        <v>-4.3908248986184398E-3</v>
      </c>
      <c r="V94" s="22">
        <v>-4.7367107127558499E-4</v>
      </c>
      <c r="W94" s="22">
        <v>-1.6615479898334201E-3</v>
      </c>
      <c r="X94" s="23">
        <v>1.0087969083697701</v>
      </c>
      <c r="Y94" s="23">
        <v>1.0043771680406</v>
      </c>
      <c r="Z94" s="23">
        <v>1.00855433606033</v>
      </c>
      <c r="AA94" s="23">
        <v>1.0072260941967801</v>
      </c>
      <c r="AB94" s="21">
        <v>395.041627733729</v>
      </c>
      <c r="AC94" s="21">
        <v>396.59210129694202</v>
      </c>
      <c r="AD94" s="21">
        <v>396.121278388924</v>
      </c>
      <c r="AE94" s="22">
        <v>-4.3908248986184398E-3</v>
      </c>
      <c r="AF94" s="22">
        <v>-4.7367107127558499E-4</v>
      </c>
      <c r="AG94" s="22">
        <v>-1.6615479898334201E-3</v>
      </c>
      <c r="AI94" s="5"/>
      <c r="AJ94">
        <f>IF($AG94&lt;AI$21,1,0)</f>
        <v>0</v>
      </c>
      <c r="AK94">
        <f>IF($AG94&gt;AI$22,1,0)</f>
        <v>1</v>
      </c>
      <c r="AL94">
        <f t="shared" si="12"/>
        <v>0</v>
      </c>
      <c r="AM94">
        <f>IF(F95+H95&gt;0,0,1)</f>
        <v>1</v>
      </c>
      <c r="AN94">
        <f t="shared" si="13"/>
        <v>0</v>
      </c>
      <c r="AO94" s="17">
        <f>AN94*D94</f>
        <v>0</v>
      </c>
      <c r="AP94" s="17">
        <f>-AN94*$E94</f>
        <v>0</v>
      </c>
      <c r="AQ94" s="17">
        <f t="shared" si="14"/>
        <v>0</v>
      </c>
      <c r="AR94" s="11">
        <f t="shared" si="15"/>
        <v>2.0812393953284412E-2</v>
      </c>
      <c r="AT94" s="5"/>
      <c r="AU94">
        <f>IF($AG94&gt;AT$21,1,0)</f>
        <v>0</v>
      </c>
      <c r="AV94">
        <f>IF($AG94&lt;AT$22,1,0)</f>
        <v>1</v>
      </c>
      <c r="AW94">
        <f t="shared" si="16"/>
        <v>0</v>
      </c>
      <c r="AX94">
        <f>IF(F95+H95&gt;0,0,1)</f>
        <v>1</v>
      </c>
      <c r="AY94">
        <f t="shared" si="17"/>
        <v>0</v>
      </c>
      <c r="AZ94" s="17">
        <f>-AY94*D94</f>
        <v>0</v>
      </c>
      <c r="BA94" s="17">
        <f>AY94*$E94</f>
        <v>0</v>
      </c>
      <c r="BB94" s="17">
        <f t="shared" si="18"/>
        <v>0</v>
      </c>
      <c r="BC94" s="11">
        <f t="shared" si="19"/>
        <v>0</v>
      </c>
      <c r="BE94" s="11">
        <f t="shared" si="20"/>
        <v>0</v>
      </c>
      <c r="BF94" s="11">
        <f t="shared" si="21"/>
        <v>2.0812393953284412E-2</v>
      </c>
      <c r="BH94" s="11"/>
    </row>
    <row r="95" spans="1:60" x14ac:dyDescent="0.25">
      <c r="A95" s="1">
        <v>46160</v>
      </c>
      <c r="B95" s="21">
        <v>393.11</v>
      </c>
      <c r="C95" s="21">
        <v>396.94</v>
      </c>
      <c r="D95" s="22">
        <v>-5.3405898806330296E-4</v>
      </c>
      <c r="E95" s="22">
        <v>4.03164849486553E-4</v>
      </c>
      <c r="F95" s="21">
        <v>0</v>
      </c>
      <c r="G95" s="21">
        <v>0.21</v>
      </c>
      <c r="H95" s="21">
        <v>0</v>
      </c>
      <c r="I95" s="21">
        <v>0.21</v>
      </c>
      <c r="J95" s="21">
        <v>0</v>
      </c>
      <c r="K95" s="21">
        <v>0</v>
      </c>
      <c r="L95" s="21">
        <v>393.11</v>
      </c>
      <c r="M95" s="21">
        <v>396.94</v>
      </c>
      <c r="N95" s="23">
        <v>1.0097428200758001</v>
      </c>
      <c r="O95" s="23">
        <v>1.0043771680406</v>
      </c>
      <c r="P95" s="23">
        <v>1.0085777172144701</v>
      </c>
      <c r="Q95" s="23">
        <v>1.00741210222502</v>
      </c>
      <c r="R95" s="21">
        <v>394.83070852844099</v>
      </c>
      <c r="S95" s="21">
        <v>396.47279504867799</v>
      </c>
      <c r="T95" s="21">
        <v>395.95064988969699</v>
      </c>
      <c r="U95" s="22">
        <v>-5.3280487361682498E-3</v>
      </c>
      <c r="V95" s="22">
        <v>-1.1777097829480899E-3</v>
      </c>
      <c r="W95" s="22">
        <v>-2.4955537661981398E-3</v>
      </c>
      <c r="X95" s="23">
        <v>1.0097428200758001</v>
      </c>
      <c r="Y95" s="23">
        <v>1.0043771680406</v>
      </c>
      <c r="Z95" s="23">
        <v>1.0085777172144701</v>
      </c>
      <c r="AA95" s="23">
        <v>1.00741210222502</v>
      </c>
      <c r="AB95" s="21">
        <v>394.83070852844099</v>
      </c>
      <c r="AC95" s="21">
        <v>396.47279504867799</v>
      </c>
      <c r="AD95" s="21">
        <v>395.95064988969699</v>
      </c>
      <c r="AE95" s="22">
        <v>-5.3280487361682498E-3</v>
      </c>
      <c r="AF95" s="22">
        <v>-1.1777097829480899E-3</v>
      </c>
      <c r="AG95" s="22">
        <v>-2.4955537661981398E-3</v>
      </c>
      <c r="AI95" s="5"/>
      <c r="AJ95">
        <f>IF($AG95&lt;AI$21,1,0)</f>
        <v>0</v>
      </c>
      <c r="AK95">
        <f>IF($AG95&gt;AI$22,1,0)</f>
        <v>0</v>
      </c>
      <c r="AL95">
        <f t="shared" si="12"/>
        <v>0</v>
      </c>
      <c r="AM95">
        <f>IF(F96+H96&gt;0,0,1)</f>
        <v>1</v>
      </c>
      <c r="AN95">
        <f t="shared" si="13"/>
        <v>0</v>
      </c>
      <c r="AO95" s="17">
        <f>AN95*D95</f>
        <v>0</v>
      </c>
      <c r="AP95" s="17">
        <f>-AN95*$E95</f>
        <v>0</v>
      </c>
      <c r="AQ95" s="17">
        <f t="shared" si="14"/>
        <v>0</v>
      </c>
      <c r="AR95" s="11">
        <f t="shared" si="15"/>
        <v>2.0812393953284412E-2</v>
      </c>
      <c r="AT95" s="5"/>
      <c r="AU95">
        <f>IF($AG95&gt;AT$21,1,0)</f>
        <v>0</v>
      </c>
      <c r="AV95">
        <f>IF($AG95&lt;AT$22,1,0)</f>
        <v>1</v>
      </c>
      <c r="AW95">
        <f t="shared" si="16"/>
        <v>0</v>
      </c>
      <c r="AX95">
        <f>IF(F96+H96&gt;0,0,1)</f>
        <v>1</v>
      </c>
      <c r="AY95">
        <f t="shared" si="17"/>
        <v>0</v>
      </c>
      <c r="AZ95" s="17">
        <f>-AY95*D95</f>
        <v>0</v>
      </c>
      <c r="BA95" s="17">
        <f>AY95*$E95</f>
        <v>0</v>
      </c>
      <c r="BB95" s="17">
        <f t="shared" si="18"/>
        <v>0</v>
      </c>
      <c r="BC95" s="11">
        <f t="shared" si="19"/>
        <v>0</v>
      </c>
      <c r="BE95" s="11">
        <f t="shared" si="20"/>
        <v>0</v>
      </c>
      <c r="BF95" s="11">
        <f t="shared" si="21"/>
        <v>2.0812393953284412E-2</v>
      </c>
      <c r="BH95" s="11"/>
    </row>
    <row r="96" spans="1:60" x14ac:dyDescent="0.25">
      <c r="A96" s="1">
        <v>46161</v>
      </c>
      <c r="B96" s="21">
        <v>384.9</v>
      </c>
      <c r="C96" s="21">
        <v>387.66</v>
      </c>
      <c r="D96" s="22">
        <v>-2.1105910634191798E-2</v>
      </c>
      <c r="E96" s="22">
        <v>-2.36564689659833E-2</v>
      </c>
      <c r="F96" s="21">
        <v>0</v>
      </c>
      <c r="G96" s="21">
        <v>0.21</v>
      </c>
      <c r="H96" s="21">
        <v>0</v>
      </c>
      <c r="I96" s="21">
        <v>0.21</v>
      </c>
      <c r="J96" s="21">
        <v>0</v>
      </c>
      <c r="K96" s="21">
        <v>0</v>
      </c>
      <c r="L96" s="21">
        <v>384.9</v>
      </c>
      <c r="M96" s="21">
        <v>387.66</v>
      </c>
      <c r="N96" s="23">
        <v>1.00717069368667</v>
      </c>
      <c r="O96" s="23">
        <v>1.0043771680406</v>
      </c>
      <c r="P96" s="23">
        <v>1.0082122144333501</v>
      </c>
      <c r="Q96" s="23">
        <v>1.00749527152066</v>
      </c>
      <c r="R96" s="21">
        <v>386.58477197882701</v>
      </c>
      <c r="S96" s="21">
        <v>388.20156335585102</v>
      </c>
      <c r="T96" s="21">
        <v>387.75291814641002</v>
      </c>
      <c r="U96" s="22">
        <v>-2.7774904043767401E-3</v>
      </c>
      <c r="V96" s="22">
        <v>1.3960311204588201E-3</v>
      </c>
      <c r="W96" s="22">
        <v>2.39661075231457E-4</v>
      </c>
      <c r="X96" s="23">
        <v>1.00717069368667</v>
      </c>
      <c r="Y96" s="23">
        <v>1.0043771680406</v>
      </c>
      <c r="Z96" s="23">
        <v>1.0082122144333501</v>
      </c>
      <c r="AA96" s="23">
        <v>1.00749527152066</v>
      </c>
      <c r="AB96" s="21">
        <v>386.58477197882701</v>
      </c>
      <c r="AC96" s="21">
        <v>388.20156335585102</v>
      </c>
      <c r="AD96" s="21">
        <v>387.75291814641002</v>
      </c>
      <c r="AE96" s="22">
        <v>-2.7774904043767401E-3</v>
      </c>
      <c r="AF96" s="22">
        <v>1.3960311204588201E-3</v>
      </c>
      <c r="AG96" s="22">
        <v>2.39661075231457E-4</v>
      </c>
      <c r="AI96" s="5"/>
      <c r="AJ96">
        <f>IF($AG96&lt;AI$21,1,0)</f>
        <v>0</v>
      </c>
      <c r="AK96">
        <f>IF($AG96&gt;AI$22,1,0)</f>
        <v>1</v>
      </c>
      <c r="AL96">
        <f t="shared" si="12"/>
        <v>0</v>
      </c>
      <c r="AM96">
        <f>IF(F97+H97&gt;0,0,1)</f>
        <v>1</v>
      </c>
      <c r="AN96">
        <f t="shared" si="13"/>
        <v>0</v>
      </c>
      <c r="AO96" s="17">
        <f>AN96*D96</f>
        <v>0</v>
      </c>
      <c r="AP96" s="17">
        <f>-AN96*$E96</f>
        <v>0</v>
      </c>
      <c r="AQ96" s="17">
        <f t="shared" si="14"/>
        <v>0</v>
      </c>
      <c r="AR96" s="11">
        <f t="shared" si="15"/>
        <v>2.0812393953284412E-2</v>
      </c>
      <c r="AT96" s="5"/>
      <c r="AU96">
        <f>IF($AG96&gt;AT$21,1,0)</f>
        <v>0</v>
      </c>
      <c r="AV96">
        <f>IF($AG96&lt;AT$22,1,0)</f>
        <v>1</v>
      </c>
      <c r="AW96">
        <f t="shared" si="16"/>
        <v>0</v>
      </c>
      <c r="AX96">
        <f>IF(F97+H97&gt;0,0,1)</f>
        <v>1</v>
      </c>
      <c r="AY96">
        <f t="shared" si="17"/>
        <v>0</v>
      </c>
      <c r="AZ96" s="17">
        <f>-AY96*D96</f>
        <v>0</v>
      </c>
      <c r="BA96" s="17">
        <f>AY96*$E96</f>
        <v>0</v>
      </c>
      <c r="BB96" s="17">
        <f t="shared" si="18"/>
        <v>0</v>
      </c>
      <c r="BC96" s="11">
        <f t="shared" si="19"/>
        <v>0</v>
      </c>
      <c r="BE96" s="11">
        <f t="shared" si="20"/>
        <v>0</v>
      </c>
      <c r="BF96" s="11">
        <f t="shared" si="21"/>
        <v>2.0812393953284412E-2</v>
      </c>
      <c r="BH96" s="11"/>
    </row>
    <row r="97" spans="1:60" x14ac:dyDescent="0.25">
      <c r="A97" s="1">
        <v>46162</v>
      </c>
      <c r="B97" s="21">
        <v>384.9</v>
      </c>
      <c r="C97" s="21">
        <v>388.91</v>
      </c>
      <c r="D97" s="22">
        <v>0</v>
      </c>
      <c r="E97" s="22">
        <v>3.21928758402611E-3</v>
      </c>
      <c r="F97" s="21">
        <v>0</v>
      </c>
      <c r="G97" s="21">
        <v>0.21</v>
      </c>
      <c r="H97" s="21">
        <v>0</v>
      </c>
      <c r="I97" s="21">
        <v>0.21</v>
      </c>
      <c r="J97" s="21">
        <v>0</v>
      </c>
      <c r="K97" s="21">
        <v>0</v>
      </c>
      <c r="L97" s="21">
        <v>384.9</v>
      </c>
      <c r="M97" s="21">
        <v>388.91</v>
      </c>
      <c r="N97" s="23">
        <v>1.0104182904650501</v>
      </c>
      <c r="O97" s="23">
        <v>1.0043771680406</v>
      </c>
      <c r="P97" s="23">
        <v>1.0085201263871799</v>
      </c>
      <c r="Q97" s="23">
        <v>1.0077807909057901</v>
      </c>
      <c r="R97" s="21">
        <v>386.58477197882701</v>
      </c>
      <c r="S97" s="21">
        <v>388.06088133539703</v>
      </c>
      <c r="T97" s="21">
        <v>387.784930008304</v>
      </c>
      <c r="U97" s="22">
        <v>-5.9967779884029402E-3</v>
      </c>
      <c r="V97" s="22">
        <v>-2.1857164098309E-3</v>
      </c>
      <c r="W97" s="22">
        <v>-2.8970725445027802E-3</v>
      </c>
      <c r="X97" s="23">
        <v>1.0104182904650501</v>
      </c>
      <c r="Y97" s="23">
        <v>1.0043771680406</v>
      </c>
      <c r="Z97" s="23">
        <v>1.0085201263871799</v>
      </c>
      <c r="AA97" s="23">
        <v>1.0077807909057901</v>
      </c>
      <c r="AB97" s="21">
        <v>386.58477197882701</v>
      </c>
      <c r="AC97" s="21">
        <v>388.06088133539703</v>
      </c>
      <c r="AD97" s="21">
        <v>387.784930008304</v>
      </c>
      <c r="AE97" s="22">
        <v>-5.9967779884029402E-3</v>
      </c>
      <c r="AF97" s="22">
        <v>-2.1857164098309E-3</v>
      </c>
      <c r="AG97" s="22">
        <v>-2.8970725445027802E-3</v>
      </c>
      <c r="AI97" s="5"/>
      <c r="AJ97">
        <f>IF($AG97&lt;AI$21,1,0)</f>
        <v>0</v>
      </c>
      <c r="AK97">
        <f>IF($AG97&gt;AI$22,1,0)</f>
        <v>0</v>
      </c>
      <c r="AL97">
        <f t="shared" si="12"/>
        <v>0</v>
      </c>
      <c r="AM97">
        <f>IF(F98+H98&gt;0,0,1)</f>
        <v>1</v>
      </c>
      <c r="AN97">
        <f t="shared" si="13"/>
        <v>0</v>
      </c>
      <c r="AO97" s="17">
        <f>AN97*D97</f>
        <v>0</v>
      </c>
      <c r="AP97" s="17">
        <f>-AN97*$E97</f>
        <v>0</v>
      </c>
      <c r="AQ97" s="17">
        <f t="shared" si="14"/>
        <v>0</v>
      </c>
      <c r="AR97" s="11">
        <f t="shared" si="15"/>
        <v>2.0812393953284412E-2</v>
      </c>
      <c r="AT97" s="5"/>
      <c r="AU97">
        <f>IF($AG97&gt;AT$21,1,0)</f>
        <v>0</v>
      </c>
      <c r="AV97">
        <f>IF($AG97&lt;AT$22,1,0)</f>
        <v>1</v>
      </c>
      <c r="AW97">
        <f t="shared" si="16"/>
        <v>0</v>
      </c>
      <c r="AX97">
        <f>IF(F98+H98&gt;0,0,1)</f>
        <v>1</v>
      </c>
      <c r="AY97">
        <f t="shared" si="17"/>
        <v>0</v>
      </c>
      <c r="AZ97" s="17">
        <f>-AY97*D97</f>
        <v>0</v>
      </c>
      <c r="BA97" s="17">
        <f>AY97*$E97</f>
        <v>0</v>
      </c>
      <c r="BB97" s="17">
        <f t="shared" si="18"/>
        <v>0</v>
      </c>
      <c r="BC97" s="11">
        <f t="shared" si="19"/>
        <v>0</v>
      </c>
      <c r="BE97" s="11">
        <f t="shared" si="20"/>
        <v>0</v>
      </c>
      <c r="BF97" s="11">
        <f t="shared" si="21"/>
        <v>2.0812393953284412E-2</v>
      </c>
      <c r="BH97" s="11"/>
    </row>
    <row r="98" spans="1:60" x14ac:dyDescent="0.25">
      <c r="A98" s="1">
        <v>46163</v>
      </c>
      <c r="B98" s="21">
        <v>383.47</v>
      </c>
      <c r="C98" s="21">
        <v>387.66</v>
      </c>
      <c r="D98" s="22">
        <v>-3.7221694001575698E-3</v>
      </c>
      <c r="E98" s="22">
        <v>-3.2192875840261698E-3</v>
      </c>
      <c r="F98" s="21">
        <v>0</v>
      </c>
      <c r="G98" s="21">
        <v>0.21</v>
      </c>
      <c r="H98" s="21">
        <v>0</v>
      </c>
      <c r="I98" s="21">
        <v>0.21</v>
      </c>
      <c r="J98" s="21">
        <v>0</v>
      </c>
      <c r="K98" s="21">
        <v>0</v>
      </c>
      <c r="L98" s="21">
        <v>383.47</v>
      </c>
      <c r="M98" s="21">
        <v>387.66</v>
      </c>
      <c r="N98" s="23">
        <v>1.01092653923383</v>
      </c>
      <c r="O98" s="23">
        <v>1.0043771680406</v>
      </c>
      <c r="P98" s="23">
        <v>1.00893228448461</v>
      </c>
      <c r="Q98" s="23">
        <v>1.0081583539888701</v>
      </c>
      <c r="R98" s="21">
        <v>385.14851262852898</v>
      </c>
      <c r="S98" s="21">
        <v>386.73721286569202</v>
      </c>
      <c r="T98" s="21">
        <v>386.45369988864297</v>
      </c>
      <c r="U98" s="22">
        <v>-6.4996598045342999E-3</v>
      </c>
      <c r="V98" s="22">
        <v>-2.3832409408233398E-3</v>
      </c>
      <c r="W98" s="22">
        <v>-3.1165992487876899E-3</v>
      </c>
      <c r="X98" s="23">
        <v>1.01092653923383</v>
      </c>
      <c r="Y98" s="23">
        <v>1.0043771680406</v>
      </c>
      <c r="Z98" s="23">
        <v>1.00893228448461</v>
      </c>
      <c r="AA98" s="23">
        <v>1.0081583539888701</v>
      </c>
      <c r="AB98" s="21">
        <v>385.14851262852898</v>
      </c>
      <c r="AC98" s="21">
        <v>386.73721286569202</v>
      </c>
      <c r="AD98" s="21">
        <v>386.45369988864297</v>
      </c>
      <c r="AE98" s="22">
        <v>-6.4996598045342999E-3</v>
      </c>
      <c r="AF98" s="22">
        <v>-2.3832409408233398E-3</v>
      </c>
      <c r="AG98" s="22">
        <v>-3.1165992487876899E-3</v>
      </c>
      <c r="AI98" s="5"/>
      <c r="AJ98">
        <f>IF($AG98&lt;AI$21,1,0)</f>
        <v>0</v>
      </c>
      <c r="AK98">
        <f>IF($AG98&gt;AI$22,1,0)</f>
        <v>0</v>
      </c>
      <c r="AL98">
        <f t="shared" si="12"/>
        <v>0</v>
      </c>
      <c r="AM98">
        <f>IF(F99+H99&gt;0,0,1)</f>
        <v>1</v>
      </c>
      <c r="AN98">
        <f t="shared" si="13"/>
        <v>0</v>
      </c>
      <c r="AO98" s="17">
        <f>AN98*D98</f>
        <v>0</v>
      </c>
      <c r="AP98" s="17">
        <f>-AN98*$E98</f>
        <v>0</v>
      </c>
      <c r="AQ98" s="17">
        <f t="shared" si="14"/>
        <v>0</v>
      </c>
      <c r="AR98" s="11">
        <f t="shared" si="15"/>
        <v>2.0812393953284412E-2</v>
      </c>
      <c r="AT98" s="5"/>
      <c r="AU98">
        <f>IF($AG98&gt;AT$21,1,0)</f>
        <v>0</v>
      </c>
      <c r="AV98">
        <f>IF($AG98&lt;AT$22,1,0)</f>
        <v>1</v>
      </c>
      <c r="AW98">
        <f t="shared" si="16"/>
        <v>0</v>
      </c>
      <c r="AX98">
        <f>IF(F99+H99&gt;0,0,1)</f>
        <v>1</v>
      </c>
      <c r="AY98">
        <f t="shared" si="17"/>
        <v>0</v>
      </c>
      <c r="AZ98" s="17">
        <f>-AY98*D98</f>
        <v>0</v>
      </c>
      <c r="BA98" s="17">
        <f>AY98*$E98</f>
        <v>0</v>
      </c>
      <c r="BB98" s="17">
        <f t="shared" si="18"/>
        <v>0</v>
      </c>
      <c r="BC98" s="11">
        <f t="shared" si="19"/>
        <v>0</v>
      </c>
      <c r="BE98" s="11">
        <f t="shared" si="20"/>
        <v>0</v>
      </c>
      <c r="BF98" s="11">
        <f t="shared" si="21"/>
        <v>2.0812393953284412E-2</v>
      </c>
      <c r="BH98" s="11"/>
    </row>
    <row r="99" spans="1:60" x14ac:dyDescent="0.25">
      <c r="A99" s="1">
        <v>46164</v>
      </c>
      <c r="B99" s="21">
        <v>379.38</v>
      </c>
      <c r="C99" s="21">
        <v>382.97</v>
      </c>
      <c r="D99" s="22">
        <v>-1.07230495909659E-2</v>
      </c>
      <c r="E99" s="22">
        <v>-1.21720096670812E-2</v>
      </c>
      <c r="F99" s="21">
        <v>0</v>
      </c>
      <c r="G99" s="21">
        <v>0.21</v>
      </c>
      <c r="H99" s="21">
        <v>0</v>
      </c>
      <c r="I99" s="21">
        <v>0.21</v>
      </c>
      <c r="J99" s="21">
        <v>0</v>
      </c>
      <c r="K99" s="21">
        <v>0</v>
      </c>
      <c r="L99" s="21">
        <v>379.38</v>
      </c>
      <c r="M99" s="21">
        <v>382.97</v>
      </c>
      <c r="N99" s="23">
        <v>1.00946280773894</v>
      </c>
      <c r="O99" s="23">
        <v>1.0043771680406</v>
      </c>
      <c r="P99" s="23">
        <v>1.00893409982594</v>
      </c>
      <c r="Q99" s="23">
        <v>1.0083276850745799</v>
      </c>
      <c r="R99" s="21">
        <v>381.04061001124302</v>
      </c>
      <c r="S99" s="21">
        <v>382.76873008777102</v>
      </c>
      <c r="T99" s="21">
        <v>382.47511633629898</v>
      </c>
      <c r="U99" s="22">
        <v>-5.0506997284189697E-3</v>
      </c>
      <c r="V99" s="22">
        <v>-5.2568822486032704E-4</v>
      </c>
      <c r="W99" s="22">
        <v>-1.2930613105834501E-3</v>
      </c>
      <c r="X99" s="23">
        <v>1.00946280773894</v>
      </c>
      <c r="Y99" s="23">
        <v>1.0043771680406</v>
      </c>
      <c r="Z99" s="23">
        <v>1.00893409982594</v>
      </c>
      <c r="AA99" s="23">
        <v>1.0083276850745799</v>
      </c>
      <c r="AB99" s="21">
        <v>381.04061001124302</v>
      </c>
      <c r="AC99" s="21">
        <v>382.76873008777102</v>
      </c>
      <c r="AD99" s="21">
        <v>382.47511633629898</v>
      </c>
      <c r="AE99" s="22">
        <v>-5.0506997284189697E-3</v>
      </c>
      <c r="AF99" s="22">
        <v>-5.2568822486032704E-4</v>
      </c>
      <c r="AG99" s="22">
        <v>-1.2930613105834501E-3</v>
      </c>
      <c r="AI99" s="5"/>
      <c r="AJ99">
        <f>IF($AG99&lt;AI$21,1,0)</f>
        <v>0</v>
      </c>
      <c r="AK99">
        <f>IF($AG99&gt;AI$22,1,0)</f>
        <v>1</v>
      </c>
      <c r="AL99">
        <f t="shared" si="12"/>
        <v>0</v>
      </c>
      <c r="AM99">
        <f>IF(F100+H100&gt;0,0,1)</f>
        <v>1</v>
      </c>
      <c r="AN99">
        <f t="shared" si="13"/>
        <v>0</v>
      </c>
      <c r="AO99" s="17">
        <f>AN99*D99</f>
        <v>0</v>
      </c>
      <c r="AP99" s="17">
        <f>-AN99*$E99</f>
        <v>0</v>
      </c>
      <c r="AQ99" s="17">
        <f t="shared" si="14"/>
        <v>0</v>
      </c>
      <c r="AR99" s="11">
        <f t="shared" si="15"/>
        <v>2.0812393953284412E-2</v>
      </c>
      <c r="AT99" s="5"/>
      <c r="AU99">
        <f>IF($AG99&gt;AT$21,1,0)</f>
        <v>0</v>
      </c>
      <c r="AV99">
        <f>IF($AG99&lt;AT$22,1,0)</f>
        <v>1</v>
      </c>
      <c r="AW99">
        <f t="shared" si="16"/>
        <v>0</v>
      </c>
      <c r="AX99">
        <f>IF(F100+H100&gt;0,0,1)</f>
        <v>1</v>
      </c>
      <c r="AY99">
        <f t="shared" si="17"/>
        <v>0</v>
      </c>
      <c r="AZ99" s="17">
        <f>-AY99*D99</f>
        <v>0</v>
      </c>
      <c r="BA99" s="17">
        <f>AY99*$E99</f>
        <v>0</v>
      </c>
      <c r="BB99" s="17">
        <f t="shared" si="18"/>
        <v>0</v>
      </c>
      <c r="BC99" s="11">
        <f t="shared" si="19"/>
        <v>0</v>
      </c>
      <c r="BE99" s="11">
        <f t="shared" si="20"/>
        <v>0</v>
      </c>
      <c r="BF99" s="11">
        <f t="shared" si="21"/>
        <v>2.0812393953284412E-2</v>
      </c>
      <c r="BH99" s="11"/>
    </row>
    <row r="100" spans="1:60" x14ac:dyDescent="0.25">
      <c r="A100" s="1">
        <v>46168</v>
      </c>
      <c r="B100" s="21">
        <v>384.84</v>
      </c>
      <c r="C100" s="21">
        <v>388.88</v>
      </c>
      <c r="D100" s="22">
        <v>1.4289322194487E-2</v>
      </c>
      <c r="E100" s="22">
        <v>1.53141556061521E-2</v>
      </c>
      <c r="F100" s="21">
        <v>0</v>
      </c>
      <c r="G100" s="21">
        <v>0.21</v>
      </c>
      <c r="H100" s="21">
        <v>0</v>
      </c>
      <c r="I100" s="21">
        <v>0.21</v>
      </c>
      <c r="J100" s="21">
        <v>0</v>
      </c>
      <c r="K100" s="21">
        <v>0</v>
      </c>
      <c r="L100" s="21">
        <v>384.84</v>
      </c>
      <c r="M100" s="21">
        <v>388.88</v>
      </c>
      <c r="N100" s="23">
        <v>1.01049786924436</v>
      </c>
      <c r="O100" s="23">
        <v>1.0043771680406</v>
      </c>
      <c r="P100" s="23">
        <v>1.00950039526965</v>
      </c>
      <c r="Q100" s="23">
        <v>1.0085914744394699</v>
      </c>
      <c r="R100" s="21">
        <v>386.52450934874503</v>
      </c>
      <c r="S100" s="21">
        <v>388.27819897701397</v>
      </c>
      <c r="T100" s="21">
        <v>388.04482632410202</v>
      </c>
      <c r="U100" s="22">
        <v>-6.0755331400841302E-3</v>
      </c>
      <c r="V100" s="22">
        <v>-1.5487223684040501E-3</v>
      </c>
      <c r="W100" s="22">
        <v>-2.1499480240557999E-3</v>
      </c>
      <c r="X100" s="23">
        <v>1.01049786924436</v>
      </c>
      <c r="Y100" s="23">
        <v>1.0043771680406</v>
      </c>
      <c r="Z100" s="23">
        <v>1.00950039526965</v>
      </c>
      <c r="AA100" s="23">
        <v>1.0085914744394699</v>
      </c>
      <c r="AB100" s="21">
        <v>386.52450934874503</v>
      </c>
      <c r="AC100" s="21">
        <v>388.27819897701397</v>
      </c>
      <c r="AD100" s="21">
        <v>388.04482632410202</v>
      </c>
      <c r="AE100" s="22">
        <v>-6.0755331400841302E-3</v>
      </c>
      <c r="AF100" s="22">
        <v>-1.5487223684040501E-3</v>
      </c>
      <c r="AG100" s="22">
        <v>-2.1499480240557999E-3</v>
      </c>
      <c r="AI100" s="5"/>
      <c r="AJ100">
        <f>IF($AG100&lt;AI$21,1,0)</f>
        <v>0</v>
      </c>
      <c r="AK100">
        <f>IF($AG100&gt;AI$22,1,0)</f>
        <v>0</v>
      </c>
      <c r="AL100">
        <f t="shared" si="12"/>
        <v>0</v>
      </c>
      <c r="AM100">
        <f>IF(F101+H101&gt;0,0,1)</f>
        <v>1</v>
      </c>
      <c r="AN100">
        <f t="shared" si="13"/>
        <v>0</v>
      </c>
      <c r="AO100" s="17">
        <f>AN100*D100</f>
        <v>0</v>
      </c>
      <c r="AP100" s="17">
        <f>-AN100*$E100</f>
        <v>0</v>
      </c>
      <c r="AQ100" s="17">
        <f t="shared" si="14"/>
        <v>0</v>
      </c>
      <c r="AR100" s="11">
        <f t="shared" si="15"/>
        <v>2.0812393953284412E-2</v>
      </c>
      <c r="AT100" s="5"/>
      <c r="AU100">
        <f>IF($AG100&gt;AT$21,1,0)</f>
        <v>0</v>
      </c>
      <c r="AV100">
        <f>IF($AG100&lt;AT$22,1,0)</f>
        <v>1</v>
      </c>
      <c r="AW100">
        <f t="shared" si="16"/>
        <v>0</v>
      </c>
      <c r="AX100">
        <f>IF(F101+H101&gt;0,0,1)</f>
        <v>1</v>
      </c>
      <c r="AY100">
        <f t="shared" si="17"/>
        <v>0</v>
      </c>
      <c r="AZ100" s="17">
        <f>-AY100*D100</f>
        <v>0</v>
      </c>
      <c r="BA100" s="17">
        <f>AY100*$E100</f>
        <v>0</v>
      </c>
      <c r="BB100" s="17">
        <f t="shared" si="18"/>
        <v>0</v>
      </c>
      <c r="BC100" s="11">
        <f t="shared" si="19"/>
        <v>0</v>
      </c>
      <c r="BE100" s="11">
        <f t="shared" si="20"/>
        <v>0</v>
      </c>
      <c r="BF100" s="11">
        <f t="shared" si="21"/>
        <v>2.0812393953284412E-2</v>
      </c>
      <c r="BH100" s="11"/>
    </row>
    <row r="101" spans="1:60" x14ac:dyDescent="0.25">
      <c r="A101" s="1">
        <v>46169</v>
      </c>
      <c r="B101" s="21">
        <v>384.83</v>
      </c>
      <c r="C101" s="21">
        <v>388.83</v>
      </c>
      <c r="D101" s="22">
        <v>-2.5985162473678499E-5</v>
      </c>
      <c r="E101" s="22">
        <v>-1.2858263380664101E-4</v>
      </c>
      <c r="F101" s="21">
        <v>0</v>
      </c>
      <c r="G101" s="21">
        <v>0.21</v>
      </c>
      <c r="H101" s="21">
        <v>0</v>
      </c>
      <c r="I101" s="21">
        <v>0.21</v>
      </c>
      <c r="J101" s="21">
        <v>0</v>
      </c>
      <c r="K101" s="21">
        <v>0</v>
      </c>
      <c r="L101" s="21">
        <v>384.83</v>
      </c>
      <c r="M101" s="21">
        <v>388.83</v>
      </c>
      <c r="N101" s="23">
        <v>1.0103942000363699</v>
      </c>
      <c r="O101" s="23">
        <v>1.0043771680406</v>
      </c>
      <c r="P101" s="23">
        <v>1.0096201133296701</v>
      </c>
      <c r="Q101" s="23">
        <v>1.00878312688733</v>
      </c>
      <c r="R101" s="21">
        <v>386.51446557706498</v>
      </c>
      <c r="S101" s="21">
        <v>388.486037111619</v>
      </c>
      <c r="T101" s="21">
        <v>388.13625710854302</v>
      </c>
      <c r="U101" s="22">
        <v>-5.9729356687511503E-3</v>
      </c>
      <c r="V101" s="22">
        <v>-8.8500145219775695E-4</v>
      </c>
      <c r="W101" s="22">
        <v>-1.7857740139187899E-3</v>
      </c>
      <c r="X101" s="23">
        <v>1.0103942000363699</v>
      </c>
      <c r="Y101" s="23">
        <v>1.0043771680406</v>
      </c>
      <c r="Z101" s="23">
        <v>1.0096201133296701</v>
      </c>
      <c r="AA101" s="23">
        <v>1.00878312688733</v>
      </c>
      <c r="AB101" s="21">
        <v>386.51446557706498</v>
      </c>
      <c r="AC101" s="21">
        <v>388.486037111619</v>
      </c>
      <c r="AD101" s="21">
        <v>388.13625710854302</v>
      </c>
      <c r="AE101" s="22">
        <v>-5.9729356687511503E-3</v>
      </c>
      <c r="AF101" s="22">
        <v>-8.8500145219775695E-4</v>
      </c>
      <c r="AG101" s="22">
        <v>-1.7857740139187899E-3</v>
      </c>
      <c r="AI101" s="5"/>
      <c r="AJ101">
        <f>IF($AG101&lt;AI$21,1,0)</f>
        <v>0</v>
      </c>
      <c r="AK101">
        <f>IF($AG101&gt;AI$22,1,0)</f>
        <v>1</v>
      </c>
      <c r="AL101">
        <f t="shared" si="12"/>
        <v>0</v>
      </c>
      <c r="AM101">
        <f>IF(F102+H102&gt;0,0,1)</f>
        <v>1</v>
      </c>
      <c r="AN101">
        <f t="shared" si="13"/>
        <v>0</v>
      </c>
      <c r="AO101" s="17">
        <f>AN101*D101</f>
        <v>0</v>
      </c>
      <c r="AP101" s="17">
        <f>-AN101*$E101</f>
        <v>0</v>
      </c>
      <c r="AQ101" s="17">
        <f t="shared" si="14"/>
        <v>0</v>
      </c>
      <c r="AR101" s="11">
        <f t="shared" si="15"/>
        <v>2.0812393953284412E-2</v>
      </c>
      <c r="AT101" s="5"/>
      <c r="AU101">
        <f>IF($AG101&gt;AT$21,1,0)</f>
        <v>0</v>
      </c>
      <c r="AV101">
        <f>IF($AG101&lt;AT$22,1,0)</f>
        <v>1</v>
      </c>
      <c r="AW101">
        <f t="shared" si="16"/>
        <v>0</v>
      </c>
      <c r="AX101">
        <f>IF(F102+H102&gt;0,0,1)</f>
        <v>1</v>
      </c>
      <c r="AY101">
        <f t="shared" si="17"/>
        <v>0</v>
      </c>
      <c r="AZ101" s="17">
        <f>-AY101*D101</f>
        <v>0</v>
      </c>
      <c r="BA101" s="17">
        <f>AY101*$E101</f>
        <v>0</v>
      </c>
      <c r="BB101" s="17">
        <f t="shared" si="18"/>
        <v>0</v>
      </c>
      <c r="BC101" s="11">
        <f t="shared" si="19"/>
        <v>0</v>
      </c>
      <c r="BE101" s="11">
        <f t="shared" si="20"/>
        <v>0</v>
      </c>
      <c r="BF101" s="11">
        <f t="shared" si="21"/>
        <v>2.0812393953284412E-2</v>
      </c>
      <c r="BH101" s="11"/>
    </row>
    <row r="102" spans="1:60" x14ac:dyDescent="0.25">
      <c r="A102" s="1">
        <v>46170</v>
      </c>
      <c r="B102" s="21">
        <v>386.12</v>
      </c>
      <c r="C102" s="21">
        <v>390.13</v>
      </c>
      <c r="D102" s="22">
        <v>3.3465236498242102E-3</v>
      </c>
      <c r="E102" s="22">
        <v>3.3377868104191399E-3</v>
      </c>
      <c r="F102" s="21">
        <v>0</v>
      </c>
      <c r="G102" s="21">
        <v>0.21</v>
      </c>
      <c r="H102" s="21">
        <v>0</v>
      </c>
      <c r="I102" s="21">
        <v>0.21</v>
      </c>
      <c r="J102" s="21">
        <v>0</v>
      </c>
      <c r="K102" s="21">
        <v>0</v>
      </c>
      <c r="L102" s="21">
        <v>386.12</v>
      </c>
      <c r="M102" s="21">
        <v>390.13</v>
      </c>
      <c r="N102" s="23">
        <v>1.01038537242308</v>
      </c>
      <c r="O102" s="23">
        <v>1.0043771680406</v>
      </c>
      <c r="P102" s="23">
        <v>1.00976149740437</v>
      </c>
      <c r="Q102" s="23">
        <v>1.0089237712247101</v>
      </c>
      <c r="R102" s="21">
        <v>387.81011212383697</v>
      </c>
      <c r="S102" s="21">
        <v>389.83451815885201</v>
      </c>
      <c r="T102" s="21">
        <v>389.511340953738</v>
      </c>
      <c r="U102" s="22">
        <v>-5.9641988293460003E-3</v>
      </c>
      <c r="V102" s="22">
        <v>-7.5768024930439098E-4</v>
      </c>
      <c r="W102" s="22">
        <v>-1.5870353292316E-3</v>
      </c>
      <c r="X102" s="23">
        <v>1.01038537242308</v>
      </c>
      <c r="Y102" s="23">
        <v>1.0043771680406</v>
      </c>
      <c r="Z102" s="23">
        <v>1.00976149740437</v>
      </c>
      <c r="AA102" s="23">
        <v>1.0089237712247101</v>
      </c>
      <c r="AB102" s="21">
        <v>387.81011212383697</v>
      </c>
      <c r="AC102" s="21">
        <v>389.83451815885201</v>
      </c>
      <c r="AD102" s="21">
        <v>389.511340953738</v>
      </c>
      <c r="AE102" s="22">
        <v>-5.9641988293460003E-3</v>
      </c>
      <c r="AF102" s="22">
        <v>-7.5768024930439098E-4</v>
      </c>
      <c r="AG102" s="22">
        <v>-1.5870353292316E-3</v>
      </c>
      <c r="AI102" s="5"/>
      <c r="AJ102">
        <f>IF($AG102&lt;AI$21,1,0)</f>
        <v>0</v>
      </c>
      <c r="AK102">
        <f>IF($AG102&gt;AI$22,1,0)</f>
        <v>1</v>
      </c>
      <c r="AL102">
        <f t="shared" si="12"/>
        <v>0</v>
      </c>
      <c r="AM102">
        <f>IF(F103+H103&gt;0,0,1)</f>
        <v>1</v>
      </c>
      <c r="AN102">
        <f t="shared" si="13"/>
        <v>0</v>
      </c>
      <c r="AO102" s="17">
        <f>AN102*D102</f>
        <v>0</v>
      </c>
      <c r="AP102" s="17">
        <f>-AN102*$E102</f>
        <v>0</v>
      </c>
      <c r="AQ102" s="17">
        <f t="shared" si="14"/>
        <v>0</v>
      </c>
      <c r="AR102" s="11">
        <f t="shared" si="15"/>
        <v>2.0812393953284412E-2</v>
      </c>
      <c r="AT102" s="5"/>
      <c r="AU102">
        <f>IF($AG102&gt;AT$21,1,0)</f>
        <v>0</v>
      </c>
      <c r="AV102">
        <f>IF($AG102&lt;AT$22,1,0)</f>
        <v>1</v>
      </c>
      <c r="AW102">
        <f t="shared" si="16"/>
        <v>0</v>
      </c>
      <c r="AX102">
        <f>IF(F103+H103&gt;0,0,1)</f>
        <v>1</v>
      </c>
      <c r="AY102">
        <f t="shared" si="17"/>
        <v>0</v>
      </c>
      <c r="AZ102" s="17">
        <f>-AY102*D102</f>
        <v>0</v>
      </c>
      <c r="BA102" s="17">
        <f>AY102*$E102</f>
        <v>0</v>
      </c>
      <c r="BB102" s="17">
        <f t="shared" si="18"/>
        <v>0</v>
      </c>
      <c r="BC102" s="11">
        <f t="shared" si="19"/>
        <v>0</v>
      </c>
      <c r="BE102" s="11">
        <f t="shared" si="20"/>
        <v>0</v>
      </c>
      <c r="BF102" s="11">
        <f t="shared" si="21"/>
        <v>2.0812393953284412E-2</v>
      </c>
      <c r="BH102" s="11"/>
    </row>
    <row r="103" spans="1:60" x14ac:dyDescent="0.25">
      <c r="A103" s="1">
        <v>46171</v>
      </c>
      <c r="B103" s="21">
        <v>376.43</v>
      </c>
      <c r="C103" s="21">
        <v>380.34</v>
      </c>
      <c r="D103" s="22">
        <v>-2.5416095001052501E-2</v>
      </c>
      <c r="E103" s="22">
        <v>-2.5414427389682501E-2</v>
      </c>
      <c r="F103" s="21">
        <v>0</v>
      </c>
      <c r="G103" s="21">
        <v>0.21</v>
      </c>
      <c r="H103" s="21">
        <v>0</v>
      </c>
      <c r="I103" s="21">
        <v>0.21</v>
      </c>
      <c r="J103" s="21">
        <v>0</v>
      </c>
      <c r="K103" s="21">
        <v>0</v>
      </c>
      <c r="L103" s="21">
        <v>376.43</v>
      </c>
      <c r="M103" s="21">
        <v>380.34</v>
      </c>
      <c r="N103" s="23">
        <v>1.0103870573546201</v>
      </c>
      <c r="O103" s="23">
        <v>1.0043771680406</v>
      </c>
      <c r="P103" s="23">
        <v>1.0098182558628499</v>
      </c>
      <c r="Q103" s="23">
        <v>1.00906871973573</v>
      </c>
      <c r="R103" s="21">
        <v>378.07769736552399</v>
      </c>
      <c r="S103" s="21">
        <v>380.10452046792898</v>
      </c>
      <c r="T103" s="21">
        <v>379.78917520211701</v>
      </c>
      <c r="U103" s="22">
        <v>-5.9658664407160299E-3</v>
      </c>
      <c r="V103" s="22">
        <v>-6.1932076110577598E-4</v>
      </c>
      <c r="W103" s="22">
        <v>-1.4492928630205899E-3</v>
      </c>
      <c r="X103" s="23">
        <v>1.0103870573546201</v>
      </c>
      <c r="Y103" s="23">
        <v>1.0043771680406</v>
      </c>
      <c r="Z103" s="23">
        <v>1.0098182558628499</v>
      </c>
      <c r="AA103" s="23">
        <v>1.00906871973573</v>
      </c>
      <c r="AB103" s="21">
        <v>378.07769736552399</v>
      </c>
      <c r="AC103" s="21">
        <v>380.10452046792898</v>
      </c>
      <c r="AD103" s="21">
        <v>379.78917520211701</v>
      </c>
      <c r="AE103" s="22">
        <v>-5.9658664407160299E-3</v>
      </c>
      <c r="AF103" s="22">
        <v>-6.1932076110577598E-4</v>
      </c>
      <c r="AG103" s="22">
        <v>-1.4492928630205899E-3</v>
      </c>
      <c r="AI103" s="5"/>
      <c r="AJ103">
        <f>IF($AG103&lt;AI$21,1,0)</f>
        <v>0</v>
      </c>
      <c r="AK103">
        <f>IF($AG103&gt;AI$22,1,0)</f>
        <v>1</v>
      </c>
      <c r="AL103">
        <f t="shared" si="12"/>
        <v>0</v>
      </c>
      <c r="AM103">
        <f>IF(F104+H104&gt;0,0,1)</f>
        <v>1</v>
      </c>
      <c r="AN103">
        <f t="shared" si="13"/>
        <v>0</v>
      </c>
      <c r="AO103" s="17">
        <f>AN103*D103</f>
        <v>0</v>
      </c>
      <c r="AP103" s="17">
        <f>-AN103*$E103</f>
        <v>0</v>
      </c>
      <c r="AQ103" s="17">
        <f t="shared" si="14"/>
        <v>0</v>
      </c>
      <c r="AR103" s="11">
        <f t="shared" si="15"/>
        <v>2.0812393953284412E-2</v>
      </c>
      <c r="AT103" s="5"/>
      <c r="AU103">
        <f>IF($AG103&gt;AT$21,1,0)</f>
        <v>0</v>
      </c>
      <c r="AV103">
        <f>IF($AG103&lt;AT$22,1,0)</f>
        <v>1</v>
      </c>
      <c r="AW103">
        <f t="shared" si="16"/>
        <v>0</v>
      </c>
      <c r="AX103">
        <f>IF(F104+H104&gt;0,0,1)</f>
        <v>1</v>
      </c>
      <c r="AY103">
        <f t="shared" si="17"/>
        <v>0</v>
      </c>
      <c r="AZ103" s="17">
        <f>-AY103*D103</f>
        <v>0</v>
      </c>
      <c r="BA103" s="17">
        <f>AY103*$E103</f>
        <v>0</v>
      </c>
      <c r="BB103" s="17">
        <f t="shared" si="18"/>
        <v>0</v>
      </c>
      <c r="BC103" s="11">
        <f t="shared" si="19"/>
        <v>0</v>
      </c>
      <c r="BE103" s="11">
        <f t="shared" si="20"/>
        <v>0</v>
      </c>
      <c r="BF103" s="11">
        <f t="shared" si="21"/>
        <v>2.0812393953284412E-2</v>
      </c>
      <c r="BH103" s="11"/>
    </row>
    <row r="104" spans="1:60" x14ac:dyDescent="0.25">
      <c r="A104" s="1">
        <v>46174</v>
      </c>
      <c r="B104" s="21">
        <v>372.58</v>
      </c>
      <c r="C104" s="21">
        <v>376.37</v>
      </c>
      <c r="D104" s="22">
        <v>-1.02803271177992E-2</v>
      </c>
      <c r="E104" s="22">
        <v>-1.04928874335222E-2</v>
      </c>
      <c r="F104" s="21">
        <v>0</v>
      </c>
      <c r="G104" s="21">
        <v>0.21</v>
      </c>
      <c r="H104" s="21">
        <v>0</v>
      </c>
      <c r="I104" s="21">
        <v>0.21</v>
      </c>
      <c r="J104" s="21">
        <v>0</v>
      </c>
      <c r="K104" s="21">
        <v>0</v>
      </c>
      <c r="L104" s="21">
        <v>372.58</v>
      </c>
      <c r="M104" s="21">
        <v>376.37</v>
      </c>
      <c r="N104" s="23">
        <v>1.0101723119866799</v>
      </c>
      <c r="O104" s="23">
        <v>1.0043771680406</v>
      </c>
      <c r="P104" s="23">
        <v>1.00995579622454</v>
      </c>
      <c r="Q104" s="23">
        <v>1.00925506614244</v>
      </c>
      <c r="R104" s="21">
        <v>374.21084526856703</v>
      </c>
      <c r="S104" s="21">
        <v>376.23808576938097</v>
      </c>
      <c r="T104" s="21">
        <v>375.95882359913998</v>
      </c>
      <c r="U104" s="22">
        <v>-5.7533061249931301E-3</v>
      </c>
      <c r="V104" s="22">
        <v>-3.50552258109766E-4</v>
      </c>
      <c r="W104" s="22">
        <v>-1.09307640197083E-3</v>
      </c>
      <c r="X104" s="23">
        <v>1.0101723119866799</v>
      </c>
      <c r="Y104" s="23">
        <v>1.0043771680406</v>
      </c>
      <c r="Z104" s="23">
        <v>1.00995579622454</v>
      </c>
      <c r="AA104" s="23">
        <v>1.00925506614244</v>
      </c>
      <c r="AB104" s="21">
        <v>374.21084526856703</v>
      </c>
      <c r="AC104" s="21">
        <v>376.23808576938097</v>
      </c>
      <c r="AD104" s="21">
        <v>375.95882359913998</v>
      </c>
      <c r="AE104" s="22">
        <v>-5.7533061249931301E-3</v>
      </c>
      <c r="AF104" s="22">
        <v>-3.50552258109766E-4</v>
      </c>
      <c r="AG104" s="22">
        <v>-1.09307640197083E-3</v>
      </c>
      <c r="AI104" s="5"/>
      <c r="AJ104">
        <f>IF($AG104&lt;AI$21,1,0)</f>
        <v>0</v>
      </c>
      <c r="AK104">
        <f>IF($AG104&gt;AI$22,1,0)</f>
        <v>1</v>
      </c>
      <c r="AL104">
        <f t="shared" si="12"/>
        <v>0</v>
      </c>
      <c r="AM104">
        <f>IF(F105+H105&gt;0,0,1)</f>
        <v>1</v>
      </c>
      <c r="AN104">
        <f t="shared" si="13"/>
        <v>0</v>
      </c>
      <c r="AO104" s="17">
        <f>AN104*D104</f>
        <v>0</v>
      </c>
      <c r="AP104" s="17">
        <f>-AN104*$E104</f>
        <v>0</v>
      </c>
      <c r="AQ104" s="17">
        <f t="shared" si="14"/>
        <v>0</v>
      </c>
      <c r="AR104" s="11">
        <f t="shared" si="15"/>
        <v>2.0812393953284412E-2</v>
      </c>
      <c r="AT104" s="5"/>
      <c r="AU104">
        <f>IF($AG104&gt;AT$21,1,0)</f>
        <v>0</v>
      </c>
      <c r="AV104">
        <f>IF($AG104&lt;AT$22,1,0)</f>
        <v>1</v>
      </c>
      <c r="AW104">
        <f t="shared" si="16"/>
        <v>0</v>
      </c>
      <c r="AX104">
        <f>IF(F105+H105&gt;0,0,1)</f>
        <v>1</v>
      </c>
      <c r="AY104">
        <f t="shared" si="17"/>
        <v>0</v>
      </c>
      <c r="AZ104" s="17">
        <f>-AY104*D104</f>
        <v>0</v>
      </c>
      <c r="BA104" s="17">
        <f>AY104*$E104</f>
        <v>0</v>
      </c>
      <c r="BB104" s="17">
        <f t="shared" si="18"/>
        <v>0</v>
      </c>
      <c r="BC104" s="11">
        <f t="shared" si="19"/>
        <v>0</v>
      </c>
      <c r="BE104" s="11">
        <f t="shared" si="20"/>
        <v>0</v>
      </c>
      <c r="BF104" s="11">
        <f t="shared" si="21"/>
        <v>2.0812393953284412E-2</v>
      </c>
      <c r="BH104" s="11"/>
    </row>
    <row r="105" spans="1:60" x14ac:dyDescent="0.25">
      <c r="A105" s="1">
        <v>46175</v>
      </c>
      <c r="B105" s="21">
        <v>358.39</v>
      </c>
      <c r="C105" s="21">
        <v>361.85</v>
      </c>
      <c r="D105" s="22">
        <v>-3.8830000935763498E-2</v>
      </c>
      <c r="E105" s="22">
        <v>-3.9342940778470899E-2</v>
      </c>
      <c r="F105" s="21">
        <v>0</v>
      </c>
      <c r="G105" s="21">
        <v>0.21</v>
      </c>
      <c r="H105" s="21">
        <v>0</v>
      </c>
      <c r="I105" s="21">
        <v>0.21</v>
      </c>
      <c r="J105" s="21">
        <v>0</v>
      </c>
      <c r="K105" s="21">
        <v>0</v>
      </c>
      <c r="L105" s="21">
        <v>358.39</v>
      </c>
      <c r="M105" s="21">
        <v>361.85</v>
      </c>
      <c r="N105" s="23">
        <v>1.00965428722899</v>
      </c>
      <c r="O105" s="23">
        <v>1.0043771680406</v>
      </c>
      <c r="P105" s="23">
        <v>1.00994694293986</v>
      </c>
      <c r="Q105" s="23">
        <v>1.0092623300771699</v>
      </c>
      <c r="R105" s="21">
        <v>359.95873325407098</v>
      </c>
      <c r="S105" s="21">
        <v>361.95805780891402</v>
      </c>
      <c r="T105" s="21">
        <v>361.70692315478902</v>
      </c>
      <c r="U105" s="22">
        <v>-5.2403662822856703E-3</v>
      </c>
      <c r="V105" s="22">
        <v>2.9858139475349901E-4</v>
      </c>
      <c r="W105" s="22">
        <v>-3.9548193790206199E-4</v>
      </c>
      <c r="X105" s="23">
        <v>1.00965428722899</v>
      </c>
      <c r="Y105" s="23">
        <v>1.0043771680406</v>
      </c>
      <c r="Z105" s="23">
        <v>1.00994694293986</v>
      </c>
      <c r="AA105" s="23">
        <v>1.0092623300771699</v>
      </c>
      <c r="AB105" s="21">
        <v>359.95873325407098</v>
      </c>
      <c r="AC105" s="21">
        <v>361.95805780891402</v>
      </c>
      <c r="AD105" s="21">
        <v>361.70692315478902</v>
      </c>
      <c r="AE105" s="22">
        <v>-5.2403662822856703E-3</v>
      </c>
      <c r="AF105" s="22">
        <v>2.9858139475349901E-4</v>
      </c>
      <c r="AG105" s="22">
        <v>-3.9548193790206199E-4</v>
      </c>
      <c r="AI105" s="5"/>
      <c r="AJ105">
        <f>IF($AG105&lt;AI$21,1,0)</f>
        <v>0</v>
      </c>
      <c r="AK105">
        <f>IF($AG105&gt;AI$22,1,0)</f>
        <v>1</v>
      </c>
      <c r="AL105">
        <f t="shared" si="12"/>
        <v>0</v>
      </c>
      <c r="AM105">
        <f>IF(F106+H106&gt;0,0,1)</f>
        <v>1</v>
      </c>
      <c r="AN105">
        <f t="shared" si="13"/>
        <v>0</v>
      </c>
      <c r="AO105" s="17">
        <f>AN105*D105</f>
        <v>0</v>
      </c>
      <c r="AP105" s="17">
        <f>-AN105*$E105</f>
        <v>0</v>
      </c>
      <c r="AQ105" s="17">
        <f t="shared" si="14"/>
        <v>0</v>
      </c>
      <c r="AR105" s="11">
        <f t="shared" si="15"/>
        <v>2.0812393953284412E-2</v>
      </c>
      <c r="AT105" s="5"/>
      <c r="AU105">
        <f>IF($AG105&gt;AT$21,1,0)</f>
        <v>0</v>
      </c>
      <c r="AV105">
        <f>IF($AG105&lt;AT$22,1,0)</f>
        <v>1</v>
      </c>
      <c r="AW105">
        <f t="shared" si="16"/>
        <v>0</v>
      </c>
      <c r="AX105">
        <f>IF(F106+H106&gt;0,0,1)</f>
        <v>1</v>
      </c>
      <c r="AY105">
        <f t="shared" si="17"/>
        <v>0</v>
      </c>
      <c r="AZ105" s="17">
        <f>-AY105*D105</f>
        <v>0</v>
      </c>
      <c r="BA105" s="17">
        <f>AY105*$E105</f>
        <v>0</v>
      </c>
      <c r="BB105" s="17">
        <f t="shared" si="18"/>
        <v>0</v>
      </c>
      <c r="BC105" s="11">
        <f t="shared" si="19"/>
        <v>0</v>
      </c>
      <c r="BE105" s="11">
        <f t="shared" si="20"/>
        <v>0</v>
      </c>
      <c r="BF105" s="11">
        <f t="shared" si="21"/>
        <v>2.0812393953284412E-2</v>
      </c>
      <c r="BH105" s="11"/>
    </row>
    <row r="106" spans="1:60" x14ac:dyDescent="0.25">
      <c r="A106" s="1">
        <v>46176</v>
      </c>
      <c r="B106" s="21">
        <v>355.68</v>
      </c>
      <c r="C106" s="21">
        <v>358.99</v>
      </c>
      <c r="D106" s="22">
        <v>-7.5903287099124998E-3</v>
      </c>
      <c r="E106" s="22">
        <v>-7.9352283650232103E-3</v>
      </c>
      <c r="F106" s="21">
        <v>0</v>
      </c>
      <c r="G106" s="21">
        <v>0.21</v>
      </c>
      <c r="H106" s="21">
        <v>0</v>
      </c>
      <c r="I106" s="21">
        <v>0.21</v>
      </c>
      <c r="J106" s="21">
        <v>0</v>
      </c>
      <c r="K106" s="21">
        <v>0</v>
      </c>
      <c r="L106" s="21">
        <v>355.68</v>
      </c>
      <c r="M106" s="21">
        <v>358.99</v>
      </c>
      <c r="N106" s="23">
        <v>1.0093061178587399</v>
      </c>
      <c r="O106" s="23">
        <v>1.0043771680406</v>
      </c>
      <c r="P106" s="23">
        <v>1.01016048535707</v>
      </c>
      <c r="Q106" s="23">
        <v>1.0091863498952101</v>
      </c>
      <c r="R106" s="21">
        <v>357.236871128681</v>
      </c>
      <c r="S106" s="21">
        <v>359.21792866484998</v>
      </c>
      <c r="T106" s="21">
        <v>358.974425561847</v>
      </c>
      <c r="U106" s="22">
        <v>-4.8954666271749199E-3</v>
      </c>
      <c r="V106" s="22">
        <v>6.3471499939162499E-4</v>
      </c>
      <c r="W106" s="22">
        <v>-4.3384985662725399E-5</v>
      </c>
      <c r="X106" s="23">
        <v>1.0093061178587399</v>
      </c>
      <c r="Y106" s="23">
        <v>1.0043771680406</v>
      </c>
      <c r="Z106" s="23">
        <v>1.01016048535707</v>
      </c>
      <c r="AA106" s="23">
        <v>1.0091863498952101</v>
      </c>
      <c r="AB106" s="21">
        <v>357.236871128681</v>
      </c>
      <c r="AC106" s="21">
        <v>359.21792866484998</v>
      </c>
      <c r="AD106" s="21">
        <v>358.974425561847</v>
      </c>
      <c r="AE106" s="22">
        <v>-4.8954666271749199E-3</v>
      </c>
      <c r="AF106" s="22">
        <v>6.3471499939162499E-4</v>
      </c>
      <c r="AG106" s="22">
        <v>-4.3384985662725399E-5</v>
      </c>
      <c r="AI106" s="5"/>
      <c r="AJ106">
        <f>IF($AG106&lt;AI$21,1,0)</f>
        <v>0</v>
      </c>
      <c r="AK106">
        <f>IF($AG106&gt;AI$22,1,0)</f>
        <v>1</v>
      </c>
      <c r="AL106">
        <f t="shared" si="12"/>
        <v>0</v>
      </c>
      <c r="AM106">
        <f>IF(F107+H107&gt;0,0,1)</f>
        <v>1</v>
      </c>
      <c r="AN106">
        <f t="shared" si="13"/>
        <v>0</v>
      </c>
      <c r="AO106" s="17">
        <f>AN106*D106</f>
        <v>0</v>
      </c>
      <c r="AP106" s="17">
        <f>-AN106*$E106</f>
        <v>0</v>
      </c>
      <c r="AQ106" s="17">
        <f t="shared" si="14"/>
        <v>0</v>
      </c>
      <c r="AR106" s="11">
        <f t="shared" si="15"/>
        <v>2.0812393953284412E-2</v>
      </c>
      <c r="AT106" s="5"/>
      <c r="AU106">
        <f>IF($AG106&gt;AT$21,1,0)</f>
        <v>0</v>
      </c>
      <c r="AV106">
        <f>IF($AG106&lt;AT$22,1,0)</f>
        <v>1</v>
      </c>
      <c r="AW106">
        <f t="shared" si="16"/>
        <v>0</v>
      </c>
      <c r="AX106">
        <f>IF(F107+H107&gt;0,0,1)</f>
        <v>1</v>
      </c>
      <c r="AY106">
        <f t="shared" si="17"/>
        <v>0</v>
      </c>
      <c r="AZ106" s="17">
        <f>-AY106*D106</f>
        <v>0</v>
      </c>
      <c r="BA106" s="17">
        <f>AY106*$E106</f>
        <v>0</v>
      </c>
      <c r="BB106" s="17">
        <f t="shared" si="18"/>
        <v>0</v>
      </c>
      <c r="BC106" s="11">
        <f t="shared" si="19"/>
        <v>0</v>
      </c>
      <c r="BE106" s="11">
        <f t="shared" si="20"/>
        <v>0</v>
      </c>
      <c r="BF106" s="11">
        <f t="shared" si="21"/>
        <v>2.0812393953284412E-2</v>
      </c>
      <c r="BH106" s="11"/>
    </row>
    <row r="107" spans="1:60" x14ac:dyDescent="0.25">
      <c r="A107" s="1">
        <v>46177</v>
      </c>
      <c r="B107" s="21">
        <v>369.27</v>
      </c>
      <c r="C107" s="21">
        <v>372.19</v>
      </c>
      <c r="D107" s="22">
        <v>3.7496633574427597E-2</v>
      </c>
      <c r="E107" s="22">
        <v>3.6109943624446902E-2</v>
      </c>
      <c r="F107" s="21">
        <v>0</v>
      </c>
      <c r="G107" s="21">
        <v>0.21</v>
      </c>
      <c r="H107" s="21">
        <v>0</v>
      </c>
      <c r="I107" s="21">
        <v>0.21</v>
      </c>
      <c r="J107" s="21">
        <v>0</v>
      </c>
      <c r="K107" s="21">
        <v>0</v>
      </c>
      <c r="L107" s="21">
        <v>369.27</v>
      </c>
      <c r="M107" s="21">
        <v>372.19</v>
      </c>
      <c r="N107" s="23">
        <v>1.0079074931621801</v>
      </c>
      <c r="O107" s="23">
        <v>1.0043771680406</v>
      </c>
      <c r="P107" s="23">
        <v>1.0099094056267801</v>
      </c>
      <c r="Q107" s="23">
        <v>1.0092147660069799</v>
      </c>
      <c r="R107" s="21">
        <v>370.886356842353</v>
      </c>
      <c r="S107" s="21">
        <v>373.02196242780502</v>
      </c>
      <c r="T107" s="21">
        <v>372.66224342580398</v>
      </c>
      <c r="U107" s="22">
        <v>-3.5087766771941999E-3</v>
      </c>
      <c r="V107" s="22">
        <v>2.2328218423668298E-3</v>
      </c>
      <c r="W107" s="22">
        <v>1.2680192434100499E-3</v>
      </c>
      <c r="X107" s="23">
        <v>1.0079074931621801</v>
      </c>
      <c r="Y107" s="23">
        <v>1.0043771680406</v>
      </c>
      <c r="Z107" s="23">
        <v>1.0099094056267801</v>
      </c>
      <c r="AA107" s="23">
        <v>1.0092147660069799</v>
      </c>
      <c r="AB107" s="21">
        <v>370.886356842353</v>
      </c>
      <c r="AC107" s="21">
        <v>373.02196242780502</v>
      </c>
      <c r="AD107" s="21">
        <v>372.66224342580398</v>
      </c>
      <c r="AE107" s="22">
        <v>-3.5087766771941999E-3</v>
      </c>
      <c r="AF107" s="22">
        <v>2.2328218423668298E-3</v>
      </c>
      <c r="AG107" s="22">
        <v>1.2680192434100499E-3</v>
      </c>
      <c r="AI107" s="5"/>
      <c r="AJ107">
        <f>IF($AG107&lt;AI$21,1,0)</f>
        <v>0</v>
      </c>
      <c r="AK107">
        <f>IF($AG107&gt;AI$22,1,0)</f>
        <v>1</v>
      </c>
      <c r="AL107">
        <f t="shared" si="12"/>
        <v>0</v>
      </c>
      <c r="AM107">
        <f>IF(F108+H108&gt;0,0,1)</f>
        <v>1</v>
      </c>
      <c r="AN107">
        <f t="shared" si="13"/>
        <v>0</v>
      </c>
      <c r="AO107" s="17">
        <f>AN107*D107</f>
        <v>0</v>
      </c>
      <c r="AP107" s="17">
        <f>-AN107*$E107</f>
        <v>0</v>
      </c>
      <c r="AQ107" s="17">
        <f t="shared" si="14"/>
        <v>0</v>
      </c>
      <c r="AR107" s="11">
        <f t="shared" si="15"/>
        <v>2.0812393953284412E-2</v>
      </c>
      <c r="AT107" s="5"/>
      <c r="AU107">
        <f>IF($AG107&gt;AT$21,1,0)</f>
        <v>0</v>
      </c>
      <c r="AV107">
        <f>IF($AG107&lt;AT$22,1,0)</f>
        <v>1</v>
      </c>
      <c r="AW107">
        <f t="shared" si="16"/>
        <v>0</v>
      </c>
      <c r="AX107">
        <f>IF(F108+H108&gt;0,0,1)</f>
        <v>1</v>
      </c>
      <c r="AY107">
        <f t="shared" si="17"/>
        <v>0</v>
      </c>
      <c r="AZ107" s="17">
        <f>-AY107*D107</f>
        <v>0</v>
      </c>
      <c r="BA107" s="17">
        <f>AY107*$E107</f>
        <v>0</v>
      </c>
      <c r="BB107" s="17">
        <f t="shared" si="18"/>
        <v>0</v>
      </c>
      <c r="BC107" s="11">
        <f t="shared" si="19"/>
        <v>0</v>
      </c>
      <c r="BE107" s="11">
        <f t="shared" si="20"/>
        <v>0</v>
      </c>
      <c r="BF107" s="11">
        <f t="shared" si="21"/>
        <v>2.0812393953284412E-2</v>
      </c>
      <c r="BH107" s="11"/>
    </row>
    <row r="108" spans="1:60" x14ac:dyDescent="0.25">
      <c r="A108" s="1">
        <v>46178</v>
      </c>
      <c r="B108" s="21">
        <v>365.76</v>
      </c>
      <c r="C108" s="21">
        <v>368.53</v>
      </c>
      <c r="D108" s="22">
        <v>-9.5507031838682303E-3</v>
      </c>
      <c r="E108" s="22">
        <v>-9.8823571296878295E-3</v>
      </c>
      <c r="F108" s="21">
        <v>0</v>
      </c>
      <c r="G108" s="21">
        <v>0.21</v>
      </c>
      <c r="H108" s="21">
        <v>0</v>
      </c>
      <c r="I108" s="21">
        <v>0.21</v>
      </c>
      <c r="J108" s="21">
        <v>0</v>
      </c>
      <c r="K108" s="21">
        <v>0</v>
      </c>
      <c r="L108" s="21">
        <v>365.76</v>
      </c>
      <c r="M108" s="21">
        <v>368.53</v>
      </c>
      <c r="N108" s="23">
        <v>1.00757327209098</v>
      </c>
      <c r="O108" s="23">
        <v>1.0043771680406</v>
      </c>
      <c r="P108" s="23">
        <v>1.0095740789124901</v>
      </c>
      <c r="Q108" s="23">
        <v>1.0092531816985499</v>
      </c>
      <c r="R108" s="21">
        <v>367.36099298252998</v>
      </c>
      <c r="S108" s="21">
        <v>369.38446420205202</v>
      </c>
      <c r="T108" s="21">
        <v>369.13039281471401</v>
      </c>
      <c r="U108" s="22">
        <v>-3.17712273137455E-3</v>
      </c>
      <c r="V108" s="22">
        <v>2.3158905954652302E-3</v>
      </c>
      <c r="W108" s="22">
        <v>1.6278302404217201E-3</v>
      </c>
      <c r="X108" s="23">
        <v>1.00757327209098</v>
      </c>
      <c r="Y108" s="23">
        <v>1.0043771680406</v>
      </c>
      <c r="Z108" s="23">
        <v>1.0095740789124901</v>
      </c>
      <c r="AA108" s="23">
        <v>1.0092531816985499</v>
      </c>
      <c r="AB108" s="21">
        <v>367.36099298252998</v>
      </c>
      <c r="AC108" s="21">
        <v>369.38446420205202</v>
      </c>
      <c r="AD108" s="21">
        <v>369.13039281471401</v>
      </c>
      <c r="AE108" s="22">
        <v>-3.17712273137455E-3</v>
      </c>
      <c r="AF108" s="22">
        <v>2.3158905954652302E-3</v>
      </c>
      <c r="AG108" s="22">
        <v>1.6278302404217201E-3</v>
      </c>
      <c r="AI108" s="5"/>
      <c r="AJ108">
        <f>IF($AG108&lt;AI$21,1,0)</f>
        <v>0</v>
      </c>
      <c r="AK108">
        <f>IF($AG108&gt;AI$22,1,0)</f>
        <v>1</v>
      </c>
      <c r="AL108">
        <f t="shared" si="12"/>
        <v>0</v>
      </c>
      <c r="AM108">
        <f>IF(F109+H109&gt;0,0,1)</f>
        <v>0</v>
      </c>
      <c r="AN108">
        <f t="shared" si="13"/>
        <v>0</v>
      </c>
      <c r="AO108" s="17">
        <f>AN108*D108</f>
        <v>0</v>
      </c>
      <c r="AP108" s="17">
        <f>-AN108*$E108</f>
        <v>0</v>
      </c>
      <c r="AQ108" s="17">
        <f t="shared" si="14"/>
        <v>0</v>
      </c>
      <c r="AR108" s="11">
        <f t="shared" si="15"/>
        <v>2.0812393953284412E-2</v>
      </c>
      <c r="AT108" s="5"/>
      <c r="AU108">
        <f>IF($AG108&gt;AT$21,1,0)</f>
        <v>0</v>
      </c>
      <c r="AV108">
        <f>IF($AG108&lt;AT$22,1,0)</f>
        <v>1</v>
      </c>
      <c r="AW108">
        <f t="shared" si="16"/>
        <v>0</v>
      </c>
      <c r="AX108">
        <f>IF(F109+H109&gt;0,0,1)</f>
        <v>0</v>
      </c>
      <c r="AY108">
        <f t="shared" si="17"/>
        <v>0</v>
      </c>
      <c r="AZ108" s="17">
        <f>-AY108*D108</f>
        <v>0</v>
      </c>
      <c r="BA108" s="17">
        <f>AY108*$E108</f>
        <v>0</v>
      </c>
      <c r="BB108" s="17">
        <f t="shared" si="18"/>
        <v>0</v>
      </c>
      <c r="BC108" s="11">
        <f t="shared" si="19"/>
        <v>0</v>
      </c>
      <c r="BE108" s="11">
        <f t="shared" si="20"/>
        <v>0</v>
      </c>
      <c r="BF108" s="11">
        <f t="shared" si="21"/>
        <v>2.0812393953284412E-2</v>
      </c>
      <c r="BH108" s="11"/>
    </row>
    <row r="109" spans="1:60" x14ac:dyDescent="0.25">
      <c r="A109" s="1">
        <v>46181</v>
      </c>
      <c r="B109" s="21">
        <v>361.17</v>
      </c>
      <c r="C109" s="21">
        <v>363.31</v>
      </c>
      <c r="D109" s="22">
        <v>-1.2628618991401001E-2</v>
      </c>
      <c r="E109" s="22">
        <v>-1.4265655132483301E-2</v>
      </c>
      <c r="F109" s="21">
        <v>0.22</v>
      </c>
      <c r="G109" s="21">
        <v>0.43</v>
      </c>
      <c r="H109" s="21">
        <v>0.22</v>
      </c>
      <c r="I109" s="21">
        <v>0.43</v>
      </c>
      <c r="J109" s="21">
        <v>0</v>
      </c>
      <c r="K109" s="21">
        <v>0</v>
      </c>
      <c r="L109" s="21">
        <v>361.17</v>
      </c>
      <c r="M109" s="21">
        <v>363.31</v>
      </c>
      <c r="N109" s="23">
        <v>1.0059251875847901</v>
      </c>
      <c r="O109" s="23">
        <v>1.0043771680406</v>
      </c>
      <c r="P109" s="23">
        <v>1.0092203168970799</v>
      </c>
      <c r="Q109" s="23">
        <v>1.00907720836151</v>
      </c>
      <c r="R109" s="21">
        <v>362.750901781224</v>
      </c>
      <c r="S109" s="21">
        <v>364.62787008082699</v>
      </c>
      <c r="T109" s="21">
        <v>364.51197163406698</v>
      </c>
      <c r="U109" s="22">
        <v>-1.5400865902923701E-3</v>
      </c>
      <c r="V109" s="22">
        <v>3.6208351696356798E-3</v>
      </c>
      <c r="W109" s="22">
        <v>3.3029305891820299E-3</v>
      </c>
      <c r="X109" s="23">
        <v>1.0059251875847901</v>
      </c>
      <c r="Y109" s="23">
        <v>1.0043771680406</v>
      </c>
      <c r="Z109" s="23">
        <v>1.0092203168970799</v>
      </c>
      <c r="AA109" s="23">
        <v>1.00907720836151</v>
      </c>
      <c r="AB109" s="21">
        <v>362.750901781224</v>
      </c>
      <c r="AC109" s="21">
        <v>364.62787008082699</v>
      </c>
      <c r="AD109" s="21">
        <v>364.51197163406698</v>
      </c>
      <c r="AE109" s="22">
        <v>-1.5400865902923701E-3</v>
      </c>
      <c r="AF109" s="22">
        <v>3.6208351696356798E-3</v>
      </c>
      <c r="AG109" s="22">
        <v>3.3029305891820299E-3</v>
      </c>
      <c r="AI109" s="5"/>
      <c r="AJ109">
        <f>IF($AG109&lt;AI$21,1,0)</f>
        <v>0</v>
      </c>
      <c r="AK109">
        <f>IF($AG109&gt;AI$22,1,0)</f>
        <v>1</v>
      </c>
      <c r="AL109">
        <f t="shared" si="12"/>
        <v>0</v>
      </c>
      <c r="AM109">
        <f>IF(F110+H110&gt;0,0,1)</f>
        <v>1</v>
      </c>
      <c r="AN109">
        <f t="shared" si="13"/>
        <v>0</v>
      </c>
      <c r="AO109" s="17">
        <f>AN109*D109</f>
        <v>0</v>
      </c>
      <c r="AP109" s="17">
        <f>-AN109*$E109</f>
        <v>0</v>
      </c>
      <c r="AQ109" s="17">
        <f t="shared" si="14"/>
        <v>0</v>
      </c>
      <c r="AR109" s="11">
        <f t="shared" si="15"/>
        <v>2.0812393953284412E-2</v>
      </c>
      <c r="AT109" s="5"/>
      <c r="AU109">
        <f>IF($AG109&gt;AT$21,1,0)</f>
        <v>0</v>
      </c>
      <c r="AV109">
        <f>IF($AG109&lt;AT$22,1,0)</f>
        <v>0</v>
      </c>
      <c r="AW109">
        <f t="shared" si="16"/>
        <v>0</v>
      </c>
      <c r="AX109">
        <f>IF(F110+H110&gt;0,0,1)</f>
        <v>1</v>
      </c>
      <c r="AY109">
        <f t="shared" si="17"/>
        <v>0</v>
      </c>
      <c r="AZ109" s="17">
        <f>-AY109*D109</f>
        <v>0</v>
      </c>
      <c r="BA109" s="17">
        <f>AY109*$E109</f>
        <v>0</v>
      </c>
      <c r="BB109" s="17">
        <f t="shared" si="18"/>
        <v>0</v>
      </c>
      <c r="BC109" s="11">
        <f t="shared" si="19"/>
        <v>0</v>
      </c>
      <c r="BE109" s="11">
        <f t="shared" si="20"/>
        <v>0</v>
      </c>
      <c r="BF109" s="11">
        <f t="shared" si="21"/>
        <v>2.0812393953284412E-2</v>
      </c>
      <c r="BH109" s="11"/>
    </row>
    <row r="110" spans="1:60" x14ac:dyDescent="0.25">
      <c r="A110" s="1">
        <v>46182</v>
      </c>
      <c r="B110" s="21">
        <v>362.29</v>
      </c>
      <c r="C110" s="21">
        <v>364.26</v>
      </c>
      <c r="D110" s="22">
        <v>3.0962344697856399E-3</v>
      </c>
      <c r="E110" s="22">
        <v>2.6114340610083699E-3</v>
      </c>
      <c r="F110" s="21">
        <v>0</v>
      </c>
      <c r="G110" s="21">
        <v>0.43</v>
      </c>
      <c r="H110" s="21">
        <v>0</v>
      </c>
      <c r="I110" s="21">
        <v>0.43</v>
      </c>
      <c r="J110" s="21">
        <v>0</v>
      </c>
      <c r="K110" s="21">
        <v>0</v>
      </c>
      <c r="L110" s="21">
        <v>362.29</v>
      </c>
      <c r="M110" s="21">
        <v>364.26</v>
      </c>
      <c r="N110" s="23">
        <v>1.0054376328355701</v>
      </c>
      <c r="O110" s="23">
        <v>1.0043771680406</v>
      </c>
      <c r="P110" s="23">
        <v>1.0087142932562001</v>
      </c>
      <c r="Q110" s="23">
        <v>1.0091073442629199</v>
      </c>
      <c r="R110" s="21">
        <v>363.87580420942902</v>
      </c>
      <c r="S110" s="21">
        <v>365.63042860864402</v>
      </c>
      <c r="T110" s="21">
        <v>365.57858181729199</v>
      </c>
      <c r="U110" s="22">
        <v>-1.05528618151524E-3</v>
      </c>
      <c r="V110" s="22">
        <v>3.7551669821357602E-3</v>
      </c>
      <c r="W110" s="22">
        <v>3.61335584277583E-3</v>
      </c>
      <c r="X110" s="23">
        <v>1.0054376328355701</v>
      </c>
      <c r="Y110" s="23">
        <v>1.0043771680406</v>
      </c>
      <c r="Z110" s="23">
        <v>1.0087142932562001</v>
      </c>
      <c r="AA110" s="23">
        <v>1.0091073442629199</v>
      </c>
      <c r="AB110" s="21">
        <v>363.87580420942902</v>
      </c>
      <c r="AC110" s="21">
        <v>365.63042860864402</v>
      </c>
      <c r="AD110" s="21">
        <v>365.57858181729199</v>
      </c>
      <c r="AE110" s="22">
        <v>-1.05528618151524E-3</v>
      </c>
      <c r="AF110" s="22">
        <v>3.7551669821357602E-3</v>
      </c>
      <c r="AG110" s="22">
        <v>3.61335584277583E-3</v>
      </c>
      <c r="AI110" s="5"/>
      <c r="AJ110">
        <f>IF($AG110&lt;AI$21,1,0)</f>
        <v>0</v>
      </c>
      <c r="AK110">
        <f>IF($AG110&gt;AI$22,1,0)</f>
        <v>1</v>
      </c>
      <c r="AL110">
        <f t="shared" si="12"/>
        <v>0</v>
      </c>
      <c r="AM110">
        <f>IF(F111+H111&gt;0,0,1)</f>
        <v>1</v>
      </c>
      <c r="AN110">
        <f t="shared" si="13"/>
        <v>0</v>
      </c>
      <c r="AO110" s="17">
        <f>AN110*D110</f>
        <v>0</v>
      </c>
      <c r="AP110" s="17">
        <f>-AN110*$E110</f>
        <v>0</v>
      </c>
      <c r="AQ110" s="17">
        <f t="shared" si="14"/>
        <v>0</v>
      </c>
      <c r="AR110" s="11">
        <f t="shared" si="15"/>
        <v>2.0812393953284412E-2</v>
      </c>
      <c r="AT110" s="5"/>
      <c r="AU110">
        <f>IF($AG110&gt;AT$21,1,0)</f>
        <v>0</v>
      </c>
      <c r="AV110">
        <f>IF($AG110&lt;AT$22,1,0)</f>
        <v>0</v>
      </c>
      <c r="AW110">
        <f t="shared" si="16"/>
        <v>0</v>
      </c>
      <c r="AX110">
        <f>IF(F111+H111&gt;0,0,1)</f>
        <v>1</v>
      </c>
      <c r="AY110">
        <f t="shared" si="17"/>
        <v>0</v>
      </c>
      <c r="AZ110" s="17">
        <f>-AY110*D110</f>
        <v>0</v>
      </c>
      <c r="BA110" s="17">
        <f>AY110*$E110</f>
        <v>0</v>
      </c>
      <c r="BB110" s="17">
        <f t="shared" si="18"/>
        <v>0</v>
      </c>
      <c r="BC110" s="11">
        <f t="shared" si="19"/>
        <v>0</v>
      </c>
      <c r="BE110" s="11">
        <f t="shared" si="20"/>
        <v>0</v>
      </c>
      <c r="BF110" s="11">
        <f t="shared" si="21"/>
        <v>2.0812393953284412E-2</v>
      </c>
      <c r="BH110" s="11"/>
    </row>
    <row r="111" spans="1:60" x14ac:dyDescent="0.25">
      <c r="A111" s="1">
        <v>46183</v>
      </c>
      <c r="B111" s="21">
        <v>353.32</v>
      </c>
      <c r="C111" s="21">
        <v>356.38</v>
      </c>
      <c r="D111" s="22">
        <v>-2.5070834207898799E-2</v>
      </c>
      <c r="E111" s="22">
        <v>-2.18703210711289E-2</v>
      </c>
      <c r="F111" s="21">
        <v>0</v>
      </c>
      <c r="G111" s="21">
        <v>0.43</v>
      </c>
      <c r="H111" s="21">
        <v>0</v>
      </c>
      <c r="I111" s="21">
        <v>0.43</v>
      </c>
      <c r="J111" s="21">
        <v>0</v>
      </c>
      <c r="K111" s="21">
        <v>0</v>
      </c>
      <c r="L111" s="21">
        <v>353.32</v>
      </c>
      <c r="M111" s="21">
        <v>356.38</v>
      </c>
      <c r="N111" s="23">
        <v>1.00866070417751</v>
      </c>
      <c r="O111" s="23">
        <v>1.0043771680406</v>
      </c>
      <c r="P111" s="23">
        <v>1.0085409436703101</v>
      </c>
      <c r="Q111" s="23">
        <v>1.00908052849999</v>
      </c>
      <c r="R111" s="21">
        <v>354.86654101210502</v>
      </c>
      <c r="S111" s="21">
        <v>356.39893409328198</v>
      </c>
      <c r="T111" s="21">
        <v>356.53780687497698</v>
      </c>
      <c r="U111" s="22">
        <v>-4.2557993182851701E-3</v>
      </c>
      <c r="V111" s="22">
        <v>5.3127533324451301E-5</v>
      </c>
      <c r="W111" s="22">
        <v>4.4270707235378402E-4</v>
      </c>
      <c r="X111" s="23">
        <v>1.00866070417751</v>
      </c>
      <c r="Y111" s="23">
        <v>1.0043771680406</v>
      </c>
      <c r="Z111" s="23">
        <v>1.0085409436703101</v>
      </c>
      <c r="AA111" s="23">
        <v>1.00908052849999</v>
      </c>
      <c r="AB111" s="21">
        <v>354.86654101210502</v>
      </c>
      <c r="AC111" s="21">
        <v>356.39893409328198</v>
      </c>
      <c r="AD111" s="21">
        <v>356.53780687497698</v>
      </c>
      <c r="AE111" s="22">
        <v>-4.2557993182851701E-3</v>
      </c>
      <c r="AF111" s="22">
        <v>5.3127533324451301E-5</v>
      </c>
      <c r="AG111" s="22">
        <v>4.4270707235378402E-4</v>
      </c>
      <c r="AI111" s="5"/>
      <c r="AJ111">
        <f>IF($AG111&lt;AI$21,1,0)</f>
        <v>0</v>
      </c>
      <c r="AK111">
        <f>IF($AG111&gt;AI$22,1,0)</f>
        <v>1</v>
      </c>
      <c r="AL111">
        <f t="shared" si="12"/>
        <v>0</v>
      </c>
      <c r="AM111">
        <f>IF(F112+H112&gt;0,0,1)</f>
        <v>1</v>
      </c>
      <c r="AN111">
        <f t="shared" si="13"/>
        <v>0</v>
      </c>
      <c r="AO111" s="17">
        <f>AN111*D111</f>
        <v>0</v>
      </c>
      <c r="AP111" s="17">
        <f>-AN111*$E111</f>
        <v>0</v>
      </c>
      <c r="AQ111" s="17">
        <f t="shared" si="14"/>
        <v>0</v>
      </c>
      <c r="AR111" s="11">
        <f t="shared" si="15"/>
        <v>2.0812393953284412E-2</v>
      </c>
      <c r="AT111" s="5"/>
      <c r="AU111">
        <f>IF($AG111&gt;AT$21,1,0)</f>
        <v>0</v>
      </c>
      <c r="AV111">
        <f>IF($AG111&lt;AT$22,1,0)</f>
        <v>1</v>
      </c>
      <c r="AW111">
        <f t="shared" si="16"/>
        <v>0</v>
      </c>
      <c r="AX111">
        <f>IF(F112+H112&gt;0,0,1)</f>
        <v>1</v>
      </c>
      <c r="AY111">
        <f t="shared" si="17"/>
        <v>0</v>
      </c>
      <c r="AZ111" s="17">
        <f>-AY111*D111</f>
        <v>0</v>
      </c>
      <c r="BA111" s="17">
        <f>AY111*$E111</f>
        <v>0</v>
      </c>
      <c r="BB111" s="17">
        <f t="shared" si="18"/>
        <v>0</v>
      </c>
      <c r="BC111" s="11">
        <f t="shared" si="19"/>
        <v>0</v>
      </c>
      <c r="BE111" s="11">
        <f t="shared" si="20"/>
        <v>0</v>
      </c>
      <c r="BF111" s="11">
        <f t="shared" si="21"/>
        <v>2.0812393953284412E-2</v>
      </c>
      <c r="BH111" s="11"/>
    </row>
    <row r="112" spans="1:60" x14ac:dyDescent="0.25">
      <c r="A112" s="1">
        <v>46184</v>
      </c>
      <c r="B112" s="21">
        <v>356.56</v>
      </c>
      <c r="C112" s="21">
        <v>357.77</v>
      </c>
      <c r="D112" s="22">
        <v>9.1283667613689997E-3</v>
      </c>
      <c r="E112" s="22">
        <v>3.8927445362327302E-3</v>
      </c>
      <c r="F112" s="21">
        <v>0</v>
      </c>
      <c r="G112" s="21">
        <v>0.43</v>
      </c>
      <c r="H112" s="21">
        <v>0</v>
      </c>
      <c r="I112" s="21">
        <v>0.43</v>
      </c>
      <c r="J112" s="21">
        <v>0</v>
      </c>
      <c r="K112" s="21">
        <v>0</v>
      </c>
      <c r="L112" s="21">
        <v>356.56</v>
      </c>
      <c r="M112" s="21">
        <v>357.77</v>
      </c>
      <c r="N112" s="23">
        <v>1.0033935382544299</v>
      </c>
      <c r="O112" s="23">
        <v>1.0043771680406</v>
      </c>
      <c r="P112" s="23">
        <v>1.00784176025345</v>
      </c>
      <c r="Q112" s="23">
        <v>1.0088016288289099</v>
      </c>
      <c r="R112" s="21">
        <v>358.12072303655702</v>
      </c>
      <c r="S112" s="21">
        <v>359.605358875089</v>
      </c>
      <c r="T112" s="21">
        <v>359.79775324195799</v>
      </c>
      <c r="U112" s="22">
        <v>9.7982290685096692E-4</v>
      </c>
      <c r="V112" s="22">
        <v>5.1168829731971103E-3</v>
      </c>
      <c r="W112" s="22">
        <v>5.6517551977272804E-3</v>
      </c>
      <c r="X112" s="23">
        <v>1.0033935382544299</v>
      </c>
      <c r="Y112" s="23">
        <v>1.0043771680406</v>
      </c>
      <c r="Z112" s="23">
        <v>1.00784176025345</v>
      </c>
      <c r="AA112" s="23">
        <v>1.0088016288289099</v>
      </c>
      <c r="AB112" s="21">
        <v>358.12072303655702</v>
      </c>
      <c r="AC112" s="21">
        <v>359.605358875089</v>
      </c>
      <c r="AD112" s="21">
        <v>359.79775324195799</v>
      </c>
      <c r="AE112" s="22">
        <v>9.7982290685096692E-4</v>
      </c>
      <c r="AF112" s="22">
        <v>5.1168829731971103E-3</v>
      </c>
      <c r="AG112" s="22">
        <v>5.6517551977272804E-3</v>
      </c>
      <c r="AI112" s="5"/>
      <c r="AJ112">
        <f>IF($AG112&lt;AI$21,1,0)</f>
        <v>0</v>
      </c>
      <c r="AK112">
        <f>IF($AG112&gt;AI$22,1,0)</f>
        <v>1</v>
      </c>
      <c r="AL112">
        <f t="shared" si="12"/>
        <v>0</v>
      </c>
      <c r="AM112">
        <f>IF(F113+H113&gt;0,0,1)</f>
        <v>1</v>
      </c>
      <c r="AN112">
        <f t="shared" si="13"/>
        <v>0</v>
      </c>
      <c r="AO112" s="17">
        <f>AN112*D112</f>
        <v>0</v>
      </c>
      <c r="AP112" s="17">
        <f>-AN112*$E112</f>
        <v>0</v>
      </c>
      <c r="AQ112" s="17">
        <f t="shared" si="14"/>
        <v>0</v>
      </c>
      <c r="AR112" s="11">
        <f t="shared" si="15"/>
        <v>2.0812393953284412E-2</v>
      </c>
      <c r="AT112" s="5"/>
      <c r="AU112">
        <f>IF($AG112&gt;AT$21,1,0)</f>
        <v>1</v>
      </c>
      <c r="AV112">
        <f>IF($AG112&lt;AT$22,1,0)</f>
        <v>0</v>
      </c>
      <c r="AW112">
        <f t="shared" si="16"/>
        <v>0</v>
      </c>
      <c r="AX112">
        <f>IF(F113+H113&gt;0,0,1)</f>
        <v>1</v>
      </c>
      <c r="AY112">
        <f t="shared" si="17"/>
        <v>0</v>
      </c>
      <c r="AZ112" s="17">
        <f>-AY112*D112</f>
        <v>0</v>
      </c>
      <c r="BA112" s="17">
        <f>AY112*$E112</f>
        <v>0</v>
      </c>
      <c r="BB112" s="17">
        <f t="shared" si="18"/>
        <v>0</v>
      </c>
      <c r="BC112" s="11">
        <f t="shared" si="19"/>
        <v>0</v>
      </c>
      <c r="BE112" s="11">
        <f t="shared" si="20"/>
        <v>0</v>
      </c>
      <c r="BF112" s="11">
        <f t="shared" si="21"/>
        <v>2.0812393953284412E-2</v>
      </c>
      <c r="BH112" s="11"/>
    </row>
    <row r="113" spans="1:60" x14ac:dyDescent="0.25">
      <c r="A113" s="1">
        <v>46185</v>
      </c>
      <c r="B113" s="21">
        <v>358.16</v>
      </c>
      <c r="C113" s="21">
        <v>359.68</v>
      </c>
      <c r="D113" s="22">
        <v>4.4772852944097996E-3</v>
      </c>
      <c r="E113" s="22">
        <v>5.3244254297701897E-3</v>
      </c>
      <c r="F113" s="21">
        <v>0</v>
      </c>
      <c r="G113" s="21">
        <v>0.43</v>
      </c>
      <c r="H113" s="21">
        <v>0</v>
      </c>
      <c r="I113" s="21">
        <v>0.43</v>
      </c>
      <c r="J113" s="21">
        <v>0</v>
      </c>
      <c r="K113" s="21">
        <v>0</v>
      </c>
      <c r="L113" s="21">
        <v>358.16</v>
      </c>
      <c r="M113" s="21">
        <v>359.68</v>
      </c>
      <c r="N113" s="23">
        <v>1.00424391333482</v>
      </c>
      <c r="O113" s="23">
        <v>1.0043771680406</v>
      </c>
      <c r="P113" s="23">
        <v>1.0072274458514701</v>
      </c>
      <c r="Q113" s="23">
        <v>1.00852285085716</v>
      </c>
      <c r="R113" s="21">
        <v>359.72772650542203</v>
      </c>
      <c r="S113" s="21">
        <v>360.96860485237698</v>
      </c>
      <c r="T113" s="21">
        <v>361.31239138136402</v>
      </c>
      <c r="U113" s="22">
        <v>1.32682771490762E-4</v>
      </c>
      <c r="V113" s="22">
        <v>3.5762401178159701E-3</v>
      </c>
      <c r="W113" s="22">
        <v>4.5281869549645398E-3</v>
      </c>
      <c r="X113" s="23">
        <v>1.00424391333482</v>
      </c>
      <c r="Y113" s="23">
        <v>1.0043771680406</v>
      </c>
      <c r="Z113" s="23">
        <v>1.0072274458514701</v>
      </c>
      <c r="AA113" s="23">
        <v>1.00852285085716</v>
      </c>
      <c r="AB113" s="21">
        <v>359.72772650542203</v>
      </c>
      <c r="AC113" s="21">
        <v>360.96860485237698</v>
      </c>
      <c r="AD113" s="21">
        <v>361.31239138136402</v>
      </c>
      <c r="AE113" s="22">
        <v>1.32682771490762E-4</v>
      </c>
      <c r="AF113" s="22">
        <v>3.5762401178159701E-3</v>
      </c>
      <c r="AG113" s="22">
        <v>4.5281869549645398E-3</v>
      </c>
      <c r="AI113" s="5"/>
      <c r="AJ113">
        <f>IF($AG113&lt;AI$21,1,0)</f>
        <v>0</v>
      </c>
      <c r="AK113">
        <f>IF($AG113&gt;AI$22,1,0)</f>
        <v>1</v>
      </c>
      <c r="AL113">
        <f t="shared" si="12"/>
        <v>0</v>
      </c>
      <c r="AM113">
        <f>IF(F114+H114&gt;0,0,1)</f>
        <v>1</v>
      </c>
      <c r="AN113">
        <f t="shared" si="13"/>
        <v>0</v>
      </c>
      <c r="AO113" s="17">
        <f>AN113*D113</f>
        <v>0</v>
      </c>
      <c r="AP113" s="17">
        <f>-AN113*$E113</f>
        <v>0</v>
      </c>
      <c r="AQ113" s="17">
        <f t="shared" si="14"/>
        <v>0</v>
      </c>
      <c r="AR113" s="11">
        <f t="shared" si="15"/>
        <v>2.0812393953284412E-2</v>
      </c>
      <c r="AT113" s="5"/>
      <c r="AU113">
        <f>IF($AG113&gt;AT$21,1,0)</f>
        <v>0</v>
      </c>
      <c r="AV113">
        <f>IF($AG113&lt;AT$22,1,0)</f>
        <v>0</v>
      </c>
      <c r="AW113">
        <f t="shared" si="16"/>
        <v>1</v>
      </c>
      <c r="AX113">
        <f>IF(F114+H114&gt;0,0,1)</f>
        <v>1</v>
      </c>
      <c r="AY113">
        <f t="shared" si="17"/>
        <v>1</v>
      </c>
      <c r="AZ113" s="17">
        <f>-AY113*D113</f>
        <v>-4.4772852944097996E-3</v>
      </c>
      <c r="BA113" s="17">
        <f>AY113*$E113</f>
        <v>5.3244254297701897E-3</v>
      </c>
      <c r="BB113" s="17">
        <f t="shared" si="18"/>
        <v>8.4714013536039013E-4</v>
      </c>
      <c r="BC113" s="11">
        <f t="shared" si="19"/>
        <v>8.4714013536039013E-4</v>
      </c>
      <c r="BE113" s="11">
        <f t="shared" si="20"/>
        <v>8.4714013536039013E-4</v>
      </c>
      <c r="BF113" s="11">
        <f t="shared" si="21"/>
        <v>2.1659534088644801E-2</v>
      </c>
      <c r="BH113" s="11"/>
    </row>
    <row r="114" spans="1:60" x14ac:dyDescent="0.25">
      <c r="A114" s="1">
        <v>46188</v>
      </c>
      <c r="B114" s="21">
        <v>367.11</v>
      </c>
      <c r="C114" s="21">
        <v>369.35</v>
      </c>
      <c r="D114" s="22">
        <v>2.46817167329762E-2</v>
      </c>
      <c r="E114" s="22">
        <v>2.6529956709475101E-2</v>
      </c>
      <c r="F114" s="21">
        <v>0</v>
      </c>
      <c r="G114" s="21">
        <v>0.43</v>
      </c>
      <c r="H114" s="21">
        <v>0</v>
      </c>
      <c r="I114" s="21">
        <v>0.43</v>
      </c>
      <c r="J114" s="21">
        <v>0</v>
      </c>
      <c r="K114" s="21">
        <v>0</v>
      </c>
      <c r="L114" s="21">
        <v>367.11</v>
      </c>
      <c r="M114" s="21">
        <v>369.35</v>
      </c>
      <c r="N114" s="23">
        <v>1.0061017133829</v>
      </c>
      <c r="O114" s="23">
        <v>1.0043771680406</v>
      </c>
      <c r="P114" s="23">
        <v>1.00682038599109</v>
      </c>
      <c r="Q114" s="23">
        <v>1.00838809110782</v>
      </c>
      <c r="R114" s="21">
        <v>368.71690215938497</v>
      </c>
      <c r="S114" s="21">
        <v>369.76326764653402</v>
      </c>
      <c r="T114" s="21">
        <v>370.23882377817301</v>
      </c>
      <c r="U114" s="22">
        <v>-1.7155572050081599E-3</v>
      </c>
      <c r="V114" s="22">
        <v>1.1182797216408101E-3</v>
      </c>
      <c r="W114" s="22">
        <v>2.4035631083119601E-3</v>
      </c>
      <c r="X114" s="23">
        <v>1.0061017133829</v>
      </c>
      <c r="Y114" s="23">
        <v>1.0043771680406</v>
      </c>
      <c r="Z114" s="23">
        <v>1.00682038599109</v>
      </c>
      <c r="AA114" s="23">
        <v>1.00838809110782</v>
      </c>
      <c r="AB114" s="21">
        <v>368.71690215938497</v>
      </c>
      <c r="AC114" s="21">
        <v>369.76326764653402</v>
      </c>
      <c r="AD114" s="21">
        <v>370.23882377817301</v>
      </c>
      <c r="AE114" s="22">
        <v>-1.7155572050081599E-3</v>
      </c>
      <c r="AF114" s="22">
        <v>1.1182797216408101E-3</v>
      </c>
      <c r="AG114" s="22">
        <v>2.4035631083119601E-3</v>
      </c>
      <c r="AI114" s="5"/>
      <c r="AJ114">
        <f>IF($AG114&lt;AI$21,1,0)</f>
        <v>0</v>
      </c>
      <c r="AK114">
        <f>IF($AG114&gt;AI$22,1,0)</f>
        <v>1</v>
      </c>
      <c r="AL114">
        <f t="shared" si="12"/>
        <v>0</v>
      </c>
      <c r="AM114">
        <f>IF(F115+H115&gt;0,0,1)</f>
        <v>1</v>
      </c>
      <c r="AN114">
        <f t="shared" si="13"/>
        <v>0</v>
      </c>
      <c r="AO114" s="17">
        <f>AN114*D114</f>
        <v>0</v>
      </c>
      <c r="AP114" s="17">
        <f>-AN114*$E114</f>
        <v>0</v>
      </c>
      <c r="AQ114" s="17">
        <f t="shared" si="14"/>
        <v>0</v>
      </c>
      <c r="AR114" s="11">
        <f t="shared" si="15"/>
        <v>2.0812393953284412E-2</v>
      </c>
      <c r="AT114" s="5"/>
      <c r="AU114">
        <f>IF($AG114&gt;AT$21,1,0)</f>
        <v>0</v>
      </c>
      <c r="AV114">
        <f>IF($AG114&lt;AT$22,1,0)</f>
        <v>1</v>
      </c>
      <c r="AW114">
        <f t="shared" si="16"/>
        <v>1</v>
      </c>
      <c r="AX114">
        <f>IF(F115+H115&gt;0,0,1)</f>
        <v>1</v>
      </c>
      <c r="AY114">
        <f t="shared" si="17"/>
        <v>1</v>
      </c>
      <c r="AZ114" s="17">
        <f>-AY114*D114</f>
        <v>-2.46817167329762E-2</v>
      </c>
      <c r="BA114" s="17">
        <f>AY114*$E114</f>
        <v>2.6529956709475101E-2</v>
      </c>
      <c r="BB114" s="17">
        <f t="shared" si="18"/>
        <v>1.8482399764989006E-3</v>
      </c>
      <c r="BC114" s="11">
        <f t="shared" si="19"/>
        <v>2.6953801118592908E-3</v>
      </c>
      <c r="BE114" s="11">
        <f t="shared" si="20"/>
        <v>1.8482399764989006E-3</v>
      </c>
      <c r="BF114" s="11">
        <f t="shared" si="21"/>
        <v>2.3507774065143702E-2</v>
      </c>
      <c r="BH114" s="11"/>
    </row>
    <row r="115" spans="1:60" x14ac:dyDescent="0.25">
      <c r="A115" s="1">
        <v>46189</v>
      </c>
      <c r="B115" s="21">
        <v>371.1</v>
      </c>
      <c r="C115" s="21">
        <v>373.25</v>
      </c>
      <c r="D115" s="22">
        <v>1.0810037400865301E-2</v>
      </c>
      <c r="E115" s="22">
        <v>1.0503732444553E-2</v>
      </c>
      <c r="F115" s="21">
        <v>0</v>
      </c>
      <c r="G115" s="21">
        <v>0.43</v>
      </c>
      <c r="H115" s="21">
        <v>0</v>
      </c>
      <c r="I115" s="21">
        <v>0.43</v>
      </c>
      <c r="J115" s="21">
        <v>0</v>
      </c>
      <c r="K115" s="21">
        <v>0</v>
      </c>
      <c r="L115" s="21">
        <v>371.1</v>
      </c>
      <c r="M115" s="21">
        <v>373.25</v>
      </c>
      <c r="N115" s="23">
        <v>1.0057935866343299</v>
      </c>
      <c r="O115" s="23">
        <v>1.0043771680406</v>
      </c>
      <c r="P115" s="23">
        <v>1.00643431593163</v>
      </c>
      <c r="Q115" s="23">
        <v>1.0081906294357399</v>
      </c>
      <c r="R115" s="21">
        <v>372.72436705986701</v>
      </c>
      <c r="S115" s="21">
        <v>373.63104524129602</v>
      </c>
      <c r="T115" s="21">
        <v>374.21282061011198</v>
      </c>
      <c r="U115" s="22">
        <v>-1.40925224869572E-3</v>
      </c>
      <c r="V115" s="22">
        <v>1.02036402392055E-3</v>
      </c>
      <c r="W115" s="22">
        <v>2.57623821836805E-3</v>
      </c>
      <c r="X115" s="23">
        <v>1.0057935866343299</v>
      </c>
      <c r="Y115" s="23">
        <v>1.0043771680406</v>
      </c>
      <c r="Z115" s="23">
        <v>1.00643431593163</v>
      </c>
      <c r="AA115" s="23">
        <v>1.0081906294357399</v>
      </c>
      <c r="AB115" s="21">
        <v>372.72436705986701</v>
      </c>
      <c r="AC115" s="21">
        <v>373.63104524129602</v>
      </c>
      <c r="AD115" s="21">
        <v>374.21282061011198</v>
      </c>
      <c r="AE115" s="22">
        <v>-1.40925224869572E-3</v>
      </c>
      <c r="AF115" s="22">
        <v>1.02036402392055E-3</v>
      </c>
      <c r="AG115" s="22">
        <v>2.57623821836805E-3</v>
      </c>
      <c r="AI115" s="5"/>
      <c r="AJ115">
        <f>IF($AG115&lt;AI$21,1,0)</f>
        <v>0</v>
      </c>
      <c r="AK115">
        <f>IF($AG115&gt;AI$22,1,0)</f>
        <v>1</v>
      </c>
      <c r="AL115">
        <f t="shared" si="12"/>
        <v>0</v>
      </c>
      <c r="AM115">
        <f>IF(F116+H116&gt;0,0,1)</f>
        <v>1</v>
      </c>
      <c r="AN115">
        <f t="shared" si="13"/>
        <v>0</v>
      </c>
      <c r="AO115" s="17">
        <f>AN115*D115</f>
        <v>0</v>
      </c>
      <c r="AP115" s="17">
        <f>-AN115*$E115</f>
        <v>0</v>
      </c>
      <c r="AQ115" s="17">
        <f t="shared" si="14"/>
        <v>0</v>
      </c>
      <c r="AR115" s="11">
        <f t="shared" si="15"/>
        <v>2.0812393953284412E-2</v>
      </c>
      <c r="AT115" s="5"/>
      <c r="AU115">
        <f>IF($AG115&gt;AT$21,1,0)</f>
        <v>0</v>
      </c>
      <c r="AV115">
        <f>IF($AG115&lt;AT$22,1,0)</f>
        <v>1</v>
      </c>
      <c r="AW115">
        <f t="shared" si="16"/>
        <v>0</v>
      </c>
      <c r="AX115">
        <f>IF(F116+H116&gt;0,0,1)</f>
        <v>1</v>
      </c>
      <c r="AY115">
        <f t="shared" si="17"/>
        <v>0</v>
      </c>
      <c r="AZ115" s="17">
        <f>-AY115*D115</f>
        <v>0</v>
      </c>
      <c r="BA115" s="17">
        <f>AY115*$E115</f>
        <v>0</v>
      </c>
      <c r="BB115" s="17">
        <f t="shared" si="18"/>
        <v>0</v>
      </c>
      <c r="BC115" s="11">
        <f t="shared" si="19"/>
        <v>2.6953801118592908E-3</v>
      </c>
      <c r="BE115" s="11">
        <f t="shared" si="20"/>
        <v>0</v>
      </c>
      <c r="BF115" s="11">
        <f t="shared" si="21"/>
        <v>2.3507774065143702E-2</v>
      </c>
      <c r="BH115" s="11"/>
    </row>
    <row r="116" spans="1:60" x14ac:dyDescent="0.25">
      <c r="A116" s="1">
        <v>46190</v>
      </c>
      <c r="B116" s="21">
        <v>362.1</v>
      </c>
      <c r="C116" s="21">
        <v>363.79</v>
      </c>
      <c r="D116" s="22">
        <v>-2.45511512949564E-2</v>
      </c>
      <c r="E116" s="22">
        <v>-2.5671658343635901E-2</v>
      </c>
      <c r="F116" s="21">
        <v>0</v>
      </c>
      <c r="G116" s="21">
        <v>0.43</v>
      </c>
      <c r="H116" s="21">
        <v>0</v>
      </c>
      <c r="I116" s="21">
        <v>0.43</v>
      </c>
      <c r="J116" s="21">
        <v>0</v>
      </c>
      <c r="K116" s="21">
        <v>0</v>
      </c>
      <c r="L116" s="21">
        <v>362.1</v>
      </c>
      <c r="M116" s="21">
        <v>363.79</v>
      </c>
      <c r="N116" s="23">
        <v>1.0046672190002699</v>
      </c>
      <c r="O116" s="23">
        <v>1.0043771680406</v>
      </c>
      <c r="P116" s="23">
        <v>1.00597042604578</v>
      </c>
      <c r="Q116" s="23">
        <v>1.0080654557014199</v>
      </c>
      <c r="R116" s="21">
        <v>363.68497254750201</v>
      </c>
      <c r="S116" s="21">
        <v>364.42986579884303</v>
      </c>
      <c r="T116" s="21">
        <v>365.065826918683</v>
      </c>
      <c r="U116" s="22">
        <v>-2.8874520001620702E-4</v>
      </c>
      <c r="V116" s="22">
        <v>1.75734278496677E-3</v>
      </c>
      <c r="W116" s="22">
        <v>3.50090696855395E-3</v>
      </c>
      <c r="X116" s="23">
        <v>1.0046672190002699</v>
      </c>
      <c r="Y116" s="23">
        <v>1.0043771680406</v>
      </c>
      <c r="Z116" s="23">
        <v>1.00597042604578</v>
      </c>
      <c r="AA116" s="23">
        <v>1.0080654557014199</v>
      </c>
      <c r="AB116" s="21">
        <v>363.68497254750201</v>
      </c>
      <c r="AC116" s="21">
        <v>364.42986579884303</v>
      </c>
      <c r="AD116" s="21">
        <v>365.065826918683</v>
      </c>
      <c r="AE116" s="22">
        <v>-2.8874520001620702E-4</v>
      </c>
      <c r="AF116" s="22">
        <v>1.75734278496677E-3</v>
      </c>
      <c r="AG116" s="22">
        <v>3.50090696855395E-3</v>
      </c>
      <c r="AI116" s="5"/>
      <c r="AJ116">
        <f>IF($AG116&lt;AI$21,1,0)</f>
        <v>0</v>
      </c>
      <c r="AK116">
        <f>IF($AG116&gt;AI$22,1,0)</f>
        <v>1</v>
      </c>
      <c r="AL116">
        <f t="shared" si="12"/>
        <v>0</v>
      </c>
      <c r="AM116">
        <f>IF(F117+H117&gt;0,0,1)</f>
        <v>1</v>
      </c>
      <c r="AN116">
        <f t="shared" si="13"/>
        <v>0</v>
      </c>
      <c r="AO116" s="17">
        <f>AN116*D116</f>
        <v>0</v>
      </c>
      <c r="AP116" s="17">
        <f>-AN116*$E116</f>
        <v>0</v>
      </c>
      <c r="AQ116" s="17">
        <f t="shared" si="14"/>
        <v>0</v>
      </c>
      <c r="AR116" s="11">
        <f t="shared" si="15"/>
        <v>2.0812393953284412E-2</v>
      </c>
      <c r="AT116" s="5"/>
      <c r="AU116">
        <f>IF($AG116&gt;AT$21,1,0)</f>
        <v>0</v>
      </c>
      <c r="AV116">
        <f>IF($AG116&lt;AT$22,1,0)</f>
        <v>0</v>
      </c>
      <c r="AW116">
        <f t="shared" si="16"/>
        <v>0</v>
      </c>
      <c r="AX116">
        <f>IF(F117+H117&gt;0,0,1)</f>
        <v>1</v>
      </c>
      <c r="AY116">
        <f t="shared" si="17"/>
        <v>0</v>
      </c>
      <c r="AZ116" s="17">
        <f>-AY116*D116</f>
        <v>0</v>
      </c>
      <c r="BA116" s="17">
        <f>AY116*$E116</f>
        <v>0</v>
      </c>
      <c r="BB116" s="17">
        <f t="shared" si="18"/>
        <v>0</v>
      </c>
      <c r="BC116" s="11">
        <f t="shared" si="19"/>
        <v>2.6953801118592908E-3</v>
      </c>
      <c r="BE116" s="11">
        <f t="shared" si="20"/>
        <v>0</v>
      </c>
      <c r="BF116" s="11">
        <f t="shared" si="21"/>
        <v>2.3507774065143702E-2</v>
      </c>
      <c r="BH116" s="11"/>
    </row>
    <row r="117" spans="1:60" x14ac:dyDescent="0.25">
      <c r="A117" s="1">
        <v>46191</v>
      </c>
      <c r="B117" s="21">
        <v>367.46</v>
      </c>
      <c r="C117" s="21">
        <v>368.03</v>
      </c>
      <c r="D117" s="22">
        <v>1.4694052419993E-2</v>
      </c>
      <c r="E117" s="22">
        <v>1.15876785096811E-2</v>
      </c>
      <c r="F117" s="21">
        <v>0</v>
      </c>
      <c r="G117" s="21">
        <v>0.43</v>
      </c>
      <c r="H117" s="21">
        <v>0</v>
      </c>
      <c r="I117" s="21">
        <v>0.43</v>
      </c>
      <c r="J117" s="21">
        <v>0</v>
      </c>
      <c r="K117" s="21">
        <v>0</v>
      </c>
      <c r="L117" s="21">
        <v>367.46</v>
      </c>
      <c r="M117" s="21">
        <v>368.03</v>
      </c>
      <c r="N117" s="23">
        <v>1.0015511892450799</v>
      </c>
      <c r="O117" s="23">
        <v>1.0043771680406</v>
      </c>
      <c r="P117" s="23">
        <v>1.0053347956540699</v>
      </c>
      <c r="Q117" s="23">
        <v>1.00762210064042</v>
      </c>
      <c r="R117" s="21">
        <v>369.06843416819902</v>
      </c>
      <c r="S117" s="21">
        <v>369.65389275478299</v>
      </c>
      <c r="T117" s="21">
        <v>370.42373235204599</v>
      </c>
      <c r="U117" s="22">
        <v>2.8176287102957701E-3</v>
      </c>
      <c r="V117" s="22">
        <v>4.4026862828696403E-3</v>
      </c>
      <c r="W117" s="22">
        <v>6.4831163588892904E-3</v>
      </c>
      <c r="X117" s="23">
        <v>1.0015511892450799</v>
      </c>
      <c r="Y117" s="23">
        <v>1.0043771680406</v>
      </c>
      <c r="Z117" s="23">
        <v>1.0053347956540699</v>
      </c>
      <c r="AA117" s="23">
        <v>1.00762210064042</v>
      </c>
      <c r="AB117" s="21">
        <v>369.06843416819902</v>
      </c>
      <c r="AC117" s="21">
        <v>369.65389275478299</v>
      </c>
      <c r="AD117" s="21">
        <v>370.42373235204599</v>
      </c>
      <c r="AE117" s="22">
        <v>2.8176287102957701E-3</v>
      </c>
      <c r="AF117" s="22">
        <v>4.4026862828696403E-3</v>
      </c>
      <c r="AG117" s="22">
        <v>6.4831163588892904E-3</v>
      </c>
      <c r="AI117" s="5"/>
      <c r="AJ117">
        <f>IF($AG117&lt;AI$21,1,0)</f>
        <v>0</v>
      </c>
      <c r="AK117">
        <f>IF($AG117&gt;AI$22,1,0)</f>
        <v>1</v>
      </c>
      <c r="AL117">
        <f t="shared" si="12"/>
        <v>0</v>
      </c>
      <c r="AM117">
        <f>IF(F118+H118&gt;0,0,1)</f>
        <v>1</v>
      </c>
      <c r="AN117">
        <f t="shared" si="13"/>
        <v>0</v>
      </c>
      <c r="AO117" s="17">
        <f>AN117*D117</f>
        <v>0</v>
      </c>
      <c r="AP117" s="17">
        <f>-AN117*$E117</f>
        <v>0</v>
      </c>
      <c r="AQ117" s="17">
        <f t="shared" si="14"/>
        <v>0</v>
      </c>
      <c r="AR117" s="11">
        <f t="shared" si="15"/>
        <v>2.0812393953284412E-2</v>
      </c>
      <c r="AT117" s="5"/>
      <c r="AU117">
        <f>IF($AG117&gt;AT$21,1,0)</f>
        <v>1</v>
      </c>
      <c r="AV117">
        <f>IF($AG117&lt;AT$22,1,0)</f>
        <v>0</v>
      </c>
      <c r="AW117">
        <f t="shared" si="16"/>
        <v>0</v>
      </c>
      <c r="AX117">
        <f>IF(F118+H118&gt;0,0,1)</f>
        <v>1</v>
      </c>
      <c r="AY117">
        <f t="shared" si="17"/>
        <v>0</v>
      </c>
      <c r="AZ117" s="17">
        <f>-AY117*D117</f>
        <v>0</v>
      </c>
      <c r="BA117" s="17">
        <f>AY117*$E117</f>
        <v>0</v>
      </c>
      <c r="BB117" s="17">
        <f t="shared" si="18"/>
        <v>0</v>
      </c>
      <c r="BC117" s="11">
        <f t="shared" si="19"/>
        <v>2.6953801118592908E-3</v>
      </c>
      <c r="BE117" s="11">
        <f t="shared" si="20"/>
        <v>0</v>
      </c>
      <c r="BF117" s="11">
        <f t="shared" si="21"/>
        <v>2.3507774065143702E-2</v>
      </c>
      <c r="BH117" s="11"/>
    </row>
    <row r="118" spans="1:60" x14ac:dyDescent="0.25">
      <c r="A118" s="1">
        <v>46195</v>
      </c>
      <c r="B118" s="21">
        <v>348.78</v>
      </c>
      <c r="C118" s="21">
        <v>349.68</v>
      </c>
      <c r="D118" s="22">
        <v>-5.21731182502745E-2</v>
      </c>
      <c r="E118" s="22">
        <v>-5.1146006030285698E-2</v>
      </c>
      <c r="F118" s="21">
        <v>0</v>
      </c>
      <c r="G118" s="21">
        <v>0.43</v>
      </c>
      <c r="H118" s="21">
        <v>0</v>
      </c>
      <c r="I118" s="21">
        <v>0.43</v>
      </c>
      <c r="J118" s="21">
        <v>0</v>
      </c>
      <c r="K118" s="21">
        <v>0</v>
      </c>
      <c r="L118" s="21">
        <v>348.78</v>
      </c>
      <c r="M118" s="21">
        <v>349.68</v>
      </c>
      <c r="N118" s="23">
        <v>1.0025804231894</v>
      </c>
      <c r="O118" s="23">
        <v>1.0043771680406</v>
      </c>
      <c r="P118" s="23">
        <v>1.00483551076391</v>
      </c>
      <c r="Q118" s="23">
        <v>1.0072047948381999</v>
      </c>
      <c r="R118" s="21">
        <v>350.30666866920097</v>
      </c>
      <c r="S118" s="21">
        <v>350.64067002822702</v>
      </c>
      <c r="T118" s="21">
        <v>351.438436261368</v>
      </c>
      <c r="U118" s="22">
        <v>1.79051649030712E-3</v>
      </c>
      <c r="V118" s="22">
        <v>2.74351642586723E-3</v>
      </c>
      <c r="W118" s="22">
        <v>5.0160995844935E-3</v>
      </c>
      <c r="X118" s="23">
        <v>1.0025804231894</v>
      </c>
      <c r="Y118" s="23">
        <v>1.0043771680406</v>
      </c>
      <c r="Z118" s="23">
        <v>1.00483551076391</v>
      </c>
      <c r="AA118" s="23">
        <v>1.0072047948381999</v>
      </c>
      <c r="AB118" s="21">
        <v>350.30666866920097</v>
      </c>
      <c r="AC118" s="21">
        <v>350.64067002822702</v>
      </c>
      <c r="AD118" s="21">
        <v>351.438436261368</v>
      </c>
      <c r="AE118" s="22">
        <v>1.79051649030712E-3</v>
      </c>
      <c r="AF118" s="22">
        <v>2.74351642586723E-3</v>
      </c>
      <c r="AG118" s="22">
        <v>5.0160995844935E-3</v>
      </c>
      <c r="AI118" s="5"/>
      <c r="AJ118">
        <f>IF($AG118&lt;AI$21,1,0)</f>
        <v>0</v>
      </c>
      <c r="AK118">
        <f>IF($AG118&gt;AI$22,1,0)</f>
        <v>1</v>
      </c>
      <c r="AL118">
        <f t="shared" si="12"/>
        <v>0</v>
      </c>
      <c r="AM118">
        <f>IF(F119+H119&gt;0,0,1)</f>
        <v>1</v>
      </c>
      <c r="AN118">
        <f t="shared" si="13"/>
        <v>0</v>
      </c>
      <c r="AO118" s="17">
        <f>AN118*D118</f>
        <v>0</v>
      </c>
      <c r="AP118" s="17">
        <f>-AN118*$E118</f>
        <v>0</v>
      </c>
      <c r="AQ118" s="17">
        <f t="shared" si="14"/>
        <v>0</v>
      </c>
      <c r="AR118" s="11">
        <f t="shared" si="15"/>
        <v>2.0812393953284412E-2</v>
      </c>
      <c r="AT118" s="5"/>
      <c r="AU118">
        <f>IF($AG118&gt;AT$21,1,0)</f>
        <v>1</v>
      </c>
      <c r="AV118">
        <f>IF($AG118&lt;AT$22,1,0)</f>
        <v>0</v>
      </c>
      <c r="AW118">
        <f t="shared" si="16"/>
        <v>1</v>
      </c>
      <c r="AX118">
        <f>IF(F119+H119&gt;0,0,1)</f>
        <v>1</v>
      </c>
      <c r="AY118">
        <f t="shared" si="17"/>
        <v>1</v>
      </c>
      <c r="AZ118" s="17">
        <f>-AY118*D118</f>
        <v>5.21731182502745E-2</v>
      </c>
      <c r="BA118" s="17">
        <f>AY118*$E118</f>
        <v>-5.1146006030285698E-2</v>
      </c>
      <c r="BB118" s="17">
        <f t="shared" si="18"/>
        <v>1.0271122199888016E-3</v>
      </c>
      <c r="BC118" s="11">
        <f t="shared" si="19"/>
        <v>3.7224923318480924E-3</v>
      </c>
      <c r="BE118" s="11">
        <f t="shared" si="20"/>
        <v>1.0271122199888016E-3</v>
      </c>
      <c r="BF118" s="11">
        <f t="shared" si="21"/>
        <v>2.4534886285132503E-2</v>
      </c>
      <c r="BH118" s="11"/>
    </row>
    <row r="119" spans="1:60" x14ac:dyDescent="0.25">
      <c r="A119" s="1">
        <v>46196</v>
      </c>
      <c r="B119" s="21">
        <v>346.08</v>
      </c>
      <c r="C119" s="21">
        <v>346.13</v>
      </c>
      <c r="D119" s="22">
        <v>-7.7713887365655704E-3</v>
      </c>
      <c r="E119" s="22">
        <v>-1.0204023520022001E-2</v>
      </c>
      <c r="F119" s="21">
        <v>0</v>
      </c>
      <c r="G119" s="21">
        <v>0.43</v>
      </c>
      <c r="H119" s="21">
        <v>0</v>
      </c>
      <c r="I119" s="21">
        <v>0.43</v>
      </c>
      <c r="J119" s="21">
        <v>0</v>
      </c>
      <c r="K119" s="21">
        <v>0</v>
      </c>
      <c r="L119" s="21">
        <v>346.08</v>
      </c>
      <c r="M119" s="21">
        <v>346.13</v>
      </c>
      <c r="N119" s="23">
        <v>1.0001444752658299</v>
      </c>
      <c r="O119" s="23">
        <v>1.0043771680406</v>
      </c>
      <c r="P119" s="23">
        <v>1.0042574395320101</v>
      </c>
      <c r="Q119" s="23">
        <v>1.0067388782145501</v>
      </c>
      <c r="R119" s="21">
        <v>347.59485031549099</v>
      </c>
      <c r="S119" s="21">
        <v>347.753473565175</v>
      </c>
      <c r="T119" s="21">
        <v>348.57343539760598</v>
      </c>
      <c r="U119" s="22">
        <v>4.2231512737636503E-3</v>
      </c>
      <c r="V119" s="22">
        <v>4.67939240353305E-3</v>
      </c>
      <c r="W119" s="22">
        <v>7.0344994685399599E-3</v>
      </c>
      <c r="X119" s="23">
        <v>1.0001444752658299</v>
      </c>
      <c r="Y119" s="23">
        <v>1.0043771680406</v>
      </c>
      <c r="Z119" s="23">
        <v>1.0042574395320101</v>
      </c>
      <c r="AA119" s="23">
        <v>1.0067388782145501</v>
      </c>
      <c r="AB119" s="21">
        <v>347.59485031549099</v>
      </c>
      <c r="AC119" s="21">
        <v>347.753473565175</v>
      </c>
      <c r="AD119" s="21">
        <v>348.57343539760598</v>
      </c>
      <c r="AE119" s="22">
        <v>4.2231512737636503E-3</v>
      </c>
      <c r="AF119" s="22">
        <v>4.67939240353305E-3</v>
      </c>
      <c r="AG119" s="22">
        <v>7.0344994685399599E-3</v>
      </c>
      <c r="AI119" s="5"/>
      <c r="AJ119">
        <f>IF($AG119&lt;AI$21,1,0)</f>
        <v>0</v>
      </c>
      <c r="AK119">
        <f>IF($AG119&gt;AI$22,1,0)</f>
        <v>1</v>
      </c>
      <c r="AL119">
        <f t="shared" si="12"/>
        <v>0</v>
      </c>
      <c r="AM119">
        <f>IF(F120+H120&gt;0,0,1)</f>
        <v>1</v>
      </c>
      <c r="AN119">
        <f t="shared" si="13"/>
        <v>0</v>
      </c>
      <c r="AO119" s="17">
        <f>AN119*D119</f>
        <v>0</v>
      </c>
      <c r="AP119" s="17">
        <f>-AN119*$E119</f>
        <v>0</v>
      </c>
      <c r="AQ119" s="17">
        <f t="shared" si="14"/>
        <v>0</v>
      </c>
      <c r="AR119" s="11">
        <f t="shared" si="15"/>
        <v>2.0812393953284412E-2</v>
      </c>
      <c r="AT119" s="5"/>
      <c r="AU119">
        <f>IF($AG119&gt;AT$21,1,0)</f>
        <v>1</v>
      </c>
      <c r="AV119">
        <f>IF($AG119&lt;AT$22,1,0)</f>
        <v>0</v>
      </c>
      <c r="AW119">
        <f t="shared" si="16"/>
        <v>1</v>
      </c>
      <c r="AX119">
        <f>IF(F120+H120&gt;0,0,1)</f>
        <v>1</v>
      </c>
      <c r="AY119">
        <f t="shared" si="17"/>
        <v>1</v>
      </c>
      <c r="AZ119" s="17">
        <f>-AY119*D119</f>
        <v>7.7713887365655704E-3</v>
      </c>
      <c r="BA119" s="17">
        <f>AY119*$E119</f>
        <v>-1.0204023520022001E-2</v>
      </c>
      <c r="BB119" s="17">
        <f t="shared" si="18"/>
        <v>-2.4326347834564303E-3</v>
      </c>
      <c r="BC119" s="11">
        <f t="shared" si="19"/>
        <v>1.2898575483916621E-3</v>
      </c>
      <c r="BE119" s="11">
        <f t="shared" si="20"/>
        <v>-2.4326347834564303E-3</v>
      </c>
      <c r="BF119" s="11">
        <f t="shared" si="21"/>
        <v>2.2102251501676072E-2</v>
      </c>
      <c r="BH119" s="11"/>
    </row>
    <row r="120" spans="1:60" x14ac:dyDescent="0.25">
      <c r="A120" s="1">
        <v>46197</v>
      </c>
      <c r="B120" s="21">
        <v>345.04</v>
      </c>
      <c r="C120" s="21">
        <v>345.29</v>
      </c>
      <c r="D120" s="22">
        <v>-3.0096098651608599E-3</v>
      </c>
      <c r="E120" s="22">
        <v>-2.4297833828041799E-3</v>
      </c>
      <c r="F120" s="21">
        <v>0</v>
      </c>
      <c r="G120" s="21">
        <v>0.43</v>
      </c>
      <c r="H120" s="21">
        <v>0</v>
      </c>
      <c r="I120" s="21">
        <v>0.43</v>
      </c>
      <c r="J120" s="21">
        <v>0</v>
      </c>
      <c r="K120" s="21">
        <v>0</v>
      </c>
      <c r="L120" s="21">
        <v>345.04</v>
      </c>
      <c r="M120" s="21">
        <v>345.29</v>
      </c>
      <c r="N120" s="23">
        <v>1.0007245536749301</v>
      </c>
      <c r="O120" s="23">
        <v>1.0043771680406</v>
      </c>
      <c r="P120" s="23">
        <v>1.00378613161595</v>
      </c>
      <c r="Q120" s="23">
        <v>1.0062502124360799</v>
      </c>
      <c r="R120" s="21">
        <v>346.55029806072901</v>
      </c>
      <c r="S120" s="21">
        <v>346.50898693612697</v>
      </c>
      <c r="T120" s="21">
        <v>347.36518253914801</v>
      </c>
      <c r="U120" s="22">
        <v>3.64332479140705E-3</v>
      </c>
      <c r="V120" s="22">
        <v>3.5241109649849799E-3</v>
      </c>
      <c r="W120" s="22">
        <v>5.9919821590250803E-3</v>
      </c>
      <c r="X120" s="23">
        <v>1.0007245536749301</v>
      </c>
      <c r="Y120" s="23">
        <v>1.0043771680406</v>
      </c>
      <c r="Z120" s="23">
        <v>1.00378613161595</v>
      </c>
      <c r="AA120" s="23">
        <v>1.0062502124360799</v>
      </c>
      <c r="AB120" s="21">
        <v>346.55029806072901</v>
      </c>
      <c r="AC120" s="21">
        <v>346.50898693612697</v>
      </c>
      <c r="AD120" s="21">
        <v>347.36518253914801</v>
      </c>
      <c r="AE120" s="22">
        <v>3.64332479140705E-3</v>
      </c>
      <c r="AF120" s="22">
        <v>3.5241109649849799E-3</v>
      </c>
      <c r="AG120" s="22">
        <v>5.9919821590250803E-3</v>
      </c>
      <c r="AI120" s="5"/>
      <c r="AJ120">
        <f>IF($AG120&lt;AI$21,1,0)</f>
        <v>0</v>
      </c>
      <c r="AK120">
        <f>IF($AG120&gt;AI$22,1,0)</f>
        <v>1</v>
      </c>
      <c r="AL120">
        <f t="shared" si="12"/>
        <v>0</v>
      </c>
      <c r="AM120">
        <f>IF(F121+H121&gt;0,0,1)</f>
        <v>1</v>
      </c>
      <c r="AN120">
        <f t="shared" si="13"/>
        <v>0</v>
      </c>
      <c r="AO120" s="17">
        <f>AN120*D120</f>
        <v>0</v>
      </c>
      <c r="AP120" s="17">
        <f>-AN120*$E120</f>
        <v>0</v>
      </c>
      <c r="AQ120" s="17">
        <f t="shared" si="14"/>
        <v>0</v>
      </c>
      <c r="AR120" s="11">
        <f t="shared" si="15"/>
        <v>2.0812393953284412E-2</v>
      </c>
      <c r="AT120" s="5"/>
      <c r="AU120">
        <f>IF($AG120&gt;AT$21,1,0)</f>
        <v>1</v>
      </c>
      <c r="AV120">
        <f>IF($AG120&lt;AT$22,1,0)</f>
        <v>0</v>
      </c>
      <c r="AW120">
        <f t="shared" si="16"/>
        <v>1</v>
      </c>
      <c r="AX120">
        <f>IF(F121+H121&gt;0,0,1)</f>
        <v>1</v>
      </c>
      <c r="AY120">
        <f t="shared" si="17"/>
        <v>1</v>
      </c>
      <c r="AZ120" s="17">
        <f>-AY120*D120</f>
        <v>3.0096098651608599E-3</v>
      </c>
      <c r="BA120" s="17">
        <f>AY120*$E120</f>
        <v>-2.4297833828041799E-3</v>
      </c>
      <c r="BB120" s="17">
        <f t="shared" si="18"/>
        <v>5.7982648235668007E-4</v>
      </c>
      <c r="BC120" s="11">
        <f t="shared" si="19"/>
        <v>1.8696840307483422E-3</v>
      </c>
      <c r="BE120" s="11">
        <f t="shared" si="20"/>
        <v>5.7982648235668007E-4</v>
      </c>
      <c r="BF120" s="11">
        <f t="shared" si="21"/>
        <v>2.2682077984032753E-2</v>
      </c>
      <c r="BH120" s="11"/>
    </row>
    <row r="121" spans="1:60" x14ac:dyDescent="0.25">
      <c r="A121" s="1">
        <v>46198</v>
      </c>
      <c r="B121" s="21">
        <v>342.19</v>
      </c>
      <c r="C121" s="21">
        <v>343.71</v>
      </c>
      <c r="D121" s="22">
        <v>-8.2942139852826106E-3</v>
      </c>
      <c r="E121" s="22">
        <v>-4.5863650785885803E-3</v>
      </c>
      <c r="F121" s="21">
        <v>0</v>
      </c>
      <c r="G121" s="21">
        <v>0.43</v>
      </c>
      <c r="H121" s="21">
        <v>0</v>
      </c>
      <c r="I121" s="21">
        <v>0.43</v>
      </c>
      <c r="J121" s="21">
        <v>0</v>
      </c>
      <c r="K121" s="21">
        <v>0</v>
      </c>
      <c r="L121" s="21">
        <v>342.19</v>
      </c>
      <c r="M121" s="21">
        <v>343.71</v>
      </c>
      <c r="N121" s="23">
        <v>1.00444197667962</v>
      </c>
      <c r="O121" s="23">
        <v>1.0043771680406</v>
      </c>
      <c r="P121" s="23">
        <v>1.00336425886616</v>
      </c>
      <c r="Q121" s="23">
        <v>1.00595260126824</v>
      </c>
      <c r="R121" s="21">
        <v>343.68782313181299</v>
      </c>
      <c r="S121" s="21">
        <v>343.48557637766299</v>
      </c>
      <c r="T121" s="21">
        <v>344.32876019350198</v>
      </c>
      <c r="U121" s="22">
        <v>-6.4524115286992295E-5</v>
      </c>
      <c r="V121" s="22">
        <v>-6.5315795976996697E-4</v>
      </c>
      <c r="W121" s="22">
        <v>1.79862064787622E-3</v>
      </c>
      <c r="X121" s="23">
        <v>1.00444197667962</v>
      </c>
      <c r="Y121" s="23">
        <v>1.0043771680406</v>
      </c>
      <c r="Z121" s="23">
        <v>1.00336425886616</v>
      </c>
      <c r="AA121" s="23">
        <v>1.00595260126824</v>
      </c>
      <c r="AB121" s="21">
        <v>343.68782313181299</v>
      </c>
      <c r="AC121" s="21">
        <v>343.48557637766299</v>
      </c>
      <c r="AD121" s="21">
        <v>344.32876019350198</v>
      </c>
      <c r="AE121" s="22">
        <v>-6.4524115286992295E-5</v>
      </c>
      <c r="AF121" s="22">
        <v>-6.5315795976996697E-4</v>
      </c>
      <c r="AG121" s="22">
        <v>1.79862064787622E-3</v>
      </c>
      <c r="AI121" s="5"/>
      <c r="AJ121">
        <f>IF($AG121&lt;AI$21,1,0)</f>
        <v>0</v>
      </c>
      <c r="AK121">
        <f>IF($AG121&gt;AI$22,1,0)</f>
        <v>1</v>
      </c>
      <c r="AL121">
        <f t="shared" si="12"/>
        <v>0</v>
      </c>
      <c r="AM121">
        <f>IF(F122+H122&gt;0,0,1)</f>
        <v>1</v>
      </c>
      <c r="AN121">
        <f t="shared" si="13"/>
        <v>0</v>
      </c>
      <c r="AO121" s="17">
        <f>AN121*D121</f>
        <v>0</v>
      </c>
      <c r="AP121" s="17">
        <f>-AN121*$E121</f>
        <v>0</v>
      </c>
      <c r="AQ121" s="17">
        <f t="shared" si="14"/>
        <v>0</v>
      </c>
      <c r="AR121" s="11">
        <f t="shared" si="15"/>
        <v>2.0812393953284412E-2</v>
      </c>
      <c r="AT121" s="5"/>
      <c r="AU121">
        <f>IF($AG121&gt;AT$21,1,0)</f>
        <v>0</v>
      </c>
      <c r="AV121">
        <f>IF($AG121&lt;AT$22,1,0)</f>
        <v>1</v>
      </c>
      <c r="AW121">
        <f t="shared" si="16"/>
        <v>1</v>
      </c>
      <c r="AX121">
        <f>IF(F122+H122&gt;0,0,1)</f>
        <v>1</v>
      </c>
      <c r="AY121">
        <f t="shared" si="17"/>
        <v>1</v>
      </c>
      <c r="AZ121" s="17">
        <f>-AY121*D121</f>
        <v>8.2942139852826106E-3</v>
      </c>
      <c r="BA121" s="17">
        <f>AY121*$E121</f>
        <v>-4.5863650785885803E-3</v>
      </c>
      <c r="BB121" s="17">
        <f t="shared" si="18"/>
        <v>3.7078489066940303E-3</v>
      </c>
      <c r="BC121" s="11">
        <f t="shared" si="19"/>
        <v>5.5775329374423725E-3</v>
      </c>
      <c r="BE121" s="11">
        <f t="shared" si="20"/>
        <v>3.7078489066940303E-3</v>
      </c>
      <c r="BF121" s="11">
        <f t="shared" si="21"/>
        <v>2.6389926890726785E-2</v>
      </c>
      <c r="BH121" s="11"/>
    </row>
    <row r="122" spans="1:60" x14ac:dyDescent="0.25">
      <c r="A122" s="1">
        <v>46199</v>
      </c>
      <c r="B122" s="21">
        <v>334.69</v>
      </c>
      <c r="C122" s="21">
        <v>337.39</v>
      </c>
      <c r="D122" s="22">
        <v>-2.2161408085606401E-2</v>
      </c>
      <c r="E122" s="22">
        <v>-1.85587473123838E-2</v>
      </c>
      <c r="F122" s="21">
        <v>0</v>
      </c>
      <c r="G122" s="21">
        <v>0.43</v>
      </c>
      <c r="H122" s="21">
        <v>0</v>
      </c>
      <c r="I122" s="21">
        <v>0.43</v>
      </c>
      <c r="J122" s="21">
        <v>0</v>
      </c>
      <c r="K122" s="21">
        <v>0</v>
      </c>
      <c r="L122" s="21">
        <v>334.69</v>
      </c>
      <c r="M122" s="21">
        <v>337.39</v>
      </c>
      <c r="N122" s="23">
        <v>1.0080671666318</v>
      </c>
      <c r="O122" s="23">
        <v>1.0043771680406</v>
      </c>
      <c r="P122" s="23">
        <v>1.0038316217039001</v>
      </c>
      <c r="Q122" s="23">
        <v>1.00583669097867</v>
      </c>
      <c r="R122" s="21">
        <v>336.15499437150902</v>
      </c>
      <c r="S122" s="21">
        <v>335.81598379991601</v>
      </c>
      <c r="T122" s="21">
        <v>336.682276118468</v>
      </c>
      <c r="U122" s="22">
        <v>-3.6671848885095298E-3</v>
      </c>
      <c r="V122" s="22">
        <v>-4.67618858470145E-3</v>
      </c>
      <c r="W122" s="22">
        <v>-2.0998464605538202E-3</v>
      </c>
      <c r="X122" s="23">
        <v>1.0080671666318</v>
      </c>
      <c r="Y122" s="23">
        <v>1.0043771680406</v>
      </c>
      <c r="Z122" s="23">
        <v>1.0038316217039001</v>
      </c>
      <c r="AA122" s="23">
        <v>1.00583669097867</v>
      </c>
      <c r="AB122" s="21">
        <v>336.15499437150902</v>
      </c>
      <c r="AC122" s="21">
        <v>335.81598379991601</v>
      </c>
      <c r="AD122" s="21">
        <v>336.682276118468</v>
      </c>
      <c r="AE122" s="22">
        <v>-3.6671848885095298E-3</v>
      </c>
      <c r="AF122" s="22">
        <v>-4.67618858470145E-3</v>
      </c>
      <c r="AG122" s="22">
        <v>-2.0998464605538202E-3</v>
      </c>
      <c r="AI122" s="5"/>
      <c r="AJ122">
        <f>IF($AG122&lt;AI$21,1,0)</f>
        <v>0</v>
      </c>
      <c r="AK122">
        <f>IF($AG122&gt;AI$22,1,0)</f>
        <v>0</v>
      </c>
      <c r="AL122">
        <f t="shared" si="12"/>
        <v>0</v>
      </c>
      <c r="AM122">
        <f>IF(F123+H123&gt;0,0,1)</f>
        <v>1</v>
      </c>
      <c r="AN122">
        <f t="shared" si="13"/>
        <v>0</v>
      </c>
      <c r="AO122" s="17">
        <f>AN122*D122</f>
        <v>0</v>
      </c>
      <c r="AP122" s="17">
        <f>-AN122*$E122</f>
        <v>0</v>
      </c>
      <c r="AQ122" s="17">
        <f t="shared" si="14"/>
        <v>0</v>
      </c>
      <c r="AR122" s="11">
        <f t="shared" si="15"/>
        <v>2.0812393953284412E-2</v>
      </c>
      <c r="AT122" s="5"/>
      <c r="AU122">
        <f>IF($AG122&gt;AT$21,1,0)</f>
        <v>0</v>
      </c>
      <c r="AV122">
        <f>IF($AG122&lt;AT$22,1,0)</f>
        <v>1</v>
      </c>
      <c r="AW122">
        <f t="shared" si="16"/>
        <v>0</v>
      </c>
      <c r="AX122">
        <f>IF(F123+H123&gt;0,0,1)</f>
        <v>1</v>
      </c>
      <c r="AY122">
        <f t="shared" si="17"/>
        <v>0</v>
      </c>
      <c r="AZ122" s="17">
        <f>-AY122*D122</f>
        <v>0</v>
      </c>
      <c r="BA122" s="17">
        <f>AY122*$E122</f>
        <v>0</v>
      </c>
      <c r="BB122" s="17">
        <f t="shared" si="18"/>
        <v>0</v>
      </c>
      <c r="BC122" s="11">
        <f t="shared" si="19"/>
        <v>5.5775329374423725E-3</v>
      </c>
      <c r="BE122" s="11">
        <f t="shared" si="20"/>
        <v>0</v>
      </c>
      <c r="BF122" s="11">
        <f t="shared" si="21"/>
        <v>2.6389926890726785E-2</v>
      </c>
      <c r="BH122" s="11"/>
    </row>
    <row r="123" spans="1:60" x14ac:dyDescent="0.25">
      <c r="A123" s="1">
        <v>46202</v>
      </c>
      <c r="B123" s="21">
        <v>351.28</v>
      </c>
      <c r="C123" s="21">
        <v>353.65</v>
      </c>
      <c r="D123" s="22">
        <v>4.83788959847632E-2</v>
      </c>
      <c r="E123" s="22">
        <v>4.7068192220738499E-2</v>
      </c>
      <c r="F123" s="21">
        <v>0</v>
      </c>
      <c r="G123" s="21">
        <v>0.43</v>
      </c>
      <c r="H123" s="21">
        <v>0</v>
      </c>
      <c r="I123" s="21">
        <v>0.43</v>
      </c>
      <c r="J123" s="21">
        <v>0</v>
      </c>
      <c r="K123" s="21">
        <v>0</v>
      </c>
      <c r="L123" s="21">
        <v>351.28</v>
      </c>
      <c r="M123" s="21">
        <v>353.65</v>
      </c>
      <c r="N123" s="23">
        <v>1.00674675472557</v>
      </c>
      <c r="O123" s="23">
        <v>1.0043771680406</v>
      </c>
      <c r="P123" s="23">
        <v>1.00408190584297</v>
      </c>
      <c r="Q123" s="23">
        <v>1.00565467584722</v>
      </c>
      <c r="R123" s="21">
        <v>352.81761158930198</v>
      </c>
      <c r="S123" s="21">
        <v>352.62597207214702</v>
      </c>
      <c r="T123" s="21">
        <v>353.33031280698998</v>
      </c>
      <c r="U123" s="22">
        <v>-2.3564811244848201E-3</v>
      </c>
      <c r="V123" s="22">
        <v>-2.8997974897009698E-3</v>
      </c>
      <c r="W123" s="22">
        <v>-9.04373739997379E-4</v>
      </c>
      <c r="X123" s="23">
        <v>1.00674675472557</v>
      </c>
      <c r="Y123" s="23">
        <v>1.0043771680406</v>
      </c>
      <c r="Z123" s="23">
        <v>1.00408190584297</v>
      </c>
      <c r="AA123" s="23">
        <v>1.00565467584722</v>
      </c>
      <c r="AB123" s="21">
        <v>352.81761158930198</v>
      </c>
      <c r="AC123" s="21">
        <v>352.62597207214702</v>
      </c>
      <c r="AD123" s="21">
        <v>353.33031280698998</v>
      </c>
      <c r="AE123" s="22">
        <v>-2.3564811244848201E-3</v>
      </c>
      <c r="AF123" s="22">
        <v>-2.8997974897009698E-3</v>
      </c>
      <c r="AG123" s="22">
        <v>-9.04373739997379E-4</v>
      </c>
      <c r="AI123" s="5"/>
      <c r="AJ123">
        <f>IF($AG123&lt;AI$21,1,0)</f>
        <v>0</v>
      </c>
      <c r="AK123">
        <f>IF($AG123&gt;AI$22,1,0)</f>
        <v>1</v>
      </c>
      <c r="AL123">
        <f t="shared" si="12"/>
        <v>0</v>
      </c>
      <c r="AM123">
        <f>IF(F124+H124&gt;0,0,1)</f>
        <v>1</v>
      </c>
      <c r="AN123">
        <f t="shared" si="13"/>
        <v>0</v>
      </c>
      <c r="AO123" s="17">
        <f>AN123*D123</f>
        <v>0</v>
      </c>
      <c r="AP123" s="17">
        <f>-AN123*$E123</f>
        <v>0</v>
      </c>
      <c r="AQ123" s="17">
        <f t="shared" si="14"/>
        <v>0</v>
      </c>
      <c r="AR123" s="11">
        <f t="shared" si="15"/>
        <v>2.0812393953284412E-2</v>
      </c>
      <c r="AT123" s="5"/>
      <c r="AU123">
        <f>IF($AG123&gt;AT$21,1,0)</f>
        <v>0</v>
      </c>
      <c r="AV123">
        <f>IF($AG123&lt;AT$22,1,0)</f>
        <v>1</v>
      </c>
      <c r="AW123">
        <f t="shared" si="16"/>
        <v>0</v>
      </c>
      <c r="AX123">
        <f>IF(F124+H124&gt;0,0,1)</f>
        <v>1</v>
      </c>
      <c r="AY123">
        <f t="shared" si="17"/>
        <v>0</v>
      </c>
      <c r="AZ123" s="17">
        <f>-AY123*D123</f>
        <v>0</v>
      </c>
      <c r="BA123" s="17">
        <f>AY123*$E123</f>
        <v>0</v>
      </c>
      <c r="BB123" s="17">
        <f t="shared" si="18"/>
        <v>0</v>
      </c>
      <c r="BC123" s="11">
        <f t="shared" si="19"/>
        <v>5.5775329374423725E-3</v>
      </c>
      <c r="BE123" s="11">
        <f t="shared" si="20"/>
        <v>0</v>
      </c>
      <c r="BF123" s="11">
        <f t="shared" si="21"/>
        <v>2.6389926890726785E-2</v>
      </c>
      <c r="BH123" s="11"/>
    </row>
    <row r="124" spans="1:60" x14ac:dyDescent="0.25">
      <c r="A124" s="1">
        <v>46203</v>
      </c>
      <c r="B124" s="21">
        <v>353.33</v>
      </c>
      <c r="C124" s="21">
        <v>357.37</v>
      </c>
      <c r="D124" s="22">
        <v>5.8188381777768798E-3</v>
      </c>
      <c r="E124" s="22">
        <v>1.0463936156692199E-2</v>
      </c>
      <c r="F124" s="21">
        <v>0</v>
      </c>
      <c r="G124" s="21">
        <v>0.43</v>
      </c>
      <c r="H124" s="21">
        <v>0</v>
      </c>
      <c r="I124" s="21">
        <v>0.43</v>
      </c>
      <c r="J124" s="21">
        <v>0</v>
      </c>
      <c r="K124" s="21">
        <v>0</v>
      </c>
      <c r="L124" s="21">
        <v>353.33</v>
      </c>
      <c r="M124" s="21">
        <v>357.37</v>
      </c>
      <c r="N124" s="23">
        <v>1.01143407013273</v>
      </c>
      <c r="O124" s="23">
        <v>1.0043771680406</v>
      </c>
      <c r="P124" s="23">
        <v>1.0046151415179601</v>
      </c>
      <c r="Q124" s="23">
        <v>1.00571776375452</v>
      </c>
      <c r="R124" s="21">
        <v>354.87658478378597</v>
      </c>
      <c r="S124" s="21">
        <v>354.77225979149898</v>
      </c>
      <c r="T124" s="21">
        <v>355.3279666171</v>
      </c>
      <c r="U124" s="22">
        <v>-7.0015791034001799E-3</v>
      </c>
      <c r="V124" s="22">
        <v>-7.2955977404643496E-3</v>
      </c>
      <c r="W124" s="22">
        <v>-5.7304470240528201E-3</v>
      </c>
      <c r="X124" s="23">
        <v>1.01143407013273</v>
      </c>
      <c r="Y124" s="23">
        <v>1.0043771680406</v>
      </c>
      <c r="Z124" s="23">
        <v>1.0046151415179601</v>
      </c>
      <c r="AA124" s="23">
        <v>1.00571776375452</v>
      </c>
      <c r="AB124" s="21">
        <v>354.87658478378597</v>
      </c>
      <c r="AC124" s="21">
        <v>354.77225979149898</v>
      </c>
      <c r="AD124" s="21">
        <v>355.3279666171</v>
      </c>
      <c r="AE124" s="22">
        <v>-7.0015791034001799E-3</v>
      </c>
      <c r="AF124" s="22">
        <v>-7.2955977404643496E-3</v>
      </c>
      <c r="AG124" s="22">
        <v>-5.7304470240528201E-3</v>
      </c>
      <c r="AI124" s="5"/>
      <c r="AJ124">
        <f>IF($AG124&lt;AI$21,1,0)</f>
        <v>1</v>
      </c>
      <c r="AK124">
        <f>IF($AG124&gt;AI$22,1,0)</f>
        <v>0</v>
      </c>
      <c r="AL124">
        <f t="shared" si="12"/>
        <v>0</v>
      </c>
      <c r="AM124">
        <f>IF(F125+H125&gt;0,0,1)</f>
        <v>1</v>
      </c>
      <c r="AN124">
        <f t="shared" si="13"/>
        <v>0</v>
      </c>
      <c r="AO124" s="17">
        <f>AN124*D124</f>
        <v>0</v>
      </c>
      <c r="AP124" s="17">
        <f>-AN124*$E124</f>
        <v>0</v>
      </c>
      <c r="AQ124" s="17">
        <f t="shared" si="14"/>
        <v>0</v>
      </c>
      <c r="AR124" s="11">
        <f t="shared" si="15"/>
        <v>2.0812393953284412E-2</v>
      </c>
      <c r="AT124" s="5"/>
      <c r="AU124">
        <f>IF($AG124&gt;AT$21,1,0)</f>
        <v>0</v>
      </c>
      <c r="AV124">
        <f>IF($AG124&lt;AT$22,1,0)</f>
        <v>1</v>
      </c>
      <c r="AW124">
        <f t="shared" si="16"/>
        <v>0</v>
      </c>
      <c r="AX124">
        <f>IF(F125+H125&gt;0,0,1)</f>
        <v>1</v>
      </c>
      <c r="AY124">
        <f t="shared" si="17"/>
        <v>0</v>
      </c>
      <c r="AZ124" s="17">
        <f>-AY124*D124</f>
        <v>0</v>
      </c>
      <c r="BA124" s="17">
        <f>AY124*$E124</f>
        <v>0</v>
      </c>
      <c r="BB124" s="17">
        <f t="shared" si="18"/>
        <v>0</v>
      </c>
      <c r="BC124" s="11">
        <f t="shared" si="19"/>
        <v>5.5775329374423725E-3</v>
      </c>
      <c r="BE124" s="11">
        <f t="shared" si="20"/>
        <v>0</v>
      </c>
      <c r="BF124" s="11">
        <f t="shared" si="21"/>
        <v>2.6389926890726785E-2</v>
      </c>
      <c r="BH124" s="11"/>
    </row>
    <row r="125" spans="1:60" x14ac:dyDescent="0.25">
      <c r="A125" s="1">
        <v>46204</v>
      </c>
      <c r="B125" s="21">
        <v>357.89</v>
      </c>
      <c r="C125" s="21">
        <v>361.21</v>
      </c>
      <c r="D125" s="22">
        <v>1.28232121848137E-2</v>
      </c>
      <c r="E125" s="22">
        <v>1.06878470137048E-2</v>
      </c>
      <c r="F125" s="21">
        <v>0</v>
      </c>
      <c r="G125" s="21">
        <v>0.43</v>
      </c>
      <c r="H125" s="21">
        <v>0</v>
      </c>
      <c r="I125" s="21">
        <v>0.43</v>
      </c>
      <c r="J125" s="21">
        <v>0</v>
      </c>
      <c r="K125" s="21">
        <v>0</v>
      </c>
      <c r="L125" s="21">
        <v>357.89</v>
      </c>
      <c r="M125" s="21">
        <v>361.21</v>
      </c>
      <c r="N125" s="23">
        <v>1.0092765933666701</v>
      </c>
      <c r="O125" s="23">
        <v>1.0043771680406</v>
      </c>
      <c r="P125" s="23">
        <v>1.0049634421911899</v>
      </c>
      <c r="Q125" s="23">
        <v>1.0056988790614101</v>
      </c>
      <c r="R125" s="21">
        <v>359.45654467005102</v>
      </c>
      <c r="S125" s="21">
        <v>359.54171299786299</v>
      </c>
      <c r="T125" s="21">
        <v>359.93633047010798</v>
      </c>
      <c r="U125" s="22">
        <v>-4.8662139322912098E-3</v>
      </c>
      <c r="V125" s="22">
        <v>-4.6293056302142404E-3</v>
      </c>
      <c r="W125" s="22">
        <v>-3.5323506490345202E-3</v>
      </c>
      <c r="X125" s="23">
        <v>1.0092765933666701</v>
      </c>
      <c r="Y125" s="23">
        <v>1.0043771680406</v>
      </c>
      <c r="Z125" s="23">
        <v>1.0049634421911899</v>
      </c>
      <c r="AA125" s="23">
        <v>1.0056988790614101</v>
      </c>
      <c r="AB125" s="21">
        <v>359.45654467005102</v>
      </c>
      <c r="AC125" s="21">
        <v>359.54171299786299</v>
      </c>
      <c r="AD125" s="21">
        <v>359.93633047010798</v>
      </c>
      <c r="AE125" s="22">
        <v>-4.8662139322912098E-3</v>
      </c>
      <c r="AF125" s="22">
        <v>-4.6293056302142404E-3</v>
      </c>
      <c r="AG125" s="22">
        <v>-3.5323506490345202E-3</v>
      </c>
      <c r="AI125" s="5"/>
      <c r="AJ125">
        <f>IF($AG125&lt;AI$21,1,0)</f>
        <v>0</v>
      </c>
      <c r="AK125">
        <f>IF($AG125&gt;AI$22,1,0)</f>
        <v>0</v>
      </c>
      <c r="AL125">
        <f t="shared" si="12"/>
        <v>1</v>
      </c>
      <c r="AM125">
        <f>IF(F126+H126&gt;0,0,1)</f>
        <v>1</v>
      </c>
      <c r="AN125">
        <f t="shared" si="13"/>
        <v>1</v>
      </c>
      <c r="AO125" s="17">
        <f>AN125*D125</f>
        <v>1.28232121848137E-2</v>
      </c>
      <c r="AP125" s="17">
        <f>-AN125*$E125</f>
        <v>-1.06878470137048E-2</v>
      </c>
      <c r="AQ125" s="17">
        <f t="shared" si="14"/>
        <v>2.1353651711088998E-3</v>
      </c>
      <c r="AR125" s="11">
        <f t="shared" si="15"/>
        <v>2.2947759124393313E-2</v>
      </c>
      <c r="AT125" s="5"/>
      <c r="AU125">
        <f>IF($AG125&gt;AT$21,1,0)</f>
        <v>0</v>
      </c>
      <c r="AV125">
        <f>IF($AG125&lt;AT$22,1,0)</f>
        <v>1</v>
      </c>
      <c r="AW125">
        <f t="shared" si="16"/>
        <v>0</v>
      </c>
      <c r="AX125">
        <f>IF(F126+H126&gt;0,0,1)</f>
        <v>1</v>
      </c>
      <c r="AY125">
        <f t="shared" si="17"/>
        <v>0</v>
      </c>
      <c r="AZ125" s="17">
        <f>-AY125*D125</f>
        <v>0</v>
      </c>
      <c r="BA125" s="17">
        <f>AY125*$E125</f>
        <v>0</v>
      </c>
      <c r="BB125" s="17">
        <f t="shared" si="18"/>
        <v>0</v>
      </c>
      <c r="BC125" s="11">
        <f t="shared" si="19"/>
        <v>5.5775329374423725E-3</v>
      </c>
      <c r="BE125" s="11">
        <f t="shared" si="20"/>
        <v>2.1353651711088998E-3</v>
      </c>
      <c r="BF125" s="11">
        <f t="shared" si="21"/>
        <v>2.8525292061835683E-2</v>
      </c>
      <c r="BH125" s="11"/>
    </row>
    <row r="126" spans="1:60" x14ac:dyDescent="0.25">
      <c r="A126" s="1">
        <v>46205</v>
      </c>
      <c r="B126" s="21">
        <v>356.18</v>
      </c>
      <c r="C126" s="21">
        <v>359.91</v>
      </c>
      <c r="D126" s="22">
        <v>-4.7894555681930297E-3</v>
      </c>
      <c r="E126" s="22">
        <v>-3.6055064574494699E-3</v>
      </c>
      <c r="F126" s="21">
        <v>0</v>
      </c>
      <c r="G126" s="21">
        <v>0.43</v>
      </c>
      <c r="H126" s="21">
        <v>0</v>
      </c>
      <c r="I126" s="21">
        <v>0.43</v>
      </c>
      <c r="J126" s="21">
        <v>0</v>
      </c>
      <c r="K126" s="21">
        <v>0</v>
      </c>
      <c r="L126" s="21">
        <v>356.18</v>
      </c>
      <c r="M126" s="21">
        <v>359.91</v>
      </c>
      <c r="N126" s="23">
        <v>1.01047223314054</v>
      </c>
      <c r="O126" s="23">
        <v>1.0043771680406</v>
      </c>
      <c r="P126" s="23">
        <v>1.00554394360522</v>
      </c>
      <c r="Q126" s="23">
        <v>1.0057571848255</v>
      </c>
      <c r="R126" s="21">
        <v>357.73905971270102</v>
      </c>
      <c r="S126" s="21">
        <v>357.94787883966001</v>
      </c>
      <c r="T126" s="21">
        <v>358.20982674409402</v>
      </c>
      <c r="U126" s="22">
        <v>-6.0501630430346998E-3</v>
      </c>
      <c r="V126" s="22">
        <v>-5.4666142268261601E-3</v>
      </c>
      <c r="W126" s="22">
        <v>-4.7350772648602803E-3</v>
      </c>
      <c r="X126" s="23">
        <v>1.01047223314054</v>
      </c>
      <c r="Y126" s="23">
        <v>1.0043771680406</v>
      </c>
      <c r="Z126" s="23">
        <v>1.00554394360522</v>
      </c>
      <c r="AA126" s="23">
        <v>1.0057571848255</v>
      </c>
      <c r="AB126" s="21">
        <v>357.73905971270102</v>
      </c>
      <c r="AC126" s="21">
        <v>357.94787883966001</v>
      </c>
      <c r="AD126" s="21">
        <v>358.20982674409402</v>
      </c>
      <c r="AE126" s="22">
        <v>-6.0501630430346998E-3</v>
      </c>
      <c r="AF126" s="22">
        <v>-5.4666142268261601E-3</v>
      </c>
      <c r="AG126" s="22">
        <v>-4.7350772648602803E-3</v>
      </c>
      <c r="AI126" s="5"/>
      <c r="AJ126">
        <f>IF($AG126&lt;AI$21,1,0)</f>
        <v>1</v>
      </c>
      <c r="AK126">
        <f>IF($AG126&gt;AI$22,1,0)</f>
        <v>0</v>
      </c>
      <c r="AL126">
        <f t="shared" si="12"/>
        <v>1</v>
      </c>
      <c r="AM126">
        <f>IF(F127+H127&gt;0,0,1)</f>
        <v>1</v>
      </c>
      <c r="AN126">
        <f t="shared" si="13"/>
        <v>1</v>
      </c>
      <c r="AO126" s="17">
        <f>AN126*D126</f>
        <v>-4.7894555681930297E-3</v>
      </c>
      <c r="AP126" s="17">
        <f>-AN126*$E126</f>
        <v>3.6055064574494699E-3</v>
      </c>
      <c r="AQ126" s="17">
        <f t="shared" si="14"/>
        <v>-1.1839491107435598E-3</v>
      </c>
      <c r="AR126" s="11">
        <f t="shared" si="15"/>
        <v>2.1763810013649753E-2</v>
      </c>
      <c r="AT126" s="5"/>
      <c r="AU126">
        <f>IF($AG126&gt;AT$21,1,0)</f>
        <v>0</v>
      </c>
      <c r="AV126">
        <f>IF($AG126&lt;AT$22,1,0)</f>
        <v>1</v>
      </c>
      <c r="AW126">
        <f t="shared" si="16"/>
        <v>0</v>
      </c>
      <c r="AX126">
        <f>IF(F127+H127&gt;0,0,1)</f>
        <v>1</v>
      </c>
      <c r="AY126">
        <f t="shared" si="17"/>
        <v>0</v>
      </c>
      <c r="AZ126" s="17">
        <f>-AY126*D126</f>
        <v>0</v>
      </c>
      <c r="BA126" s="17">
        <f>AY126*$E126</f>
        <v>0</v>
      </c>
      <c r="BB126" s="17">
        <f t="shared" si="18"/>
        <v>0</v>
      </c>
      <c r="BC126" s="11">
        <f t="shared" si="19"/>
        <v>5.5775329374423725E-3</v>
      </c>
      <c r="BE126" s="11">
        <f t="shared" si="20"/>
        <v>-1.1839491107435598E-3</v>
      </c>
      <c r="BF126" s="11">
        <f t="shared" si="21"/>
        <v>2.7341342951092123E-2</v>
      </c>
      <c r="BH126" s="11"/>
    </row>
    <row r="127" spans="1:60" x14ac:dyDescent="0.25">
      <c r="A127" s="1">
        <v>46209</v>
      </c>
      <c r="B127" s="21">
        <v>364.9</v>
      </c>
      <c r="C127" s="21">
        <v>366.46</v>
      </c>
      <c r="D127" s="22">
        <v>2.4187122394542199E-2</v>
      </c>
      <c r="E127" s="22">
        <v>1.8035374657082399E-2</v>
      </c>
      <c r="F127" s="21">
        <v>0</v>
      </c>
      <c r="G127" s="21">
        <v>0.43</v>
      </c>
      <c r="H127" s="21">
        <v>0</v>
      </c>
      <c r="I127" s="21">
        <v>0.43</v>
      </c>
      <c r="J127" s="21">
        <v>0</v>
      </c>
      <c r="K127" s="21">
        <v>0</v>
      </c>
      <c r="L127" s="21">
        <v>364.9</v>
      </c>
      <c r="M127" s="21">
        <v>366.46</v>
      </c>
      <c r="N127" s="23">
        <v>1.0042751438750299</v>
      </c>
      <c r="O127" s="23">
        <v>1.0043771680406</v>
      </c>
      <c r="P127" s="23">
        <v>1.00581633906821</v>
      </c>
      <c r="Q127" s="23">
        <v>1.00557556736114</v>
      </c>
      <c r="R127" s="21">
        <v>366.49722861801501</v>
      </c>
      <c r="S127" s="21">
        <v>366.922985021545</v>
      </c>
      <c r="T127" s="21">
        <v>367.000796742825</v>
      </c>
      <c r="U127" s="22">
        <v>1.0158469442505399E-4</v>
      </c>
      <c r="V127" s="22">
        <v>1.26260110340112E-3</v>
      </c>
      <c r="W127" s="22">
        <v>1.4746441615634E-3</v>
      </c>
      <c r="X127" s="23">
        <v>1.0042751438750299</v>
      </c>
      <c r="Y127" s="23">
        <v>1.0043771680406</v>
      </c>
      <c r="Z127" s="23">
        <v>1.00581633906821</v>
      </c>
      <c r="AA127" s="23">
        <v>1.00557556736114</v>
      </c>
      <c r="AB127" s="21">
        <v>366.49722861801501</v>
      </c>
      <c r="AC127" s="21">
        <v>366.922985021545</v>
      </c>
      <c r="AD127" s="21">
        <v>367.000796742825</v>
      </c>
      <c r="AE127" s="22">
        <v>1.0158469442505399E-4</v>
      </c>
      <c r="AF127" s="22">
        <v>1.26260110340112E-3</v>
      </c>
      <c r="AG127" s="22">
        <v>1.4746441615634E-3</v>
      </c>
      <c r="AI127" s="5"/>
      <c r="AJ127">
        <f>IF($AG127&lt;AI$21,1,0)</f>
        <v>0</v>
      </c>
      <c r="AK127">
        <f>IF($AG127&gt;AI$22,1,0)</f>
        <v>1</v>
      </c>
      <c r="AL127">
        <f t="shared" si="12"/>
        <v>1</v>
      </c>
      <c r="AM127">
        <f>IF(F128+H128&gt;0,0,1)</f>
        <v>1</v>
      </c>
      <c r="AN127">
        <f t="shared" si="13"/>
        <v>1</v>
      </c>
      <c r="AO127" s="17">
        <f>AN127*D127</f>
        <v>2.4187122394542199E-2</v>
      </c>
      <c r="AP127" s="17">
        <f>-AN127*$E127</f>
        <v>-1.8035374657082399E-2</v>
      </c>
      <c r="AQ127" s="17">
        <f t="shared" si="14"/>
        <v>6.1517477374598006E-3</v>
      </c>
      <c r="AR127" s="11">
        <f t="shared" si="15"/>
        <v>2.7915557751109554E-2</v>
      </c>
      <c r="AT127" s="5"/>
      <c r="AU127">
        <f>IF($AG127&gt;AT$21,1,0)</f>
        <v>0</v>
      </c>
      <c r="AV127">
        <f>IF($AG127&lt;AT$22,1,0)</f>
        <v>1</v>
      </c>
      <c r="AW127">
        <f t="shared" si="16"/>
        <v>0</v>
      </c>
      <c r="AX127">
        <f>IF(F128+H128&gt;0,0,1)</f>
        <v>1</v>
      </c>
      <c r="AY127">
        <f t="shared" si="17"/>
        <v>0</v>
      </c>
      <c r="AZ127" s="17">
        <f>-AY127*D127</f>
        <v>0</v>
      </c>
      <c r="BA127" s="17">
        <f>AY127*$E127</f>
        <v>0</v>
      </c>
      <c r="BB127" s="17">
        <f t="shared" si="18"/>
        <v>0</v>
      </c>
      <c r="BC127" s="11">
        <f t="shared" si="19"/>
        <v>5.5775329374423725E-3</v>
      </c>
      <c r="BE127" s="11">
        <f t="shared" si="20"/>
        <v>6.1517477374598006E-3</v>
      </c>
      <c r="BF127" s="11">
        <f t="shared" si="21"/>
        <v>3.3493090688551927E-2</v>
      </c>
      <c r="BH127" s="11"/>
    </row>
    <row r="128" spans="1:60" x14ac:dyDescent="0.25">
      <c r="A128" s="1">
        <v>46210</v>
      </c>
      <c r="B128" s="21">
        <v>363.62</v>
      </c>
      <c r="C128" s="21">
        <v>367.03</v>
      </c>
      <c r="D128" s="22">
        <v>-3.5139771512751202E-3</v>
      </c>
      <c r="E128" s="22">
        <v>1.5542137309029699E-3</v>
      </c>
      <c r="F128" s="21">
        <v>0</v>
      </c>
      <c r="G128" s="21">
        <v>0.43</v>
      </c>
      <c r="H128" s="21">
        <v>0</v>
      </c>
      <c r="I128" s="21">
        <v>0.43</v>
      </c>
      <c r="J128" s="21">
        <v>0</v>
      </c>
      <c r="K128" s="21">
        <v>0</v>
      </c>
      <c r="L128" s="21">
        <v>363.62</v>
      </c>
      <c r="M128" s="21">
        <v>367.03</v>
      </c>
      <c r="N128" s="23">
        <v>1.00937792200649</v>
      </c>
      <c r="O128" s="23">
        <v>1.0043771680406</v>
      </c>
      <c r="P128" s="23">
        <v>1.0064960889499199</v>
      </c>
      <c r="Q128" s="23">
        <v>1.0056657998569201</v>
      </c>
      <c r="R128" s="21">
        <v>365.21162584292301</v>
      </c>
      <c r="S128" s="21">
        <v>365.73493721198503</v>
      </c>
      <c r="T128" s="21">
        <v>365.64738780385898</v>
      </c>
      <c r="U128" s="22">
        <v>-4.9666061877531396E-3</v>
      </c>
      <c r="V128" s="22">
        <v>-3.5347328199254601E-3</v>
      </c>
      <c r="W128" s="22">
        <v>-3.77414087108902E-3</v>
      </c>
      <c r="X128" s="23">
        <v>1.00937792200649</v>
      </c>
      <c r="Y128" s="23">
        <v>1.0043771680406</v>
      </c>
      <c r="Z128" s="23">
        <v>1.0064960889499199</v>
      </c>
      <c r="AA128" s="23">
        <v>1.0056657998569201</v>
      </c>
      <c r="AB128" s="21">
        <v>365.21162584292301</v>
      </c>
      <c r="AC128" s="21">
        <v>365.73493721198503</v>
      </c>
      <c r="AD128" s="21">
        <v>365.64738780385898</v>
      </c>
      <c r="AE128" s="22">
        <v>-4.9666061877531396E-3</v>
      </c>
      <c r="AF128" s="22">
        <v>-3.5347328199254601E-3</v>
      </c>
      <c r="AG128" s="22">
        <v>-3.77414087108902E-3</v>
      </c>
      <c r="AI128" s="5"/>
      <c r="AJ128">
        <f>IF($AG128&lt;AI$21,1,0)</f>
        <v>0</v>
      </c>
      <c r="AK128">
        <f>IF($AG128&gt;AI$22,1,0)</f>
        <v>0</v>
      </c>
      <c r="AL128">
        <f t="shared" si="12"/>
        <v>0</v>
      </c>
      <c r="AM128">
        <f>IF(F129+H129&gt;0,0,1)</f>
        <v>1</v>
      </c>
      <c r="AN128">
        <f t="shared" si="13"/>
        <v>0</v>
      </c>
      <c r="AO128" s="17">
        <f>AN128*D128</f>
        <v>0</v>
      </c>
      <c r="AP128" s="17">
        <f>-AN128*$E128</f>
        <v>0</v>
      </c>
      <c r="AQ128" s="17">
        <f t="shared" si="14"/>
        <v>0</v>
      </c>
      <c r="AR128" s="11">
        <f t="shared" si="15"/>
        <v>2.7915557751109554E-2</v>
      </c>
      <c r="AT128" s="5"/>
      <c r="AU128">
        <f>IF($AG128&gt;AT$21,1,0)</f>
        <v>0</v>
      </c>
      <c r="AV128">
        <f>IF($AG128&lt;AT$22,1,0)</f>
        <v>1</v>
      </c>
      <c r="AW128">
        <f t="shared" si="16"/>
        <v>0</v>
      </c>
      <c r="AX128">
        <f>IF(F129+H129&gt;0,0,1)</f>
        <v>1</v>
      </c>
      <c r="AY128">
        <f t="shared" si="17"/>
        <v>0</v>
      </c>
      <c r="AZ128" s="17">
        <f>-AY128*D128</f>
        <v>0</v>
      </c>
      <c r="BA128" s="17">
        <f>AY128*$E128</f>
        <v>0</v>
      </c>
      <c r="BB128" s="17">
        <f t="shared" si="18"/>
        <v>0</v>
      </c>
      <c r="BC128" s="11">
        <f t="shared" si="19"/>
        <v>5.5775329374423725E-3</v>
      </c>
      <c r="BE128" s="11">
        <f t="shared" si="20"/>
        <v>0</v>
      </c>
      <c r="BF128" s="11">
        <f t="shared" si="21"/>
        <v>3.3493090688551927E-2</v>
      </c>
      <c r="BH128" s="11"/>
    </row>
    <row r="129" spans="1:60" x14ac:dyDescent="0.25">
      <c r="A129" s="1">
        <v>46211</v>
      </c>
      <c r="B129" s="21">
        <v>358.71</v>
      </c>
      <c r="C129" s="21">
        <v>361.92</v>
      </c>
      <c r="D129" s="22">
        <v>-1.35951036915285E-2</v>
      </c>
      <c r="E129" s="22">
        <v>-1.40203956551763E-2</v>
      </c>
      <c r="F129" s="21">
        <v>0</v>
      </c>
      <c r="G129" s="21">
        <v>0.43</v>
      </c>
      <c r="H129" s="21">
        <v>0</v>
      </c>
      <c r="I129" s="21">
        <v>0.43</v>
      </c>
      <c r="J129" s="21">
        <v>0</v>
      </c>
      <c r="K129" s="21">
        <v>0</v>
      </c>
      <c r="L129" s="21">
        <v>358.71</v>
      </c>
      <c r="M129" s="21">
        <v>361.92</v>
      </c>
      <c r="N129" s="23">
        <v>1.0089487329597699</v>
      </c>
      <c r="O129" s="23">
        <v>1.0043771680406</v>
      </c>
      <c r="P129" s="23">
        <v>1.0073765147193099</v>
      </c>
      <c r="Q129" s="23">
        <v>1.00581697712566</v>
      </c>
      <c r="R129" s="21">
        <v>360.28013394784398</v>
      </c>
      <c r="S129" s="21">
        <v>361.04021206722803</v>
      </c>
      <c r="T129" s="21">
        <v>360.74237906667503</v>
      </c>
      <c r="U129" s="22">
        <v>-4.5413142241053101E-3</v>
      </c>
      <c r="V129" s="22">
        <v>-2.43385003042081E-3</v>
      </c>
      <c r="W129" s="22">
        <v>-3.2591207452163698E-3</v>
      </c>
      <c r="X129" s="23">
        <v>1.0089487329597699</v>
      </c>
      <c r="Y129" s="23">
        <v>1.0043771680406</v>
      </c>
      <c r="Z129" s="23">
        <v>1.0073765147193099</v>
      </c>
      <c r="AA129" s="23">
        <v>1.00581697712566</v>
      </c>
      <c r="AB129" s="21">
        <v>360.28013394784398</v>
      </c>
      <c r="AC129" s="21">
        <v>361.04021206722803</v>
      </c>
      <c r="AD129" s="21">
        <v>360.74237906667503</v>
      </c>
      <c r="AE129" s="22">
        <v>-4.5413142241053101E-3</v>
      </c>
      <c r="AF129" s="22">
        <v>-2.43385003042081E-3</v>
      </c>
      <c r="AG129" s="22">
        <v>-3.2591207452163698E-3</v>
      </c>
      <c r="AI129" s="5"/>
      <c r="AJ129">
        <f>IF($AG129&lt;AI$21,1,0)</f>
        <v>0</v>
      </c>
      <c r="AK129">
        <f>IF($AG129&gt;AI$22,1,0)</f>
        <v>0</v>
      </c>
      <c r="AL129">
        <f t="shared" si="12"/>
        <v>0</v>
      </c>
      <c r="AM129">
        <f>IF(F130+H130&gt;0,0,1)</f>
        <v>1</v>
      </c>
      <c r="AN129">
        <f t="shared" si="13"/>
        <v>0</v>
      </c>
      <c r="AO129" s="17">
        <f>AN129*D129</f>
        <v>0</v>
      </c>
      <c r="AP129" s="17">
        <f>-AN129*$E129</f>
        <v>0</v>
      </c>
      <c r="AQ129" s="17">
        <f t="shared" si="14"/>
        <v>0</v>
      </c>
      <c r="AR129" s="11">
        <f t="shared" si="15"/>
        <v>2.7915557751109554E-2</v>
      </c>
      <c r="AT129" s="5"/>
      <c r="AU129">
        <f>IF($AG129&gt;AT$21,1,0)</f>
        <v>0</v>
      </c>
      <c r="AV129">
        <f>IF($AG129&lt;AT$22,1,0)</f>
        <v>1</v>
      </c>
      <c r="AW129">
        <f t="shared" si="16"/>
        <v>0</v>
      </c>
      <c r="AX129">
        <f>IF(F130+H130&gt;0,0,1)</f>
        <v>1</v>
      </c>
      <c r="AY129">
        <f t="shared" si="17"/>
        <v>0</v>
      </c>
      <c r="AZ129" s="17">
        <f>-AY129*D129</f>
        <v>0</v>
      </c>
      <c r="BA129" s="17">
        <f>AY129*$E129</f>
        <v>0</v>
      </c>
      <c r="BB129" s="17">
        <f t="shared" si="18"/>
        <v>0</v>
      </c>
      <c r="BC129" s="11">
        <f t="shared" si="19"/>
        <v>5.5775329374423725E-3</v>
      </c>
      <c r="BE129" s="11">
        <f t="shared" si="20"/>
        <v>0</v>
      </c>
      <c r="BF129" s="11">
        <f t="shared" si="21"/>
        <v>3.3493090688551927E-2</v>
      </c>
      <c r="BH129" s="11"/>
    </row>
    <row r="130" spans="1:60" x14ac:dyDescent="0.25">
      <c r="A130" s="1">
        <v>46212</v>
      </c>
      <c r="B130" s="21">
        <v>356.24</v>
      </c>
      <c r="C130" s="21">
        <v>358.89</v>
      </c>
      <c r="D130" s="22">
        <v>-6.9096015861512903E-3</v>
      </c>
      <c r="E130" s="22">
        <v>-8.4072580768332402E-3</v>
      </c>
      <c r="F130" s="21">
        <v>0</v>
      </c>
      <c r="G130" s="21">
        <v>0.43</v>
      </c>
      <c r="H130" s="21">
        <v>0</v>
      </c>
      <c r="I130" s="21">
        <v>0.43</v>
      </c>
      <c r="J130" s="21">
        <v>0</v>
      </c>
      <c r="K130" s="21">
        <v>0</v>
      </c>
      <c r="L130" s="21">
        <v>356.24</v>
      </c>
      <c r="M130" s="21">
        <v>358.89</v>
      </c>
      <c r="N130" s="23">
        <v>1.00743880529979</v>
      </c>
      <c r="O130" s="23">
        <v>1.0043771680406</v>
      </c>
      <c r="P130" s="23">
        <v>1.0080479398818001</v>
      </c>
      <c r="Q130" s="23">
        <v>1.00591703574888</v>
      </c>
      <c r="R130" s="21">
        <v>357.79932234278402</v>
      </c>
      <c r="S130" s="21">
        <v>358.86780960361</v>
      </c>
      <c r="T130" s="21">
        <v>358.31223993124797</v>
      </c>
      <c r="U130" s="22">
        <v>-3.0436577334233199E-3</v>
      </c>
      <c r="V130" s="22">
        <v>-6.1832546019358701E-5</v>
      </c>
      <c r="W130" s="22">
        <v>-1.61114999804321E-3</v>
      </c>
      <c r="X130" s="23">
        <v>1.00743880529979</v>
      </c>
      <c r="Y130" s="23">
        <v>1.0043771680406</v>
      </c>
      <c r="Z130" s="23">
        <v>1.0080479398818001</v>
      </c>
      <c r="AA130" s="23">
        <v>1.00591703574888</v>
      </c>
      <c r="AB130" s="21">
        <v>357.79932234278402</v>
      </c>
      <c r="AC130" s="21">
        <v>358.86780960361</v>
      </c>
      <c r="AD130" s="21">
        <v>358.31223993124797</v>
      </c>
      <c r="AE130" s="22">
        <v>-3.0436577334233199E-3</v>
      </c>
      <c r="AF130" s="22">
        <v>-6.1832546019358701E-5</v>
      </c>
      <c r="AG130" s="22">
        <v>-1.61114999804321E-3</v>
      </c>
      <c r="AI130" s="5"/>
      <c r="AJ130">
        <f>IF($AG130&lt;AI$21,1,0)</f>
        <v>0</v>
      </c>
      <c r="AK130">
        <f>IF($AG130&gt;AI$22,1,0)</f>
        <v>1</v>
      </c>
      <c r="AL130">
        <f t="shared" si="12"/>
        <v>0</v>
      </c>
      <c r="AM130">
        <f>IF(F131+H131&gt;0,0,1)</f>
        <v>1</v>
      </c>
      <c r="AN130">
        <f t="shared" si="13"/>
        <v>0</v>
      </c>
      <c r="AO130" s="17">
        <f>AN130*D130</f>
        <v>0</v>
      </c>
      <c r="AP130" s="17">
        <f>-AN130*$E130</f>
        <v>0</v>
      </c>
      <c r="AQ130" s="17">
        <f t="shared" si="14"/>
        <v>0</v>
      </c>
      <c r="AR130" s="11">
        <f t="shared" si="15"/>
        <v>2.7915557751109554E-2</v>
      </c>
      <c r="AT130" s="5"/>
      <c r="AU130">
        <f>IF($AG130&gt;AT$21,1,0)</f>
        <v>0</v>
      </c>
      <c r="AV130">
        <f>IF($AG130&lt;AT$22,1,0)</f>
        <v>1</v>
      </c>
      <c r="AW130">
        <f t="shared" si="16"/>
        <v>0</v>
      </c>
      <c r="AX130">
        <f>IF(F131+H131&gt;0,0,1)</f>
        <v>1</v>
      </c>
      <c r="AY130">
        <f t="shared" si="17"/>
        <v>0</v>
      </c>
      <c r="AZ130" s="17">
        <f>-AY130*D130</f>
        <v>0</v>
      </c>
      <c r="BA130" s="17">
        <f>AY130*$E130</f>
        <v>0</v>
      </c>
      <c r="BB130" s="17">
        <f t="shared" si="18"/>
        <v>0</v>
      </c>
      <c r="BC130" s="11">
        <f t="shared" si="19"/>
        <v>5.5775329374423725E-3</v>
      </c>
      <c r="BE130" s="11">
        <f t="shared" si="20"/>
        <v>0</v>
      </c>
      <c r="BF130" s="11">
        <f t="shared" si="21"/>
        <v>3.3493090688551927E-2</v>
      </c>
      <c r="BH130" s="11"/>
    </row>
    <row r="131" spans="1:60" x14ac:dyDescent="0.25">
      <c r="A131" s="1">
        <v>46213</v>
      </c>
      <c r="B131" s="21">
        <v>355.03</v>
      </c>
      <c r="C131" s="21">
        <v>357.18</v>
      </c>
      <c r="D131" s="22">
        <v>-3.4023680662966199E-3</v>
      </c>
      <c r="E131" s="22">
        <v>-4.7760784575687698E-3</v>
      </c>
      <c r="F131" s="21">
        <v>0</v>
      </c>
      <c r="G131" s="21">
        <v>0.43</v>
      </c>
      <c r="H131" s="21">
        <v>0</v>
      </c>
      <c r="I131" s="21">
        <v>0.43</v>
      </c>
      <c r="J131" s="21">
        <v>0</v>
      </c>
      <c r="K131" s="21">
        <v>0</v>
      </c>
      <c r="L131" s="21">
        <v>355.03</v>
      </c>
      <c r="M131" s="21">
        <v>357.18</v>
      </c>
      <c r="N131" s="23">
        <v>1.0060558262682</v>
      </c>
      <c r="O131" s="23">
        <v>1.0043771680406</v>
      </c>
      <c r="P131" s="23">
        <v>1.0082093248406601</v>
      </c>
      <c r="Q131" s="23">
        <v>1.00578679185341</v>
      </c>
      <c r="R131" s="21">
        <v>356.58402596945501</v>
      </c>
      <c r="S131" s="21">
        <v>357.88726009623701</v>
      </c>
      <c r="T131" s="21">
        <v>357.13072520192497</v>
      </c>
      <c r="U131" s="22">
        <v>-1.6699473421513001E-3</v>
      </c>
      <c r="V131" s="22">
        <v>1.9781644786143102E-3</v>
      </c>
      <c r="W131" s="22">
        <v>-1.3796460395896199E-4</v>
      </c>
      <c r="X131" s="23">
        <v>1.0060558262682</v>
      </c>
      <c r="Y131" s="23">
        <v>1.0043771680406</v>
      </c>
      <c r="Z131" s="23">
        <v>1.0082093248406601</v>
      </c>
      <c r="AA131" s="23">
        <v>1.00578679185341</v>
      </c>
      <c r="AB131" s="21">
        <v>356.58402596945501</v>
      </c>
      <c r="AC131" s="21">
        <v>357.88726009623701</v>
      </c>
      <c r="AD131" s="21">
        <v>357.13072520192497</v>
      </c>
      <c r="AE131" s="22">
        <v>-1.6699473421513001E-3</v>
      </c>
      <c r="AF131" s="22">
        <v>1.9781644786143102E-3</v>
      </c>
      <c r="AG131" s="22">
        <v>-1.3796460395896199E-4</v>
      </c>
      <c r="AI131" s="5"/>
      <c r="AJ131">
        <f>IF($AG131&lt;AI$21,1,0)</f>
        <v>0</v>
      </c>
      <c r="AK131">
        <f>IF($AG131&gt;AI$22,1,0)</f>
        <v>1</v>
      </c>
      <c r="AL131">
        <f t="shared" si="12"/>
        <v>0</v>
      </c>
      <c r="AM131">
        <f>IF(F132+H132&gt;0,0,1)</f>
        <v>1</v>
      </c>
      <c r="AN131">
        <f t="shared" si="13"/>
        <v>0</v>
      </c>
      <c r="AO131" s="17">
        <f>AN131*D131</f>
        <v>0</v>
      </c>
      <c r="AP131" s="17">
        <f>-AN131*$E131</f>
        <v>0</v>
      </c>
      <c r="AQ131" s="17">
        <f t="shared" si="14"/>
        <v>0</v>
      </c>
      <c r="AR131" s="11">
        <f t="shared" si="15"/>
        <v>2.7915557751109554E-2</v>
      </c>
      <c r="AT131" s="5"/>
      <c r="AU131">
        <f>IF($AG131&gt;AT$21,1,0)</f>
        <v>0</v>
      </c>
      <c r="AV131">
        <f>IF($AG131&lt;AT$22,1,0)</f>
        <v>1</v>
      </c>
      <c r="AW131">
        <f t="shared" si="16"/>
        <v>0</v>
      </c>
      <c r="AX131">
        <f>IF(F132+H132&gt;0,0,1)</f>
        <v>1</v>
      </c>
      <c r="AY131">
        <f t="shared" si="17"/>
        <v>0</v>
      </c>
      <c r="AZ131" s="17">
        <f>-AY131*D131</f>
        <v>0</v>
      </c>
      <c r="BA131" s="17">
        <f>AY131*$E131</f>
        <v>0</v>
      </c>
      <c r="BB131" s="17">
        <f t="shared" si="18"/>
        <v>0</v>
      </c>
      <c r="BC131" s="11">
        <f t="shared" si="19"/>
        <v>5.5775329374423725E-3</v>
      </c>
      <c r="BE131" s="11">
        <f t="shared" si="20"/>
        <v>0</v>
      </c>
      <c r="BF131" s="11">
        <f t="shared" si="21"/>
        <v>3.3493090688551927E-2</v>
      </c>
      <c r="BH131" s="11"/>
    </row>
    <row r="132" spans="1:60" x14ac:dyDescent="0.25">
      <c r="A132" s="1">
        <v>46216</v>
      </c>
      <c r="B132" s="21">
        <v>350.67</v>
      </c>
      <c r="C132" s="21">
        <v>352.51</v>
      </c>
      <c r="D132" s="22">
        <v>-1.2356682659361601E-2</v>
      </c>
      <c r="E132" s="22">
        <v>-1.3160865749090801E-2</v>
      </c>
      <c r="F132" s="21">
        <v>0</v>
      </c>
      <c r="G132" s="21">
        <v>0.43</v>
      </c>
      <c r="H132" s="21">
        <v>0</v>
      </c>
      <c r="I132" s="21">
        <v>0.43</v>
      </c>
      <c r="J132" s="21">
        <v>0</v>
      </c>
      <c r="K132" s="21">
        <v>0</v>
      </c>
      <c r="L132" s="21">
        <v>350.67</v>
      </c>
      <c r="M132" s="21">
        <v>352.51</v>
      </c>
      <c r="N132" s="23">
        <v>1.00524709841161</v>
      </c>
      <c r="O132" s="23">
        <v>1.0043771680406</v>
      </c>
      <c r="P132" s="23">
        <v>1.0079273180186401</v>
      </c>
      <c r="Q132" s="23">
        <v>1.0058794698612701</v>
      </c>
      <c r="R132" s="21">
        <v>352.20494151679799</v>
      </c>
      <c r="S132" s="21">
        <v>353.54876394187499</v>
      </c>
      <c r="T132" s="21">
        <v>352.699254299237</v>
      </c>
      <c r="U132" s="22">
        <v>-8.6576425242210198E-4</v>
      </c>
      <c r="V132" s="22">
        <v>2.9424312660208899E-3</v>
      </c>
      <c r="W132" s="22">
        <v>5.3673233193299004E-4</v>
      </c>
      <c r="X132" s="23">
        <v>1.00524709841161</v>
      </c>
      <c r="Y132" s="23">
        <v>1.0043771680406</v>
      </c>
      <c r="Z132" s="23">
        <v>1.0079273180186401</v>
      </c>
      <c r="AA132" s="23">
        <v>1.0058794698612701</v>
      </c>
      <c r="AB132" s="21">
        <v>352.20494151679799</v>
      </c>
      <c r="AC132" s="21">
        <v>353.54876394187499</v>
      </c>
      <c r="AD132" s="21">
        <v>352.699254299237</v>
      </c>
      <c r="AE132" s="22">
        <v>-8.6576425242210198E-4</v>
      </c>
      <c r="AF132" s="22">
        <v>2.9424312660208899E-3</v>
      </c>
      <c r="AG132" s="22">
        <v>5.3673233193299004E-4</v>
      </c>
      <c r="AI132" s="5"/>
      <c r="AJ132">
        <f>IF($AG132&lt;AI$21,1,0)</f>
        <v>0</v>
      </c>
      <c r="AK132">
        <f>IF($AG132&gt;AI$22,1,0)</f>
        <v>1</v>
      </c>
      <c r="AL132">
        <f t="shared" si="12"/>
        <v>0</v>
      </c>
      <c r="AM132">
        <f>IF(F133+H133&gt;0,0,1)</f>
        <v>1</v>
      </c>
      <c r="AN132">
        <f t="shared" si="13"/>
        <v>0</v>
      </c>
      <c r="AO132" s="17">
        <f>AN132*D132</f>
        <v>0</v>
      </c>
      <c r="AP132" s="17">
        <f>-AN132*$E132</f>
        <v>0</v>
      </c>
      <c r="AQ132" s="17">
        <f t="shared" si="14"/>
        <v>0</v>
      </c>
      <c r="AR132" s="11">
        <f t="shared" si="15"/>
        <v>2.7915557751109554E-2</v>
      </c>
      <c r="AT132" s="5"/>
      <c r="AU132">
        <f>IF($AG132&gt;AT$21,1,0)</f>
        <v>0</v>
      </c>
      <c r="AV132">
        <f>IF($AG132&lt;AT$22,1,0)</f>
        <v>1</v>
      </c>
      <c r="AW132">
        <f t="shared" si="16"/>
        <v>0</v>
      </c>
      <c r="AX132">
        <f>IF(F133+H133&gt;0,0,1)</f>
        <v>1</v>
      </c>
      <c r="AY132">
        <f t="shared" si="17"/>
        <v>0</v>
      </c>
      <c r="AZ132" s="17">
        <f>-AY132*D132</f>
        <v>0</v>
      </c>
      <c r="BA132" s="17">
        <f>AY132*$E132</f>
        <v>0</v>
      </c>
      <c r="BB132" s="17">
        <f t="shared" si="18"/>
        <v>0</v>
      </c>
      <c r="BC132" s="11">
        <f t="shared" si="19"/>
        <v>5.5775329374423725E-3</v>
      </c>
      <c r="BE132" s="11">
        <f t="shared" si="20"/>
        <v>0</v>
      </c>
      <c r="BF132" s="11">
        <f t="shared" si="21"/>
        <v>3.3493090688551927E-2</v>
      </c>
      <c r="BH132" s="11"/>
    </row>
    <row r="133" spans="1:60" x14ac:dyDescent="0.25">
      <c r="A133" s="1">
        <v>46217</v>
      </c>
      <c r="B133" s="21">
        <v>357.33</v>
      </c>
      <c r="C133" s="21">
        <v>359.51</v>
      </c>
      <c r="D133" s="22">
        <v>1.8814114273130501E-2</v>
      </c>
      <c r="E133" s="22">
        <v>1.9663002541652E-2</v>
      </c>
      <c r="F133" s="21">
        <v>0</v>
      </c>
      <c r="G133" s="21">
        <v>0.43</v>
      </c>
      <c r="H133" s="21">
        <v>0</v>
      </c>
      <c r="I133" s="21">
        <v>0.43</v>
      </c>
      <c r="J133" s="21">
        <v>0</v>
      </c>
      <c r="K133" s="21">
        <v>0</v>
      </c>
      <c r="L133" s="21">
        <v>357.33</v>
      </c>
      <c r="M133" s="21">
        <v>359.51</v>
      </c>
      <c r="N133" s="23">
        <v>1.0061008031791301</v>
      </c>
      <c r="O133" s="23">
        <v>1.0043771680406</v>
      </c>
      <c r="P133" s="23">
        <v>1.007862722864</v>
      </c>
      <c r="Q133" s="23">
        <v>1.00597231435348</v>
      </c>
      <c r="R133" s="21">
        <v>358.894093455948</v>
      </c>
      <c r="S133" s="21">
        <v>360.16266854760198</v>
      </c>
      <c r="T133" s="21">
        <v>359.43091096552899</v>
      </c>
      <c r="U133" s="22">
        <v>-1.71465252094375E-3</v>
      </c>
      <c r="V133" s="22">
        <v>1.8137932842468901E-3</v>
      </c>
      <c r="W133" s="22">
        <v>-2.2001539649154801E-4</v>
      </c>
      <c r="X133" s="23">
        <v>1.0061008031791301</v>
      </c>
      <c r="Y133" s="23">
        <v>1.0043771680406</v>
      </c>
      <c r="Z133" s="23">
        <v>1.007862722864</v>
      </c>
      <c r="AA133" s="23">
        <v>1.00597231435348</v>
      </c>
      <c r="AB133" s="21">
        <v>358.894093455948</v>
      </c>
      <c r="AC133" s="21">
        <v>360.16266854760198</v>
      </c>
      <c r="AD133" s="21">
        <v>359.43091096552899</v>
      </c>
      <c r="AE133" s="22">
        <v>-1.71465252094375E-3</v>
      </c>
      <c r="AF133" s="22">
        <v>1.8137932842468901E-3</v>
      </c>
      <c r="AG133" s="22">
        <v>-2.2001539649154801E-4</v>
      </c>
      <c r="AI133" s="5"/>
      <c r="AJ133">
        <f>IF($AG133&lt;AI$21,1,0)</f>
        <v>0</v>
      </c>
      <c r="AK133">
        <f>IF($AG133&gt;AI$22,1,0)</f>
        <v>1</v>
      </c>
      <c r="AL133">
        <f t="shared" si="12"/>
        <v>0</v>
      </c>
      <c r="AM133">
        <f>IF(F134+H134&gt;0,0,1)</f>
        <v>1</v>
      </c>
      <c r="AN133">
        <f t="shared" si="13"/>
        <v>0</v>
      </c>
      <c r="AO133" s="17">
        <f>AN133*D133</f>
        <v>0</v>
      </c>
      <c r="AP133" s="17">
        <f>-AN133*$E133</f>
        <v>0</v>
      </c>
      <c r="AQ133" s="17">
        <f t="shared" si="14"/>
        <v>0</v>
      </c>
      <c r="AR133" s="11">
        <f t="shared" si="15"/>
        <v>2.7915557751109554E-2</v>
      </c>
      <c r="AT133" s="5"/>
      <c r="AU133">
        <f>IF($AG133&gt;AT$21,1,0)</f>
        <v>0</v>
      </c>
      <c r="AV133">
        <f>IF($AG133&lt;AT$22,1,0)</f>
        <v>1</v>
      </c>
      <c r="AW133">
        <f t="shared" si="16"/>
        <v>0</v>
      </c>
      <c r="AX133">
        <f>IF(F134+H134&gt;0,0,1)</f>
        <v>1</v>
      </c>
      <c r="AY133">
        <f t="shared" si="17"/>
        <v>0</v>
      </c>
      <c r="AZ133" s="17">
        <f>-AY133*D133</f>
        <v>0</v>
      </c>
      <c r="BA133" s="17">
        <f>AY133*$E133</f>
        <v>0</v>
      </c>
      <c r="BB133" s="17">
        <f t="shared" si="18"/>
        <v>0</v>
      </c>
      <c r="BC133" s="11">
        <f t="shared" si="19"/>
        <v>5.5775329374423725E-3</v>
      </c>
      <c r="BE133" s="11">
        <f t="shared" si="20"/>
        <v>0</v>
      </c>
      <c r="BF133" s="11">
        <f t="shared" si="21"/>
        <v>3.3493090688551927E-2</v>
      </c>
      <c r="BH133" s="11"/>
    </row>
    <row r="134" spans="1:60" x14ac:dyDescent="0.25">
      <c r="A134" s="1">
        <v>46218</v>
      </c>
      <c r="B134" s="21">
        <v>370.21</v>
      </c>
      <c r="C134" s="21">
        <v>370.92</v>
      </c>
      <c r="D134" s="22">
        <v>3.5410687639364599E-2</v>
      </c>
      <c r="E134" s="22">
        <v>3.12444127461101E-2</v>
      </c>
      <c r="F134" s="21">
        <v>0</v>
      </c>
      <c r="G134" s="21">
        <v>0.43</v>
      </c>
      <c r="H134" s="21">
        <v>0</v>
      </c>
      <c r="I134" s="21">
        <v>0.43</v>
      </c>
      <c r="J134" s="21">
        <v>0</v>
      </c>
      <c r="K134" s="21">
        <v>0</v>
      </c>
      <c r="L134" s="21">
        <v>370.21</v>
      </c>
      <c r="M134" s="21">
        <v>370.92</v>
      </c>
      <c r="N134" s="23">
        <v>1.00191783042057</v>
      </c>
      <c r="O134" s="23">
        <v>1.0043771680406</v>
      </c>
      <c r="P134" s="23">
        <v>1.0069110988927801</v>
      </c>
      <c r="Q134" s="23">
        <v>1.0057631202053701</v>
      </c>
      <c r="R134" s="21">
        <v>371.830471380311</v>
      </c>
      <c r="S134" s="21">
        <v>373.12085863148098</v>
      </c>
      <c r="T134" s="21">
        <v>372.42101049680502</v>
      </c>
      <c r="U134" s="22">
        <v>2.4516223723105202E-3</v>
      </c>
      <c r="V134" s="22">
        <v>5.9159790081372799E-3</v>
      </c>
      <c r="W134" s="22">
        <v>4.0385570437391303E-3</v>
      </c>
      <c r="X134" s="23">
        <v>1.00191783042057</v>
      </c>
      <c r="Y134" s="23">
        <v>1.0043771680406</v>
      </c>
      <c r="Z134" s="23">
        <v>1.0069110988927801</v>
      </c>
      <c r="AA134" s="23">
        <v>1.0057631202053701</v>
      </c>
      <c r="AB134" s="21">
        <v>371.830471380311</v>
      </c>
      <c r="AC134" s="21">
        <v>373.12085863148098</v>
      </c>
      <c r="AD134" s="21">
        <v>372.42101049680502</v>
      </c>
      <c r="AE134" s="22">
        <v>2.4516223723105202E-3</v>
      </c>
      <c r="AF134" s="22">
        <v>5.9159790081372799E-3</v>
      </c>
      <c r="AG134" s="22">
        <v>4.0385570437391303E-3</v>
      </c>
      <c r="AI134" s="5"/>
      <c r="AJ134">
        <f>IF($AG134&lt;AI$21,1,0)</f>
        <v>0</v>
      </c>
      <c r="AK134">
        <f>IF($AG134&gt;AI$22,1,0)</f>
        <v>1</v>
      </c>
      <c r="AL134">
        <f t="shared" si="12"/>
        <v>0</v>
      </c>
      <c r="AM134">
        <f>IF(F135+H135&gt;0,0,1)</f>
        <v>1</v>
      </c>
      <c r="AN134">
        <f t="shared" si="13"/>
        <v>0</v>
      </c>
      <c r="AO134" s="17">
        <f>AN134*D134</f>
        <v>0</v>
      </c>
      <c r="AP134" s="17">
        <f>-AN134*$E134</f>
        <v>0</v>
      </c>
      <c r="AQ134" s="17">
        <f t="shared" si="14"/>
        <v>0</v>
      </c>
      <c r="AR134" s="11">
        <f t="shared" si="15"/>
        <v>2.7915557751109554E-2</v>
      </c>
      <c r="AT134" s="5"/>
      <c r="AU134">
        <f>IF($AG134&gt;AT$21,1,0)</f>
        <v>0</v>
      </c>
      <c r="AV134">
        <f>IF($AG134&lt;AT$22,1,0)</f>
        <v>0</v>
      </c>
      <c r="AW134">
        <f t="shared" si="16"/>
        <v>0</v>
      </c>
      <c r="AX134">
        <f>IF(F135+H135&gt;0,0,1)</f>
        <v>1</v>
      </c>
      <c r="AY134">
        <f t="shared" si="17"/>
        <v>0</v>
      </c>
      <c r="AZ134" s="17">
        <f>-AY134*D134</f>
        <v>0</v>
      </c>
      <c r="BA134" s="17">
        <f>AY134*$E134</f>
        <v>0</v>
      </c>
      <c r="BB134" s="17">
        <f t="shared" si="18"/>
        <v>0</v>
      </c>
      <c r="BC134" s="11">
        <f t="shared" si="19"/>
        <v>5.5775329374423725E-3</v>
      </c>
      <c r="BE134" s="11">
        <f t="shared" si="20"/>
        <v>0</v>
      </c>
      <c r="BF134" s="11">
        <f t="shared" si="21"/>
        <v>3.3493090688551927E-2</v>
      </c>
      <c r="BH134" s="11"/>
    </row>
    <row r="135" spans="1:60" x14ac:dyDescent="0.25">
      <c r="A135" s="1">
        <v>46219</v>
      </c>
      <c r="B135" s="21">
        <v>353.81</v>
      </c>
      <c r="C135" s="21">
        <v>354.46</v>
      </c>
      <c r="D135" s="22">
        <v>-4.5310366317787502E-2</v>
      </c>
      <c r="E135" s="22">
        <v>-4.5390901305031699E-2</v>
      </c>
      <c r="F135" s="21">
        <v>0</v>
      </c>
      <c r="G135" s="21">
        <v>0.43</v>
      </c>
      <c r="H135" s="21">
        <v>0</v>
      </c>
      <c r="I135" s="21">
        <v>0.43</v>
      </c>
      <c r="J135" s="21">
        <v>0</v>
      </c>
      <c r="K135" s="21">
        <v>0</v>
      </c>
      <c r="L135" s="21">
        <v>353.81</v>
      </c>
      <c r="M135" s="21">
        <v>354.46</v>
      </c>
      <c r="N135" s="23">
        <v>1.0018371442299501</v>
      </c>
      <c r="O135" s="23">
        <v>1.0043771680406</v>
      </c>
      <c r="P135" s="23">
        <v>1.0061671539791099</v>
      </c>
      <c r="Q135" s="23">
        <v>1.0055652980851499</v>
      </c>
      <c r="R135" s="21">
        <v>355.35868582444499</v>
      </c>
      <c r="S135" s="21">
        <v>356.25521589925501</v>
      </c>
      <c r="T135" s="21">
        <v>355.84904955986201</v>
      </c>
      <c r="U135" s="22">
        <v>2.5321573595549198E-3</v>
      </c>
      <c r="V135" s="22">
        <v>5.05186796940488E-3</v>
      </c>
      <c r="W135" s="22">
        <v>3.91111821367391E-3</v>
      </c>
      <c r="X135" s="23">
        <v>1.0018371442299501</v>
      </c>
      <c r="Y135" s="23">
        <v>1.0043771680406</v>
      </c>
      <c r="Z135" s="23">
        <v>1.0061671539791099</v>
      </c>
      <c r="AA135" s="23">
        <v>1.0055652980851499</v>
      </c>
      <c r="AB135" s="21">
        <v>355.35868582444499</v>
      </c>
      <c r="AC135" s="21">
        <v>356.25521589925501</v>
      </c>
      <c r="AD135" s="21">
        <v>355.84904955986201</v>
      </c>
      <c r="AE135" s="22">
        <v>2.5321573595549198E-3</v>
      </c>
      <c r="AF135" s="22">
        <v>5.05186796940488E-3</v>
      </c>
      <c r="AG135" s="22">
        <v>3.91111821367391E-3</v>
      </c>
      <c r="AI135" s="5"/>
      <c r="AJ135">
        <f>IF($AG135&lt;AI$21,1,0)</f>
        <v>0</v>
      </c>
      <c r="AK135">
        <f>IF($AG135&gt;AI$22,1,0)</f>
        <v>1</v>
      </c>
      <c r="AL135">
        <f t="shared" si="12"/>
        <v>0</v>
      </c>
      <c r="AM135">
        <f>IF(F136+H136&gt;0,0,1)</f>
        <v>1</v>
      </c>
      <c r="AN135">
        <f t="shared" si="13"/>
        <v>0</v>
      </c>
      <c r="AO135" s="17">
        <f>AN135*D135</f>
        <v>0</v>
      </c>
      <c r="AP135" s="17">
        <f>-AN135*$E135</f>
        <v>0</v>
      </c>
      <c r="AQ135" s="17">
        <f t="shared" si="14"/>
        <v>0</v>
      </c>
      <c r="AR135" s="11">
        <f t="shared" si="15"/>
        <v>2.7915557751109554E-2</v>
      </c>
      <c r="AT135" s="5"/>
      <c r="AU135">
        <f>IF($AG135&gt;AT$21,1,0)</f>
        <v>0</v>
      </c>
      <c r="AV135">
        <f>IF($AG135&lt;AT$22,1,0)</f>
        <v>0</v>
      </c>
      <c r="AW135">
        <f t="shared" si="16"/>
        <v>0</v>
      </c>
      <c r="AX135">
        <f>IF(F136+H136&gt;0,0,1)</f>
        <v>1</v>
      </c>
      <c r="AY135">
        <f t="shared" si="17"/>
        <v>0</v>
      </c>
      <c r="AZ135" s="17">
        <f>-AY135*D135</f>
        <v>0</v>
      </c>
      <c r="BA135" s="17">
        <f>AY135*$E135</f>
        <v>0</v>
      </c>
      <c r="BB135" s="17">
        <f t="shared" si="18"/>
        <v>0</v>
      </c>
      <c r="BC135" s="11">
        <f t="shared" si="19"/>
        <v>5.5775329374423725E-3</v>
      </c>
      <c r="BE135" s="11">
        <f t="shared" si="20"/>
        <v>0</v>
      </c>
      <c r="BF135" s="11">
        <f t="shared" si="21"/>
        <v>3.3493090688551927E-2</v>
      </c>
      <c r="BH135" s="11"/>
    </row>
    <row r="136" spans="1:60" x14ac:dyDescent="0.25">
      <c r="A136" s="1">
        <v>46220</v>
      </c>
      <c r="B136" s="21">
        <v>346.12</v>
      </c>
      <c r="C136" s="21">
        <v>346.77</v>
      </c>
      <c r="D136" s="22">
        <v>-2.1974510143958102E-2</v>
      </c>
      <c r="E136" s="22">
        <v>-2.1933768652708002E-2</v>
      </c>
      <c r="F136" s="21">
        <v>0</v>
      </c>
      <c r="G136" s="21">
        <v>0.43</v>
      </c>
      <c r="H136" s="21">
        <v>0</v>
      </c>
      <c r="I136" s="21">
        <v>0.43</v>
      </c>
      <c r="J136" s="21">
        <v>0</v>
      </c>
      <c r="K136" s="21">
        <v>0</v>
      </c>
      <c r="L136" s="21">
        <v>346.12</v>
      </c>
      <c r="M136" s="21">
        <v>346.77</v>
      </c>
      <c r="N136" s="23">
        <v>1.0018779614006701</v>
      </c>
      <c r="O136" s="23">
        <v>1.0043771680406</v>
      </c>
      <c r="P136" s="23">
        <v>1.00530772680512</v>
      </c>
      <c r="Q136" s="23">
        <v>1.0054258352051699</v>
      </c>
      <c r="R136" s="21">
        <v>347.63502540221299</v>
      </c>
      <c r="S136" s="21">
        <v>348.25457533525002</v>
      </c>
      <c r="T136" s="21">
        <v>348.04626097323302</v>
      </c>
      <c r="U136" s="22">
        <v>2.4914158683047301E-3</v>
      </c>
      <c r="V136" s="22">
        <v>4.2720146761388101E-3</v>
      </c>
      <c r="W136" s="22">
        <v>3.6736687964005702E-3</v>
      </c>
      <c r="X136" s="23">
        <v>1.0018779614006701</v>
      </c>
      <c r="Y136" s="23">
        <v>1.0043771680406</v>
      </c>
      <c r="Z136" s="23">
        <v>1.00530772680512</v>
      </c>
      <c r="AA136" s="23">
        <v>1.0054258352051699</v>
      </c>
      <c r="AB136" s="21">
        <v>347.63502540221299</v>
      </c>
      <c r="AC136" s="21">
        <v>348.25457533525002</v>
      </c>
      <c r="AD136" s="21">
        <v>348.04626097323302</v>
      </c>
      <c r="AE136" s="22">
        <v>2.4914158683047301E-3</v>
      </c>
      <c r="AF136" s="22">
        <v>4.2720146761388101E-3</v>
      </c>
      <c r="AG136" s="22">
        <v>3.6736687964005702E-3</v>
      </c>
      <c r="AI136" s="5"/>
      <c r="AJ136">
        <f>IF($AG136&lt;AI$21,1,0)</f>
        <v>0</v>
      </c>
      <c r="AK136">
        <f>IF($AG136&gt;AI$22,1,0)</f>
        <v>1</v>
      </c>
      <c r="AL136">
        <f t="shared" si="12"/>
        <v>0</v>
      </c>
      <c r="AM136">
        <f>IF(F137+H137&gt;0,0,1)</f>
        <v>1</v>
      </c>
      <c r="AN136">
        <f t="shared" si="13"/>
        <v>0</v>
      </c>
      <c r="AO136" s="17">
        <f>AN136*D136</f>
        <v>0</v>
      </c>
      <c r="AP136" s="17">
        <f>-AN136*$E136</f>
        <v>0</v>
      </c>
      <c r="AQ136" s="17">
        <f t="shared" si="14"/>
        <v>0</v>
      </c>
      <c r="AR136" s="11">
        <f t="shared" si="15"/>
        <v>2.7915557751109554E-2</v>
      </c>
      <c r="AT136" s="5"/>
      <c r="AU136">
        <f>IF($AG136&gt;AT$21,1,0)</f>
        <v>0</v>
      </c>
      <c r="AV136">
        <f>IF($AG136&lt;AT$22,1,0)</f>
        <v>0</v>
      </c>
      <c r="AW136">
        <f t="shared" si="16"/>
        <v>0</v>
      </c>
      <c r="AX136">
        <f>IF(F137+H137&gt;0,0,1)</f>
        <v>1</v>
      </c>
      <c r="AY136">
        <f t="shared" si="17"/>
        <v>0</v>
      </c>
      <c r="AZ136" s="17">
        <f>-AY136*D136</f>
        <v>0</v>
      </c>
      <c r="BA136" s="17">
        <f>AY136*$E136</f>
        <v>0</v>
      </c>
      <c r="BB136" s="17">
        <f t="shared" si="18"/>
        <v>0</v>
      </c>
      <c r="BC136" s="11">
        <f t="shared" si="19"/>
        <v>5.5775329374423725E-3</v>
      </c>
      <c r="BE136" s="11">
        <f t="shared" si="20"/>
        <v>0</v>
      </c>
      <c r="BF136" s="11">
        <f t="shared" si="21"/>
        <v>3.3493090688551927E-2</v>
      </c>
      <c r="BH136" s="11"/>
    </row>
    <row r="137" spans="1:60" x14ac:dyDescent="0.25">
      <c r="A137" s="1">
        <v>46223</v>
      </c>
      <c r="B137" s="21">
        <v>351.37</v>
      </c>
      <c r="C137" s="21">
        <v>351.99</v>
      </c>
      <c r="D137" s="22">
        <v>1.5054263575458001E-2</v>
      </c>
      <c r="E137" s="22">
        <v>1.4941030129356599E-2</v>
      </c>
      <c r="F137" s="21">
        <v>0</v>
      </c>
      <c r="G137" s="21">
        <v>0.43</v>
      </c>
      <c r="H137" s="21">
        <v>0</v>
      </c>
      <c r="I137" s="21">
        <v>0.43</v>
      </c>
      <c r="J137" s="21">
        <v>0</v>
      </c>
      <c r="K137" s="21">
        <v>0</v>
      </c>
      <c r="L137" s="21">
        <v>351.37</v>
      </c>
      <c r="M137" s="21">
        <v>351.99</v>
      </c>
      <c r="N137" s="23">
        <v>1.0017645217292299</v>
      </c>
      <c r="O137" s="23">
        <v>1.0043771680406</v>
      </c>
      <c r="P137" s="23">
        <v>1.0050566645905401</v>
      </c>
      <c r="Q137" s="23">
        <v>1.00543650182938</v>
      </c>
      <c r="R137" s="21">
        <v>352.90800553442602</v>
      </c>
      <c r="S137" s="21">
        <v>353.23497596751599</v>
      </c>
      <c r="T137" s="21">
        <v>353.27647571604098</v>
      </c>
      <c r="U137" s="22">
        <v>2.6046493144062299E-3</v>
      </c>
      <c r="V137" s="22">
        <v>3.53072367901243E-3</v>
      </c>
      <c r="W137" s="22">
        <v>3.6482016009178201E-3</v>
      </c>
      <c r="X137" s="23">
        <v>1.0017645217292299</v>
      </c>
      <c r="Y137" s="23">
        <v>1.0043771680406</v>
      </c>
      <c r="Z137" s="23">
        <v>1.0050566645905401</v>
      </c>
      <c r="AA137" s="23">
        <v>1.00543650182938</v>
      </c>
      <c r="AB137" s="21">
        <v>352.90800553442602</v>
      </c>
      <c r="AC137" s="21">
        <v>353.23497596751599</v>
      </c>
      <c r="AD137" s="21">
        <v>353.27647571604098</v>
      </c>
      <c r="AE137" s="22">
        <v>2.6046493144062299E-3</v>
      </c>
      <c r="AF137" s="22">
        <v>3.53072367901243E-3</v>
      </c>
      <c r="AG137" s="22">
        <v>3.6482016009178201E-3</v>
      </c>
      <c r="AI137" s="5"/>
      <c r="AJ137">
        <f>IF($AG137&lt;AI$21,1,0)</f>
        <v>0</v>
      </c>
      <c r="AK137">
        <f>IF($AG137&gt;AI$22,1,0)</f>
        <v>1</v>
      </c>
      <c r="AL137">
        <f t="shared" si="12"/>
        <v>0</v>
      </c>
      <c r="AM137">
        <f>IF(F138+H138&gt;0,0,1)</f>
        <v>1</v>
      </c>
      <c r="AN137">
        <f t="shared" si="13"/>
        <v>0</v>
      </c>
      <c r="AO137" s="17">
        <f>AN137*D137</f>
        <v>0</v>
      </c>
      <c r="AP137" s="17">
        <f>-AN137*$E137</f>
        <v>0</v>
      </c>
      <c r="AQ137" s="17">
        <f t="shared" si="14"/>
        <v>0</v>
      </c>
      <c r="AR137" s="11">
        <f t="shared" si="15"/>
        <v>2.7915557751109554E-2</v>
      </c>
      <c r="AT137" s="5"/>
      <c r="AU137">
        <f>IF($AG137&gt;AT$21,1,0)</f>
        <v>0</v>
      </c>
      <c r="AV137">
        <f>IF($AG137&lt;AT$22,1,0)</f>
        <v>0</v>
      </c>
      <c r="AW137">
        <f t="shared" si="16"/>
        <v>0</v>
      </c>
      <c r="AX137">
        <f>IF(F138+H138&gt;0,0,1)</f>
        <v>1</v>
      </c>
      <c r="AY137">
        <f t="shared" si="17"/>
        <v>0</v>
      </c>
      <c r="AZ137" s="17">
        <f>-AY137*D137</f>
        <v>0</v>
      </c>
      <c r="BA137" s="17">
        <f>AY137*$E137</f>
        <v>0</v>
      </c>
      <c r="BB137" s="17">
        <f t="shared" si="18"/>
        <v>0</v>
      </c>
      <c r="BC137" s="11">
        <f t="shared" si="19"/>
        <v>5.5775329374423725E-3</v>
      </c>
      <c r="BE137" s="11">
        <f t="shared" si="20"/>
        <v>0</v>
      </c>
      <c r="BF137" s="11">
        <f t="shared" si="21"/>
        <v>3.3493090688551927E-2</v>
      </c>
      <c r="BH137" s="11"/>
    </row>
    <row r="138" spans="1:60" x14ac:dyDescent="0.25">
      <c r="A138" s="1">
        <v>46224</v>
      </c>
      <c r="B138" s="21">
        <v>346.19</v>
      </c>
      <c r="C138" s="21">
        <v>347.15</v>
      </c>
      <c r="D138" s="22">
        <v>-1.4852042026618601E-2</v>
      </c>
      <c r="E138" s="22">
        <v>-1.38458029043598E-2</v>
      </c>
      <c r="F138" s="21">
        <v>0</v>
      </c>
      <c r="G138" s="21">
        <v>0.43</v>
      </c>
      <c r="H138" s="21">
        <v>0</v>
      </c>
      <c r="I138" s="21">
        <v>0.43</v>
      </c>
      <c r="J138" s="21">
        <v>0</v>
      </c>
      <c r="K138" s="21">
        <v>0</v>
      </c>
      <c r="L138" s="21">
        <v>346.19</v>
      </c>
      <c r="M138" s="21">
        <v>347.15</v>
      </c>
      <c r="N138" s="23">
        <v>1.0027730437043201</v>
      </c>
      <c r="O138" s="23">
        <v>1.0043771680406</v>
      </c>
      <c r="P138" s="23">
        <v>1.00439617676032</v>
      </c>
      <c r="Q138" s="23">
        <v>1.0054461328551201</v>
      </c>
      <c r="R138" s="21">
        <v>347.70533180397598</v>
      </c>
      <c r="S138" s="21">
        <v>347.94056671459998</v>
      </c>
      <c r="T138" s="21">
        <v>348.07206256831302</v>
      </c>
      <c r="U138" s="22">
        <v>1.5984101921474199E-3</v>
      </c>
      <c r="V138" s="22">
        <v>2.2747166868488499E-3</v>
      </c>
      <c r="W138" s="22">
        <v>2.6525714835727702E-3</v>
      </c>
      <c r="X138" s="23">
        <v>1.0027730437043201</v>
      </c>
      <c r="Y138" s="23">
        <v>1.0043771680406</v>
      </c>
      <c r="Z138" s="23">
        <v>1.00439617676032</v>
      </c>
      <c r="AA138" s="23">
        <v>1.0054461328551201</v>
      </c>
      <c r="AB138" s="21">
        <v>347.70533180397598</v>
      </c>
      <c r="AC138" s="21">
        <v>347.94056671459998</v>
      </c>
      <c r="AD138" s="21">
        <v>348.07206256831302</v>
      </c>
      <c r="AE138" s="22">
        <v>1.5984101921474199E-3</v>
      </c>
      <c r="AF138" s="22">
        <v>2.2747166868488499E-3</v>
      </c>
      <c r="AG138" s="22">
        <v>2.6525714835727702E-3</v>
      </c>
      <c r="AI138" s="5"/>
      <c r="AJ138">
        <f>IF($AG138&lt;AI$21,1,0)</f>
        <v>0</v>
      </c>
      <c r="AK138">
        <f>IF($AG138&gt;AI$22,1,0)</f>
        <v>1</v>
      </c>
      <c r="AL138">
        <f t="shared" si="12"/>
        <v>0</v>
      </c>
      <c r="AM138">
        <f>IF(F139+H139&gt;0,0,1)</f>
        <v>1</v>
      </c>
      <c r="AN138">
        <f t="shared" si="13"/>
        <v>0</v>
      </c>
      <c r="AO138" s="17">
        <f>AN138*D138</f>
        <v>0</v>
      </c>
      <c r="AP138" s="17">
        <f>-AN138*$E138</f>
        <v>0</v>
      </c>
      <c r="AQ138" s="17">
        <f t="shared" si="14"/>
        <v>0</v>
      </c>
      <c r="AR138" s="11">
        <f t="shared" si="15"/>
        <v>2.7915557751109554E-2</v>
      </c>
      <c r="AT138" s="5"/>
      <c r="AU138">
        <f>IF($AG138&gt;AT$21,1,0)</f>
        <v>0</v>
      </c>
      <c r="AV138">
        <f>IF($AG138&lt;AT$22,1,0)</f>
        <v>1</v>
      </c>
      <c r="AW138">
        <f t="shared" si="16"/>
        <v>0</v>
      </c>
      <c r="AX138">
        <f>IF(F139+H139&gt;0,0,1)</f>
        <v>1</v>
      </c>
      <c r="AY138">
        <f t="shared" si="17"/>
        <v>0</v>
      </c>
      <c r="AZ138" s="17">
        <f>-AY138*D138</f>
        <v>0</v>
      </c>
      <c r="BA138" s="17">
        <f>AY138*$E138</f>
        <v>0</v>
      </c>
      <c r="BB138" s="17">
        <f t="shared" si="18"/>
        <v>0</v>
      </c>
      <c r="BC138" s="11">
        <f t="shared" si="19"/>
        <v>5.5775329374423725E-3</v>
      </c>
      <c r="BE138" s="11">
        <f t="shared" si="20"/>
        <v>0</v>
      </c>
      <c r="BF138" s="11">
        <f t="shared" si="21"/>
        <v>3.3493090688551927E-2</v>
      </c>
      <c r="BH138" s="11"/>
    </row>
    <row r="139" spans="1:60" x14ac:dyDescent="0.25">
      <c r="A139" s="1">
        <v>46225</v>
      </c>
      <c r="B139" s="21">
        <v>341.91</v>
      </c>
      <c r="C139" s="21">
        <v>342.09</v>
      </c>
      <c r="D139" s="22">
        <v>-1.2440212751623899E-2</v>
      </c>
      <c r="E139" s="22">
        <v>-1.4683102861905601E-2</v>
      </c>
      <c r="F139" s="21">
        <v>0</v>
      </c>
      <c r="G139" s="21">
        <v>0.43</v>
      </c>
      <c r="H139" s="21">
        <v>0</v>
      </c>
      <c r="I139" s="21">
        <v>0.43</v>
      </c>
      <c r="J139" s="21">
        <v>0</v>
      </c>
      <c r="K139" s="21">
        <v>0</v>
      </c>
      <c r="L139" s="21">
        <v>341.91</v>
      </c>
      <c r="M139" s="21">
        <v>342.09</v>
      </c>
      <c r="N139" s="23">
        <v>1.00052645433008</v>
      </c>
      <c r="O139" s="23">
        <v>1.0043771680406</v>
      </c>
      <c r="P139" s="23">
        <v>1.0035539488973499</v>
      </c>
      <c r="Q139" s="23">
        <v>1.0054652318083299</v>
      </c>
      <c r="R139" s="21">
        <v>343.40659752476199</v>
      </c>
      <c r="S139" s="21">
        <v>343.413096796123</v>
      </c>
      <c r="T139" s="21">
        <v>343.77208728449602</v>
      </c>
      <c r="U139" s="22">
        <v>3.8413003024289401E-3</v>
      </c>
      <c r="V139" s="22">
        <v>3.86022600131302E-3</v>
      </c>
      <c r="W139" s="22">
        <v>4.9050404977443798E-3</v>
      </c>
      <c r="X139" s="23">
        <v>1.00052645433008</v>
      </c>
      <c r="Y139" s="23">
        <v>1.0043771680406</v>
      </c>
      <c r="Z139" s="23">
        <v>1.0035539488973499</v>
      </c>
      <c r="AA139" s="23">
        <v>1.0054652318083299</v>
      </c>
      <c r="AB139" s="21">
        <v>343.40659752476199</v>
      </c>
      <c r="AC139" s="21">
        <v>343.413096796123</v>
      </c>
      <c r="AD139" s="21">
        <v>343.77208728449602</v>
      </c>
      <c r="AE139" s="22">
        <v>3.8413003024289401E-3</v>
      </c>
      <c r="AF139" s="22">
        <v>3.86022600131302E-3</v>
      </c>
      <c r="AG139" s="22">
        <v>4.9050404977443798E-3</v>
      </c>
      <c r="AI139" s="5"/>
      <c r="AJ139">
        <f>IF($AG139&lt;AI$21,1,0)</f>
        <v>0</v>
      </c>
      <c r="AK139">
        <f>IF($AG139&gt;AI$22,1,0)</f>
        <v>1</v>
      </c>
      <c r="AL139">
        <f t="shared" si="12"/>
        <v>0</v>
      </c>
      <c r="AM139">
        <f>IF(F140+H140&gt;0,0,1)</f>
        <v>1</v>
      </c>
      <c r="AN139">
        <f t="shared" si="13"/>
        <v>0</v>
      </c>
      <c r="AO139" s="17">
        <f>AN139*D139</f>
        <v>0</v>
      </c>
      <c r="AP139" s="17">
        <f>-AN139*$E139</f>
        <v>0</v>
      </c>
      <c r="AQ139" s="17">
        <f t="shared" si="14"/>
        <v>0</v>
      </c>
      <c r="AR139" s="11">
        <f t="shared" si="15"/>
        <v>2.7915557751109554E-2</v>
      </c>
      <c r="AT139" s="5"/>
      <c r="AU139">
        <f>IF($AG139&gt;AT$21,1,0)</f>
        <v>0</v>
      </c>
      <c r="AV139">
        <f>IF($AG139&lt;AT$22,1,0)</f>
        <v>0</v>
      </c>
      <c r="AW139">
        <f t="shared" si="16"/>
        <v>0</v>
      </c>
      <c r="AX139">
        <f>IF(F140+H140&gt;0,0,1)</f>
        <v>1</v>
      </c>
      <c r="AY139">
        <f t="shared" si="17"/>
        <v>0</v>
      </c>
      <c r="AZ139" s="17">
        <f>-AY139*D139</f>
        <v>0</v>
      </c>
      <c r="BA139" s="17">
        <f>AY139*$E139</f>
        <v>0</v>
      </c>
      <c r="BB139" s="17">
        <f t="shared" si="18"/>
        <v>0</v>
      </c>
      <c r="BC139" s="11">
        <f t="shared" si="19"/>
        <v>5.5775329374423725E-3</v>
      </c>
      <c r="BE139" s="11">
        <f t="shared" si="20"/>
        <v>0</v>
      </c>
      <c r="BF139" s="11">
        <f t="shared" si="21"/>
        <v>3.3493090688551927E-2</v>
      </c>
      <c r="BH139" s="11"/>
    </row>
    <row r="140" spans="1:60" x14ac:dyDescent="0.25">
      <c r="A140" s="1">
        <v>46226</v>
      </c>
      <c r="B140" s="21">
        <v>318.33999999999997</v>
      </c>
      <c r="C140" s="21">
        <v>317.69</v>
      </c>
      <c r="D140" s="22">
        <v>-7.14275505340453E-2</v>
      </c>
      <c r="E140" s="22">
        <v>-7.3997795792735493E-2</v>
      </c>
      <c r="F140" s="21">
        <v>0</v>
      </c>
      <c r="G140" s="21">
        <v>0.43</v>
      </c>
      <c r="H140" s="21">
        <v>0</v>
      </c>
      <c r="I140" s="21">
        <v>0.43</v>
      </c>
      <c r="J140" s="21">
        <v>0</v>
      </c>
      <c r="K140" s="21">
        <v>0</v>
      </c>
      <c r="L140" s="21">
        <v>318.33999999999997</v>
      </c>
      <c r="M140" s="21">
        <v>317.69</v>
      </c>
      <c r="N140" s="23">
        <v>0.99795815794433596</v>
      </c>
      <c r="O140" s="23">
        <v>1.0043771680406</v>
      </c>
      <c r="P140" s="23">
        <v>1.00260588416181</v>
      </c>
      <c r="Q140" s="23">
        <v>1.0053269120218</v>
      </c>
      <c r="R140" s="21">
        <v>319.733427674045</v>
      </c>
      <c r="S140" s="21">
        <v>319.47136409198498</v>
      </c>
      <c r="T140" s="21">
        <v>320.07980189386598</v>
      </c>
      <c r="U140" s="22">
        <v>6.4115455611191896E-3</v>
      </c>
      <c r="V140" s="22">
        <v>5.5915780010531097E-3</v>
      </c>
      <c r="W140" s="22">
        <v>7.4942810772120798E-3</v>
      </c>
      <c r="X140" s="23">
        <v>0.99795815794433596</v>
      </c>
      <c r="Y140" s="23">
        <v>1.0043771680406</v>
      </c>
      <c r="Z140" s="23">
        <v>1.00260588416181</v>
      </c>
      <c r="AA140" s="23">
        <v>1.0053269120218</v>
      </c>
      <c r="AB140" s="21">
        <v>319.733427674045</v>
      </c>
      <c r="AC140" s="21">
        <v>319.47136409198498</v>
      </c>
      <c r="AD140" s="21">
        <v>320.07980189386598</v>
      </c>
      <c r="AE140" s="22">
        <v>6.4115455611191896E-3</v>
      </c>
      <c r="AF140" s="22">
        <v>5.5915780010531097E-3</v>
      </c>
      <c r="AG140" s="22">
        <v>7.4942810772120798E-3</v>
      </c>
      <c r="AI140" s="5"/>
      <c r="AJ140">
        <f>IF($AG140&lt;AI$21,1,0)</f>
        <v>0</v>
      </c>
      <c r="AK140">
        <f>IF($AG140&gt;AI$22,1,0)</f>
        <v>1</v>
      </c>
      <c r="AL140">
        <f t="shared" si="12"/>
        <v>0</v>
      </c>
      <c r="AM140">
        <f>IF(F141+H141&gt;0,0,1)</f>
        <v>1</v>
      </c>
      <c r="AN140">
        <f t="shared" si="13"/>
        <v>0</v>
      </c>
      <c r="AO140" s="17">
        <f>AN140*D140</f>
        <v>0</v>
      </c>
      <c r="AP140" s="17">
        <f>-AN140*$E140</f>
        <v>0</v>
      </c>
      <c r="AQ140" s="17">
        <f t="shared" si="14"/>
        <v>0</v>
      </c>
      <c r="AR140" s="11">
        <f t="shared" si="15"/>
        <v>2.7915557751109554E-2</v>
      </c>
      <c r="AT140" s="5"/>
      <c r="AU140">
        <f>IF($AG140&gt;AT$21,1,0)</f>
        <v>1</v>
      </c>
      <c r="AV140">
        <f>IF($AG140&lt;AT$22,1,0)</f>
        <v>0</v>
      </c>
      <c r="AW140">
        <f t="shared" si="16"/>
        <v>0</v>
      </c>
      <c r="AX140">
        <f>IF(F141+H141&gt;0,0,1)</f>
        <v>1</v>
      </c>
      <c r="AY140">
        <f t="shared" si="17"/>
        <v>0</v>
      </c>
      <c r="AZ140" s="17">
        <f>-AY140*D140</f>
        <v>0</v>
      </c>
      <c r="BA140" s="17">
        <f>AY140*$E140</f>
        <v>0</v>
      </c>
      <c r="BB140" s="17">
        <f t="shared" si="18"/>
        <v>0</v>
      </c>
      <c r="BC140" s="11">
        <f t="shared" si="19"/>
        <v>5.5775329374423725E-3</v>
      </c>
      <c r="BE140" s="11">
        <f t="shared" si="20"/>
        <v>0</v>
      </c>
      <c r="BF140" s="11">
        <f t="shared" si="21"/>
        <v>3.3493090688551927E-2</v>
      </c>
      <c r="BH140" s="11"/>
    </row>
    <row r="141" spans="1:60" x14ac:dyDescent="0.25">
      <c r="A141" s="1">
        <v>46227</v>
      </c>
      <c r="B141" s="21">
        <v>319.08999999999997</v>
      </c>
      <c r="C141" s="21">
        <v>319.74</v>
      </c>
      <c r="D141" s="22">
        <v>2.35320065292509E-3</v>
      </c>
      <c r="E141" s="22">
        <v>6.4321009921047504E-3</v>
      </c>
      <c r="F141" s="21">
        <v>0</v>
      </c>
      <c r="G141" s="21">
        <v>0.43</v>
      </c>
      <c r="H141" s="21">
        <v>0</v>
      </c>
      <c r="I141" s="21">
        <v>0.43</v>
      </c>
      <c r="J141" s="21">
        <v>0</v>
      </c>
      <c r="K141" s="21">
        <v>0</v>
      </c>
      <c r="L141" s="21">
        <v>319.08999999999997</v>
      </c>
      <c r="M141" s="21">
        <v>319.74</v>
      </c>
      <c r="N141" s="23">
        <v>1.00203704284057</v>
      </c>
      <c r="O141" s="23">
        <v>1.0043771680406</v>
      </c>
      <c r="P141" s="23">
        <v>1.00220400581904</v>
      </c>
      <c r="Q141" s="23">
        <v>1.0052066653298499</v>
      </c>
      <c r="R141" s="21">
        <v>320.48671055007497</v>
      </c>
      <c r="S141" s="21">
        <v>319.92151157719201</v>
      </c>
      <c r="T141" s="21">
        <v>320.78976435703902</v>
      </c>
      <c r="U141" s="22">
        <v>2.33264522193974E-3</v>
      </c>
      <c r="V141" s="22">
        <v>5.6752385059692504E-4</v>
      </c>
      <c r="W141" s="22">
        <v>3.27780332887802E-3</v>
      </c>
      <c r="X141" s="23">
        <v>1.00203704284057</v>
      </c>
      <c r="Y141" s="23">
        <v>1.0043771680406</v>
      </c>
      <c r="Z141" s="23">
        <v>1.00220400581904</v>
      </c>
      <c r="AA141" s="23">
        <v>1.0052066653298499</v>
      </c>
      <c r="AB141" s="21">
        <v>320.48671055007497</v>
      </c>
      <c r="AC141" s="21">
        <v>319.92151157719201</v>
      </c>
      <c r="AD141" s="21">
        <v>320.78976435703902</v>
      </c>
      <c r="AE141" s="22">
        <v>2.33264522193974E-3</v>
      </c>
      <c r="AF141" s="22">
        <v>5.6752385059692504E-4</v>
      </c>
      <c r="AG141" s="22">
        <v>3.27780332887802E-3</v>
      </c>
      <c r="AI141" s="5"/>
      <c r="AJ141">
        <f>IF($AG141&lt;AI$21,1,0)</f>
        <v>0</v>
      </c>
      <c r="AK141">
        <f>IF($AG141&gt;AI$22,1,0)</f>
        <v>1</v>
      </c>
      <c r="AL141">
        <f t="shared" si="12"/>
        <v>0</v>
      </c>
      <c r="AM141">
        <f>IF(F142+H142&gt;0,0,1)</f>
        <v>1</v>
      </c>
      <c r="AN141">
        <f t="shared" si="13"/>
        <v>0</v>
      </c>
      <c r="AO141" s="17">
        <f>AN141*D141</f>
        <v>0</v>
      </c>
      <c r="AP141" s="17">
        <f>-AN141*$E141</f>
        <v>0</v>
      </c>
      <c r="AQ141" s="17">
        <f t="shared" si="14"/>
        <v>0</v>
      </c>
      <c r="AR141" s="11">
        <f t="shared" si="15"/>
        <v>2.7915557751109554E-2</v>
      </c>
      <c r="AT141" s="5"/>
      <c r="AU141">
        <f>IF($AG141&gt;AT$21,1,0)</f>
        <v>0</v>
      </c>
      <c r="AV141">
        <f>IF($AG141&lt;AT$22,1,0)</f>
        <v>0</v>
      </c>
      <c r="AW141">
        <f t="shared" si="16"/>
        <v>1</v>
      </c>
      <c r="AX141">
        <f>IF(F142+H142&gt;0,0,1)</f>
        <v>1</v>
      </c>
      <c r="AY141">
        <f t="shared" si="17"/>
        <v>1</v>
      </c>
      <c r="AZ141" s="17">
        <f>-AY141*D141</f>
        <v>-2.35320065292509E-3</v>
      </c>
      <c r="BA141" s="17">
        <f>AY141*$E141</f>
        <v>6.4321009921047504E-3</v>
      </c>
      <c r="BB141" s="17">
        <f t="shared" si="18"/>
        <v>4.0789003391796599E-3</v>
      </c>
      <c r="BC141" s="11">
        <f t="shared" si="19"/>
        <v>9.6564332766220333E-3</v>
      </c>
      <c r="BE141" s="11">
        <f t="shared" si="20"/>
        <v>4.0789003391796599E-3</v>
      </c>
      <c r="BF141" s="11">
        <f t="shared" si="21"/>
        <v>3.7571991027731587E-2</v>
      </c>
      <c r="BH141" s="11"/>
    </row>
    <row r="142" spans="1:60" x14ac:dyDescent="0.25">
      <c r="A142" s="1">
        <v>46230</v>
      </c>
      <c r="B142" s="21">
        <v>326.57</v>
      </c>
      <c r="C142" s="21">
        <v>326.56</v>
      </c>
      <c r="D142" s="22">
        <v>2.3171126182047801E-2</v>
      </c>
      <c r="E142" s="22">
        <v>2.1105533524788701E-2</v>
      </c>
      <c r="F142" s="21">
        <v>0</v>
      </c>
      <c r="G142" s="21">
        <v>0.43</v>
      </c>
      <c r="H142" s="21">
        <v>0</v>
      </c>
      <c r="I142" s="21">
        <v>0.43</v>
      </c>
      <c r="J142" s="21">
        <v>0</v>
      </c>
      <c r="K142" s="21">
        <v>0</v>
      </c>
      <c r="L142" s="21">
        <v>326.57</v>
      </c>
      <c r="M142" s="21">
        <v>326.56</v>
      </c>
      <c r="N142" s="23">
        <v>0.99996937869369495</v>
      </c>
      <c r="O142" s="23">
        <v>1.0043771680406</v>
      </c>
      <c r="P142" s="23">
        <v>1.00167623384725</v>
      </c>
      <c r="Q142" s="23">
        <v>1.0048017759329499</v>
      </c>
      <c r="R142" s="21">
        <v>327.99945176701902</v>
      </c>
      <c r="S142" s="21">
        <v>327.28976218032699</v>
      </c>
      <c r="T142" s="21">
        <v>328.27034069677097</v>
      </c>
      <c r="U142" s="22">
        <v>4.3982378791987504E-3</v>
      </c>
      <c r="V142" s="22">
        <v>2.23220233623924E-3</v>
      </c>
      <c r="W142" s="22">
        <v>5.2237792899026501E-3</v>
      </c>
      <c r="X142" s="23">
        <v>0.99996937869369495</v>
      </c>
      <c r="Y142" s="23">
        <v>1.0043771680406</v>
      </c>
      <c r="Z142" s="23">
        <v>1.00167623384725</v>
      </c>
      <c r="AA142" s="23">
        <v>1.0048017759329499</v>
      </c>
      <c r="AB142" s="21">
        <v>327.99945176701902</v>
      </c>
      <c r="AC142" s="21">
        <v>327.28976218032699</v>
      </c>
      <c r="AD142" s="21">
        <v>328.27034069677097</v>
      </c>
      <c r="AE142" s="22">
        <v>4.3982378791987504E-3</v>
      </c>
      <c r="AF142" s="22">
        <v>2.23220233623924E-3</v>
      </c>
      <c r="AG142" s="22">
        <v>5.2237792899026501E-3</v>
      </c>
      <c r="AI142" s="5"/>
      <c r="AJ142">
        <f>IF($AG142&lt;AI$21,1,0)</f>
        <v>0</v>
      </c>
      <c r="AK142">
        <f>IF($AG142&gt;AI$22,1,0)</f>
        <v>1</v>
      </c>
      <c r="AL142">
        <f t="shared" si="12"/>
        <v>0</v>
      </c>
      <c r="AM142">
        <f>IF(F143+H143&gt;0,0,1)</f>
        <v>1</v>
      </c>
      <c r="AN142">
        <f t="shared" si="13"/>
        <v>0</v>
      </c>
      <c r="AO142" s="17">
        <f>AN142*D142</f>
        <v>0</v>
      </c>
      <c r="AP142" s="17">
        <f>-AN142*$E142</f>
        <v>0</v>
      </c>
      <c r="AQ142" s="17">
        <f t="shared" si="14"/>
        <v>0</v>
      </c>
      <c r="AR142" s="11">
        <f t="shared" si="15"/>
        <v>2.7915557751109554E-2</v>
      </c>
      <c r="AT142" s="5"/>
      <c r="AU142">
        <f>IF($AG142&gt;AT$21,1,0)</f>
        <v>1</v>
      </c>
      <c r="AV142">
        <f>IF($AG142&lt;AT$22,1,0)</f>
        <v>0</v>
      </c>
      <c r="AW142">
        <f t="shared" si="16"/>
        <v>1</v>
      </c>
      <c r="AX142">
        <f>IF(F143+H143&gt;0,0,1)</f>
        <v>1</v>
      </c>
      <c r="AY142">
        <f t="shared" si="17"/>
        <v>1</v>
      </c>
      <c r="AZ142" s="17">
        <f>-AY142*D142</f>
        <v>-2.3171126182047801E-2</v>
      </c>
      <c r="BA142" s="17">
        <f>AY142*$E142</f>
        <v>2.1105533524788701E-2</v>
      </c>
      <c r="BB142" s="17">
        <f t="shared" si="18"/>
        <v>-2.0655926572590994E-3</v>
      </c>
      <c r="BC142" s="11">
        <f t="shared" si="19"/>
        <v>7.5908406193629339E-3</v>
      </c>
      <c r="BE142" s="11">
        <f t="shared" si="20"/>
        <v>-2.0655926572590994E-3</v>
      </c>
      <c r="BF142" s="11">
        <f t="shared" si="21"/>
        <v>3.5506398370472488E-2</v>
      </c>
      <c r="BH142" s="11"/>
    </row>
    <row r="143" spans="1:60" x14ac:dyDescent="0.25">
      <c r="A143" s="1">
        <v>46231</v>
      </c>
      <c r="B143" s="21">
        <v>332.6</v>
      </c>
      <c r="C143" s="21">
        <v>333.71</v>
      </c>
      <c r="D143" s="22">
        <v>1.8296245922146001E-2</v>
      </c>
      <c r="E143" s="22">
        <v>2.16586532830511E-2</v>
      </c>
      <c r="F143" s="21">
        <v>0</v>
      </c>
      <c r="G143" s="21">
        <v>0.43</v>
      </c>
      <c r="H143" s="21">
        <v>0</v>
      </c>
      <c r="I143" s="21">
        <v>0.43</v>
      </c>
      <c r="J143" s="21">
        <v>0</v>
      </c>
      <c r="K143" s="21">
        <v>0</v>
      </c>
      <c r="L143" s="21">
        <v>332.6</v>
      </c>
      <c r="M143" s="21">
        <v>333.71</v>
      </c>
      <c r="N143" s="23">
        <v>1.0033373421527301</v>
      </c>
      <c r="O143" s="23">
        <v>1.0043771680406</v>
      </c>
      <c r="P143" s="23">
        <v>1.00139988774461</v>
      </c>
      <c r="Q143" s="23">
        <v>1.0046313053042999</v>
      </c>
      <c r="R143" s="21">
        <v>334.05584609030399</v>
      </c>
      <c r="S143" s="21">
        <v>333.15751537759797</v>
      </c>
      <c r="T143" s="21">
        <v>334.19707067529902</v>
      </c>
      <c r="U143" s="22">
        <v>1.0358305182937299E-3</v>
      </c>
      <c r="V143" s="22">
        <v>-1.65695505048839E-3</v>
      </c>
      <c r="W143" s="22">
        <v>1.45849859367231E-3</v>
      </c>
      <c r="X143" s="23">
        <v>1.0033373421527301</v>
      </c>
      <c r="Y143" s="23">
        <v>1.0043771680406</v>
      </c>
      <c r="Z143" s="23">
        <v>1.00139988774461</v>
      </c>
      <c r="AA143" s="23">
        <v>1.0046313053042999</v>
      </c>
      <c r="AB143" s="21">
        <v>334.05584609030399</v>
      </c>
      <c r="AC143" s="21">
        <v>333.15751537759797</v>
      </c>
      <c r="AD143" s="21">
        <v>334.19707067529902</v>
      </c>
      <c r="AE143" s="22">
        <v>1.0358305182937299E-3</v>
      </c>
      <c r="AF143" s="22">
        <v>-1.65695505048839E-3</v>
      </c>
      <c r="AG143" s="22">
        <v>1.45849859367231E-3</v>
      </c>
      <c r="AI143" s="5"/>
      <c r="AJ143">
        <f>IF($AG143&lt;AI$21,1,0)</f>
        <v>0</v>
      </c>
      <c r="AK143">
        <f>IF($AG143&gt;AI$22,1,0)</f>
        <v>1</v>
      </c>
      <c r="AL143">
        <f t="shared" si="12"/>
        <v>0</v>
      </c>
      <c r="AM143">
        <f>IF(F144+H144&gt;0,0,1)</f>
        <v>1</v>
      </c>
      <c r="AN143">
        <f t="shared" si="13"/>
        <v>0</v>
      </c>
      <c r="AO143" s="17">
        <f>AN143*D143</f>
        <v>0</v>
      </c>
      <c r="AP143" s="17">
        <f>-AN143*$E143</f>
        <v>0</v>
      </c>
      <c r="AQ143" s="17">
        <f t="shared" si="14"/>
        <v>0</v>
      </c>
      <c r="AR143" s="11">
        <f t="shared" si="15"/>
        <v>2.7915557751109554E-2</v>
      </c>
      <c r="AT143" s="5"/>
      <c r="AU143">
        <f>IF($AG143&gt;AT$21,1,0)</f>
        <v>0</v>
      </c>
      <c r="AV143">
        <f>IF($AG143&lt;AT$22,1,0)</f>
        <v>1</v>
      </c>
      <c r="AW143">
        <f t="shared" si="16"/>
        <v>1</v>
      </c>
      <c r="AX143">
        <f>IF(F144+H144&gt;0,0,1)</f>
        <v>1</v>
      </c>
      <c r="AY143">
        <f t="shared" si="17"/>
        <v>1</v>
      </c>
      <c r="AZ143" s="17">
        <f>-AY143*D143</f>
        <v>-1.8296245922146001E-2</v>
      </c>
      <c r="BA143" s="17">
        <f>AY143*$E143</f>
        <v>2.16586532830511E-2</v>
      </c>
      <c r="BB143" s="17">
        <f t="shared" si="18"/>
        <v>3.3624073609050988E-3</v>
      </c>
      <c r="BC143" s="11">
        <f t="shared" si="19"/>
        <v>1.0953247980268033E-2</v>
      </c>
      <c r="BE143" s="11">
        <f t="shared" si="20"/>
        <v>3.3624073609050988E-3</v>
      </c>
      <c r="BF143" s="11">
        <f t="shared" si="21"/>
        <v>3.886880573137759E-2</v>
      </c>
      <c r="BH143" s="11"/>
    </row>
    <row r="144" spans="1:60" x14ac:dyDescent="0.25">
      <c r="A144" s="1">
        <v>46232</v>
      </c>
      <c r="B144" s="21">
        <v>335.76</v>
      </c>
      <c r="C144" s="21">
        <v>336.71</v>
      </c>
      <c r="D144" s="22">
        <v>9.4560522665079992E-3</v>
      </c>
      <c r="E144" s="22">
        <v>8.9496734111058299E-3</v>
      </c>
      <c r="F144" s="21">
        <v>0</v>
      </c>
      <c r="G144" s="21">
        <v>0.43</v>
      </c>
      <c r="H144" s="21">
        <v>0</v>
      </c>
      <c r="I144" s="21">
        <v>0.43</v>
      </c>
      <c r="J144" s="21">
        <v>0</v>
      </c>
      <c r="K144" s="21">
        <v>0</v>
      </c>
      <c r="L144" s="21">
        <v>335.76</v>
      </c>
      <c r="M144" s="21">
        <v>336.71</v>
      </c>
      <c r="N144" s="23">
        <v>1.00282940195377</v>
      </c>
      <c r="O144" s="23">
        <v>1.0043771680406</v>
      </c>
      <c r="P144" s="23">
        <v>1.0014910448979299</v>
      </c>
      <c r="Q144" s="23">
        <v>1.00420107189536</v>
      </c>
      <c r="R144" s="21">
        <v>337.22967794131199</v>
      </c>
      <c r="S144" s="21">
        <v>336.230026309133</v>
      </c>
      <c r="T144" s="21">
        <v>337.31500706897401</v>
      </c>
      <c r="U144" s="22">
        <v>1.5422093736958901E-3</v>
      </c>
      <c r="V144" s="22">
        <v>-1.42649791509897E-3</v>
      </c>
      <c r="W144" s="22">
        <v>1.79520707722386E-3</v>
      </c>
      <c r="X144" s="23">
        <v>1.00282940195377</v>
      </c>
      <c r="Y144" s="23">
        <v>1.0043771680406</v>
      </c>
      <c r="Z144" s="23">
        <v>1.0014910448979299</v>
      </c>
      <c r="AA144" s="23">
        <v>1.00420107189536</v>
      </c>
      <c r="AB144" s="21">
        <v>337.22967794131199</v>
      </c>
      <c r="AC144" s="21">
        <v>336.230026309133</v>
      </c>
      <c r="AD144" s="21">
        <v>337.31500706897401</v>
      </c>
      <c r="AE144" s="22">
        <v>1.5422093736958901E-3</v>
      </c>
      <c r="AF144" s="22">
        <v>-1.42649791509897E-3</v>
      </c>
      <c r="AG144" s="22">
        <v>1.79520707722386E-3</v>
      </c>
      <c r="AI144" s="5"/>
      <c r="AJ144">
        <f>IF($AG144&lt;AI$21,1,0)</f>
        <v>0</v>
      </c>
      <c r="AK144">
        <f>IF($AG144&gt;AI$22,1,0)</f>
        <v>1</v>
      </c>
      <c r="AL144">
        <f t="shared" si="12"/>
        <v>0</v>
      </c>
      <c r="AM144">
        <f>IF(F145+H145&gt;0,0,1)</f>
        <v>1</v>
      </c>
      <c r="AN144">
        <f t="shared" si="13"/>
        <v>0</v>
      </c>
      <c r="AO144" s="17">
        <f>AN144*D144</f>
        <v>0</v>
      </c>
      <c r="AP144" s="17">
        <f>-AN144*$E144</f>
        <v>0</v>
      </c>
      <c r="AQ144" s="17">
        <f t="shared" si="14"/>
        <v>0</v>
      </c>
      <c r="AR144" s="11">
        <f t="shared" si="15"/>
        <v>2.7915557751109554E-2</v>
      </c>
      <c r="AT144" s="5"/>
      <c r="AU144">
        <f>IF($AG144&gt;AT$21,1,0)</f>
        <v>0</v>
      </c>
      <c r="AV144">
        <f>IF($AG144&lt;AT$22,1,0)</f>
        <v>1</v>
      </c>
      <c r="AW144">
        <f t="shared" si="16"/>
        <v>0</v>
      </c>
      <c r="AX144">
        <f>IF(F145+H145&gt;0,0,1)</f>
        <v>1</v>
      </c>
      <c r="AY144">
        <f t="shared" si="17"/>
        <v>0</v>
      </c>
      <c r="AZ144" s="17">
        <f>-AY144*D144</f>
        <v>0</v>
      </c>
      <c r="BA144" s="17">
        <f>AY144*$E144</f>
        <v>0</v>
      </c>
      <c r="BB144" s="17">
        <f t="shared" si="18"/>
        <v>0</v>
      </c>
      <c r="BC144" s="11">
        <f t="shared" si="19"/>
        <v>1.0953247980268033E-2</v>
      </c>
      <c r="BE144" s="11">
        <f t="shared" si="20"/>
        <v>0</v>
      </c>
      <c r="BF144" s="11">
        <f t="shared" si="21"/>
        <v>3.886880573137759E-2</v>
      </c>
      <c r="BH144" s="11"/>
    </row>
    <row r="145" spans="1:60" x14ac:dyDescent="0.25">
      <c r="A145" s="1">
        <v>46233</v>
      </c>
      <c r="B145" s="21">
        <v>333.68</v>
      </c>
      <c r="C145" s="21">
        <v>333.66</v>
      </c>
      <c r="D145" s="22">
        <v>-6.2141691366455502E-3</v>
      </c>
      <c r="E145" s="22">
        <v>-9.0995153281639603E-3</v>
      </c>
      <c r="F145" s="21">
        <v>0</v>
      </c>
      <c r="G145" s="21">
        <v>0.43</v>
      </c>
      <c r="H145" s="21">
        <v>0</v>
      </c>
      <c r="I145" s="21">
        <v>0.43</v>
      </c>
      <c r="J145" s="21">
        <v>0</v>
      </c>
      <c r="K145" s="21">
        <v>0</v>
      </c>
      <c r="L145" s="21">
        <v>333.68</v>
      </c>
      <c r="M145" s="21">
        <v>333.66</v>
      </c>
      <c r="N145" s="23">
        <v>0.99994006233517096</v>
      </c>
      <c r="O145" s="23">
        <v>1.0043771680406</v>
      </c>
      <c r="P145" s="23">
        <v>1.00130133670846</v>
      </c>
      <c r="Q145" s="23">
        <v>1.0037342453437801</v>
      </c>
      <c r="R145" s="21">
        <v>335.14057343178803</v>
      </c>
      <c r="S145" s="21">
        <v>334.17753186154403</v>
      </c>
      <c r="T145" s="21">
        <v>335.08181367004403</v>
      </c>
      <c r="U145" s="22">
        <v>4.4275555652143602E-3</v>
      </c>
      <c r="V145" s="22">
        <v>1.5498738553941E-3</v>
      </c>
      <c r="W145" s="22">
        <v>4.2522114912905001E-3</v>
      </c>
      <c r="X145" s="23">
        <v>0.99994006233517096</v>
      </c>
      <c r="Y145" s="23">
        <v>1.0043771680406</v>
      </c>
      <c r="Z145" s="23">
        <v>1.00130133670846</v>
      </c>
      <c r="AA145" s="23">
        <v>1.0037342453437801</v>
      </c>
      <c r="AB145" s="21">
        <v>335.14057343178803</v>
      </c>
      <c r="AC145" s="21">
        <v>334.17753186154403</v>
      </c>
      <c r="AD145" s="21">
        <v>335.08181367004403</v>
      </c>
      <c r="AE145" s="22">
        <v>4.4275555652143602E-3</v>
      </c>
      <c r="AF145" s="22">
        <v>1.5498738553941E-3</v>
      </c>
      <c r="AG145" s="22">
        <v>4.2522114912905001E-3</v>
      </c>
      <c r="AI145" s="5"/>
      <c r="AJ145">
        <f>IF($AG145&lt;AI$21,1,0)</f>
        <v>0</v>
      </c>
      <c r="AK145">
        <f>IF($AG145&gt;AI$22,1,0)</f>
        <v>1</v>
      </c>
      <c r="AL145">
        <f t="shared" si="12"/>
        <v>0</v>
      </c>
      <c r="AM145">
        <f>IF(F146+H146&gt;0,0,1)</f>
        <v>1</v>
      </c>
      <c r="AN145">
        <f t="shared" si="13"/>
        <v>0</v>
      </c>
      <c r="AO145" s="17">
        <f>AN145*D145</f>
        <v>0</v>
      </c>
      <c r="AP145" s="17">
        <f>-AN145*$E145</f>
        <v>0</v>
      </c>
      <c r="AQ145" s="17">
        <f t="shared" si="14"/>
        <v>0</v>
      </c>
      <c r="AR145" s="11">
        <f t="shared" si="15"/>
        <v>2.7915557751109554E-2</v>
      </c>
      <c r="AT145" s="5"/>
      <c r="AU145">
        <f>IF($AG145&gt;AT$21,1,0)</f>
        <v>0</v>
      </c>
      <c r="AV145">
        <f>IF($AG145&lt;AT$22,1,0)</f>
        <v>0</v>
      </c>
      <c r="AW145">
        <f t="shared" si="16"/>
        <v>0</v>
      </c>
      <c r="AX145">
        <f>IF(F146+H146&gt;0,0,1)</f>
        <v>1</v>
      </c>
      <c r="AY145">
        <f t="shared" si="17"/>
        <v>0</v>
      </c>
      <c r="AZ145" s="17">
        <f>-AY145*D145</f>
        <v>0</v>
      </c>
      <c r="BA145" s="17">
        <f>AY145*$E145</f>
        <v>0</v>
      </c>
      <c r="BB145" s="17">
        <f t="shared" si="18"/>
        <v>0</v>
      </c>
      <c r="BC145" s="11">
        <f t="shared" si="19"/>
        <v>1.0953247980268033E-2</v>
      </c>
      <c r="BE145" s="11">
        <f t="shared" si="20"/>
        <v>0</v>
      </c>
      <c r="BF145" s="11">
        <f t="shared" si="21"/>
        <v>3.886880573137759E-2</v>
      </c>
      <c r="BH145" s="11"/>
    </row>
    <row r="146" spans="1:60" x14ac:dyDescent="0.25">
      <c r="A146" s="1">
        <v>46234</v>
      </c>
      <c r="B146" s="21">
        <v>356.65</v>
      </c>
      <c r="C146" s="21">
        <v>356.13</v>
      </c>
      <c r="D146" s="22">
        <v>6.6572458835357298E-2</v>
      </c>
      <c r="E146" s="22">
        <v>6.51733223060246E-2</v>
      </c>
      <c r="F146" s="21">
        <v>0</v>
      </c>
      <c r="G146" s="21">
        <v>0.43</v>
      </c>
      <c r="H146" s="21">
        <v>0</v>
      </c>
      <c r="I146" s="21">
        <v>0.43</v>
      </c>
      <c r="J146" s="21">
        <v>0</v>
      </c>
      <c r="K146" s="21">
        <v>0</v>
      </c>
      <c r="L146" s="21">
        <v>356.65</v>
      </c>
      <c r="M146" s="21">
        <v>356.13</v>
      </c>
      <c r="N146" s="23">
        <v>0.99854198794336102</v>
      </c>
      <c r="O146" s="23">
        <v>1.0043771680406</v>
      </c>
      <c r="P146" s="23">
        <v>1.0009677393627201</v>
      </c>
      <c r="Q146" s="23">
        <v>1.00313773308392</v>
      </c>
      <c r="R146" s="21">
        <v>358.21111698167999</v>
      </c>
      <c r="S146" s="21">
        <v>357.11412173707203</v>
      </c>
      <c r="T146" s="21">
        <v>357.98181860186099</v>
      </c>
      <c r="U146" s="22">
        <v>5.8266920945468604E-3</v>
      </c>
      <c r="V146" s="22">
        <v>2.7595666942192999E-3</v>
      </c>
      <c r="W146" s="22">
        <v>5.1863663491736401E-3</v>
      </c>
      <c r="X146" s="23">
        <v>0.99854198794336102</v>
      </c>
      <c r="Y146" s="23">
        <v>1.0043771680406</v>
      </c>
      <c r="Z146" s="23">
        <v>1.0009677393627201</v>
      </c>
      <c r="AA146" s="23">
        <v>1.00313773308392</v>
      </c>
      <c r="AB146" s="21">
        <v>358.21111698167999</v>
      </c>
      <c r="AC146" s="21">
        <v>357.11412173707203</v>
      </c>
      <c r="AD146" s="21">
        <v>357.98181860186099</v>
      </c>
      <c r="AE146" s="22">
        <v>5.8266920945468604E-3</v>
      </c>
      <c r="AF146" s="22">
        <v>2.7595666942192999E-3</v>
      </c>
      <c r="AG146" s="22">
        <v>5.1863663491736401E-3</v>
      </c>
      <c r="AI146" s="5"/>
      <c r="AJ146">
        <f>IF($AG146&lt;AI$21,1,0)</f>
        <v>0</v>
      </c>
      <c r="AK146">
        <f>IF($AG146&gt;AI$22,1,0)</f>
        <v>1</v>
      </c>
      <c r="AL146">
        <f t="shared" si="12"/>
        <v>0</v>
      </c>
      <c r="AM146">
        <f>IF(F147+H147&gt;0,0,1)</f>
        <v>1</v>
      </c>
      <c r="AN146">
        <f t="shared" si="13"/>
        <v>0</v>
      </c>
      <c r="AO146" s="17">
        <f>AN146*D146</f>
        <v>0</v>
      </c>
      <c r="AP146" s="17">
        <f>-AN146*$E146</f>
        <v>0</v>
      </c>
      <c r="AQ146" s="17">
        <f t="shared" si="14"/>
        <v>0</v>
      </c>
      <c r="AR146" s="11">
        <f t="shared" si="15"/>
        <v>2.7915557751109554E-2</v>
      </c>
      <c r="AT146" s="5"/>
      <c r="AU146">
        <f>IF($AG146&gt;AT$21,1,0)</f>
        <v>1</v>
      </c>
      <c r="AV146">
        <f>IF($AG146&lt;AT$22,1,0)</f>
        <v>0</v>
      </c>
      <c r="AW146">
        <f t="shared" si="16"/>
        <v>0</v>
      </c>
      <c r="AX146">
        <f>IF(F147+H147&gt;0,0,1)</f>
        <v>1</v>
      </c>
      <c r="AY146">
        <f t="shared" si="17"/>
        <v>0</v>
      </c>
      <c r="AZ146" s="17">
        <f>-AY146*D146</f>
        <v>0</v>
      </c>
      <c r="BA146" s="17">
        <f>AY146*$E146</f>
        <v>0</v>
      </c>
      <c r="BB146" s="17">
        <f t="shared" si="18"/>
        <v>0</v>
      </c>
      <c r="BC146" s="11">
        <f t="shared" si="19"/>
        <v>1.0953247980268033E-2</v>
      </c>
      <c r="BE146" s="11">
        <f t="shared" si="20"/>
        <v>0</v>
      </c>
      <c r="BF146" s="11">
        <f t="shared" si="21"/>
        <v>3.886880573137759E-2</v>
      </c>
      <c r="BH146" s="11"/>
    </row>
    <row r="147" spans="1:60" x14ac:dyDescent="0.25">
      <c r="A147" s="1">
        <v>46237</v>
      </c>
      <c r="B147" s="21">
        <v>372.47</v>
      </c>
      <c r="C147" s="21">
        <v>373.51</v>
      </c>
      <c r="D147" s="22">
        <v>4.3401588939544197E-2</v>
      </c>
      <c r="E147" s="22">
        <v>4.7648945242622302E-2</v>
      </c>
      <c r="F147" s="21">
        <v>0</v>
      </c>
      <c r="G147" s="21">
        <v>0.43</v>
      </c>
      <c r="H147" s="21">
        <v>0</v>
      </c>
      <c r="I147" s="21">
        <v>0.43</v>
      </c>
      <c r="J147" s="21">
        <v>0</v>
      </c>
      <c r="K147" s="21">
        <v>0</v>
      </c>
      <c r="L147" s="21">
        <v>372.47</v>
      </c>
      <c r="M147" s="21">
        <v>373.51</v>
      </c>
      <c r="N147" s="23">
        <v>1.0027921711815699</v>
      </c>
      <c r="O147" s="23">
        <v>1.0043771680406</v>
      </c>
      <c r="P147" s="23">
        <v>1.00107050430796</v>
      </c>
      <c r="Q147" s="23">
        <v>1.0030635844492499</v>
      </c>
      <c r="R147" s="21">
        <v>374.100363780083</v>
      </c>
      <c r="S147" s="21">
        <v>372.83045388043598</v>
      </c>
      <c r="T147" s="21">
        <v>373.63871144177</v>
      </c>
      <c r="U147" s="22">
        <v>1.5793357914686201E-3</v>
      </c>
      <c r="V147" s="22">
        <v>-1.82100890770747E-3</v>
      </c>
      <c r="W147" s="22">
        <v>3.4454036009817302E-4</v>
      </c>
      <c r="X147" s="23">
        <v>1.0027921711815699</v>
      </c>
      <c r="Y147" s="23">
        <v>1.0043771680406</v>
      </c>
      <c r="Z147" s="23">
        <v>1.00107050430796</v>
      </c>
      <c r="AA147" s="23">
        <v>1.0030635844492499</v>
      </c>
      <c r="AB147" s="21">
        <v>374.100363780083</v>
      </c>
      <c r="AC147" s="21">
        <v>372.83045388043598</v>
      </c>
      <c r="AD147" s="21">
        <v>373.63871144177</v>
      </c>
      <c r="AE147" s="22">
        <v>1.5793357914686201E-3</v>
      </c>
      <c r="AF147" s="22">
        <v>-1.82100890770747E-3</v>
      </c>
      <c r="AG147" s="22">
        <v>3.4454036009817302E-4</v>
      </c>
      <c r="AI147" s="5"/>
      <c r="AJ147">
        <f>IF($AG147&lt;AI$21,1,0)</f>
        <v>0</v>
      </c>
      <c r="AK147">
        <f>IF($AG147&gt;AI$22,1,0)</f>
        <v>1</v>
      </c>
      <c r="AL147">
        <f t="shared" si="12"/>
        <v>0</v>
      </c>
      <c r="AM147">
        <f>IF(F148+H148&gt;0,0,1)</f>
        <v>1</v>
      </c>
      <c r="AN147">
        <f t="shared" si="13"/>
        <v>0</v>
      </c>
      <c r="AO147" s="17">
        <f>AN147*D147</f>
        <v>0</v>
      </c>
      <c r="AP147" s="17">
        <f>-AN147*$E147</f>
        <v>0</v>
      </c>
      <c r="AQ147" s="17">
        <f t="shared" si="14"/>
        <v>0</v>
      </c>
      <c r="AR147" s="11">
        <f t="shared" si="15"/>
        <v>2.7915557751109554E-2</v>
      </c>
      <c r="AT147" s="5"/>
      <c r="AU147">
        <f>IF($AG147&gt;AT$21,1,0)</f>
        <v>0</v>
      </c>
      <c r="AV147">
        <f>IF($AG147&lt;AT$22,1,0)</f>
        <v>1</v>
      </c>
      <c r="AW147">
        <f t="shared" si="16"/>
        <v>1</v>
      </c>
      <c r="AX147">
        <f>IF(F148+H148&gt;0,0,1)</f>
        <v>1</v>
      </c>
      <c r="AY147">
        <f t="shared" si="17"/>
        <v>1</v>
      </c>
      <c r="AZ147" s="17">
        <f>-AY147*D147</f>
        <v>-4.3401588939544197E-2</v>
      </c>
      <c r="BA147" s="17">
        <f>AY147*$E147</f>
        <v>4.7648945242622302E-2</v>
      </c>
      <c r="BB147" s="17">
        <f t="shared" si="18"/>
        <v>4.247356303078105E-3</v>
      </c>
      <c r="BC147" s="11">
        <f t="shared" si="19"/>
        <v>1.5200604283346138E-2</v>
      </c>
      <c r="BE147" s="11">
        <f t="shared" si="20"/>
        <v>4.247356303078105E-3</v>
      </c>
      <c r="BF147" s="11">
        <f t="shared" si="21"/>
        <v>4.3116162034455695E-2</v>
      </c>
      <c r="BH147" s="11"/>
    </row>
    <row r="148" spans="1:60" x14ac:dyDescent="0.25">
      <c r="A148" s="1">
        <v>46238</v>
      </c>
      <c r="B148" s="21">
        <v>375.35</v>
      </c>
      <c r="C148" s="21">
        <v>377.65</v>
      </c>
      <c r="D148" s="22">
        <v>7.7024263554202098E-3</v>
      </c>
      <c r="E148" s="22">
        <v>1.1023062783282101E-2</v>
      </c>
      <c r="F148" s="21">
        <v>0</v>
      </c>
      <c r="G148" s="21">
        <v>0.43</v>
      </c>
      <c r="H148" s="21">
        <v>0</v>
      </c>
      <c r="I148" s="21">
        <v>0.43</v>
      </c>
      <c r="J148" s="21">
        <v>0</v>
      </c>
      <c r="K148" s="21">
        <v>0</v>
      </c>
      <c r="L148" s="21">
        <v>375.35</v>
      </c>
      <c r="M148" s="21">
        <v>377.65</v>
      </c>
      <c r="N148" s="23">
        <v>1.0061276142267199</v>
      </c>
      <c r="O148" s="23">
        <v>1.0043771680406</v>
      </c>
      <c r="P148" s="23">
        <v>1.0014059613602</v>
      </c>
      <c r="Q148" s="23">
        <v>1.00290106906026</v>
      </c>
      <c r="R148" s="21">
        <v>376.99297002404001</v>
      </c>
      <c r="S148" s="21">
        <v>375.75181379199398</v>
      </c>
      <c r="T148" s="21">
        <v>376.499916423027</v>
      </c>
      <c r="U148" s="22">
        <v>-1.7413006363934001E-3</v>
      </c>
      <c r="V148" s="22">
        <v>-5.0389850136211096E-3</v>
      </c>
      <c r="W148" s="22">
        <v>-3.0500155035242602E-3</v>
      </c>
      <c r="X148" s="23">
        <v>1.0061276142267199</v>
      </c>
      <c r="Y148" s="23">
        <v>1.0043771680406</v>
      </c>
      <c r="Z148" s="23">
        <v>1.0014059613602</v>
      </c>
      <c r="AA148" s="23">
        <v>1.00290106906026</v>
      </c>
      <c r="AB148" s="21">
        <v>376.99297002404001</v>
      </c>
      <c r="AC148" s="21">
        <v>375.75181379199398</v>
      </c>
      <c r="AD148" s="21">
        <v>376.499916423027</v>
      </c>
      <c r="AE148" s="22">
        <v>-1.7413006363934001E-3</v>
      </c>
      <c r="AF148" s="22">
        <v>-5.0389850136211096E-3</v>
      </c>
      <c r="AG148" s="22">
        <v>-3.0500155035242602E-3</v>
      </c>
      <c r="AI148" s="5"/>
      <c r="AJ148">
        <f>IF($AG148&lt;AI$21,1,0)</f>
        <v>0</v>
      </c>
      <c r="AK148">
        <f>IF($AG148&gt;AI$22,1,0)</f>
        <v>0</v>
      </c>
      <c r="AL148">
        <f t="shared" si="12"/>
        <v>0</v>
      </c>
      <c r="AM148">
        <f>IF(F149+H149&gt;0,0,1)</f>
        <v>1</v>
      </c>
      <c r="AN148">
        <f t="shared" si="13"/>
        <v>0</v>
      </c>
      <c r="AO148" s="17">
        <f>AN148*D148</f>
        <v>0</v>
      </c>
      <c r="AP148" s="17">
        <f>-AN148*$E148</f>
        <v>0</v>
      </c>
      <c r="AQ148" s="17">
        <f t="shared" si="14"/>
        <v>0</v>
      </c>
      <c r="AR148" s="11">
        <f t="shared" si="15"/>
        <v>2.7915557751109554E-2</v>
      </c>
      <c r="AT148" s="5"/>
      <c r="AU148">
        <f>IF($AG148&gt;AT$21,1,0)</f>
        <v>0</v>
      </c>
      <c r="AV148">
        <f>IF($AG148&lt;AT$22,1,0)</f>
        <v>1</v>
      </c>
      <c r="AW148">
        <f t="shared" si="16"/>
        <v>0</v>
      </c>
      <c r="AX148">
        <f>IF(F149+H149&gt;0,0,1)</f>
        <v>1</v>
      </c>
      <c r="AY148">
        <f t="shared" si="17"/>
        <v>0</v>
      </c>
      <c r="AZ148" s="17">
        <f>-AY148*D148</f>
        <v>0</v>
      </c>
      <c r="BA148" s="17">
        <f>AY148*$E148</f>
        <v>0</v>
      </c>
      <c r="BB148" s="17">
        <f t="shared" si="18"/>
        <v>0</v>
      </c>
      <c r="BC148" s="11">
        <f t="shared" si="19"/>
        <v>1.5200604283346138E-2</v>
      </c>
      <c r="BE148" s="11">
        <f t="shared" si="20"/>
        <v>0</v>
      </c>
      <c r="BF148" s="11">
        <f t="shared" si="21"/>
        <v>4.3116162034455695E-2</v>
      </c>
      <c r="BH148" s="11"/>
    </row>
    <row r="149" spans="1:60" x14ac:dyDescent="0.25">
      <c r="A149" s="1">
        <v>46239</v>
      </c>
      <c r="B149" s="21">
        <v>360.13</v>
      </c>
      <c r="C149" s="21">
        <v>362.43</v>
      </c>
      <c r="D149" s="22">
        <v>-4.13938466426697E-2</v>
      </c>
      <c r="E149" s="22">
        <v>-4.1136488559874701E-2</v>
      </c>
      <c r="F149" s="21">
        <v>0</v>
      </c>
      <c r="G149" s="21">
        <v>0.43</v>
      </c>
      <c r="H149" s="21">
        <v>0</v>
      </c>
      <c r="I149" s="21">
        <v>0.43</v>
      </c>
      <c r="J149" s="21">
        <v>0</v>
      </c>
      <c r="K149" s="21">
        <v>0</v>
      </c>
      <c r="L149" s="21">
        <v>360.13</v>
      </c>
      <c r="M149" s="21">
        <v>362.43</v>
      </c>
      <c r="N149" s="23">
        <v>1.0063865826229399</v>
      </c>
      <c r="O149" s="23">
        <v>1.0043771680406</v>
      </c>
      <c r="P149" s="23">
        <v>1.0019919741894801</v>
      </c>
      <c r="Q149" s="23">
        <v>1.00277296154342</v>
      </c>
      <c r="R149" s="21">
        <v>361.70634952646202</v>
      </c>
      <c r="S149" s="21">
        <v>360.63632886465001</v>
      </c>
      <c r="T149" s="21">
        <v>361.17476200067301</v>
      </c>
      <c r="U149" s="22">
        <v>-1.99865871918847E-3</v>
      </c>
      <c r="V149" s="22">
        <v>-4.9613009012850996E-3</v>
      </c>
      <c r="W149" s="22">
        <v>-3.46940574282771E-3</v>
      </c>
      <c r="X149" s="23">
        <v>1.0063865826229399</v>
      </c>
      <c r="Y149" s="23">
        <v>1.0043771680406</v>
      </c>
      <c r="Z149" s="23">
        <v>1.0019919741894801</v>
      </c>
      <c r="AA149" s="23">
        <v>1.00277296154342</v>
      </c>
      <c r="AB149" s="21">
        <v>361.70634952646202</v>
      </c>
      <c r="AC149" s="21">
        <v>360.63632886465001</v>
      </c>
      <c r="AD149" s="21">
        <v>361.17476200067301</v>
      </c>
      <c r="AE149" s="22">
        <v>-1.99865871918847E-3</v>
      </c>
      <c r="AF149" s="22">
        <v>-4.9613009012850996E-3</v>
      </c>
      <c r="AG149" s="22">
        <v>-3.46940574282771E-3</v>
      </c>
      <c r="AI149" s="5"/>
      <c r="AJ149">
        <f>IF($AG149&lt;AI$21,1,0)</f>
        <v>0</v>
      </c>
      <c r="AK149">
        <f>IF($AG149&gt;AI$22,1,0)</f>
        <v>0</v>
      </c>
      <c r="AL149">
        <f t="shared" si="12"/>
        <v>0</v>
      </c>
      <c r="AM149">
        <f>IF(F150+H150&gt;0,0,1)</f>
        <v>1</v>
      </c>
      <c r="AN149">
        <f t="shared" si="13"/>
        <v>0</v>
      </c>
      <c r="AO149" s="17">
        <f>AN149*D149</f>
        <v>0</v>
      </c>
      <c r="AP149" s="17">
        <f>-AN149*$E149</f>
        <v>0</v>
      </c>
      <c r="AQ149" s="17">
        <f t="shared" si="14"/>
        <v>0</v>
      </c>
      <c r="AR149" s="11">
        <f t="shared" si="15"/>
        <v>2.7915557751109554E-2</v>
      </c>
      <c r="AT149" s="5"/>
      <c r="AU149">
        <f>IF($AG149&gt;AT$21,1,0)</f>
        <v>0</v>
      </c>
      <c r="AV149">
        <f>IF($AG149&lt;AT$22,1,0)</f>
        <v>1</v>
      </c>
      <c r="AW149">
        <f t="shared" si="16"/>
        <v>0</v>
      </c>
      <c r="AX149">
        <f>IF(F150+H150&gt;0,0,1)</f>
        <v>1</v>
      </c>
      <c r="AY149">
        <f t="shared" si="17"/>
        <v>0</v>
      </c>
      <c r="AZ149" s="17">
        <f>-AY149*D149</f>
        <v>0</v>
      </c>
      <c r="BA149" s="17">
        <f>AY149*$E149</f>
        <v>0</v>
      </c>
      <c r="BB149" s="17">
        <f t="shared" si="18"/>
        <v>0</v>
      </c>
      <c r="BC149" s="11">
        <f t="shared" si="19"/>
        <v>1.5200604283346138E-2</v>
      </c>
      <c r="BE149" s="11">
        <f t="shared" si="20"/>
        <v>0</v>
      </c>
      <c r="BF149" s="11">
        <f t="shared" si="21"/>
        <v>4.3116162034455695E-2</v>
      </c>
      <c r="BH149" s="11"/>
    </row>
    <row r="150" spans="1:60" x14ac:dyDescent="0.25">
      <c r="A150" s="1">
        <v>46240</v>
      </c>
      <c r="B150" s="21">
        <v>356.62</v>
      </c>
      <c r="C150" s="21">
        <v>357.75</v>
      </c>
      <c r="D150" s="22">
        <v>-9.7942882704410896E-3</v>
      </c>
      <c r="E150" s="22">
        <v>-1.29969337630219E-2</v>
      </c>
      <c r="F150" s="21">
        <v>0</v>
      </c>
      <c r="G150" s="21">
        <v>0.43</v>
      </c>
      <c r="H150" s="21">
        <v>0</v>
      </c>
      <c r="I150" s="21">
        <v>0.43</v>
      </c>
      <c r="J150" s="21">
        <v>0</v>
      </c>
      <c r="K150" s="21">
        <v>0</v>
      </c>
      <c r="L150" s="21">
        <v>356.62</v>
      </c>
      <c r="M150" s="21">
        <v>357.75</v>
      </c>
      <c r="N150" s="23">
        <v>1.00316863888733</v>
      </c>
      <c r="O150" s="23">
        <v>1.0043771680406</v>
      </c>
      <c r="P150" s="23">
        <v>1.0025130222837799</v>
      </c>
      <c r="Q150" s="23">
        <v>1.0025594532227999</v>
      </c>
      <c r="R150" s="21">
        <v>358.180985666639</v>
      </c>
      <c r="S150" s="21">
        <v>357.33037783545501</v>
      </c>
      <c r="T150" s="21">
        <v>357.60889354561499</v>
      </c>
      <c r="U150" s="22">
        <v>1.2039867733922599E-3</v>
      </c>
      <c r="V150" s="22">
        <v>-1.1736364909945101E-3</v>
      </c>
      <c r="W150" s="22">
        <v>-3.9450535245295502E-4</v>
      </c>
      <c r="X150" s="23">
        <v>1.00316863888733</v>
      </c>
      <c r="Y150" s="23">
        <v>1.0043771680406</v>
      </c>
      <c r="Z150" s="23">
        <v>1.0025130222837799</v>
      </c>
      <c r="AA150" s="23">
        <v>1.0025594532227999</v>
      </c>
      <c r="AB150" s="21">
        <v>358.180985666639</v>
      </c>
      <c r="AC150" s="21">
        <v>357.33037783545501</v>
      </c>
      <c r="AD150" s="21">
        <v>357.60889354561499</v>
      </c>
      <c r="AE150" s="22">
        <v>1.2039867733922599E-3</v>
      </c>
      <c r="AF150" s="22">
        <v>-1.1736364909945101E-3</v>
      </c>
      <c r="AG150" s="22">
        <v>-3.9450535245295502E-4</v>
      </c>
      <c r="AI150" s="5"/>
      <c r="AJ150">
        <f>IF($AG150&lt;AI$21,1,0)</f>
        <v>0</v>
      </c>
      <c r="AK150">
        <f>IF($AG150&gt;AI$22,1,0)</f>
        <v>1</v>
      </c>
      <c r="AL150">
        <f t="shared" si="12"/>
        <v>0</v>
      </c>
      <c r="AM150">
        <f>IF(F151+H151&gt;0,0,1)</f>
        <v>1</v>
      </c>
      <c r="AN150">
        <f t="shared" si="13"/>
        <v>0</v>
      </c>
      <c r="AO150" s="17">
        <f>AN150*D150</f>
        <v>0</v>
      </c>
      <c r="AP150" s="17">
        <f>-AN150*$E150</f>
        <v>0</v>
      </c>
      <c r="AQ150" s="17">
        <f t="shared" si="14"/>
        <v>0</v>
      </c>
      <c r="AR150" s="11">
        <f t="shared" si="15"/>
        <v>2.7915557751109554E-2</v>
      </c>
      <c r="AT150" s="5"/>
      <c r="AU150">
        <f>IF($AG150&gt;AT$21,1,0)</f>
        <v>0</v>
      </c>
      <c r="AV150">
        <f>IF($AG150&lt;AT$22,1,0)</f>
        <v>1</v>
      </c>
      <c r="AW150">
        <f t="shared" si="16"/>
        <v>0</v>
      </c>
      <c r="AX150">
        <f>IF(F151+H151&gt;0,0,1)</f>
        <v>1</v>
      </c>
      <c r="AY150">
        <f t="shared" si="17"/>
        <v>0</v>
      </c>
      <c r="AZ150" s="17">
        <f>-AY150*D150</f>
        <v>0</v>
      </c>
      <c r="BA150" s="17">
        <f>AY150*$E150</f>
        <v>0</v>
      </c>
      <c r="BB150" s="17">
        <f t="shared" si="18"/>
        <v>0</v>
      </c>
      <c r="BC150" s="11">
        <f t="shared" si="19"/>
        <v>1.5200604283346138E-2</v>
      </c>
      <c r="BE150" s="11">
        <f t="shared" si="20"/>
        <v>0</v>
      </c>
      <c r="BF150" s="11">
        <f t="shared" si="21"/>
        <v>4.3116162034455695E-2</v>
      </c>
      <c r="BH150" s="11"/>
    </row>
    <row r="151" spans="1:60" x14ac:dyDescent="0.25">
      <c r="A151" s="1">
        <v>46241</v>
      </c>
      <c r="B151" s="21">
        <v>353.47</v>
      </c>
      <c r="C151" s="21">
        <v>354.3</v>
      </c>
      <c r="D151" s="22">
        <v>-8.8721729999844193E-3</v>
      </c>
      <c r="E151" s="22">
        <v>-9.6904065651339001E-3</v>
      </c>
      <c r="F151" s="21">
        <v>0</v>
      </c>
      <c r="G151" s="21">
        <v>0.43</v>
      </c>
      <c r="H151" s="21">
        <v>0</v>
      </c>
      <c r="I151" s="21">
        <v>0.43</v>
      </c>
      <c r="J151" s="21">
        <v>0</v>
      </c>
      <c r="K151" s="21">
        <v>0</v>
      </c>
      <c r="L151" s="21">
        <v>353.47</v>
      </c>
      <c r="M151" s="21">
        <v>354.3</v>
      </c>
      <c r="N151" s="23">
        <v>1.0023481483577099</v>
      </c>
      <c r="O151" s="23">
        <v>1.0043771680406</v>
      </c>
      <c r="P151" s="23">
        <v>1.0025441328355</v>
      </c>
      <c r="Q151" s="23">
        <v>1.00237406932727</v>
      </c>
      <c r="R151" s="21">
        <v>355.01719758731099</v>
      </c>
      <c r="S151" s="21">
        <v>354.35827798665002</v>
      </c>
      <c r="T151" s="21">
        <v>354.37468993066301</v>
      </c>
      <c r="U151" s="22">
        <v>2.0222203385419101E-3</v>
      </c>
      <c r="V151" s="22">
        <v>1.6447415797552601E-4</v>
      </c>
      <c r="W151" s="22">
        <v>2.1078763500672801E-4</v>
      </c>
      <c r="X151" s="23">
        <v>1.0023481483577099</v>
      </c>
      <c r="Y151" s="23">
        <v>1.0043771680406</v>
      </c>
      <c r="Z151" s="23">
        <v>1.0025441328355</v>
      </c>
      <c r="AA151" s="23">
        <v>1.00237406932727</v>
      </c>
      <c r="AB151" s="21">
        <v>355.01719758731099</v>
      </c>
      <c r="AC151" s="21">
        <v>354.35827798665002</v>
      </c>
      <c r="AD151" s="21">
        <v>354.37468993066301</v>
      </c>
      <c r="AE151" s="22">
        <v>2.0222203385419101E-3</v>
      </c>
      <c r="AF151" s="22">
        <v>1.6447415797552601E-4</v>
      </c>
      <c r="AG151" s="22">
        <v>2.1078763500672801E-4</v>
      </c>
      <c r="AI151" s="5"/>
      <c r="AJ151">
        <f>IF($AG151&lt;AI$21,1,0)</f>
        <v>0</v>
      </c>
      <c r="AK151">
        <f>IF($AG151&gt;AI$22,1,0)</f>
        <v>1</v>
      </c>
      <c r="AL151">
        <f t="shared" ref="AL151:AL167" si="22">AN151</f>
        <v>0</v>
      </c>
      <c r="AM151">
        <f>IF(F152+H152&gt;0,0,1)</f>
        <v>1</v>
      </c>
      <c r="AN151">
        <f t="shared" ref="AN151:AN167" si="23">IF(AJ150,1,IF(AK150,0,AL150))*AM150</f>
        <v>0</v>
      </c>
      <c r="AO151" s="17">
        <f>AN151*D151</f>
        <v>0</v>
      </c>
      <c r="AP151" s="17">
        <f>-AN151*$E151</f>
        <v>0</v>
      </c>
      <c r="AQ151" s="17">
        <f t="shared" ref="AQ151:AQ167" si="24">AO151+AP151</f>
        <v>0</v>
      </c>
      <c r="AR151" s="11">
        <f t="shared" ref="AR151:AR167" si="25">AR150+AQ151</f>
        <v>2.7915557751109554E-2</v>
      </c>
      <c r="AT151" s="5"/>
      <c r="AU151">
        <f>IF($AG151&gt;AT$21,1,0)</f>
        <v>0</v>
      </c>
      <c r="AV151">
        <f>IF($AG151&lt;AT$22,1,0)</f>
        <v>1</v>
      </c>
      <c r="AW151">
        <f t="shared" ref="AW151:AW167" si="26">AY151</f>
        <v>0</v>
      </c>
      <c r="AX151">
        <f>IF(F152+H152&gt;0,0,1)</f>
        <v>1</v>
      </c>
      <c r="AY151">
        <f t="shared" ref="AY151:AY167" si="27">IF(AU150,1,IF(AV150,0,AW150))*AX150</f>
        <v>0</v>
      </c>
      <c r="AZ151" s="17">
        <f>-AY151*D151</f>
        <v>0</v>
      </c>
      <c r="BA151" s="17">
        <f>AY151*$E151</f>
        <v>0</v>
      </c>
      <c r="BB151" s="17">
        <f t="shared" ref="BB151:BB167" si="28">AZ151+BA151</f>
        <v>0</v>
      </c>
      <c r="BC151" s="11">
        <f t="shared" ref="BC151:BC167" si="29">BC150+BB151</f>
        <v>1.5200604283346138E-2</v>
      </c>
      <c r="BE151" s="11">
        <f t="shared" ref="BE151:BE176" si="30">AQ151+BB151</f>
        <v>0</v>
      </c>
      <c r="BF151" s="11">
        <f t="shared" ref="BF151:BF176" si="31">BF150+BE151</f>
        <v>4.3116162034455695E-2</v>
      </c>
      <c r="BH151" s="11"/>
    </row>
    <row r="152" spans="1:60" x14ac:dyDescent="0.25">
      <c r="A152" s="1">
        <v>46244</v>
      </c>
      <c r="B152" s="21">
        <v>355.84</v>
      </c>
      <c r="C152" s="21">
        <v>357.52</v>
      </c>
      <c r="D152" s="22">
        <v>6.6825755162465703E-3</v>
      </c>
      <c r="E152" s="22">
        <v>9.0472927537697603E-3</v>
      </c>
      <c r="F152" s="21">
        <v>0</v>
      </c>
      <c r="G152" s="21">
        <v>0.43</v>
      </c>
      <c r="H152" s="21">
        <v>0</v>
      </c>
      <c r="I152" s="21">
        <v>0.43</v>
      </c>
      <c r="J152" s="21">
        <v>0</v>
      </c>
      <c r="K152" s="21">
        <v>0</v>
      </c>
      <c r="L152" s="21">
        <v>355.84</v>
      </c>
      <c r="M152" s="21">
        <v>357.52</v>
      </c>
      <c r="N152" s="23">
        <v>1.0047212230215801</v>
      </c>
      <c r="O152" s="23">
        <v>1.0043771680406</v>
      </c>
      <c r="P152" s="23">
        <v>1.00301931726829</v>
      </c>
      <c r="Q152" s="23">
        <v>1.0023477755577701</v>
      </c>
      <c r="R152" s="21">
        <v>357.39757147556799</v>
      </c>
      <c r="S152" s="21">
        <v>356.74530422818401</v>
      </c>
      <c r="T152" s="21">
        <v>356.68478882941702</v>
      </c>
      <c r="U152" s="22">
        <v>-3.4249689898122602E-4</v>
      </c>
      <c r="V152" s="22">
        <v>-2.1692109948648602E-3</v>
      </c>
      <c r="W152" s="22">
        <v>-2.3388573260221101E-3</v>
      </c>
      <c r="X152" s="23">
        <v>1.0047212230215801</v>
      </c>
      <c r="Y152" s="23">
        <v>1.0043771680406</v>
      </c>
      <c r="Z152" s="23">
        <v>1.00301931726829</v>
      </c>
      <c r="AA152" s="23">
        <v>1.0023477755577701</v>
      </c>
      <c r="AB152" s="21">
        <v>357.39757147556799</v>
      </c>
      <c r="AC152" s="21">
        <v>356.74530422818401</v>
      </c>
      <c r="AD152" s="21">
        <v>356.68478882941702</v>
      </c>
      <c r="AE152" s="22">
        <v>-3.4249689898122602E-4</v>
      </c>
      <c r="AF152" s="22">
        <v>-2.1692109948648602E-3</v>
      </c>
      <c r="AG152" s="22">
        <v>-2.3388573260221101E-3</v>
      </c>
      <c r="AI152" s="5"/>
      <c r="AJ152">
        <f>IF($AG152&lt;AI$21,1,0)</f>
        <v>0</v>
      </c>
      <c r="AK152">
        <f>IF($AG152&gt;AI$22,1,0)</f>
        <v>0</v>
      </c>
      <c r="AL152">
        <f t="shared" si="22"/>
        <v>0</v>
      </c>
      <c r="AM152">
        <f>IF(F153+H153&gt;0,0,1)</f>
        <v>1</v>
      </c>
      <c r="AN152">
        <f t="shared" si="23"/>
        <v>0</v>
      </c>
      <c r="AO152" s="17">
        <f>AN152*D152</f>
        <v>0</v>
      </c>
      <c r="AP152" s="17">
        <f>-AN152*$E152</f>
        <v>0</v>
      </c>
      <c r="AQ152" s="17">
        <f t="shared" si="24"/>
        <v>0</v>
      </c>
      <c r="AR152" s="11">
        <f t="shared" si="25"/>
        <v>2.7915557751109554E-2</v>
      </c>
      <c r="AT152" s="5"/>
      <c r="AU152">
        <f>IF($AG152&gt;AT$21,1,0)</f>
        <v>0</v>
      </c>
      <c r="AV152">
        <f>IF($AG152&lt;AT$22,1,0)</f>
        <v>1</v>
      </c>
      <c r="AW152">
        <f t="shared" si="26"/>
        <v>0</v>
      </c>
      <c r="AX152">
        <f>IF(F153+H153&gt;0,0,1)</f>
        <v>1</v>
      </c>
      <c r="AY152">
        <f t="shared" si="27"/>
        <v>0</v>
      </c>
      <c r="AZ152" s="17">
        <f>-AY152*D152</f>
        <v>0</v>
      </c>
      <c r="BA152" s="17">
        <f>AY152*$E152</f>
        <v>0</v>
      </c>
      <c r="BB152" s="17">
        <f t="shared" si="28"/>
        <v>0</v>
      </c>
      <c r="BC152" s="11">
        <f t="shared" si="29"/>
        <v>1.5200604283346138E-2</v>
      </c>
      <c r="BE152" s="11">
        <f t="shared" si="30"/>
        <v>0</v>
      </c>
      <c r="BF152" s="11">
        <f t="shared" si="31"/>
        <v>4.3116162034455695E-2</v>
      </c>
      <c r="BH152" s="11"/>
    </row>
    <row r="153" spans="1:60" x14ac:dyDescent="0.25">
      <c r="A153" s="1">
        <v>46245</v>
      </c>
      <c r="B153" s="21">
        <v>343</v>
      </c>
      <c r="C153" s="21">
        <v>343.8</v>
      </c>
      <c r="D153" s="22">
        <v>-3.6750744456222902E-2</v>
      </c>
      <c r="E153" s="22">
        <v>-3.9131211676447002E-2</v>
      </c>
      <c r="F153" s="21">
        <v>0</v>
      </c>
      <c r="G153" s="21">
        <v>0.43</v>
      </c>
      <c r="H153" s="21">
        <v>0</v>
      </c>
      <c r="I153" s="21">
        <v>0.43</v>
      </c>
      <c r="J153" s="21">
        <v>0</v>
      </c>
      <c r="K153" s="21">
        <v>0</v>
      </c>
      <c r="L153" s="21">
        <v>343</v>
      </c>
      <c r="M153" s="21">
        <v>343.8</v>
      </c>
      <c r="N153" s="23">
        <v>1.00233236151603</v>
      </c>
      <c r="O153" s="23">
        <v>1.0043771680406</v>
      </c>
      <c r="P153" s="23">
        <v>1.0029188192046199</v>
      </c>
      <c r="Q153" s="23">
        <v>1.00215935347461</v>
      </c>
      <c r="R153" s="21">
        <v>344.50136863792602</v>
      </c>
      <c r="S153" s="21">
        <v>344.035625823023</v>
      </c>
      <c r="T153" s="21">
        <v>343.80528701631602</v>
      </c>
      <c r="U153" s="22">
        <v>2.0379703212429902E-3</v>
      </c>
      <c r="V153" s="22">
        <v>6.8512250134892898E-4</v>
      </c>
      <c r="W153" s="22">
        <v>1.5378056034415302E-5</v>
      </c>
      <c r="X153" s="23">
        <v>1.00233236151603</v>
      </c>
      <c r="Y153" s="23">
        <v>1.0043771680406</v>
      </c>
      <c r="Z153" s="23">
        <v>1.0029188192046199</v>
      </c>
      <c r="AA153" s="23">
        <v>1.00215935347461</v>
      </c>
      <c r="AB153" s="21">
        <v>344.50136863792602</v>
      </c>
      <c r="AC153" s="21">
        <v>344.035625823023</v>
      </c>
      <c r="AD153" s="21">
        <v>343.80528701631602</v>
      </c>
      <c r="AE153" s="22">
        <v>2.0379703212429902E-3</v>
      </c>
      <c r="AF153" s="22">
        <v>6.8512250134892898E-4</v>
      </c>
      <c r="AG153" s="22">
        <v>1.5378056034415302E-5</v>
      </c>
      <c r="AI153" s="5"/>
      <c r="AJ153">
        <f>IF($AG153&lt;AI$21,1,0)</f>
        <v>0</v>
      </c>
      <c r="AK153">
        <f>IF($AG153&gt;AI$22,1,0)</f>
        <v>1</v>
      </c>
      <c r="AL153">
        <f t="shared" si="22"/>
        <v>0</v>
      </c>
      <c r="AM153">
        <f>IF(F154+H154&gt;0,0,1)</f>
        <v>1</v>
      </c>
      <c r="AN153">
        <f t="shared" si="23"/>
        <v>0</v>
      </c>
      <c r="AO153" s="17">
        <f>AN153*D153</f>
        <v>0</v>
      </c>
      <c r="AP153" s="17">
        <f>-AN153*$E153</f>
        <v>0</v>
      </c>
      <c r="AQ153" s="17">
        <f t="shared" si="24"/>
        <v>0</v>
      </c>
      <c r="AR153" s="11">
        <f t="shared" si="25"/>
        <v>2.7915557751109554E-2</v>
      </c>
      <c r="AT153" s="5"/>
      <c r="AU153">
        <f>IF($AG153&gt;AT$21,1,0)</f>
        <v>0</v>
      </c>
      <c r="AV153">
        <f>IF($AG153&lt;AT$22,1,0)</f>
        <v>1</v>
      </c>
      <c r="AW153">
        <f t="shared" si="26"/>
        <v>0</v>
      </c>
      <c r="AX153">
        <f>IF(F154+H154&gt;0,0,1)</f>
        <v>1</v>
      </c>
      <c r="AY153">
        <f t="shared" si="27"/>
        <v>0</v>
      </c>
      <c r="AZ153" s="17">
        <f>-AY153*D153</f>
        <v>0</v>
      </c>
      <c r="BA153" s="17">
        <f>AY153*$E153</f>
        <v>0</v>
      </c>
      <c r="BB153" s="17">
        <f t="shared" si="28"/>
        <v>0</v>
      </c>
      <c r="BC153" s="11">
        <f t="shared" si="29"/>
        <v>1.5200604283346138E-2</v>
      </c>
      <c r="BE153" s="11">
        <f t="shared" si="30"/>
        <v>0</v>
      </c>
      <c r="BF153" s="11">
        <f t="shared" si="31"/>
        <v>4.3116162034455695E-2</v>
      </c>
      <c r="BH153" s="11"/>
    </row>
    <row r="154" spans="1:60" x14ac:dyDescent="0.25">
      <c r="A154" s="1">
        <v>46246</v>
      </c>
      <c r="B154" s="21">
        <v>342.37</v>
      </c>
      <c r="C154" s="21">
        <v>343.54</v>
      </c>
      <c r="D154" s="22">
        <v>-1.8384235593608099E-3</v>
      </c>
      <c r="E154" s="22">
        <v>-7.5653973986952001E-4</v>
      </c>
      <c r="F154" s="21">
        <v>0</v>
      </c>
      <c r="G154" s="21">
        <v>0.43</v>
      </c>
      <c r="H154" s="21">
        <v>0</v>
      </c>
      <c r="I154" s="21">
        <v>0.43</v>
      </c>
      <c r="J154" s="21">
        <v>0</v>
      </c>
      <c r="K154" s="21">
        <v>0</v>
      </c>
      <c r="L154" s="21">
        <v>342.37</v>
      </c>
      <c r="M154" s="21">
        <v>343.54</v>
      </c>
      <c r="N154" s="23">
        <v>1.00341735549259</v>
      </c>
      <c r="O154" s="23">
        <v>1.0043771680406</v>
      </c>
      <c r="P154" s="23">
        <v>1.0029776145585001</v>
      </c>
      <c r="Q154" s="23">
        <v>1.0022343297282199</v>
      </c>
      <c r="R154" s="21">
        <v>343.86861102206097</v>
      </c>
      <c r="S154" s="21">
        <v>343.36931613108499</v>
      </c>
      <c r="T154" s="21">
        <v>343.10929784910502</v>
      </c>
      <c r="U154" s="22">
        <v>9.5608650175199898E-4</v>
      </c>
      <c r="V154" s="22">
        <v>-4.9696187959210605E-4</v>
      </c>
      <c r="W154" s="22">
        <v>-1.2545041806046799E-3</v>
      </c>
      <c r="X154" s="23">
        <v>1.00341735549259</v>
      </c>
      <c r="Y154" s="23">
        <v>1.0043771680406</v>
      </c>
      <c r="Z154" s="23">
        <v>1.0029776145585001</v>
      </c>
      <c r="AA154" s="23">
        <v>1.0022343297282199</v>
      </c>
      <c r="AB154" s="21">
        <v>343.86861102206097</v>
      </c>
      <c r="AC154" s="21">
        <v>343.36931613108499</v>
      </c>
      <c r="AD154" s="21">
        <v>343.10929784910502</v>
      </c>
      <c r="AE154" s="22">
        <v>9.5608650175199898E-4</v>
      </c>
      <c r="AF154" s="22">
        <v>-4.9696187959210605E-4</v>
      </c>
      <c r="AG154" s="22">
        <v>-1.2545041806046799E-3</v>
      </c>
      <c r="AI154" s="5"/>
      <c r="AJ154">
        <f>IF($AG154&lt;AI$21,1,0)</f>
        <v>0</v>
      </c>
      <c r="AK154">
        <f>IF($AG154&gt;AI$22,1,0)</f>
        <v>1</v>
      </c>
      <c r="AL154">
        <f t="shared" si="22"/>
        <v>0</v>
      </c>
      <c r="AM154">
        <f>IF(F155+H155&gt;0,0,1)</f>
        <v>1</v>
      </c>
      <c r="AN154">
        <f t="shared" si="23"/>
        <v>0</v>
      </c>
      <c r="AO154" s="17">
        <f>AN154*D154</f>
        <v>0</v>
      </c>
      <c r="AP154" s="17">
        <f>-AN154*$E154</f>
        <v>0</v>
      </c>
      <c r="AQ154" s="17">
        <f t="shared" si="24"/>
        <v>0</v>
      </c>
      <c r="AR154" s="11">
        <f t="shared" si="25"/>
        <v>2.7915557751109554E-2</v>
      </c>
      <c r="AT154" s="5"/>
      <c r="AU154">
        <f>IF($AG154&gt;AT$21,1,0)</f>
        <v>0</v>
      </c>
      <c r="AV154">
        <f>IF($AG154&lt;AT$22,1,0)</f>
        <v>1</v>
      </c>
      <c r="AW154">
        <f t="shared" si="26"/>
        <v>0</v>
      </c>
      <c r="AX154">
        <f>IF(F155+H155&gt;0,0,1)</f>
        <v>1</v>
      </c>
      <c r="AY154">
        <f t="shared" si="27"/>
        <v>0</v>
      </c>
      <c r="AZ154" s="17">
        <f>-AY154*D154</f>
        <v>0</v>
      </c>
      <c r="BA154" s="17">
        <f>AY154*$E154</f>
        <v>0</v>
      </c>
      <c r="BB154" s="17">
        <f t="shared" si="28"/>
        <v>0</v>
      </c>
      <c r="BC154" s="11">
        <f t="shared" si="29"/>
        <v>1.5200604283346138E-2</v>
      </c>
      <c r="BE154" s="11">
        <f t="shared" si="30"/>
        <v>0</v>
      </c>
      <c r="BF154" s="11">
        <f t="shared" si="31"/>
        <v>4.3116162034455695E-2</v>
      </c>
      <c r="BH154" s="11"/>
    </row>
    <row r="155" spans="1:60" x14ac:dyDescent="0.25">
      <c r="A155" s="1">
        <v>46247</v>
      </c>
      <c r="B155" s="21">
        <v>343.94</v>
      </c>
      <c r="C155" s="21">
        <v>346.36</v>
      </c>
      <c r="D155" s="22">
        <v>4.5751999494742096E-3</v>
      </c>
      <c r="E155" s="22">
        <v>8.1751433707210296E-3</v>
      </c>
      <c r="F155" s="21">
        <v>0</v>
      </c>
      <c r="G155" s="21">
        <v>0.43</v>
      </c>
      <c r="H155" s="21">
        <v>0</v>
      </c>
      <c r="I155" s="21">
        <v>0.43</v>
      </c>
      <c r="J155" s="21">
        <v>0</v>
      </c>
      <c r="K155" s="21">
        <v>0</v>
      </c>
      <c r="L155" s="21">
        <v>343.94</v>
      </c>
      <c r="M155" s="21">
        <v>346.36</v>
      </c>
      <c r="N155" s="23">
        <v>1.00703611094958</v>
      </c>
      <c r="O155" s="23">
        <v>1.0043771680406</v>
      </c>
      <c r="P155" s="23">
        <v>1.00368721941994</v>
      </c>
      <c r="Q155" s="23">
        <v>1.0024942780642001</v>
      </c>
      <c r="R155" s="21">
        <v>345.44548317588402</v>
      </c>
      <c r="S155" s="21">
        <v>344.96412075125102</v>
      </c>
      <c r="T155" s="21">
        <v>344.70847536672397</v>
      </c>
      <c r="U155" s="22">
        <v>-2.6438569194949298E-3</v>
      </c>
      <c r="V155" s="22">
        <v>-4.0382827788492098E-3</v>
      </c>
      <c r="W155" s="22">
        <v>-4.7796356981175099E-3</v>
      </c>
      <c r="X155" s="23">
        <v>1.00703611094958</v>
      </c>
      <c r="Y155" s="23">
        <v>1.0043771680406</v>
      </c>
      <c r="Z155" s="23">
        <v>1.00368721941994</v>
      </c>
      <c r="AA155" s="23">
        <v>1.0024942780642001</v>
      </c>
      <c r="AB155" s="21">
        <v>345.44548317588402</v>
      </c>
      <c r="AC155" s="21">
        <v>344.96412075125102</v>
      </c>
      <c r="AD155" s="21">
        <v>344.70847536672397</v>
      </c>
      <c r="AE155" s="22">
        <v>-2.6438569194949298E-3</v>
      </c>
      <c r="AF155" s="22">
        <v>-4.0382827788492098E-3</v>
      </c>
      <c r="AG155" s="22">
        <v>-4.7796356981175099E-3</v>
      </c>
      <c r="AI155" s="5"/>
      <c r="AJ155">
        <f>IF($AG155&lt;AI$21,1,0)</f>
        <v>1</v>
      </c>
      <c r="AK155">
        <f>IF($AG155&gt;AI$22,1,0)</f>
        <v>0</v>
      </c>
      <c r="AL155">
        <f t="shared" si="22"/>
        <v>0</v>
      </c>
      <c r="AM155">
        <f>IF(F156+H156&gt;0,0,1)</f>
        <v>1</v>
      </c>
      <c r="AN155">
        <f t="shared" si="23"/>
        <v>0</v>
      </c>
      <c r="AO155" s="17">
        <f>AN155*D155</f>
        <v>0</v>
      </c>
      <c r="AP155" s="17">
        <f>-AN155*$E155</f>
        <v>0</v>
      </c>
      <c r="AQ155" s="17">
        <f t="shared" si="24"/>
        <v>0</v>
      </c>
      <c r="AR155" s="11">
        <f t="shared" si="25"/>
        <v>2.7915557751109554E-2</v>
      </c>
      <c r="AT155" s="5"/>
      <c r="AU155">
        <f>IF($AG155&gt;AT$21,1,0)</f>
        <v>0</v>
      </c>
      <c r="AV155">
        <f>IF($AG155&lt;AT$22,1,0)</f>
        <v>1</v>
      </c>
      <c r="AW155">
        <f t="shared" si="26"/>
        <v>0</v>
      </c>
      <c r="AX155">
        <f>IF(F156+H156&gt;0,0,1)</f>
        <v>1</v>
      </c>
      <c r="AY155">
        <f t="shared" si="27"/>
        <v>0</v>
      </c>
      <c r="AZ155" s="17">
        <f>-AY155*D155</f>
        <v>0</v>
      </c>
      <c r="BA155" s="17">
        <f>AY155*$E155</f>
        <v>0</v>
      </c>
      <c r="BB155" s="17">
        <f t="shared" si="28"/>
        <v>0</v>
      </c>
      <c r="BC155" s="11">
        <f t="shared" si="29"/>
        <v>1.5200604283346138E-2</v>
      </c>
      <c r="BE155" s="11">
        <f t="shared" si="30"/>
        <v>0</v>
      </c>
      <c r="BF155" s="11">
        <f t="shared" si="31"/>
        <v>4.3116162034455695E-2</v>
      </c>
      <c r="BH155" s="11"/>
    </row>
    <row r="156" spans="1:60" x14ac:dyDescent="0.25">
      <c r="A156" s="1">
        <v>46248</v>
      </c>
      <c r="B156" s="21">
        <v>343.54</v>
      </c>
      <c r="C156" s="21">
        <v>345.9</v>
      </c>
      <c r="D156" s="22">
        <v>-1.1636703471739999E-3</v>
      </c>
      <c r="E156" s="22">
        <v>-1.3289806364774901E-3</v>
      </c>
      <c r="F156" s="21">
        <v>0</v>
      </c>
      <c r="G156" s="21">
        <v>0.43</v>
      </c>
      <c r="H156" s="21">
        <v>0</v>
      </c>
      <c r="I156" s="21">
        <v>0.43</v>
      </c>
      <c r="J156" s="21">
        <v>0</v>
      </c>
      <c r="K156" s="21">
        <v>0</v>
      </c>
      <c r="L156" s="21">
        <v>343.54</v>
      </c>
      <c r="M156" s="21">
        <v>345.9</v>
      </c>
      <c r="N156" s="23">
        <v>1.0068696512778701</v>
      </c>
      <c r="O156" s="23">
        <v>1.0043771680406</v>
      </c>
      <c r="P156" s="23">
        <v>1.00451998575339</v>
      </c>
      <c r="Q156" s="23">
        <v>1.00274386255806</v>
      </c>
      <c r="R156" s="21">
        <v>345.04373230866798</v>
      </c>
      <c r="S156" s="21">
        <v>344.80670735952702</v>
      </c>
      <c r="T156" s="21">
        <v>344.39688428617598</v>
      </c>
      <c r="U156" s="22">
        <v>-2.4785466301914302E-3</v>
      </c>
      <c r="V156" s="22">
        <v>-3.1657244439287301E-3</v>
      </c>
      <c r="W156" s="22">
        <v>-4.3549902185764404E-3</v>
      </c>
      <c r="X156" s="23">
        <v>1.0068696512778701</v>
      </c>
      <c r="Y156" s="23">
        <v>1.0043771680406</v>
      </c>
      <c r="Z156" s="23">
        <v>1.00451998575339</v>
      </c>
      <c r="AA156" s="23">
        <v>1.00274386255806</v>
      </c>
      <c r="AB156" s="21">
        <v>345.04373230866798</v>
      </c>
      <c r="AC156" s="21">
        <v>344.80670735952702</v>
      </c>
      <c r="AD156" s="21">
        <v>344.39688428617598</v>
      </c>
      <c r="AE156" s="22">
        <v>-2.4785466301914302E-3</v>
      </c>
      <c r="AF156" s="22">
        <v>-3.1657244439287301E-3</v>
      </c>
      <c r="AG156" s="22">
        <v>-4.3549902185764404E-3</v>
      </c>
      <c r="AI156" s="5"/>
      <c r="AJ156">
        <f>IF($AG156&lt;AI$21,1,0)</f>
        <v>1</v>
      </c>
      <c r="AK156">
        <f>IF($AG156&gt;AI$22,1,0)</f>
        <v>0</v>
      </c>
      <c r="AL156">
        <f t="shared" si="22"/>
        <v>1</v>
      </c>
      <c r="AM156">
        <f>IF(F157+H157&gt;0,0,1)</f>
        <v>1</v>
      </c>
      <c r="AN156">
        <f t="shared" si="23"/>
        <v>1</v>
      </c>
      <c r="AO156" s="17">
        <f>AN156*D156</f>
        <v>-1.1636703471739999E-3</v>
      </c>
      <c r="AP156" s="17">
        <f>-AN156*$E156</f>
        <v>1.3289806364774901E-3</v>
      </c>
      <c r="AQ156" s="17">
        <f t="shared" si="24"/>
        <v>1.6531028930349013E-4</v>
      </c>
      <c r="AR156" s="11">
        <f t="shared" si="25"/>
        <v>2.8080868040413043E-2</v>
      </c>
      <c r="AT156" s="5"/>
      <c r="AU156">
        <f>IF($AG156&gt;AT$21,1,0)</f>
        <v>0</v>
      </c>
      <c r="AV156">
        <f>IF($AG156&lt;AT$22,1,0)</f>
        <v>1</v>
      </c>
      <c r="AW156">
        <f t="shared" si="26"/>
        <v>0</v>
      </c>
      <c r="AX156">
        <f>IF(F157+H157&gt;0,0,1)</f>
        <v>1</v>
      </c>
      <c r="AY156">
        <f t="shared" si="27"/>
        <v>0</v>
      </c>
      <c r="AZ156" s="17">
        <f>-AY156*D156</f>
        <v>0</v>
      </c>
      <c r="BA156" s="17">
        <f>AY156*$E156</f>
        <v>0</v>
      </c>
      <c r="BB156" s="17">
        <f t="shared" si="28"/>
        <v>0</v>
      </c>
      <c r="BC156" s="11">
        <f t="shared" si="29"/>
        <v>1.5200604283346138E-2</v>
      </c>
      <c r="BE156" s="11">
        <f t="shared" si="30"/>
        <v>1.6531028930349013E-4</v>
      </c>
      <c r="BF156" s="11">
        <f t="shared" si="31"/>
        <v>4.3281472323759188E-2</v>
      </c>
      <c r="BH156" s="11"/>
    </row>
    <row r="157" spans="1:60" x14ac:dyDescent="0.25">
      <c r="A157" s="1">
        <v>46251</v>
      </c>
      <c r="B157" s="21">
        <v>341.45</v>
      </c>
      <c r="C157" s="21">
        <v>344</v>
      </c>
      <c r="D157" s="22">
        <v>-6.1022978017811497E-3</v>
      </c>
      <c r="E157" s="22">
        <v>-5.5080585697246699E-3</v>
      </c>
      <c r="F157" s="21">
        <v>0</v>
      </c>
      <c r="G157" s="21">
        <v>0.43</v>
      </c>
      <c r="H157" s="21">
        <v>0</v>
      </c>
      <c r="I157" s="21">
        <v>0.43</v>
      </c>
      <c r="J157" s="21">
        <v>0</v>
      </c>
      <c r="K157" s="21">
        <v>0</v>
      </c>
      <c r="L157" s="21">
        <v>341.45</v>
      </c>
      <c r="M157" s="21">
        <v>344</v>
      </c>
      <c r="N157" s="23">
        <v>1.00746815053448</v>
      </c>
      <c r="O157" s="23">
        <v>1.0043771680406</v>
      </c>
      <c r="P157" s="23">
        <v>1.0049875836886799</v>
      </c>
      <c r="Q157" s="23">
        <v>1.00302904399832</v>
      </c>
      <c r="R157" s="21">
        <v>342.94458402746301</v>
      </c>
      <c r="S157" s="21">
        <v>342.99334913549598</v>
      </c>
      <c r="T157" s="21">
        <v>342.38689187044997</v>
      </c>
      <c r="U157" s="22">
        <v>-3.07278586224808E-3</v>
      </c>
      <c r="V157" s="22">
        <v>-2.9306006709726999E-3</v>
      </c>
      <c r="W157" s="22">
        <v>-4.7002969272654099E-3</v>
      </c>
      <c r="X157" s="23">
        <v>1.00746815053448</v>
      </c>
      <c r="Y157" s="23">
        <v>1.0043771680406</v>
      </c>
      <c r="Z157" s="23">
        <v>1.0049875836886799</v>
      </c>
      <c r="AA157" s="23">
        <v>1.00302904399832</v>
      </c>
      <c r="AB157" s="21">
        <v>342.94458402746301</v>
      </c>
      <c r="AC157" s="21">
        <v>342.99334913549598</v>
      </c>
      <c r="AD157" s="21">
        <v>342.38689187044997</v>
      </c>
      <c r="AE157" s="22">
        <v>-3.07278586224808E-3</v>
      </c>
      <c r="AF157" s="22">
        <v>-2.9306006709726999E-3</v>
      </c>
      <c r="AG157" s="22">
        <v>-4.7002969272654099E-3</v>
      </c>
      <c r="AI157" s="5"/>
      <c r="AJ157">
        <f>IF($AG157&lt;AI$21,1,0)</f>
        <v>1</v>
      </c>
      <c r="AK157">
        <f>IF($AG157&gt;AI$22,1,0)</f>
        <v>0</v>
      </c>
      <c r="AL157">
        <f t="shared" si="22"/>
        <v>1</v>
      </c>
      <c r="AM157">
        <f>IF(F158+H158&gt;0,0,1)</f>
        <v>1</v>
      </c>
      <c r="AN157">
        <f t="shared" si="23"/>
        <v>1</v>
      </c>
      <c r="AO157" s="17">
        <f>AN157*D157</f>
        <v>-6.1022978017811497E-3</v>
      </c>
      <c r="AP157" s="17">
        <f>-AN157*$E157</f>
        <v>5.5080585697246699E-3</v>
      </c>
      <c r="AQ157" s="17">
        <f t="shared" si="24"/>
        <v>-5.9423923205647981E-4</v>
      </c>
      <c r="AR157" s="11">
        <f t="shared" si="25"/>
        <v>2.7486628808356561E-2</v>
      </c>
      <c r="AT157" s="5"/>
      <c r="AU157">
        <f>IF($AG157&gt;AT$21,1,0)</f>
        <v>0</v>
      </c>
      <c r="AV157">
        <f>IF($AG157&lt;AT$22,1,0)</f>
        <v>1</v>
      </c>
      <c r="AW157">
        <f t="shared" si="26"/>
        <v>0</v>
      </c>
      <c r="AX157">
        <f>IF(F158+H158&gt;0,0,1)</f>
        <v>1</v>
      </c>
      <c r="AY157">
        <f t="shared" si="27"/>
        <v>0</v>
      </c>
      <c r="AZ157" s="17">
        <f>-AY157*D157</f>
        <v>0</v>
      </c>
      <c r="BA157" s="17">
        <f>AY157*$E157</f>
        <v>0</v>
      </c>
      <c r="BB157" s="17">
        <f t="shared" si="28"/>
        <v>0</v>
      </c>
      <c r="BC157" s="11">
        <f t="shared" si="29"/>
        <v>1.5200604283346138E-2</v>
      </c>
      <c r="BE157" s="11">
        <f t="shared" si="30"/>
        <v>-5.9423923205647981E-4</v>
      </c>
      <c r="BF157" s="11">
        <f t="shared" si="31"/>
        <v>4.2687233091702706E-2</v>
      </c>
      <c r="BH157" s="11"/>
    </row>
    <row r="158" spans="1:60" x14ac:dyDescent="0.25">
      <c r="A158" s="1">
        <v>46252</v>
      </c>
      <c r="B158" s="21">
        <v>341.28</v>
      </c>
      <c r="C158" s="21">
        <v>344.2</v>
      </c>
      <c r="D158" s="22">
        <v>-4.9800068405786695E-4</v>
      </c>
      <c r="E158" s="22">
        <v>5.8122640404064795E-4</v>
      </c>
      <c r="F158" s="21">
        <v>0</v>
      </c>
      <c r="G158" s="21">
        <v>0.43</v>
      </c>
      <c r="H158" s="21">
        <v>0</v>
      </c>
      <c r="I158" s="21">
        <v>0.43</v>
      </c>
      <c r="J158" s="21">
        <v>0</v>
      </c>
      <c r="K158" s="21">
        <v>0</v>
      </c>
      <c r="L158" s="21">
        <v>341.28</v>
      </c>
      <c r="M158" s="21">
        <v>344.2</v>
      </c>
      <c r="N158" s="23">
        <v>1.0085560243788001</v>
      </c>
      <c r="O158" s="23">
        <v>1.0043771680406</v>
      </c>
      <c r="P158" s="23">
        <v>1.0052304247038899</v>
      </c>
      <c r="Q158" s="23">
        <v>1.0033181930320401</v>
      </c>
      <c r="R158" s="21">
        <v>342.77383990889598</v>
      </c>
      <c r="S158" s="21">
        <v>342.98216256127398</v>
      </c>
      <c r="T158" s="21">
        <v>342.31375213574802</v>
      </c>
      <c r="U158" s="22">
        <v>-4.1520129503465697E-3</v>
      </c>
      <c r="V158" s="22">
        <v>-3.54444215829843E-3</v>
      </c>
      <c r="W158" s="22">
        <v>-5.49516336690561E-3</v>
      </c>
      <c r="X158" s="23">
        <v>1.0085560243788001</v>
      </c>
      <c r="Y158" s="23">
        <v>1.0043771680406</v>
      </c>
      <c r="Z158" s="23">
        <v>1.0052304247038899</v>
      </c>
      <c r="AA158" s="23">
        <v>1.0033181930320401</v>
      </c>
      <c r="AB158" s="21">
        <v>342.77383990889598</v>
      </c>
      <c r="AC158" s="21">
        <v>342.98216256127398</v>
      </c>
      <c r="AD158" s="21">
        <v>342.31375213574802</v>
      </c>
      <c r="AE158" s="22">
        <v>-4.1520129503465697E-3</v>
      </c>
      <c r="AF158" s="22">
        <v>-3.54444215829843E-3</v>
      </c>
      <c r="AG158" s="22">
        <v>-5.49516336690561E-3</v>
      </c>
      <c r="AI158" s="5"/>
      <c r="AJ158">
        <f>IF($AG158&lt;AI$21,1,0)</f>
        <v>1</v>
      </c>
      <c r="AK158">
        <f>IF($AG158&gt;AI$22,1,0)</f>
        <v>0</v>
      </c>
      <c r="AL158">
        <f t="shared" si="22"/>
        <v>1</v>
      </c>
      <c r="AM158">
        <f>IF(F159+H159&gt;0,0,1)</f>
        <v>1</v>
      </c>
      <c r="AN158">
        <f t="shared" si="23"/>
        <v>1</v>
      </c>
      <c r="AO158" s="17">
        <f>AN158*D158</f>
        <v>-4.9800068405786695E-4</v>
      </c>
      <c r="AP158" s="17">
        <f>-AN158*$E158</f>
        <v>-5.8122640404064795E-4</v>
      </c>
      <c r="AQ158" s="17">
        <f t="shared" si="24"/>
        <v>-1.0792270880985149E-3</v>
      </c>
      <c r="AR158" s="11">
        <f t="shared" si="25"/>
        <v>2.6407401720258045E-2</v>
      </c>
      <c r="AT158" s="5"/>
      <c r="AU158">
        <f>IF($AG158&gt;AT$21,1,0)</f>
        <v>0</v>
      </c>
      <c r="AV158">
        <f>IF($AG158&lt;AT$22,1,0)</f>
        <v>1</v>
      </c>
      <c r="AW158">
        <f t="shared" si="26"/>
        <v>0</v>
      </c>
      <c r="AX158">
        <f>IF(F159+H159&gt;0,0,1)</f>
        <v>1</v>
      </c>
      <c r="AY158">
        <f t="shared" si="27"/>
        <v>0</v>
      </c>
      <c r="AZ158" s="17">
        <f>-AY158*D158</f>
        <v>0</v>
      </c>
      <c r="BA158" s="17">
        <f>AY158*$E158</f>
        <v>0</v>
      </c>
      <c r="BB158" s="17">
        <f t="shared" si="28"/>
        <v>0</v>
      </c>
      <c r="BC158" s="11">
        <f t="shared" si="29"/>
        <v>1.5200604283346138E-2</v>
      </c>
      <c r="BE158" s="11">
        <f t="shared" si="30"/>
        <v>-1.0792270880985149E-3</v>
      </c>
      <c r="BF158" s="11">
        <f t="shared" si="31"/>
        <v>4.1608006003604189E-2</v>
      </c>
      <c r="BH158" s="11"/>
    </row>
    <row r="159" spans="1:60" x14ac:dyDescent="0.25">
      <c r="A159" s="1">
        <v>46253</v>
      </c>
      <c r="B159" s="21">
        <v>341.7</v>
      </c>
      <c r="C159" s="21">
        <v>344.72</v>
      </c>
      <c r="D159" s="22">
        <v>1.2299043982058101E-3</v>
      </c>
      <c r="E159" s="22">
        <v>1.50960953014371E-3</v>
      </c>
      <c r="F159" s="21">
        <v>0</v>
      </c>
      <c r="G159" s="21">
        <v>0.43</v>
      </c>
      <c r="H159" s="21">
        <v>0</v>
      </c>
      <c r="I159" s="21">
        <v>0.43</v>
      </c>
      <c r="J159" s="21">
        <v>0</v>
      </c>
      <c r="K159" s="21">
        <v>0</v>
      </c>
      <c r="L159" s="21">
        <v>341.7</v>
      </c>
      <c r="M159" s="21">
        <v>344.72</v>
      </c>
      <c r="N159" s="23">
        <v>1.00883816213052</v>
      </c>
      <c r="O159" s="23">
        <v>1.0043771680406</v>
      </c>
      <c r="P159" s="23">
        <v>1.00547558265465</v>
      </c>
      <c r="Q159" s="23">
        <v>1.0037337784220699</v>
      </c>
      <c r="R159" s="21">
        <v>343.19567831947302</v>
      </c>
      <c r="S159" s="21">
        <v>343.48723612132</v>
      </c>
      <c r="T159" s="21">
        <v>342.83382655905098</v>
      </c>
      <c r="U159" s="22">
        <v>-4.4317180822843203E-3</v>
      </c>
      <c r="V159" s="22">
        <v>-3.5825406432196099E-3</v>
      </c>
      <c r="W159" s="22">
        <v>-5.4866342087969699E-3</v>
      </c>
      <c r="X159" s="23">
        <v>1.00883816213052</v>
      </c>
      <c r="Y159" s="23">
        <v>1.0043771680406</v>
      </c>
      <c r="Z159" s="23">
        <v>1.00547558265465</v>
      </c>
      <c r="AA159" s="23">
        <v>1.0037337784220699</v>
      </c>
      <c r="AB159" s="21">
        <v>343.19567831947302</v>
      </c>
      <c r="AC159" s="21">
        <v>343.48723612132</v>
      </c>
      <c r="AD159" s="21">
        <v>342.83382655905098</v>
      </c>
      <c r="AE159" s="22">
        <v>-4.4317180822843203E-3</v>
      </c>
      <c r="AF159" s="22">
        <v>-3.5825406432196099E-3</v>
      </c>
      <c r="AG159" s="22">
        <v>-5.4866342087969699E-3</v>
      </c>
      <c r="AI159" s="5"/>
      <c r="AJ159">
        <f>IF($AG159&lt;AI$21,1,0)</f>
        <v>1</v>
      </c>
      <c r="AK159">
        <f>IF($AG159&gt;AI$22,1,0)</f>
        <v>0</v>
      </c>
      <c r="AL159">
        <f t="shared" si="22"/>
        <v>1</v>
      </c>
      <c r="AM159">
        <f>IF(F160+H160&gt;0,0,1)</f>
        <v>1</v>
      </c>
      <c r="AN159">
        <f t="shared" si="23"/>
        <v>1</v>
      </c>
      <c r="AO159" s="17">
        <f>AN159*D159</f>
        <v>1.2299043982058101E-3</v>
      </c>
      <c r="AP159" s="17">
        <f>-AN159*$E159</f>
        <v>-1.50960953014371E-3</v>
      </c>
      <c r="AQ159" s="17">
        <f t="shared" si="24"/>
        <v>-2.7970513193789994E-4</v>
      </c>
      <c r="AR159" s="11">
        <f t="shared" si="25"/>
        <v>2.6127696588320145E-2</v>
      </c>
      <c r="AT159" s="5"/>
      <c r="AU159">
        <f>IF($AG159&gt;AT$21,1,0)</f>
        <v>0</v>
      </c>
      <c r="AV159">
        <f>IF($AG159&lt;AT$22,1,0)</f>
        <v>1</v>
      </c>
      <c r="AW159">
        <f t="shared" si="26"/>
        <v>0</v>
      </c>
      <c r="AX159">
        <f>IF(F160+H160&gt;0,0,1)</f>
        <v>1</v>
      </c>
      <c r="AY159">
        <f t="shared" si="27"/>
        <v>0</v>
      </c>
      <c r="AZ159" s="17">
        <f>-AY159*D159</f>
        <v>0</v>
      </c>
      <c r="BA159" s="17">
        <f>AY159*$E159</f>
        <v>0</v>
      </c>
      <c r="BB159" s="17">
        <f t="shared" si="28"/>
        <v>0</v>
      </c>
      <c r="BC159" s="11">
        <f t="shared" si="29"/>
        <v>1.5200604283346138E-2</v>
      </c>
      <c r="BE159" s="11">
        <f t="shared" si="30"/>
        <v>-2.7970513193789994E-4</v>
      </c>
      <c r="BF159" s="11">
        <f t="shared" si="31"/>
        <v>4.1328300871666286E-2</v>
      </c>
      <c r="BH159" s="11"/>
    </row>
    <row r="160" spans="1:60" x14ac:dyDescent="0.25">
      <c r="A160" s="1">
        <v>46254</v>
      </c>
      <c r="B160" s="21">
        <v>338.2</v>
      </c>
      <c r="C160" s="21">
        <v>340.67</v>
      </c>
      <c r="D160" s="22">
        <v>-1.0295722656766201E-2</v>
      </c>
      <c r="E160" s="22">
        <v>-1.1818226524100601E-2</v>
      </c>
      <c r="F160" s="21">
        <v>0</v>
      </c>
      <c r="G160" s="21">
        <v>0.43</v>
      </c>
      <c r="H160" s="21">
        <v>0</v>
      </c>
      <c r="I160" s="21">
        <v>0.43</v>
      </c>
      <c r="J160" s="21">
        <v>0</v>
      </c>
      <c r="K160" s="21">
        <v>0</v>
      </c>
      <c r="L160" s="21">
        <v>338.2</v>
      </c>
      <c r="M160" s="21">
        <v>340.67</v>
      </c>
      <c r="N160" s="23">
        <v>1.00730337078651</v>
      </c>
      <c r="O160" s="23">
        <v>1.0043771680406</v>
      </c>
      <c r="P160" s="23">
        <v>1.0058890558445699</v>
      </c>
      <c r="Q160" s="23">
        <v>1.00420103906418</v>
      </c>
      <c r="R160" s="21">
        <v>339.68035823133101</v>
      </c>
      <c r="S160" s="21">
        <v>340.051842053803</v>
      </c>
      <c r="T160" s="21">
        <v>339.46276386234399</v>
      </c>
      <c r="U160" s="22">
        <v>-2.9092142149500099E-3</v>
      </c>
      <c r="V160" s="22">
        <v>-1.81618416782055E-3</v>
      </c>
      <c r="W160" s="22">
        <v>-3.55000514503323E-3</v>
      </c>
      <c r="X160" s="23">
        <v>1.00730337078651</v>
      </c>
      <c r="Y160" s="23">
        <v>1.0043771680406</v>
      </c>
      <c r="Z160" s="23">
        <v>1.0058890558445699</v>
      </c>
      <c r="AA160" s="23">
        <v>1.00420103906418</v>
      </c>
      <c r="AB160" s="21">
        <v>339.68035823133101</v>
      </c>
      <c r="AC160" s="21">
        <v>340.051842053803</v>
      </c>
      <c r="AD160" s="21">
        <v>339.46276386234399</v>
      </c>
      <c r="AE160" s="22">
        <v>-2.9092142149500099E-3</v>
      </c>
      <c r="AF160" s="22">
        <v>-1.81618416782055E-3</v>
      </c>
      <c r="AG160" s="22">
        <v>-3.55000514503323E-3</v>
      </c>
      <c r="AI160" s="5"/>
      <c r="AJ160">
        <f>IF($AG160&lt;AI$21,1,0)</f>
        <v>0</v>
      </c>
      <c r="AK160">
        <f>IF($AG160&gt;AI$22,1,0)</f>
        <v>0</v>
      </c>
      <c r="AL160">
        <f t="shared" si="22"/>
        <v>1</v>
      </c>
      <c r="AM160">
        <f>IF(F161+H161&gt;0,0,1)</f>
        <v>1</v>
      </c>
      <c r="AN160">
        <f t="shared" si="23"/>
        <v>1</v>
      </c>
      <c r="AO160" s="17">
        <f>AN160*D160</f>
        <v>-1.0295722656766201E-2</v>
      </c>
      <c r="AP160" s="17">
        <f>-AN160*$E160</f>
        <v>1.1818226524100601E-2</v>
      </c>
      <c r="AQ160" s="17">
        <f t="shared" si="24"/>
        <v>1.5225038673344002E-3</v>
      </c>
      <c r="AR160" s="11">
        <f t="shared" si="25"/>
        <v>2.7650200455654545E-2</v>
      </c>
      <c r="AT160" s="5"/>
      <c r="AU160">
        <f>IF($AG160&gt;AT$21,1,0)</f>
        <v>0</v>
      </c>
      <c r="AV160">
        <f>IF($AG160&lt;AT$22,1,0)</f>
        <v>1</v>
      </c>
      <c r="AW160">
        <f t="shared" si="26"/>
        <v>0</v>
      </c>
      <c r="AX160">
        <f>IF(F161+H161&gt;0,0,1)</f>
        <v>1</v>
      </c>
      <c r="AY160">
        <f t="shared" si="27"/>
        <v>0</v>
      </c>
      <c r="AZ160" s="17">
        <f>-AY160*D160</f>
        <v>0</v>
      </c>
      <c r="BA160" s="17">
        <f>AY160*$E160</f>
        <v>0</v>
      </c>
      <c r="BB160" s="17">
        <f t="shared" si="28"/>
        <v>0</v>
      </c>
      <c r="BC160" s="11">
        <f t="shared" si="29"/>
        <v>1.5200604283346138E-2</v>
      </c>
      <c r="BE160" s="11">
        <f t="shared" si="30"/>
        <v>1.5225038673344002E-3</v>
      </c>
      <c r="BF160" s="11">
        <f t="shared" si="31"/>
        <v>4.2850804739000686E-2</v>
      </c>
      <c r="BH160" s="11"/>
    </row>
    <row r="161" spans="1:60" x14ac:dyDescent="0.25">
      <c r="A161" s="1">
        <v>46255</v>
      </c>
      <c r="B161" s="21">
        <v>341.75</v>
      </c>
      <c r="C161" s="21">
        <v>344.82</v>
      </c>
      <c r="D161" s="22">
        <v>1.04420391395791E-2</v>
      </c>
      <c r="E161" s="22">
        <v>1.2108274964223001E-2</v>
      </c>
      <c r="F161" s="21">
        <v>0</v>
      </c>
      <c r="G161" s="21">
        <v>0.43</v>
      </c>
      <c r="H161" s="21">
        <v>0</v>
      </c>
      <c r="I161" s="21">
        <v>0.43</v>
      </c>
      <c r="J161" s="21">
        <v>0</v>
      </c>
      <c r="K161" s="21">
        <v>0</v>
      </c>
      <c r="L161" s="21">
        <v>341.75</v>
      </c>
      <c r="M161" s="21">
        <v>344.82</v>
      </c>
      <c r="N161" s="23">
        <v>1.0089831748353999</v>
      </c>
      <c r="O161" s="23">
        <v>1.0043771680406</v>
      </c>
      <c r="P161" s="23">
        <v>1.00655255849234</v>
      </c>
      <c r="Q161" s="23">
        <v>1.0045483456639199</v>
      </c>
      <c r="R161" s="21">
        <v>343.24589717787501</v>
      </c>
      <c r="S161" s="21">
        <v>343.76258483488198</v>
      </c>
      <c r="T161" s="21">
        <v>343.18570510018299</v>
      </c>
      <c r="U161" s="22">
        <v>-4.57545003959415E-3</v>
      </c>
      <c r="V161" s="22">
        <v>-3.07128300832095E-3</v>
      </c>
      <c r="W161" s="22">
        <v>-4.7508268073506704E-3</v>
      </c>
      <c r="X161" s="23">
        <v>1.0089831748353999</v>
      </c>
      <c r="Y161" s="23">
        <v>1.0043771680406</v>
      </c>
      <c r="Z161" s="23">
        <v>1.00655255849234</v>
      </c>
      <c r="AA161" s="23">
        <v>1.0045483456639199</v>
      </c>
      <c r="AB161" s="21">
        <v>343.24589717787501</v>
      </c>
      <c r="AC161" s="21">
        <v>343.76258483488198</v>
      </c>
      <c r="AD161" s="21">
        <v>343.18570510018299</v>
      </c>
      <c r="AE161" s="22">
        <v>-4.57545003959415E-3</v>
      </c>
      <c r="AF161" s="22">
        <v>-3.07128300832095E-3</v>
      </c>
      <c r="AG161" s="22">
        <v>-4.7508268073506704E-3</v>
      </c>
      <c r="AI161" s="5"/>
      <c r="AJ161">
        <f>IF($AG161&lt;AI$21,1,0)</f>
        <v>1</v>
      </c>
      <c r="AK161">
        <f>IF($AG161&gt;AI$22,1,0)</f>
        <v>0</v>
      </c>
      <c r="AL161">
        <f t="shared" si="22"/>
        <v>1</v>
      </c>
      <c r="AM161">
        <f>IF(F162+H162&gt;0,0,1)</f>
        <v>1</v>
      </c>
      <c r="AN161">
        <f t="shared" si="23"/>
        <v>1</v>
      </c>
      <c r="AO161" s="17">
        <f>AN161*D161</f>
        <v>1.04420391395791E-2</v>
      </c>
      <c r="AP161" s="17">
        <f>-AN161*$E161</f>
        <v>-1.2108274964223001E-2</v>
      </c>
      <c r="AQ161" s="17">
        <f t="shared" si="24"/>
        <v>-1.6662358246439003E-3</v>
      </c>
      <c r="AR161" s="11">
        <f t="shared" si="25"/>
        <v>2.5983964631010645E-2</v>
      </c>
      <c r="AT161" s="5"/>
      <c r="AU161">
        <f>IF($AG161&gt;AT$21,1,0)</f>
        <v>0</v>
      </c>
      <c r="AV161">
        <f>IF($AG161&lt;AT$22,1,0)</f>
        <v>1</v>
      </c>
      <c r="AW161">
        <f t="shared" si="26"/>
        <v>0</v>
      </c>
      <c r="AX161">
        <f>IF(F162+H162&gt;0,0,1)</f>
        <v>1</v>
      </c>
      <c r="AY161">
        <f t="shared" si="27"/>
        <v>0</v>
      </c>
      <c r="AZ161" s="17">
        <f>-AY161*D161</f>
        <v>0</v>
      </c>
      <c r="BA161" s="17">
        <f>AY161*$E161</f>
        <v>0</v>
      </c>
      <c r="BB161" s="17">
        <f t="shared" si="28"/>
        <v>0</v>
      </c>
      <c r="BC161" s="11">
        <f t="shared" si="29"/>
        <v>1.5200604283346138E-2</v>
      </c>
      <c r="BE161" s="11">
        <f t="shared" si="30"/>
        <v>-1.6662358246439003E-3</v>
      </c>
      <c r="BF161" s="11">
        <f t="shared" si="31"/>
        <v>4.1184568914356789E-2</v>
      </c>
      <c r="BH161" s="11"/>
    </row>
    <row r="162" spans="1:60" x14ac:dyDescent="0.25">
      <c r="A162" s="1">
        <v>46258</v>
      </c>
      <c r="B162" s="21">
        <v>344.59</v>
      </c>
      <c r="C162" s="21">
        <v>348.06</v>
      </c>
      <c r="D162" s="22">
        <v>8.2758289160656303E-3</v>
      </c>
      <c r="E162" s="22">
        <v>9.35233695832287E-3</v>
      </c>
      <c r="F162" s="21">
        <v>0</v>
      </c>
      <c r="G162" s="21">
        <v>0.43</v>
      </c>
      <c r="H162" s="21">
        <v>0</v>
      </c>
      <c r="I162" s="21">
        <v>0.43</v>
      </c>
      <c r="J162" s="21">
        <v>0</v>
      </c>
      <c r="K162" s="21">
        <v>0</v>
      </c>
      <c r="L162" s="21">
        <v>344.59</v>
      </c>
      <c r="M162" s="21">
        <v>348.06</v>
      </c>
      <c r="N162" s="23">
        <v>1.0100699381874101</v>
      </c>
      <c r="O162" s="23">
        <v>1.0043771680406</v>
      </c>
      <c r="P162" s="23">
        <v>1.0070874300089201</v>
      </c>
      <c r="Q162" s="23">
        <v>1.0050533736386</v>
      </c>
      <c r="R162" s="21">
        <v>346.09832833511098</v>
      </c>
      <c r="S162" s="21">
        <v>346.84794613087502</v>
      </c>
      <c r="T162" s="21">
        <v>346.15731443233</v>
      </c>
      <c r="U162" s="22">
        <v>-5.65195808185129E-3</v>
      </c>
      <c r="V162" s="22">
        <v>-3.4883903831658199E-3</v>
      </c>
      <c r="W162" s="22">
        <v>-5.4815409881706001E-3</v>
      </c>
      <c r="X162" s="23">
        <v>1.0100699381874101</v>
      </c>
      <c r="Y162" s="23">
        <v>1.0043771680406</v>
      </c>
      <c r="Z162" s="23">
        <v>1.0070874300089201</v>
      </c>
      <c r="AA162" s="23">
        <v>1.0050533736386</v>
      </c>
      <c r="AB162" s="21">
        <v>346.09832833511098</v>
      </c>
      <c r="AC162" s="21">
        <v>346.84794613087502</v>
      </c>
      <c r="AD162" s="21">
        <v>346.15731443233</v>
      </c>
      <c r="AE162" s="22">
        <v>-5.65195808185129E-3</v>
      </c>
      <c r="AF162" s="22">
        <v>-3.4883903831658199E-3</v>
      </c>
      <c r="AG162" s="22">
        <v>-5.4815409881706001E-3</v>
      </c>
      <c r="AI162" s="5"/>
      <c r="AJ162">
        <f>IF($AG162&lt;AI$21,1,0)</f>
        <v>1</v>
      </c>
      <c r="AK162">
        <f>IF($AG162&gt;AI$22,1,0)</f>
        <v>0</v>
      </c>
      <c r="AL162">
        <f t="shared" si="22"/>
        <v>1</v>
      </c>
      <c r="AM162">
        <f>IF(F163+H163&gt;0,0,1)</f>
        <v>1</v>
      </c>
      <c r="AN162">
        <f t="shared" si="23"/>
        <v>1</v>
      </c>
      <c r="AO162" s="17">
        <f>AN162*D162</f>
        <v>8.2758289160656303E-3</v>
      </c>
      <c r="AP162" s="17">
        <f>-AN162*$E162</f>
        <v>-9.35233695832287E-3</v>
      </c>
      <c r="AQ162" s="17">
        <f t="shared" si="24"/>
        <v>-1.0765080422572397E-3</v>
      </c>
      <c r="AR162" s="11">
        <f t="shared" si="25"/>
        <v>2.4907456588753405E-2</v>
      </c>
      <c r="AT162" s="5"/>
      <c r="AU162">
        <f>IF($AG162&gt;AT$21,1,0)</f>
        <v>0</v>
      </c>
      <c r="AV162">
        <f>IF($AG162&lt;AT$22,1,0)</f>
        <v>1</v>
      </c>
      <c r="AW162">
        <f t="shared" si="26"/>
        <v>0</v>
      </c>
      <c r="AX162">
        <f>IF(F163+H163&gt;0,0,1)</f>
        <v>1</v>
      </c>
      <c r="AY162">
        <f t="shared" si="27"/>
        <v>0</v>
      </c>
      <c r="AZ162" s="17">
        <f>-AY162*D162</f>
        <v>0</v>
      </c>
      <c r="BA162" s="17">
        <f>AY162*$E162</f>
        <v>0</v>
      </c>
      <c r="BB162" s="17">
        <f t="shared" si="28"/>
        <v>0</v>
      </c>
      <c r="BC162" s="11">
        <f t="shared" si="29"/>
        <v>1.5200604283346138E-2</v>
      </c>
      <c r="BE162" s="11">
        <f t="shared" si="30"/>
        <v>-1.0765080422572397E-3</v>
      </c>
      <c r="BF162" s="11">
        <f t="shared" si="31"/>
        <v>4.0108060872099546E-2</v>
      </c>
      <c r="BH162" s="11"/>
    </row>
    <row r="163" spans="1:60" x14ac:dyDescent="0.25">
      <c r="A163" s="1">
        <v>46259</v>
      </c>
      <c r="B163" s="21">
        <v>343.34</v>
      </c>
      <c r="C163" s="21">
        <v>346.96</v>
      </c>
      <c r="D163" s="22">
        <v>-3.6340946773415401E-3</v>
      </c>
      <c r="E163" s="22">
        <v>-3.1653791789172702E-3</v>
      </c>
      <c r="F163" s="21">
        <v>0</v>
      </c>
      <c r="G163" s="21">
        <v>0.43</v>
      </c>
      <c r="H163" s="21">
        <v>0</v>
      </c>
      <c r="I163" s="21">
        <v>0.43</v>
      </c>
      <c r="J163" s="21">
        <v>0</v>
      </c>
      <c r="K163" s="21">
        <v>0</v>
      </c>
      <c r="L163" s="21">
        <v>343.34</v>
      </c>
      <c r="M163" s="21">
        <v>346.96</v>
      </c>
      <c r="N163" s="23">
        <v>1.0105434845925301</v>
      </c>
      <c r="O163" s="23">
        <v>1.0043771680406</v>
      </c>
      <c r="P163" s="23">
        <v>1.0079085423165699</v>
      </c>
      <c r="Q163" s="23">
        <v>1.00541368076059</v>
      </c>
      <c r="R163" s="21">
        <v>344.84285687506002</v>
      </c>
      <c r="S163" s="21">
        <v>345.77339821926302</v>
      </c>
      <c r="T163" s="21">
        <v>345.07502530507901</v>
      </c>
      <c r="U163" s="22">
        <v>-6.1206735802755699E-3</v>
      </c>
      <c r="V163" s="22">
        <v>-3.4258574635842999E-3</v>
      </c>
      <c r="W163" s="22">
        <v>-5.4476414853570701E-3</v>
      </c>
      <c r="X163" s="23">
        <v>1.0105434845925301</v>
      </c>
      <c r="Y163" s="23">
        <v>1.0043771680406</v>
      </c>
      <c r="Z163" s="23">
        <v>1.0079085423165699</v>
      </c>
      <c r="AA163" s="23">
        <v>1.00541368076059</v>
      </c>
      <c r="AB163" s="21">
        <v>344.84285687506002</v>
      </c>
      <c r="AC163" s="21">
        <v>345.77339821926302</v>
      </c>
      <c r="AD163" s="21">
        <v>345.07502530507901</v>
      </c>
      <c r="AE163" s="22">
        <v>-6.1206735802755699E-3</v>
      </c>
      <c r="AF163" s="22">
        <v>-3.4258574635842999E-3</v>
      </c>
      <c r="AG163" s="22">
        <v>-5.4476414853570701E-3</v>
      </c>
      <c r="AI163" s="5"/>
      <c r="AJ163">
        <f>IF($AG163&lt;AI$21,1,0)</f>
        <v>1</v>
      </c>
      <c r="AK163">
        <f>IF($AG163&gt;AI$22,1,0)</f>
        <v>0</v>
      </c>
      <c r="AL163">
        <f t="shared" si="22"/>
        <v>1</v>
      </c>
      <c r="AM163">
        <f>IF(F164+H164&gt;0,0,1)</f>
        <v>1</v>
      </c>
      <c r="AN163">
        <f t="shared" si="23"/>
        <v>1</v>
      </c>
      <c r="AO163" s="17">
        <f>AN163*D163</f>
        <v>-3.6340946773415401E-3</v>
      </c>
      <c r="AP163" s="17">
        <f>-AN163*$E163</f>
        <v>3.1653791789172702E-3</v>
      </c>
      <c r="AQ163" s="17">
        <f t="shared" si="24"/>
        <v>-4.6871549842426993E-4</v>
      </c>
      <c r="AR163" s="11">
        <f t="shared" si="25"/>
        <v>2.4438741090329136E-2</v>
      </c>
      <c r="AT163" s="5"/>
      <c r="AU163">
        <f>IF($AG163&gt;AT$21,1,0)</f>
        <v>0</v>
      </c>
      <c r="AV163">
        <f>IF($AG163&lt;AT$22,1,0)</f>
        <v>1</v>
      </c>
      <c r="AW163">
        <f t="shared" si="26"/>
        <v>0</v>
      </c>
      <c r="AX163">
        <f>IF(F164+H164&gt;0,0,1)</f>
        <v>1</v>
      </c>
      <c r="AY163">
        <f t="shared" si="27"/>
        <v>0</v>
      </c>
      <c r="AZ163" s="17">
        <f>-AY163*D163</f>
        <v>0</v>
      </c>
      <c r="BA163" s="17">
        <f>AY163*$E163</f>
        <v>0</v>
      </c>
      <c r="BB163" s="17">
        <f t="shared" si="28"/>
        <v>0</v>
      </c>
      <c r="BC163" s="11">
        <f t="shared" si="29"/>
        <v>1.5200604283346138E-2</v>
      </c>
      <c r="BE163" s="11">
        <f t="shared" si="30"/>
        <v>-4.6871549842426993E-4</v>
      </c>
      <c r="BF163" s="11">
        <f t="shared" si="31"/>
        <v>3.9639345373675278E-2</v>
      </c>
      <c r="BH163" s="11"/>
    </row>
    <row r="164" spans="1:60" x14ac:dyDescent="0.25">
      <c r="A164" s="1">
        <v>46260</v>
      </c>
      <c r="B164" s="21">
        <v>339.1</v>
      </c>
      <c r="C164" s="21">
        <v>342</v>
      </c>
      <c r="D164" s="22">
        <v>-1.242616071119E-2</v>
      </c>
      <c r="E164" s="22">
        <v>-1.4398762464505501E-2</v>
      </c>
      <c r="F164" s="21">
        <v>0</v>
      </c>
      <c r="G164" s="21">
        <v>0.43</v>
      </c>
      <c r="H164" s="21">
        <v>0</v>
      </c>
      <c r="I164" s="21">
        <v>0.43</v>
      </c>
      <c r="J164" s="21">
        <v>0</v>
      </c>
      <c r="K164" s="21">
        <v>0</v>
      </c>
      <c r="L164" s="21">
        <v>339.1</v>
      </c>
      <c r="M164" s="21">
        <v>342</v>
      </c>
      <c r="N164" s="23">
        <v>1.0085520495428999</v>
      </c>
      <c r="O164" s="23">
        <v>1.0043771680406</v>
      </c>
      <c r="P164" s="23">
        <v>1.0084220117216001</v>
      </c>
      <c r="Q164" s="23">
        <v>1.0056998131400501</v>
      </c>
      <c r="R164" s="21">
        <v>340.58429768256798</v>
      </c>
      <c r="S164" s="21">
        <v>341.78178669955003</v>
      </c>
      <c r="T164" s="21">
        <v>340.93577914591799</v>
      </c>
      <c r="U164" s="22">
        <v>-4.14807182696008E-3</v>
      </c>
      <c r="V164" s="22">
        <v>-6.3825422701261703E-4</v>
      </c>
      <c r="W164" s="22">
        <v>-3.1166084659744698E-3</v>
      </c>
      <c r="X164" s="23">
        <v>1.0085520495428999</v>
      </c>
      <c r="Y164" s="23">
        <v>1.0043771680406</v>
      </c>
      <c r="Z164" s="23">
        <v>1.0084220117216001</v>
      </c>
      <c r="AA164" s="23">
        <v>1.0056998131400501</v>
      </c>
      <c r="AB164" s="21">
        <v>340.58429768256798</v>
      </c>
      <c r="AC164" s="21">
        <v>341.78178669955003</v>
      </c>
      <c r="AD164" s="21">
        <v>340.93577914591799</v>
      </c>
      <c r="AE164" s="22">
        <v>-4.14807182696008E-3</v>
      </c>
      <c r="AF164" s="22">
        <v>-6.3825422701261703E-4</v>
      </c>
      <c r="AG164" s="22">
        <v>-3.1166084659744698E-3</v>
      </c>
      <c r="AI164" s="5"/>
      <c r="AJ164">
        <f>IF($AG164&lt;AI$21,1,0)</f>
        <v>0</v>
      </c>
      <c r="AK164">
        <f>IF($AG164&gt;AI$22,1,0)</f>
        <v>0</v>
      </c>
      <c r="AL164">
        <f t="shared" si="22"/>
        <v>1</v>
      </c>
      <c r="AM164">
        <f>IF(F165+H165&gt;0,0,1)</f>
        <v>1</v>
      </c>
      <c r="AN164">
        <f t="shared" si="23"/>
        <v>1</v>
      </c>
      <c r="AO164" s="17">
        <f>AN164*D164</f>
        <v>-1.242616071119E-2</v>
      </c>
      <c r="AP164" s="17">
        <f>-AN164*$E164</f>
        <v>1.4398762464505501E-2</v>
      </c>
      <c r="AQ164" s="17">
        <f t="shared" si="24"/>
        <v>1.9726017533155012E-3</v>
      </c>
      <c r="AR164" s="11">
        <f t="shared" si="25"/>
        <v>2.6411342843644638E-2</v>
      </c>
      <c r="AT164" s="5"/>
      <c r="AU164">
        <f>IF($AG164&gt;AT$21,1,0)</f>
        <v>0</v>
      </c>
      <c r="AV164">
        <f>IF($AG164&lt;AT$22,1,0)</f>
        <v>1</v>
      </c>
      <c r="AW164">
        <f t="shared" si="26"/>
        <v>0</v>
      </c>
      <c r="AX164">
        <f>IF(F165+H165&gt;0,0,1)</f>
        <v>1</v>
      </c>
      <c r="AY164">
        <f t="shared" si="27"/>
        <v>0</v>
      </c>
      <c r="AZ164" s="17">
        <f>-AY164*D164</f>
        <v>0</v>
      </c>
      <c r="BA164" s="17">
        <f>AY164*$E164</f>
        <v>0</v>
      </c>
      <c r="BB164" s="17">
        <f t="shared" si="28"/>
        <v>0</v>
      </c>
      <c r="BC164" s="11">
        <f t="shared" si="29"/>
        <v>1.5200604283346138E-2</v>
      </c>
      <c r="BE164" s="11">
        <f t="shared" si="30"/>
        <v>1.9726017533155012E-3</v>
      </c>
      <c r="BF164" s="11">
        <f t="shared" si="31"/>
        <v>4.1611947126990775E-2</v>
      </c>
      <c r="BH164" s="11"/>
    </row>
    <row r="165" spans="1:60" x14ac:dyDescent="0.25">
      <c r="A165" s="1">
        <v>46261</v>
      </c>
      <c r="B165" s="21">
        <v>337.71</v>
      </c>
      <c r="C165" s="21">
        <v>340.65</v>
      </c>
      <c r="D165" s="22">
        <v>-4.1075100967707797E-3</v>
      </c>
      <c r="E165" s="22">
        <v>-3.9551798429280499E-3</v>
      </c>
      <c r="F165" s="21">
        <v>0</v>
      </c>
      <c r="G165" s="21">
        <v>0.43</v>
      </c>
      <c r="H165" s="21">
        <v>0</v>
      </c>
      <c r="I165" s="21">
        <v>0.43</v>
      </c>
      <c r="J165" s="21">
        <v>0</v>
      </c>
      <c r="K165" s="21">
        <v>0</v>
      </c>
      <c r="L165" s="21">
        <v>337.71</v>
      </c>
      <c r="M165" s="21">
        <v>340.65</v>
      </c>
      <c r="N165" s="23">
        <v>1.0087056942346899</v>
      </c>
      <c r="O165" s="23">
        <v>1.0043771680406</v>
      </c>
      <c r="P165" s="23">
        <v>1.0085889700501101</v>
      </c>
      <c r="Q165" s="23">
        <v>1.00613809473503</v>
      </c>
      <c r="R165" s="21">
        <v>339.18821341899098</v>
      </c>
      <c r="S165" s="21">
        <v>340.55419757850302</v>
      </c>
      <c r="T165" s="21">
        <v>339.63488389552703</v>
      </c>
      <c r="U165" s="22">
        <v>-4.3004020808027404E-3</v>
      </c>
      <c r="V165" s="22">
        <v>-2.8127372810959699E-4</v>
      </c>
      <c r="W165" s="22">
        <v>-2.9843875174558102E-3</v>
      </c>
      <c r="X165" s="23">
        <v>1.0087056942346899</v>
      </c>
      <c r="Y165" s="23">
        <v>1.0043771680406</v>
      </c>
      <c r="Z165" s="23">
        <v>1.0085889700501101</v>
      </c>
      <c r="AA165" s="23">
        <v>1.00613809473503</v>
      </c>
      <c r="AB165" s="21">
        <v>339.18821341899098</v>
      </c>
      <c r="AC165" s="21">
        <v>340.55419757850302</v>
      </c>
      <c r="AD165" s="21">
        <v>339.63488389552703</v>
      </c>
      <c r="AE165" s="22">
        <v>-4.3004020808027404E-3</v>
      </c>
      <c r="AF165" s="22">
        <v>-2.8127372810959699E-4</v>
      </c>
      <c r="AG165" s="22">
        <v>-2.9843875174558102E-3</v>
      </c>
      <c r="AI165" s="5"/>
      <c r="AJ165">
        <f>IF($AG165&lt;AI$21,1,0)</f>
        <v>0</v>
      </c>
      <c r="AK165">
        <f>IF($AG165&gt;AI$22,1,0)</f>
        <v>0</v>
      </c>
      <c r="AL165">
        <f t="shared" si="22"/>
        <v>1</v>
      </c>
      <c r="AM165">
        <f>IF(F166+H166&gt;0,0,1)</f>
        <v>1</v>
      </c>
      <c r="AN165">
        <f t="shared" si="23"/>
        <v>1</v>
      </c>
      <c r="AO165" s="17">
        <f>AN165*D165</f>
        <v>-4.1075100967707797E-3</v>
      </c>
      <c r="AP165" s="17">
        <f>-AN165*$E165</f>
        <v>3.9551798429280499E-3</v>
      </c>
      <c r="AQ165" s="17">
        <f t="shared" si="24"/>
        <v>-1.5233025384272982E-4</v>
      </c>
      <c r="AR165" s="11">
        <f t="shared" si="25"/>
        <v>2.6259012589801907E-2</v>
      </c>
      <c r="AT165" s="5"/>
      <c r="AU165">
        <f>IF($AG165&gt;AT$21,1,0)</f>
        <v>0</v>
      </c>
      <c r="AV165">
        <f>IF($AG165&lt;AT$22,1,0)</f>
        <v>1</v>
      </c>
      <c r="AW165">
        <f t="shared" si="26"/>
        <v>0</v>
      </c>
      <c r="AX165">
        <f>IF(F166+H166&gt;0,0,1)</f>
        <v>1</v>
      </c>
      <c r="AY165">
        <f t="shared" si="27"/>
        <v>0</v>
      </c>
      <c r="AZ165" s="17">
        <f>-AY165*D165</f>
        <v>0</v>
      </c>
      <c r="BA165" s="17">
        <f>AY165*$E165</f>
        <v>0</v>
      </c>
      <c r="BB165" s="17">
        <f t="shared" si="28"/>
        <v>0</v>
      </c>
      <c r="BC165" s="11">
        <f t="shared" si="29"/>
        <v>1.5200604283346138E-2</v>
      </c>
      <c r="BE165" s="11">
        <f t="shared" si="30"/>
        <v>-1.5233025384272982E-4</v>
      </c>
      <c r="BF165" s="11">
        <f t="shared" si="31"/>
        <v>4.1459616873148045E-2</v>
      </c>
      <c r="BH165" s="11"/>
    </row>
    <row r="166" spans="1:60" x14ac:dyDescent="0.25">
      <c r="A166" s="1">
        <v>46262</v>
      </c>
      <c r="B166" s="21">
        <v>342.88</v>
      </c>
      <c r="C166" s="21">
        <v>346.59</v>
      </c>
      <c r="D166" s="22">
        <v>1.5192992690444501E-2</v>
      </c>
      <c r="E166" s="22">
        <v>1.72869679433597E-2</v>
      </c>
      <c r="F166" s="21">
        <v>0</v>
      </c>
      <c r="G166" s="21">
        <v>0.43</v>
      </c>
      <c r="H166" s="21">
        <v>0</v>
      </c>
      <c r="I166" s="21">
        <v>0.43</v>
      </c>
      <c r="J166" s="21">
        <v>0</v>
      </c>
      <c r="K166" s="21">
        <v>0</v>
      </c>
      <c r="L166" s="21">
        <v>342.88</v>
      </c>
      <c r="M166" s="21">
        <v>346.59</v>
      </c>
      <c r="N166" s="23">
        <v>1.01082011199253</v>
      </c>
      <c r="O166" s="23">
        <v>1.0043771680406</v>
      </c>
      <c r="P166" s="23">
        <v>1.00898401612158</v>
      </c>
      <c r="Q166" s="23">
        <v>1.00675200093748</v>
      </c>
      <c r="R166" s="21">
        <v>344.38084337776098</v>
      </c>
      <c r="S166" s="21">
        <v>345.82498605078302</v>
      </c>
      <c r="T166" s="21">
        <v>344.98462992274699</v>
      </c>
      <c r="U166" s="22">
        <v>-6.3943773337178603E-3</v>
      </c>
      <c r="V166" s="22">
        <v>-2.20969873821344E-3</v>
      </c>
      <c r="W166" s="22">
        <v>-4.6426600726591997E-3</v>
      </c>
      <c r="X166" s="23">
        <v>1.01082011199253</v>
      </c>
      <c r="Y166" s="23">
        <v>1.0043771680406</v>
      </c>
      <c r="Z166" s="23">
        <v>1.00898401612158</v>
      </c>
      <c r="AA166" s="23">
        <v>1.00675200093748</v>
      </c>
      <c r="AB166" s="21">
        <v>344.38084337776098</v>
      </c>
      <c r="AC166" s="21">
        <v>345.82498605078302</v>
      </c>
      <c r="AD166" s="21">
        <v>344.98462992274699</v>
      </c>
      <c r="AE166" s="22">
        <v>-6.3943773337178603E-3</v>
      </c>
      <c r="AF166" s="22">
        <v>-2.20969873821344E-3</v>
      </c>
      <c r="AG166" s="22">
        <v>-4.6426600726591997E-3</v>
      </c>
      <c r="AI166" s="5"/>
      <c r="AJ166">
        <f>IF($AG166&lt;AI$21,1,0)</f>
        <v>1</v>
      </c>
      <c r="AK166">
        <f>IF($AG166&gt;AI$22,1,0)</f>
        <v>0</v>
      </c>
      <c r="AL166">
        <f t="shared" si="22"/>
        <v>1</v>
      </c>
      <c r="AM166">
        <f>IF(F167+H167&gt;0,0,1)</f>
        <v>1</v>
      </c>
      <c r="AN166">
        <f t="shared" si="23"/>
        <v>1</v>
      </c>
      <c r="AO166" s="17">
        <f>AN166*D166</f>
        <v>1.5192992690444501E-2</v>
      </c>
      <c r="AP166" s="17">
        <f>-AN166*$E166</f>
        <v>-1.72869679433597E-2</v>
      </c>
      <c r="AQ166" s="17">
        <f t="shared" si="24"/>
        <v>-2.0939752529151989E-3</v>
      </c>
      <c r="AR166" s="11">
        <f t="shared" si="25"/>
        <v>2.4165037336886706E-2</v>
      </c>
      <c r="AT166" s="5"/>
      <c r="AU166">
        <f>IF($AG166&gt;AT$21,1,0)</f>
        <v>0</v>
      </c>
      <c r="AV166">
        <f>IF($AG166&lt;AT$22,1,0)</f>
        <v>1</v>
      </c>
      <c r="AW166">
        <f t="shared" si="26"/>
        <v>0</v>
      </c>
      <c r="AX166">
        <f>IF(F167+H167&gt;0,0,1)</f>
        <v>1</v>
      </c>
      <c r="AY166">
        <f t="shared" si="27"/>
        <v>0</v>
      </c>
      <c r="AZ166" s="17">
        <f>-AY166*D166</f>
        <v>0</v>
      </c>
      <c r="BA166" s="17">
        <f>AY166*$E166</f>
        <v>0</v>
      </c>
      <c r="BB166" s="17">
        <f t="shared" si="28"/>
        <v>0</v>
      </c>
      <c r="BC166" s="11">
        <f t="shared" si="29"/>
        <v>1.5200604283346138E-2</v>
      </c>
      <c r="BE166" s="11">
        <f t="shared" si="30"/>
        <v>-2.0939752529151989E-3</v>
      </c>
      <c r="BF166" s="11">
        <f t="shared" si="31"/>
        <v>3.9365641620232844E-2</v>
      </c>
      <c r="BH166" s="11"/>
    </row>
    <row r="167" spans="1:60" x14ac:dyDescent="0.25">
      <c r="A167" s="1">
        <v>46265</v>
      </c>
      <c r="B167" s="21">
        <v>335.41</v>
      </c>
      <c r="C167" s="21">
        <v>339.35</v>
      </c>
      <c r="D167" s="22">
        <v>-2.2026867634526701E-2</v>
      </c>
      <c r="E167" s="22">
        <v>-2.1110502013269299E-2</v>
      </c>
      <c r="F167" s="21">
        <v>0</v>
      </c>
      <c r="G167" s="21">
        <v>0.43</v>
      </c>
      <c r="H167" s="21">
        <v>0</v>
      </c>
      <c r="I167" s="21">
        <v>0.43</v>
      </c>
      <c r="J167" s="21">
        <v>0</v>
      </c>
      <c r="K167" s="21">
        <v>0</v>
      </c>
      <c r="L167" s="21">
        <v>335.41</v>
      </c>
      <c r="M167" s="21">
        <v>339.35</v>
      </c>
      <c r="N167" s="23">
        <v>1.0117468173280399</v>
      </c>
      <c r="O167" s="23">
        <v>1.0043771680406</v>
      </c>
      <c r="P167" s="23">
        <v>1.00941188280093</v>
      </c>
      <c r="Q167" s="23">
        <v>1.0071997332448099</v>
      </c>
      <c r="R167" s="21">
        <v>336.878145932498</v>
      </c>
      <c r="S167" s="21">
        <v>338.42332884733997</v>
      </c>
      <c r="T167" s="21">
        <v>337.67468863444299</v>
      </c>
      <c r="U167" s="22">
        <v>-7.3107429549751999E-3</v>
      </c>
      <c r="V167" s="22">
        <v>-2.7344591196876902E-3</v>
      </c>
      <c r="W167" s="22">
        <v>-4.9490507898591902E-3</v>
      </c>
      <c r="X167" s="23">
        <v>1.0117468173280399</v>
      </c>
      <c r="Y167" s="23">
        <v>1.0043771680406</v>
      </c>
      <c r="Z167" s="23">
        <v>1.00941188280093</v>
      </c>
      <c r="AA167" s="23">
        <v>1.0071997332448099</v>
      </c>
      <c r="AB167" s="21">
        <v>336.878145932498</v>
      </c>
      <c r="AC167" s="21">
        <v>338.42332884733997</v>
      </c>
      <c r="AD167" s="21">
        <v>337.67468863444299</v>
      </c>
      <c r="AE167" s="22">
        <v>-7.3107429549751999E-3</v>
      </c>
      <c r="AF167" s="22">
        <v>-2.7344591196876902E-3</v>
      </c>
      <c r="AG167" s="22">
        <v>-4.9490507898591902E-3</v>
      </c>
      <c r="AI167" s="5"/>
      <c r="AJ167">
        <f>IF($AG167&lt;AI$21,1,0)</f>
        <v>1</v>
      </c>
      <c r="AK167">
        <f>IF($AG167&gt;AI$22,1,0)</f>
        <v>0</v>
      </c>
      <c r="AL167">
        <f t="shared" si="22"/>
        <v>1</v>
      </c>
      <c r="AM167">
        <f>IF(F168+H168&gt;0,0,1)</f>
        <v>1</v>
      </c>
      <c r="AN167">
        <f t="shared" si="23"/>
        <v>1</v>
      </c>
      <c r="AO167" s="17">
        <f>AN167*D167</f>
        <v>-2.2026867634526701E-2</v>
      </c>
      <c r="AP167" s="17">
        <f>-AN167*$E167</f>
        <v>2.1110502013269299E-2</v>
      </c>
      <c r="AQ167" s="17">
        <f t="shared" si="24"/>
        <v>-9.1636562125740201E-4</v>
      </c>
      <c r="AR167" s="11">
        <f t="shared" si="25"/>
        <v>2.3248671715629304E-2</v>
      </c>
      <c r="AT167" s="5"/>
      <c r="AU167">
        <f>IF($AG167&gt;AT$21,1,0)</f>
        <v>0</v>
      </c>
      <c r="AV167">
        <f>IF($AG167&lt;AT$22,1,0)</f>
        <v>1</v>
      </c>
      <c r="AW167">
        <f t="shared" si="26"/>
        <v>0</v>
      </c>
      <c r="AX167">
        <f>IF(F168+H168&gt;0,0,1)</f>
        <v>1</v>
      </c>
      <c r="AY167">
        <f t="shared" si="27"/>
        <v>0</v>
      </c>
      <c r="AZ167" s="17">
        <f>-AY167*D167</f>
        <v>0</v>
      </c>
      <c r="BA167" s="17">
        <f>AY167*$E167</f>
        <v>0</v>
      </c>
      <c r="BB167" s="17">
        <f t="shared" si="28"/>
        <v>0</v>
      </c>
      <c r="BC167" s="11">
        <f t="shared" si="29"/>
        <v>1.5200604283346138E-2</v>
      </c>
      <c r="BE167" s="11">
        <f t="shared" si="30"/>
        <v>-9.1636562125740201E-4</v>
      </c>
      <c r="BF167" s="11">
        <f t="shared" si="31"/>
        <v>3.8449275998975442E-2</v>
      </c>
      <c r="BH167" s="11"/>
    </row>
    <row r="168" spans="1:60" x14ac:dyDescent="0.25">
      <c r="A168" s="1">
        <v>46266</v>
      </c>
      <c r="B168" s="21">
        <v>332.03</v>
      </c>
      <c r="C168" s="21">
        <v>335.02</v>
      </c>
      <c r="D168" s="22">
        <v>-1.0128337810818001E-2</v>
      </c>
      <c r="E168" s="22">
        <v>-1.28417916142269E-2</v>
      </c>
      <c r="F168" s="21">
        <v>0</v>
      </c>
      <c r="G168" s="21">
        <v>0.43</v>
      </c>
      <c r="H168" s="21">
        <v>0</v>
      </c>
      <c r="I168" s="21">
        <v>0.43</v>
      </c>
      <c r="J168" s="21">
        <v>0</v>
      </c>
      <c r="K168" s="21">
        <v>0</v>
      </c>
      <c r="L168" s="21">
        <v>332.03</v>
      </c>
      <c r="M168" s="21">
        <v>335.02</v>
      </c>
      <c r="N168" s="23">
        <v>1.00900521037255</v>
      </c>
      <c r="O168" s="23">
        <v>1.0043771680406</v>
      </c>
      <c r="P168" s="23">
        <v>1.00945680140031</v>
      </c>
      <c r="Q168" s="23">
        <v>1.0073436130521001</v>
      </c>
      <c r="R168" s="21">
        <v>333.48335110452098</v>
      </c>
      <c r="S168" s="21">
        <v>335.15502744639502</v>
      </c>
      <c r="T168" s="21">
        <v>334.42052742927501</v>
      </c>
      <c r="U168" s="22">
        <v>-4.5972891515663004E-3</v>
      </c>
      <c r="V168" s="22">
        <v>4.0296174191189099E-4</v>
      </c>
      <c r="W168" s="22">
        <v>-1.79096635593318E-3</v>
      </c>
      <c r="X168" s="23">
        <v>1.00900521037255</v>
      </c>
      <c r="Y168" s="23">
        <v>1.0043771680406</v>
      </c>
      <c r="Z168" s="23">
        <v>1.00945680140031</v>
      </c>
      <c r="AA168" s="23">
        <v>1.0073436130521001</v>
      </c>
      <c r="AB168" s="21">
        <v>333.48335110452098</v>
      </c>
      <c r="AC168" s="21">
        <v>335.15502744639502</v>
      </c>
      <c r="AD168" s="21">
        <v>334.42052742927501</v>
      </c>
      <c r="AE168" s="22">
        <v>-4.5972891515663004E-3</v>
      </c>
      <c r="AF168" s="22">
        <v>4.0296174191189099E-4</v>
      </c>
      <c r="AG168" s="22">
        <v>-1.79096635593318E-3</v>
      </c>
      <c r="AI168" s="5"/>
      <c r="AJ168">
        <f>IF($AG168&lt;AI$21,1,0)</f>
        <v>0</v>
      </c>
      <c r="AK168">
        <f>IF($AG168&gt;AI$22,1,0)</f>
        <v>1</v>
      </c>
      <c r="AL168">
        <f>AN168</f>
        <v>1</v>
      </c>
      <c r="AM168">
        <f>IF(F169+H169&gt;0,0,1)</f>
        <v>1</v>
      </c>
      <c r="AN168">
        <f>IF(AJ167,1,IF(AK167,0,AL167))*AM167</f>
        <v>1</v>
      </c>
      <c r="AO168" s="17">
        <f>AN168*D168</f>
        <v>-1.0128337810818001E-2</v>
      </c>
      <c r="AP168" s="17">
        <f>-AN168*$E168</f>
        <v>1.28417916142269E-2</v>
      </c>
      <c r="AQ168" s="17">
        <f>AO168+AP168</f>
        <v>2.7134538034088995E-3</v>
      </c>
      <c r="AR168" s="11">
        <f>AR167+AQ168</f>
        <v>2.5962125519038204E-2</v>
      </c>
      <c r="AT168" s="5"/>
      <c r="AU168">
        <f>IF($AG168&gt;AT$21,1,0)</f>
        <v>0</v>
      </c>
      <c r="AV168">
        <f>IF($AG168&lt;AT$22,1,0)</f>
        <v>1</v>
      </c>
      <c r="AW168">
        <f>AY168</f>
        <v>0</v>
      </c>
      <c r="AX168">
        <f>IF(F169+H169&gt;0,0,1)</f>
        <v>1</v>
      </c>
      <c r="AY168">
        <f>IF(AU167,1,IF(AV167,0,AW167))*AX167</f>
        <v>0</v>
      </c>
      <c r="AZ168" s="17">
        <f>-AY168*D168</f>
        <v>0</v>
      </c>
      <c r="BA168" s="17">
        <f>AY168*$E168</f>
        <v>0</v>
      </c>
      <c r="BB168" s="17">
        <f>AZ168+BA168</f>
        <v>0</v>
      </c>
      <c r="BC168" s="11">
        <f>BC167+BB168</f>
        <v>1.5200604283346138E-2</v>
      </c>
      <c r="BE168" s="11">
        <f t="shared" si="30"/>
        <v>2.7134538034088995E-3</v>
      </c>
      <c r="BF168" s="11">
        <f t="shared" si="31"/>
        <v>4.1162729802384342E-2</v>
      </c>
      <c r="BH168" s="11"/>
    </row>
    <row r="169" spans="1:60" x14ac:dyDescent="0.25">
      <c r="A169" s="1">
        <v>46267</v>
      </c>
      <c r="B169" s="21">
        <v>333.78</v>
      </c>
      <c r="C169" s="21">
        <v>337.12</v>
      </c>
      <c r="D169" s="22">
        <v>5.2567670353346196E-3</v>
      </c>
      <c r="E169" s="22">
        <v>6.2487185203384896E-3</v>
      </c>
      <c r="F169" s="21">
        <v>0</v>
      </c>
      <c r="G169" s="21">
        <v>0.43</v>
      </c>
      <c r="H169" s="21">
        <v>0</v>
      </c>
      <c r="I169" s="21">
        <v>0.43</v>
      </c>
      <c r="J169" s="21">
        <v>0</v>
      </c>
      <c r="K169" s="21">
        <v>0</v>
      </c>
      <c r="L169" s="21">
        <v>333.78</v>
      </c>
      <c r="M169" s="21">
        <v>337.12</v>
      </c>
      <c r="N169" s="23">
        <v>1.01000659116783</v>
      </c>
      <c r="O169" s="23">
        <v>1.0043771680406</v>
      </c>
      <c r="P169" s="23">
        <v>1.00957364430404</v>
      </c>
      <c r="Q169" s="23">
        <v>1.0075246134793401</v>
      </c>
      <c r="R169" s="21">
        <v>335.24101114859201</v>
      </c>
      <c r="S169" s="21">
        <v>336.93649117139603</v>
      </c>
      <c r="T169" s="21">
        <v>336.23115116453101</v>
      </c>
      <c r="U169" s="22">
        <v>-5.5892406365700802E-3</v>
      </c>
      <c r="V169" s="22">
        <v>-5.4449096044841103E-4</v>
      </c>
      <c r="W169" s="22">
        <v>-2.6400767272911799E-3</v>
      </c>
      <c r="X169" s="23">
        <v>1.01000659116783</v>
      </c>
      <c r="Y169" s="23">
        <v>1.0043771680406</v>
      </c>
      <c r="Z169" s="23">
        <v>1.00957364430404</v>
      </c>
      <c r="AA169" s="23">
        <v>1.0075246134793401</v>
      </c>
      <c r="AB169" s="21">
        <v>335.24101114859201</v>
      </c>
      <c r="AC169" s="21">
        <v>336.93649117139603</v>
      </c>
      <c r="AD169" s="21">
        <v>336.23115116453101</v>
      </c>
      <c r="AE169" s="22">
        <v>-5.5892406365700802E-3</v>
      </c>
      <c r="AF169" s="22">
        <v>-5.4449096044841103E-4</v>
      </c>
      <c r="AG169" s="22">
        <v>-2.6400767272911799E-3</v>
      </c>
      <c r="AI169" s="5"/>
      <c r="AJ169">
        <f>IF($AG169&lt;AI$21,1,0)</f>
        <v>0</v>
      </c>
      <c r="AK169">
        <f>IF($AG169&gt;AI$22,1,0)</f>
        <v>0</v>
      </c>
      <c r="AL169">
        <f>AN169</f>
        <v>0</v>
      </c>
      <c r="AM169">
        <f>IF(F170+H170&gt;0,0,1)</f>
        <v>1</v>
      </c>
      <c r="AN169">
        <f>IF(AJ168,1,IF(AK168,0,AL168))*AM168</f>
        <v>0</v>
      </c>
      <c r="AO169" s="17">
        <f>AN169*D169</f>
        <v>0</v>
      </c>
      <c r="AP169" s="17">
        <f>-AN169*$E169</f>
        <v>0</v>
      </c>
      <c r="AQ169" s="17">
        <f>AO169+AP169</f>
        <v>0</v>
      </c>
      <c r="AR169" s="11">
        <f>AR168+AQ169</f>
        <v>2.5962125519038204E-2</v>
      </c>
      <c r="AT169" s="5"/>
      <c r="AU169">
        <f>IF($AG169&gt;AT$21,1,0)</f>
        <v>0</v>
      </c>
      <c r="AV169">
        <f>IF($AG169&lt;AT$22,1,0)</f>
        <v>1</v>
      </c>
      <c r="AW169">
        <f>AY169</f>
        <v>0</v>
      </c>
      <c r="AX169">
        <f>IF(F170+H170&gt;0,0,1)</f>
        <v>1</v>
      </c>
      <c r="AY169">
        <f>IF(AU168,1,IF(AV168,0,AW168))*AX168</f>
        <v>0</v>
      </c>
      <c r="AZ169" s="17">
        <f>-AY169*D169</f>
        <v>0</v>
      </c>
      <c r="BA169" s="17">
        <f>AY169*$E169</f>
        <v>0</v>
      </c>
      <c r="BB169" s="17">
        <f>AZ169+BA169</f>
        <v>0</v>
      </c>
      <c r="BC169" s="11">
        <f>BC168+BB169</f>
        <v>1.5200604283346138E-2</v>
      </c>
      <c r="BE169" s="11">
        <f t="shared" si="30"/>
        <v>0</v>
      </c>
      <c r="BF169" s="11">
        <f t="shared" si="31"/>
        <v>4.1162729802384342E-2</v>
      </c>
      <c r="BH169" s="11"/>
    </row>
    <row r="170" spans="1:60" x14ac:dyDescent="0.25">
      <c r="A170" s="1">
        <v>46268</v>
      </c>
      <c r="B170" s="21">
        <v>339.08</v>
      </c>
      <c r="C170" s="21">
        <v>342.48</v>
      </c>
      <c r="D170" s="22">
        <v>1.5753974424948001E-2</v>
      </c>
      <c r="E170" s="22">
        <v>1.5774311780811699E-2</v>
      </c>
      <c r="F170" s="21">
        <v>0</v>
      </c>
      <c r="G170" s="21">
        <v>0.43</v>
      </c>
      <c r="H170" s="21">
        <v>0</v>
      </c>
      <c r="I170" s="21">
        <v>0.43</v>
      </c>
      <c r="J170" s="21">
        <v>0</v>
      </c>
      <c r="K170" s="21">
        <v>0</v>
      </c>
      <c r="L170" s="21">
        <v>339.08</v>
      </c>
      <c r="M170" s="21">
        <v>342.48</v>
      </c>
      <c r="N170" s="23">
        <v>1.0100271322401699</v>
      </c>
      <c r="O170" s="23">
        <v>1.0043771680406</v>
      </c>
      <c r="P170" s="23">
        <v>1.00984602044941</v>
      </c>
      <c r="Q170" s="23">
        <v>1.0078675381469899</v>
      </c>
      <c r="R170" s="21">
        <v>340.56421013920698</v>
      </c>
      <c r="S170" s="21">
        <v>342.32623131061501</v>
      </c>
      <c r="T170" s="21">
        <v>341.63144593857697</v>
      </c>
      <c r="U170" s="22">
        <v>-5.6095779924338202E-3</v>
      </c>
      <c r="V170" s="22">
        <v>-4.4908671953724399E-4</v>
      </c>
      <c r="W170" s="22">
        <v>-2.48074930374346E-3</v>
      </c>
      <c r="X170" s="23">
        <v>1.0100271322401699</v>
      </c>
      <c r="Y170" s="23">
        <v>1.0043771680406</v>
      </c>
      <c r="Z170" s="23">
        <v>1.00984602044941</v>
      </c>
      <c r="AA170" s="23">
        <v>1.0078675381469899</v>
      </c>
      <c r="AB170" s="21">
        <v>340.56421013920698</v>
      </c>
      <c r="AC170" s="21">
        <v>342.32623131061501</v>
      </c>
      <c r="AD170" s="21">
        <v>341.63144593857697</v>
      </c>
      <c r="AE170" s="22">
        <v>-5.6095779924338202E-3</v>
      </c>
      <c r="AF170" s="22">
        <v>-4.4908671953724399E-4</v>
      </c>
      <c r="AG170" s="22">
        <v>-2.48074930374346E-3</v>
      </c>
      <c r="AI170" s="5"/>
      <c r="AJ170">
        <f>IF($AG170&lt;AI$21,1,0)</f>
        <v>0</v>
      </c>
      <c r="AK170">
        <f>IF($AG170&gt;AI$22,1,0)</f>
        <v>0</v>
      </c>
      <c r="AL170">
        <f>AN170</f>
        <v>0</v>
      </c>
      <c r="AM170">
        <f>IF(F171+H171&gt;0,0,1)</f>
        <v>0</v>
      </c>
      <c r="AN170">
        <f>IF(AJ169,1,IF(AK169,0,AL169))*AM169</f>
        <v>0</v>
      </c>
      <c r="AO170" s="17">
        <f>AN170*D170</f>
        <v>0</v>
      </c>
      <c r="AP170" s="17">
        <f>-AN170*$E170</f>
        <v>0</v>
      </c>
      <c r="AQ170" s="17">
        <f>AO170+AP170</f>
        <v>0</v>
      </c>
      <c r="AR170" s="11">
        <f>AR169+AQ170</f>
        <v>2.5962125519038204E-2</v>
      </c>
      <c r="AT170" s="5"/>
      <c r="AU170">
        <f>IF($AG170&gt;AT$21,1,0)</f>
        <v>0</v>
      </c>
      <c r="AV170">
        <f>IF($AG170&lt;AT$22,1,0)</f>
        <v>1</v>
      </c>
      <c r="AW170">
        <f>AY170</f>
        <v>0</v>
      </c>
      <c r="AX170">
        <f>IF(F171+H171&gt;0,0,1)</f>
        <v>0</v>
      </c>
      <c r="AY170">
        <f>IF(AU169,1,IF(AV169,0,AW169))*AX169</f>
        <v>0</v>
      </c>
      <c r="AZ170" s="17">
        <f>-AY170*D170</f>
        <v>0</v>
      </c>
      <c r="BA170" s="17">
        <f>AY170*$E170</f>
        <v>0</v>
      </c>
      <c r="BB170" s="17">
        <f>AZ170+BA170</f>
        <v>0</v>
      </c>
      <c r="BC170" s="11">
        <f>BC169+BB170</f>
        <v>1.5200604283346138E-2</v>
      </c>
      <c r="BE170" s="11">
        <f t="shared" si="30"/>
        <v>0</v>
      </c>
      <c r="BF170" s="11">
        <f t="shared" si="31"/>
        <v>4.1162729802384342E-2</v>
      </c>
      <c r="BH170" s="11"/>
    </row>
    <row r="171" spans="1:60" x14ac:dyDescent="0.25">
      <c r="A171" s="1">
        <v>46269</v>
      </c>
      <c r="B171" s="21">
        <v>335.31</v>
      </c>
      <c r="C171" s="21">
        <v>338.46</v>
      </c>
      <c r="D171" s="22">
        <v>-1.1180590674574799E-2</v>
      </c>
      <c r="E171" s="22">
        <v>-1.1807344856750999E-2</v>
      </c>
      <c r="F171" s="21">
        <v>0.22</v>
      </c>
      <c r="G171" s="21">
        <v>0.65</v>
      </c>
      <c r="H171" s="21">
        <v>0.22</v>
      </c>
      <c r="I171" s="21">
        <v>0.65</v>
      </c>
      <c r="J171" s="21">
        <v>0</v>
      </c>
      <c r="K171" s="21">
        <v>0</v>
      </c>
      <c r="L171" s="21">
        <v>335.31</v>
      </c>
      <c r="M171" s="21">
        <v>338.46</v>
      </c>
      <c r="N171" s="23">
        <v>1.0093942918493299</v>
      </c>
      <c r="O171" s="23">
        <v>1.0043771680406</v>
      </c>
      <c r="P171" s="23">
        <v>1.0098871321508001</v>
      </c>
      <c r="Q171" s="23">
        <v>1.0082198453215701</v>
      </c>
      <c r="R171" s="21">
        <v>336.77770821569402</v>
      </c>
      <c r="S171" s="21">
        <v>338.61146911689099</v>
      </c>
      <c r="T171" s="21">
        <v>337.948064216067</v>
      </c>
      <c r="U171" s="22">
        <v>-4.9828238102577298E-3</v>
      </c>
      <c r="V171" s="22">
        <v>4.4742431582998199E-4</v>
      </c>
      <c r="W171" s="22">
        <v>-1.5136894687194701E-3</v>
      </c>
      <c r="X171" s="23">
        <v>1.0093942918493299</v>
      </c>
      <c r="Y171" s="23">
        <v>1.0043771680406</v>
      </c>
      <c r="Z171" s="23">
        <v>1.0098871321508001</v>
      </c>
      <c r="AA171" s="23">
        <v>1.0082198453215701</v>
      </c>
      <c r="AB171" s="21">
        <v>336.77770821569402</v>
      </c>
      <c r="AC171" s="21">
        <v>338.61146911689099</v>
      </c>
      <c r="AD171" s="21">
        <v>337.948064216067</v>
      </c>
      <c r="AE171" s="22">
        <v>-4.9828238102577298E-3</v>
      </c>
      <c r="AF171" s="22">
        <v>4.4742431582998199E-4</v>
      </c>
      <c r="AG171" s="22">
        <v>-1.5136894687194701E-3</v>
      </c>
      <c r="AI171" s="5"/>
      <c r="AJ171">
        <f>IF($AG171&lt;AI$21,1,0)</f>
        <v>0</v>
      </c>
      <c r="AK171">
        <f>IF($AG171&gt;AI$22,1,0)</f>
        <v>1</v>
      </c>
      <c r="AL171">
        <f>AN171</f>
        <v>0</v>
      </c>
      <c r="AM171">
        <f>IF(F172+H172&gt;0,0,1)</f>
        <v>1</v>
      </c>
      <c r="AN171">
        <f>IF(AJ170,1,IF(AK170,0,AL170))*AM170</f>
        <v>0</v>
      </c>
      <c r="AO171" s="17">
        <f>AN171*D171</f>
        <v>0</v>
      </c>
      <c r="AP171" s="17">
        <f>-AN171*$E171</f>
        <v>0</v>
      </c>
      <c r="AQ171" s="17">
        <f>AO171+AP171</f>
        <v>0</v>
      </c>
      <c r="AR171" s="11">
        <f>AR170+AQ171</f>
        <v>2.5962125519038204E-2</v>
      </c>
      <c r="AT171" s="5"/>
      <c r="AU171">
        <f>IF($AG171&gt;AT$21,1,0)</f>
        <v>0</v>
      </c>
      <c r="AV171">
        <f>IF($AG171&lt;AT$22,1,0)</f>
        <v>1</v>
      </c>
      <c r="AW171">
        <f>AY171</f>
        <v>0</v>
      </c>
      <c r="AX171">
        <f>IF(F172+H172&gt;0,0,1)</f>
        <v>1</v>
      </c>
      <c r="AY171">
        <f>IF(AU170,1,IF(AV170,0,AW170))*AX170</f>
        <v>0</v>
      </c>
      <c r="AZ171" s="17">
        <f>-AY171*D171</f>
        <v>0</v>
      </c>
      <c r="BA171" s="17">
        <f>AY171*$E171</f>
        <v>0</v>
      </c>
      <c r="BB171" s="17">
        <f>AZ171+BA171</f>
        <v>0</v>
      </c>
      <c r="BC171" s="11">
        <f>BC170+BB171</f>
        <v>1.5200604283346138E-2</v>
      </c>
      <c r="BE171" s="11">
        <f t="shared" si="30"/>
        <v>0</v>
      </c>
      <c r="BF171" s="11">
        <f t="shared" si="31"/>
        <v>4.1162729802384342E-2</v>
      </c>
      <c r="BH171" s="11"/>
    </row>
    <row r="172" spans="1:60" x14ac:dyDescent="0.25">
      <c r="A172" s="1">
        <v>46273</v>
      </c>
      <c r="B172" s="21">
        <v>335.38</v>
      </c>
      <c r="C172" s="21">
        <v>338.36</v>
      </c>
      <c r="D172" s="22">
        <v>2.0874025333356201E-4</v>
      </c>
      <c r="E172" s="22">
        <v>-2.9549954412581798E-4</v>
      </c>
      <c r="F172" s="21">
        <v>0</v>
      </c>
      <c r="G172" s="21">
        <v>0.65</v>
      </c>
      <c r="H172" s="21">
        <v>0</v>
      </c>
      <c r="I172" s="21">
        <v>0.65</v>
      </c>
      <c r="J172" s="21">
        <v>0</v>
      </c>
      <c r="K172" s="21">
        <v>0</v>
      </c>
      <c r="L172" s="21">
        <v>335.38</v>
      </c>
      <c r="M172" s="21">
        <v>338.36</v>
      </c>
      <c r="N172" s="23">
        <v>1.00888544337766</v>
      </c>
      <c r="O172" s="23">
        <v>1.0043771680406</v>
      </c>
      <c r="P172" s="23">
        <v>1.00976868266982</v>
      </c>
      <c r="Q172" s="23">
        <v>1.0084280563393699</v>
      </c>
      <c r="R172" s="21">
        <v>336.84801461745701</v>
      </c>
      <c r="S172" s="21">
        <v>338.69594638073602</v>
      </c>
      <c r="T172" s="21">
        <v>338.13677172394802</v>
      </c>
      <c r="U172" s="22">
        <v>-4.4785840127982302E-3</v>
      </c>
      <c r="V172" s="22">
        <v>9.9237414604342591E-4</v>
      </c>
      <c r="W172" s="22">
        <v>-6.5995373070113698E-4</v>
      </c>
      <c r="X172" s="23">
        <v>1.00888544337766</v>
      </c>
      <c r="Y172" s="23">
        <v>1.0043771680406</v>
      </c>
      <c r="Z172" s="23">
        <v>1.00976868266982</v>
      </c>
      <c r="AA172" s="23">
        <v>1.0084280563393699</v>
      </c>
      <c r="AB172" s="21">
        <v>336.84801461745701</v>
      </c>
      <c r="AC172" s="21">
        <v>338.69594638073602</v>
      </c>
      <c r="AD172" s="21">
        <v>338.13677172394802</v>
      </c>
      <c r="AE172" s="22">
        <v>-4.4785840127982302E-3</v>
      </c>
      <c r="AF172" s="22">
        <v>9.9237414604342591E-4</v>
      </c>
      <c r="AG172" s="22">
        <v>-6.5995373070113698E-4</v>
      </c>
      <c r="AI172" s="5"/>
      <c r="AJ172">
        <f>IF($AG172&lt;AI$21,1,0)</f>
        <v>0</v>
      </c>
      <c r="AK172">
        <f>IF($AG172&gt;AI$22,1,0)</f>
        <v>1</v>
      </c>
      <c r="AL172">
        <f>AN172</f>
        <v>0</v>
      </c>
      <c r="AM172">
        <f>IF(F173+H173&gt;0,0,1)</f>
        <v>1</v>
      </c>
      <c r="AN172">
        <f>IF(AJ171,1,IF(AK171,0,AL171))*AM171</f>
        <v>0</v>
      </c>
      <c r="AO172" s="17">
        <f>AN172*D172</f>
        <v>0</v>
      </c>
      <c r="AP172" s="17">
        <f>-AN172*$E172</f>
        <v>0</v>
      </c>
      <c r="AQ172" s="17">
        <f>AO172+AP172</f>
        <v>0</v>
      </c>
      <c r="AR172" s="11">
        <f>AR171+AQ172</f>
        <v>2.5962125519038204E-2</v>
      </c>
      <c r="AT172" s="5"/>
      <c r="AU172">
        <f>IF($AG172&gt;AT$21,1,0)</f>
        <v>0</v>
      </c>
      <c r="AV172">
        <f>IF($AG172&lt;AT$22,1,0)</f>
        <v>1</v>
      </c>
      <c r="AW172">
        <f>AY172</f>
        <v>0</v>
      </c>
      <c r="AX172">
        <f>IF(F173+H173&gt;0,0,1)</f>
        <v>1</v>
      </c>
      <c r="AY172">
        <f>IF(AU171,1,IF(AV171,0,AW171))*AX171</f>
        <v>0</v>
      </c>
      <c r="AZ172" s="17">
        <f>-AY172*D172</f>
        <v>0</v>
      </c>
      <c r="BA172" s="17">
        <f>AY172*$E172</f>
        <v>0</v>
      </c>
      <c r="BB172" s="17">
        <f>AZ172+BA172</f>
        <v>0</v>
      </c>
      <c r="BC172" s="11">
        <f>BC171+BB172</f>
        <v>1.5200604283346138E-2</v>
      </c>
      <c r="BE172" s="11">
        <f t="shared" si="30"/>
        <v>0</v>
      </c>
      <c r="BF172" s="11">
        <f t="shared" si="31"/>
        <v>4.1162729802384342E-2</v>
      </c>
      <c r="BH172" s="11"/>
    </row>
    <row r="173" spans="1:60" x14ac:dyDescent="0.25">
      <c r="A173" s="1">
        <v>46274</v>
      </c>
      <c r="B173" s="21">
        <v>328.38</v>
      </c>
      <c r="C173" s="21">
        <v>330.65</v>
      </c>
      <c r="D173" s="22">
        <v>-2.10927429350816E-2</v>
      </c>
      <c r="E173" s="22">
        <v>-2.3050003315142498E-2</v>
      </c>
      <c r="F173" s="21">
        <v>0</v>
      </c>
      <c r="G173" s="21">
        <v>0.65</v>
      </c>
      <c r="H173" s="21">
        <v>0</v>
      </c>
      <c r="I173" s="21">
        <v>0.65</v>
      </c>
      <c r="J173" s="21">
        <v>0</v>
      </c>
      <c r="K173" s="21">
        <v>0</v>
      </c>
      <c r="L173" s="21">
        <v>328.38</v>
      </c>
      <c r="M173" s="21">
        <v>330.65</v>
      </c>
      <c r="N173" s="23">
        <v>1.0069127230647399</v>
      </c>
      <c r="O173" s="23">
        <v>1.0043771680406</v>
      </c>
      <c r="P173" s="23">
        <v>1.00940560651704</v>
      </c>
      <c r="Q173" s="23">
        <v>1.00865707441681</v>
      </c>
      <c r="R173" s="21">
        <v>329.817374441173</v>
      </c>
      <c r="S173" s="21">
        <v>331.58784001511799</v>
      </c>
      <c r="T173" s="21">
        <v>331.14760514072401</v>
      </c>
      <c r="U173" s="22">
        <v>-2.5213236327375002E-3</v>
      </c>
      <c r="V173" s="22">
        <v>2.83233782610064E-3</v>
      </c>
      <c r="W173" s="22">
        <v>1.50379883708622E-3</v>
      </c>
      <c r="X173" s="23">
        <v>1.0069127230647399</v>
      </c>
      <c r="Y173" s="23">
        <v>1.0043771680406</v>
      </c>
      <c r="Z173" s="23">
        <v>1.00940560651704</v>
      </c>
      <c r="AA173" s="23">
        <v>1.00865707441681</v>
      </c>
      <c r="AB173" s="21">
        <v>329.817374441173</v>
      </c>
      <c r="AC173" s="21">
        <v>331.58784001511799</v>
      </c>
      <c r="AD173" s="21">
        <v>331.14760514072401</v>
      </c>
      <c r="AE173" s="22">
        <v>-2.5213236327375002E-3</v>
      </c>
      <c r="AF173" s="22">
        <v>2.83233782610064E-3</v>
      </c>
      <c r="AG173" s="22">
        <v>1.50379883708622E-3</v>
      </c>
      <c r="AI173" s="5"/>
      <c r="AJ173">
        <f>IF($AG173&lt;AI$21,1,0)</f>
        <v>0</v>
      </c>
      <c r="AK173">
        <f>IF($AG173&gt;AI$22,1,0)</f>
        <v>1</v>
      </c>
      <c r="AL173">
        <f>AN173</f>
        <v>0</v>
      </c>
      <c r="AM173">
        <f>IF(F174+H174&gt;0,0,1)</f>
        <v>1</v>
      </c>
      <c r="AN173">
        <f>IF(AJ172,1,IF(AK172,0,AL172))*AM172</f>
        <v>0</v>
      </c>
      <c r="AO173" s="17">
        <f>AN173*D173</f>
        <v>0</v>
      </c>
      <c r="AP173" s="17">
        <f>-AN173*$E173</f>
        <v>0</v>
      </c>
      <c r="AQ173" s="17">
        <f>AO173+AP173</f>
        <v>0</v>
      </c>
      <c r="AR173" s="11">
        <f>AR172+AQ173</f>
        <v>2.5962125519038204E-2</v>
      </c>
      <c r="AT173" s="5"/>
      <c r="AU173">
        <f>IF($AG173&gt;AT$21,1,0)</f>
        <v>0</v>
      </c>
      <c r="AV173">
        <f>IF($AG173&lt;AT$22,1,0)</f>
        <v>1</v>
      </c>
      <c r="AW173">
        <f>AY173</f>
        <v>0</v>
      </c>
      <c r="AX173">
        <f>IF(F174+H174&gt;0,0,1)</f>
        <v>1</v>
      </c>
      <c r="AY173">
        <f>IF(AU172,1,IF(AV172,0,AW172))*AX172</f>
        <v>0</v>
      </c>
      <c r="AZ173" s="17">
        <f>-AY173*D173</f>
        <v>0</v>
      </c>
      <c r="BA173" s="17">
        <f>AY173*$E173</f>
        <v>0</v>
      </c>
      <c r="BB173" s="17">
        <f>AZ173+BA173</f>
        <v>0</v>
      </c>
      <c r="BC173" s="11">
        <f>BC172+BB173</f>
        <v>1.5200604283346138E-2</v>
      </c>
      <c r="BE173" s="11">
        <f t="shared" si="30"/>
        <v>0</v>
      </c>
      <c r="BF173" s="11">
        <f t="shared" si="31"/>
        <v>4.1162729802384342E-2</v>
      </c>
      <c r="BH173" s="11"/>
    </row>
    <row r="174" spans="1:60" x14ac:dyDescent="0.25">
      <c r="A174" s="1">
        <v>46275</v>
      </c>
      <c r="B174" s="21">
        <v>330.39</v>
      </c>
      <c r="C174" s="21">
        <v>332.6</v>
      </c>
      <c r="D174" s="22">
        <v>6.1023004610804097E-3</v>
      </c>
      <c r="E174" s="22">
        <v>5.8801526381560103E-3</v>
      </c>
      <c r="F174" s="21">
        <v>0</v>
      </c>
      <c r="G174" s="21">
        <v>0.65</v>
      </c>
      <c r="H174" s="21">
        <v>0</v>
      </c>
      <c r="I174" s="21">
        <v>0.65</v>
      </c>
      <c r="J174" s="21">
        <v>0</v>
      </c>
      <c r="K174" s="21">
        <v>0</v>
      </c>
      <c r="L174" s="21">
        <v>330.39</v>
      </c>
      <c r="M174" s="21">
        <v>332.6</v>
      </c>
      <c r="N174" s="23">
        <v>1.0066890644389901</v>
      </c>
      <c r="O174" s="23">
        <v>1.0043771680406</v>
      </c>
      <c r="P174" s="23">
        <v>1.0092193080066501</v>
      </c>
      <c r="Q174" s="23">
        <v>1.0088206598641301</v>
      </c>
      <c r="R174" s="21">
        <v>331.83617254893397</v>
      </c>
      <c r="S174" s="21">
        <v>333.49751833716698</v>
      </c>
      <c r="T174" s="21">
        <v>333.25021081657002</v>
      </c>
      <c r="U174" s="22">
        <v>-2.29917580981288E-3</v>
      </c>
      <c r="V174" s="22">
        <v>2.6948573013024502E-3</v>
      </c>
      <c r="W174" s="22">
        <v>1.95302490765364E-3</v>
      </c>
      <c r="X174" s="23">
        <v>1.0066890644389901</v>
      </c>
      <c r="Y174" s="23">
        <v>1.0043771680406</v>
      </c>
      <c r="Z174" s="23">
        <v>1.0092193080066501</v>
      </c>
      <c r="AA174" s="23">
        <v>1.0088206598641301</v>
      </c>
      <c r="AB174" s="21">
        <v>331.83617254893397</v>
      </c>
      <c r="AC174" s="21">
        <v>333.49751833716698</v>
      </c>
      <c r="AD174" s="21">
        <v>333.25021081657002</v>
      </c>
      <c r="AE174" s="22">
        <v>-2.29917580981288E-3</v>
      </c>
      <c r="AF174" s="22">
        <v>2.6948573013024502E-3</v>
      </c>
      <c r="AG174" s="22">
        <v>1.95302490765364E-3</v>
      </c>
      <c r="AI174" s="5"/>
      <c r="AJ174">
        <f>IF($AG174&lt;AI$21,1,0)</f>
        <v>0</v>
      </c>
      <c r="AK174">
        <f>IF($AG174&gt;AI$22,1,0)</f>
        <v>1</v>
      </c>
      <c r="AL174">
        <f>AN174</f>
        <v>0</v>
      </c>
      <c r="AM174">
        <f>IF(F175+H175&gt;0,0,1)</f>
        <v>1</v>
      </c>
      <c r="AN174">
        <f>IF(AJ173,1,IF(AK173,0,AL173))*AM173</f>
        <v>0</v>
      </c>
      <c r="AO174" s="17">
        <f>AN174*D174</f>
        <v>0</v>
      </c>
      <c r="AP174" s="17">
        <f>-AN174*$E174</f>
        <v>0</v>
      </c>
      <c r="AQ174" s="17">
        <f>AO174+AP174</f>
        <v>0</v>
      </c>
      <c r="AR174" s="11">
        <f>AR173+AQ174</f>
        <v>2.5962125519038204E-2</v>
      </c>
      <c r="AT174" s="5"/>
      <c r="AU174">
        <f>IF($AG174&gt;AT$21,1,0)</f>
        <v>0</v>
      </c>
      <c r="AV174">
        <f>IF($AG174&lt;AT$22,1,0)</f>
        <v>1</v>
      </c>
      <c r="AW174">
        <f>AY174</f>
        <v>0</v>
      </c>
      <c r="AX174">
        <f>IF(F175+H175&gt;0,0,1)</f>
        <v>1</v>
      </c>
      <c r="AY174">
        <f>IF(AU173,1,IF(AV173,0,AW173))*AX173</f>
        <v>0</v>
      </c>
      <c r="AZ174" s="17">
        <f>-AY174*D174</f>
        <v>0</v>
      </c>
      <c r="BA174" s="17">
        <f>AY174*$E174</f>
        <v>0</v>
      </c>
      <c r="BB174" s="17">
        <f>AZ174+BA174</f>
        <v>0</v>
      </c>
      <c r="BC174" s="11">
        <f>BC173+BB174</f>
        <v>1.5200604283346138E-2</v>
      </c>
      <c r="BE174" s="11">
        <f t="shared" si="30"/>
        <v>0</v>
      </c>
      <c r="BF174" s="11">
        <f t="shared" si="31"/>
        <v>4.1162729802384342E-2</v>
      </c>
      <c r="BH174" s="11"/>
    </row>
    <row r="175" spans="1:60" x14ac:dyDescent="0.25">
      <c r="A175" s="1">
        <v>46276</v>
      </c>
      <c r="B175" s="21">
        <v>335.45</v>
      </c>
      <c r="C175" s="21">
        <v>338.5</v>
      </c>
      <c r="D175" s="22">
        <v>1.51991391639348E-2</v>
      </c>
      <c r="E175" s="22">
        <v>1.7583525593502201E-2</v>
      </c>
      <c r="F175" s="21">
        <v>0</v>
      </c>
      <c r="G175" s="21">
        <v>0.65</v>
      </c>
      <c r="H175" s="21">
        <v>0</v>
      </c>
      <c r="I175" s="21">
        <v>0.65</v>
      </c>
      <c r="J175" s="21">
        <v>0</v>
      </c>
      <c r="K175" s="21">
        <v>0</v>
      </c>
      <c r="L175" s="21">
        <v>335.45</v>
      </c>
      <c r="M175" s="21">
        <v>338.5</v>
      </c>
      <c r="N175" s="23">
        <v>1.0090922641228199</v>
      </c>
      <c r="O175" s="23">
        <v>1.0043771680406</v>
      </c>
      <c r="P175" s="23">
        <v>1.00925796499547</v>
      </c>
      <c r="Q175" s="23">
        <v>1.0089234675227901</v>
      </c>
      <c r="R175" s="21">
        <v>336.91832101922</v>
      </c>
      <c r="S175" s="21">
        <v>338.542616870833</v>
      </c>
      <c r="T175" s="21">
        <v>338.40889035142197</v>
      </c>
      <c r="U175" s="22">
        <v>-4.6835622393806902E-3</v>
      </c>
      <c r="V175" s="22">
        <v>1.2589125064767801E-4</v>
      </c>
      <c r="W175" s="22">
        <v>-2.6919324129405698E-4</v>
      </c>
      <c r="X175" s="23">
        <v>1.0090922641228199</v>
      </c>
      <c r="Y175" s="23">
        <v>1.0043771680406</v>
      </c>
      <c r="Z175" s="23">
        <v>1.00925796499547</v>
      </c>
      <c r="AA175" s="23">
        <v>1.0089234675227901</v>
      </c>
      <c r="AB175" s="21">
        <v>336.91832101922</v>
      </c>
      <c r="AC175" s="21">
        <v>338.542616870833</v>
      </c>
      <c r="AD175" s="21">
        <v>338.40889035142197</v>
      </c>
      <c r="AE175" s="22">
        <v>-4.6835622393806902E-3</v>
      </c>
      <c r="AF175" s="22">
        <v>1.2589125064767801E-4</v>
      </c>
      <c r="AG175" s="22">
        <v>-2.6919324129405698E-4</v>
      </c>
      <c r="AI175" s="5"/>
      <c r="AJ175">
        <f>IF($AG175&lt;AI$21,1,0)</f>
        <v>0</v>
      </c>
      <c r="AK175">
        <f>IF($AG175&gt;AI$22,1,0)</f>
        <v>1</v>
      </c>
      <c r="AL175">
        <f>AN175</f>
        <v>0</v>
      </c>
      <c r="AM175">
        <f>IF(F176+H176&gt;0,0,1)</f>
        <v>1</v>
      </c>
      <c r="AN175">
        <f>IF(AJ174,1,IF(AK174,0,AL174))*AM174</f>
        <v>0</v>
      </c>
      <c r="AO175" s="17">
        <f>AN175*D175</f>
        <v>0</v>
      </c>
      <c r="AP175" s="17">
        <f>-AN175*$E175</f>
        <v>0</v>
      </c>
      <c r="AQ175" s="17">
        <f>AO175+AP175</f>
        <v>0</v>
      </c>
      <c r="AR175" s="11">
        <f>AR174+AQ175</f>
        <v>2.5962125519038204E-2</v>
      </c>
      <c r="AT175" s="5"/>
      <c r="AU175">
        <f>IF($AG175&gt;AT$21,1,0)</f>
        <v>0</v>
      </c>
      <c r="AV175">
        <f>IF($AG175&lt;AT$22,1,0)</f>
        <v>1</v>
      </c>
      <c r="AW175">
        <f>AY175</f>
        <v>0</v>
      </c>
      <c r="AX175">
        <f>IF(F176+H176&gt;0,0,1)</f>
        <v>1</v>
      </c>
      <c r="AY175">
        <f>IF(AU174,1,IF(AV174,0,AW174))*AX174</f>
        <v>0</v>
      </c>
      <c r="AZ175" s="17">
        <f>-AY175*D175</f>
        <v>0</v>
      </c>
      <c r="BA175" s="17">
        <f>AY175*$E175</f>
        <v>0</v>
      </c>
      <c r="BB175" s="17">
        <f>AZ175+BA175</f>
        <v>0</v>
      </c>
      <c r="BC175" s="11">
        <f>BC174+BB175</f>
        <v>1.5200604283346138E-2</v>
      </c>
      <c r="BE175" s="11">
        <f t="shared" si="30"/>
        <v>0</v>
      </c>
      <c r="BF175" s="11">
        <f t="shared" si="31"/>
        <v>4.1162729802384342E-2</v>
      </c>
      <c r="BH175" s="11"/>
    </row>
    <row r="176" spans="1:60" x14ac:dyDescent="0.25">
      <c r="A176" s="1">
        <v>46279</v>
      </c>
      <c r="B176" s="21">
        <v>345.71</v>
      </c>
      <c r="C176" s="21">
        <v>349.39</v>
      </c>
      <c r="D176" s="22">
        <v>3.01273593154671E-2</v>
      </c>
      <c r="E176" s="22">
        <v>3.16646844457798E-2</v>
      </c>
      <c r="F176" s="21">
        <v>0</v>
      </c>
      <c r="G176" s="21">
        <v>0.65</v>
      </c>
      <c r="H176" s="21">
        <v>0</v>
      </c>
      <c r="I176" s="21">
        <v>0.65</v>
      </c>
      <c r="J176" s="21">
        <v>0</v>
      </c>
      <c r="K176" s="21">
        <v>0</v>
      </c>
      <c r="L176" s="21">
        <v>345.71</v>
      </c>
      <c r="M176" s="21">
        <v>349.39</v>
      </c>
      <c r="N176" s="23">
        <v>1.0106447600590001</v>
      </c>
      <c r="O176" s="23">
        <v>1.0043771680406</v>
      </c>
      <c r="P176" s="23">
        <v>1.00924042980211</v>
      </c>
      <c r="Q176" s="23">
        <v>1.0091122229618501</v>
      </c>
      <c r="R176" s="21">
        <v>347.223230763316</v>
      </c>
      <c r="S176" s="21">
        <v>348.91057107858398</v>
      </c>
      <c r="T176" s="21">
        <v>348.79493195730498</v>
      </c>
      <c r="U176" s="22">
        <v>-6.2208873696931897E-3</v>
      </c>
      <c r="V176" s="22">
        <v>-1.3731307594526401E-3</v>
      </c>
      <c r="W176" s="22">
        <v>-1.70461480776483E-3</v>
      </c>
      <c r="X176" s="23">
        <v>1.0106447600590001</v>
      </c>
      <c r="Y176" s="23">
        <v>1.0043771680406</v>
      </c>
      <c r="Z176" s="23">
        <v>1.00924042980211</v>
      </c>
      <c r="AA176" s="23">
        <v>1.0091122229618501</v>
      </c>
      <c r="AB176" s="21">
        <v>347.223230763316</v>
      </c>
      <c r="AC176" s="21">
        <v>348.91057107858398</v>
      </c>
      <c r="AD176" s="21">
        <v>348.79493195730498</v>
      </c>
      <c r="AE176" s="22">
        <v>-6.2208873696931897E-3</v>
      </c>
      <c r="AF176" s="22">
        <v>-1.3731307594526401E-3</v>
      </c>
      <c r="AG176" s="22">
        <v>-1.70461480776483E-3</v>
      </c>
      <c r="AI176" s="5"/>
      <c r="AJ176">
        <f>IF($AG176&lt;AI$21,1,0)</f>
        <v>0</v>
      </c>
      <c r="AK176">
        <f>IF($AG176&gt;AI$22,1,0)</f>
        <v>1</v>
      </c>
      <c r="AL176">
        <f>AN176</f>
        <v>0</v>
      </c>
      <c r="AM176">
        <f>IF(F177+H177&gt;0,0,1)</f>
        <v>1</v>
      </c>
      <c r="AN176">
        <f>IF(AJ175,1,IF(AK175,0,AL175))*AM175</f>
        <v>0</v>
      </c>
      <c r="AO176" s="17">
        <f>AN176*D176</f>
        <v>0</v>
      </c>
      <c r="AP176" s="17">
        <f>-AN176*$E176</f>
        <v>0</v>
      </c>
      <c r="AQ176" s="17">
        <f>AO176+AP176</f>
        <v>0</v>
      </c>
      <c r="AR176" s="11">
        <f>AR175+AQ176</f>
        <v>2.5962125519038204E-2</v>
      </c>
      <c r="AT176" s="5"/>
      <c r="AU176">
        <f>IF($AG176&gt;AT$21,1,0)</f>
        <v>0</v>
      </c>
      <c r="AV176">
        <f>IF($AG176&lt;AT$22,1,0)</f>
        <v>1</v>
      </c>
      <c r="AW176">
        <f>AY176</f>
        <v>0</v>
      </c>
      <c r="AX176">
        <f>IF(F177+H177&gt;0,0,1)</f>
        <v>1</v>
      </c>
      <c r="AY176">
        <f>IF(AU175,1,IF(AV175,0,AW175))*AX175</f>
        <v>0</v>
      </c>
      <c r="AZ176" s="17">
        <f>-AY176*D176</f>
        <v>0</v>
      </c>
      <c r="BA176" s="17">
        <f>AY176*$E176</f>
        <v>0</v>
      </c>
      <c r="BB176" s="17">
        <f>AZ176+BA176</f>
        <v>0</v>
      </c>
      <c r="BC176" s="11">
        <f>BC175+BB176</f>
        <v>1.5200604283346138E-2</v>
      </c>
      <c r="BE176" s="11">
        <f t="shared" si="30"/>
        <v>0</v>
      </c>
      <c r="BF176" s="11">
        <f t="shared" si="31"/>
        <v>4.1162729802384342E-2</v>
      </c>
      <c r="BH176" s="11"/>
    </row>
    <row r="177" spans="85:100" x14ac:dyDescent="0.25">
      <c r="CG177" s="17"/>
      <c r="CH177" s="17"/>
      <c r="CI177" s="17"/>
      <c r="CJ177" s="11"/>
      <c r="CL177" s="17"/>
      <c r="CS177" s="17"/>
      <c r="CT177" s="17"/>
      <c r="CU177" s="17"/>
      <c r="CV177" s="11"/>
    </row>
    <row r="178" spans="85:100" x14ac:dyDescent="0.25">
      <c r="CG178" s="17"/>
      <c r="CH178" s="17"/>
      <c r="CI178" s="17"/>
      <c r="CJ178" s="11"/>
      <c r="CL178" s="17"/>
      <c r="CS178" s="17"/>
      <c r="CT178" s="17"/>
      <c r="CU178" s="17"/>
      <c r="CV178" s="11"/>
    </row>
    <row r="179" spans="85:100" x14ac:dyDescent="0.25">
      <c r="CG179" s="17"/>
      <c r="CH179" s="17"/>
      <c r="CI179" s="17"/>
      <c r="CJ179" s="11"/>
      <c r="CL179" s="17"/>
      <c r="CS179" s="17"/>
      <c r="CT179" s="17"/>
      <c r="CU179" s="17"/>
      <c r="CV179" s="11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R33 DM26:DP32 DR26:DR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2026-09-19T20:49:35Z</dcterms:created>
  <dcterms:modified xsi:type="dcterms:W3CDTF">2026-09-21T16:52:13Z</dcterms:modified>
</cp:coreProperties>
</file>