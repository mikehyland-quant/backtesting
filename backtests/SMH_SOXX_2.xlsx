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41CE716D-618B-40C0-B71B-0CF943E6252B}" xr6:coauthVersionLast="47" xr6:coauthVersionMax="47" xr10:uidLastSave="{00000000-0000-0000-0000-000000000000}"/>
  <bookViews>
    <workbookView xWindow="-108" yWindow="-108" windowWidth="23256" windowHeight="12456" xr2:uid="{E1C755DC-6FFB-417E-BED5-FA6B3C4F49BC}"/>
  </bookViews>
  <sheets>
    <sheet name="SMH_SOXX_2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CL17" i="1" l="1"/>
  <c r="CL18" i="1" s="1"/>
  <c r="CL19" i="1" s="1"/>
  <c r="CL20" i="1" s="1"/>
  <c r="CL21" i="1" s="1"/>
  <c r="CL22" i="1" s="1"/>
  <c r="CL16" i="1"/>
  <c r="CO14" i="1"/>
  <c r="CP14" i="1" s="1"/>
  <c r="CQ14" i="1" s="1"/>
  <c r="CR14" i="1" s="1"/>
  <c r="CS14" i="1" s="1"/>
  <c r="CT14" i="1" s="1"/>
  <c r="CN14" i="1"/>
  <c r="CL6" i="1"/>
  <c r="CL7" i="1"/>
  <c r="CL8" i="1"/>
  <c r="CL9" i="1" s="1"/>
  <c r="CL10" i="1" s="1"/>
  <c r="CL11" i="1" s="1"/>
  <c r="CL5" i="1"/>
  <c r="CO3" i="1"/>
  <c r="CP3" i="1" s="1"/>
  <c r="CQ3" i="1" s="1"/>
  <c r="CR3" i="1" s="1"/>
  <c r="CS3" i="1" s="1"/>
  <c r="CT3" i="1" s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F155" i="1" s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R145" i="1" s="1"/>
  <c r="BT145" i="1" s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F141" i="1" s="1"/>
  <c r="BD141" i="1" s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F134" i="1" s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F131" i="1" s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R120" i="1" s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R113" i="1" s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R104" i="1" s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R99" i="1" s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R90" i="1" s="1"/>
  <c r="BS90" i="1" s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F79" i="1" s="1"/>
  <c r="BH79" i="1" s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R73" i="1" s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R71" i="1" s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R64" i="1" s="1"/>
  <c r="BT64" i="1" s="1"/>
  <c r="BE63" i="1"/>
  <c r="BC63" i="1"/>
  <c r="BB63" i="1"/>
  <c r="BQ62" i="1"/>
  <c r="BO62" i="1"/>
  <c r="BN62" i="1"/>
  <c r="BR63" i="1" s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R59" i="1" s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F38" i="1" s="1"/>
  <c r="BQ36" i="1"/>
  <c r="BO36" i="1"/>
  <c r="BN36" i="1"/>
  <c r="BE36" i="1"/>
  <c r="BC36" i="1"/>
  <c r="BB36" i="1"/>
  <c r="BQ35" i="1"/>
  <c r="BO35" i="1"/>
  <c r="BN35" i="1"/>
  <c r="BR36" i="1" s="1"/>
  <c r="BT36" i="1" s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R29" i="1" s="1"/>
  <c r="BS29" i="1" s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T20" i="1"/>
  <c r="BS20" i="1"/>
  <c r="BH20" i="1"/>
  <c r="BG20" i="1"/>
  <c r="BR155" i="1" l="1"/>
  <c r="BT155" i="1" s="1"/>
  <c r="BR96" i="1"/>
  <c r="BT96" i="1" s="1"/>
  <c r="BR118" i="1"/>
  <c r="BS118" i="1" s="1"/>
  <c r="BR86" i="1"/>
  <c r="BP86" i="1" s="1"/>
  <c r="BR100" i="1"/>
  <c r="BS100" i="1" s="1"/>
  <c r="BR128" i="1"/>
  <c r="BP128" i="1" s="1"/>
  <c r="BR129" i="1" s="1"/>
  <c r="BS129" i="1" s="1"/>
  <c r="BR68" i="1"/>
  <c r="BT68" i="1" s="1"/>
  <c r="BF49" i="1"/>
  <c r="BF143" i="1"/>
  <c r="BG143" i="1" s="1"/>
  <c r="BF53" i="1"/>
  <c r="BD53" i="1" s="1"/>
  <c r="BF157" i="1"/>
  <c r="BH157" i="1" s="1"/>
  <c r="BF164" i="1"/>
  <c r="BH164" i="1" s="1"/>
  <c r="BR123" i="1"/>
  <c r="BT123" i="1" s="1"/>
  <c r="BR65" i="1"/>
  <c r="BT65" i="1" s="1"/>
  <c r="BR79" i="1"/>
  <c r="BS79" i="1" s="1"/>
  <c r="BR26" i="1"/>
  <c r="BS26" i="1" s="1"/>
  <c r="BR33" i="1"/>
  <c r="BS33" i="1" s="1"/>
  <c r="BR40" i="1"/>
  <c r="BS40" i="1" s="1"/>
  <c r="BR54" i="1"/>
  <c r="BS54" i="1" s="1"/>
  <c r="BR34" i="1"/>
  <c r="BP34" i="1" s="1"/>
  <c r="BR28" i="1"/>
  <c r="BS28" i="1" s="1"/>
  <c r="BR80" i="1"/>
  <c r="BS80" i="1" s="1"/>
  <c r="BP36" i="1"/>
  <c r="BR60" i="1"/>
  <c r="BS60" i="1" s="1"/>
  <c r="BR23" i="1"/>
  <c r="BP23" i="1" s="1"/>
  <c r="BR24" i="1"/>
  <c r="BT24" i="1" s="1"/>
  <c r="BR42" i="1"/>
  <c r="BT42" i="1" s="1"/>
  <c r="BR27" i="1"/>
  <c r="BT27" i="1" s="1"/>
  <c r="BR87" i="1"/>
  <c r="BS87" i="1" s="1"/>
  <c r="BR83" i="1"/>
  <c r="BT83" i="1" s="1"/>
  <c r="BR41" i="1"/>
  <c r="BP41" i="1" s="1"/>
  <c r="BR66" i="1"/>
  <c r="BP66" i="1" s="1"/>
  <c r="BR37" i="1"/>
  <c r="BT37" i="1" s="1"/>
  <c r="BR75" i="1"/>
  <c r="BP75" i="1" s="1"/>
  <c r="BR77" i="1"/>
  <c r="BS77" i="1" s="1"/>
  <c r="BR158" i="1"/>
  <c r="BT158" i="1" s="1"/>
  <c r="BR165" i="1"/>
  <c r="BP165" i="1" s="1"/>
  <c r="BR166" i="1" s="1"/>
  <c r="BF50" i="1"/>
  <c r="BG50" i="1" s="1"/>
  <c r="BF44" i="1"/>
  <c r="BD44" i="1" s="1"/>
  <c r="BF48" i="1"/>
  <c r="BD48" i="1" s="1"/>
  <c r="BF139" i="1"/>
  <c r="BG139" i="1" s="1"/>
  <c r="BF146" i="1"/>
  <c r="BG146" i="1" s="1"/>
  <c r="BF40" i="1"/>
  <c r="BH40" i="1" s="1"/>
  <c r="BF133" i="1"/>
  <c r="BG133" i="1" s="1"/>
  <c r="BF145" i="1"/>
  <c r="BD145" i="1" s="1"/>
  <c r="BF152" i="1"/>
  <c r="BD152" i="1" s="1"/>
  <c r="BF159" i="1"/>
  <c r="BD159" i="1" s="1"/>
  <c r="BF37" i="1"/>
  <c r="BG37" i="1" s="1"/>
  <c r="BF160" i="1"/>
  <c r="BD160" i="1" s="1"/>
  <c r="BF62" i="1"/>
  <c r="BH62" i="1" s="1"/>
  <c r="BF96" i="1"/>
  <c r="BH96" i="1" s="1"/>
  <c r="BF154" i="1"/>
  <c r="BD154" i="1" s="1"/>
  <c r="BF153" i="1"/>
  <c r="BF138" i="1"/>
  <c r="BH138" i="1" s="1"/>
  <c r="BF156" i="1"/>
  <c r="BD156" i="1" s="1"/>
  <c r="BT104" i="1"/>
  <c r="BP104" i="1"/>
  <c r="BR85" i="1"/>
  <c r="BT85" i="1" s="1"/>
  <c r="BR74" i="1"/>
  <c r="BS74" i="1" s="1"/>
  <c r="BR110" i="1"/>
  <c r="BP110" i="1" s="1"/>
  <c r="BR156" i="1"/>
  <c r="BS156" i="1" s="1"/>
  <c r="BR31" i="1"/>
  <c r="BT31" i="1" s="1"/>
  <c r="BR97" i="1"/>
  <c r="BT97" i="1" s="1"/>
  <c r="BR32" i="1"/>
  <c r="BT32" i="1" s="1"/>
  <c r="BR82" i="1"/>
  <c r="BT82" i="1" s="1"/>
  <c r="BR89" i="1"/>
  <c r="BP89" i="1" s="1"/>
  <c r="BR109" i="1"/>
  <c r="BT109" i="1" s="1"/>
  <c r="BR157" i="1"/>
  <c r="BT157" i="1" s="1"/>
  <c r="BP64" i="1"/>
  <c r="BR61" i="1"/>
  <c r="BP61" i="1" s="1"/>
  <c r="BR78" i="1"/>
  <c r="BP78" i="1" s="1"/>
  <c r="BR114" i="1"/>
  <c r="BP114" i="1" s="1"/>
  <c r="BR149" i="1"/>
  <c r="BT149" i="1" s="1"/>
  <c r="BF35" i="1"/>
  <c r="BG35" i="1" s="1"/>
  <c r="BF135" i="1"/>
  <c r="BH135" i="1" s="1"/>
  <c r="BF39" i="1"/>
  <c r="BH39" i="1" s="1"/>
  <c r="BF107" i="1"/>
  <c r="BG107" i="1" s="1"/>
  <c r="BF129" i="1"/>
  <c r="BH129" i="1" s="1"/>
  <c r="BF140" i="1"/>
  <c r="BH140" i="1" s="1"/>
  <c r="BF166" i="1"/>
  <c r="BD166" i="1" s="1"/>
  <c r="BF34" i="1"/>
  <c r="BH34" i="1" s="1"/>
  <c r="BP59" i="1"/>
  <c r="BT59" i="1"/>
  <c r="BS59" i="1"/>
  <c r="BR35" i="1"/>
  <c r="BT35" i="1" s="1"/>
  <c r="BR55" i="1"/>
  <c r="BT55" i="1" s="1"/>
  <c r="BT118" i="1"/>
  <c r="BU118" i="1" s="1"/>
  <c r="BS64" i="1"/>
  <c r="BU64" i="1" s="1"/>
  <c r="BR111" i="1"/>
  <c r="BS111" i="1" s="1"/>
  <c r="BR125" i="1"/>
  <c r="BP125" i="1" s="1"/>
  <c r="BR88" i="1"/>
  <c r="BP88" i="1" s="1"/>
  <c r="BF23" i="1"/>
  <c r="BG23" i="1" s="1"/>
  <c r="BF42" i="1"/>
  <c r="BG42" i="1" s="1"/>
  <c r="BF46" i="1"/>
  <c r="BH46" i="1" s="1"/>
  <c r="BR52" i="1"/>
  <c r="BR92" i="1"/>
  <c r="BP92" i="1" s="1"/>
  <c r="BF126" i="1"/>
  <c r="BD126" i="1" s="1"/>
  <c r="BF149" i="1"/>
  <c r="BF162" i="1"/>
  <c r="BG162" i="1" s="1"/>
  <c r="BR38" i="1"/>
  <c r="BR81" i="1"/>
  <c r="BP81" i="1" s="1"/>
  <c r="BR101" i="1"/>
  <c r="BP101" i="1" s="1"/>
  <c r="BR106" i="1"/>
  <c r="BS106" i="1" s="1"/>
  <c r="BR108" i="1"/>
  <c r="BT108" i="1" s="1"/>
  <c r="BF132" i="1"/>
  <c r="BR159" i="1"/>
  <c r="BT159" i="1" s="1"/>
  <c r="BF63" i="1"/>
  <c r="BG63" i="1" s="1"/>
  <c r="BR57" i="1"/>
  <c r="BT57" i="1" s="1"/>
  <c r="BR136" i="1"/>
  <c r="BS136" i="1" s="1"/>
  <c r="BF150" i="1"/>
  <c r="BG150" i="1" s="1"/>
  <c r="BR126" i="1"/>
  <c r="BP126" i="1" s="1"/>
  <c r="BR127" i="1" s="1"/>
  <c r="BF41" i="1"/>
  <c r="BD41" i="1" s="1"/>
  <c r="BD139" i="1"/>
  <c r="BF165" i="1"/>
  <c r="BD165" i="1" s="1"/>
  <c r="BF167" i="1"/>
  <c r="BS104" i="1"/>
  <c r="BS36" i="1"/>
  <c r="BU36" i="1" s="1"/>
  <c r="BR69" i="1"/>
  <c r="BT69" i="1" s="1"/>
  <c r="BF54" i="1"/>
  <c r="BD54" i="1" s="1"/>
  <c r="BF55" i="1" s="1"/>
  <c r="BF161" i="1"/>
  <c r="BF51" i="1"/>
  <c r="BH51" i="1" s="1"/>
  <c r="BR70" i="1"/>
  <c r="BS70" i="1" s="1"/>
  <c r="BR95" i="1"/>
  <c r="BP95" i="1" s="1"/>
  <c r="BR121" i="1"/>
  <c r="BT121" i="1" s="1"/>
  <c r="BF136" i="1"/>
  <c r="BD136" i="1" s="1"/>
  <c r="BT22" i="1"/>
  <c r="BS22" i="1"/>
  <c r="BU22" i="1" s="1"/>
  <c r="BH49" i="1"/>
  <c r="BG49" i="1"/>
  <c r="BH143" i="1"/>
  <c r="BD143" i="1"/>
  <c r="BS63" i="1"/>
  <c r="BP63" i="1"/>
  <c r="BG22" i="1"/>
  <c r="BH22" i="1"/>
  <c r="BD49" i="1"/>
  <c r="BR62" i="1"/>
  <c r="BT73" i="1"/>
  <c r="BP73" i="1"/>
  <c r="BS73" i="1"/>
  <c r="BP40" i="1"/>
  <c r="BT40" i="1"/>
  <c r="BT63" i="1"/>
  <c r="BH134" i="1"/>
  <c r="BG134" i="1"/>
  <c r="BD134" i="1"/>
  <c r="BD131" i="1"/>
  <c r="BH131" i="1"/>
  <c r="BG131" i="1"/>
  <c r="BP145" i="1"/>
  <c r="BR146" i="1" s="1"/>
  <c r="BS145" i="1"/>
  <c r="BU145" i="1" s="1"/>
  <c r="BT33" i="1"/>
  <c r="BP33" i="1"/>
  <c r="BG53" i="1"/>
  <c r="BH53" i="1"/>
  <c r="BS83" i="1"/>
  <c r="BF147" i="1"/>
  <c r="BR72" i="1"/>
  <c r="BG79" i="1"/>
  <c r="BI79" i="1" s="1"/>
  <c r="BD79" i="1"/>
  <c r="BF80" i="1" s="1"/>
  <c r="BG80" i="1" s="1"/>
  <c r="BR25" i="1"/>
  <c r="BT29" i="1"/>
  <c r="BU29" i="1" s="1"/>
  <c r="BP29" i="1"/>
  <c r="BR39" i="1"/>
  <c r="BT90" i="1"/>
  <c r="BU90" i="1" s="1"/>
  <c r="BP90" i="1"/>
  <c r="BR93" i="1"/>
  <c r="BR124" i="1"/>
  <c r="BP96" i="1"/>
  <c r="BS96" i="1"/>
  <c r="BU96" i="1" s="1"/>
  <c r="BP99" i="1"/>
  <c r="BS99" i="1"/>
  <c r="BT99" i="1"/>
  <c r="BR58" i="1"/>
  <c r="BT86" i="1"/>
  <c r="BS86" i="1"/>
  <c r="BR115" i="1"/>
  <c r="BG164" i="1"/>
  <c r="BD164" i="1"/>
  <c r="BF36" i="1"/>
  <c r="BR56" i="1"/>
  <c r="BT71" i="1"/>
  <c r="BS71" i="1"/>
  <c r="BP71" i="1"/>
  <c r="BR94" i="1"/>
  <c r="BT100" i="1"/>
  <c r="BP113" i="1"/>
  <c r="BT113" i="1"/>
  <c r="BS113" i="1"/>
  <c r="BF127" i="1"/>
  <c r="BF130" i="1"/>
  <c r="BH38" i="1"/>
  <c r="BG38" i="1"/>
  <c r="BD38" i="1"/>
  <c r="BF52" i="1"/>
  <c r="BF47" i="1"/>
  <c r="BF148" i="1"/>
  <c r="BR154" i="1"/>
  <c r="BH155" i="1"/>
  <c r="BG155" i="1"/>
  <c r="BD155" i="1"/>
  <c r="BT120" i="1"/>
  <c r="BS120" i="1"/>
  <c r="BP120" i="1"/>
  <c r="BR53" i="1"/>
  <c r="BR67" i="1"/>
  <c r="BR30" i="1"/>
  <c r="BR76" i="1"/>
  <c r="BH141" i="1"/>
  <c r="BG141" i="1"/>
  <c r="BR98" i="1"/>
  <c r="BF144" i="1"/>
  <c r="BS155" i="1"/>
  <c r="BU155" i="1" s="1"/>
  <c r="BP155" i="1"/>
  <c r="BR141" i="1"/>
  <c r="BF43" i="1"/>
  <c r="BF57" i="1"/>
  <c r="BR102" i="1"/>
  <c r="BR103" i="1"/>
  <c r="BR107" i="1"/>
  <c r="BR117" i="1"/>
  <c r="BR122" i="1"/>
  <c r="BF128" i="1"/>
  <c r="BF142" i="1"/>
  <c r="BR112" i="1"/>
  <c r="BR116" i="1"/>
  <c r="BP118" i="1"/>
  <c r="BF163" i="1"/>
  <c r="BF97" i="1"/>
  <c r="BF137" i="1"/>
  <c r="BF151" i="1"/>
  <c r="BF45" i="1"/>
  <c r="BR84" i="1"/>
  <c r="BS128" i="1"/>
  <c r="BR91" i="1"/>
  <c r="BR105" i="1"/>
  <c r="BR119" i="1"/>
  <c r="BU120" i="1" l="1"/>
  <c r="BP100" i="1"/>
  <c r="BS42" i="1"/>
  <c r="BT79" i="1"/>
  <c r="BT128" i="1"/>
  <c r="BU128" i="1" s="1"/>
  <c r="BP68" i="1"/>
  <c r="BS68" i="1"/>
  <c r="BU68" i="1" s="1"/>
  <c r="BP26" i="1"/>
  <c r="BS35" i="1"/>
  <c r="BU35" i="1" s="1"/>
  <c r="BS65" i="1"/>
  <c r="BP109" i="1"/>
  <c r="BP65" i="1"/>
  <c r="BP27" i="1"/>
  <c r="BP79" i="1"/>
  <c r="BP35" i="1"/>
  <c r="BP166" i="1"/>
  <c r="BR167" i="1" s="1"/>
  <c r="BP167" i="1" s="1"/>
  <c r="BS166" i="1"/>
  <c r="BT166" i="1"/>
  <c r="BT95" i="1"/>
  <c r="BT26" i="1"/>
  <c r="BU26" i="1" s="1"/>
  <c r="BS123" i="1"/>
  <c r="BU123" i="1" s="1"/>
  <c r="BT54" i="1"/>
  <c r="BU54" i="1" s="1"/>
  <c r="BU100" i="1"/>
  <c r="BP123" i="1"/>
  <c r="BP54" i="1"/>
  <c r="BT34" i="1"/>
  <c r="BS34" i="1"/>
  <c r="BU34" i="1" s="1"/>
  <c r="BG145" i="1"/>
  <c r="BH145" i="1"/>
  <c r="BD62" i="1"/>
  <c r="BD50" i="1"/>
  <c r="BI49" i="1"/>
  <c r="BD157" i="1"/>
  <c r="BF158" i="1" s="1"/>
  <c r="BG157" i="1"/>
  <c r="BH35" i="1"/>
  <c r="BD35" i="1"/>
  <c r="BD40" i="1"/>
  <c r="BG40" i="1"/>
  <c r="BI40" i="1" s="1"/>
  <c r="BH156" i="1"/>
  <c r="BH133" i="1"/>
  <c r="BI133" i="1" s="1"/>
  <c r="BD133" i="1"/>
  <c r="BD146" i="1"/>
  <c r="BD138" i="1"/>
  <c r="BD135" i="1"/>
  <c r="BD39" i="1"/>
  <c r="BG48" i="1"/>
  <c r="BH146" i="1"/>
  <c r="BI146" i="1" s="1"/>
  <c r="BG44" i="1"/>
  <c r="BH44" i="1"/>
  <c r="BH50" i="1"/>
  <c r="BI50" i="1" s="1"/>
  <c r="BS23" i="1"/>
  <c r="BU23" i="1" s="1"/>
  <c r="BP158" i="1"/>
  <c r="BT23" i="1"/>
  <c r="BP28" i="1"/>
  <c r="BT28" i="1"/>
  <c r="BU28" i="1" s="1"/>
  <c r="BT80" i="1"/>
  <c r="BU80" i="1" s="1"/>
  <c r="BT77" i="1"/>
  <c r="BU77" i="1" s="1"/>
  <c r="BT136" i="1"/>
  <c r="BU136" i="1" s="1"/>
  <c r="BP77" i="1"/>
  <c r="BP60" i="1"/>
  <c r="BT156" i="1"/>
  <c r="BU156" i="1" s="1"/>
  <c r="BT60" i="1"/>
  <c r="BU60" i="1" s="1"/>
  <c r="BP136" i="1"/>
  <c r="BR137" i="1" s="1"/>
  <c r="BP80" i="1"/>
  <c r="BP24" i="1"/>
  <c r="BS109" i="1"/>
  <c r="BU109" i="1" s="1"/>
  <c r="BS27" i="1"/>
  <c r="BU27" i="1" s="1"/>
  <c r="BP42" i="1"/>
  <c r="BR43" i="1" s="1"/>
  <c r="BP43" i="1" s="1"/>
  <c r="BR44" i="1" s="1"/>
  <c r="BT87" i="1"/>
  <c r="BU87" i="1" s="1"/>
  <c r="BT111" i="1"/>
  <c r="BU111" i="1" s="1"/>
  <c r="BP111" i="1"/>
  <c r="BP85" i="1"/>
  <c r="BS24" i="1"/>
  <c r="BU24" i="1" s="1"/>
  <c r="BP83" i="1"/>
  <c r="BU63" i="1"/>
  <c r="BP37" i="1"/>
  <c r="BU104" i="1"/>
  <c r="BS75" i="1"/>
  <c r="BP87" i="1"/>
  <c r="BT75" i="1"/>
  <c r="BS85" i="1"/>
  <c r="BU85" i="1" s="1"/>
  <c r="BP157" i="1"/>
  <c r="BS61" i="1"/>
  <c r="BU79" i="1"/>
  <c r="BX79" i="1" s="1"/>
  <c r="BP57" i="1"/>
  <c r="BP159" i="1"/>
  <c r="BR160" i="1" s="1"/>
  <c r="BT160" i="1" s="1"/>
  <c r="BT78" i="1"/>
  <c r="BP97" i="1"/>
  <c r="BS37" i="1"/>
  <c r="BU37" i="1" s="1"/>
  <c r="BS78" i="1"/>
  <c r="BU78" i="1" s="1"/>
  <c r="BS159" i="1"/>
  <c r="BU159" i="1" s="1"/>
  <c r="BS97" i="1"/>
  <c r="BU97" i="1" s="1"/>
  <c r="BU59" i="1"/>
  <c r="BS165" i="1"/>
  <c r="BS66" i="1"/>
  <c r="BT66" i="1"/>
  <c r="BT165" i="1"/>
  <c r="BS110" i="1"/>
  <c r="BS41" i="1"/>
  <c r="BP74" i="1"/>
  <c r="BS157" i="1"/>
  <c r="BU157" i="1" s="1"/>
  <c r="BT41" i="1"/>
  <c r="BS114" i="1"/>
  <c r="BP156" i="1"/>
  <c r="BT110" i="1"/>
  <c r="BS158" i="1"/>
  <c r="BU158" i="1" s="1"/>
  <c r="BU86" i="1"/>
  <c r="BG138" i="1"/>
  <c r="BI138" i="1" s="1"/>
  <c r="BH152" i="1"/>
  <c r="BG152" i="1"/>
  <c r="BH48" i="1"/>
  <c r="BG39" i="1"/>
  <c r="BI39" i="1" s="1"/>
  <c r="BH159" i="1"/>
  <c r="BD23" i="1"/>
  <c r="BF24" i="1" s="1"/>
  <c r="BD24" i="1" s="1"/>
  <c r="BF25" i="1" s="1"/>
  <c r="BG159" i="1"/>
  <c r="BD140" i="1"/>
  <c r="BD96" i="1"/>
  <c r="BG96" i="1"/>
  <c r="BI96" i="1" s="1"/>
  <c r="BX96" i="1" s="1"/>
  <c r="BG62" i="1"/>
  <c r="BI62" i="1" s="1"/>
  <c r="BH37" i="1"/>
  <c r="BI37" i="1" s="1"/>
  <c r="BH139" i="1"/>
  <c r="BI139" i="1" s="1"/>
  <c r="BG154" i="1"/>
  <c r="BG140" i="1"/>
  <c r="BI140" i="1" s="1"/>
  <c r="BH23" i="1"/>
  <c r="BI23" i="1" s="1"/>
  <c r="BG160" i="1"/>
  <c r="BH160" i="1"/>
  <c r="BD129" i="1"/>
  <c r="BG129" i="1"/>
  <c r="BI129" i="1" s="1"/>
  <c r="BH126" i="1"/>
  <c r="BH154" i="1"/>
  <c r="BG126" i="1"/>
  <c r="BD37" i="1"/>
  <c r="BG135" i="1"/>
  <c r="BI135" i="1" s="1"/>
  <c r="BH166" i="1"/>
  <c r="BG166" i="1"/>
  <c r="BI166" i="1" s="1"/>
  <c r="BG156" i="1"/>
  <c r="BH80" i="1"/>
  <c r="BI80" i="1" s="1"/>
  <c r="BD46" i="1"/>
  <c r="BG46" i="1"/>
  <c r="BI46" i="1" s="1"/>
  <c r="BD107" i="1"/>
  <c r="BF108" i="1" s="1"/>
  <c r="BH42" i="1"/>
  <c r="BI42" i="1" s="1"/>
  <c r="BG153" i="1"/>
  <c r="BH153" i="1"/>
  <c r="BD153" i="1"/>
  <c r="BI145" i="1"/>
  <c r="BX145" i="1" s="1"/>
  <c r="BH107" i="1"/>
  <c r="BI107" i="1" s="1"/>
  <c r="BG165" i="1"/>
  <c r="BH150" i="1"/>
  <c r="BI150" i="1" s="1"/>
  <c r="BT114" i="1"/>
  <c r="BU113" i="1"/>
  <c r="BU71" i="1"/>
  <c r="BU73" i="1"/>
  <c r="BT61" i="1"/>
  <c r="BS57" i="1"/>
  <c r="BU57" i="1" s="1"/>
  <c r="BS32" i="1"/>
  <c r="BU32" i="1" s="1"/>
  <c r="BP32" i="1"/>
  <c r="BP121" i="1"/>
  <c r="BS121" i="1"/>
  <c r="BU121" i="1" s="1"/>
  <c r="BT129" i="1"/>
  <c r="BU129" i="1" s="1"/>
  <c r="BP149" i="1"/>
  <c r="BR150" i="1" s="1"/>
  <c r="BS150" i="1" s="1"/>
  <c r="BP55" i="1"/>
  <c r="BP129" i="1"/>
  <c r="BR130" i="1" s="1"/>
  <c r="BS149" i="1"/>
  <c r="BU149" i="1" s="1"/>
  <c r="BS55" i="1"/>
  <c r="BU55" i="1" s="1"/>
  <c r="BS101" i="1"/>
  <c r="BP106" i="1"/>
  <c r="BS31" i="1"/>
  <c r="BU31" i="1" s="1"/>
  <c r="BT74" i="1"/>
  <c r="BU74" i="1" s="1"/>
  <c r="BT106" i="1"/>
  <c r="BU106" i="1" s="1"/>
  <c r="BP31" i="1"/>
  <c r="BP82" i="1"/>
  <c r="BT81" i="1"/>
  <c r="BS89" i="1"/>
  <c r="BT92" i="1"/>
  <c r="BT89" i="1"/>
  <c r="BS82" i="1"/>
  <c r="BU82" i="1" s="1"/>
  <c r="BT101" i="1"/>
  <c r="BD42" i="1"/>
  <c r="BH162" i="1"/>
  <c r="BI162" i="1" s="1"/>
  <c r="BG136" i="1"/>
  <c r="BG34" i="1"/>
  <c r="BI34" i="1" s="1"/>
  <c r="BD34" i="1"/>
  <c r="BI141" i="1"/>
  <c r="BI164" i="1"/>
  <c r="BD51" i="1"/>
  <c r="BG51" i="1"/>
  <c r="BI51" i="1" s="1"/>
  <c r="BI35" i="1"/>
  <c r="BP38" i="1"/>
  <c r="BT38" i="1"/>
  <c r="BG54" i="1"/>
  <c r="BG41" i="1"/>
  <c r="BS126" i="1"/>
  <c r="BU33" i="1"/>
  <c r="BD150" i="1"/>
  <c r="BH54" i="1"/>
  <c r="BU65" i="1"/>
  <c r="BH41" i="1"/>
  <c r="BS95" i="1"/>
  <c r="BT126" i="1"/>
  <c r="BD63" i="1"/>
  <c r="BF64" i="1" s="1"/>
  <c r="BD64" i="1" s="1"/>
  <c r="BF65" i="1" s="1"/>
  <c r="BS81" i="1"/>
  <c r="BI157" i="1"/>
  <c r="BG132" i="1"/>
  <c r="BH132" i="1"/>
  <c r="BD132" i="1"/>
  <c r="BH165" i="1"/>
  <c r="BS38" i="1"/>
  <c r="BT125" i="1"/>
  <c r="BH136" i="1"/>
  <c r="BI134" i="1"/>
  <c r="BG167" i="1"/>
  <c r="BH167" i="1"/>
  <c r="BD167" i="1"/>
  <c r="BP108" i="1"/>
  <c r="BS108" i="1"/>
  <c r="BU108" i="1" s="1"/>
  <c r="BG149" i="1"/>
  <c r="BD149" i="1"/>
  <c r="BH149" i="1"/>
  <c r="BI22" i="1"/>
  <c r="BS125" i="1"/>
  <c r="BH63" i="1"/>
  <c r="BI63" i="1" s="1"/>
  <c r="BS52" i="1"/>
  <c r="BT52" i="1"/>
  <c r="BP52" i="1"/>
  <c r="BP69" i="1"/>
  <c r="BT70" i="1"/>
  <c r="BU70" i="1" s="1"/>
  <c r="BP70" i="1"/>
  <c r="BD162" i="1"/>
  <c r="BS88" i="1"/>
  <c r="BD80" i="1"/>
  <c r="BF81" i="1" s="1"/>
  <c r="BH81" i="1" s="1"/>
  <c r="BS69" i="1"/>
  <c r="BU69" i="1" s="1"/>
  <c r="BS92" i="1"/>
  <c r="BT88" i="1"/>
  <c r="BU42" i="1"/>
  <c r="BD161" i="1"/>
  <c r="BH161" i="1"/>
  <c r="BG161" i="1"/>
  <c r="BD158" i="1"/>
  <c r="BH158" i="1"/>
  <c r="BG158" i="1"/>
  <c r="BT146" i="1"/>
  <c r="BS146" i="1"/>
  <c r="BP146" i="1"/>
  <c r="BR147" i="1" s="1"/>
  <c r="BD151" i="1"/>
  <c r="BH151" i="1"/>
  <c r="BG151" i="1"/>
  <c r="BH128" i="1"/>
  <c r="BG128" i="1"/>
  <c r="BD128" i="1"/>
  <c r="BD36" i="1"/>
  <c r="BH36" i="1"/>
  <c r="BG36" i="1"/>
  <c r="BP58" i="1"/>
  <c r="BT58" i="1"/>
  <c r="BS58" i="1"/>
  <c r="BD137" i="1"/>
  <c r="BH137" i="1"/>
  <c r="BG137" i="1"/>
  <c r="BP122" i="1"/>
  <c r="BS122" i="1"/>
  <c r="BT122" i="1"/>
  <c r="BS53" i="1"/>
  <c r="BT53" i="1"/>
  <c r="BP53" i="1"/>
  <c r="BI152" i="1"/>
  <c r="BS127" i="1"/>
  <c r="BP127" i="1"/>
  <c r="BT127" i="1"/>
  <c r="BH148" i="1"/>
  <c r="BG148" i="1"/>
  <c r="BD148" i="1"/>
  <c r="BP117" i="1"/>
  <c r="BT117" i="1"/>
  <c r="BS117" i="1"/>
  <c r="BU117" i="1" s="1"/>
  <c r="BH47" i="1"/>
  <c r="BD47" i="1"/>
  <c r="BG47" i="1"/>
  <c r="BP72" i="1"/>
  <c r="BT72" i="1"/>
  <c r="BS72" i="1"/>
  <c r="BI53" i="1"/>
  <c r="BT62" i="1"/>
  <c r="BS62" i="1"/>
  <c r="BP62" i="1"/>
  <c r="BT93" i="1"/>
  <c r="BS93" i="1"/>
  <c r="BP93" i="1"/>
  <c r="BD57" i="1"/>
  <c r="BF58" i="1" s="1"/>
  <c r="BH57" i="1"/>
  <c r="BG57" i="1"/>
  <c r="BH52" i="1"/>
  <c r="BG52" i="1"/>
  <c r="BD52" i="1"/>
  <c r="BS39" i="1"/>
  <c r="BT39" i="1"/>
  <c r="BP39" i="1"/>
  <c r="BH127" i="1"/>
  <c r="BG127" i="1"/>
  <c r="BD127" i="1"/>
  <c r="BT115" i="1"/>
  <c r="BS115" i="1"/>
  <c r="BP115" i="1"/>
  <c r="BH163" i="1"/>
  <c r="BG163" i="1"/>
  <c r="BD163" i="1"/>
  <c r="BD43" i="1"/>
  <c r="BH43" i="1"/>
  <c r="BG43" i="1"/>
  <c r="BP30" i="1"/>
  <c r="BT30" i="1"/>
  <c r="BS30" i="1"/>
  <c r="BU99" i="1"/>
  <c r="BS25" i="1"/>
  <c r="BT25" i="1"/>
  <c r="BP25" i="1"/>
  <c r="BV22" i="1"/>
  <c r="BD130" i="1"/>
  <c r="BH130" i="1"/>
  <c r="BG130" i="1"/>
  <c r="BX22" i="1"/>
  <c r="BJ22" i="1"/>
  <c r="BP84" i="1"/>
  <c r="BT84" i="1"/>
  <c r="BS84" i="1"/>
  <c r="BD144" i="1"/>
  <c r="BH144" i="1"/>
  <c r="BG144" i="1"/>
  <c r="BI155" i="1"/>
  <c r="BX155" i="1" s="1"/>
  <c r="BT56" i="1"/>
  <c r="BS56" i="1"/>
  <c r="BP56" i="1"/>
  <c r="BU83" i="1"/>
  <c r="BI143" i="1"/>
  <c r="BT107" i="1"/>
  <c r="BS107" i="1"/>
  <c r="BU107" i="1" s="1"/>
  <c r="BP107" i="1"/>
  <c r="BT76" i="1"/>
  <c r="BS76" i="1"/>
  <c r="BP76" i="1"/>
  <c r="BD147" i="1"/>
  <c r="BH147" i="1"/>
  <c r="BG147" i="1"/>
  <c r="BP124" i="1"/>
  <c r="BS124" i="1"/>
  <c r="BT124" i="1"/>
  <c r="BP119" i="1"/>
  <c r="BT119" i="1"/>
  <c r="BS119" i="1"/>
  <c r="BG97" i="1"/>
  <c r="BH97" i="1"/>
  <c r="BD97" i="1"/>
  <c r="BF98" i="1" s="1"/>
  <c r="BP105" i="1"/>
  <c r="BT105" i="1"/>
  <c r="BS105" i="1"/>
  <c r="BT116" i="1"/>
  <c r="BS116" i="1"/>
  <c r="BU116" i="1" s="1"/>
  <c r="BP116" i="1"/>
  <c r="BP98" i="1"/>
  <c r="BT98" i="1"/>
  <c r="BS98" i="1"/>
  <c r="BI131" i="1"/>
  <c r="BU40" i="1"/>
  <c r="BP91" i="1"/>
  <c r="BT91" i="1"/>
  <c r="BS91" i="1"/>
  <c r="BH45" i="1"/>
  <c r="BG45" i="1"/>
  <c r="BI45" i="1" s="1"/>
  <c r="BD45" i="1"/>
  <c r="BP112" i="1"/>
  <c r="BT112" i="1"/>
  <c r="BS112" i="1"/>
  <c r="BS141" i="1"/>
  <c r="BP141" i="1"/>
  <c r="BR142" i="1" s="1"/>
  <c r="BT141" i="1"/>
  <c r="BP94" i="1"/>
  <c r="BT94" i="1"/>
  <c r="BS94" i="1"/>
  <c r="BP103" i="1"/>
  <c r="BT103" i="1"/>
  <c r="BS103" i="1"/>
  <c r="BT102" i="1"/>
  <c r="BS102" i="1"/>
  <c r="BP102" i="1"/>
  <c r="BH142" i="1"/>
  <c r="BG142" i="1"/>
  <c r="BD142" i="1"/>
  <c r="BS67" i="1"/>
  <c r="BT67" i="1"/>
  <c r="BP67" i="1"/>
  <c r="BP154" i="1"/>
  <c r="BT154" i="1"/>
  <c r="BS154" i="1"/>
  <c r="BI38" i="1"/>
  <c r="BD55" i="1"/>
  <c r="BF56" i="1" s="1"/>
  <c r="BH55" i="1"/>
  <c r="BG55" i="1"/>
  <c r="BU166" i="1" l="1"/>
  <c r="BU84" i="1"/>
  <c r="BU95" i="1"/>
  <c r="BU119" i="1"/>
  <c r="BT43" i="1"/>
  <c r="BS43" i="1"/>
  <c r="BU81" i="1"/>
  <c r="BS167" i="1"/>
  <c r="BT167" i="1"/>
  <c r="BT130" i="1"/>
  <c r="BP130" i="1"/>
  <c r="BR131" i="1" s="1"/>
  <c r="BS130" i="1"/>
  <c r="BP137" i="1"/>
  <c r="BR138" i="1" s="1"/>
  <c r="BT137" i="1"/>
  <c r="BS137" i="1"/>
  <c r="BP142" i="1"/>
  <c r="BR143" i="1" s="1"/>
  <c r="BT142" i="1"/>
  <c r="BS142" i="1"/>
  <c r="BX34" i="1"/>
  <c r="BX80" i="1"/>
  <c r="BU165" i="1"/>
  <c r="BI128" i="1"/>
  <c r="BI159" i="1"/>
  <c r="BI44" i="1"/>
  <c r="BI156" i="1"/>
  <c r="BI55" i="1"/>
  <c r="BI165" i="1"/>
  <c r="BX165" i="1" s="1"/>
  <c r="BI144" i="1"/>
  <c r="BD108" i="1"/>
  <c r="BF109" i="1" s="1"/>
  <c r="BH108" i="1"/>
  <c r="BG108" i="1"/>
  <c r="BI108" i="1" s="1"/>
  <c r="BX108" i="1" s="1"/>
  <c r="BG81" i="1"/>
  <c r="BI81" i="1" s="1"/>
  <c r="BI163" i="1"/>
  <c r="BG24" i="1"/>
  <c r="BI48" i="1"/>
  <c r="BH24" i="1"/>
  <c r="BD81" i="1"/>
  <c r="BF82" i="1" s="1"/>
  <c r="BG82" i="1" s="1"/>
  <c r="BX156" i="1"/>
  <c r="BU62" i="1"/>
  <c r="BX62" i="1" s="1"/>
  <c r="BU126" i="1"/>
  <c r="BP150" i="1"/>
  <c r="BR151" i="1" s="1"/>
  <c r="BT151" i="1" s="1"/>
  <c r="BT150" i="1"/>
  <c r="BU150" i="1" s="1"/>
  <c r="BX150" i="1" s="1"/>
  <c r="BU30" i="1"/>
  <c r="BX23" i="1"/>
  <c r="BU61" i="1"/>
  <c r="BU41" i="1"/>
  <c r="BV23" i="1"/>
  <c r="BV24" i="1" s="1"/>
  <c r="BU114" i="1"/>
  <c r="BU92" i="1"/>
  <c r="BU89" i="1"/>
  <c r="BU101" i="1"/>
  <c r="BU75" i="1"/>
  <c r="BU115" i="1"/>
  <c r="BP160" i="1"/>
  <c r="BR161" i="1" s="1"/>
  <c r="BP161" i="1" s="1"/>
  <c r="BR162" i="1" s="1"/>
  <c r="BS160" i="1"/>
  <c r="BU160" i="1" s="1"/>
  <c r="BX160" i="1" s="1"/>
  <c r="BX42" i="1"/>
  <c r="BX63" i="1"/>
  <c r="BU93" i="1"/>
  <c r="BU110" i="1"/>
  <c r="BX159" i="1"/>
  <c r="BU66" i="1"/>
  <c r="BX55" i="1"/>
  <c r="BX35" i="1"/>
  <c r="BU112" i="1"/>
  <c r="BI160" i="1"/>
  <c r="BI126" i="1"/>
  <c r="BX129" i="1"/>
  <c r="BX37" i="1"/>
  <c r="BI147" i="1"/>
  <c r="BI161" i="1"/>
  <c r="BI136" i="1"/>
  <c r="BX136" i="1" s="1"/>
  <c r="BI132" i="1"/>
  <c r="BI154" i="1"/>
  <c r="BI43" i="1"/>
  <c r="BI167" i="1"/>
  <c r="BH64" i="1"/>
  <c r="BI41" i="1"/>
  <c r="BI54" i="1"/>
  <c r="BX54" i="1" s="1"/>
  <c r="BI158" i="1"/>
  <c r="BX158" i="1" s="1"/>
  <c r="BI153" i="1"/>
  <c r="BU141" i="1"/>
  <c r="BX141" i="1" s="1"/>
  <c r="BU105" i="1"/>
  <c r="BU167" i="1"/>
  <c r="BU103" i="1"/>
  <c r="BU91" i="1"/>
  <c r="BU98" i="1"/>
  <c r="BU58" i="1"/>
  <c r="BU76" i="1"/>
  <c r="BI151" i="1"/>
  <c r="BJ23" i="1"/>
  <c r="BG64" i="1"/>
  <c r="BI36" i="1"/>
  <c r="BX36" i="1" s="1"/>
  <c r="BU52" i="1"/>
  <c r="BU72" i="1"/>
  <c r="BX40" i="1"/>
  <c r="BI130" i="1"/>
  <c r="BU43" i="1"/>
  <c r="BU88" i="1"/>
  <c r="BI149" i="1"/>
  <c r="BX149" i="1" s="1"/>
  <c r="BX157" i="1"/>
  <c r="BX128" i="1"/>
  <c r="BU125" i="1"/>
  <c r="BU124" i="1"/>
  <c r="BU38" i="1"/>
  <c r="BX38" i="1" s="1"/>
  <c r="BI142" i="1"/>
  <c r="BU94" i="1"/>
  <c r="BI52" i="1"/>
  <c r="BI148" i="1"/>
  <c r="BH25" i="1"/>
  <c r="BG25" i="1"/>
  <c r="BD25" i="1"/>
  <c r="BF26" i="1" s="1"/>
  <c r="BU154" i="1"/>
  <c r="BU102" i="1"/>
  <c r="BI57" i="1"/>
  <c r="BX57" i="1" s="1"/>
  <c r="BY22" i="1"/>
  <c r="BH98" i="1"/>
  <c r="BD98" i="1"/>
  <c r="BF99" i="1" s="1"/>
  <c r="BG98" i="1"/>
  <c r="BI98" i="1" s="1"/>
  <c r="BX166" i="1"/>
  <c r="BG65" i="1"/>
  <c r="BD65" i="1"/>
  <c r="BF66" i="1" s="1"/>
  <c r="BH65" i="1"/>
  <c r="BU53" i="1"/>
  <c r="BX53" i="1" s="1"/>
  <c r="BU122" i="1"/>
  <c r="BU39" i="1"/>
  <c r="BX39" i="1" s="1"/>
  <c r="BU25" i="1"/>
  <c r="BU67" i="1"/>
  <c r="BU127" i="1"/>
  <c r="BX107" i="1"/>
  <c r="BP147" i="1"/>
  <c r="BR148" i="1" s="1"/>
  <c r="BT147" i="1"/>
  <c r="BS147" i="1"/>
  <c r="BH58" i="1"/>
  <c r="BG58" i="1"/>
  <c r="BI58" i="1" s="1"/>
  <c r="BD58" i="1"/>
  <c r="BF59" i="1" s="1"/>
  <c r="BP44" i="1"/>
  <c r="BR45" i="1" s="1"/>
  <c r="BT44" i="1"/>
  <c r="BS44" i="1"/>
  <c r="BI97" i="1"/>
  <c r="BX97" i="1" s="1"/>
  <c r="BH56" i="1"/>
  <c r="BD56" i="1"/>
  <c r="BG56" i="1"/>
  <c r="BU56" i="1"/>
  <c r="BI127" i="1"/>
  <c r="BI47" i="1"/>
  <c r="BI137" i="1"/>
  <c r="BU146" i="1"/>
  <c r="BX146" i="1" s="1"/>
  <c r="BU137" i="1" l="1"/>
  <c r="BX81" i="1"/>
  <c r="BU142" i="1"/>
  <c r="BX142" i="1" s="1"/>
  <c r="BS143" i="1"/>
  <c r="BP143" i="1"/>
  <c r="BR144" i="1" s="1"/>
  <c r="BT143" i="1"/>
  <c r="BX137" i="1"/>
  <c r="BP138" i="1"/>
  <c r="BR139" i="1" s="1"/>
  <c r="BS138" i="1"/>
  <c r="BT138" i="1"/>
  <c r="BP151" i="1"/>
  <c r="BR152" i="1" s="1"/>
  <c r="BS152" i="1" s="1"/>
  <c r="BS151" i="1"/>
  <c r="BU151" i="1" s="1"/>
  <c r="BX151" i="1" s="1"/>
  <c r="BU130" i="1"/>
  <c r="BX130" i="1" s="1"/>
  <c r="BT131" i="1"/>
  <c r="BS131" i="1"/>
  <c r="BP131" i="1"/>
  <c r="BR132" i="1" s="1"/>
  <c r="BD82" i="1"/>
  <c r="BF83" i="1" s="1"/>
  <c r="BI24" i="1"/>
  <c r="BX24" i="1" s="1"/>
  <c r="BH82" i="1"/>
  <c r="BI82" i="1" s="1"/>
  <c r="BX82" i="1" s="1"/>
  <c r="BD109" i="1"/>
  <c r="BF110" i="1" s="1"/>
  <c r="BG109" i="1"/>
  <c r="BH109" i="1"/>
  <c r="BD83" i="1"/>
  <c r="BF84" i="1" s="1"/>
  <c r="BH83" i="1"/>
  <c r="BG83" i="1"/>
  <c r="BI83" i="1" s="1"/>
  <c r="BX83" i="1" s="1"/>
  <c r="BY23" i="1"/>
  <c r="BY24" i="1" s="1"/>
  <c r="BI64" i="1"/>
  <c r="BX64" i="1" s="1"/>
  <c r="BX126" i="1"/>
  <c r="BT161" i="1"/>
  <c r="BS161" i="1"/>
  <c r="BX41" i="1"/>
  <c r="BV25" i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X154" i="1"/>
  <c r="BX167" i="1"/>
  <c r="BX43" i="1"/>
  <c r="BJ24" i="1"/>
  <c r="BX52" i="1"/>
  <c r="BX58" i="1"/>
  <c r="BX98" i="1"/>
  <c r="BI56" i="1"/>
  <c r="BX56" i="1" s="1"/>
  <c r="BI25" i="1"/>
  <c r="BI65" i="1"/>
  <c r="BX65" i="1" s="1"/>
  <c r="BU44" i="1"/>
  <c r="BX44" i="1" s="1"/>
  <c r="BS162" i="1"/>
  <c r="BP162" i="1"/>
  <c r="BR163" i="1" s="1"/>
  <c r="BT162" i="1"/>
  <c r="BU147" i="1"/>
  <c r="BX147" i="1" s="1"/>
  <c r="BH66" i="1"/>
  <c r="BG66" i="1"/>
  <c r="BD66" i="1"/>
  <c r="BF67" i="1" s="1"/>
  <c r="BS148" i="1"/>
  <c r="BP148" i="1"/>
  <c r="BT148" i="1"/>
  <c r="BH99" i="1"/>
  <c r="BG99" i="1"/>
  <c r="BD99" i="1"/>
  <c r="BF100" i="1" s="1"/>
  <c r="BS45" i="1"/>
  <c r="BT45" i="1"/>
  <c r="BP45" i="1"/>
  <c r="BR46" i="1" s="1"/>
  <c r="BX127" i="1"/>
  <c r="BH59" i="1"/>
  <c r="BG59" i="1"/>
  <c r="BD59" i="1"/>
  <c r="BF60" i="1" s="1"/>
  <c r="BH26" i="1"/>
  <c r="BG26" i="1"/>
  <c r="BD26" i="1"/>
  <c r="BF27" i="1" s="1"/>
  <c r="BU143" i="1" l="1"/>
  <c r="BX143" i="1" s="1"/>
  <c r="BU131" i="1"/>
  <c r="BX131" i="1" s="1"/>
  <c r="BU161" i="1"/>
  <c r="BX161" i="1" s="1"/>
  <c r="BT152" i="1"/>
  <c r="BP152" i="1"/>
  <c r="BR153" i="1" s="1"/>
  <c r="BS46" i="1"/>
  <c r="BT46" i="1"/>
  <c r="BU46" i="1" s="1"/>
  <c r="BX46" i="1" s="1"/>
  <c r="BP46" i="1"/>
  <c r="BR47" i="1" s="1"/>
  <c r="BU138" i="1"/>
  <c r="BX138" i="1" s="1"/>
  <c r="BP139" i="1"/>
  <c r="BR140" i="1" s="1"/>
  <c r="BT139" i="1"/>
  <c r="BS139" i="1"/>
  <c r="BU139" i="1" s="1"/>
  <c r="BX139" i="1" s="1"/>
  <c r="BP144" i="1"/>
  <c r="BT144" i="1"/>
  <c r="BS144" i="1"/>
  <c r="BP132" i="1"/>
  <c r="BR133" i="1" s="1"/>
  <c r="BT132" i="1"/>
  <c r="BS132" i="1"/>
  <c r="BU132" i="1" s="1"/>
  <c r="BX132" i="1" s="1"/>
  <c r="BI109" i="1"/>
  <c r="BX109" i="1" s="1"/>
  <c r="BJ25" i="1"/>
  <c r="BH84" i="1"/>
  <c r="BG84" i="1"/>
  <c r="BD84" i="1"/>
  <c r="BF85" i="1" s="1"/>
  <c r="BH110" i="1"/>
  <c r="BD110" i="1"/>
  <c r="BF111" i="1" s="1"/>
  <c r="BG110" i="1"/>
  <c r="BG100" i="1"/>
  <c r="BD100" i="1"/>
  <c r="BF101" i="1" s="1"/>
  <c r="BH100" i="1"/>
  <c r="BX25" i="1"/>
  <c r="BY25" i="1" s="1"/>
  <c r="BU148" i="1"/>
  <c r="BX148" i="1" s="1"/>
  <c r="BI26" i="1"/>
  <c r="BX26" i="1" s="1"/>
  <c r="BU162" i="1"/>
  <c r="BX162" i="1" s="1"/>
  <c r="BV44" i="1"/>
  <c r="BI59" i="1"/>
  <c r="BX59" i="1" s="1"/>
  <c r="BU152" i="1"/>
  <c r="BX152" i="1" s="1"/>
  <c r="BD67" i="1"/>
  <c r="BF68" i="1" s="1"/>
  <c r="BH67" i="1"/>
  <c r="BG67" i="1"/>
  <c r="BT153" i="1"/>
  <c r="BS153" i="1"/>
  <c r="BP153" i="1"/>
  <c r="BI66" i="1"/>
  <c r="BX66" i="1" s="1"/>
  <c r="BD27" i="1"/>
  <c r="BF28" i="1" s="1"/>
  <c r="BG27" i="1"/>
  <c r="BH27" i="1"/>
  <c r="BU45" i="1"/>
  <c r="BI99" i="1"/>
  <c r="BX99" i="1" s="1"/>
  <c r="BT163" i="1"/>
  <c r="BS163" i="1"/>
  <c r="BP163" i="1"/>
  <c r="BR164" i="1" s="1"/>
  <c r="BH60" i="1"/>
  <c r="BG60" i="1"/>
  <c r="BD60" i="1"/>
  <c r="BF61" i="1" s="1"/>
  <c r="BU144" i="1" l="1"/>
  <c r="BX144" i="1" s="1"/>
  <c r="BP140" i="1"/>
  <c r="BT140" i="1"/>
  <c r="BS140" i="1"/>
  <c r="BU140" i="1" s="1"/>
  <c r="BX140" i="1" s="1"/>
  <c r="BS133" i="1"/>
  <c r="BP133" i="1"/>
  <c r="BR134" i="1" s="1"/>
  <c r="BT133" i="1"/>
  <c r="BT47" i="1"/>
  <c r="BS47" i="1"/>
  <c r="BU47" i="1" s="1"/>
  <c r="BX47" i="1" s="1"/>
  <c r="BP47" i="1"/>
  <c r="BR48" i="1" s="1"/>
  <c r="BI110" i="1"/>
  <c r="BX110" i="1" s="1"/>
  <c r="BI84" i="1"/>
  <c r="BX84" i="1" s="1"/>
  <c r="BI100" i="1"/>
  <c r="BX100" i="1" s="1"/>
  <c r="BH68" i="1"/>
  <c r="BG68" i="1"/>
  <c r="BD68" i="1"/>
  <c r="BF69" i="1" s="1"/>
  <c r="BG111" i="1"/>
  <c r="BH111" i="1"/>
  <c r="BI111" i="1" s="1"/>
  <c r="BX111" i="1" s="1"/>
  <c r="BD111" i="1"/>
  <c r="BF112" i="1" s="1"/>
  <c r="BH85" i="1"/>
  <c r="BG85" i="1"/>
  <c r="BI85" i="1" s="1"/>
  <c r="BX85" i="1" s="1"/>
  <c r="BD85" i="1"/>
  <c r="BF86" i="1" s="1"/>
  <c r="BG101" i="1"/>
  <c r="BH101" i="1"/>
  <c r="BI101" i="1" s="1"/>
  <c r="BX101" i="1" s="1"/>
  <c r="BD101" i="1"/>
  <c r="BF102" i="1" s="1"/>
  <c r="BU153" i="1"/>
  <c r="BX153" i="1" s="1"/>
  <c r="BU163" i="1"/>
  <c r="BX163" i="1" s="1"/>
  <c r="BI60" i="1"/>
  <c r="BX60" i="1" s="1"/>
  <c r="BI67" i="1"/>
  <c r="BX67" i="1" s="1"/>
  <c r="BJ26" i="1"/>
  <c r="BY26" i="1"/>
  <c r="BH61" i="1"/>
  <c r="BD61" i="1"/>
  <c r="BG61" i="1"/>
  <c r="BP164" i="1"/>
  <c r="BT164" i="1"/>
  <c r="BS164" i="1"/>
  <c r="BX45" i="1"/>
  <c r="BI27" i="1"/>
  <c r="BV45" i="1"/>
  <c r="BV46" i="1" s="1"/>
  <c r="BH28" i="1"/>
  <c r="BG28" i="1"/>
  <c r="BD28" i="1"/>
  <c r="BF29" i="1" s="1"/>
  <c r="BV47" i="1" l="1"/>
  <c r="BT134" i="1"/>
  <c r="BS134" i="1"/>
  <c r="BU134" i="1" s="1"/>
  <c r="BX134" i="1" s="1"/>
  <c r="BP134" i="1"/>
  <c r="BR135" i="1" s="1"/>
  <c r="BT48" i="1"/>
  <c r="BP48" i="1"/>
  <c r="BR49" i="1" s="1"/>
  <c r="BS48" i="1"/>
  <c r="BU133" i="1"/>
  <c r="BX133" i="1" s="1"/>
  <c r="BH102" i="1"/>
  <c r="BG102" i="1"/>
  <c r="BD102" i="1"/>
  <c r="BF103" i="1" s="1"/>
  <c r="BG112" i="1"/>
  <c r="BD112" i="1"/>
  <c r="BF113" i="1" s="1"/>
  <c r="BH112" i="1"/>
  <c r="BH69" i="1"/>
  <c r="BG69" i="1"/>
  <c r="BI69" i="1" s="1"/>
  <c r="BX69" i="1" s="1"/>
  <c r="BD69" i="1"/>
  <c r="BF70" i="1" s="1"/>
  <c r="BH86" i="1"/>
  <c r="BD86" i="1"/>
  <c r="BF87" i="1" s="1"/>
  <c r="BG86" i="1"/>
  <c r="BI68" i="1"/>
  <c r="BX68" i="1" s="1"/>
  <c r="BU164" i="1"/>
  <c r="BX164" i="1" s="1"/>
  <c r="BI28" i="1"/>
  <c r="BX28" i="1" s="1"/>
  <c r="BX27" i="1"/>
  <c r="BJ27" i="1"/>
  <c r="BD29" i="1"/>
  <c r="BF30" i="1" s="1"/>
  <c r="BH29" i="1"/>
  <c r="BG29" i="1"/>
  <c r="BI61" i="1"/>
  <c r="BX61" i="1" s="1"/>
  <c r="BU48" i="1" l="1"/>
  <c r="BX48" i="1" s="1"/>
  <c r="BP49" i="1"/>
  <c r="BR50" i="1" s="1"/>
  <c r="BS49" i="1"/>
  <c r="BT49" i="1"/>
  <c r="BT135" i="1"/>
  <c r="BS135" i="1"/>
  <c r="BU135" i="1" s="1"/>
  <c r="BX135" i="1" s="1"/>
  <c r="BP135" i="1"/>
  <c r="BI86" i="1"/>
  <c r="BX86" i="1" s="1"/>
  <c r="BD87" i="1"/>
  <c r="BF88" i="1" s="1"/>
  <c r="BG87" i="1"/>
  <c r="BH87" i="1"/>
  <c r="BI112" i="1"/>
  <c r="BX112" i="1" s="1"/>
  <c r="BD103" i="1"/>
  <c r="BF104" i="1" s="1"/>
  <c r="BG103" i="1"/>
  <c r="BH103" i="1"/>
  <c r="BD70" i="1"/>
  <c r="BF71" i="1" s="1"/>
  <c r="BG70" i="1"/>
  <c r="BH70" i="1"/>
  <c r="BG113" i="1"/>
  <c r="BD113" i="1"/>
  <c r="BF114" i="1" s="1"/>
  <c r="BH113" i="1"/>
  <c r="BI102" i="1"/>
  <c r="BX102" i="1" s="1"/>
  <c r="BJ28" i="1"/>
  <c r="BI29" i="1"/>
  <c r="BX29" i="1" s="1"/>
  <c r="BH30" i="1"/>
  <c r="BG30" i="1"/>
  <c r="BD30" i="1"/>
  <c r="BF31" i="1" s="1"/>
  <c r="BY27" i="1"/>
  <c r="BY28" i="1" s="1"/>
  <c r="BU49" i="1" l="1"/>
  <c r="BX49" i="1" s="1"/>
  <c r="BV48" i="1"/>
  <c r="BT50" i="1"/>
  <c r="BS50" i="1"/>
  <c r="BP50" i="1"/>
  <c r="BR51" i="1" s="1"/>
  <c r="BI113" i="1"/>
  <c r="BX113" i="1" s="1"/>
  <c r="BG114" i="1"/>
  <c r="BD114" i="1"/>
  <c r="BF115" i="1" s="1"/>
  <c r="BH114" i="1"/>
  <c r="BI70" i="1"/>
  <c r="BX70" i="1" s="1"/>
  <c r="BD71" i="1"/>
  <c r="BF72" i="1" s="1"/>
  <c r="BH71" i="1"/>
  <c r="BG71" i="1"/>
  <c r="BI71" i="1" s="1"/>
  <c r="BX71" i="1" s="1"/>
  <c r="BI103" i="1"/>
  <c r="BX103" i="1" s="1"/>
  <c r="BG104" i="1"/>
  <c r="BD104" i="1"/>
  <c r="BF105" i="1" s="1"/>
  <c r="BH104" i="1"/>
  <c r="BI87" i="1"/>
  <c r="BX87" i="1" s="1"/>
  <c r="BH88" i="1"/>
  <c r="BD88" i="1"/>
  <c r="BF89" i="1" s="1"/>
  <c r="BG88" i="1"/>
  <c r="BY29" i="1"/>
  <c r="BJ29" i="1"/>
  <c r="BH31" i="1"/>
  <c r="BG31" i="1"/>
  <c r="BI31" i="1" s="1"/>
  <c r="BX31" i="1" s="1"/>
  <c r="BD31" i="1"/>
  <c r="BF32" i="1" s="1"/>
  <c r="BI30" i="1"/>
  <c r="BJ30" i="1" s="1"/>
  <c r="BU50" i="1" l="1"/>
  <c r="BV49" i="1"/>
  <c r="BT51" i="1"/>
  <c r="BS51" i="1"/>
  <c r="BU51" i="1" s="1"/>
  <c r="BX51" i="1" s="1"/>
  <c r="BP51" i="1"/>
  <c r="BX50" i="1"/>
  <c r="BV9" i="1"/>
  <c r="BV50" i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H89" i="1"/>
  <c r="BG89" i="1"/>
  <c r="BI89" i="1" s="1"/>
  <c r="BX89" i="1" s="1"/>
  <c r="BD89" i="1"/>
  <c r="BF90" i="1" s="1"/>
  <c r="BD105" i="1"/>
  <c r="BF106" i="1" s="1"/>
  <c r="BH105" i="1"/>
  <c r="BG105" i="1"/>
  <c r="BI105" i="1" s="1"/>
  <c r="BX105" i="1" s="1"/>
  <c r="BI104" i="1"/>
  <c r="BX104" i="1" s="1"/>
  <c r="BD72" i="1"/>
  <c r="BF73" i="1" s="1"/>
  <c r="BH72" i="1"/>
  <c r="BG72" i="1"/>
  <c r="BI72" i="1" s="1"/>
  <c r="BX72" i="1" s="1"/>
  <c r="BD115" i="1"/>
  <c r="BF116" i="1" s="1"/>
  <c r="BH115" i="1"/>
  <c r="BG115" i="1"/>
  <c r="BI88" i="1"/>
  <c r="BX88" i="1" s="1"/>
  <c r="BI114" i="1"/>
  <c r="BX114" i="1" s="1"/>
  <c r="BJ31" i="1"/>
  <c r="BX30" i="1"/>
  <c r="BH32" i="1"/>
  <c r="BD32" i="1"/>
  <c r="BF33" i="1" s="1"/>
  <c r="BG32" i="1"/>
  <c r="BV10" i="1" l="1"/>
  <c r="BV11" i="1" s="1"/>
  <c r="CL14" i="1" s="1"/>
  <c r="BD90" i="1"/>
  <c r="BF91" i="1" s="1"/>
  <c r="BG90" i="1"/>
  <c r="BH90" i="1"/>
  <c r="BI115" i="1"/>
  <c r="BX115" i="1" s="1"/>
  <c r="BD116" i="1"/>
  <c r="BF117" i="1" s="1"/>
  <c r="BH116" i="1"/>
  <c r="BG116" i="1"/>
  <c r="BI116" i="1" s="1"/>
  <c r="BX116" i="1" s="1"/>
  <c r="BD73" i="1"/>
  <c r="BF74" i="1" s="1"/>
  <c r="BH73" i="1"/>
  <c r="BG73" i="1"/>
  <c r="BH106" i="1"/>
  <c r="BG106" i="1"/>
  <c r="BI106" i="1" s="1"/>
  <c r="BX106" i="1" s="1"/>
  <c r="BD106" i="1"/>
  <c r="BI32" i="1"/>
  <c r="BX32" i="1" s="1"/>
  <c r="BH33" i="1"/>
  <c r="BD33" i="1"/>
  <c r="BG33" i="1"/>
  <c r="BY30" i="1"/>
  <c r="BY31" i="1" s="1"/>
  <c r="BI73" i="1" l="1"/>
  <c r="BX73" i="1" s="1"/>
  <c r="BG74" i="1"/>
  <c r="BD74" i="1"/>
  <c r="BF75" i="1" s="1"/>
  <c r="BH74" i="1"/>
  <c r="BG117" i="1"/>
  <c r="BD117" i="1"/>
  <c r="BF118" i="1" s="1"/>
  <c r="BH117" i="1"/>
  <c r="BY32" i="1"/>
  <c r="BI90" i="1"/>
  <c r="BX90" i="1" s="1"/>
  <c r="BH91" i="1"/>
  <c r="BG91" i="1"/>
  <c r="BI91" i="1" s="1"/>
  <c r="BX91" i="1" s="1"/>
  <c r="BD91" i="1"/>
  <c r="BF92" i="1" s="1"/>
  <c r="BJ32" i="1"/>
  <c r="BI33" i="1"/>
  <c r="BD92" i="1" l="1"/>
  <c r="BF93" i="1" s="1"/>
  <c r="BG92" i="1"/>
  <c r="BH92" i="1"/>
  <c r="BD118" i="1"/>
  <c r="BF119" i="1" s="1"/>
  <c r="BH118" i="1"/>
  <c r="BG118" i="1"/>
  <c r="BI118" i="1" s="1"/>
  <c r="BX118" i="1" s="1"/>
  <c r="BI117" i="1"/>
  <c r="BX117" i="1" s="1"/>
  <c r="BG75" i="1"/>
  <c r="BD75" i="1"/>
  <c r="BF76" i="1" s="1"/>
  <c r="BH75" i="1"/>
  <c r="BI75" i="1" s="1"/>
  <c r="BX75" i="1" s="1"/>
  <c r="BI74" i="1"/>
  <c r="BX74" i="1" s="1"/>
  <c r="BX33" i="1"/>
  <c r="BJ33" i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G76" i="1" l="1"/>
  <c r="BD76" i="1"/>
  <c r="BF77" i="1" s="1"/>
  <c r="BH76" i="1"/>
  <c r="BH119" i="1"/>
  <c r="BD119" i="1"/>
  <c r="BF120" i="1" s="1"/>
  <c r="BG119" i="1"/>
  <c r="BI119" i="1" s="1"/>
  <c r="BX119" i="1" s="1"/>
  <c r="BI92" i="1"/>
  <c r="BX92" i="1" s="1"/>
  <c r="BH93" i="1"/>
  <c r="BG93" i="1"/>
  <c r="BI93" i="1" s="1"/>
  <c r="BX93" i="1" s="1"/>
  <c r="BD93" i="1"/>
  <c r="BF94" i="1" s="1"/>
  <c r="BY33" i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H120" i="1" l="1"/>
  <c r="BG120" i="1"/>
  <c r="BI120" i="1" s="1"/>
  <c r="BX120" i="1" s="1"/>
  <c r="BD120" i="1"/>
  <c r="BF121" i="1" s="1"/>
  <c r="BI76" i="1"/>
  <c r="BH94" i="1"/>
  <c r="BG94" i="1"/>
  <c r="BI94" i="1" s="1"/>
  <c r="BX94" i="1" s="1"/>
  <c r="BD94" i="1"/>
  <c r="BF95" i="1" s="1"/>
  <c r="BD77" i="1"/>
  <c r="BF78" i="1" s="1"/>
  <c r="BH77" i="1"/>
  <c r="BG77" i="1"/>
  <c r="BI77" i="1" s="1"/>
  <c r="BX77" i="1" s="1"/>
  <c r="BD95" i="1" l="1"/>
  <c r="BH95" i="1"/>
  <c r="BG95" i="1"/>
  <c r="BI95" i="1" s="1"/>
  <c r="BX95" i="1" s="1"/>
  <c r="BX76" i="1"/>
  <c r="BJ76" i="1"/>
  <c r="BJ77" i="1" s="1"/>
  <c r="BD78" i="1"/>
  <c r="BG78" i="1"/>
  <c r="BH78" i="1"/>
  <c r="BG121" i="1"/>
  <c r="BH121" i="1"/>
  <c r="BD121" i="1"/>
  <c r="BF122" i="1" s="1"/>
  <c r="BI78" i="1" l="1"/>
  <c r="BX78" i="1" s="1"/>
  <c r="BG122" i="1"/>
  <c r="BD122" i="1"/>
  <c r="BF123" i="1" s="1"/>
  <c r="BH122" i="1"/>
  <c r="BI121" i="1"/>
  <c r="BX121" i="1" s="1"/>
  <c r="BJ78" i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Y76" i="1"/>
  <c r="BY77" i="1" s="1"/>
  <c r="BY78" i="1" l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H123" i="1"/>
  <c r="BG123" i="1"/>
  <c r="BI123" i="1" s="1"/>
  <c r="BX123" i="1" s="1"/>
  <c r="BD123" i="1"/>
  <c r="BF124" i="1" s="1"/>
  <c r="BI122" i="1"/>
  <c r="BJ122" i="1" s="1"/>
  <c r="BJ123" i="1" s="1"/>
  <c r="BX122" i="1" l="1"/>
  <c r="BH124" i="1"/>
  <c r="BG124" i="1"/>
  <c r="BD124" i="1"/>
  <c r="BF125" i="1" s="1"/>
  <c r="BG125" i="1" l="1"/>
  <c r="BD125" i="1"/>
  <c r="BH125" i="1"/>
  <c r="BI125" i="1" s="1"/>
  <c r="BX125" i="1" s="1"/>
  <c r="BI124" i="1"/>
  <c r="BY122" i="1"/>
  <c r="BY123" i="1" s="1"/>
  <c r="BX124" i="1" l="1"/>
  <c r="BJ124" i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0" i="1"/>
  <c r="BJ9" i="1"/>
  <c r="BJ11" i="1" l="1"/>
  <c r="CL3" i="1" s="1"/>
  <c r="BY9" i="1"/>
  <c r="BY10" i="1"/>
  <c r="BY124" i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<sst xmlns="http://schemas.openxmlformats.org/spreadsheetml/2006/main" count="65" uniqueCount="50">
  <si>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</si>
  <si>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SMH</t>
  </si>
  <si>
    <t>SOXX</t>
  </si>
  <si>
    <t>SMH log rtn</t>
  </si>
  <si>
    <t>SOXX log rtn</t>
  </si>
  <si>
    <t>SMH div</t>
  </si>
  <si>
    <t>SMH div cumsum</t>
  </si>
  <si>
    <t>SOXX div</t>
  </si>
  <si>
    <t>SOXX div cumsum</t>
  </si>
  <si>
    <t>SMH div adjustment</t>
  </si>
  <si>
    <t>SOXX div adjustment</t>
  </si>
  <si>
    <t>SMH*</t>
  </si>
  <si>
    <t>SOXX*</t>
  </si>
  <si>
    <t>SOXX/SMH</t>
  </si>
  <si>
    <t>SOXX/SMH avg</t>
  </si>
  <si>
    <t>SOXX/SMH 10 dma</t>
  </si>
  <si>
    <t>SOXX/SMH 20 dma</t>
  </si>
  <si>
    <t>SMH x avg</t>
  </si>
  <si>
    <t>SMH x 10 dma</t>
  </si>
  <si>
    <t>SMH x 20 dma</t>
  </si>
  <si>
    <t>log diff SMH x avg / SOXX</t>
  </si>
  <si>
    <t>log diff SMH x 10 dma / SOXX</t>
  </si>
  <si>
    <t>log diff SMH x 20 dma / SOXX</t>
  </si>
  <si>
    <t>SOXX*/SMH*</t>
  </si>
  <si>
    <t>SOXX*/SMH* avg</t>
  </si>
  <si>
    <t>SOXX*/SMH* 10 dma</t>
  </si>
  <si>
    <t>SOXX*/SMH* 20 dma</t>
  </si>
  <si>
    <t>SMH* x avg</t>
  </si>
  <si>
    <t>SMH* x 10 dma</t>
  </si>
  <si>
    <t>SMH* x 20 dma</t>
  </si>
  <si>
    <t>log diff SMH* x avg / SOXX*</t>
  </si>
  <si>
    <t>log diff SMH* x 10 dma / SOXX*</t>
  </si>
  <si>
    <t>log diff SMH* x 20 dma / SOXX*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</si>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</sst>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43" fontId="0" fillId="0" borderId="10" xfId="1" applyFont="1" applyBorder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B48-4A91-AA87-877DD6B2E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SMH_SOXX_2!$BY$22:$BY$167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4.1191546077121999E-3</c:v>
                </c:pt>
                <c:pt idx="58">
                  <c:v>1.7264272355467399E-2</c:v>
                </c:pt>
                <c:pt idx="59">
                  <c:v>2.4445145548599102E-2</c:v>
                </c:pt>
                <c:pt idx="60">
                  <c:v>2.4445145548599102E-2</c:v>
                </c:pt>
                <c:pt idx="61">
                  <c:v>2.4445145548599102E-2</c:v>
                </c:pt>
                <c:pt idx="62">
                  <c:v>2.4445145548599102E-2</c:v>
                </c:pt>
                <c:pt idx="63">
                  <c:v>2.4445145548599102E-2</c:v>
                </c:pt>
                <c:pt idx="64">
                  <c:v>2.4445145548599102E-2</c:v>
                </c:pt>
                <c:pt idx="65">
                  <c:v>2.4445145548599102E-2</c:v>
                </c:pt>
                <c:pt idx="66">
                  <c:v>2.4445145548599102E-2</c:v>
                </c:pt>
                <c:pt idx="67">
                  <c:v>2.4445145548599102E-2</c:v>
                </c:pt>
                <c:pt idx="68">
                  <c:v>2.4445145548599102E-2</c:v>
                </c:pt>
                <c:pt idx="69">
                  <c:v>2.4445145548599102E-2</c:v>
                </c:pt>
                <c:pt idx="70">
                  <c:v>2.4445145548599102E-2</c:v>
                </c:pt>
                <c:pt idx="71">
                  <c:v>2.4445145548599102E-2</c:v>
                </c:pt>
                <c:pt idx="72">
                  <c:v>2.4445145548599102E-2</c:v>
                </c:pt>
                <c:pt idx="73">
                  <c:v>2.4445145548599102E-2</c:v>
                </c:pt>
                <c:pt idx="74">
                  <c:v>2.4445145548599102E-2</c:v>
                </c:pt>
                <c:pt idx="75">
                  <c:v>2.4445145548599102E-2</c:v>
                </c:pt>
                <c:pt idx="76">
                  <c:v>2.4445145548599102E-2</c:v>
                </c:pt>
                <c:pt idx="77">
                  <c:v>2.4445145548599102E-2</c:v>
                </c:pt>
                <c:pt idx="78">
                  <c:v>2.4445145548599102E-2</c:v>
                </c:pt>
                <c:pt idx="79">
                  <c:v>2.4445145548599102E-2</c:v>
                </c:pt>
                <c:pt idx="80">
                  <c:v>2.4445145548599102E-2</c:v>
                </c:pt>
                <c:pt idx="81">
                  <c:v>2.4445145548599102E-2</c:v>
                </c:pt>
                <c:pt idx="82">
                  <c:v>2.4445145548599102E-2</c:v>
                </c:pt>
                <c:pt idx="83">
                  <c:v>2.4445145548599102E-2</c:v>
                </c:pt>
                <c:pt idx="84">
                  <c:v>2.4445145548599102E-2</c:v>
                </c:pt>
                <c:pt idx="85">
                  <c:v>2.9329697022322004E-2</c:v>
                </c:pt>
                <c:pt idx="86">
                  <c:v>4.2940192671964209E-2</c:v>
                </c:pt>
                <c:pt idx="87">
                  <c:v>3.4672248686029104E-2</c:v>
                </c:pt>
                <c:pt idx="88">
                  <c:v>3.9072970883546103E-2</c:v>
                </c:pt>
                <c:pt idx="89">
                  <c:v>4.1861007866058404E-2</c:v>
                </c:pt>
                <c:pt idx="90">
                  <c:v>4.1861007866058404E-2</c:v>
                </c:pt>
                <c:pt idx="91">
                  <c:v>4.1861007866058404E-2</c:v>
                </c:pt>
                <c:pt idx="92">
                  <c:v>4.1861007866058404E-2</c:v>
                </c:pt>
                <c:pt idx="93">
                  <c:v>4.1861007866058404E-2</c:v>
                </c:pt>
                <c:pt idx="94">
                  <c:v>4.1861007866058404E-2</c:v>
                </c:pt>
                <c:pt idx="95">
                  <c:v>4.1861007866058404E-2</c:v>
                </c:pt>
                <c:pt idx="96">
                  <c:v>4.1861007866058404E-2</c:v>
                </c:pt>
                <c:pt idx="97">
                  <c:v>4.1861007866058404E-2</c:v>
                </c:pt>
                <c:pt idx="98">
                  <c:v>4.1861007866058404E-2</c:v>
                </c:pt>
                <c:pt idx="99">
                  <c:v>4.1861007866058404E-2</c:v>
                </c:pt>
                <c:pt idx="100">
                  <c:v>4.1861007866058404E-2</c:v>
                </c:pt>
                <c:pt idx="101">
                  <c:v>4.1861007866058404E-2</c:v>
                </c:pt>
                <c:pt idx="102">
                  <c:v>4.1861007866058404E-2</c:v>
                </c:pt>
                <c:pt idx="103">
                  <c:v>4.1861007866058404E-2</c:v>
                </c:pt>
                <c:pt idx="104">
                  <c:v>4.1861007866058404E-2</c:v>
                </c:pt>
                <c:pt idx="105">
                  <c:v>4.1861007866058404E-2</c:v>
                </c:pt>
                <c:pt idx="106">
                  <c:v>4.1861007866058404E-2</c:v>
                </c:pt>
                <c:pt idx="107">
                  <c:v>4.1861007866058404E-2</c:v>
                </c:pt>
                <c:pt idx="108">
                  <c:v>4.1861007866058404E-2</c:v>
                </c:pt>
                <c:pt idx="109">
                  <c:v>4.1861007866058404E-2</c:v>
                </c:pt>
                <c:pt idx="110">
                  <c:v>4.1861007866058404E-2</c:v>
                </c:pt>
                <c:pt idx="111">
                  <c:v>4.1861007866058404E-2</c:v>
                </c:pt>
                <c:pt idx="112">
                  <c:v>4.1861007866058404E-2</c:v>
                </c:pt>
                <c:pt idx="113">
                  <c:v>4.1861007866058404E-2</c:v>
                </c:pt>
                <c:pt idx="114">
                  <c:v>4.7363335845465301E-2</c:v>
                </c:pt>
                <c:pt idx="115">
                  <c:v>4.7694388309822693E-2</c:v>
                </c:pt>
                <c:pt idx="116">
                  <c:v>5.6540182443744792E-2</c:v>
                </c:pt>
                <c:pt idx="117">
                  <c:v>5.6814002449047621E-2</c:v>
                </c:pt>
                <c:pt idx="118">
                  <c:v>5.6814002449047621E-2</c:v>
                </c:pt>
                <c:pt idx="119">
                  <c:v>5.6814002449047621E-2</c:v>
                </c:pt>
                <c:pt idx="120">
                  <c:v>5.6814002449047621E-2</c:v>
                </c:pt>
                <c:pt idx="121">
                  <c:v>5.6814002449047621E-2</c:v>
                </c:pt>
                <c:pt idx="122">
                  <c:v>5.6814002449047621E-2</c:v>
                </c:pt>
                <c:pt idx="123">
                  <c:v>7.1886555530594212E-2</c:v>
                </c:pt>
                <c:pt idx="124">
                  <c:v>7.1886555530594212E-2</c:v>
                </c:pt>
                <c:pt idx="125">
                  <c:v>7.1886555530594212E-2</c:v>
                </c:pt>
                <c:pt idx="126">
                  <c:v>7.1886555530594212E-2</c:v>
                </c:pt>
                <c:pt idx="127">
                  <c:v>7.1886555530594212E-2</c:v>
                </c:pt>
                <c:pt idx="128">
                  <c:v>7.1886555530594212E-2</c:v>
                </c:pt>
                <c:pt idx="129">
                  <c:v>7.1886555530594212E-2</c:v>
                </c:pt>
                <c:pt idx="130">
                  <c:v>7.1886555530594212E-2</c:v>
                </c:pt>
                <c:pt idx="131">
                  <c:v>7.1886555530594212E-2</c:v>
                </c:pt>
                <c:pt idx="132">
                  <c:v>7.1886555530594212E-2</c:v>
                </c:pt>
                <c:pt idx="133">
                  <c:v>7.1886555530594212E-2</c:v>
                </c:pt>
                <c:pt idx="134">
                  <c:v>7.1886555530594212E-2</c:v>
                </c:pt>
                <c:pt idx="135">
                  <c:v>7.1886555530594212E-2</c:v>
                </c:pt>
                <c:pt idx="136">
                  <c:v>7.1886555530594212E-2</c:v>
                </c:pt>
                <c:pt idx="137">
                  <c:v>7.1886555530594212E-2</c:v>
                </c:pt>
                <c:pt idx="138">
                  <c:v>7.1886555530594212E-2</c:v>
                </c:pt>
                <c:pt idx="139">
                  <c:v>7.1886555530594212E-2</c:v>
                </c:pt>
                <c:pt idx="140">
                  <c:v>7.1886555530594212E-2</c:v>
                </c:pt>
                <c:pt idx="141">
                  <c:v>7.1886555530594212E-2</c:v>
                </c:pt>
                <c:pt idx="142">
                  <c:v>7.1886555530594212E-2</c:v>
                </c:pt>
                <c:pt idx="143">
                  <c:v>7.1886555530594212E-2</c:v>
                </c:pt>
                <c:pt idx="144">
                  <c:v>7.1886555530594212E-2</c:v>
                </c:pt>
                <c:pt idx="145">
                  <c:v>7.1886555530594212E-2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E-4926-ABB5-41CFFAC94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SMH_SOXX_2!$BJ$22:$BJ$167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4.1191546077121999E-3</c:v>
                </c:pt>
                <c:pt idx="58">
                  <c:v>1.7264272355467399E-2</c:v>
                </c:pt>
                <c:pt idx="59">
                  <c:v>2.4445145548599102E-2</c:v>
                </c:pt>
                <c:pt idx="60">
                  <c:v>2.4445145548599102E-2</c:v>
                </c:pt>
                <c:pt idx="61">
                  <c:v>2.4445145548599102E-2</c:v>
                </c:pt>
                <c:pt idx="62">
                  <c:v>2.4445145548599102E-2</c:v>
                </c:pt>
                <c:pt idx="63">
                  <c:v>2.4445145548599102E-2</c:v>
                </c:pt>
                <c:pt idx="64">
                  <c:v>2.4445145548599102E-2</c:v>
                </c:pt>
                <c:pt idx="65">
                  <c:v>2.4445145548599102E-2</c:v>
                </c:pt>
                <c:pt idx="66">
                  <c:v>2.4445145548599102E-2</c:v>
                </c:pt>
                <c:pt idx="67">
                  <c:v>2.4445145548599102E-2</c:v>
                </c:pt>
                <c:pt idx="68">
                  <c:v>2.4445145548599102E-2</c:v>
                </c:pt>
                <c:pt idx="69">
                  <c:v>2.4445145548599102E-2</c:v>
                </c:pt>
                <c:pt idx="70">
                  <c:v>2.4445145548599102E-2</c:v>
                </c:pt>
                <c:pt idx="71">
                  <c:v>2.4445145548599102E-2</c:v>
                </c:pt>
                <c:pt idx="72">
                  <c:v>2.4445145548599102E-2</c:v>
                </c:pt>
                <c:pt idx="73">
                  <c:v>2.4445145548599102E-2</c:v>
                </c:pt>
                <c:pt idx="74">
                  <c:v>2.4445145548599102E-2</c:v>
                </c:pt>
                <c:pt idx="75">
                  <c:v>2.4445145548599102E-2</c:v>
                </c:pt>
                <c:pt idx="76">
                  <c:v>2.4445145548599102E-2</c:v>
                </c:pt>
                <c:pt idx="77">
                  <c:v>2.4445145548599102E-2</c:v>
                </c:pt>
                <c:pt idx="78">
                  <c:v>2.4445145548599102E-2</c:v>
                </c:pt>
                <c:pt idx="79">
                  <c:v>2.4445145548599102E-2</c:v>
                </c:pt>
                <c:pt idx="80">
                  <c:v>2.4445145548599102E-2</c:v>
                </c:pt>
                <c:pt idx="81">
                  <c:v>2.4445145548599102E-2</c:v>
                </c:pt>
                <c:pt idx="82">
                  <c:v>2.4445145548599102E-2</c:v>
                </c:pt>
                <c:pt idx="83">
                  <c:v>2.4445145548599102E-2</c:v>
                </c:pt>
                <c:pt idx="84">
                  <c:v>2.4445145548599102E-2</c:v>
                </c:pt>
                <c:pt idx="85">
                  <c:v>2.9329697022322004E-2</c:v>
                </c:pt>
                <c:pt idx="86">
                  <c:v>4.2940192671964209E-2</c:v>
                </c:pt>
                <c:pt idx="87">
                  <c:v>3.4672248686029104E-2</c:v>
                </c:pt>
                <c:pt idx="88">
                  <c:v>3.9072970883546103E-2</c:v>
                </c:pt>
                <c:pt idx="89">
                  <c:v>4.1861007866058404E-2</c:v>
                </c:pt>
                <c:pt idx="90">
                  <c:v>4.1861007866058404E-2</c:v>
                </c:pt>
                <c:pt idx="91">
                  <c:v>4.1861007866058404E-2</c:v>
                </c:pt>
                <c:pt idx="92">
                  <c:v>4.1861007866058404E-2</c:v>
                </c:pt>
                <c:pt idx="93">
                  <c:v>4.1861007866058404E-2</c:v>
                </c:pt>
                <c:pt idx="94">
                  <c:v>4.1861007866058404E-2</c:v>
                </c:pt>
                <c:pt idx="95">
                  <c:v>4.1861007866058404E-2</c:v>
                </c:pt>
                <c:pt idx="96">
                  <c:v>4.1861007866058404E-2</c:v>
                </c:pt>
                <c:pt idx="97">
                  <c:v>4.1861007866058404E-2</c:v>
                </c:pt>
                <c:pt idx="98">
                  <c:v>4.1861007866058404E-2</c:v>
                </c:pt>
                <c:pt idx="99">
                  <c:v>4.1861007866058404E-2</c:v>
                </c:pt>
                <c:pt idx="100">
                  <c:v>4.1861007866058404E-2</c:v>
                </c:pt>
                <c:pt idx="101">
                  <c:v>4.1861007866058404E-2</c:v>
                </c:pt>
                <c:pt idx="102">
                  <c:v>4.1861007866058404E-2</c:v>
                </c:pt>
                <c:pt idx="103">
                  <c:v>4.1861007866058404E-2</c:v>
                </c:pt>
                <c:pt idx="104">
                  <c:v>4.1861007866058404E-2</c:v>
                </c:pt>
                <c:pt idx="105">
                  <c:v>4.1861007866058404E-2</c:v>
                </c:pt>
                <c:pt idx="106">
                  <c:v>4.1861007866058404E-2</c:v>
                </c:pt>
                <c:pt idx="107">
                  <c:v>4.1861007866058404E-2</c:v>
                </c:pt>
                <c:pt idx="108">
                  <c:v>4.1861007866058404E-2</c:v>
                </c:pt>
                <c:pt idx="109">
                  <c:v>4.1861007866058404E-2</c:v>
                </c:pt>
                <c:pt idx="110">
                  <c:v>4.1861007866058404E-2</c:v>
                </c:pt>
                <c:pt idx="111">
                  <c:v>4.1861007866058404E-2</c:v>
                </c:pt>
                <c:pt idx="112">
                  <c:v>4.1861007866058404E-2</c:v>
                </c:pt>
                <c:pt idx="113">
                  <c:v>4.1861007866058404E-2</c:v>
                </c:pt>
                <c:pt idx="114">
                  <c:v>4.1861007866058404E-2</c:v>
                </c:pt>
                <c:pt idx="115">
                  <c:v>4.1861007866058404E-2</c:v>
                </c:pt>
                <c:pt idx="116">
                  <c:v>4.1861007866058404E-2</c:v>
                </c:pt>
                <c:pt idx="117">
                  <c:v>4.1861007866058404E-2</c:v>
                </c:pt>
                <c:pt idx="118">
                  <c:v>4.1861007866058404E-2</c:v>
                </c:pt>
                <c:pt idx="119">
                  <c:v>4.1861007866058404E-2</c:v>
                </c:pt>
                <c:pt idx="120">
                  <c:v>4.1861007866058404E-2</c:v>
                </c:pt>
                <c:pt idx="121">
                  <c:v>4.1861007866058404E-2</c:v>
                </c:pt>
                <c:pt idx="122">
                  <c:v>4.1861007866058404E-2</c:v>
                </c:pt>
                <c:pt idx="123">
                  <c:v>4.1861007866058404E-2</c:v>
                </c:pt>
                <c:pt idx="124">
                  <c:v>4.1861007866058404E-2</c:v>
                </c:pt>
                <c:pt idx="125">
                  <c:v>4.1861007866058404E-2</c:v>
                </c:pt>
                <c:pt idx="126">
                  <c:v>4.1861007866058404E-2</c:v>
                </c:pt>
                <c:pt idx="127">
                  <c:v>4.1861007866058404E-2</c:v>
                </c:pt>
                <c:pt idx="128">
                  <c:v>4.1861007866058404E-2</c:v>
                </c:pt>
                <c:pt idx="129">
                  <c:v>4.1861007866058404E-2</c:v>
                </c:pt>
                <c:pt idx="130">
                  <c:v>4.1861007866058404E-2</c:v>
                </c:pt>
                <c:pt idx="131">
                  <c:v>4.1861007866058404E-2</c:v>
                </c:pt>
                <c:pt idx="132">
                  <c:v>4.1861007866058404E-2</c:v>
                </c:pt>
                <c:pt idx="133">
                  <c:v>4.1861007866058404E-2</c:v>
                </c:pt>
                <c:pt idx="134">
                  <c:v>4.1861007866058404E-2</c:v>
                </c:pt>
                <c:pt idx="135">
                  <c:v>4.1861007866058404E-2</c:v>
                </c:pt>
                <c:pt idx="136">
                  <c:v>4.1861007866058404E-2</c:v>
                </c:pt>
                <c:pt idx="137">
                  <c:v>4.1861007866058404E-2</c:v>
                </c:pt>
                <c:pt idx="138">
                  <c:v>4.1861007866058404E-2</c:v>
                </c:pt>
                <c:pt idx="139">
                  <c:v>4.1861007866058404E-2</c:v>
                </c:pt>
                <c:pt idx="140">
                  <c:v>4.1861007866058404E-2</c:v>
                </c:pt>
                <c:pt idx="141">
                  <c:v>4.1861007866058404E-2</c:v>
                </c:pt>
                <c:pt idx="142">
                  <c:v>4.1861007866058404E-2</c:v>
                </c:pt>
                <c:pt idx="143">
                  <c:v>4.1861007866058404E-2</c:v>
                </c:pt>
                <c:pt idx="144">
                  <c:v>4.1861007866058404E-2</c:v>
                </c:pt>
                <c:pt idx="145">
                  <c:v>4.1861007866058404E-2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E-41F7-B84F-809DCFA86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SMH_SOXX_2!$BV$22:$BV$167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5.5023279794069006E-3</c:v>
                </c:pt>
                <c:pt idx="115">
                  <c:v>5.8333804437642909E-3</c:v>
                </c:pt>
                <c:pt idx="116">
                  <c:v>1.4679174577686391E-2</c:v>
                </c:pt>
                <c:pt idx="117">
                  <c:v>1.4952994582989222E-2</c:v>
                </c:pt>
                <c:pt idx="118">
                  <c:v>1.4952994582989222E-2</c:v>
                </c:pt>
                <c:pt idx="119">
                  <c:v>1.4952994582989222E-2</c:v>
                </c:pt>
                <c:pt idx="120">
                  <c:v>1.4952994582989222E-2</c:v>
                </c:pt>
                <c:pt idx="121">
                  <c:v>1.4952994582989222E-2</c:v>
                </c:pt>
                <c:pt idx="122">
                  <c:v>1.4952994582989222E-2</c:v>
                </c:pt>
                <c:pt idx="123">
                  <c:v>3.0025547664535815E-2</c:v>
                </c:pt>
                <c:pt idx="124">
                  <c:v>3.0025547664535815E-2</c:v>
                </c:pt>
                <c:pt idx="125">
                  <c:v>3.0025547664535815E-2</c:v>
                </c:pt>
                <c:pt idx="126">
                  <c:v>3.0025547664535815E-2</c:v>
                </c:pt>
                <c:pt idx="127">
                  <c:v>3.0025547664535815E-2</c:v>
                </c:pt>
                <c:pt idx="128">
                  <c:v>3.0025547664535815E-2</c:v>
                </c:pt>
                <c:pt idx="129">
                  <c:v>3.0025547664535815E-2</c:v>
                </c:pt>
                <c:pt idx="130">
                  <c:v>3.0025547664535815E-2</c:v>
                </c:pt>
                <c:pt idx="131">
                  <c:v>3.0025547664535815E-2</c:v>
                </c:pt>
                <c:pt idx="132">
                  <c:v>3.0025547664535815E-2</c:v>
                </c:pt>
                <c:pt idx="133">
                  <c:v>3.0025547664535815E-2</c:v>
                </c:pt>
                <c:pt idx="134">
                  <c:v>3.0025547664535815E-2</c:v>
                </c:pt>
                <c:pt idx="135">
                  <c:v>3.0025547664535815E-2</c:v>
                </c:pt>
                <c:pt idx="136">
                  <c:v>3.0025547664535815E-2</c:v>
                </c:pt>
                <c:pt idx="137">
                  <c:v>3.0025547664535815E-2</c:v>
                </c:pt>
                <c:pt idx="138">
                  <c:v>3.0025547664535815E-2</c:v>
                </c:pt>
                <c:pt idx="139">
                  <c:v>3.0025547664535815E-2</c:v>
                </c:pt>
                <c:pt idx="140">
                  <c:v>3.0025547664535815E-2</c:v>
                </c:pt>
                <c:pt idx="141">
                  <c:v>3.0025547664535815E-2</c:v>
                </c:pt>
                <c:pt idx="142">
                  <c:v>3.0025547664535815E-2</c:v>
                </c:pt>
                <c:pt idx="143">
                  <c:v>3.0025547664535815E-2</c:v>
                </c:pt>
                <c:pt idx="144">
                  <c:v>3.0025547664535815E-2</c:v>
                </c:pt>
                <c:pt idx="145">
                  <c:v>3.0025547664535815E-2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7-4970-8342-F6C6C22C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SMH_SOXX_2!$O$1</c:f>
              <c:strCache>
                <c:ptCount val="1"/>
                <c:pt idx="0">
                  <c:v> SOXX/SMH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SMH_SOXX_2!$O$2:$O$167</c:f>
              <c:numCache>
                <c:formatCode>_(* #,##0.0000_);_(* \(#,##0.0000\);_(* "-"??_);_(@_)</c:formatCode>
                <c:ptCount val="166"/>
                <c:pt idx="0">
                  <c:v>0.90525826694812095</c:v>
                </c:pt>
                <c:pt idx="1">
                  <c:v>0.90525826694812095</c:v>
                </c:pt>
                <c:pt idx="2">
                  <c:v>0.90525826694812095</c:v>
                </c:pt>
                <c:pt idx="3">
                  <c:v>0.90525826694812095</c:v>
                </c:pt>
                <c:pt idx="4">
                  <c:v>0.90525826694812095</c:v>
                </c:pt>
                <c:pt idx="5">
                  <c:v>0.90525826694812095</c:v>
                </c:pt>
                <c:pt idx="6">
                  <c:v>0.90525826694812095</c:v>
                </c:pt>
                <c:pt idx="7">
                  <c:v>0.90525826694812095</c:v>
                </c:pt>
                <c:pt idx="8">
                  <c:v>0.90525826694812095</c:v>
                </c:pt>
                <c:pt idx="9">
                  <c:v>0.90525826694812095</c:v>
                </c:pt>
                <c:pt idx="10">
                  <c:v>0.90525826694812095</c:v>
                </c:pt>
                <c:pt idx="11">
                  <c:v>0.90525826694812095</c:v>
                </c:pt>
                <c:pt idx="12">
                  <c:v>0.90525826694812095</c:v>
                </c:pt>
                <c:pt idx="13">
                  <c:v>0.90525826694812095</c:v>
                </c:pt>
                <c:pt idx="14">
                  <c:v>0.90525826694812095</c:v>
                </c:pt>
                <c:pt idx="15">
                  <c:v>0.90525826694812095</c:v>
                </c:pt>
                <c:pt idx="16">
                  <c:v>0.90525826694812095</c:v>
                </c:pt>
                <c:pt idx="17">
                  <c:v>0.90525826694812095</c:v>
                </c:pt>
                <c:pt idx="18">
                  <c:v>0.90525826694812095</c:v>
                </c:pt>
                <c:pt idx="19">
                  <c:v>0.90525826694812095</c:v>
                </c:pt>
                <c:pt idx="20">
                  <c:v>0.90525826694812095</c:v>
                </c:pt>
                <c:pt idx="21">
                  <c:v>0.90525826694812095</c:v>
                </c:pt>
                <c:pt idx="22">
                  <c:v>0.90525826694812095</c:v>
                </c:pt>
                <c:pt idx="23">
                  <c:v>0.90525826694812095</c:v>
                </c:pt>
                <c:pt idx="24">
                  <c:v>0.90525826694812095</c:v>
                </c:pt>
                <c:pt idx="25">
                  <c:v>0.90525826694812095</c:v>
                </c:pt>
                <c:pt idx="26">
                  <c:v>0.90525826694812095</c:v>
                </c:pt>
                <c:pt idx="27">
                  <c:v>0.90525826694812095</c:v>
                </c:pt>
                <c:pt idx="28">
                  <c:v>0.90525826694812095</c:v>
                </c:pt>
                <c:pt idx="29">
                  <c:v>0.90525826694812095</c:v>
                </c:pt>
                <c:pt idx="30">
                  <c:v>0.90525826694812095</c:v>
                </c:pt>
                <c:pt idx="31">
                  <c:v>0.90525826694812095</c:v>
                </c:pt>
                <c:pt idx="32">
                  <c:v>0.90525826694812095</c:v>
                </c:pt>
                <c:pt idx="33">
                  <c:v>0.90525826694812095</c:v>
                </c:pt>
                <c:pt idx="34">
                  <c:v>0.90525826694812095</c:v>
                </c:pt>
                <c:pt idx="35">
                  <c:v>0.90525826694812095</c:v>
                </c:pt>
                <c:pt idx="36">
                  <c:v>0.90525826694812095</c:v>
                </c:pt>
                <c:pt idx="37">
                  <c:v>0.90525826694812095</c:v>
                </c:pt>
                <c:pt idx="38">
                  <c:v>0.90525826694812095</c:v>
                </c:pt>
                <c:pt idx="39">
                  <c:v>0.90525826694812095</c:v>
                </c:pt>
                <c:pt idx="40">
                  <c:v>0.90525826694812095</c:v>
                </c:pt>
                <c:pt idx="41">
                  <c:v>0.90525826694812095</c:v>
                </c:pt>
                <c:pt idx="42">
                  <c:v>0.90525826694812095</c:v>
                </c:pt>
                <c:pt idx="43">
                  <c:v>0.90525826694812095</c:v>
                </c:pt>
                <c:pt idx="44">
                  <c:v>0.90525826694812095</c:v>
                </c:pt>
                <c:pt idx="45">
                  <c:v>0.90525826694812095</c:v>
                </c:pt>
                <c:pt idx="46">
                  <c:v>0.90525826694812095</c:v>
                </c:pt>
                <c:pt idx="47">
                  <c:v>0.90525826694812095</c:v>
                </c:pt>
                <c:pt idx="48">
                  <c:v>0.90525826694812095</c:v>
                </c:pt>
                <c:pt idx="49">
                  <c:v>0.90525826694812095</c:v>
                </c:pt>
                <c:pt idx="50">
                  <c:v>0.90525826694812095</c:v>
                </c:pt>
                <c:pt idx="51">
                  <c:v>0.90525826694812095</c:v>
                </c:pt>
                <c:pt idx="52">
                  <c:v>0.90525826694812095</c:v>
                </c:pt>
                <c:pt idx="53">
                  <c:v>0.90525826694812095</c:v>
                </c:pt>
                <c:pt idx="54">
                  <c:v>0.90525826694812095</c:v>
                </c:pt>
                <c:pt idx="55">
                  <c:v>0.90525826694812095</c:v>
                </c:pt>
                <c:pt idx="56">
                  <c:v>0.90525826694812095</c:v>
                </c:pt>
                <c:pt idx="57">
                  <c:v>0.90525826694812095</c:v>
                </c:pt>
                <c:pt idx="58">
                  <c:v>0.90525826694812095</c:v>
                </c:pt>
                <c:pt idx="59">
                  <c:v>0.90525826694812095</c:v>
                </c:pt>
                <c:pt idx="60">
                  <c:v>0.90525826694812095</c:v>
                </c:pt>
                <c:pt idx="61">
                  <c:v>0.90525826694812095</c:v>
                </c:pt>
                <c:pt idx="62">
                  <c:v>0.90525826694812095</c:v>
                </c:pt>
                <c:pt idx="63">
                  <c:v>0.90525826694812095</c:v>
                </c:pt>
                <c:pt idx="64">
                  <c:v>0.90525826694812095</c:v>
                </c:pt>
                <c:pt idx="65">
                  <c:v>0.90525826694812095</c:v>
                </c:pt>
                <c:pt idx="66">
                  <c:v>0.90525826694812095</c:v>
                </c:pt>
                <c:pt idx="67">
                  <c:v>0.90525826694812095</c:v>
                </c:pt>
                <c:pt idx="68">
                  <c:v>0.90525826694812095</c:v>
                </c:pt>
                <c:pt idx="69">
                  <c:v>0.90525826694812095</c:v>
                </c:pt>
                <c:pt idx="70">
                  <c:v>0.90525826694812095</c:v>
                </c:pt>
                <c:pt idx="71">
                  <c:v>0.90525826694812095</c:v>
                </c:pt>
                <c:pt idx="72">
                  <c:v>0.90525826694812095</c:v>
                </c:pt>
                <c:pt idx="73">
                  <c:v>0.90525826694812095</c:v>
                </c:pt>
                <c:pt idx="74">
                  <c:v>0.90525826694812095</c:v>
                </c:pt>
                <c:pt idx="75">
                  <c:v>0.90525826694812095</c:v>
                </c:pt>
                <c:pt idx="76">
                  <c:v>0.90525826694812095</c:v>
                </c:pt>
                <c:pt idx="77">
                  <c:v>0.90525826694812095</c:v>
                </c:pt>
                <c:pt idx="78">
                  <c:v>0.90525826694812095</c:v>
                </c:pt>
                <c:pt idx="79">
                  <c:v>0.90525826694812095</c:v>
                </c:pt>
                <c:pt idx="80">
                  <c:v>0.90525826694812095</c:v>
                </c:pt>
                <c:pt idx="81">
                  <c:v>0.90525826694812095</c:v>
                </c:pt>
                <c:pt idx="82">
                  <c:v>0.90525826694812095</c:v>
                </c:pt>
                <c:pt idx="83">
                  <c:v>0.90525826694812095</c:v>
                </c:pt>
                <c:pt idx="84">
                  <c:v>0.90525826694812095</c:v>
                </c:pt>
                <c:pt idx="85">
                  <c:v>0.90525826694812095</c:v>
                </c:pt>
                <c:pt idx="86">
                  <c:v>0.90525826694812095</c:v>
                </c:pt>
                <c:pt idx="87">
                  <c:v>0.90525826694812095</c:v>
                </c:pt>
                <c:pt idx="88">
                  <c:v>0.90525826694812095</c:v>
                </c:pt>
                <c:pt idx="89">
                  <c:v>0.90525826694812095</c:v>
                </c:pt>
                <c:pt idx="90">
                  <c:v>0.90525826694812095</c:v>
                </c:pt>
                <c:pt idx="91">
                  <c:v>0.90525826694812095</c:v>
                </c:pt>
                <c:pt idx="92">
                  <c:v>0.90525826694812095</c:v>
                </c:pt>
                <c:pt idx="93">
                  <c:v>0.90525826694812095</c:v>
                </c:pt>
                <c:pt idx="94">
                  <c:v>0.90525826694812095</c:v>
                </c:pt>
                <c:pt idx="95">
                  <c:v>0.90525826694812095</c:v>
                </c:pt>
                <c:pt idx="96">
                  <c:v>0.90525826694812095</c:v>
                </c:pt>
                <c:pt idx="97">
                  <c:v>0.90525826694812095</c:v>
                </c:pt>
                <c:pt idx="98">
                  <c:v>0.90525826694812095</c:v>
                </c:pt>
                <c:pt idx="99">
                  <c:v>0.90525826694812095</c:v>
                </c:pt>
                <c:pt idx="100">
                  <c:v>0.90525826694812095</c:v>
                </c:pt>
                <c:pt idx="101">
                  <c:v>0.90525826694812095</c:v>
                </c:pt>
                <c:pt idx="102">
                  <c:v>0.90525826694812095</c:v>
                </c:pt>
                <c:pt idx="103">
                  <c:v>0.90525826694812095</c:v>
                </c:pt>
                <c:pt idx="104">
                  <c:v>0.90525826694812095</c:v>
                </c:pt>
                <c:pt idx="105">
                  <c:v>0.90525826694812095</c:v>
                </c:pt>
                <c:pt idx="106">
                  <c:v>0.90525826694812095</c:v>
                </c:pt>
                <c:pt idx="107">
                  <c:v>0.90525826694812095</c:v>
                </c:pt>
                <c:pt idx="108">
                  <c:v>0.90525826694812095</c:v>
                </c:pt>
                <c:pt idx="109">
                  <c:v>0.90525826694812095</c:v>
                </c:pt>
                <c:pt idx="110">
                  <c:v>0.90525826694812095</c:v>
                </c:pt>
                <c:pt idx="111">
                  <c:v>0.90525826694812095</c:v>
                </c:pt>
                <c:pt idx="112">
                  <c:v>0.90525826694812095</c:v>
                </c:pt>
                <c:pt idx="113">
                  <c:v>0.90525826694812095</c:v>
                </c:pt>
                <c:pt idx="114">
                  <c:v>0.90525826694812095</c:v>
                </c:pt>
                <c:pt idx="115">
                  <c:v>0.90525826694812095</c:v>
                </c:pt>
                <c:pt idx="116">
                  <c:v>0.90525826694812095</c:v>
                </c:pt>
                <c:pt idx="117">
                  <c:v>0.90525826694812095</c:v>
                </c:pt>
                <c:pt idx="118">
                  <c:v>0.90525826694812095</c:v>
                </c:pt>
                <c:pt idx="119">
                  <c:v>0.90525826694812095</c:v>
                </c:pt>
                <c:pt idx="120">
                  <c:v>0.90525826694812095</c:v>
                </c:pt>
                <c:pt idx="121">
                  <c:v>0.90525826694812095</c:v>
                </c:pt>
                <c:pt idx="122">
                  <c:v>0.90525826694812095</c:v>
                </c:pt>
                <c:pt idx="123">
                  <c:v>0.90525826694812095</c:v>
                </c:pt>
                <c:pt idx="124">
                  <c:v>0.90525826694812095</c:v>
                </c:pt>
                <c:pt idx="125">
                  <c:v>0.90525826694812095</c:v>
                </c:pt>
                <c:pt idx="126">
                  <c:v>0.90525826694812095</c:v>
                </c:pt>
                <c:pt idx="127">
                  <c:v>0.90525826694812095</c:v>
                </c:pt>
                <c:pt idx="128">
                  <c:v>0.90525826694812095</c:v>
                </c:pt>
                <c:pt idx="129">
                  <c:v>0.90525826694812095</c:v>
                </c:pt>
                <c:pt idx="130">
                  <c:v>0.90525826694812095</c:v>
                </c:pt>
                <c:pt idx="131">
                  <c:v>0.90525826694812095</c:v>
                </c:pt>
                <c:pt idx="132">
                  <c:v>0.90525826694812095</c:v>
                </c:pt>
                <c:pt idx="133">
                  <c:v>0.90525826694812095</c:v>
                </c:pt>
                <c:pt idx="134">
                  <c:v>0.90525826694812095</c:v>
                </c:pt>
                <c:pt idx="135">
                  <c:v>0.90525826694812095</c:v>
                </c:pt>
                <c:pt idx="136">
                  <c:v>0.90525826694812095</c:v>
                </c:pt>
                <c:pt idx="137">
                  <c:v>0.90525826694812095</c:v>
                </c:pt>
                <c:pt idx="138">
                  <c:v>0.90525826694812095</c:v>
                </c:pt>
                <c:pt idx="139">
                  <c:v>0.90525826694812095</c:v>
                </c:pt>
                <c:pt idx="140">
                  <c:v>0.90525826694812095</c:v>
                </c:pt>
                <c:pt idx="141">
                  <c:v>0.90525826694812095</c:v>
                </c:pt>
                <c:pt idx="142">
                  <c:v>0.90525826694812095</c:v>
                </c:pt>
                <c:pt idx="143">
                  <c:v>0.90525826694812095</c:v>
                </c:pt>
                <c:pt idx="144">
                  <c:v>0.90525826694812095</c:v>
                </c:pt>
                <c:pt idx="145">
                  <c:v>0.90525826694812095</c:v>
                </c:pt>
                <c:pt idx="146">
                  <c:v>0.90525826694812095</c:v>
                </c:pt>
                <c:pt idx="147">
                  <c:v>0.90525826694812095</c:v>
                </c:pt>
                <c:pt idx="148">
                  <c:v>0.90525826694812095</c:v>
                </c:pt>
                <c:pt idx="149">
                  <c:v>0.90525826694812095</c:v>
                </c:pt>
                <c:pt idx="150">
                  <c:v>0.90525826694812095</c:v>
                </c:pt>
                <c:pt idx="151">
                  <c:v>0.90525826694812095</c:v>
                </c:pt>
                <c:pt idx="152">
                  <c:v>0.90525826694812095</c:v>
                </c:pt>
                <c:pt idx="153">
                  <c:v>0.90525826694812095</c:v>
                </c:pt>
                <c:pt idx="154">
                  <c:v>0.90525826694812095</c:v>
                </c:pt>
                <c:pt idx="155">
                  <c:v>0.90525826694812095</c:v>
                </c:pt>
                <c:pt idx="156">
                  <c:v>0.90525826694812095</c:v>
                </c:pt>
                <c:pt idx="157">
                  <c:v>0.90525826694812095</c:v>
                </c:pt>
                <c:pt idx="158">
                  <c:v>0.90525826694812095</c:v>
                </c:pt>
                <c:pt idx="159">
                  <c:v>0.90525826694812095</c:v>
                </c:pt>
                <c:pt idx="160">
                  <c:v>0.90525826694812095</c:v>
                </c:pt>
                <c:pt idx="161">
                  <c:v>0.90525826694812095</c:v>
                </c:pt>
                <c:pt idx="162">
                  <c:v>0.90525826694812095</c:v>
                </c:pt>
                <c:pt idx="163">
                  <c:v>0.90525826694812095</c:v>
                </c:pt>
                <c:pt idx="164">
                  <c:v>0.90525826694812095</c:v>
                </c:pt>
                <c:pt idx="165">
                  <c:v>0.90525826694812095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5-4094-A4DB-3DEB94525B28}"/>
            </c:ext>
          </c:extLst>
        </c:ser>
        <c:ser>
          <c:idx val="1"/>
          <c:order val="1"/>
          <c:tx>
            <c:strRef>
              <c:f>SMH_SOXX_2!$P$1</c:f>
              <c:strCache>
                <c:ptCount val="1"/>
                <c:pt idx="0">
                  <c:v> SOXX/SMH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SMH_SOXX_2!$P$2:$P$167</c:f>
              <c:numCache>
                <c:formatCode>_(* #,##0.0000_);_(* \(#,##0.0000\);_(* "-"??_);_(@_)</c:formatCode>
                <c:ptCount val="166"/>
                <c:pt idx="9">
                  <c:v>0.84637780240292404</c:v>
                </c:pt>
                <c:pt idx="10">
                  <c:v>0.84788029668610598</c:v>
                </c:pt>
                <c:pt idx="11">
                  <c:v>0.850059660795077</c:v>
                </c:pt>
                <c:pt idx="12">
                  <c:v>0.85196748209104201</c:v>
                </c:pt>
                <c:pt idx="13">
                  <c:v>0.85414212385502197</c:v>
                </c:pt>
                <c:pt idx="14">
                  <c:v>0.85597388860383194</c:v>
                </c:pt>
                <c:pt idx="15">
                  <c:v>0.85752364421207306</c:v>
                </c:pt>
                <c:pt idx="16">
                  <c:v>0.85916911022656905</c:v>
                </c:pt>
                <c:pt idx="17">
                  <c:v>0.86055954738083995</c:v>
                </c:pt>
                <c:pt idx="18">
                  <c:v>0.86158946437580097</c:v>
                </c:pt>
                <c:pt idx="19">
                  <c:v>0.86235352313664504</c:v>
                </c:pt>
                <c:pt idx="20">
                  <c:v>0.86326940295574295</c:v>
                </c:pt>
                <c:pt idx="21">
                  <c:v>0.86376991833254102</c:v>
                </c:pt>
                <c:pt idx="22">
                  <c:v>0.86363522882925703</c:v>
                </c:pt>
                <c:pt idx="23">
                  <c:v>0.86389402812970495</c:v>
                </c:pt>
                <c:pt idx="24">
                  <c:v>0.86450548920650805</c:v>
                </c:pt>
                <c:pt idx="25">
                  <c:v>0.865234503132152</c:v>
                </c:pt>
                <c:pt idx="26">
                  <c:v>0.86585130481277905</c:v>
                </c:pt>
                <c:pt idx="27">
                  <c:v>0.866174508258298</c:v>
                </c:pt>
                <c:pt idx="28">
                  <c:v>0.866233352479027</c:v>
                </c:pt>
                <c:pt idx="29">
                  <c:v>0.86738697100050799</c:v>
                </c:pt>
                <c:pt idx="30">
                  <c:v>0.86783056009689996</c:v>
                </c:pt>
                <c:pt idx="31">
                  <c:v>0.86767442703757902</c:v>
                </c:pt>
                <c:pt idx="32">
                  <c:v>0.86793997175635496</c:v>
                </c:pt>
                <c:pt idx="33">
                  <c:v>0.86772727928718896</c:v>
                </c:pt>
                <c:pt idx="34">
                  <c:v>0.86737990878516202</c:v>
                </c:pt>
                <c:pt idx="35">
                  <c:v>0.86700237762546095</c:v>
                </c:pt>
                <c:pt idx="36">
                  <c:v>0.86653063033320099</c:v>
                </c:pt>
                <c:pt idx="37">
                  <c:v>0.86628925311219895</c:v>
                </c:pt>
                <c:pt idx="38">
                  <c:v>0.86642827972553105</c:v>
                </c:pt>
                <c:pt idx="39">
                  <c:v>0.86607072073559499</c:v>
                </c:pt>
                <c:pt idx="40">
                  <c:v>0.86478549411703298</c:v>
                </c:pt>
                <c:pt idx="41">
                  <c:v>0.86360507487231497</c:v>
                </c:pt>
                <c:pt idx="42">
                  <c:v>0.862290307522941</c:v>
                </c:pt>
                <c:pt idx="43">
                  <c:v>0.86069586365611395</c:v>
                </c:pt>
                <c:pt idx="44">
                  <c:v>0.85956665761744999</c:v>
                </c:pt>
                <c:pt idx="45">
                  <c:v>0.85846560064734501</c:v>
                </c:pt>
                <c:pt idx="46">
                  <c:v>0.85741590217544394</c:v>
                </c:pt>
                <c:pt idx="47">
                  <c:v>0.85588807432048797</c:v>
                </c:pt>
                <c:pt idx="48">
                  <c:v>0.85473560579550401</c:v>
                </c:pt>
                <c:pt idx="49">
                  <c:v>0.85386806604530796</c:v>
                </c:pt>
                <c:pt idx="50">
                  <c:v>0.85399092288643497</c:v>
                </c:pt>
                <c:pt idx="51">
                  <c:v>0.85434575331219997</c:v>
                </c:pt>
                <c:pt idx="52">
                  <c:v>0.85505662199195998</c:v>
                </c:pt>
                <c:pt idx="53">
                  <c:v>0.85647228621984095</c:v>
                </c:pt>
                <c:pt idx="54">
                  <c:v>0.85718449985145995</c:v>
                </c:pt>
                <c:pt idx="55">
                  <c:v>0.85833669434839899</c:v>
                </c:pt>
                <c:pt idx="56">
                  <c:v>0.85955833416294303</c:v>
                </c:pt>
                <c:pt idx="57">
                  <c:v>0.86083492004454698</c:v>
                </c:pt>
                <c:pt idx="58">
                  <c:v>0.86172965930749401</c:v>
                </c:pt>
                <c:pt idx="59">
                  <c:v>0.86142082950572896</c:v>
                </c:pt>
                <c:pt idx="60">
                  <c:v>0.86141210916574196</c:v>
                </c:pt>
                <c:pt idx="61">
                  <c:v>0.86184858401292497</c:v>
                </c:pt>
                <c:pt idx="62">
                  <c:v>0.86226909399417295</c:v>
                </c:pt>
                <c:pt idx="63">
                  <c:v>0.86274282376245803</c:v>
                </c:pt>
                <c:pt idx="64">
                  <c:v>0.86369935160557998</c:v>
                </c:pt>
                <c:pt idx="65">
                  <c:v>0.86485704429948296</c:v>
                </c:pt>
                <c:pt idx="66">
                  <c:v>0.866322612993491</c:v>
                </c:pt>
                <c:pt idx="67">
                  <c:v>0.86846513399983205</c:v>
                </c:pt>
                <c:pt idx="68">
                  <c:v>0.87075290636867697</c:v>
                </c:pt>
                <c:pt idx="69">
                  <c:v>0.87407057943766198</c:v>
                </c:pt>
                <c:pt idx="70">
                  <c:v>0.877058913168278</c:v>
                </c:pt>
                <c:pt idx="71">
                  <c:v>0.87994907336061201</c:v>
                </c:pt>
                <c:pt idx="72">
                  <c:v>0.88294632324716205</c:v>
                </c:pt>
                <c:pt idx="73">
                  <c:v>0.88604497754725897</c:v>
                </c:pt>
                <c:pt idx="74">
                  <c:v>0.88962255618415997</c:v>
                </c:pt>
                <c:pt idx="75">
                  <c:v>0.89259107169992302</c:v>
                </c:pt>
                <c:pt idx="76">
                  <c:v>0.89612327598178998</c:v>
                </c:pt>
                <c:pt idx="77">
                  <c:v>0.89877819615654297</c:v>
                </c:pt>
                <c:pt idx="78">
                  <c:v>0.900011976011306</c:v>
                </c:pt>
                <c:pt idx="79">
                  <c:v>0.90055417134509697</c:v>
                </c:pt>
                <c:pt idx="80">
                  <c:v>0.90191701644403099</c:v>
                </c:pt>
                <c:pt idx="81">
                  <c:v>0.90372210000834896</c:v>
                </c:pt>
                <c:pt idx="82">
                  <c:v>0.905516083595719</c:v>
                </c:pt>
                <c:pt idx="83">
                  <c:v>0.906692960092078</c:v>
                </c:pt>
                <c:pt idx="84">
                  <c:v>0.90850857415443098</c:v>
                </c:pt>
                <c:pt idx="85">
                  <c:v>0.91015689678026701</c:v>
                </c:pt>
                <c:pt idx="86">
                  <c:v>0.90979553494651699</c:v>
                </c:pt>
                <c:pt idx="87">
                  <c:v>0.91048767152125298</c:v>
                </c:pt>
                <c:pt idx="88">
                  <c:v>0.91297522064424697</c:v>
                </c:pt>
                <c:pt idx="89">
                  <c:v>0.91559897126705603</c:v>
                </c:pt>
                <c:pt idx="90">
                  <c:v>0.91780948645148597</c:v>
                </c:pt>
                <c:pt idx="91">
                  <c:v>0.91839217010519802</c:v>
                </c:pt>
                <c:pt idx="92">
                  <c:v>0.91844093427361295</c:v>
                </c:pt>
                <c:pt idx="93">
                  <c:v>0.91805915086100998</c:v>
                </c:pt>
                <c:pt idx="94">
                  <c:v>0.91702343237478301</c:v>
                </c:pt>
                <c:pt idx="95">
                  <c:v>0.91697073452755695</c:v>
                </c:pt>
                <c:pt idx="96">
                  <c:v>0.91820788023703603</c:v>
                </c:pt>
                <c:pt idx="97">
                  <c:v>0.91960436594412298</c:v>
                </c:pt>
                <c:pt idx="98">
                  <c:v>0.92183838042805599</c:v>
                </c:pt>
                <c:pt idx="99">
                  <c:v>0.92460949190070096</c:v>
                </c:pt>
                <c:pt idx="100">
                  <c:v>0.92726388076730804</c:v>
                </c:pt>
                <c:pt idx="101">
                  <c:v>0.93063321066416804</c:v>
                </c:pt>
                <c:pt idx="102">
                  <c:v>0.93332551334298297</c:v>
                </c:pt>
                <c:pt idx="103">
                  <c:v>0.93823265162954606</c:v>
                </c:pt>
                <c:pt idx="104">
                  <c:v>0.94343013238821305</c:v>
                </c:pt>
                <c:pt idx="105">
                  <c:v>0.94733082053809803</c:v>
                </c:pt>
                <c:pt idx="106">
                  <c:v>0.94968079955171902</c:v>
                </c:pt>
                <c:pt idx="107">
                  <c:v>0.951980777813762</c:v>
                </c:pt>
                <c:pt idx="108">
                  <c:v>0.95241860212219098</c:v>
                </c:pt>
                <c:pt idx="109">
                  <c:v>0.95256195985997605</c:v>
                </c:pt>
                <c:pt idx="110">
                  <c:v>0.95392825897521505</c:v>
                </c:pt>
                <c:pt idx="111">
                  <c:v>0.95508770662222597</c:v>
                </c:pt>
                <c:pt idx="112">
                  <c:v>0.95810877782777604</c:v>
                </c:pt>
                <c:pt idx="113">
                  <c:v>0.95839008343948595</c:v>
                </c:pt>
                <c:pt idx="114">
                  <c:v>0.95798858587873303</c:v>
                </c:pt>
                <c:pt idx="115">
                  <c:v>0.95884616426503599</c:v>
                </c:pt>
                <c:pt idx="116">
                  <c:v>0.96202013590684299</c:v>
                </c:pt>
                <c:pt idx="117">
                  <c:v>0.96348573748369404</c:v>
                </c:pt>
                <c:pt idx="118">
                  <c:v>0.96555601537138103</c:v>
                </c:pt>
                <c:pt idx="119">
                  <c:v>0.96887174824018596</c:v>
                </c:pt>
                <c:pt idx="120">
                  <c:v>0.96902377566208597</c:v>
                </c:pt>
                <c:pt idx="121">
                  <c:v>0.97005857070661805</c:v>
                </c:pt>
                <c:pt idx="122">
                  <c:v>0.97063387078000996</c:v>
                </c:pt>
                <c:pt idx="123">
                  <c:v>0.97130744664810298</c:v>
                </c:pt>
                <c:pt idx="124">
                  <c:v>0.97080757237665305</c:v>
                </c:pt>
                <c:pt idx="125">
                  <c:v>0.97013228419148001</c:v>
                </c:pt>
                <c:pt idx="126">
                  <c:v>0.967092052810681</c:v>
                </c:pt>
                <c:pt idx="127">
                  <c:v>0.96486921470792297</c:v>
                </c:pt>
                <c:pt idx="128">
                  <c:v>0.96340064288680605</c:v>
                </c:pt>
                <c:pt idx="129">
                  <c:v>0.96037557478723001</c:v>
                </c:pt>
                <c:pt idx="130">
                  <c:v>0.95845268047887799</c:v>
                </c:pt>
                <c:pt idx="131">
                  <c:v>0.95584678008606105</c:v>
                </c:pt>
                <c:pt idx="132">
                  <c:v>0.95214446257528296</c:v>
                </c:pt>
                <c:pt idx="133">
                  <c:v>0.94873722091435897</c:v>
                </c:pt>
                <c:pt idx="134">
                  <c:v>0.94688323994483004</c:v>
                </c:pt>
                <c:pt idx="135">
                  <c:v>0.94444693325481199</c:v>
                </c:pt>
                <c:pt idx="136">
                  <c:v>0.94419090834087804</c:v>
                </c:pt>
                <c:pt idx="137">
                  <c:v>0.94406515547329295</c:v>
                </c:pt>
                <c:pt idx="138">
                  <c:v>0.943361838047867</c:v>
                </c:pt>
                <c:pt idx="139">
                  <c:v>0.94213021776490302</c:v>
                </c:pt>
                <c:pt idx="140">
                  <c:v>0.94170432279021699</c:v>
                </c:pt>
                <c:pt idx="141">
                  <c:v>0.93989820679355196</c:v>
                </c:pt>
                <c:pt idx="142">
                  <c:v>0.93812896283260405</c:v>
                </c:pt>
                <c:pt idx="143">
                  <c:v>0.93850430250175298</c:v>
                </c:pt>
                <c:pt idx="144">
                  <c:v>0.93814943132287498</c:v>
                </c:pt>
                <c:pt idx="145">
                  <c:v>0.93743077958509202</c:v>
                </c:pt>
                <c:pt idx="146">
                  <c:v>0.93698614150688997</c:v>
                </c:pt>
                <c:pt idx="147">
                  <c:v>0.93548878307155303</c:v>
                </c:pt>
                <c:pt idx="148">
                  <c:v>0.93365786611941504</c:v>
                </c:pt>
                <c:pt idx="149">
                  <c:v>0.93298171960559595</c:v>
                </c:pt>
                <c:pt idx="150">
                  <c:v>0.93184528885735096</c:v>
                </c:pt>
                <c:pt idx="151">
                  <c:v>0.93228696235758501</c:v>
                </c:pt>
                <c:pt idx="152">
                  <c:v>0.93353008061679399</c:v>
                </c:pt>
                <c:pt idx="153">
                  <c:v>0.93339308552177003</c:v>
                </c:pt>
                <c:pt idx="154">
                  <c:v>0.93362412217628299</c:v>
                </c:pt>
                <c:pt idx="155">
                  <c:v>0.93466724116306199</c:v>
                </c:pt>
                <c:pt idx="156">
                  <c:v>0.93375009165158696</c:v>
                </c:pt>
                <c:pt idx="157">
                  <c:v>0.93324181004531703</c:v>
                </c:pt>
                <c:pt idx="158">
                  <c:v>0.93289666204527599</c:v>
                </c:pt>
                <c:pt idx="159">
                  <c:v>0.932459911474394</c:v>
                </c:pt>
                <c:pt idx="160">
                  <c:v>0.93205956310882598</c:v>
                </c:pt>
                <c:pt idx="161">
                  <c:v>0.93130632753449505</c:v>
                </c:pt>
                <c:pt idx="162">
                  <c:v>0.93057776382053303</c:v>
                </c:pt>
                <c:pt idx="163">
                  <c:v>0.92879064583795101</c:v>
                </c:pt>
                <c:pt idx="164">
                  <c:v>0.92710952979499595</c:v>
                </c:pt>
                <c:pt idx="165">
                  <c:v>0.924802315034847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5-4094-A4DB-3DEB94525B28}"/>
            </c:ext>
          </c:extLst>
        </c:ser>
        <c:ser>
          <c:idx val="2"/>
          <c:order val="2"/>
          <c:tx>
            <c:strRef>
              <c:f>SMH_SOXX_2!$Q$1</c:f>
              <c:strCache>
                <c:ptCount val="1"/>
                <c:pt idx="0">
                  <c:v> SOXX/SMH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SMH_SOXX_2!$Q$2:$Q$167</c:f>
              <c:numCache>
                <c:formatCode>_(* #,##0.0000_);_(* \(#,##0.0000\);_(* "-"??_);_(@_)</c:formatCode>
                <c:ptCount val="166"/>
                <c:pt idx="19">
                  <c:v>0.85436566276978498</c:v>
                </c:pt>
                <c:pt idx="20">
                  <c:v>0.85557484982092502</c:v>
                </c:pt>
                <c:pt idx="21">
                  <c:v>0.85691478956380895</c:v>
                </c:pt>
                <c:pt idx="22">
                  <c:v>0.85780135546015002</c:v>
                </c:pt>
                <c:pt idx="23">
                  <c:v>0.85901807599236402</c:v>
                </c:pt>
                <c:pt idx="24">
                  <c:v>0.86023968890517</c:v>
                </c:pt>
                <c:pt idx="25">
                  <c:v>0.86137907367211297</c:v>
                </c:pt>
                <c:pt idx="26">
                  <c:v>0.862510207519674</c:v>
                </c:pt>
                <c:pt idx="27">
                  <c:v>0.86336702781956898</c:v>
                </c:pt>
                <c:pt idx="28">
                  <c:v>0.86391140842741398</c:v>
                </c:pt>
                <c:pt idx="29">
                  <c:v>0.86487024706857696</c:v>
                </c:pt>
                <c:pt idx="30">
                  <c:v>0.86554998152632201</c:v>
                </c:pt>
                <c:pt idx="31">
                  <c:v>0.86572217268506002</c:v>
                </c:pt>
                <c:pt idx="32">
                  <c:v>0.86578760029280599</c:v>
                </c:pt>
                <c:pt idx="33">
                  <c:v>0.86581065370844701</c:v>
                </c:pt>
                <c:pt idx="34">
                  <c:v>0.86594269899583498</c:v>
                </c:pt>
                <c:pt idx="35">
                  <c:v>0.86611844037880703</c:v>
                </c:pt>
                <c:pt idx="36">
                  <c:v>0.86619096757298997</c:v>
                </c:pt>
                <c:pt idx="37">
                  <c:v>0.86623188068524803</c:v>
                </c:pt>
                <c:pt idx="38">
                  <c:v>0.86633081610227902</c:v>
                </c:pt>
                <c:pt idx="39">
                  <c:v>0.86672884586805099</c:v>
                </c:pt>
                <c:pt idx="40">
                  <c:v>0.86630802710696697</c:v>
                </c:pt>
                <c:pt idx="41">
                  <c:v>0.86563975095494705</c:v>
                </c:pt>
                <c:pt idx="42">
                  <c:v>0.86511513963964803</c:v>
                </c:pt>
                <c:pt idx="43">
                  <c:v>0.86421157147165095</c:v>
                </c:pt>
                <c:pt idx="44">
                  <c:v>0.86347328320130601</c:v>
                </c:pt>
                <c:pt idx="45">
                  <c:v>0.86273398913640298</c:v>
                </c:pt>
                <c:pt idx="46">
                  <c:v>0.86197326625432202</c:v>
                </c:pt>
                <c:pt idx="47">
                  <c:v>0.86108866371634296</c:v>
                </c:pt>
                <c:pt idx="48">
                  <c:v>0.86058194276051703</c:v>
                </c:pt>
                <c:pt idx="49">
                  <c:v>0.85996939339045098</c:v>
                </c:pt>
                <c:pt idx="50">
                  <c:v>0.85938820850173403</c:v>
                </c:pt>
                <c:pt idx="51">
                  <c:v>0.85897541409225697</c:v>
                </c:pt>
                <c:pt idx="52">
                  <c:v>0.85867346475745099</c:v>
                </c:pt>
                <c:pt idx="53">
                  <c:v>0.85858407493797695</c:v>
                </c:pt>
                <c:pt idx="54">
                  <c:v>0.85837557873445502</c:v>
                </c:pt>
                <c:pt idx="55">
                  <c:v>0.858401147497872</c:v>
                </c:pt>
                <c:pt idx="56">
                  <c:v>0.85848711816919299</c:v>
                </c:pt>
                <c:pt idx="57">
                  <c:v>0.85836149718251697</c:v>
                </c:pt>
                <c:pt idx="58">
                  <c:v>0.85823263255149895</c:v>
                </c:pt>
                <c:pt idx="59">
                  <c:v>0.85764444777551796</c:v>
                </c:pt>
                <c:pt idx="60">
                  <c:v>0.85770151602608802</c:v>
                </c:pt>
                <c:pt idx="61">
                  <c:v>0.85809716866256203</c:v>
                </c:pt>
                <c:pt idx="62">
                  <c:v>0.85866285799306696</c:v>
                </c:pt>
                <c:pt idx="63">
                  <c:v>0.85960755499114905</c:v>
                </c:pt>
                <c:pt idx="64">
                  <c:v>0.86044192572851996</c:v>
                </c:pt>
                <c:pt idx="65">
                  <c:v>0.86159686932394097</c:v>
                </c:pt>
                <c:pt idx="66">
                  <c:v>0.86294047357821702</c:v>
                </c:pt>
                <c:pt idx="67">
                  <c:v>0.86465002702218996</c:v>
                </c:pt>
                <c:pt idx="68">
                  <c:v>0.86624128283808599</c:v>
                </c:pt>
                <c:pt idx="69">
                  <c:v>0.86774570447169597</c:v>
                </c:pt>
                <c:pt idx="70">
                  <c:v>0.86923551116701003</c:v>
                </c:pt>
                <c:pt idx="71">
                  <c:v>0.87089882868676904</c:v>
                </c:pt>
                <c:pt idx="72">
                  <c:v>0.87260770862066706</c:v>
                </c:pt>
                <c:pt idx="73">
                  <c:v>0.874393900654859</c:v>
                </c:pt>
                <c:pt idx="74">
                  <c:v>0.87666095389486998</c:v>
                </c:pt>
                <c:pt idx="75">
                  <c:v>0.87872405799970299</c:v>
                </c:pt>
                <c:pt idx="76">
                  <c:v>0.88122294448764105</c:v>
                </c:pt>
                <c:pt idx="77">
                  <c:v>0.88362166507818696</c:v>
                </c:pt>
                <c:pt idx="78">
                  <c:v>0.88538244118999199</c:v>
                </c:pt>
                <c:pt idx="79">
                  <c:v>0.88731237539137997</c:v>
                </c:pt>
                <c:pt idx="80">
                  <c:v>0.889487964806154</c:v>
                </c:pt>
                <c:pt idx="81">
                  <c:v>0.89183558668448104</c:v>
                </c:pt>
                <c:pt idx="82">
                  <c:v>0.89423120342144002</c:v>
                </c:pt>
                <c:pt idx="83">
                  <c:v>0.89636896881966899</c:v>
                </c:pt>
                <c:pt idx="84">
                  <c:v>0.89906556516929503</c:v>
                </c:pt>
                <c:pt idx="85">
                  <c:v>0.90137398424009496</c:v>
                </c:pt>
                <c:pt idx="86">
                  <c:v>0.90295940546415399</c:v>
                </c:pt>
                <c:pt idx="87">
                  <c:v>0.90463293383889798</c:v>
                </c:pt>
                <c:pt idx="88">
                  <c:v>0.90649359832777698</c:v>
                </c:pt>
                <c:pt idx="89">
                  <c:v>0.908076571306076</c:v>
                </c:pt>
                <c:pt idx="90">
                  <c:v>0.90986325144775804</c:v>
                </c:pt>
                <c:pt idx="91">
                  <c:v>0.91105713505677399</c:v>
                </c:pt>
                <c:pt idx="92">
                  <c:v>0.91197850893466603</c:v>
                </c:pt>
                <c:pt idx="93">
                  <c:v>0.91237605547654399</c:v>
                </c:pt>
                <c:pt idx="94">
                  <c:v>0.912766003264607</c:v>
                </c:pt>
                <c:pt idx="95">
                  <c:v>0.91356381565391198</c:v>
                </c:pt>
                <c:pt idx="96">
                  <c:v>0.91400170759177701</c:v>
                </c:pt>
                <c:pt idx="97">
                  <c:v>0.91504601873268798</c:v>
                </c:pt>
                <c:pt idx="98">
                  <c:v>0.91740680053615198</c:v>
                </c:pt>
                <c:pt idx="99">
                  <c:v>0.920104231583878</c:v>
                </c:pt>
                <c:pt idx="100">
                  <c:v>0.922536683609397</c:v>
                </c:pt>
                <c:pt idx="101">
                  <c:v>0.92451269038468298</c:v>
                </c:pt>
                <c:pt idx="102">
                  <c:v>0.92588322380829802</c:v>
                </c:pt>
                <c:pt idx="103">
                  <c:v>0.92814590124527796</c:v>
                </c:pt>
                <c:pt idx="104">
                  <c:v>0.93022678238149803</c:v>
                </c:pt>
                <c:pt idx="105">
                  <c:v>0.93215077753282805</c:v>
                </c:pt>
                <c:pt idx="106">
                  <c:v>0.93394433989437797</c:v>
                </c:pt>
                <c:pt idx="107">
                  <c:v>0.93579257187894305</c:v>
                </c:pt>
                <c:pt idx="108">
                  <c:v>0.93712849127512399</c:v>
                </c:pt>
                <c:pt idx="109">
                  <c:v>0.93858572588033895</c:v>
                </c:pt>
                <c:pt idx="110">
                  <c:v>0.94059606987126099</c:v>
                </c:pt>
                <c:pt idx="111">
                  <c:v>0.94286045864319701</c:v>
                </c:pt>
                <c:pt idx="112">
                  <c:v>0.94571714558538</c:v>
                </c:pt>
                <c:pt idx="113">
                  <c:v>0.94831136753451595</c:v>
                </c:pt>
                <c:pt idx="114">
                  <c:v>0.95070935913347299</c:v>
                </c:pt>
                <c:pt idx="115">
                  <c:v>0.95308849240156701</c:v>
                </c:pt>
                <c:pt idx="116">
                  <c:v>0.95585046772928095</c:v>
                </c:pt>
                <c:pt idx="117">
                  <c:v>0.95773325764872796</c:v>
                </c:pt>
                <c:pt idx="118">
                  <c:v>0.95898730874678595</c:v>
                </c:pt>
                <c:pt idx="119">
                  <c:v>0.960716854050081</c:v>
                </c:pt>
                <c:pt idx="120">
                  <c:v>0.96147601731865096</c:v>
                </c:pt>
                <c:pt idx="121">
                  <c:v>0.96257313866442196</c:v>
                </c:pt>
                <c:pt idx="122">
                  <c:v>0.96437132430389305</c:v>
                </c:pt>
                <c:pt idx="123">
                  <c:v>0.96484876504379402</c:v>
                </c:pt>
                <c:pt idx="124">
                  <c:v>0.96439807912769304</c:v>
                </c:pt>
                <c:pt idx="125">
                  <c:v>0.964489224228258</c:v>
                </c:pt>
                <c:pt idx="126">
                  <c:v>0.964556094358762</c:v>
                </c:pt>
                <c:pt idx="127">
                  <c:v>0.96417747609580795</c:v>
                </c:pt>
                <c:pt idx="128">
                  <c:v>0.96447832912909404</c:v>
                </c:pt>
                <c:pt idx="129">
                  <c:v>0.96462366151370804</c:v>
                </c:pt>
                <c:pt idx="130">
                  <c:v>0.96373822807048204</c:v>
                </c:pt>
                <c:pt idx="131">
                  <c:v>0.96295267539634</c:v>
                </c:pt>
                <c:pt idx="132">
                  <c:v>0.96138916667764596</c:v>
                </c:pt>
                <c:pt idx="133">
                  <c:v>0.96002233378123103</c:v>
                </c:pt>
                <c:pt idx="134">
                  <c:v>0.95884540616074099</c:v>
                </c:pt>
                <c:pt idx="135">
                  <c:v>0.95728960872314595</c:v>
                </c:pt>
                <c:pt idx="136">
                  <c:v>0.95564148057578002</c:v>
                </c:pt>
                <c:pt idx="137">
                  <c:v>0.95446718509060802</c:v>
                </c:pt>
                <c:pt idx="138">
                  <c:v>0.95338124046733697</c:v>
                </c:pt>
                <c:pt idx="139">
                  <c:v>0.95125289627606702</c:v>
                </c:pt>
                <c:pt idx="140">
                  <c:v>0.95007850163454799</c:v>
                </c:pt>
                <c:pt idx="141">
                  <c:v>0.94787249343980695</c:v>
                </c:pt>
                <c:pt idx="142">
                  <c:v>0.94513671270394295</c:v>
                </c:pt>
                <c:pt idx="143">
                  <c:v>0.94362076170805598</c:v>
                </c:pt>
                <c:pt idx="144">
                  <c:v>0.94251633563385195</c:v>
                </c:pt>
                <c:pt idx="145">
                  <c:v>0.94093885641995201</c:v>
                </c:pt>
                <c:pt idx="146">
                  <c:v>0.94058852492388401</c:v>
                </c:pt>
                <c:pt idx="147">
                  <c:v>0.93977696927242305</c:v>
                </c:pt>
                <c:pt idx="148">
                  <c:v>0.93850985208364102</c:v>
                </c:pt>
                <c:pt idx="149">
                  <c:v>0.93755596868524904</c:v>
                </c:pt>
                <c:pt idx="150">
                  <c:v>0.93677480582378403</c:v>
                </c:pt>
                <c:pt idx="151">
                  <c:v>0.93609258457556899</c:v>
                </c:pt>
                <c:pt idx="152">
                  <c:v>0.93582952172469902</c:v>
                </c:pt>
                <c:pt idx="153">
                  <c:v>0.93594869401176195</c:v>
                </c:pt>
                <c:pt idx="154">
                  <c:v>0.93588677674957899</c:v>
                </c:pt>
                <c:pt idx="155">
                  <c:v>0.93604901037407695</c:v>
                </c:pt>
                <c:pt idx="156">
                  <c:v>0.93536811657923902</c:v>
                </c:pt>
                <c:pt idx="157">
                  <c:v>0.93436529655843503</c:v>
                </c:pt>
                <c:pt idx="158">
                  <c:v>0.93327726408234501</c:v>
                </c:pt>
                <c:pt idx="159">
                  <c:v>0.93272081553999497</c:v>
                </c:pt>
                <c:pt idx="160">
                  <c:v>0.93195242598308803</c:v>
                </c:pt>
                <c:pt idx="161">
                  <c:v>0.93179664494603998</c:v>
                </c:pt>
                <c:pt idx="162">
                  <c:v>0.93205392221866401</c:v>
                </c:pt>
                <c:pt idx="163">
                  <c:v>0.93109186567986102</c:v>
                </c:pt>
                <c:pt idx="164">
                  <c:v>0.93036682598563902</c:v>
                </c:pt>
                <c:pt idx="165">
                  <c:v>0.92973477809895499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5-4094-A4DB-3DEB94525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SMH_SOXX_2!$AF$1</c:f>
              <c:strCache>
                <c:ptCount val="1"/>
                <c:pt idx="0">
                  <c:v>log diff SMH* x 10 dma / SOXX*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SMH_SOXX_2!$AF$2:$AF$167</c:f>
              <c:numCache>
                <c:formatCode>0.0000%</c:formatCode>
                <c:ptCount val="166"/>
                <c:pt idx="10">
                  <c:v>-1.0534434637330401E-2</c:v>
                </c:pt>
                <c:pt idx="11">
                  <c:v>-1.89905403391127E-2</c:v>
                </c:pt>
                <c:pt idx="12">
                  <c:v>-1.8775496411292499E-2</c:v>
                </c:pt>
                <c:pt idx="13">
                  <c:v>-1.5843023536762299E-2</c:v>
                </c:pt>
                <c:pt idx="14">
                  <c:v>-8.6716397008733005E-3</c:v>
                </c:pt>
                <c:pt idx="15">
                  <c:v>-4.9397279683597601E-3</c:v>
                </c:pt>
                <c:pt idx="16">
                  <c:v>-5.2933971387853999E-3</c:v>
                </c:pt>
                <c:pt idx="17">
                  <c:v>-6.9719634671859803E-3</c:v>
                </c:pt>
                <c:pt idx="18">
                  <c:v>-5.0780217941034803E-3</c:v>
                </c:pt>
                <c:pt idx="19">
                  <c:v>3.7955176070186298E-3</c:v>
                </c:pt>
                <c:pt idx="20">
                  <c:v>-2.4858145898390598E-3</c:v>
                </c:pt>
                <c:pt idx="21">
                  <c:v>-6.7785755157406102E-3</c:v>
                </c:pt>
                <c:pt idx="22">
                  <c:v>-1.21938773798101E-3</c:v>
                </c:pt>
                <c:pt idx="23">
                  <c:v>-5.2263511705632698E-3</c:v>
                </c:pt>
                <c:pt idx="24">
                  <c:v>-4.3910319018575896E-3</c:v>
                </c:pt>
                <c:pt idx="25">
                  <c:v>-3.46104619584794E-3</c:v>
                </c:pt>
                <c:pt idx="26">
                  <c:v>-3.47095294677661E-3</c:v>
                </c:pt>
                <c:pt idx="27">
                  <c:v>-2.9532621685004201E-3</c:v>
                </c:pt>
                <c:pt idx="28">
                  <c:v>7.4546758570727303E-4</c:v>
                </c:pt>
                <c:pt idx="29">
                  <c:v>-4.1798663442401997E-3</c:v>
                </c:pt>
                <c:pt idx="30">
                  <c:v>-1.7839553055077899E-3</c:v>
                </c:pt>
                <c:pt idx="31">
                  <c:v>2.8912216969332699E-4</c:v>
                </c:pt>
                <c:pt idx="32">
                  <c:v>2.2493527462218599E-4</c:v>
                </c:pt>
                <c:pt idx="33">
                  <c:v>2.1986397787076102E-3</c:v>
                </c:pt>
                <c:pt idx="34">
                  <c:v>4.04773283313733E-3</c:v>
                </c:pt>
                <c:pt idx="35">
                  <c:v>4.2197952267754701E-3</c:v>
                </c:pt>
                <c:pt idx="36">
                  <c:v>4.0183645936979302E-3</c:v>
                </c:pt>
                <c:pt idx="37">
                  <c:v>6.1439923265481095E-4</c:v>
                </c:pt>
                <c:pt idx="38">
                  <c:v>-7.2704106984257605E-4</c:v>
                </c:pt>
                <c:pt idx="39">
                  <c:v>1.64135364897244E-4</c:v>
                </c:pt>
                <c:pt idx="40">
                  <c:v>1.15986911366263E-2</c:v>
                </c:pt>
                <c:pt idx="41">
                  <c:v>1.0473423112570501E-2</c:v>
                </c:pt>
                <c:pt idx="42">
                  <c:v>1.07961604735465E-2</c:v>
                </c:pt>
                <c:pt idx="43">
                  <c:v>1.42505454117234E-2</c:v>
                </c:pt>
                <c:pt idx="44">
                  <c:v>9.0637372240140492E-3</c:v>
                </c:pt>
                <c:pt idx="45">
                  <c:v>8.0007881599506309E-3</c:v>
                </c:pt>
                <c:pt idx="46">
                  <c:v>6.3537085557274497E-3</c:v>
                </c:pt>
                <c:pt idx="47">
                  <c:v>7.8399106846191204E-3</c:v>
                </c:pt>
                <c:pt idx="48">
                  <c:v>5.7670143669475305E-4</c:v>
                </c:pt>
                <c:pt idx="49">
                  <c:v>-3.3580582364257702E-3</c:v>
                </c:pt>
                <c:pt idx="50">
                  <c:v>-4.6362240234232698E-3</c:v>
                </c:pt>
                <c:pt idx="51">
                  <c:v>-6.77838692072675E-3</c:v>
                </c:pt>
                <c:pt idx="52">
                  <c:v>-8.7576777107446092E-3</c:v>
                </c:pt>
                <c:pt idx="53">
                  <c:v>-1.1130306727943001E-2</c:v>
                </c:pt>
                <c:pt idx="54">
                  <c:v>-4.5412420222043096E-3</c:v>
                </c:pt>
                <c:pt idx="55">
                  <c:v>-8.4963925588543796E-3</c:v>
                </c:pt>
                <c:pt idx="56">
                  <c:v>-8.2480824680063805E-3</c:v>
                </c:pt>
                <c:pt idx="57">
                  <c:v>-4.7608995847462201E-3</c:v>
                </c:pt>
                <c:pt idx="58">
                  <c:v>-4.2154502515796598E-3</c:v>
                </c:pt>
                <c:pt idx="59">
                  <c:v>8.2847849979703608E-3</c:v>
                </c:pt>
                <c:pt idx="60">
                  <c:v>4.8740662202938403E-3</c:v>
                </c:pt>
                <c:pt idx="61">
                  <c:v>-2.6274565317294702E-3</c:v>
                </c:pt>
                <c:pt idx="62">
                  <c:v>-4.3821246505922002E-3</c:v>
                </c:pt>
                <c:pt idx="63">
                  <c:v>-7.7347839362444598E-3</c:v>
                </c:pt>
                <c:pt idx="64">
                  <c:v>-7.9107631661465699E-3</c:v>
                </c:pt>
                <c:pt idx="65">
                  <c:v>-1.38705436802441E-2</c:v>
                </c:pt>
                <c:pt idx="66">
                  <c:v>-1.71768966576188E-2</c:v>
                </c:pt>
                <c:pt idx="67">
                  <c:v>-2.11562635284606E-2</c:v>
                </c:pt>
                <c:pt idx="68">
                  <c:v>-2.1291949926259601E-2</c:v>
                </c:pt>
                <c:pt idx="69">
                  <c:v>-1.9202422706374098E-2</c:v>
                </c:pt>
                <c:pt idx="70">
                  <c:v>-1.47480371956715E-2</c:v>
                </c:pt>
                <c:pt idx="71">
                  <c:v>-1.75018357335942E-2</c:v>
                </c:pt>
                <c:pt idx="72">
                  <c:v>-1.7596465593260901E-2</c:v>
                </c:pt>
                <c:pt idx="73">
                  <c:v>-1.90524262426786E-2</c:v>
                </c:pt>
                <c:pt idx="74">
                  <c:v>-2.1564049398411601E-2</c:v>
                </c:pt>
                <c:pt idx="75">
                  <c:v>-1.76510686087063E-2</c:v>
                </c:pt>
                <c:pt idx="76">
                  <c:v>-2.4996688211462201E-2</c:v>
                </c:pt>
                <c:pt idx="77">
                  <c:v>-1.6914850015153599E-2</c:v>
                </c:pt>
                <c:pt idx="78">
                  <c:v>-8.2632325046775299E-4</c:v>
                </c:pt>
                <c:pt idx="79">
                  <c:v>7.7018105663757301E-3</c:v>
                </c:pt>
                <c:pt idx="80">
                  <c:v>-1.7918143256510799E-4</c:v>
                </c:pt>
                <c:pt idx="81">
                  <c:v>-9.5968369546992598E-3</c:v>
                </c:pt>
                <c:pt idx="82">
                  <c:v>-1.07972584911042E-2</c:v>
                </c:pt>
                <c:pt idx="83">
                  <c:v>-6.8298010224338299E-3</c:v>
                </c:pt>
                <c:pt idx="84">
                  <c:v>-1.83873927249926E-2</c:v>
                </c:pt>
                <c:pt idx="85">
                  <c:v>-1.4676627275892799E-2</c:v>
                </c:pt>
                <c:pt idx="86">
                  <c:v>-1.5663280444550599E-3</c:v>
                </c:pt>
                <c:pt idx="87">
                  <c:v>-9.3477364760712802E-3</c:v>
                </c:pt>
                <c:pt idx="88">
                  <c:v>-1.5150491473665499E-2</c:v>
                </c:pt>
                <c:pt idx="89">
                  <c:v>-6.9370711046051799E-3</c:v>
                </c:pt>
                <c:pt idx="90">
                  <c:v>-7.8465408758940196E-3</c:v>
                </c:pt>
                <c:pt idx="91">
                  <c:v>1.4901601266750701E-3</c:v>
                </c:pt>
                <c:pt idx="92">
                  <c:v>4.7491861212120698E-3</c:v>
                </c:pt>
                <c:pt idx="93">
                  <c:v>1.15112260777477E-2</c:v>
                </c:pt>
                <c:pt idx="94">
                  <c:v>5.3039242724696603E-3</c:v>
                </c:pt>
                <c:pt idx="95">
                  <c:v>-4.8171261730183598E-3</c:v>
                </c:pt>
                <c:pt idx="96">
                  <c:v>-7.6069012703357201E-3</c:v>
                </c:pt>
                <c:pt idx="97">
                  <c:v>-1.5265704636608E-2</c:v>
                </c:pt>
                <c:pt idx="98">
                  <c:v>-2.9079933222566998E-2</c:v>
                </c:pt>
                <c:pt idx="99">
                  <c:v>-2.6973291953628398E-2</c:v>
                </c:pt>
                <c:pt idx="100">
                  <c:v>-2.6414094662606899E-2</c:v>
                </c:pt>
                <c:pt idx="101">
                  <c:v>-2.4367022347120501E-2</c:v>
                </c:pt>
                <c:pt idx="102">
                  <c:v>-1.1018888850705E-2</c:v>
                </c:pt>
                <c:pt idx="103">
                  <c:v>-2.5000344364270202E-2</c:v>
                </c:pt>
                <c:pt idx="104">
                  <c:v>-2.8263927237650199E-2</c:v>
                </c:pt>
                <c:pt idx="105">
                  <c:v>-1.7870313861600599E-2</c:v>
                </c:pt>
                <c:pt idx="106">
                  <c:v>-1.79394628047809E-4</c:v>
                </c:pt>
                <c:pt idx="107">
                  <c:v>-5.9494508989827799E-3</c:v>
                </c:pt>
                <c:pt idx="108">
                  <c:v>8.6190361074773496E-4</c:v>
                </c:pt>
                <c:pt idx="109">
                  <c:v>4.0961732884567201E-3</c:v>
                </c:pt>
                <c:pt idx="110">
                  <c:v>-1.09407852534531E-2</c:v>
                </c:pt>
                <c:pt idx="111">
                  <c:v>-8.15945881378345E-3</c:v>
                </c:pt>
                <c:pt idx="112">
                  <c:v>-1.7128733776754598E-2</c:v>
                </c:pt>
                <c:pt idx="113">
                  <c:v>-2.1968400125410899E-3</c:v>
                </c:pt>
                <c:pt idx="114">
                  <c:v>-3.2450859460792401E-3</c:v>
                </c:pt>
                <c:pt idx="115">
                  <c:v>-1.17382674077473E-2</c:v>
                </c:pt>
                <c:pt idx="116">
                  <c:v>-2.1233294611960201E-2</c:v>
                </c:pt>
                <c:pt idx="117">
                  <c:v>-8.4983946249247502E-3</c:v>
                </c:pt>
                <c:pt idx="118">
                  <c:v>-8.8409962438728996E-3</c:v>
                </c:pt>
                <c:pt idx="119">
                  <c:v>-1.6659194510305699E-2</c:v>
                </c:pt>
                <c:pt idx="120">
                  <c:v>4.3260127803033902E-3</c:v>
                </c:pt>
                <c:pt idx="121">
                  <c:v>-3.2176710751800099E-3</c:v>
                </c:pt>
                <c:pt idx="122">
                  <c:v>-7.0276828807627999E-3</c:v>
                </c:pt>
                <c:pt idx="123">
                  <c:v>4.2047789140630797E-3</c:v>
                </c:pt>
                <c:pt idx="124">
                  <c:v>1.5654648216023401E-2</c:v>
                </c:pt>
                <c:pt idx="125">
                  <c:v>8.7727310757869607E-3</c:v>
                </c:pt>
                <c:pt idx="126">
                  <c:v>2.2135021508948399E-2</c:v>
                </c:pt>
                <c:pt idx="127">
                  <c:v>2.0127037027265701E-2</c:v>
                </c:pt>
                <c:pt idx="128">
                  <c:v>7.9979896653449602E-3</c:v>
                </c:pt>
                <c:pt idx="129">
                  <c:v>1.2511462207644101E-2</c:v>
                </c:pt>
                <c:pt idx="130">
                  <c:v>1.57306717611971E-2</c:v>
                </c:pt>
                <c:pt idx="131">
                  <c:v>1.3009113197315099E-2</c:v>
                </c:pt>
                <c:pt idx="132">
                  <c:v>1.67801235778836E-2</c:v>
                </c:pt>
                <c:pt idx="133">
                  <c:v>2.0817574495752399E-2</c:v>
                </c:pt>
                <c:pt idx="134">
                  <c:v>1.1725581730395101E-2</c:v>
                </c:pt>
                <c:pt idx="135">
                  <c:v>9.4499592291645198E-3</c:v>
                </c:pt>
                <c:pt idx="136">
                  <c:v>-1.91455700570045E-3</c:v>
                </c:pt>
                <c:pt idx="137">
                  <c:v>-2.4551410068232998E-3</c:v>
                </c:pt>
                <c:pt idx="138">
                  <c:v>-6.4101567646731097E-3</c:v>
                </c:pt>
                <c:pt idx="139">
                  <c:v>4.4975417927802797E-3</c:v>
                </c:pt>
                <c:pt idx="140">
                  <c:v>1.0664555251352599E-3</c:v>
                </c:pt>
                <c:pt idx="141">
                  <c:v>1.4588275547343399E-2</c:v>
                </c:pt>
                <c:pt idx="142">
                  <c:v>1.8858926767003702E-2</c:v>
                </c:pt>
                <c:pt idx="143">
                  <c:v>2.0017339847431801E-3</c:v>
                </c:pt>
                <c:pt idx="144">
                  <c:v>4.7140135487512298E-3</c:v>
                </c:pt>
                <c:pt idx="145">
                  <c:v>7.9128810585078896E-3</c:v>
                </c:pt>
                <c:pt idx="146">
                  <c:v>-4.6163981471422496E-3</c:v>
                </c:pt>
                <c:pt idx="147">
                  <c:v>5.8536528803747601E-3</c:v>
                </c:pt>
                <c:pt idx="148">
                  <c:v>3.9577076410704003E-3</c:v>
                </c:pt>
                <c:pt idx="149">
                  <c:v>1.47708725059252E-3</c:v>
                </c:pt>
                <c:pt idx="150">
                  <c:v>3.5355104483507501E-3</c:v>
                </c:pt>
                <c:pt idx="151">
                  <c:v>-5.5939713261059199E-4</c:v>
                </c:pt>
                <c:pt idx="152">
                  <c:v>-2.4802640175401501E-3</c:v>
                </c:pt>
                <c:pt idx="153">
                  <c:v>-1.3752019954087901E-3</c:v>
                </c:pt>
                <c:pt idx="154">
                  <c:v>-3.1585652996076602E-3</c:v>
                </c:pt>
                <c:pt idx="155">
                  <c:v>-8.0113737608828398E-3</c:v>
                </c:pt>
                <c:pt idx="156">
                  <c:v>2.1541574380487399E-3</c:v>
                </c:pt>
                <c:pt idx="157">
                  <c:v>7.8011946481362001E-3</c:v>
                </c:pt>
                <c:pt idx="158">
                  <c:v>5.1990847328908501E-3</c:v>
                </c:pt>
                <c:pt idx="159">
                  <c:v>5.2684452406967603E-3</c:v>
                </c:pt>
                <c:pt idx="160">
                  <c:v>7.2075800375667196E-3</c:v>
                </c:pt>
                <c:pt idx="161">
                  <c:v>7.71094158153331E-3</c:v>
                </c:pt>
                <c:pt idx="162">
                  <c:v>4.2152549805320096E-3</c:v>
                </c:pt>
                <c:pt idx="163">
                  <c:v>1.4713734092942099E-2</c:v>
                </c:pt>
                <c:pt idx="164">
                  <c:v>9.9518984485883807E-3</c:v>
                </c:pt>
                <c:pt idx="165">
                  <c:v>9.7493119989078992E-3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5-47FF-9C8D-3137552F67FF}"/>
            </c:ext>
          </c:extLst>
        </c:ser>
        <c:ser>
          <c:idx val="2"/>
          <c:order val="1"/>
          <c:tx>
            <c:strRef>
              <c:f>SMH_SOXX_2!$AG$1</c:f>
              <c:strCache>
                <c:ptCount val="1"/>
                <c:pt idx="0">
                  <c:v>log diff SMH* x 20 dma / SOXX*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SMH_SOXX_2!$AG$2:$AG$167</c:f>
              <c:numCache>
                <c:formatCode>0.0000%</c:formatCode>
                <c:ptCount val="166"/>
                <c:pt idx="20">
                  <c:v>-1.179184213297E-2</c:v>
                </c:pt>
                <c:pt idx="21">
                  <c:v>-1.5731806178905499E-2</c:v>
                </c:pt>
                <c:pt idx="22">
                  <c:v>-9.1873379447421008E-3</c:v>
                </c:pt>
                <c:pt idx="23">
                  <c:v>-1.20042897325343E-2</c:v>
                </c:pt>
                <c:pt idx="24">
                  <c:v>-1.00511757285038E-2</c:v>
                </c:pt>
                <c:pt idx="25">
                  <c:v>-8.4076424278327795E-3</c:v>
                </c:pt>
                <c:pt idx="26">
                  <c:v>-7.9368460911612704E-3</c:v>
                </c:pt>
                <c:pt idx="27">
                  <c:v>-6.8194688978604496E-3</c:v>
                </c:pt>
                <c:pt idx="28">
                  <c:v>-2.5010377407293999E-3</c:v>
                </c:pt>
                <c:pt idx="29">
                  <c:v>-6.8639717417773201E-3</c:v>
                </c:pt>
                <c:pt idx="30">
                  <c:v>-4.6896735515576998E-3</c:v>
                </c:pt>
                <c:pt idx="31">
                  <c:v>-2.3422444941479902E-3</c:v>
                </c:pt>
                <c:pt idx="32">
                  <c:v>-2.0275846371908901E-3</c:v>
                </c:pt>
                <c:pt idx="33">
                  <c:v>-2.8430229827116E-4</c:v>
                </c:pt>
                <c:pt idx="34">
                  <c:v>1.8365018895125801E-3</c:v>
                </c:pt>
                <c:pt idx="35">
                  <c:v>2.56146559760873E-3</c:v>
                </c:pt>
                <c:pt idx="36">
                  <c:v>2.9983118494032401E-3</c:v>
                </c:pt>
                <c:pt idx="37">
                  <c:v>2.22342291744962E-4</c:v>
                </c:pt>
                <c:pt idx="38">
                  <c:v>-7.9327105786640201E-4</c:v>
                </c:pt>
                <c:pt idx="39">
                  <c:v>5.1640069285680302E-5</c:v>
                </c:pt>
                <c:pt idx="40">
                  <c:v>1.23583002417829E-2</c:v>
                </c:pt>
                <c:pt idx="41">
                  <c:v>1.2232465433341401E-2</c:v>
                </c:pt>
                <c:pt idx="42">
                  <c:v>1.31494154796783E-2</c:v>
                </c:pt>
                <c:pt idx="43">
                  <c:v>1.7521155261220701E-2</c:v>
                </c:pt>
                <c:pt idx="44">
                  <c:v>1.31401445863374E-2</c:v>
                </c:pt>
                <c:pt idx="45">
                  <c:v>1.2535369379395599E-2</c:v>
                </c:pt>
                <c:pt idx="46">
                  <c:v>1.1313502021199301E-2</c:v>
                </c:pt>
                <c:pt idx="47">
                  <c:v>1.3141066275494001E-2</c:v>
                </c:pt>
                <c:pt idx="48">
                  <c:v>6.6345648716242796E-3</c:v>
                </c:pt>
                <c:pt idx="49">
                  <c:v>3.4585916698934901E-3</c:v>
                </c:pt>
                <c:pt idx="50">
                  <c:v>2.4838830644057799E-3</c:v>
                </c:pt>
                <c:pt idx="51">
                  <c:v>-5.0906869368963904E-4</c:v>
                </c:pt>
                <c:pt idx="52">
                  <c:v>-3.41525636283076E-3</c:v>
                </c:pt>
                <c:pt idx="53">
                  <c:v>-7.0019747826509998E-3</c:v>
                </c:pt>
                <c:pt idx="54">
                  <c:v>-2.2025919815198401E-3</c:v>
                </c:pt>
                <c:pt idx="55">
                  <c:v>-7.2626178741733603E-3</c:v>
                </c:pt>
                <c:pt idx="56">
                  <c:v>-8.3580543855428895E-3</c:v>
                </c:pt>
                <c:pt idx="57">
                  <c:v>-6.22272747616917E-3</c:v>
                </c:pt>
                <c:pt idx="58">
                  <c:v>-7.3386119052279899E-3</c:v>
                </c:pt>
                <c:pt idx="59">
                  <c:v>3.9411041699401999E-3</c:v>
                </c:pt>
                <c:pt idx="60">
                  <c:v>1.7012888447514801E-4</c:v>
                </c:pt>
                <c:pt idx="61">
                  <c:v>-7.2252893346123198E-3</c:v>
                </c:pt>
                <c:pt idx="62">
                  <c:v>-8.9945452269462305E-3</c:v>
                </c:pt>
                <c:pt idx="63">
                  <c:v>-1.2145476858637899E-2</c:v>
                </c:pt>
                <c:pt idx="64">
                  <c:v>-1.1738906784763701E-2</c:v>
                </c:pt>
                <c:pt idx="65">
                  <c:v>-1.7804824743243099E-2</c:v>
                </c:pt>
                <c:pt idx="66">
                  <c:v>-2.1076494484857999E-2</c:v>
                </c:pt>
                <c:pt idx="67">
                  <c:v>-2.5158154729579399E-2</c:v>
                </c:pt>
                <c:pt idx="68">
                  <c:v>-2.5748742973577401E-2</c:v>
                </c:pt>
                <c:pt idx="69">
                  <c:v>-2.44137962998381E-2</c:v>
                </c:pt>
                <c:pt idx="70">
                  <c:v>-2.19863528726724E-2</c:v>
                </c:pt>
                <c:pt idx="71">
                  <c:v>-2.6431095913294799E-2</c:v>
                </c:pt>
                <c:pt idx="72">
                  <c:v>-2.7898916130181101E-2</c:v>
                </c:pt>
                <c:pt idx="73">
                  <c:v>-3.0789459157209001E-2</c:v>
                </c:pt>
                <c:pt idx="74">
                  <c:v>-3.4755410572748197E-2</c:v>
                </c:pt>
                <c:pt idx="75">
                  <c:v>-3.2278625752088397E-2</c:v>
                </c:pt>
                <c:pt idx="76">
                  <c:v>-4.0603465421077997E-2</c:v>
                </c:pt>
                <c:pt idx="77">
                  <c:v>-3.3630226135521503E-2</c:v>
                </c:pt>
                <c:pt idx="78">
                  <c:v>-1.77820623194224E-2</c:v>
                </c:pt>
                <c:pt idx="79">
                  <c:v>-8.6371320722676906E-3</c:v>
                </c:pt>
                <c:pt idx="80">
                  <c:v>-1.49482360575071E-2</c:v>
                </c:pt>
                <c:pt idx="81">
                  <c:v>-2.3432107247681001E-2</c:v>
                </c:pt>
                <c:pt idx="82">
                  <c:v>-2.39980588064687E-2</c:v>
                </c:pt>
                <c:pt idx="83">
                  <c:v>-1.93340099729487E-2</c:v>
                </c:pt>
                <c:pt idx="84">
                  <c:v>-2.98054893963073E-2</c:v>
                </c:pt>
                <c:pt idx="85">
                  <c:v>-2.5093228551193E-2</c:v>
                </c:pt>
                <c:pt idx="86">
                  <c:v>-1.12316776418516E-2</c:v>
                </c:pt>
                <c:pt idx="87">
                  <c:v>-1.6859973102200301E-2</c:v>
                </c:pt>
                <c:pt idx="88">
                  <c:v>-2.15733099017703E-2</c:v>
                </c:pt>
                <c:pt idx="89">
                  <c:v>-1.4033828348193699E-2</c:v>
                </c:pt>
                <c:pt idx="90">
                  <c:v>-1.6067010283127601E-2</c:v>
                </c:pt>
                <c:pt idx="91">
                  <c:v>-7.17543068110214E-3</c:v>
                </c:pt>
                <c:pt idx="92">
                  <c:v>-3.2399188393829798E-3</c:v>
                </c:pt>
                <c:pt idx="93">
                  <c:v>4.4790560967369096E-3</c:v>
                </c:pt>
                <c:pt idx="94">
                  <c:v>-8.7748763945101399E-4</c:v>
                </c:pt>
                <c:pt idx="95">
                  <c:v>-9.4449554094567009E-3</c:v>
                </c:pt>
                <c:pt idx="96">
                  <c:v>-1.13066071129839E-2</c:v>
                </c:pt>
                <c:pt idx="97">
                  <c:v>-1.9835643330233601E-2</c:v>
                </c:pt>
                <c:pt idx="98">
                  <c:v>-3.40295954231815E-2</c:v>
                </c:pt>
                <c:pt idx="99">
                  <c:v>-3.1774687181017003E-2</c:v>
                </c:pt>
                <c:pt idx="100">
                  <c:v>-3.1282836350386298E-2</c:v>
                </c:pt>
                <c:pt idx="101">
                  <c:v>-2.9464225426711801E-2</c:v>
                </c:pt>
                <c:pt idx="102">
                  <c:v>-1.76050316854711E-2</c:v>
                </c:pt>
                <c:pt idx="103">
                  <c:v>-3.2993580720713699E-2</c:v>
                </c:pt>
                <c:pt idx="104">
                  <c:v>-3.9058078957265402E-2</c:v>
                </c:pt>
                <c:pt idx="105">
                  <c:v>-3.19460573364636E-2</c:v>
                </c:pt>
                <c:pt idx="106">
                  <c:v>-1.6312923772181399E-2</c:v>
                </c:pt>
                <c:pt idx="107">
                  <c:v>-2.2639062364181499E-2</c:v>
                </c:pt>
                <c:pt idx="108">
                  <c:v>-1.6269157528246699E-2</c:v>
                </c:pt>
                <c:pt idx="109">
                  <c:v>-1.2069665718932299E-2</c:v>
                </c:pt>
                <c:pt idx="110">
                  <c:v>-2.5705786969908599E-2</c:v>
                </c:pt>
                <c:pt idx="111">
                  <c:v>-2.2219065997215501E-2</c:v>
                </c:pt>
                <c:pt idx="112">
                  <c:v>-2.9999055605511599E-2</c:v>
                </c:pt>
                <c:pt idx="113">
                  <c:v>-1.52231694993847E-2</c:v>
                </c:pt>
                <c:pt idx="114">
                  <c:v>-1.3853421340938501E-2</c:v>
                </c:pt>
                <c:pt idx="115">
                  <c:v>-1.9430105751136802E-2</c:v>
                </c:pt>
                <c:pt idx="116">
                  <c:v>-2.73444875769315E-2</c:v>
                </c:pt>
                <c:pt idx="117">
                  <c:v>-1.5039191345648399E-2</c:v>
                </c:pt>
                <c:pt idx="118">
                  <c:v>-1.4959754016792301E-2</c:v>
                </c:pt>
                <c:pt idx="119">
                  <c:v>-2.3637475391108699E-2</c:v>
                </c:pt>
                <c:pt idx="120">
                  <c:v>-4.2971411544253796E-3</c:v>
                </c:pt>
                <c:pt idx="121">
                  <c:v>-1.12320096886704E-2</c:v>
                </c:pt>
                <c:pt idx="122">
                  <c:v>-1.49918711533514E-2</c:v>
                </c:pt>
                <c:pt idx="123">
                  <c:v>-2.4644573619390601E-3</c:v>
                </c:pt>
                <c:pt idx="124">
                  <c:v>8.81142135541697E-3</c:v>
                </c:pt>
                <c:pt idx="125">
                  <c:v>1.9986490314462201E-3</c:v>
                </c:pt>
                <c:pt idx="126">
                  <c:v>1.6168516771374802E-2</c:v>
                </c:pt>
                <c:pt idx="127">
                  <c:v>1.73794341432114E-2</c:v>
                </c:pt>
                <c:pt idx="128">
                  <c:v>7.17814398628943E-3</c:v>
                </c:pt>
                <c:pt idx="129">
                  <c:v>1.3547396991119899E-2</c:v>
                </c:pt>
                <c:pt idx="130">
                  <c:v>2.00788172042871E-2</c:v>
                </c:pt>
                <c:pt idx="131">
                  <c:v>1.8464236259915199E-2</c:v>
                </c:pt>
                <c:pt idx="132">
                  <c:v>2.41614469204228E-2</c:v>
                </c:pt>
                <c:pt idx="133">
                  <c:v>3.0447919447604901E-2</c:v>
                </c:pt>
                <c:pt idx="134">
                  <c:v>2.3512073384989299E-2</c:v>
                </c:pt>
                <c:pt idx="135">
                  <c:v>2.1964494403345299E-2</c:v>
                </c:pt>
                <c:pt idx="136">
                  <c:v>1.15515024538677E-2</c:v>
                </c:pt>
                <c:pt idx="137">
                  <c:v>9.5660867601312701E-3</c:v>
                </c:pt>
                <c:pt idx="138">
                  <c:v>4.5172027060867096E-3</c:v>
                </c:pt>
                <c:pt idx="139">
                  <c:v>1.50307970908165E-2</c:v>
                </c:pt>
                <c:pt idx="140">
                  <c:v>1.0669870585521201E-2</c:v>
                </c:pt>
                <c:pt idx="141">
                  <c:v>2.3408016985469599E-2</c:v>
                </c:pt>
                <c:pt idx="142">
                  <c:v>2.7270411018413699E-2</c:v>
                </c:pt>
                <c:pt idx="143">
                  <c:v>9.4044982598595808E-3</c:v>
                </c:pt>
                <c:pt idx="144">
                  <c:v>1.01145688514621E-2</c:v>
                </c:pt>
                <c:pt idx="145">
                  <c:v>1.2522664731839399E-2</c:v>
                </c:pt>
                <c:pt idx="146">
                  <c:v>-9.1222075718056699E-4</c:v>
                </c:pt>
                <c:pt idx="147">
                  <c:v>9.6589040187631293E-3</c:v>
                </c:pt>
                <c:pt idx="148">
                  <c:v>8.4974790318512201E-3</c:v>
                </c:pt>
                <c:pt idx="149">
                  <c:v>6.6274473612322696E-3</c:v>
                </c:pt>
                <c:pt idx="150">
                  <c:v>8.3992094874404209E-3</c:v>
                </c:pt>
                <c:pt idx="151">
                  <c:v>4.6939635524373396E-3</c:v>
                </c:pt>
                <c:pt idx="152">
                  <c:v>1.58142356455046E-3</c:v>
                </c:pt>
                <c:pt idx="153">
                  <c:v>1.0892311709507099E-3</c:v>
                </c:pt>
                <c:pt idx="154">
                  <c:v>-4.1356187731078501E-4</c:v>
                </c:pt>
                <c:pt idx="155">
                  <c:v>-5.57442014838762E-3</c:v>
                </c:pt>
                <c:pt idx="156">
                  <c:v>3.6537347793516302E-3</c:v>
                </c:pt>
                <c:pt idx="157">
                  <c:v>9.5547965098818997E-3</c:v>
                </c:pt>
                <c:pt idx="158">
                  <c:v>6.4256222361987903E-3</c:v>
                </c:pt>
                <c:pt idx="159">
                  <c:v>5.7004656560413697E-3</c:v>
                </c:pt>
                <c:pt idx="160">
                  <c:v>7.5080761830876698E-3</c:v>
                </c:pt>
                <c:pt idx="161">
                  <c:v>7.6134339790072097E-3</c:v>
                </c:pt>
                <c:pt idx="162">
                  <c:v>4.7532878498161603E-3</c:v>
                </c:pt>
                <c:pt idx="163">
                  <c:v>1.6299919640832699E-2</c:v>
                </c:pt>
                <c:pt idx="164">
                  <c:v>1.24213940289643E-2</c:v>
                </c:pt>
                <c:pt idx="165">
                  <c:v>1.3243730384026301E-2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95-47FF-9C8D-3137552F6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SMH_SOXX_2!$Y$1</c:f>
              <c:strCache>
                <c:ptCount val="1"/>
                <c:pt idx="0">
                  <c:v> SOXX*/SMH*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SMH_SOXX_2!$Y$2:$Y$167</c:f>
              <c:numCache>
                <c:formatCode>_(* #,##0.0000_);_(* \(#,##0.0000\);_(* "-"??_);_(@_)</c:formatCode>
                <c:ptCount val="166"/>
                <c:pt idx="0">
                  <c:v>0.90571436398272598</c:v>
                </c:pt>
                <c:pt idx="1">
                  <c:v>0.90571436398272598</c:v>
                </c:pt>
                <c:pt idx="2">
                  <c:v>0.90571436398272598</c:v>
                </c:pt>
                <c:pt idx="3">
                  <c:v>0.90571436398272598</c:v>
                </c:pt>
                <c:pt idx="4">
                  <c:v>0.90571436398272598</c:v>
                </c:pt>
                <c:pt idx="5">
                  <c:v>0.90571436398272598</c:v>
                </c:pt>
                <c:pt idx="6">
                  <c:v>0.90571436398272598</c:v>
                </c:pt>
                <c:pt idx="7">
                  <c:v>0.90571436398272598</c:v>
                </c:pt>
                <c:pt idx="8">
                  <c:v>0.90571436398272598</c:v>
                </c:pt>
                <c:pt idx="9">
                  <c:v>0.90571436398272598</c:v>
                </c:pt>
                <c:pt idx="10">
                  <c:v>0.90571436398272598</c:v>
                </c:pt>
                <c:pt idx="11">
                  <c:v>0.90571436398272598</c:v>
                </c:pt>
                <c:pt idx="12">
                  <c:v>0.90571436398272598</c:v>
                </c:pt>
                <c:pt idx="13">
                  <c:v>0.90571436398272598</c:v>
                </c:pt>
                <c:pt idx="14">
                  <c:v>0.90571436398272598</c:v>
                </c:pt>
                <c:pt idx="15">
                  <c:v>0.90571436398272598</c:v>
                </c:pt>
                <c:pt idx="16">
                  <c:v>0.90571436398272598</c:v>
                </c:pt>
                <c:pt idx="17">
                  <c:v>0.90571436398272598</c:v>
                </c:pt>
                <c:pt idx="18">
                  <c:v>0.90571436398272598</c:v>
                </c:pt>
                <c:pt idx="19">
                  <c:v>0.90571436398272598</c:v>
                </c:pt>
                <c:pt idx="20">
                  <c:v>0.90571436398272598</c:v>
                </c:pt>
                <c:pt idx="21">
                  <c:v>0.90571436398272598</c:v>
                </c:pt>
                <c:pt idx="22">
                  <c:v>0.90571436398272598</c:v>
                </c:pt>
                <c:pt idx="23">
                  <c:v>0.90571436398272598</c:v>
                </c:pt>
                <c:pt idx="24">
                  <c:v>0.90571436398272598</c:v>
                </c:pt>
                <c:pt idx="25">
                  <c:v>0.90571436398272598</c:v>
                </c:pt>
                <c:pt idx="26">
                  <c:v>0.90571436398272598</c:v>
                </c:pt>
                <c:pt idx="27">
                  <c:v>0.90571436398272598</c:v>
                </c:pt>
                <c:pt idx="28">
                  <c:v>0.90571436398272598</c:v>
                </c:pt>
                <c:pt idx="29">
                  <c:v>0.90571436398272598</c:v>
                </c:pt>
                <c:pt idx="30">
                  <c:v>0.90571436398272598</c:v>
                </c:pt>
                <c:pt idx="31">
                  <c:v>0.90571436398272598</c:v>
                </c:pt>
                <c:pt idx="32">
                  <c:v>0.90571436398272598</c:v>
                </c:pt>
                <c:pt idx="33">
                  <c:v>0.90571436398272598</c:v>
                </c:pt>
                <c:pt idx="34">
                  <c:v>0.90571436398272598</c:v>
                </c:pt>
                <c:pt idx="35">
                  <c:v>0.90571436398272598</c:v>
                </c:pt>
                <c:pt idx="36">
                  <c:v>0.90571436398272598</c:v>
                </c:pt>
                <c:pt idx="37">
                  <c:v>0.90571436398272598</c:v>
                </c:pt>
                <c:pt idx="38">
                  <c:v>0.90571436398272598</c:v>
                </c:pt>
                <c:pt idx="39">
                  <c:v>0.90571436398272598</c:v>
                </c:pt>
                <c:pt idx="40">
                  <c:v>0.90571436398272598</c:v>
                </c:pt>
                <c:pt idx="41">
                  <c:v>0.90571436398272598</c:v>
                </c:pt>
                <c:pt idx="42">
                  <c:v>0.90571436398272598</c:v>
                </c:pt>
                <c:pt idx="43">
                  <c:v>0.90571436398272598</c:v>
                </c:pt>
                <c:pt idx="44">
                  <c:v>0.90571436398272598</c:v>
                </c:pt>
                <c:pt idx="45">
                  <c:v>0.90571436398272598</c:v>
                </c:pt>
                <c:pt idx="46">
                  <c:v>0.90571436398272598</c:v>
                </c:pt>
                <c:pt idx="47">
                  <c:v>0.90571436398272598</c:v>
                </c:pt>
                <c:pt idx="48">
                  <c:v>0.90571436398272598</c:v>
                </c:pt>
                <c:pt idx="49">
                  <c:v>0.90571436398272598</c:v>
                </c:pt>
                <c:pt idx="50">
                  <c:v>0.90571436398272598</c:v>
                </c:pt>
                <c:pt idx="51">
                  <c:v>0.90571436398272598</c:v>
                </c:pt>
                <c:pt idx="52">
                  <c:v>0.90571436398272598</c:v>
                </c:pt>
                <c:pt idx="53">
                  <c:v>0.90571436398272598</c:v>
                </c:pt>
                <c:pt idx="54">
                  <c:v>0.90571436398272598</c:v>
                </c:pt>
                <c:pt idx="55">
                  <c:v>0.90571436398272598</c:v>
                </c:pt>
                <c:pt idx="56">
                  <c:v>0.90571436398272598</c:v>
                </c:pt>
                <c:pt idx="57">
                  <c:v>0.90571436398272598</c:v>
                </c:pt>
                <c:pt idx="58">
                  <c:v>0.90571436398272598</c:v>
                </c:pt>
                <c:pt idx="59">
                  <c:v>0.90571436398272598</c:v>
                </c:pt>
                <c:pt idx="60">
                  <c:v>0.90571436398272598</c:v>
                </c:pt>
                <c:pt idx="61">
                  <c:v>0.90571436398272598</c:v>
                </c:pt>
                <c:pt idx="62">
                  <c:v>0.90571436398272598</c:v>
                </c:pt>
                <c:pt idx="63">
                  <c:v>0.90571436398272598</c:v>
                </c:pt>
                <c:pt idx="64">
                  <c:v>0.90571436398272598</c:v>
                </c:pt>
                <c:pt idx="65">
                  <c:v>0.90571436398272598</c:v>
                </c:pt>
                <c:pt idx="66">
                  <c:v>0.90571436398272598</c:v>
                </c:pt>
                <c:pt idx="67">
                  <c:v>0.90571436398272598</c:v>
                </c:pt>
                <c:pt idx="68">
                  <c:v>0.90571436398272598</c:v>
                </c:pt>
                <c:pt idx="69">
                  <c:v>0.90571436398272598</c:v>
                </c:pt>
                <c:pt idx="70">
                  <c:v>0.90571436398272598</c:v>
                </c:pt>
                <c:pt idx="71">
                  <c:v>0.90571436398272598</c:v>
                </c:pt>
                <c:pt idx="72">
                  <c:v>0.90571436398272598</c:v>
                </c:pt>
                <c:pt idx="73">
                  <c:v>0.90571436398272598</c:v>
                </c:pt>
                <c:pt idx="74">
                  <c:v>0.90571436398272598</c:v>
                </c:pt>
                <c:pt idx="75">
                  <c:v>0.90571436398272598</c:v>
                </c:pt>
                <c:pt idx="76">
                  <c:v>0.90571436398272598</c:v>
                </c:pt>
                <c:pt idx="77">
                  <c:v>0.90571436398272598</c:v>
                </c:pt>
                <c:pt idx="78">
                  <c:v>0.90571436398272598</c:v>
                </c:pt>
                <c:pt idx="79">
                  <c:v>0.90571436398272598</c:v>
                </c:pt>
                <c:pt idx="80">
                  <c:v>0.90571436398272598</c:v>
                </c:pt>
                <c:pt idx="81">
                  <c:v>0.90571436398272598</c:v>
                </c:pt>
                <c:pt idx="82">
                  <c:v>0.90571436398272598</c:v>
                </c:pt>
                <c:pt idx="83">
                  <c:v>0.90571436398272598</c:v>
                </c:pt>
                <c:pt idx="84">
                  <c:v>0.90571436398272598</c:v>
                </c:pt>
                <c:pt idx="85">
                  <c:v>0.90571436398272598</c:v>
                </c:pt>
                <c:pt idx="86">
                  <c:v>0.90571436398272598</c:v>
                </c:pt>
                <c:pt idx="87">
                  <c:v>0.90571436398272598</c:v>
                </c:pt>
                <c:pt idx="88">
                  <c:v>0.90571436398272598</c:v>
                </c:pt>
                <c:pt idx="89">
                  <c:v>0.90571436398272598</c:v>
                </c:pt>
                <c:pt idx="90">
                  <c:v>0.90571436398272598</c:v>
                </c:pt>
                <c:pt idx="91">
                  <c:v>0.90571436398272598</c:v>
                </c:pt>
                <c:pt idx="92">
                  <c:v>0.90571436398272598</c:v>
                </c:pt>
                <c:pt idx="93">
                  <c:v>0.90571436398272598</c:v>
                </c:pt>
                <c:pt idx="94">
                  <c:v>0.90571436398272598</c:v>
                </c:pt>
                <c:pt idx="95">
                  <c:v>0.90571436398272598</c:v>
                </c:pt>
                <c:pt idx="96">
                  <c:v>0.90571436398272598</c:v>
                </c:pt>
                <c:pt idx="97">
                  <c:v>0.90571436398272598</c:v>
                </c:pt>
                <c:pt idx="98">
                  <c:v>0.90571436398272598</c:v>
                </c:pt>
                <c:pt idx="99">
                  <c:v>0.90571436398272598</c:v>
                </c:pt>
                <c:pt idx="100">
                  <c:v>0.90571436398272598</c:v>
                </c:pt>
                <c:pt idx="101">
                  <c:v>0.90571436398272598</c:v>
                </c:pt>
                <c:pt idx="102">
                  <c:v>0.90571436398272598</c:v>
                </c:pt>
                <c:pt idx="103">
                  <c:v>0.90571436398272598</c:v>
                </c:pt>
                <c:pt idx="104">
                  <c:v>0.90571436398272598</c:v>
                </c:pt>
                <c:pt idx="105">
                  <c:v>0.90571436398272598</c:v>
                </c:pt>
                <c:pt idx="106">
                  <c:v>0.90571436398272598</c:v>
                </c:pt>
                <c:pt idx="107">
                  <c:v>0.90571436398272598</c:v>
                </c:pt>
                <c:pt idx="108">
                  <c:v>0.90571436398272598</c:v>
                </c:pt>
                <c:pt idx="109">
                  <c:v>0.90571436398272598</c:v>
                </c:pt>
                <c:pt idx="110">
                  <c:v>0.90571436398272598</c:v>
                </c:pt>
                <c:pt idx="111">
                  <c:v>0.90571436398272598</c:v>
                </c:pt>
                <c:pt idx="112">
                  <c:v>0.90571436398272598</c:v>
                </c:pt>
                <c:pt idx="113">
                  <c:v>0.90571436398272598</c:v>
                </c:pt>
                <c:pt idx="114">
                  <c:v>0.90571436398272598</c:v>
                </c:pt>
                <c:pt idx="115">
                  <c:v>0.90571436398272598</c:v>
                </c:pt>
                <c:pt idx="116">
                  <c:v>0.90571436398272598</c:v>
                </c:pt>
                <c:pt idx="117">
                  <c:v>0.90571436398272598</c:v>
                </c:pt>
                <c:pt idx="118">
                  <c:v>0.90571436398272598</c:v>
                </c:pt>
                <c:pt idx="119">
                  <c:v>0.90571436398272598</c:v>
                </c:pt>
                <c:pt idx="120">
                  <c:v>0.90571436398272598</c:v>
                </c:pt>
                <c:pt idx="121">
                  <c:v>0.90571436398272598</c:v>
                </c:pt>
                <c:pt idx="122">
                  <c:v>0.90571436398272598</c:v>
                </c:pt>
                <c:pt idx="123">
                  <c:v>0.90571436398272598</c:v>
                </c:pt>
                <c:pt idx="124">
                  <c:v>0.90571436398272598</c:v>
                </c:pt>
                <c:pt idx="125">
                  <c:v>0.90571436398272598</c:v>
                </c:pt>
                <c:pt idx="126">
                  <c:v>0.90571436398272598</c:v>
                </c:pt>
                <c:pt idx="127">
                  <c:v>0.90571436398272598</c:v>
                </c:pt>
                <c:pt idx="128">
                  <c:v>0.90571436398272598</c:v>
                </c:pt>
                <c:pt idx="129">
                  <c:v>0.90571436398272598</c:v>
                </c:pt>
                <c:pt idx="130">
                  <c:v>0.90571436398272598</c:v>
                </c:pt>
                <c:pt idx="131">
                  <c:v>0.90571436398272598</c:v>
                </c:pt>
                <c:pt idx="132">
                  <c:v>0.90571436398272598</c:v>
                </c:pt>
                <c:pt idx="133">
                  <c:v>0.90571436398272598</c:v>
                </c:pt>
                <c:pt idx="134">
                  <c:v>0.90571436398272598</c:v>
                </c:pt>
                <c:pt idx="135">
                  <c:v>0.90571436398272598</c:v>
                </c:pt>
                <c:pt idx="136">
                  <c:v>0.90571436398272598</c:v>
                </c:pt>
                <c:pt idx="137">
                  <c:v>0.90571436398272598</c:v>
                </c:pt>
                <c:pt idx="138">
                  <c:v>0.90571436398272598</c:v>
                </c:pt>
                <c:pt idx="139">
                  <c:v>0.90571436398272598</c:v>
                </c:pt>
                <c:pt idx="140">
                  <c:v>0.90571436398272598</c:v>
                </c:pt>
                <c:pt idx="141">
                  <c:v>0.90571436398272598</c:v>
                </c:pt>
                <c:pt idx="142">
                  <c:v>0.90571436398272598</c:v>
                </c:pt>
                <c:pt idx="143">
                  <c:v>0.90571436398272598</c:v>
                </c:pt>
                <c:pt idx="144">
                  <c:v>0.90571436398272598</c:v>
                </c:pt>
                <c:pt idx="145">
                  <c:v>0.90571436398272598</c:v>
                </c:pt>
                <c:pt idx="146">
                  <c:v>0.90571436398272598</c:v>
                </c:pt>
                <c:pt idx="147">
                  <c:v>0.90571436398272598</c:v>
                </c:pt>
                <c:pt idx="148">
                  <c:v>0.90571436398272598</c:v>
                </c:pt>
                <c:pt idx="149">
                  <c:v>0.90571436398272598</c:v>
                </c:pt>
                <c:pt idx="150">
                  <c:v>0.90571436398272598</c:v>
                </c:pt>
                <c:pt idx="151">
                  <c:v>0.90571436398272598</c:v>
                </c:pt>
                <c:pt idx="152">
                  <c:v>0.90571436398272598</c:v>
                </c:pt>
                <c:pt idx="153">
                  <c:v>0.90571436398272598</c:v>
                </c:pt>
                <c:pt idx="154">
                  <c:v>0.90571436398272598</c:v>
                </c:pt>
                <c:pt idx="155">
                  <c:v>0.90571436398272598</c:v>
                </c:pt>
                <c:pt idx="156">
                  <c:v>0.90571436398272598</c:v>
                </c:pt>
                <c:pt idx="157">
                  <c:v>0.90571436398272598</c:v>
                </c:pt>
                <c:pt idx="158">
                  <c:v>0.90571436398272598</c:v>
                </c:pt>
                <c:pt idx="159">
                  <c:v>0.90571436398272598</c:v>
                </c:pt>
                <c:pt idx="160">
                  <c:v>0.90571436398272598</c:v>
                </c:pt>
                <c:pt idx="161">
                  <c:v>0.90571436398272598</c:v>
                </c:pt>
                <c:pt idx="162">
                  <c:v>0.90571436398272598</c:v>
                </c:pt>
                <c:pt idx="163">
                  <c:v>0.90571436398272598</c:v>
                </c:pt>
                <c:pt idx="164">
                  <c:v>0.90571436398272598</c:v>
                </c:pt>
                <c:pt idx="165">
                  <c:v>0.90571436398272598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7-455C-A1A7-6A7B7D0D6415}"/>
            </c:ext>
          </c:extLst>
        </c:ser>
        <c:ser>
          <c:idx val="1"/>
          <c:order val="1"/>
          <c:tx>
            <c:strRef>
              <c:f>SMH_SOXX_2!$Z$1</c:f>
              <c:strCache>
                <c:ptCount val="1"/>
                <c:pt idx="0">
                  <c:v> SOXX*/SMH*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SMH_SOXX_2!$Z$2:$Z$167</c:f>
              <c:numCache>
                <c:formatCode>_(* #,##0.0000_);_(* \(#,##0.0000\);_(* "-"??_);_(@_)</c:formatCode>
                <c:ptCount val="166"/>
                <c:pt idx="9">
                  <c:v>0.84637780240292404</c:v>
                </c:pt>
                <c:pt idx="10">
                  <c:v>0.84788029668610598</c:v>
                </c:pt>
                <c:pt idx="11">
                  <c:v>0.850059660795077</c:v>
                </c:pt>
                <c:pt idx="12">
                  <c:v>0.85196748209104201</c:v>
                </c:pt>
                <c:pt idx="13">
                  <c:v>0.85414212385502197</c:v>
                </c:pt>
                <c:pt idx="14">
                  <c:v>0.85597388860383194</c:v>
                </c:pt>
                <c:pt idx="15">
                  <c:v>0.85752364421207306</c:v>
                </c:pt>
                <c:pt idx="16">
                  <c:v>0.85916911022656905</c:v>
                </c:pt>
                <c:pt idx="17">
                  <c:v>0.86055954738083995</c:v>
                </c:pt>
                <c:pt idx="18">
                  <c:v>0.86158946437580097</c:v>
                </c:pt>
                <c:pt idx="19">
                  <c:v>0.86235352313664504</c:v>
                </c:pt>
                <c:pt idx="20">
                  <c:v>0.86326940295574295</c:v>
                </c:pt>
                <c:pt idx="21">
                  <c:v>0.86376991833254102</c:v>
                </c:pt>
                <c:pt idx="22">
                  <c:v>0.86363522882925703</c:v>
                </c:pt>
                <c:pt idx="23">
                  <c:v>0.86389402812970495</c:v>
                </c:pt>
                <c:pt idx="24">
                  <c:v>0.86450548920650805</c:v>
                </c:pt>
                <c:pt idx="25">
                  <c:v>0.865234503132152</c:v>
                </c:pt>
                <c:pt idx="26">
                  <c:v>0.86585130481277905</c:v>
                </c:pt>
                <c:pt idx="27">
                  <c:v>0.866174508258298</c:v>
                </c:pt>
                <c:pt idx="28">
                  <c:v>0.866233352479027</c:v>
                </c:pt>
                <c:pt idx="29">
                  <c:v>0.86738697100050799</c:v>
                </c:pt>
                <c:pt idx="30">
                  <c:v>0.86783056009689996</c:v>
                </c:pt>
                <c:pt idx="31">
                  <c:v>0.86767442703757902</c:v>
                </c:pt>
                <c:pt idx="32">
                  <c:v>0.86793997175635496</c:v>
                </c:pt>
                <c:pt idx="33">
                  <c:v>0.86772727928718896</c:v>
                </c:pt>
                <c:pt idx="34">
                  <c:v>0.86737990878516202</c:v>
                </c:pt>
                <c:pt idx="35">
                  <c:v>0.86700237762546095</c:v>
                </c:pt>
                <c:pt idx="36">
                  <c:v>0.86653063033320099</c:v>
                </c:pt>
                <c:pt idx="37">
                  <c:v>0.86628925311219895</c:v>
                </c:pt>
                <c:pt idx="38">
                  <c:v>0.86642827972553105</c:v>
                </c:pt>
                <c:pt idx="39">
                  <c:v>0.86607072073559499</c:v>
                </c:pt>
                <c:pt idx="40">
                  <c:v>0.86478549411703298</c:v>
                </c:pt>
                <c:pt idx="41">
                  <c:v>0.86360507487231497</c:v>
                </c:pt>
                <c:pt idx="42">
                  <c:v>0.862290307522941</c:v>
                </c:pt>
                <c:pt idx="43">
                  <c:v>0.86069586365611395</c:v>
                </c:pt>
                <c:pt idx="44">
                  <c:v>0.85956665761744999</c:v>
                </c:pt>
                <c:pt idx="45">
                  <c:v>0.85846560064734501</c:v>
                </c:pt>
                <c:pt idx="46">
                  <c:v>0.85741590217544394</c:v>
                </c:pt>
                <c:pt idx="47">
                  <c:v>0.85588807432048797</c:v>
                </c:pt>
                <c:pt idx="48">
                  <c:v>0.85473560579550401</c:v>
                </c:pt>
                <c:pt idx="49">
                  <c:v>0.85386806604530796</c:v>
                </c:pt>
                <c:pt idx="50">
                  <c:v>0.85404331756492702</c:v>
                </c:pt>
                <c:pt idx="51">
                  <c:v>0.85445096989736502</c:v>
                </c:pt>
                <c:pt idx="52">
                  <c:v>0.85521449329200405</c:v>
                </c:pt>
                <c:pt idx="53">
                  <c:v>0.856684205448356</c:v>
                </c:pt>
                <c:pt idx="54">
                  <c:v>0.85744955276762902</c:v>
                </c:pt>
                <c:pt idx="55">
                  <c:v>0.85865444601517005</c:v>
                </c:pt>
                <c:pt idx="56">
                  <c:v>0.85992819950822597</c:v>
                </c:pt>
                <c:pt idx="57">
                  <c:v>0.86125938679724501</c:v>
                </c:pt>
                <c:pt idx="58">
                  <c:v>0.86220968891924399</c:v>
                </c:pt>
                <c:pt idx="59">
                  <c:v>0.861958218232586</c:v>
                </c:pt>
                <c:pt idx="60">
                  <c:v>0.86195134004248397</c:v>
                </c:pt>
                <c:pt idx="61">
                  <c:v>0.86238804398179603</c:v>
                </c:pt>
                <c:pt idx="62">
                  <c:v>0.86280890291863799</c:v>
                </c:pt>
                <c:pt idx="63">
                  <c:v>0.86328109852177304</c:v>
                </c:pt>
                <c:pt idx="64">
                  <c:v>0.86423649167699201</c:v>
                </c:pt>
                <c:pt idx="65">
                  <c:v>0.86539065425738704</c:v>
                </c:pt>
                <c:pt idx="66">
                  <c:v>0.86685243350425101</c:v>
                </c:pt>
                <c:pt idx="67">
                  <c:v>0.86898795061278999</c:v>
                </c:pt>
                <c:pt idx="68">
                  <c:v>0.87126706407891596</c:v>
                </c:pt>
                <c:pt idx="69">
                  <c:v>0.87457338334252799</c:v>
                </c:pt>
                <c:pt idx="70">
                  <c:v>0.87755338399752403</c:v>
                </c:pt>
                <c:pt idx="71">
                  <c:v>0.88043621526669502</c:v>
                </c:pt>
                <c:pt idx="72">
                  <c:v>0.88342526155171397</c:v>
                </c:pt>
                <c:pt idx="73">
                  <c:v>0.88651622146947096</c:v>
                </c:pt>
                <c:pt idx="74">
                  <c:v>0.89008655296819805</c:v>
                </c:pt>
                <c:pt idx="75">
                  <c:v>0.89304950951907702</c:v>
                </c:pt>
                <c:pt idx="76">
                  <c:v>0.89657654490837502</c:v>
                </c:pt>
                <c:pt idx="77">
                  <c:v>0.89922492752138505</c:v>
                </c:pt>
                <c:pt idx="78">
                  <c:v>0.90045287796649198</c:v>
                </c:pt>
                <c:pt idx="79">
                  <c:v>0.90099140100494202</c:v>
                </c:pt>
                <c:pt idx="80">
                  <c:v>0.90234996611507801</c:v>
                </c:pt>
                <c:pt idx="81">
                  <c:v>0.90415036486299505</c:v>
                </c:pt>
                <c:pt idx="82">
                  <c:v>0.90594033611042502</c:v>
                </c:pt>
                <c:pt idx="83">
                  <c:v>0.90711342481679702</c:v>
                </c:pt>
                <c:pt idx="84">
                  <c:v>0.90892407044560997</c:v>
                </c:pt>
                <c:pt idx="85">
                  <c:v>0.91056660790447397</c:v>
                </c:pt>
                <c:pt idx="86">
                  <c:v>0.91020059175025503</c:v>
                </c:pt>
                <c:pt idx="87">
                  <c:v>0.91088837258158895</c:v>
                </c:pt>
                <c:pt idx="88">
                  <c:v>0.91337092912768103</c:v>
                </c:pt>
                <c:pt idx="89">
                  <c:v>0.91598939689199899</c:v>
                </c:pt>
                <c:pt idx="90">
                  <c:v>0.91819461294650295</c:v>
                </c:pt>
                <c:pt idx="91">
                  <c:v>0.91877221466137904</c:v>
                </c:pt>
                <c:pt idx="92">
                  <c:v>0.91881756824426397</c:v>
                </c:pt>
                <c:pt idx="93">
                  <c:v>0.91843282706518703</c:v>
                </c:pt>
                <c:pt idx="94">
                  <c:v>0.91739555296179298</c:v>
                </c:pt>
                <c:pt idx="95">
                  <c:v>0.91734185701814097</c:v>
                </c:pt>
                <c:pt idx="96">
                  <c:v>0.91857711930455699</c:v>
                </c:pt>
                <c:pt idx="97">
                  <c:v>0.91997298215087298</c:v>
                </c:pt>
                <c:pt idx="98">
                  <c:v>0.922205448826524</c:v>
                </c:pt>
                <c:pt idx="99">
                  <c:v>0.92497442937080598</c:v>
                </c:pt>
                <c:pt idx="100">
                  <c:v>0.92762716075907103</c:v>
                </c:pt>
                <c:pt idx="101">
                  <c:v>0.93099525458485999</c:v>
                </c:pt>
                <c:pt idx="102">
                  <c:v>0.93368439212724297</c:v>
                </c:pt>
                <c:pt idx="103">
                  <c:v>0.93858634819175901</c:v>
                </c:pt>
                <c:pt idx="104">
                  <c:v>0.943778199352445</c:v>
                </c:pt>
                <c:pt idx="105">
                  <c:v>0.94767519799533795</c:v>
                </c:pt>
                <c:pt idx="106">
                  <c:v>0.95002506066876102</c:v>
                </c:pt>
                <c:pt idx="107">
                  <c:v>0.952323721529864</c:v>
                </c:pt>
                <c:pt idx="108">
                  <c:v>0.95276219619144698</c:v>
                </c:pt>
                <c:pt idx="109">
                  <c:v>0.952907057955795</c:v>
                </c:pt>
                <c:pt idx="110">
                  <c:v>0.95427280985955198</c:v>
                </c:pt>
                <c:pt idx="111">
                  <c:v>0.95543107977604302</c:v>
                </c:pt>
                <c:pt idx="112">
                  <c:v>0.95849376496744199</c:v>
                </c:pt>
                <c:pt idx="113">
                  <c:v>0.95882183319745795</c:v>
                </c:pt>
                <c:pt idx="114">
                  <c:v>0.958466374217254</c:v>
                </c:pt>
                <c:pt idx="115">
                  <c:v>0.95936517316066805</c:v>
                </c:pt>
                <c:pt idx="116">
                  <c:v>0.96257599721232401</c:v>
                </c:pt>
                <c:pt idx="117">
                  <c:v>0.96408571435770996</c:v>
                </c:pt>
                <c:pt idx="118">
                  <c:v>0.96620008615122699</c:v>
                </c:pt>
                <c:pt idx="119">
                  <c:v>0.96955643853693696</c:v>
                </c:pt>
                <c:pt idx="120">
                  <c:v>0.96975457197561399</c:v>
                </c:pt>
                <c:pt idx="121">
                  <c:v>0.97083346561653205</c:v>
                </c:pt>
                <c:pt idx="122">
                  <c:v>0.97140774949745601</c:v>
                </c:pt>
                <c:pt idx="123">
                  <c:v>0.97208075279386896</c:v>
                </c:pt>
                <c:pt idx="124">
                  <c:v>0.97158508459312098</c:v>
                </c:pt>
                <c:pt idx="125">
                  <c:v>0.97091663537463202</c:v>
                </c:pt>
                <c:pt idx="126">
                  <c:v>0.96788743763650997</c:v>
                </c:pt>
                <c:pt idx="127">
                  <c:v>0.96566846369867998</c:v>
                </c:pt>
                <c:pt idx="128">
                  <c:v>0.96420135161383702</c:v>
                </c:pt>
                <c:pt idx="129">
                  <c:v>0.96117954285607698</c:v>
                </c:pt>
                <c:pt idx="130">
                  <c:v>0.95926020900113596</c:v>
                </c:pt>
                <c:pt idx="131">
                  <c:v>0.95665840459613904</c:v>
                </c:pt>
                <c:pt idx="132">
                  <c:v>0.95296433329658203</c:v>
                </c:pt>
                <c:pt idx="133">
                  <c:v>0.94956425585592596</c:v>
                </c:pt>
                <c:pt idx="134">
                  <c:v>0.94771559797917104</c:v>
                </c:pt>
                <c:pt idx="135">
                  <c:v>0.94528589795213303</c:v>
                </c:pt>
                <c:pt idx="136">
                  <c:v>0.94502949305836803</c:v>
                </c:pt>
                <c:pt idx="137">
                  <c:v>0.94490459877044297</c:v>
                </c:pt>
                <c:pt idx="138">
                  <c:v>0.94420511667535201</c:v>
                </c:pt>
                <c:pt idx="139">
                  <c:v>0.94298062812549699</c:v>
                </c:pt>
                <c:pt idx="140">
                  <c:v>0.94256039528257896</c:v>
                </c:pt>
                <c:pt idx="141">
                  <c:v>0.940765192352085</c:v>
                </c:pt>
                <c:pt idx="142">
                  <c:v>0.93901020506046395</c:v>
                </c:pt>
                <c:pt idx="143">
                  <c:v>0.93939034914786901</c:v>
                </c:pt>
                <c:pt idx="144">
                  <c:v>0.93903808773220598</c:v>
                </c:pt>
                <c:pt idx="145">
                  <c:v>0.93832158817294198</c:v>
                </c:pt>
                <c:pt idx="146">
                  <c:v>0.93787817144113494</c:v>
                </c:pt>
                <c:pt idx="147">
                  <c:v>0.93638333853646905</c:v>
                </c:pt>
                <c:pt idx="148">
                  <c:v>0.93455370761989298</c:v>
                </c:pt>
                <c:pt idx="149">
                  <c:v>0.93387433354124405</c:v>
                </c:pt>
                <c:pt idx="150">
                  <c:v>0.93273462589819101</c:v>
                </c:pt>
                <c:pt idx="151">
                  <c:v>0.93316929245429503</c:v>
                </c:pt>
                <c:pt idx="152">
                  <c:v>0.93439899762728496</c:v>
                </c:pt>
                <c:pt idx="153">
                  <c:v>0.93425424087853304</c:v>
                </c:pt>
                <c:pt idx="154">
                  <c:v>0.93447797464473803</c:v>
                </c:pt>
                <c:pt idx="155">
                  <c:v>0.93551373300813301</c:v>
                </c:pt>
                <c:pt idx="156">
                  <c:v>0.93459747202768595</c:v>
                </c:pt>
                <c:pt idx="157">
                  <c:v>0.93409053856725899</c:v>
                </c:pt>
                <c:pt idx="158">
                  <c:v>0.93374673801160601</c:v>
                </c:pt>
                <c:pt idx="159">
                  <c:v>0.93331333513699299</c:v>
                </c:pt>
                <c:pt idx="160">
                  <c:v>0.93291654994084094</c:v>
                </c:pt>
                <c:pt idx="161">
                  <c:v>0.93216595072085295</c:v>
                </c:pt>
                <c:pt idx="162">
                  <c:v>0.93144177393354</c:v>
                </c:pt>
                <c:pt idx="163">
                  <c:v>0.929656999079716</c:v>
                </c:pt>
                <c:pt idx="164">
                  <c:v>0.927981121311232</c:v>
                </c:pt>
                <c:pt idx="165">
                  <c:v>0.92567946202502704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7-455C-A1A7-6A7B7D0D6415}"/>
            </c:ext>
          </c:extLst>
        </c:ser>
        <c:ser>
          <c:idx val="2"/>
          <c:order val="2"/>
          <c:tx>
            <c:strRef>
              <c:f>SMH_SOXX_2!$AA$1</c:f>
              <c:strCache>
                <c:ptCount val="1"/>
                <c:pt idx="0">
                  <c:v> SOXX*/SMH*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SMH_SOXX_2!$AA$2:$AA$167</c:f>
              <c:numCache>
                <c:formatCode>_(* #,##0.0000_);_(* \(#,##0.0000\);_(* "-"??_);_(@_)</c:formatCode>
                <c:ptCount val="166"/>
                <c:pt idx="19">
                  <c:v>0.85436566276978498</c:v>
                </c:pt>
                <c:pt idx="20">
                  <c:v>0.85557484982092502</c:v>
                </c:pt>
                <c:pt idx="21">
                  <c:v>0.85691478956380895</c:v>
                </c:pt>
                <c:pt idx="22">
                  <c:v>0.85780135546015002</c:v>
                </c:pt>
                <c:pt idx="23">
                  <c:v>0.85901807599236402</c:v>
                </c:pt>
                <c:pt idx="24">
                  <c:v>0.86023968890517</c:v>
                </c:pt>
                <c:pt idx="25">
                  <c:v>0.86137907367211297</c:v>
                </c:pt>
                <c:pt idx="26">
                  <c:v>0.862510207519674</c:v>
                </c:pt>
                <c:pt idx="27">
                  <c:v>0.86336702781956898</c:v>
                </c:pt>
                <c:pt idx="28">
                  <c:v>0.86391140842741398</c:v>
                </c:pt>
                <c:pt idx="29">
                  <c:v>0.86487024706857696</c:v>
                </c:pt>
                <c:pt idx="30">
                  <c:v>0.86554998152632201</c:v>
                </c:pt>
                <c:pt idx="31">
                  <c:v>0.86572217268506002</c:v>
                </c:pt>
                <c:pt idx="32">
                  <c:v>0.86578760029280599</c:v>
                </c:pt>
                <c:pt idx="33">
                  <c:v>0.86581065370844701</c:v>
                </c:pt>
                <c:pt idx="34">
                  <c:v>0.86594269899583498</c:v>
                </c:pt>
                <c:pt idx="35">
                  <c:v>0.86611844037880703</c:v>
                </c:pt>
                <c:pt idx="36">
                  <c:v>0.86619096757298997</c:v>
                </c:pt>
                <c:pt idx="37">
                  <c:v>0.86623188068524803</c:v>
                </c:pt>
                <c:pt idx="38">
                  <c:v>0.86633081610227902</c:v>
                </c:pt>
                <c:pt idx="39">
                  <c:v>0.86672884586805099</c:v>
                </c:pt>
                <c:pt idx="40">
                  <c:v>0.86630802710696697</c:v>
                </c:pt>
                <c:pt idx="41">
                  <c:v>0.86563975095494705</c:v>
                </c:pt>
                <c:pt idx="42">
                  <c:v>0.86511513963964803</c:v>
                </c:pt>
                <c:pt idx="43">
                  <c:v>0.86421157147165095</c:v>
                </c:pt>
                <c:pt idx="44">
                  <c:v>0.86347328320130601</c:v>
                </c:pt>
                <c:pt idx="45">
                  <c:v>0.86273398913640298</c:v>
                </c:pt>
                <c:pt idx="46">
                  <c:v>0.86197326625432202</c:v>
                </c:pt>
                <c:pt idx="47">
                  <c:v>0.86108866371634296</c:v>
                </c:pt>
                <c:pt idx="48">
                  <c:v>0.86058194276051703</c:v>
                </c:pt>
                <c:pt idx="49">
                  <c:v>0.85996939339045098</c:v>
                </c:pt>
                <c:pt idx="50">
                  <c:v>0.85941440584097994</c:v>
                </c:pt>
                <c:pt idx="51">
                  <c:v>0.85902802238484</c:v>
                </c:pt>
                <c:pt idx="52">
                  <c:v>0.85875240040747303</c:v>
                </c:pt>
                <c:pt idx="53">
                  <c:v>0.85869003455223503</c:v>
                </c:pt>
                <c:pt idx="54">
                  <c:v>0.85850810519253995</c:v>
                </c:pt>
                <c:pt idx="55">
                  <c:v>0.85856002333125703</c:v>
                </c:pt>
                <c:pt idx="56">
                  <c:v>0.85867205084183496</c:v>
                </c:pt>
                <c:pt idx="57">
                  <c:v>0.85857373055886599</c:v>
                </c:pt>
                <c:pt idx="58">
                  <c:v>0.85847264735737405</c:v>
                </c:pt>
                <c:pt idx="59">
                  <c:v>0.85791314213894698</c:v>
                </c:pt>
                <c:pt idx="60">
                  <c:v>0.85799732880370505</c:v>
                </c:pt>
                <c:pt idx="61">
                  <c:v>0.85841950693958002</c:v>
                </c:pt>
                <c:pt idx="62">
                  <c:v>0.85901169810532096</c:v>
                </c:pt>
                <c:pt idx="63">
                  <c:v>0.85998265198506496</c:v>
                </c:pt>
                <c:pt idx="64">
                  <c:v>0.86084302222231002</c:v>
                </c:pt>
                <c:pt idx="65">
                  <c:v>0.86202255013627804</c:v>
                </c:pt>
                <c:pt idx="66">
                  <c:v>0.86339031650623799</c:v>
                </c:pt>
                <c:pt idx="67">
                  <c:v>0.865123668705018</c:v>
                </c:pt>
                <c:pt idx="68">
                  <c:v>0.86673837649908003</c:v>
                </c:pt>
                <c:pt idx="69">
                  <c:v>0.868265800787557</c:v>
                </c:pt>
                <c:pt idx="70">
                  <c:v>0.86975236202000406</c:v>
                </c:pt>
                <c:pt idx="71">
                  <c:v>0.87141212962424597</c:v>
                </c:pt>
                <c:pt idx="72">
                  <c:v>0.87311708223517603</c:v>
                </c:pt>
                <c:pt idx="73">
                  <c:v>0.874898659995622</c:v>
                </c:pt>
                <c:pt idx="74">
                  <c:v>0.87716152232259503</c:v>
                </c:pt>
                <c:pt idx="75">
                  <c:v>0.87922008188823197</c:v>
                </c:pt>
                <c:pt idx="76">
                  <c:v>0.88171448920631301</c:v>
                </c:pt>
                <c:pt idx="77">
                  <c:v>0.88410643906708797</c:v>
                </c:pt>
                <c:pt idx="78">
                  <c:v>0.88585997102270397</c:v>
                </c:pt>
                <c:pt idx="79">
                  <c:v>0.887782392173735</c:v>
                </c:pt>
                <c:pt idx="80">
                  <c:v>0.88995167505630102</c:v>
                </c:pt>
                <c:pt idx="81">
                  <c:v>0.89229329006484503</c:v>
                </c:pt>
                <c:pt idx="82">
                  <c:v>0.89468279883107005</c:v>
                </c:pt>
                <c:pt idx="83">
                  <c:v>0.89681482314313399</c:v>
                </c:pt>
                <c:pt idx="84">
                  <c:v>0.89950531170690395</c:v>
                </c:pt>
                <c:pt idx="85">
                  <c:v>0.90180805871177605</c:v>
                </c:pt>
                <c:pt idx="86">
                  <c:v>0.90338856832931502</c:v>
                </c:pt>
                <c:pt idx="87">
                  <c:v>0.90505665005148705</c:v>
                </c:pt>
                <c:pt idx="88">
                  <c:v>0.90691190354708695</c:v>
                </c:pt>
                <c:pt idx="89">
                  <c:v>0.90849039894846995</c:v>
                </c:pt>
                <c:pt idx="90">
                  <c:v>0.91027228953079098</c:v>
                </c:pt>
                <c:pt idx="91">
                  <c:v>0.91146128976218699</c:v>
                </c:pt>
                <c:pt idx="92">
                  <c:v>0.91237895217734499</c:v>
                </c:pt>
                <c:pt idx="93">
                  <c:v>0.91277312594099203</c:v>
                </c:pt>
                <c:pt idx="94">
                  <c:v>0.91315981170370197</c:v>
                </c:pt>
                <c:pt idx="95">
                  <c:v>0.91395423246130802</c:v>
                </c:pt>
                <c:pt idx="96">
                  <c:v>0.91438885552740601</c:v>
                </c:pt>
                <c:pt idx="97">
                  <c:v>0.91543067736623096</c:v>
                </c:pt>
                <c:pt idx="98">
                  <c:v>0.91778818897710202</c:v>
                </c:pt>
                <c:pt idx="99">
                  <c:v>0.92048191313140304</c:v>
                </c:pt>
                <c:pt idx="100">
                  <c:v>0.92291088685278699</c:v>
                </c:pt>
                <c:pt idx="101">
                  <c:v>0.92488373462312001</c:v>
                </c:pt>
                <c:pt idx="102">
                  <c:v>0.92625098018575402</c:v>
                </c:pt>
                <c:pt idx="103">
                  <c:v>0.92850958762847302</c:v>
                </c:pt>
                <c:pt idx="104">
                  <c:v>0.93058687615711899</c:v>
                </c:pt>
                <c:pt idx="105">
                  <c:v>0.93250852750673996</c:v>
                </c:pt>
                <c:pt idx="106">
                  <c:v>0.93430108998665895</c:v>
                </c:pt>
                <c:pt idx="107">
                  <c:v>0.93614835184036804</c:v>
                </c:pt>
                <c:pt idx="108">
                  <c:v>0.93748382250898499</c:v>
                </c:pt>
                <c:pt idx="109">
                  <c:v>0.93894074366330105</c:v>
                </c:pt>
                <c:pt idx="110">
                  <c:v>0.94094998530931195</c:v>
                </c:pt>
                <c:pt idx="111">
                  <c:v>0.94321316718045101</c:v>
                </c:pt>
                <c:pt idx="112">
                  <c:v>0.94608907854734303</c:v>
                </c:pt>
                <c:pt idx="113">
                  <c:v>0.94870409069460804</c:v>
                </c:pt>
                <c:pt idx="114">
                  <c:v>0.951122286784849</c:v>
                </c:pt>
                <c:pt idx="115">
                  <c:v>0.953520185578003</c:v>
                </c:pt>
                <c:pt idx="116">
                  <c:v>0.95630052894054296</c:v>
                </c:pt>
                <c:pt idx="117">
                  <c:v>0.95820471794378703</c:v>
                </c:pt>
                <c:pt idx="118">
                  <c:v>0.95948114117133698</c:v>
                </c:pt>
                <c:pt idx="119">
                  <c:v>0.96123174824636604</c:v>
                </c:pt>
                <c:pt idx="120">
                  <c:v>0.96201369091758304</c:v>
                </c:pt>
                <c:pt idx="121">
                  <c:v>0.96313227269628698</c:v>
                </c:pt>
                <c:pt idx="122">
                  <c:v>0.96495075723244905</c:v>
                </c:pt>
                <c:pt idx="123">
                  <c:v>0.96545129299566301</c:v>
                </c:pt>
                <c:pt idx="124">
                  <c:v>0.96502572940518705</c:v>
                </c:pt>
                <c:pt idx="125">
                  <c:v>0.96514090426764998</c:v>
                </c:pt>
                <c:pt idx="126">
                  <c:v>0.96523171742441705</c:v>
                </c:pt>
                <c:pt idx="127">
                  <c:v>0.96487708902819502</c:v>
                </c:pt>
                <c:pt idx="128">
                  <c:v>0.965200718882532</c:v>
                </c:pt>
                <c:pt idx="129">
                  <c:v>0.96536799069650703</c:v>
                </c:pt>
                <c:pt idx="130">
                  <c:v>0.96450739048837497</c:v>
                </c:pt>
                <c:pt idx="131">
                  <c:v>0.96374593510633599</c:v>
                </c:pt>
                <c:pt idx="132">
                  <c:v>0.96218604139701902</c:v>
                </c:pt>
                <c:pt idx="133">
                  <c:v>0.96082250432489802</c:v>
                </c:pt>
                <c:pt idx="134">
                  <c:v>0.95965034128614601</c:v>
                </c:pt>
                <c:pt idx="135">
                  <c:v>0.95810126666338302</c:v>
                </c:pt>
                <c:pt idx="136">
                  <c:v>0.95645846534743895</c:v>
                </c:pt>
                <c:pt idx="137">
                  <c:v>0.95528653123456198</c:v>
                </c:pt>
                <c:pt idx="138">
                  <c:v>0.95420323414459396</c:v>
                </c:pt>
                <c:pt idx="139">
                  <c:v>0.95208008549078704</c:v>
                </c:pt>
                <c:pt idx="140">
                  <c:v>0.95091030214185801</c:v>
                </c:pt>
                <c:pt idx="141">
                  <c:v>0.94871179847411202</c:v>
                </c:pt>
                <c:pt idx="142">
                  <c:v>0.94598726917852305</c:v>
                </c:pt>
                <c:pt idx="143">
                  <c:v>0.94447730250189799</c:v>
                </c:pt>
                <c:pt idx="144">
                  <c:v>0.94337684285568801</c:v>
                </c:pt>
                <c:pt idx="145">
                  <c:v>0.941803743062537</c:v>
                </c:pt>
                <c:pt idx="146">
                  <c:v>0.94145383224975199</c:v>
                </c:pt>
                <c:pt idx="147">
                  <c:v>0.94064396865345601</c:v>
                </c:pt>
                <c:pt idx="148">
                  <c:v>0.93937941214762199</c:v>
                </c:pt>
                <c:pt idx="149">
                  <c:v>0.93842748083337102</c:v>
                </c:pt>
                <c:pt idx="150">
                  <c:v>0.93764751059038498</c:v>
                </c:pt>
                <c:pt idx="151">
                  <c:v>0.93696724240318996</c:v>
                </c:pt>
                <c:pt idx="152">
                  <c:v>0.93670460134387401</c:v>
                </c:pt>
                <c:pt idx="153">
                  <c:v>0.93682229501320102</c:v>
                </c:pt>
                <c:pt idx="154">
                  <c:v>0.93675803118847201</c:v>
                </c:pt>
                <c:pt idx="155">
                  <c:v>0.93691766059053705</c:v>
                </c:pt>
                <c:pt idx="156">
                  <c:v>0.93623782173441095</c:v>
                </c:pt>
                <c:pt idx="157">
                  <c:v>0.93523693855186496</c:v>
                </c:pt>
                <c:pt idx="158">
                  <c:v>0.93415022281575</c:v>
                </c:pt>
                <c:pt idx="159">
                  <c:v>0.93359383433911902</c:v>
                </c:pt>
                <c:pt idx="160">
                  <c:v>0.93282558791951597</c:v>
                </c:pt>
                <c:pt idx="161">
                  <c:v>0.93266762158757399</c:v>
                </c:pt>
                <c:pt idx="162">
                  <c:v>0.93292038578041303</c:v>
                </c:pt>
                <c:pt idx="163">
                  <c:v>0.93195561997912502</c:v>
                </c:pt>
                <c:pt idx="164">
                  <c:v>0.93122954797798496</c:v>
                </c:pt>
                <c:pt idx="165">
                  <c:v>0.93059659751657997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07-455C-A1A7-6A7B7D0D6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SMH_SOXX_2!$V$1</c:f>
              <c:strCache>
                <c:ptCount val="1"/>
                <c:pt idx="0">
                  <c:v>log diff SMH x 10 dma / SOXX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SMH_SOXX_2!$V$2:$V$167</c:f>
              <c:numCache>
                <c:formatCode>0.0000%</c:formatCode>
                <c:ptCount val="166"/>
                <c:pt idx="10">
                  <c:v>-1.0534434637330401E-2</c:v>
                </c:pt>
                <c:pt idx="11">
                  <c:v>-1.89905403391127E-2</c:v>
                </c:pt>
                <c:pt idx="12">
                  <c:v>-1.8775496411292499E-2</c:v>
                </c:pt>
                <c:pt idx="13">
                  <c:v>-1.5843023536762299E-2</c:v>
                </c:pt>
                <c:pt idx="14">
                  <c:v>-8.6716397008733005E-3</c:v>
                </c:pt>
                <c:pt idx="15">
                  <c:v>-4.9397279683597601E-3</c:v>
                </c:pt>
                <c:pt idx="16">
                  <c:v>-5.2933971387853999E-3</c:v>
                </c:pt>
                <c:pt idx="17">
                  <c:v>-6.9719634671859803E-3</c:v>
                </c:pt>
                <c:pt idx="18">
                  <c:v>-5.0780217941034803E-3</c:v>
                </c:pt>
                <c:pt idx="19">
                  <c:v>3.7955176070186298E-3</c:v>
                </c:pt>
                <c:pt idx="20">
                  <c:v>-2.4858145898390598E-3</c:v>
                </c:pt>
                <c:pt idx="21">
                  <c:v>-6.7785755157406102E-3</c:v>
                </c:pt>
                <c:pt idx="22">
                  <c:v>-1.21938773798101E-3</c:v>
                </c:pt>
                <c:pt idx="23">
                  <c:v>-5.2263511705632698E-3</c:v>
                </c:pt>
                <c:pt idx="24">
                  <c:v>-4.3910319018575896E-3</c:v>
                </c:pt>
                <c:pt idx="25">
                  <c:v>-3.46104619584794E-3</c:v>
                </c:pt>
                <c:pt idx="26">
                  <c:v>-3.47095294677661E-3</c:v>
                </c:pt>
                <c:pt idx="27">
                  <c:v>-2.9532621685004201E-3</c:v>
                </c:pt>
                <c:pt idx="28">
                  <c:v>7.4546758570727303E-4</c:v>
                </c:pt>
                <c:pt idx="29">
                  <c:v>-4.1798663442401997E-3</c:v>
                </c:pt>
                <c:pt idx="30">
                  <c:v>-1.7839553055077899E-3</c:v>
                </c:pt>
                <c:pt idx="31">
                  <c:v>2.8912216969332699E-4</c:v>
                </c:pt>
                <c:pt idx="32">
                  <c:v>2.2493527462218599E-4</c:v>
                </c:pt>
                <c:pt idx="33">
                  <c:v>2.1986397787076102E-3</c:v>
                </c:pt>
                <c:pt idx="34">
                  <c:v>4.04773283313733E-3</c:v>
                </c:pt>
                <c:pt idx="35">
                  <c:v>4.2197952267754701E-3</c:v>
                </c:pt>
                <c:pt idx="36">
                  <c:v>4.0183645936979302E-3</c:v>
                </c:pt>
                <c:pt idx="37">
                  <c:v>6.1439923265481095E-4</c:v>
                </c:pt>
                <c:pt idx="38">
                  <c:v>-7.2704106984257605E-4</c:v>
                </c:pt>
                <c:pt idx="39">
                  <c:v>1.64135364897244E-4</c:v>
                </c:pt>
                <c:pt idx="40">
                  <c:v>1.15986911366263E-2</c:v>
                </c:pt>
                <c:pt idx="41">
                  <c:v>1.0473423112570501E-2</c:v>
                </c:pt>
                <c:pt idx="42">
                  <c:v>1.07961604735465E-2</c:v>
                </c:pt>
                <c:pt idx="43">
                  <c:v>1.42505454117234E-2</c:v>
                </c:pt>
                <c:pt idx="44">
                  <c:v>9.0637372240140492E-3</c:v>
                </c:pt>
                <c:pt idx="45">
                  <c:v>8.0007881599506309E-3</c:v>
                </c:pt>
                <c:pt idx="46">
                  <c:v>6.3537085557274497E-3</c:v>
                </c:pt>
                <c:pt idx="47">
                  <c:v>7.8399106846191204E-3</c:v>
                </c:pt>
                <c:pt idx="48">
                  <c:v>5.7670143669475305E-4</c:v>
                </c:pt>
                <c:pt idx="49">
                  <c:v>-3.3580582364257702E-3</c:v>
                </c:pt>
                <c:pt idx="50">
                  <c:v>-4.0252600753709396E-3</c:v>
                </c:pt>
                <c:pt idx="51">
                  <c:v>-6.2252350819946099E-3</c:v>
                </c:pt>
                <c:pt idx="52">
                  <c:v>-8.2697709839046896E-3</c:v>
                </c:pt>
                <c:pt idx="53">
                  <c:v>-1.06897410397188E-2</c:v>
                </c:pt>
                <c:pt idx="54">
                  <c:v>-4.1710387160820497E-3</c:v>
                </c:pt>
                <c:pt idx="55">
                  <c:v>-8.1959732885529997E-3</c:v>
                </c:pt>
                <c:pt idx="56">
                  <c:v>-8.0160901568545901E-3</c:v>
                </c:pt>
                <c:pt idx="57">
                  <c:v>-4.5589669108986102E-3</c:v>
                </c:pt>
                <c:pt idx="58">
                  <c:v>-4.0657883590685196E-3</c:v>
                </c:pt>
                <c:pt idx="59">
                  <c:v>8.3989031184236104E-3</c:v>
                </c:pt>
                <c:pt idx="60">
                  <c:v>4.8829231950127897E-3</c:v>
                </c:pt>
                <c:pt idx="61">
                  <c:v>-2.6391964313708699E-3</c:v>
                </c:pt>
                <c:pt idx="62">
                  <c:v>-4.3957474488068599E-3</c:v>
                </c:pt>
                <c:pt idx="63">
                  <c:v>-7.7564909023314001E-3</c:v>
                </c:pt>
                <c:pt idx="64">
                  <c:v>-7.9367057308167704E-3</c:v>
                </c:pt>
                <c:pt idx="65">
                  <c:v>-1.3931010321047E-2</c:v>
                </c:pt>
                <c:pt idx="66">
                  <c:v>-1.7244648177955599E-2</c:v>
                </c:pt>
                <c:pt idx="67">
                  <c:v>-2.1229916397924601E-2</c:v>
                </c:pt>
                <c:pt idx="68">
                  <c:v>-2.1365246956622602E-2</c:v>
                </c:pt>
                <c:pt idx="69">
                  <c:v>-1.92746041483907E-2</c:v>
                </c:pt>
                <c:pt idx="70">
                  <c:v>-1.48057958551091E-2</c:v>
                </c:pt>
                <c:pt idx="71">
                  <c:v>-1.7553350507709901E-2</c:v>
                </c:pt>
                <c:pt idx="72">
                  <c:v>-1.76498257712479E-2</c:v>
                </c:pt>
                <c:pt idx="73">
                  <c:v>-1.90968252860323E-2</c:v>
                </c:pt>
                <c:pt idx="74">
                  <c:v>-2.1601600188847901E-2</c:v>
                </c:pt>
                <c:pt idx="75">
                  <c:v>-1.76910062070933E-2</c:v>
                </c:pt>
                <c:pt idx="76">
                  <c:v>-2.50387425633713E-2</c:v>
                </c:pt>
                <c:pt idx="77">
                  <c:v>-1.6970149211858802E-2</c:v>
                </c:pt>
                <c:pt idx="78">
                  <c:v>-8.6673859714212799E-4</c:v>
                </c:pt>
                <c:pt idx="79">
                  <c:v>7.6859233319195404E-3</c:v>
                </c:pt>
                <c:pt idx="80">
                  <c:v>-2.0257408330405101E-4</c:v>
                </c:pt>
                <c:pt idx="81">
                  <c:v>-9.6262145256533291E-3</c:v>
                </c:pt>
                <c:pt idx="82">
                  <c:v>-1.08246645839412E-2</c:v>
                </c:pt>
                <c:pt idx="83">
                  <c:v>-6.8482758772320899E-3</c:v>
                </c:pt>
                <c:pt idx="84">
                  <c:v>-1.8420345715386099E-2</c:v>
                </c:pt>
                <c:pt idx="85">
                  <c:v>-1.47236945862706E-2</c:v>
                </c:pt>
                <c:pt idx="86">
                  <c:v>-1.5941289318337701E-3</c:v>
                </c:pt>
                <c:pt idx="87">
                  <c:v>-9.3932729073246193E-3</c:v>
                </c:pt>
                <c:pt idx="88">
                  <c:v>-1.52002512124235E-2</c:v>
                </c:pt>
                <c:pt idx="89">
                  <c:v>-6.967485734631E-3</c:v>
                </c:pt>
                <c:pt idx="90">
                  <c:v>-7.8793258261748399E-3</c:v>
                </c:pt>
                <c:pt idx="91">
                  <c:v>1.4628813083091901E-3</c:v>
                </c:pt>
                <c:pt idx="92">
                  <c:v>4.7442930279961298E-3</c:v>
                </c:pt>
                <c:pt idx="93">
                  <c:v>1.1520494393502299E-2</c:v>
                </c:pt>
                <c:pt idx="94">
                  <c:v>5.3155084136474002E-3</c:v>
                </c:pt>
                <c:pt idx="95">
                  <c:v>-4.8232614473516797E-3</c:v>
                </c:pt>
                <c:pt idx="96">
                  <c:v>-7.6153218249664697E-3</c:v>
                </c:pt>
                <c:pt idx="97">
                  <c:v>-1.52808338550974E-2</c:v>
                </c:pt>
                <c:pt idx="98">
                  <c:v>-2.9116005139216101E-2</c:v>
                </c:pt>
                <c:pt idx="99">
                  <c:v>-2.7002764249466699E-2</c:v>
                </c:pt>
                <c:pt idx="100">
                  <c:v>-2.6443623502942999E-2</c:v>
                </c:pt>
                <c:pt idx="101">
                  <c:v>-2.4393384834708699E-2</c:v>
                </c:pt>
                <c:pt idx="102">
                  <c:v>-1.10443259816975E-2</c:v>
                </c:pt>
                <c:pt idx="103">
                  <c:v>-2.50411479832214E-2</c:v>
                </c:pt>
                <c:pt idx="104">
                  <c:v>-2.8303148063704001E-2</c:v>
                </c:pt>
                <c:pt idx="105">
                  <c:v>-1.78942337539616E-2</c:v>
                </c:pt>
                <c:pt idx="106">
                  <c:v>-1.5768115594137099E-4</c:v>
                </c:pt>
                <c:pt idx="107">
                  <c:v>-5.9480649721777301E-3</c:v>
                </c:pt>
                <c:pt idx="108">
                  <c:v>8.7157277885178497E-4</c:v>
                </c:pt>
                <c:pt idx="109">
                  <c:v>4.1194128055736098E-3</c:v>
                </c:pt>
                <c:pt idx="110">
                  <c:v>-1.0948775564621101E-2</c:v>
                </c:pt>
                <c:pt idx="111">
                  <c:v>-8.1718929708544403E-3</c:v>
                </c:pt>
                <c:pt idx="112">
                  <c:v>-1.6707731631010098E-2</c:v>
                </c:pt>
                <c:pt idx="113">
                  <c:v>-1.7690234744920301E-3</c:v>
                </c:pt>
                <c:pt idx="114">
                  <c:v>-2.8776623151526301E-3</c:v>
                </c:pt>
                <c:pt idx="115">
                  <c:v>-1.14698471854543E-2</c:v>
                </c:pt>
                <c:pt idx="116">
                  <c:v>-2.1025610383845698E-2</c:v>
                </c:pt>
                <c:pt idx="117">
                  <c:v>-8.2631757121310202E-3</c:v>
                </c:pt>
                <c:pt idx="118">
                  <c:v>-8.6481058497469704E-3</c:v>
                </c:pt>
                <c:pt idx="119">
                  <c:v>-1.6541505607108702E-2</c:v>
                </c:pt>
                <c:pt idx="120">
                  <c:v>4.4509570556001297E-3</c:v>
                </c:pt>
                <c:pt idx="121">
                  <c:v>-3.1731813424720002E-3</c:v>
                </c:pt>
                <c:pt idx="122">
                  <c:v>-7.0607070122431703E-3</c:v>
                </c:pt>
                <c:pt idx="123">
                  <c:v>4.2256623748687799E-3</c:v>
                </c:pt>
                <c:pt idx="124">
                  <c:v>1.5724858416945101E-2</c:v>
                </c:pt>
                <c:pt idx="125">
                  <c:v>8.8155896327532599E-3</c:v>
                </c:pt>
                <c:pt idx="126">
                  <c:v>2.22158480900836E-2</c:v>
                </c:pt>
                <c:pt idx="127">
                  <c:v>2.01775759062345E-2</c:v>
                </c:pt>
                <c:pt idx="128">
                  <c:v>8.0131378417368903E-3</c:v>
                </c:pt>
                <c:pt idx="129">
                  <c:v>1.2524356701730599E-2</c:v>
                </c:pt>
                <c:pt idx="130">
                  <c:v>1.5779800053626E-2</c:v>
                </c:pt>
                <c:pt idx="131">
                  <c:v>1.3030538704511299E-2</c:v>
                </c:pt>
                <c:pt idx="132">
                  <c:v>1.6814638173781701E-2</c:v>
                </c:pt>
                <c:pt idx="133">
                  <c:v>2.0881359347505402E-2</c:v>
                </c:pt>
                <c:pt idx="134">
                  <c:v>1.17941209135928E-2</c:v>
                </c:pt>
                <c:pt idx="135">
                  <c:v>9.5070001339235492E-3</c:v>
                </c:pt>
                <c:pt idx="136">
                  <c:v>-1.9150845621394299E-3</c:v>
                </c:pt>
                <c:pt idx="137">
                  <c:v>-2.46002580610887E-3</c:v>
                </c:pt>
                <c:pt idx="138">
                  <c:v>-6.4092165545890098E-3</c:v>
                </c:pt>
                <c:pt idx="139">
                  <c:v>4.5346449591582598E-3</c:v>
                </c:pt>
                <c:pt idx="140">
                  <c:v>1.11425211861251E-3</c:v>
                </c:pt>
                <c:pt idx="141">
                  <c:v>1.46775158017669E-2</c:v>
                </c:pt>
                <c:pt idx="142">
                  <c:v>1.8991574951546401E-2</c:v>
                </c:pt>
                <c:pt idx="143">
                  <c:v>2.0348696990744801E-3</c:v>
                </c:pt>
                <c:pt idx="144">
                  <c:v>4.7417174142511198E-3</c:v>
                </c:pt>
                <c:pt idx="145">
                  <c:v>7.93211330934342E-3</c:v>
                </c:pt>
                <c:pt idx="146">
                  <c:v>-4.6616775570937604E-3</c:v>
                </c:pt>
                <c:pt idx="147">
                  <c:v>5.82622951860883E-3</c:v>
                </c:pt>
                <c:pt idx="148">
                  <c:v>3.9229077903746197E-3</c:v>
                </c:pt>
                <c:pt idx="149">
                  <c:v>1.42082200169124E-3</c:v>
                </c:pt>
                <c:pt idx="150">
                  <c:v>3.50566526895534E-3</c:v>
                </c:pt>
                <c:pt idx="151">
                  <c:v>-5.9523262863532404E-4</c:v>
                </c:pt>
                <c:pt idx="152">
                  <c:v>-2.52897369380922E-3</c:v>
                </c:pt>
                <c:pt idx="153">
                  <c:v>-1.4150234557793E-3</c:v>
                </c:pt>
                <c:pt idx="154">
                  <c:v>-3.1896979179097799E-3</c:v>
                </c:pt>
                <c:pt idx="155">
                  <c:v>-8.0483221685110004E-3</c:v>
                </c:pt>
                <c:pt idx="156">
                  <c:v>2.17185085030139E-3</c:v>
                </c:pt>
                <c:pt idx="157">
                  <c:v>7.8378537403658993E-3</c:v>
                </c:pt>
                <c:pt idx="158">
                  <c:v>5.2289669515450899E-3</c:v>
                </c:pt>
                <c:pt idx="159">
                  <c:v>5.3006987576817901E-3</c:v>
                </c:pt>
                <c:pt idx="160">
                  <c:v>7.2616488301196196E-3</c:v>
                </c:pt>
                <c:pt idx="161">
                  <c:v>7.7459532442899302E-3</c:v>
                </c:pt>
                <c:pt idx="162">
                  <c:v>4.2442162084319699E-3</c:v>
                </c:pt>
                <c:pt idx="163">
                  <c:v>1.47191074288495E-2</c:v>
                </c:pt>
                <c:pt idx="164">
                  <c:v>9.9838010189668407E-3</c:v>
                </c:pt>
                <c:pt idx="165">
                  <c:v>9.7693160057716506E-3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1-423C-BB83-D08D7296E95F}"/>
            </c:ext>
          </c:extLst>
        </c:ser>
        <c:ser>
          <c:idx val="2"/>
          <c:order val="1"/>
          <c:tx>
            <c:strRef>
              <c:f>SMH_SOXX_2!$W$1</c:f>
              <c:strCache>
                <c:ptCount val="1"/>
                <c:pt idx="0">
                  <c:v>log diff SMH x 20 dma / SOXX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SMH_SOXX_2!$W$2:$W$167</c:f>
              <c:numCache>
                <c:formatCode>0.0000%</c:formatCode>
                <c:ptCount val="166"/>
                <c:pt idx="20">
                  <c:v>-1.179184213297E-2</c:v>
                </c:pt>
                <c:pt idx="21">
                  <c:v>-1.5731806178905499E-2</c:v>
                </c:pt>
                <c:pt idx="22">
                  <c:v>-9.1873379447421008E-3</c:v>
                </c:pt>
                <c:pt idx="23">
                  <c:v>-1.20042897325343E-2</c:v>
                </c:pt>
                <c:pt idx="24">
                  <c:v>-1.00511757285038E-2</c:v>
                </c:pt>
                <c:pt idx="25">
                  <c:v>-8.4076424278327795E-3</c:v>
                </c:pt>
                <c:pt idx="26">
                  <c:v>-7.9368460911612704E-3</c:v>
                </c:pt>
                <c:pt idx="27">
                  <c:v>-6.8194688978604496E-3</c:v>
                </c:pt>
                <c:pt idx="28">
                  <c:v>-2.5010377407293999E-3</c:v>
                </c:pt>
                <c:pt idx="29">
                  <c:v>-6.8639717417773201E-3</c:v>
                </c:pt>
                <c:pt idx="30">
                  <c:v>-4.6896735515576998E-3</c:v>
                </c:pt>
                <c:pt idx="31">
                  <c:v>-2.3422444941479902E-3</c:v>
                </c:pt>
                <c:pt idx="32">
                  <c:v>-2.0275846371908901E-3</c:v>
                </c:pt>
                <c:pt idx="33">
                  <c:v>-2.8430229827116E-4</c:v>
                </c:pt>
                <c:pt idx="34">
                  <c:v>1.8365018895125801E-3</c:v>
                </c:pt>
                <c:pt idx="35">
                  <c:v>2.56146559760873E-3</c:v>
                </c:pt>
                <c:pt idx="36">
                  <c:v>2.9983118494032401E-3</c:v>
                </c:pt>
                <c:pt idx="37">
                  <c:v>2.22342291744962E-4</c:v>
                </c:pt>
                <c:pt idx="38">
                  <c:v>-7.9327105786640201E-4</c:v>
                </c:pt>
                <c:pt idx="39">
                  <c:v>5.1640069285680302E-5</c:v>
                </c:pt>
                <c:pt idx="40">
                  <c:v>1.23583002417829E-2</c:v>
                </c:pt>
                <c:pt idx="41">
                  <c:v>1.2232465433341401E-2</c:v>
                </c:pt>
                <c:pt idx="42">
                  <c:v>1.31494154796783E-2</c:v>
                </c:pt>
                <c:pt idx="43">
                  <c:v>1.7521155261220701E-2</c:v>
                </c:pt>
                <c:pt idx="44">
                  <c:v>1.31401445863374E-2</c:v>
                </c:pt>
                <c:pt idx="45">
                  <c:v>1.2535369379395599E-2</c:v>
                </c:pt>
                <c:pt idx="46">
                  <c:v>1.1313502021199301E-2</c:v>
                </c:pt>
                <c:pt idx="47">
                  <c:v>1.3141066275494001E-2</c:v>
                </c:pt>
                <c:pt idx="48">
                  <c:v>6.6345648716242796E-3</c:v>
                </c:pt>
                <c:pt idx="49">
                  <c:v>3.4585916698934901E-3</c:v>
                </c:pt>
                <c:pt idx="50">
                  <c:v>3.0948470124579699E-3</c:v>
                </c:pt>
                <c:pt idx="51">
                  <c:v>7.4950754271501803E-5</c:v>
                </c:pt>
                <c:pt idx="52">
                  <c:v>-2.8654461716822199E-3</c:v>
                </c:pt>
                <c:pt idx="53">
                  <c:v>-6.46871677974299E-3</c:v>
                </c:pt>
                <c:pt idx="54">
                  <c:v>-1.7083910349533101E-3</c:v>
                </c:pt>
                <c:pt idx="55">
                  <c:v>-6.8074132617270003E-3</c:v>
                </c:pt>
                <c:pt idx="56">
                  <c:v>-7.9410022221309308E-3</c:v>
                </c:pt>
                <c:pt idx="57">
                  <c:v>-5.8059841316734501E-3</c:v>
                </c:pt>
                <c:pt idx="58">
                  <c:v>-6.9432077671272097E-3</c:v>
                </c:pt>
                <c:pt idx="59">
                  <c:v>4.3324981846097699E-3</c:v>
                </c:pt>
                <c:pt idx="60">
                  <c:v>4.8938694622508003E-4</c:v>
                </c:pt>
                <c:pt idx="61">
                  <c:v>-6.95607095047668E-3</c:v>
                </c:pt>
                <c:pt idx="62">
                  <c:v>-8.7580028204278203E-3</c:v>
                </c:pt>
                <c:pt idx="63">
                  <c:v>-1.1947523877801999E-2</c:v>
                </c:pt>
                <c:pt idx="64">
                  <c:v>-1.15773961188493E-2</c:v>
                </c:pt>
                <c:pt idx="65">
                  <c:v>-1.77096215005937E-2</c:v>
                </c:pt>
                <c:pt idx="66">
                  <c:v>-2.10213824712959E-2</c:v>
                </c:pt>
                <c:pt idx="67">
                  <c:v>-2.51415753630264E-2</c:v>
                </c:pt>
                <c:pt idx="68">
                  <c:v>-2.57678547299314E-2</c:v>
                </c:pt>
                <c:pt idx="69">
                  <c:v>-2.4469363813487001E-2</c:v>
                </c:pt>
                <c:pt idx="70">
                  <c:v>-2.2068218216940001E-2</c:v>
                </c:pt>
                <c:pt idx="71">
                  <c:v>-2.6513413865317598E-2</c:v>
                </c:pt>
                <c:pt idx="72">
                  <c:v>-2.79880456357109E-2</c:v>
                </c:pt>
                <c:pt idx="73">
                  <c:v>-3.0875140234391901E-2</c:v>
                </c:pt>
                <c:pt idx="74">
                  <c:v>-3.48383528568059E-2</c:v>
                </c:pt>
                <c:pt idx="75">
                  <c:v>-3.2367964792071401E-2</c:v>
                </c:pt>
                <c:pt idx="76">
                  <c:v>-4.0696370922291197E-2</c:v>
                </c:pt>
                <c:pt idx="77">
                  <c:v>-3.3737485159410302E-2</c:v>
                </c:pt>
                <c:pt idx="78">
                  <c:v>-1.7874029429229402E-2</c:v>
                </c:pt>
                <c:pt idx="79">
                  <c:v>-8.7024579815892806E-3</c:v>
                </c:pt>
                <c:pt idx="80">
                  <c:v>-1.50158028628289E-2</c:v>
                </c:pt>
                <c:pt idx="81">
                  <c:v>-2.3502754124983202E-2</c:v>
                </c:pt>
                <c:pt idx="82">
                  <c:v>-2.40647704897607E-2</c:v>
                </c:pt>
                <c:pt idx="83">
                  <c:v>-1.9388956618144298E-2</c:v>
                </c:pt>
                <c:pt idx="84">
                  <c:v>-2.9872092250306102E-2</c:v>
                </c:pt>
                <c:pt idx="85">
                  <c:v>-2.5172057047277499E-2</c:v>
                </c:pt>
                <c:pt idx="86">
                  <c:v>-1.12908792895606E-2</c:v>
                </c:pt>
                <c:pt idx="87">
                  <c:v>-1.6935563083111699E-2</c:v>
                </c:pt>
                <c:pt idx="88">
                  <c:v>-2.16513464945652E-2</c:v>
                </c:pt>
                <c:pt idx="89">
                  <c:v>-1.40922571705614E-2</c:v>
                </c:pt>
                <c:pt idx="90">
                  <c:v>-1.61290856644246E-2</c:v>
                </c:pt>
                <c:pt idx="91">
                  <c:v>-7.2326415915984097E-3</c:v>
                </c:pt>
                <c:pt idx="92">
                  <c:v>-3.27459476825398E-3</c:v>
                </c:pt>
                <c:pt idx="93">
                  <c:v>4.4593235625737899E-3</c:v>
                </c:pt>
                <c:pt idx="94">
                  <c:v>-8.9406800392522205E-4</c:v>
                </c:pt>
                <c:pt idx="95">
                  <c:v>-9.4767332731965203E-3</c:v>
                </c:pt>
                <c:pt idx="96">
                  <c:v>-1.13376474233322E-2</c:v>
                </c:pt>
                <c:pt idx="97">
                  <c:v>-1.98722081850797E-2</c:v>
                </c:pt>
                <c:pt idx="98">
                  <c:v>-3.40851879648464E-2</c:v>
                </c:pt>
                <c:pt idx="99">
                  <c:v>-3.1821685091138197E-2</c:v>
                </c:pt>
                <c:pt idx="100">
                  <c:v>-3.1328142132438903E-2</c:v>
                </c:pt>
                <c:pt idx="101">
                  <c:v>-2.9504430359910301E-2</c:v>
                </c:pt>
                <c:pt idx="102">
                  <c:v>-1.7642774635308799E-2</c:v>
                </c:pt>
                <c:pt idx="103">
                  <c:v>-3.3047058386727703E-2</c:v>
                </c:pt>
                <c:pt idx="104">
                  <c:v>-3.9112154173785801E-2</c:v>
                </c:pt>
                <c:pt idx="105">
                  <c:v>-3.1988135854445002E-2</c:v>
                </c:pt>
                <c:pt idx="106">
                  <c:v>-1.6311468578583298E-2</c:v>
                </c:pt>
                <c:pt idx="107">
                  <c:v>-2.2657149441827201E-2</c:v>
                </c:pt>
                <c:pt idx="108">
                  <c:v>-1.6279429758819599E-2</c:v>
                </c:pt>
                <c:pt idx="109">
                  <c:v>-1.20648301207621E-2</c:v>
                </c:pt>
                <c:pt idx="110">
                  <c:v>-2.5729734810641201E-2</c:v>
                </c:pt>
                <c:pt idx="111">
                  <c:v>-2.2246570174625401E-2</c:v>
                </c:pt>
                <c:pt idx="112">
                  <c:v>-2.9592611593957801E-2</c:v>
                </c:pt>
                <c:pt idx="113">
                  <c:v>-1.4786817888441999E-2</c:v>
                </c:pt>
                <c:pt idx="114">
                  <c:v>-1.34496475327219E-2</c:v>
                </c:pt>
                <c:pt idx="115">
                  <c:v>-1.9097310771585101E-2</c:v>
                </c:pt>
                <c:pt idx="116">
                  <c:v>-2.70485037379277E-2</c:v>
                </c:pt>
                <c:pt idx="117">
                  <c:v>-1.46970711466197E-2</c:v>
                </c:pt>
                <c:pt idx="118">
                  <c:v>-1.46364882675812E-2</c:v>
                </c:pt>
                <c:pt idx="119">
                  <c:v>-2.33677817939471E-2</c:v>
                </c:pt>
                <c:pt idx="120">
                  <c:v>-4.0015625463794696E-3</c:v>
                </c:pt>
                <c:pt idx="121">
                  <c:v>-1.09927074877812E-2</c:v>
                </c:pt>
                <c:pt idx="122">
                  <c:v>-1.4807107360756201E-2</c:v>
                </c:pt>
                <c:pt idx="123">
                  <c:v>-2.2472591015857001E-3</c:v>
                </c:pt>
                <c:pt idx="124">
                  <c:v>9.0531802514035292E-3</c:v>
                </c:pt>
                <c:pt idx="125">
                  <c:v>2.19147019533413E-3</c:v>
                </c:pt>
                <c:pt idx="126">
                  <c:v>1.6382070327535001E-2</c:v>
                </c:pt>
                <c:pt idx="127">
                  <c:v>1.7551880421679902E-2</c:v>
                </c:pt>
                <c:pt idx="128">
                  <c:v>7.2959559870295499E-3</c:v>
                </c:pt>
                <c:pt idx="129">
                  <c:v>1.36423587860764E-2</c:v>
                </c:pt>
                <c:pt idx="130">
                  <c:v>2.0193405568264301E-2</c:v>
                </c:pt>
                <c:pt idx="131">
                  <c:v>1.8530055833359999E-2</c:v>
                </c:pt>
                <c:pt idx="132">
                  <c:v>2.42212775437564E-2</c:v>
                </c:pt>
                <c:pt idx="133">
                  <c:v>3.05438767843456E-2</c:v>
                </c:pt>
                <c:pt idx="134">
                  <c:v>2.36188102331658E-2</c:v>
                </c:pt>
                <c:pt idx="135">
                  <c:v>2.20610679417035E-2</c:v>
                </c:pt>
                <c:pt idx="136">
                  <c:v>1.1591382205781001E-2</c:v>
                </c:pt>
                <c:pt idx="137">
                  <c:v>9.5944174783371E-3</c:v>
                </c:pt>
                <c:pt idx="138">
                  <c:v>4.5488624668333696E-3</c:v>
                </c:pt>
                <c:pt idx="139">
                  <c:v>1.50995925562882E-2</c:v>
                </c:pt>
                <c:pt idx="140">
                  <c:v>1.07507055533846E-2</c:v>
                </c:pt>
                <c:pt idx="141">
                  <c:v>2.3530787365263501E-2</c:v>
                </c:pt>
                <c:pt idx="142">
                  <c:v>2.7439988814594099E-2</c:v>
                </c:pt>
                <c:pt idx="143">
                  <c:v>9.4770296730610007E-3</c:v>
                </c:pt>
                <c:pt idx="144">
                  <c:v>1.01786269024981E-2</c:v>
                </c:pt>
                <c:pt idx="145">
                  <c:v>1.2576119954273201E-2</c:v>
                </c:pt>
                <c:pt idx="146">
                  <c:v>-9.2643732924387598E-4</c:v>
                </c:pt>
                <c:pt idx="147">
                  <c:v>9.6635073661797306E-3</c:v>
                </c:pt>
                <c:pt idx="148">
                  <c:v>8.4963328314845692E-3</c:v>
                </c:pt>
                <c:pt idx="149">
                  <c:v>6.6041149086738899E-3</c:v>
                </c:pt>
                <c:pt idx="150">
                  <c:v>8.3965137414982096E-3</c:v>
                </c:pt>
                <c:pt idx="151">
                  <c:v>4.68088359838286E-3</c:v>
                </c:pt>
                <c:pt idx="152">
                  <c:v>1.5447462172748E-3</c:v>
                </c:pt>
                <c:pt idx="153">
                  <c:v>1.04511558302711E-3</c:v>
                </c:pt>
                <c:pt idx="154">
                  <c:v>-4.5546268053965199E-4</c:v>
                </c:pt>
                <c:pt idx="155">
                  <c:v>-5.62773646410911E-3</c:v>
                </c:pt>
                <c:pt idx="156">
                  <c:v>3.6491133278856599E-3</c:v>
                </c:pt>
                <c:pt idx="157">
                  <c:v>9.56917851660939E-3</c:v>
                </c:pt>
                <c:pt idx="158">
                  <c:v>6.4320965012966301E-3</c:v>
                </c:pt>
                <c:pt idx="159">
                  <c:v>5.7085943316339304E-3</c:v>
                </c:pt>
                <c:pt idx="160">
                  <c:v>7.5414116043361996E-3</c:v>
                </c:pt>
                <c:pt idx="161">
                  <c:v>7.6309999859604698E-3</c:v>
                </c:pt>
                <c:pt idx="162">
                  <c:v>4.77056116102697E-3</c:v>
                </c:pt>
                <c:pt idx="163">
                  <c:v>1.6304132228160101E-2</c:v>
                </c:pt>
                <c:pt idx="164">
                  <c:v>1.24583885286274E-2</c:v>
                </c:pt>
                <c:pt idx="165">
                  <c:v>1.32765472223801E-2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E1-423C-BB83-D08D7296E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1E2C0-AA41-4045-868D-FE2A4D00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518160</xdr:colOff>
      <xdr:row>1</xdr:row>
      <xdr:rowOff>0</xdr:rowOff>
    </xdr:from>
    <xdr:to>
      <xdr:col>87</xdr:col>
      <xdr:colOff>386715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6B941-85F8-49D6-970E-F5371F8F5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164489-8A6F-4A3E-BD7C-BF3C70EF2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EBFE0F-330E-463C-8980-BAB993651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1</xdr:row>
      <xdr:rowOff>0</xdr:rowOff>
    </xdr:from>
    <xdr:to>
      <xdr:col>41</xdr:col>
      <xdr:colOff>314325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5A7FBE-88D6-4263-B7EA-B305B7873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CA979C-F9FA-44BA-8133-15C1F5B34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469A30-28B5-4566-8125-759F3ABE3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18</xdr:row>
      <xdr:rowOff>0</xdr:rowOff>
    </xdr:from>
    <xdr:to>
      <xdr:col>41</xdr:col>
      <xdr:colOff>314325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977F4D-AC12-45D6-B5AD-E4BC34120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NWS_NWSA.xlsx" TargetMode="External"/><Relationship Id="rId1" Type="http://schemas.openxmlformats.org/officeDocument/2006/relationships/externalLinkPath" Target="NWS_NW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WS_NWSA_0"/>
    </sheetNames>
    <sheetDataSet>
      <sheetData sheetId="0">
        <row r="1">
          <cell r="O1" t="str">
            <v>NWSA/NWS avg</v>
          </cell>
          <cell r="P1" t="str">
            <v>NWSA/NWS 10 dma</v>
          </cell>
          <cell r="Q1" t="str">
            <v>NWSA/NWS 20 dma</v>
          </cell>
          <cell r="U1" t="str">
            <v>log diff NWS x avg / NWSA</v>
          </cell>
          <cell r="V1" t="str">
            <v>log diff NWS x 10 dma / NWSA</v>
          </cell>
          <cell r="W1" t="str">
            <v>log diff NWS x 20 dma / NWSA</v>
          </cell>
          <cell r="Y1" t="str">
            <v>NWSA*/NWS* avg</v>
          </cell>
          <cell r="Z1" t="str">
            <v>NWSA*/NWS* 10 dma</v>
          </cell>
          <cell r="AA1" t="str">
            <v>NWSA*/NWS* 20 dma</v>
          </cell>
          <cell r="AE1" t="str">
            <v>log diff NWS* x avg / NWSA*</v>
          </cell>
          <cell r="AF1" t="str">
            <v>log diff NWS* x 10 dma / NWSA*</v>
          </cell>
          <cell r="AG1" t="str">
            <v>log diff NWS* x 20 dma / NWSA*</v>
          </cell>
        </row>
        <row r="2">
          <cell r="O2">
            <v>0.87815704628300895</v>
          </cell>
          <cell r="Y2">
            <v>0.87815704628300895</v>
          </cell>
        </row>
        <row r="3">
          <cell r="O3">
            <v>0.87815704628300895</v>
          </cell>
          <cell r="U3">
            <v>2.5509887388728502E-3</v>
          </cell>
          <cell r="Y3">
            <v>0.87815704628300895</v>
          </cell>
          <cell r="AE3">
            <v>2.5509887388728502E-3</v>
          </cell>
        </row>
        <row r="4">
          <cell r="O4">
            <v>0.87815704628300895</v>
          </cell>
          <cell r="U4">
            <v>-1.0388200701268199E-3</v>
          </cell>
          <cell r="Y4">
            <v>0.87815704628300895</v>
          </cell>
          <cell r="AE4">
            <v>-1.0388200701268199E-3</v>
          </cell>
        </row>
        <row r="5">
          <cell r="O5">
            <v>0.87815704628300895</v>
          </cell>
          <cell r="U5">
            <v>2.51236372600627E-3</v>
          </cell>
          <cell r="Y5">
            <v>0.87815704628300895</v>
          </cell>
          <cell r="AE5">
            <v>2.51236372600627E-3</v>
          </cell>
        </row>
        <row r="6">
          <cell r="O6">
            <v>0.87815704628300895</v>
          </cell>
          <cell r="U6">
            <v>4.6407169177543001E-3</v>
          </cell>
          <cell r="Y6">
            <v>0.87815704628300895</v>
          </cell>
          <cell r="AE6">
            <v>4.6407169177543001E-3</v>
          </cell>
        </row>
        <row r="7">
          <cell r="O7">
            <v>0.87815704628300895</v>
          </cell>
          <cell r="U7">
            <v>1.90007500366687E-3</v>
          </cell>
          <cell r="Y7">
            <v>0.87815704628300895</v>
          </cell>
          <cell r="AE7">
            <v>1.90007500366687E-3</v>
          </cell>
        </row>
        <row r="8">
          <cell r="O8">
            <v>0.87815704628300895</v>
          </cell>
          <cell r="U8">
            <v>9.1438215711571406E-3</v>
          </cell>
          <cell r="Y8">
            <v>0.87815704628300895</v>
          </cell>
          <cell r="AE8">
            <v>9.1438215711571406E-3</v>
          </cell>
        </row>
        <row r="9">
          <cell r="O9">
            <v>0.87815704628300895</v>
          </cell>
          <cell r="U9">
            <v>9.3585199933331007E-3</v>
          </cell>
          <cell r="Y9">
            <v>0.87815704628300895</v>
          </cell>
          <cell r="AE9">
            <v>9.3585199933331007E-3</v>
          </cell>
        </row>
        <row r="10">
          <cell r="O10">
            <v>0.87815704628300895</v>
          </cell>
          <cell r="U10">
            <v>5.9783519369802397E-3</v>
          </cell>
          <cell r="Y10">
            <v>0.87815704628300895</v>
          </cell>
          <cell r="AE10">
            <v>5.9783519369802397E-3</v>
          </cell>
        </row>
        <row r="11">
          <cell r="O11">
            <v>0.87815704628300895</v>
          </cell>
          <cell r="P11">
            <v>0.87440397331928599</v>
          </cell>
          <cell r="U11">
            <v>9.6692560488003797E-3</v>
          </cell>
          <cell r="Y11">
            <v>0.87815704628300895</v>
          </cell>
          <cell r="Z11">
            <v>0.87440397331928599</v>
          </cell>
          <cell r="AE11">
            <v>9.6692560488003797E-3</v>
          </cell>
        </row>
        <row r="12">
          <cell r="O12">
            <v>0.87815704628300895</v>
          </cell>
          <cell r="P12">
            <v>0.87309176714923498</v>
          </cell>
          <cell r="U12">
            <v>1.32218028633658E-2</v>
          </cell>
          <cell r="V12">
            <v>8.9388379236292493E-3</v>
          </cell>
          <cell r="Y12">
            <v>0.87815704628300895</v>
          </cell>
          <cell r="Z12">
            <v>0.87309176714923498</v>
          </cell>
          <cell r="AE12">
            <v>1.32218028633658E-2</v>
          </cell>
          <cell r="AF12">
            <v>8.9388379236292493E-3</v>
          </cell>
        </row>
        <row r="13">
          <cell r="O13">
            <v>0.87815704628300895</v>
          </cell>
          <cell r="P13">
            <v>0.87147520101708498</v>
          </cell>
          <cell r="U13">
            <v>2.1179061305868802E-2</v>
          </cell>
          <cell r="V13">
            <v>1.53942827865091E-2</v>
          </cell>
          <cell r="Y13">
            <v>0.87815704628300895</v>
          </cell>
          <cell r="Z13">
            <v>0.87147520101708498</v>
          </cell>
          <cell r="AE13">
            <v>2.1179061305868802E-2</v>
          </cell>
          <cell r="AF13">
            <v>1.53942827865091E-2</v>
          </cell>
        </row>
        <row r="14">
          <cell r="O14">
            <v>0.87815704628300895</v>
          </cell>
          <cell r="P14">
            <v>0.86994838956215603</v>
          </cell>
          <cell r="U14">
            <v>1.6482271806182201E-2</v>
          </cell>
          <cell r="V14">
            <v>8.8442350005758195E-3</v>
          </cell>
          <cell r="Y14">
            <v>0.87815704628300895</v>
          </cell>
          <cell r="Z14">
            <v>0.86994838956215603</v>
          </cell>
          <cell r="AE14">
            <v>1.6482271806182201E-2</v>
          </cell>
          <cell r="AF14">
            <v>8.8442350005758195E-3</v>
          </cell>
        </row>
        <row r="15">
          <cell r="O15">
            <v>0.87815704628300895</v>
          </cell>
          <cell r="P15">
            <v>0.86871813801965303</v>
          </cell>
          <cell r="U15">
            <v>1.6656635841630098E-2</v>
          </cell>
          <cell r="V15">
            <v>7.26507754428069E-3</v>
          </cell>
          <cell r="Y15">
            <v>0.87815704628300895</v>
          </cell>
          <cell r="Z15">
            <v>0.86871813801965303</v>
          </cell>
          <cell r="AE15">
            <v>1.6656635841630098E-2</v>
          </cell>
          <cell r="AF15">
            <v>7.26507754428069E-3</v>
          </cell>
        </row>
        <row r="16">
          <cell r="O16">
            <v>0.87815704628300895</v>
          </cell>
          <cell r="P16">
            <v>0.86757911353092398</v>
          </cell>
          <cell r="U16">
            <v>1.7757321609508599E-2</v>
          </cell>
          <cell r="V16">
            <v>6.95059631112131E-3</v>
          </cell>
          <cell r="Y16">
            <v>0.87815704628300895</v>
          </cell>
          <cell r="Z16">
            <v>0.86757911353092398</v>
          </cell>
          <cell r="AE16">
            <v>1.7757321609508599E-2</v>
          </cell>
          <cell r="AF16">
            <v>6.95059631112131E-3</v>
          </cell>
        </row>
        <row r="17">
          <cell r="O17">
            <v>0.87815704628300895</v>
          </cell>
          <cell r="P17">
            <v>0.86667631780811705</v>
          </cell>
          <cell r="U17">
            <v>1.22536133664169E-2</v>
          </cell>
          <cell r="V17">
            <v>1.3487233903690301E-4</v>
          </cell>
          <cell r="Y17">
            <v>0.87815704628300895</v>
          </cell>
          <cell r="Z17">
            <v>0.86667631780811705</v>
          </cell>
          <cell r="AE17">
            <v>1.22536133664169E-2</v>
          </cell>
          <cell r="AF17">
            <v>1.3487233903690301E-4</v>
          </cell>
        </row>
        <row r="18">
          <cell r="O18">
            <v>0.87815704628300895</v>
          </cell>
          <cell r="P18">
            <v>0.86607367274422298</v>
          </cell>
          <cell r="U18">
            <v>1.60935649451278E-2</v>
          </cell>
          <cell r="V18">
            <v>2.9336903130408698E-3</v>
          </cell>
          <cell r="Y18">
            <v>0.87815704628300895</v>
          </cell>
          <cell r="Z18">
            <v>0.86607367274422298</v>
          </cell>
          <cell r="AE18">
            <v>1.60935649451278E-2</v>
          </cell>
          <cell r="AF18">
            <v>2.9336903130408698E-3</v>
          </cell>
        </row>
        <row r="19">
          <cell r="O19">
            <v>0.87815704628300895</v>
          </cell>
          <cell r="P19">
            <v>0.86594299649463102</v>
          </cell>
          <cell r="U19">
            <v>1.08617145642454E-2</v>
          </cell>
          <cell r="V19">
            <v>-2.99375388285128E-3</v>
          </cell>
          <cell r="Y19">
            <v>0.87815704628300895</v>
          </cell>
          <cell r="Z19">
            <v>0.86594299649463102</v>
          </cell>
          <cell r="AE19">
            <v>1.08617145642454E-2</v>
          </cell>
          <cell r="AF19">
            <v>-2.99375388285128E-3</v>
          </cell>
        </row>
        <row r="20">
          <cell r="O20">
            <v>0.87815704628300895</v>
          </cell>
          <cell r="P20">
            <v>0.86610579891897599</v>
          </cell>
          <cell r="U20">
            <v>4.1150622869128E-3</v>
          </cell>
          <cell r="V20">
            <v>-9.8913010703315998E-3</v>
          </cell>
          <cell r="Y20">
            <v>0.87815704628300895</v>
          </cell>
          <cell r="Z20">
            <v>0.86610579891897599</v>
          </cell>
          <cell r="AE20">
            <v>4.1150622869128E-3</v>
          </cell>
          <cell r="AF20">
            <v>-9.8913010703315998E-3</v>
          </cell>
        </row>
        <row r="21">
          <cell r="O21">
            <v>0.87815704628300895</v>
          </cell>
          <cell r="P21">
            <v>0.86604829815963102</v>
          </cell>
          <cell r="Q21">
            <v>0.87022613573945795</v>
          </cell>
          <cell r="U21">
            <v>1.0330625758685E-2</v>
          </cell>
          <cell r="V21">
            <v>-3.48774933257641E-3</v>
          </cell>
          <cell r="Y21">
            <v>0.87815704628300895</v>
          </cell>
          <cell r="Z21">
            <v>0.86604829815963102</v>
          </cell>
          <cell r="AA21">
            <v>0.87022613573945795</v>
          </cell>
          <cell r="AE21">
            <v>1.0330625758685E-2</v>
          </cell>
          <cell r="AF21">
            <v>-3.48774933257641E-3</v>
          </cell>
        </row>
        <row r="22">
          <cell r="O22">
            <v>0.87815704628300895</v>
          </cell>
          <cell r="P22">
            <v>0.86607644789354998</v>
          </cell>
          <cell r="Q22">
            <v>0.86958410752139303</v>
          </cell>
          <cell r="U22">
            <v>1.2897034486166799E-2</v>
          </cell>
          <cell r="V22">
            <v>-9.8773280364433994E-4</v>
          </cell>
          <cell r="W22">
            <v>3.8246926531696401E-3</v>
          </cell>
          <cell r="Y22">
            <v>0.87815704628300895</v>
          </cell>
          <cell r="Z22">
            <v>0.86607644789354998</v>
          </cell>
          <cell r="AA22">
            <v>0.86958410752139303</v>
          </cell>
          <cell r="AE22">
            <v>1.2897034486166799E-2</v>
          </cell>
          <cell r="AF22">
            <v>-9.8773280364433994E-4</v>
          </cell>
          <cell r="AG22">
            <v>3.8246926531696401E-3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0.87815704628300895</v>
          </cell>
          <cell r="P23">
            <v>0.86682087434604604</v>
          </cell>
          <cell r="Q23">
            <v>0.86914803768156601</v>
          </cell>
          <cell r="U23">
            <v>1.25577343890732E-2</v>
          </cell>
          <cell r="V23">
            <v>-1.29452977532977E-3</v>
          </cell>
          <cell r="W23">
            <v>2.7473485657088402E-3</v>
          </cell>
          <cell r="Y23">
            <v>0.87815704628300895</v>
          </cell>
          <cell r="Z23">
            <v>0.86682087434604604</v>
          </cell>
          <cell r="AA23">
            <v>0.86914803768156601</v>
          </cell>
          <cell r="AE23">
            <v>1.25577343890732E-2</v>
          </cell>
          <cell r="AF23">
            <v>-1.29452977532977E-3</v>
          </cell>
          <cell r="AG23">
            <v>2.7473485657088402E-3</v>
          </cell>
          <cell r="BJ23">
            <v>0</v>
          </cell>
          <cell r="BV23">
            <v>0</v>
          </cell>
          <cell r="BY23">
            <v>0</v>
          </cell>
        </row>
        <row r="24">
          <cell r="O24">
            <v>0.87815704628300895</v>
          </cell>
          <cell r="P24">
            <v>0.86833675747259698</v>
          </cell>
          <cell r="Q24">
            <v>0.869142573517376</v>
          </cell>
          <cell r="U24">
            <v>-9.1449537908306505E-4</v>
          </cell>
          <cell r="V24">
            <v>-1.39075897718725E-2</v>
          </cell>
          <cell r="W24">
            <v>-1.12264764023438E-2</v>
          </cell>
          <cell r="Y24">
            <v>0.87815704628300895</v>
          </cell>
          <cell r="Z24">
            <v>0.86833675747259698</v>
          </cell>
          <cell r="AA24">
            <v>0.869142573517376</v>
          </cell>
          <cell r="AE24">
            <v>-9.1449537908306505E-4</v>
          </cell>
          <cell r="AF24">
            <v>-1.39075897718725E-2</v>
          </cell>
          <cell r="AG24">
            <v>-1.12264764023438E-2</v>
          </cell>
          <cell r="BJ24">
            <v>0</v>
          </cell>
          <cell r="BV24">
            <v>0</v>
          </cell>
          <cell r="BY24">
            <v>0</v>
          </cell>
        </row>
        <row r="25">
          <cell r="O25">
            <v>0.87815704628300895</v>
          </cell>
          <cell r="P25">
            <v>0.87036157579420104</v>
          </cell>
          <cell r="Q25">
            <v>0.86953985690692703</v>
          </cell>
          <cell r="U25">
            <v>-6.5176208131276104E-3</v>
          </cell>
          <cell r="V25">
            <v>-1.77634577989738E-2</v>
          </cell>
          <cell r="W25">
            <v>-1.6835888661105101E-2</v>
          </cell>
          <cell r="Y25">
            <v>0.87815704628300895</v>
          </cell>
          <cell r="Z25">
            <v>0.87036157579420104</v>
          </cell>
          <cell r="AA25">
            <v>0.86953985690692703</v>
          </cell>
          <cell r="AE25">
            <v>-6.5176208131276104E-3</v>
          </cell>
          <cell r="AF25">
            <v>-1.77634577989738E-2</v>
          </cell>
          <cell r="AG25">
            <v>-1.6835888661105101E-2</v>
          </cell>
          <cell r="BJ25">
            <v>0</v>
          </cell>
          <cell r="BV25">
            <v>0</v>
          </cell>
          <cell r="BY25">
            <v>0</v>
          </cell>
        </row>
        <row r="26">
          <cell r="O26">
            <v>0.87815704628300895</v>
          </cell>
          <cell r="P26">
            <v>0.87181077757679304</v>
          </cell>
          <cell r="Q26">
            <v>0.86969494555385796</v>
          </cell>
          <cell r="U26">
            <v>1.0984292682568199E-3</v>
          </cell>
          <cell r="V26">
            <v>-7.8182869055233306E-3</v>
          </cell>
          <cell r="W26">
            <v>-8.7628449510819897E-3</v>
          </cell>
          <cell r="Y26">
            <v>0.87815704628300895</v>
          </cell>
          <cell r="Z26">
            <v>0.87181077757679304</v>
          </cell>
          <cell r="AA26">
            <v>0.86969494555385796</v>
          </cell>
          <cell r="AE26">
            <v>1.0984292682568199E-3</v>
          </cell>
          <cell r="AF26">
            <v>-7.8182869055233306E-3</v>
          </cell>
          <cell r="AG26">
            <v>-8.7628449510819897E-3</v>
          </cell>
          <cell r="BJ26">
            <v>7.6160500813843013E-3</v>
          </cell>
          <cell r="BV26">
            <v>0</v>
          </cell>
          <cell r="BY26">
            <v>7.6160500813843013E-3</v>
          </cell>
        </row>
        <row r="27">
          <cell r="O27">
            <v>0.87815704628300895</v>
          </cell>
          <cell r="P27">
            <v>0.87162718563406805</v>
          </cell>
          <cell r="Q27">
            <v>0.86915175172109305</v>
          </cell>
          <cell r="U27">
            <v>1.43722822369113E-2</v>
          </cell>
          <cell r="V27">
            <v>7.1192385626363099E-3</v>
          </cell>
          <cell r="W27">
            <v>4.6893492595060102E-3</v>
          </cell>
          <cell r="Y27">
            <v>0.87815704628300895</v>
          </cell>
          <cell r="Z27">
            <v>0.87162718563406805</v>
          </cell>
          <cell r="AA27">
            <v>0.86915175172109305</v>
          </cell>
          <cell r="AE27">
            <v>1.43722822369113E-2</v>
          </cell>
          <cell r="AF27">
            <v>7.1192385626363099E-3</v>
          </cell>
          <cell r="AG27">
            <v>4.6893492595060102E-3</v>
          </cell>
          <cell r="BJ27">
            <v>2.0889903050038801E-2</v>
          </cell>
          <cell r="BV27">
            <v>0</v>
          </cell>
          <cell r="BY27">
            <v>2.0889903050038801E-2</v>
          </cell>
        </row>
        <row r="28">
          <cell r="O28">
            <v>0.87815704628300895</v>
          </cell>
          <cell r="P28">
            <v>0.87190461372592798</v>
          </cell>
          <cell r="Q28">
            <v>0.86898914323507503</v>
          </cell>
          <cell r="U28">
            <v>1.2888245054579601E-2</v>
          </cell>
          <cell r="V28">
            <v>5.4245922880658297E-3</v>
          </cell>
          <cell r="W28">
            <v>2.5805372177386799E-3</v>
          </cell>
          <cell r="Y28">
            <v>0.87815704628300895</v>
          </cell>
          <cell r="Z28">
            <v>0.87190461372592798</v>
          </cell>
          <cell r="AA28">
            <v>0.86898914323507503</v>
          </cell>
          <cell r="AE28">
            <v>1.2888245054579601E-2</v>
          </cell>
          <cell r="AF28">
            <v>5.4245922880658297E-3</v>
          </cell>
          <cell r="AG28">
            <v>2.5805372177386799E-3</v>
          </cell>
          <cell r="BJ28">
            <v>2.0889903050038801E-2</v>
          </cell>
          <cell r="BV28">
            <v>0</v>
          </cell>
          <cell r="BY28">
            <v>2.0889903050038801E-2</v>
          </cell>
        </row>
        <row r="29">
          <cell r="O29">
            <v>0.87815704628300895</v>
          </cell>
          <cell r="P29">
            <v>0.87180887725831802</v>
          </cell>
          <cell r="Q29">
            <v>0.86887593687647402</v>
          </cell>
          <cell r="U29">
            <v>1.1964425852135099E-2</v>
          </cell>
          <cell r="V29">
            <v>4.8190100048473199E-3</v>
          </cell>
          <cell r="W29">
            <v>1.4696117951210901E-3</v>
          </cell>
          <cell r="Y29">
            <v>0.87815704628300895</v>
          </cell>
          <cell r="Z29">
            <v>0.87180887725831802</v>
          </cell>
          <cell r="AA29">
            <v>0.86887593687647402</v>
          </cell>
          <cell r="AE29">
            <v>1.1964425852135099E-2</v>
          </cell>
          <cell r="AF29">
            <v>4.8190100048473199E-3</v>
          </cell>
          <cell r="AG29">
            <v>1.4696117951210901E-3</v>
          </cell>
          <cell r="BJ29">
            <v>2.0889903050038801E-2</v>
          </cell>
          <cell r="BV29">
            <v>0</v>
          </cell>
          <cell r="BY29">
            <v>2.0889903050038801E-2</v>
          </cell>
        </row>
        <row r="30">
          <cell r="O30">
            <v>0.87815704628300895</v>
          </cell>
          <cell r="P30">
            <v>0.87164919862207602</v>
          </cell>
          <cell r="Q30">
            <v>0.868877498770526</v>
          </cell>
          <cell r="U30">
            <v>5.9425671883489798E-3</v>
          </cell>
          <cell r="V30">
            <v>-1.31265622560717E-3</v>
          </cell>
          <cell r="W30">
            <v>-4.6825289717541104E-3</v>
          </cell>
          <cell r="Y30">
            <v>0.87815704628300895</v>
          </cell>
          <cell r="Z30">
            <v>0.87164919862207602</v>
          </cell>
          <cell r="AA30">
            <v>0.868877498770526</v>
          </cell>
          <cell r="AE30">
            <v>5.9425671883489798E-3</v>
          </cell>
          <cell r="AF30">
            <v>-1.31265622560717E-3</v>
          </cell>
          <cell r="AG30">
            <v>-4.6825289717541104E-3</v>
          </cell>
          <cell r="BJ30">
            <v>2.0889903050038801E-2</v>
          </cell>
          <cell r="BV30">
            <v>0</v>
          </cell>
          <cell r="BY30">
            <v>2.0889903050038801E-2</v>
          </cell>
        </row>
        <row r="31">
          <cell r="O31">
            <v>0.87815704628300895</v>
          </cell>
          <cell r="P31">
            <v>0.87212063072694901</v>
          </cell>
          <cell r="Q31">
            <v>0.86908446444329002</v>
          </cell>
          <cell r="U31">
            <v>4.9211110303842504E-3</v>
          </cell>
          <cell r="V31">
            <v>-2.51728700520093E-3</v>
          </cell>
          <cell r="W31">
            <v>-5.7021875282644904E-3</v>
          </cell>
          <cell r="Y31">
            <v>0.87815704628300895</v>
          </cell>
          <cell r="Z31">
            <v>0.87212063072694901</v>
          </cell>
          <cell r="AA31">
            <v>0.86908446444329002</v>
          </cell>
          <cell r="AE31">
            <v>4.9211110303842504E-3</v>
          </cell>
          <cell r="AF31">
            <v>-2.51728700520093E-3</v>
          </cell>
          <cell r="AG31">
            <v>-5.7021875282644904E-3</v>
          </cell>
          <cell r="BJ31">
            <v>2.0889903050038801E-2</v>
          </cell>
          <cell r="BV31">
            <v>0</v>
          </cell>
          <cell r="BY31">
            <v>2.0889903050038801E-2</v>
          </cell>
        </row>
        <row r="32">
          <cell r="O32">
            <v>0.87815704628300895</v>
          </cell>
          <cell r="P32">
            <v>0.87353811895473898</v>
          </cell>
          <cell r="Q32">
            <v>0.86980728342414504</v>
          </cell>
          <cell r="U32">
            <v>-3.3218779484710799E-3</v>
          </cell>
          <cell r="V32">
            <v>-1.02195714616774E-2</v>
          </cell>
          <cell r="W32">
            <v>-1.37070059623981E-2</v>
          </cell>
          <cell r="Y32">
            <v>0.87815704628300895</v>
          </cell>
          <cell r="Z32">
            <v>0.87353811895473898</v>
          </cell>
          <cell r="AA32">
            <v>0.86980728342414504</v>
          </cell>
          <cell r="AE32">
            <v>-3.3218779484710799E-3</v>
          </cell>
          <cell r="AF32">
            <v>-1.02195714616774E-2</v>
          </cell>
          <cell r="AG32">
            <v>-1.37070059623981E-2</v>
          </cell>
          <cell r="BJ32">
            <v>2.0889903050038801E-2</v>
          </cell>
          <cell r="BV32">
            <v>0</v>
          </cell>
          <cell r="BY32">
            <v>2.0889903050038801E-2</v>
          </cell>
        </row>
        <row r="33">
          <cell r="O33">
            <v>0.87815704628300895</v>
          </cell>
          <cell r="P33">
            <v>0.87566912252875395</v>
          </cell>
          <cell r="Q33">
            <v>0.8712449984374</v>
          </cell>
          <cell r="U33">
            <v>-1.17186236366437E-2</v>
          </cell>
          <cell r="V33">
            <v>-1.6992301528707499E-2</v>
          </cell>
          <cell r="W33">
            <v>-2.1272395675280598E-2</v>
          </cell>
          <cell r="Y33">
            <v>0.87815704628300895</v>
          </cell>
          <cell r="Z33">
            <v>0.87566912252875395</v>
          </cell>
          <cell r="AA33">
            <v>0.8712449984374</v>
          </cell>
          <cell r="AE33">
            <v>-1.17186236366437E-2</v>
          </cell>
          <cell r="AF33">
            <v>-1.6992301528707499E-2</v>
          </cell>
          <cell r="AG33">
            <v>-2.1272395675280598E-2</v>
          </cell>
          <cell r="BJ33">
            <v>1.2493157361866212E-2</v>
          </cell>
          <cell r="BV33">
            <v>0</v>
          </cell>
          <cell r="BY33">
            <v>1.2493157361866212E-2</v>
          </cell>
        </row>
        <row r="34">
          <cell r="O34">
            <v>0.87815704628300895</v>
          </cell>
          <cell r="P34">
            <v>0.87696742310111098</v>
          </cell>
          <cell r="Q34">
            <v>0.87265209028685398</v>
          </cell>
          <cell r="U34">
            <v>-1.5577332578552899E-2</v>
          </cell>
          <cell r="V34">
            <v>-1.8414472846326101E-2</v>
          </cell>
          <cell r="W34">
            <v>-2.3479557038719501E-2</v>
          </cell>
          <cell r="Y34">
            <v>0.87815704628300895</v>
          </cell>
          <cell r="Z34">
            <v>0.87696742310111098</v>
          </cell>
          <cell r="AA34">
            <v>0.87265209028685398</v>
          </cell>
          <cell r="AE34">
            <v>-1.5577332578552899E-2</v>
          </cell>
          <cell r="AF34">
            <v>-1.8414472846326101E-2</v>
          </cell>
          <cell r="AG34">
            <v>-2.3479557038719501E-2</v>
          </cell>
          <cell r="BJ34">
            <v>8.6344484199569783E-3</v>
          </cell>
          <cell r="BV34">
            <v>0</v>
          </cell>
          <cell r="BY34">
            <v>8.6344484199569783E-3</v>
          </cell>
        </row>
        <row r="35">
          <cell r="O35">
            <v>0.87815704628300895</v>
          </cell>
          <cell r="P35">
            <v>0.87765471257745498</v>
          </cell>
          <cell r="Q35">
            <v>0.87400814418582795</v>
          </cell>
          <cell r="U35">
            <v>-1.42632003881412E-2</v>
          </cell>
          <cell r="V35">
            <v>-1.5618800386688499E-2</v>
          </cell>
          <cell r="W35">
            <v>-2.0551691831713698E-2</v>
          </cell>
          <cell r="Y35">
            <v>0.87815704628300895</v>
          </cell>
          <cell r="Z35">
            <v>0.87765471257745498</v>
          </cell>
          <cell r="AA35">
            <v>0.87400814418582795</v>
          </cell>
          <cell r="AE35">
            <v>-1.42632003881412E-2</v>
          </cell>
          <cell r="AF35">
            <v>-1.5618800386688499E-2</v>
          </cell>
          <cell r="AG35">
            <v>-2.0551691831713698E-2</v>
          </cell>
          <cell r="BJ35">
            <v>9.9485806103686795E-3</v>
          </cell>
          <cell r="BV35">
            <v>0</v>
          </cell>
          <cell r="BY35">
            <v>9.9485806103686795E-3</v>
          </cell>
        </row>
        <row r="36">
          <cell r="O36">
            <v>0.87815704628300895</v>
          </cell>
          <cell r="P36">
            <v>0.87894470225753796</v>
          </cell>
          <cell r="Q36">
            <v>0.87537773991716505</v>
          </cell>
          <cell r="U36">
            <v>-1.3500370152895701E-2</v>
          </cell>
          <cell r="V36">
            <v>-1.40725655681781E-2</v>
          </cell>
          <cell r="W36">
            <v>-1.8236122094343301E-2</v>
          </cell>
          <cell r="Y36">
            <v>0.87815704628300895</v>
          </cell>
          <cell r="Z36">
            <v>0.87894470225753796</v>
          </cell>
          <cell r="AA36">
            <v>0.87537773991716505</v>
          </cell>
          <cell r="AE36">
            <v>-1.3500370152895701E-2</v>
          </cell>
          <cell r="AF36">
            <v>-1.40725655681781E-2</v>
          </cell>
          <cell r="AG36">
            <v>-1.8236122094343301E-2</v>
          </cell>
          <cell r="BJ36">
            <v>1.0711410845614179E-2</v>
          </cell>
          <cell r="BV36">
            <v>0</v>
          </cell>
          <cell r="BY36">
            <v>1.0711410845614179E-2</v>
          </cell>
        </row>
        <row r="37">
          <cell r="O37">
            <v>0.87815704628300895</v>
          </cell>
          <cell r="P37">
            <v>0.88139898038196596</v>
          </cell>
          <cell r="Q37">
            <v>0.876513083008017</v>
          </cell>
          <cell r="U37">
            <v>-1.35858537093844E-2</v>
          </cell>
          <cell r="V37">
            <v>-1.2689313679255999E-2</v>
          </cell>
          <cell r="W37">
            <v>-1.67558035901124E-2</v>
          </cell>
          <cell r="Y37">
            <v>0.87815704628300895</v>
          </cell>
          <cell r="Z37">
            <v>0.88139898038196596</v>
          </cell>
          <cell r="AA37">
            <v>0.876513083008017</v>
          </cell>
          <cell r="AE37">
            <v>-1.35858537093844E-2</v>
          </cell>
          <cell r="AF37">
            <v>-1.2689313679255999E-2</v>
          </cell>
          <cell r="AG37">
            <v>-1.67558035901124E-2</v>
          </cell>
          <cell r="BJ37">
            <v>1.0625927289125568E-2</v>
          </cell>
          <cell r="BV37">
            <v>0</v>
          </cell>
          <cell r="BY37">
            <v>1.0625927289125568E-2</v>
          </cell>
        </row>
        <row r="38">
          <cell r="O38">
            <v>0.87815704628300895</v>
          </cell>
          <cell r="P38">
            <v>0.88450216796316705</v>
          </cell>
          <cell r="Q38">
            <v>0.87820339084454702</v>
          </cell>
          <cell r="U38">
            <v>-2.2281859372721799E-2</v>
          </cell>
          <cell r="V38">
            <v>-1.8596909625960601E-2</v>
          </cell>
          <cell r="W38">
            <v>-2.4155674545807599E-2</v>
          </cell>
          <cell r="Y38">
            <v>0.87815704628300895</v>
          </cell>
          <cell r="Z38">
            <v>0.88450216796316705</v>
          </cell>
          <cell r="AA38">
            <v>0.87820339084454702</v>
          </cell>
          <cell r="AE38">
            <v>-2.2281859372721799E-2</v>
          </cell>
          <cell r="AF38">
            <v>-1.8596909625960601E-2</v>
          </cell>
          <cell r="AG38">
            <v>-2.4155674545807599E-2</v>
          </cell>
          <cell r="BJ38">
            <v>1.9299216257881585E-3</v>
          </cell>
          <cell r="BV38">
            <v>0</v>
          </cell>
          <cell r="BY38">
            <v>1.9299216257881585E-3</v>
          </cell>
        </row>
        <row r="39">
          <cell r="O39">
            <v>0.87815704628300895</v>
          </cell>
          <cell r="P39">
            <v>0.88800555199877496</v>
          </cell>
          <cell r="Q39">
            <v>0.87990721462854604</v>
          </cell>
          <cell r="U39">
            <v>-2.76167192538956E-2</v>
          </cell>
          <cell r="V39">
            <v>-2.04172004403732E-2</v>
          </cell>
          <cell r="W39">
            <v>-2.75639458475152E-2</v>
          </cell>
          <cell r="Y39">
            <v>0.87815704628300895</v>
          </cell>
          <cell r="Z39">
            <v>0.88800555199877496</v>
          </cell>
          <cell r="AA39">
            <v>0.87990721462854604</v>
          </cell>
          <cell r="AE39">
            <v>-2.76167192538956E-2</v>
          </cell>
          <cell r="AF39">
            <v>-2.04172004403732E-2</v>
          </cell>
          <cell r="AG39">
            <v>-2.75639458475152E-2</v>
          </cell>
          <cell r="BJ39">
            <v>-3.4049382553856429E-3</v>
          </cell>
          <cell r="BV39">
            <v>0</v>
          </cell>
          <cell r="BY39">
            <v>-3.4049382553856429E-3</v>
          </cell>
        </row>
        <row r="40">
          <cell r="O40">
            <v>0.87815704628300895</v>
          </cell>
          <cell r="P40">
            <v>0.89141216702598502</v>
          </cell>
          <cell r="Q40">
            <v>0.88153068282403102</v>
          </cell>
          <cell r="U40">
            <v>-3.2339235889201901E-2</v>
          </cell>
          <cell r="V40">
            <v>-2.1186686509693201E-2</v>
          </cell>
          <cell r="W40">
            <v>-3.0348217742013898E-2</v>
          </cell>
          <cell r="Y40">
            <v>0.87815704628300895</v>
          </cell>
          <cell r="Z40">
            <v>0.89141216702598502</v>
          </cell>
          <cell r="AA40">
            <v>0.88153068282403102</v>
          </cell>
          <cell r="AE40">
            <v>-3.2339235889201901E-2</v>
          </cell>
          <cell r="AF40">
            <v>-2.1186686509693201E-2</v>
          </cell>
          <cell r="AG40">
            <v>-3.0348217742013898E-2</v>
          </cell>
          <cell r="BJ40">
            <v>-8.1274548906919222E-3</v>
          </cell>
          <cell r="BV40">
            <v>0</v>
          </cell>
          <cell r="BY40">
            <v>-8.1274548906919222E-3</v>
          </cell>
        </row>
        <row r="41">
          <cell r="O41">
            <v>0.87815704628300895</v>
          </cell>
          <cell r="P41">
            <v>0.89478862699161599</v>
          </cell>
          <cell r="Q41">
            <v>0.88345462885928305</v>
          </cell>
          <cell r="U41">
            <v>-3.2990155275399197E-2</v>
          </cell>
          <cell r="V41">
            <v>-1.8008691355250201E-2</v>
          </cell>
          <cell r="W41">
            <v>-2.9155792372732001E-2</v>
          </cell>
          <cell r="Y41">
            <v>0.87815704628300895</v>
          </cell>
          <cell r="Z41">
            <v>0.89478862699161599</v>
          </cell>
          <cell r="AA41">
            <v>0.88345462885928305</v>
          </cell>
          <cell r="AE41">
            <v>-3.2990155275399197E-2</v>
          </cell>
          <cell r="AF41">
            <v>-1.8008691355250201E-2</v>
          </cell>
          <cell r="AG41">
            <v>-2.9155792372732001E-2</v>
          </cell>
          <cell r="BJ41">
            <v>-8.7783742768894214E-3</v>
          </cell>
          <cell r="BV41">
            <v>0</v>
          </cell>
          <cell r="BY41">
            <v>-8.7783742768894214E-3</v>
          </cell>
        </row>
        <row r="42">
          <cell r="O42">
            <v>0.87815704628300895</v>
          </cell>
          <cell r="P42">
            <v>0.897489267352926</v>
          </cell>
          <cell r="Q42">
            <v>0.88551369315383299</v>
          </cell>
          <cell r="U42">
            <v>-3.3513015301364697E-2</v>
          </cell>
          <cell r="V42">
            <v>-1.47509417223397E-2</v>
          </cell>
          <cell r="W42">
            <v>-2.7498524570378501E-2</v>
          </cell>
          <cell r="Y42">
            <v>0.87815704628300895</v>
          </cell>
          <cell r="Z42">
            <v>0.897489267352926</v>
          </cell>
          <cell r="AA42">
            <v>0.88551369315383299</v>
          </cell>
          <cell r="AE42">
            <v>-3.3513015301364697E-2</v>
          </cell>
          <cell r="AF42">
            <v>-1.47509417223397E-2</v>
          </cell>
          <cell r="AG42">
            <v>-2.7498524570378501E-2</v>
          </cell>
          <cell r="BJ42">
            <v>-9.3012343028550208E-3</v>
          </cell>
          <cell r="BV42">
            <v>0</v>
          </cell>
          <cell r="BY42">
            <v>-9.3012343028550208E-3</v>
          </cell>
        </row>
        <row r="43">
          <cell r="O43">
            <v>0.87815704628300895</v>
          </cell>
          <cell r="P43">
            <v>0.89867215070898498</v>
          </cell>
          <cell r="Q43">
            <v>0.88717063661886997</v>
          </cell>
          <cell r="U43">
            <v>-2.4943919470091998E-2</v>
          </cell>
          <cell r="V43">
            <v>-3.1682034042898898E-3</v>
          </cell>
          <cell r="W43">
            <v>-1.6601444457133099E-2</v>
          </cell>
          <cell r="Y43">
            <v>0.87815704628300895</v>
          </cell>
          <cell r="Z43">
            <v>0.89867215070898498</v>
          </cell>
          <cell r="AA43">
            <v>0.88717063661886997</v>
          </cell>
          <cell r="AE43">
            <v>-2.4943919470091998E-2</v>
          </cell>
          <cell r="AF43">
            <v>-3.1682034042898898E-3</v>
          </cell>
          <cell r="AG43">
            <v>-1.6601444457133099E-2</v>
          </cell>
          <cell r="BJ43">
            <v>-7.3213847158242092E-4</v>
          </cell>
          <cell r="BV43">
            <v>0</v>
          </cell>
          <cell r="BY43">
            <v>-7.3213847158242092E-4</v>
          </cell>
        </row>
        <row r="44">
          <cell r="O44">
            <v>0.87815704628300895</v>
          </cell>
          <cell r="P44">
            <v>0.89960400810537999</v>
          </cell>
          <cell r="Q44">
            <v>0.88828571560324598</v>
          </cell>
          <cell r="U44">
            <v>-2.5970628347226798E-2</v>
          </cell>
          <cell r="V44">
            <v>-2.8777884247702E-3</v>
          </cell>
          <cell r="W44">
            <v>-1.5758735390244201E-2</v>
          </cell>
          <cell r="Y44">
            <v>0.87815704628300895</v>
          </cell>
          <cell r="Z44">
            <v>0.89960400810537999</v>
          </cell>
          <cell r="AA44">
            <v>0.88828571560324598</v>
          </cell>
          <cell r="AE44">
            <v>-2.5970628347226798E-2</v>
          </cell>
          <cell r="AF44">
            <v>-2.8777884247702E-3</v>
          </cell>
          <cell r="AG44">
            <v>-1.5758735390244201E-2</v>
          </cell>
          <cell r="BJ44">
            <v>-1.7588473487171203E-3</v>
          </cell>
          <cell r="BV44">
            <v>0</v>
          </cell>
          <cell r="BY44">
            <v>-1.7588473487171203E-3</v>
          </cell>
        </row>
        <row r="45">
          <cell r="O45">
            <v>0.87815704628300895</v>
          </cell>
          <cell r="P45">
            <v>0.89940766172534703</v>
          </cell>
          <cell r="Q45">
            <v>0.888531187151401</v>
          </cell>
          <cell r="U45">
            <v>-1.2056540701161999E-2</v>
          </cell>
          <cell r="V45">
            <v>1.2072688960697599E-2</v>
          </cell>
          <cell r="W45">
            <v>-5.8854349853617303E-4</v>
          </cell>
          <cell r="Y45">
            <v>0.87815704628300895</v>
          </cell>
          <cell r="Z45">
            <v>0.89940766172534703</v>
          </cell>
          <cell r="AA45">
            <v>0.888531187151401</v>
          </cell>
          <cell r="AE45">
            <v>-1.2056540701161999E-2</v>
          </cell>
          <cell r="AF45">
            <v>1.2072688960697599E-2</v>
          </cell>
          <cell r="AG45">
            <v>-5.8854349853617303E-4</v>
          </cell>
          <cell r="BJ45">
            <v>1.215524029734778E-2</v>
          </cell>
          <cell r="BV45">
            <v>0</v>
          </cell>
          <cell r="BY45">
            <v>1.215524029734778E-2</v>
          </cell>
        </row>
        <row r="46">
          <cell r="O46">
            <v>0.87815704628300895</v>
          </cell>
          <cell r="P46">
            <v>0.89895846041098204</v>
          </cell>
          <cell r="Q46">
            <v>0.88895158133426</v>
          </cell>
          <cell r="U46">
            <v>-8.4409135460254605E-3</v>
          </cell>
          <cell r="V46">
            <v>1.5470033617609499E-2</v>
          </cell>
          <cell r="W46">
            <v>3.3033884906394102E-3</v>
          </cell>
          <cell r="Y46">
            <v>0.87815704628300895</v>
          </cell>
          <cell r="Z46">
            <v>0.89895846041098204</v>
          </cell>
          <cell r="AA46">
            <v>0.88895158133426</v>
          </cell>
          <cell r="AE46">
            <v>-8.4409135460254605E-3</v>
          </cell>
          <cell r="AF46">
            <v>1.5470033617609499E-2</v>
          </cell>
          <cell r="AG46">
            <v>3.3033884906394102E-3</v>
          </cell>
          <cell r="BJ46">
            <v>1.215524029734778E-2</v>
          </cell>
          <cell r="BV46">
            <v>0</v>
          </cell>
          <cell r="BY46">
            <v>1.215524029734778E-2</v>
          </cell>
        </row>
        <row r="47">
          <cell r="O47">
            <v>0.87815704628300895</v>
          </cell>
          <cell r="P47">
            <v>0.89822223930311695</v>
          </cell>
          <cell r="Q47">
            <v>0.88981060984254101</v>
          </cell>
          <cell r="U47">
            <v>-5.2808856632049197E-3</v>
          </cell>
          <cell r="V47">
            <v>1.8130495457478E-2</v>
          </cell>
          <cell r="W47">
            <v>6.9364383325484103E-3</v>
          </cell>
          <cell r="Y47">
            <v>0.87815704628300895</v>
          </cell>
          <cell r="Z47">
            <v>0.89822223930311695</v>
          </cell>
          <cell r="AA47">
            <v>0.88981060984254101</v>
          </cell>
          <cell r="AE47">
            <v>-5.2808856632049197E-3</v>
          </cell>
          <cell r="AF47">
            <v>1.8130495457478E-2</v>
          </cell>
          <cell r="AG47">
            <v>6.9364383325484103E-3</v>
          </cell>
          <cell r="BJ47">
            <v>1.215524029734778E-2</v>
          </cell>
          <cell r="BV47">
            <v>0</v>
          </cell>
          <cell r="BY47">
            <v>1.215524029734778E-2</v>
          </cell>
        </row>
        <row r="48">
          <cell r="O48">
            <v>0.87815704628300895</v>
          </cell>
          <cell r="P48">
            <v>0.89679827262646405</v>
          </cell>
          <cell r="Q48">
            <v>0.890650220294816</v>
          </cell>
          <cell r="U48">
            <v>-6.2966893897490701E-3</v>
          </cell>
          <cell r="V48">
            <v>1.6295384969888901E-2</v>
          </cell>
          <cell r="W48">
            <v>6.8865069180264003E-3</v>
          </cell>
          <cell r="Y48">
            <v>0.87815704628300895</v>
          </cell>
          <cell r="Z48">
            <v>0.89679827262646405</v>
          </cell>
          <cell r="AA48">
            <v>0.890650220294816</v>
          </cell>
          <cell r="AE48">
            <v>-6.2966893897490701E-3</v>
          </cell>
          <cell r="AF48">
            <v>1.6295384969888901E-2</v>
          </cell>
          <cell r="AG48">
            <v>6.8865069180264003E-3</v>
          </cell>
          <cell r="BJ48">
            <v>1.215524029734778E-2</v>
          </cell>
          <cell r="BV48">
            <v>0</v>
          </cell>
          <cell r="BY48">
            <v>1.215524029734778E-2</v>
          </cell>
        </row>
        <row r="49">
          <cell r="O49">
            <v>0.87815704628300895</v>
          </cell>
          <cell r="P49">
            <v>0.89497069992037004</v>
          </cell>
          <cell r="Q49">
            <v>0.89148812595957305</v>
          </cell>
          <cell r="U49">
            <v>-7.1644134968094301E-3</v>
          </cell>
          <cell r="V49">
            <v>1.38410862628255E-2</v>
          </cell>
          <cell r="W49">
            <v>6.9619212392866298E-3</v>
          </cell>
          <cell r="Y49">
            <v>0.87815704628300895</v>
          </cell>
          <cell r="Z49">
            <v>0.89497069992037004</v>
          </cell>
          <cell r="AA49">
            <v>0.89148812595957305</v>
          </cell>
          <cell r="AE49">
            <v>-7.1644134968094301E-3</v>
          </cell>
          <cell r="AF49">
            <v>1.38410862628255E-2</v>
          </cell>
          <cell r="AG49">
            <v>6.9619212392866298E-3</v>
          </cell>
          <cell r="BJ49">
            <v>1.215524029734778E-2</v>
          </cell>
          <cell r="BV49">
            <v>0</v>
          </cell>
          <cell r="BY49">
            <v>1.215524029734778E-2</v>
          </cell>
        </row>
        <row r="50">
          <cell r="O50">
            <v>0.87815704628300895</v>
          </cell>
          <cell r="P50">
            <v>0.89283370591172295</v>
          </cell>
          <cell r="Q50">
            <v>0.89212293646885399</v>
          </cell>
          <cell r="U50">
            <v>-8.4966460192049606E-3</v>
          </cell>
          <cell r="V50">
            <v>1.04688883566372E-2</v>
          </cell>
          <cell r="W50">
            <v>6.57002618088215E-3</v>
          </cell>
          <cell r="Y50">
            <v>0.87815704628300895</v>
          </cell>
          <cell r="Z50">
            <v>0.89283370591172295</v>
          </cell>
          <cell r="AA50">
            <v>0.89212293646885399</v>
          </cell>
          <cell r="AE50">
            <v>-8.4966460192049606E-3</v>
          </cell>
          <cell r="AF50">
            <v>1.04688883566372E-2</v>
          </cell>
          <cell r="AG50">
            <v>6.57002618088215E-3</v>
          </cell>
          <cell r="BJ50">
            <v>1.215524029734778E-2</v>
          </cell>
          <cell r="BV50">
            <v>0</v>
          </cell>
          <cell r="BY50">
            <v>1.215524029734778E-2</v>
          </cell>
        </row>
        <row r="51">
          <cell r="O51">
            <v>0.87815704628300895</v>
          </cell>
          <cell r="P51">
            <v>0.89052292295913804</v>
          </cell>
          <cell r="Q51">
            <v>0.89265577497537696</v>
          </cell>
          <cell r="U51">
            <v>-7.2003735464383004E-3</v>
          </cell>
          <cell r="V51">
            <v>9.37452456131504E-3</v>
          </cell>
          <cell r="W51">
            <v>8.5781248465431701E-3</v>
          </cell>
          <cell r="Y51">
            <v>0.87815704628300895</v>
          </cell>
          <cell r="Z51">
            <v>0.89052292295913804</v>
          </cell>
          <cell r="AA51">
            <v>0.89265577497537696</v>
          </cell>
          <cell r="AE51">
            <v>-7.2003735464383004E-3</v>
          </cell>
          <cell r="AF51">
            <v>9.37452456131504E-3</v>
          </cell>
          <cell r="AG51">
            <v>8.5781248465431701E-3</v>
          </cell>
          <cell r="BJ51">
            <v>1.215524029734778E-2</v>
          </cell>
          <cell r="BV51">
            <v>0</v>
          </cell>
          <cell r="BY51">
            <v>1.215524029734778E-2</v>
          </cell>
        </row>
        <row r="52">
          <cell r="O52">
            <v>0.87815704628300895</v>
          </cell>
          <cell r="P52">
            <v>0.88864386469967804</v>
          </cell>
          <cell r="Q52">
            <v>0.89306656602630197</v>
          </cell>
          <cell r="U52">
            <v>-1.2603397644940499E-2</v>
          </cell>
          <cell r="V52">
            <v>1.3800005817240499E-3</v>
          </cell>
          <cell r="W52">
            <v>3.7721927224538499E-3</v>
          </cell>
          <cell r="Y52">
            <v>0.87815704628300895</v>
          </cell>
          <cell r="Z52">
            <v>0.88864386469967804</v>
          </cell>
          <cell r="AA52">
            <v>0.89306656602630197</v>
          </cell>
          <cell r="AE52">
            <v>-1.2603397644940499E-2</v>
          </cell>
          <cell r="AF52">
            <v>1.3800005817240499E-3</v>
          </cell>
          <cell r="AG52">
            <v>3.7721927224538499E-3</v>
          </cell>
          <cell r="BJ52">
            <v>1.215524029734778E-2</v>
          </cell>
          <cell r="BV52">
            <v>0</v>
          </cell>
          <cell r="BY52">
            <v>1.215524029734778E-2</v>
          </cell>
        </row>
        <row r="53">
          <cell r="O53">
            <v>0.87815704628300895</v>
          </cell>
          <cell r="P53">
            <v>0.88688853248349897</v>
          </cell>
          <cell r="Q53">
            <v>0.89278034159624198</v>
          </cell>
          <cell r="U53">
            <v>-5.2549714438425996E-3</v>
          </cell>
          <cell r="V53">
            <v>6.6161358260054199E-3</v>
          </cell>
          <cell r="W53">
            <v>1.15807028332836E-2</v>
          </cell>
          <cell r="Y53">
            <v>0.87815704628300895</v>
          </cell>
          <cell r="Z53">
            <v>0.88688853248349897</v>
          </cell>
          <cell r="AA53">
            <v>0.89278034159624198</v>
          </cell>
          <cell r="AE53">
            <v>-5.2549714438425996E-3</v>
          </cell>
          <cell r="AF53">
            <v>6.6161358260054199E-3</v>
          </cell>
          <cell r="AG53">
            <v>1.15807028332836E-2</v>
          </cell>
          <cell r="BJ53">
            <v>1.215524029734778E-2</v>
          </cell>
          <cell r="BV53">
            <v>0</v>
          </cell>
          <cell r="BY53">
            <v>1.215524029734778E-2</v>
          </cell>
        </row>
        <row r="54">
          <cell r="O54">
            <v>0.87815704628300895</v>
          </cell>
          <cell r="P54">
            <v>0.88461107793447702</v>
          </cell>
          <cell r="Q54">
            <v>0.89210754301992901</v>
          </cell>
          <cell r="U54">
            <v>-3.7625377711765902E-4</v>
          </cell>
          <cell r="V54">
            <v>9.5176067910231303E-3</v>
          </cell>
          <cell r="W54">
            <v>1.6138872942108601E-2</v>
          </cell>
          <cell r="Y54">
            <v>0.87815704628300895</v>
          </cell>
          <cell r="Z54">
            <v>0.88461107793447702</v>
          </cell>
          <cell r="AA54">
            <v>0.89210754301992901</v>
          </cell>
          <cell r="AE54">
            <v>-3.7625377711765902E-4</v>
          </cell>
          <cell r="AF54">
            <v>9.5176067910231303E-3</v>
          </cell>
          <cell r="AG54">
            <v>1.6138872942108601E-2</v>
          </cell>
          <cell r="BJ54">
            <v>1.215524029734778E-2</v>
          </cell>
          <cell r="BV54">
            <v>0</v>
          </cell>
          <cell r="BY54">
            <v>1.215524029734778E-2</v>
          </cell>
        </row>
        <row r="55">
          <cell r="O55">
            <v>0.87815704628300895</v>
          </cell>
          <cell r="P55">
            <v>0.88353598003714395</v>
          </cell>
          <cell r="Q55">
            <v>0.89147182088124599</v>
          </cell>
          <cell r="U55">
            <v>1.13153585069379E-4</v>
          </cell>
          <cell r="V55">
            <v>7.4357961971385196E-3</v>
          </cell>
          <cell r="W55">
            <v>1.58743969775305E-2</v>
          </cell>
          <cell r="Y55">
            <v>0.87815704628300895</v>
          </cell>
          <cell r="Z55">
            <v>0.88353598003714395</v>
          </cell>
          <cell r="AA55">
            <v>0.89147182088124599</v>
          </cell>
          <cell r="AE55">
            <v>1.13153585069379E-4</v>
          </cell>
          <cell r="AF55">
            <v>7.4357961971385196E-3</v>
          </cell>
          <cell r="AG55">
            <v>1.58743969775305E-2</v>
          </cell>
          <cell r="BJ55">
            <v>1.215524029734778E-2</v>
          </cell>
          <cell r="BV55">
            <v>-4.8940736218683941E-4</v>
          </cell>
          <cell r="BY55">
            <v>1.1665832935160939E-2</v>
          </cell>
        </row>
        <row r="56">
          <cell r="O56">
            <v>0.87815704628300895</v>
          </cell>
          <cell r="P56">
            <v>0.88332257951466897</v>
          </cell>
          <cell r="Q56">
            <v>0.89114051996282595</v>
          </cell>
          <cell r="U56">
            <v>-6.0283363142263104E-3</v>
          </cell>
          <cell r="V56">
            <v>7.8233205984608203E-5</v>
          </cell>
          <cell r="W56">
            <v>9.0200459872497394E-3</v>
          </cell>
          <cell r="Y56">
            <v>0.87815704628300895</v>
          </cell>
          <cell r="Z56">
            <v>0.88332257951466897</v>
          </cell>
          <cell r="AA56">
            <v>0.89114051996282595</v>
          </cell>
          <cell r="AE56">
            <v>-6.0283363142263104E-3</v>
          </cell>
          <cell r="AF56">
            <v>7.8233205984608203E-5</v>
          </cell>
          <cell r="AG56">
            <v>9.0200459872497394E-3</v>
          </cell>
          <cell r="BJ56">
            <v>1.215524029734778E-2</v>
          </cell>
          <cell r="BV56">
            <v>5.6520825371088601E-3</v>
          </cell>
          <cell r="BY56">
            <v>1.780732283445664E-2</v>
          </cell>
        </row>
        <row r="57">
          <cell r="O57">
            <v>0.87815704628300895</v>
          </cell>
          <cell r="P57">
            <v>0.88326420755289803</v>
          </cell>
          <cell r="Q57">
            <v>0.89074322342800705</v>
          </cell>
          <cell r="U57">
            <v>-4.6194581461838601E-3</v>
          </cell>
          <cell r="V57">
            <v>1.2455521135427501E-3</v>
          </cell>
          <cell r="W57">
            <v>1.0057221441647401E-2</v>
          </cell>
          <cell r="Y57">
            <v>0.87815704628300895</v>
          </cell>
          <cell r="Z57">
            <v>0.88326420755289803</v>
          </cell>
          <cell r="AA57">
            <v>0.89074322342800705</v>
          </cell>
          <cell r="AE57">
            <v>-4.6194581461838601E-3</v>
          </cell>
          <cell r="AF57">
            <v>1.2455521135427501E-3</v>
          </cell>
          <cell r="AG57">
            <v>1.0057221441647401E-2</v>
          </cell>
          <cell r="BJ57">
            <v>1.215524029734778E-2</v>
          </cell>
          <cell r="BV57">
            <v>4.2432043690662589E-3</v>
          </cell>
          <cell r="BY57">
            <v>1.639844466641404E-2</v>
          </cell>
        </row>
        <row r="58">
          <cell r="O58">
            <v>0.87815704628300895</v>
          </cell>
          <cell r="P58">
            <v>0.88286046476275604</v>
          </cell>
          <cell r="Q58">
            <v>0.88982936869461005</v>
          </cell>
          <cell r="U58">
            <v>-1.7174646474626401E-3</v>
          </cell>
          <cell r="V58">
            <v>4.08146115808405E-3</v>
          </cell>
          <cell r="W58">
            <v>1.2513286250716E-2</v>
          </cell>
          <cell r="Y58">
            <v>0.87815704628300895</v>
          </cell>
          <cell r="Z58">
            <v>0.88286046476275604</v>
          </cell>
          <cell r="AA58">
            <v>0.88982936869461005</v>
          </cell>
          <cell r="AE58">
            <v>-1.7174646474626401E-3</v>
          </cell>
          <cell r="AF58">
            <v>4.08146115808405E-3</v>
          </cell>
          <cell r="AG58">
            <v>1.2513286250716E-2</v>
          </cell>
          <cell r="BJ58">
            <v>1.215524029734778E-2</v>
          </cell>
          <cell r="BV58">
            <v>1.3412108703450588E-3</v>
          </cell>
          <cell r="BY58">
            <v>1.349645116769284E-2</v>
          </cell>
        </row>
        <row r="59">
          <cell r="O59">
            <v>0.87815704628300895</v>
          </cell>
          <cell r="P59">
            <v>0.88247142920985699</v>
          </cell>
          <cell r="Q59">
            <v>0.88872106456511302</v>
          </cell>
          <cell r="U59">
            <v>-2.7562010551279601E-3</v>
          </cell>
          <cell r="V59">
            <v>2.5855171664877202E-3</v>
          </cell>
          <cell r="W59">
            <v>1.04480768784767E-2</v>
          </cell>
          <cell r="Y59">
            <v>0.87815704628300895</v>
          </cell>
          <cell r="Z59">
            <v>0.88247142920985699</v>
          </cell>
          <cell r="AA59">
            <v>0.88872106456511302</v>
          </cell>
          <cell r="AE59">
            <v>-2.7562010551279601E-3</v>
          </cell>
          <cell r="AF59">
            <v>2.5855171664877202E-3</v>
          </cell>
          <cell r="AG59">
            <v>1.04480768784767E-2</v>
          </cell>
          <cell r="BJ59">
            <v>1.215524029734778E-2</v>
          </cell>
          <cell r="BV59">
            <v>2.3799472780103971E-3</v>
          </cell>
          <cell r="BY59">
            <v>1.4535187575358178E-2</v>
          </cell>
        </row>
        <row r="60">
          <cell r="O60">
            <v>0.87815704628300895</v>
          </cell>
          <cell r="P60">
            <v>0.88113202751521202</v>
          </cell>
          <cell r="Q60">
            <v>0.88698286671346804</v>
          </cell>
          <cell r="U60">
            <v>6.7422494151514901E-3</v>
          </cell>
          <cell r="V60">
            <v>1.1643217021514199E-2</v>
          </cell>
          <cell r="W60">
            <v>1.8700226707258301E-2</v>
          </cell>
          <cell r="Y60">
            <v>0.87815704628300895</v>
          </cell>
          <cell r="Z60">
            <v>0.88113202751521202</v>
          </cell>
          <cell r="AA60">
            <v>0.88698286671346804</v>
          </cell>
          <cell r="AE60">
            <v>6.7422494151514901E-3</v>
          </cell>
          <cell r="AF60">
            <v>1.1643217021514199E-2</v>
          </cell>
          <cell r="AG60">
            <v>1.8700226707258301E-2</v>
          </cell>
          <cell r="BJ60">
            <v>1.215524029734778E-2</v>
          </cell>
          <cell r="BV60">
            <v>-7.1185031922688666E-3</v>
          </cell>
          <cell r="BY60">
            <v>5.0367371050789138E-3</v>
          </cell>
        </row>
        <row r="61">
          <cell r="O61">
            <v>0.87815704628300895</v>
          </cell>
          <cell r="P61">
            <v>0.88018173511755105</v>
          </cell>
          <cell r="Q61">
            <v>0.88535232903834404</v>
          </cell>
          <cell r="U61">
            <v>3.6015594863752602E-3</v>
          </cell>
          <cell r="V61">
            <v>6.9835893212609901E-3</v>
          </cell>
          <cell r="W61">
            <v>1.3601779771573499E-2</v>
          </cell>
          <cell r="Y61">
            <v>0.87815704628300895</v>
          </cell>
          <cell r="Z61">
            <v>0.88018173511755105</v>
          </cell>
          <cell r="AA61">
            <v>0.88535232903834404</v>
          </cell>
          <cell r="AE61">
            <v>3.6015594863752602E-3</v>
          </cell>
          <cell r="AF61">
            <v>6.9835893212609901E-3</v>
          </cell>
          <cell r="AG61">
            <v>1.3601779771573499E-2</v>
          </cell>
          <cell r="BJ61">
            <v>1.215524029734778E-2</v>
          </cell>
          <cell r="BV61">
            <v>-3.9778132634928675E-3</v>
          </cell>
          <cell r="BY61">
            <v>8.1774270338549129E-3</v>
          </cell>
        </row>
        <row r="62">
          <cell r="O62">
            <v>0.87815704628300895</v>
          </cell>
          <cell r="P62">
            <v>0.87869525273541704</v>
          </cell>
          <cell r="Q62">
            <v>0.88366955871754804</v>
          </cell>
          <cell r="U62">
            <v>4.2531722509668796E-3</v>
          </cell>
          <cell r="V62">
            <v>6.5561297365281899E-3</v>
          </cell>
          <cell r="W62">
            <v>1.2413404097121701E-2</v>
          </cell>
          <cell r="Y62">
            <v>0.87815704628300895</v>
          </cell>
          <cell r="Z62">
            <v>0.87869525273541704</v>
          </cell>
          <cell r="AA62">
            <v>0.88366955871754804</v>
          </cell>
          <cell r="AE62">
            <v>4.2531722509668796E-3</v>
          </cell>
          <cell r="AF62">
            <v>6.5561297365281899E-3</v>
          </cell>
          <cell r="AG62">
            <v>1.2413404097121701E-2</v>
          </cell>
          <cell r="BJ62">
            <v>1.215524029734778E-2</v>
          </cell>
          <cell r="BV62">
            <v>-4.6294260280845172E-3</v>
          </cell>
          <cell r="BY62">
            <v>7.5258142692632632E-3</v>
          </cell>
        </row>
        <row r="63">
          <cell r="O63">
            <v>0.87815704628300895</v>
          </cell>
          <cell r="P63">
            <v>0.87819661578917796</v>
          </cell>
          <cell r="Q63">
            <v>0.88254257413633896</v>
          </cell>
          <cell r="U63">
            <v>4.0950144703327698E-4</v>
          </cell>
          <cell r="V63">
            <v>1.02219549028984E-3</v>
          </cell>
          <cell r="W63">
            <v>6.6672460034565596E-3</v>
          </cell>
          <cell r="Y63">
            <v>0.87815704628300895</v>
          </cell>
          <cell r="Z63">
            <v>0.87819661578917796</v>
          </cell>
          <cell r="AA63">
            <v>0.88254257413633896</v>
          </cell>
          <cell r="AE63">
            <v>4.0950144703327698E-4</v>
          </cell>
          <cell r="AF63">
            <v>1.02219549028984E-3</v>
          </cell>
          <cell r="AG63">
            <v>6.6672460034565596E-3</v>
          </cell>
          <cell r="BJ63">
            <v>1.215524029734778E-2</v>
          </cell>
          <cell r="BV63">
            <v>-7.8575522415098593E-4</v>
          </cell>
          <cell r="BY63">
            <v>1.1369485073196794E-2</v>
          </cell>
        </row>
        <row r="64">
          <cell r="O64">
            <v>0.87815704628300895</v>
          </cell>
          <cell r="P64">
            <v>0.87714971382913098</v>
          </cell>
          <cell r="Q64">
            <v>0.880880395881804</v>
          </cell>
          <cell r="U64">
            <v>1.1612419481137099E-2</v>
          </cell>
          <cell r="V64">
            <v>1.1657478180908299E-2</v>
          </cell>
          <cell r="W64">
            <v>1.6594003928369901E-2</v>
          </cell>
          <cell r="Y64">
            <v>0.87815704628300895</v>
          </cell>
          <cell r="Z64">
            <v>0.87714971382913098</v>
          </cell>
          <cell r="AA64">
            <v>0.880880395881804</v>
          </cell>
          <cell r="AE64">
            <v>1.1612419481137099E-2</v>
          </cell>
          <cell r="AF64">
            <v>1.1657478180908299E-2</v>
          </cell>
          <cell r="AG64">
            <v>1.6594003928369901E-2</v>
          </cell>
          <cell r="BJ64">
            <v>1.215524029734778E-2</v>
          </cell>
          <cell r="BV64">
            <v>-1.1988673258254767E-2</v>
          </cell>
          <cell r="BY64">
            <v>1.6656703909301469E-4</v>
          </cell>
        </row>
        <row r="65">
          <cell r="O65">
            <v>0.87815704628300895</v>
          </cell>
          <cell r="P65">
            <v>0.87630201210928405</v>
          </cell>
          <cell r="Q65">
            <v>0.879918996073214</v>
          </cell>
          <cell r="U65">
            <v>9.8143410935153698E-3</v>
          </cell>
          <cell r="V65">
            <v>8.6665843738900402E-3</v>
          </cell>
          <cell r="W65">
            <v>1.2910752471030899E-2</v>
          </cell>
          <cell r="Y65">
            <v>0.87815704628300895</v>
          </cell>
          <cell r="Z65">
            <v>0.87630201210928405</v>
          </cell>
          <cell r="AA65">
            <v>0.879918996073214</v>
          </cell>
          <cell r="AE65">
            <v>9.8143410935153698E-3</v>
          </cell>
          <cell r="AF65">
            <v>8.6665843738900402E-3</v>
          </cell>
          <cell r="AG65">
            <v>1.2910752471030899E-2</v>
          </cell>
          <cell r="BJ65">
            <v>1.215524029734778E-2</v>
          </cell>
          <cell r="BV65">
            <v>-1.0190594870633136E-2</v>
          </cell>
          <cell r="BY65">
            <v>1.9646454267146446E-3</v>
          </cell>
        </row>
        <row r="66">
          <cell r="O66">
            <v>0.87815704628300895</v>
          </cell>
          <cell r="P66">
            <v>0.874894827799787</v>
          </cell>
          <cell r="Q66">
            <v>0.87910870365722804</v>
          </cell>
          <cell r="U66">
            <v>1.0027857931903699E-2</v>
          </cell>
          <cell r="V66">
            <v>7.9132062891398205E-3</v>
          </cell>
          <cell r="W66">
            <v>1.2032265406511001E-2</v>
          </cell>
          <cell r="Y66">
            <v>0.87815704628300895</v>
          </cell>
          <cell r="Z66">
            <v>0.874894827799787</v>
          </cell>
          <cell r="AA66">
            <v>0.87910870365722804</v>
          </cell>
          <cell r="AE66">
            <v>1.0027857931903699E-2</v>
          </cell>
          <cell r="AF66">
            <v>7.9132062891398205E-3</v>
          </cell>
          <cell r="AG66">
            <v>1.2032265406511001E-2</v>
          </cell>
          <cell r="BJ66">
            <v>1.215524029734778E-2</v>
          </cell>
          <cell r="BV66">
            <v>-1.0404111709021426E-2</v>
          </cell>
          <cell r="BY66">
            <v>1.7511285883263547E-3</v>
          </cell>
        </row>
        <row r="67">
          <cell r="O67">
            <v>0.87815704628300895</v>
          </cell>
          <cell r="P67">
            <v>0.87339726246396798</v>
          </cell>
          <cell r="Q67">
            <v>0.87833073500843295</v>
          </cell>
          <cell r="U67">
            <v>1.2501173247927599E-2</v>
          </cell>
          <cell r="V67">
            <v>8.7794097370950293E-3</v>
          </cell>
          <cell r="W67">
            <v>1.3584284857297501E-2</v>
          </cell>
          <cell r="Y67">
            <v>0.87815704628300895</v>
          </cell>
          <cell r="Z67">
            <v>0.87339726246396798</v>
          </cell>
          <cell r="AA67">
            <v>0.87833073500843295</v>
          </cell>
          <cell r="AE67">
            <v>1.2501173247927599E-2</v>
          </cell>
          <cell r="AF67">
            <v>8.7794097370950293E-3</v>
          </cell>
          <cell r="AG67">
            <v>1.3584284857297501E-2</v>
          </cell>
          <cell r="BJ67">
            <v>1.215524029734778E-2</v>
          </cell>
          <cell r="BV67">
            <v>-1.2877427025045126E-2</v>
          </cell>
          <cell r="BY67">
            <v>-7.2218672769734584E-4</v>
          </cell>
        </row>
        <row r="68">
          <cell r="O68">
            <v>0.87815704628300895</v>
          </cell>
          <cell r="P68">
            <v>0.87201511492122696</v>
          </cell>
          <cell r="Q68">
            <v>0.87743778984199094</v>
          </cell>
          <cell r="U68">
            <v>1.4119455800911901E-2</v>
          </cell>
          <cell r="V68">
            <v>8.6845166594907396E-3</v>
          </cell>
          <cell r="W68">
            <v>1.43172240152312E-2</v>
          </cell>
          <cell r="Y68">
            <v>0.87815704628300895</v>
          </cell>
          <cell r="Z68">
            <v>0.87201511492122696</v>
          </cell>
          <cell r="AA68">
            <v>0.87743778984199094</v>
          </cell>
          <cell r="AE68">
            <v>1.4119455800911901E-2</v>
          </cell>
          <cell r="AF68">
            <v>8.6845166594907396E-3</v>
          </cell>
          <cell r="AG68">
            <v>1.43172240152312E-2</v>
          </cell>
          <cell r="BJ68">
            <v>1.215524029734778E-2</v>
          </cell>
          <cell r="BV68">
            <v>-1.4495709578029526E-2</v>
          </cell>
          <cell r="BY68">
            <v>-2.3404692806817456E-3</v>
          </cell>
        </row>
        <row r="69">
          <cell r="O69">
            <v>0.87815704628300895</v>
          </cell>
          <cell r="P69">
            <v>0.87058124251783697</v>
          </cell>
          <cell r="Q69">
            <v>0.87652633586384698</v>
          </cell>
          <cell r="U69">
            <v>1.3661086474108901E-2</v>
          </cell>
          <cell r="V69">
            <v>6.6423980141336204E-3</v>
          </cell>
          <cell r="W69">
            <v>1.2841698690026101E-2</v>
          </cell>
          <cell r="Y69">
            <v>0.87815704628300895</v>
          </cell>
          <cell r="Z69">
            <v>0.87058124251783697</v>
          </cell>
          <cell r="AA69">
            <v>0.87652633586384698</v>
          </cell>
          <cell r="AE69">
            <v>1.3661086474108901E-2</v>
          </cell>
          <cell r="AF69">
            <v>6.6423980141336204E-3</v>
          </cell>
          <cell r="AG69">
            <v>1.2841698690026101E-2</v>
          </cell>
          <cell r="BJ69">
            <v>1.215524029734778E-2</v>
          </cell>
          <cell r="BV69">
            <v>-1.4037340251226466E-2</v>
          </cell>
          <cell r="BY69">
            <v>-1.882099953878686E-3</v>
          </cell>
        </row>
        <row r="70">
          <cell r="O70">
            <v>0.87815704628300895</v>
          </cell>
          <cell r="P70">
            <v>0.86986273243958701</v>
          </cell>
          <cell r="Q70">
            <v>0.87549737997739996</v>
          </cell>
          <cell r="U70">
            <v>1.5013738260273E-2</v>
          </cell>
          <cell r="V70">
            <v>6.3493758369905602E-3</v>
          </cell>
          <cell r="W70">
            <v>1.31550429477988E-2</v>
          </cell>
          <cell r="Y70">
            <v>0.87815704628300895</v>
          </cell>
          <cell r="Z70">
            <v>0.86986273243958701</v>
          </cell>
          <cell r="AA70">
            <v>0.87549737997739996</v>
          </cell>
          <cell r="AE70">
            <v>1.5013738260273E-2</v>
          </cell>
          <cell r="AF70">
            <v>6.3493758369905602E-3</v>
          </cell>
          <cell r="AG70">
            <v>1.31550429477988E-2</v>
          </cell>
          <cell r="BJ70">
            <v>1.215524029734778E-2</v>
          </cell>
          <cell r="BV70">
            <v>-1.5389992037390863E-2</v>
          </cell>
          <cell r="BY70">
            <v>-3.2347517400430834E-3</v>
          </cell>
        </row>
        <row r="71">
          <cell r="O71">
            <v>0.87815704628300895</v>
          </cell>
          <cell r="P71">
            <v>0.86918201790611505</v>
          </cell>
          <cell r="Q71">
            <v>0.87468187651183305</v>
          </cell>
          <cell r="U71">
            <v>1.1411573068480599E-2</v>
          </cell>
          <cell r="V71">
            <v>1.9215476196631799E-3</v>
          </cell>
          <cell r="W71">
            <v>8.3782863444345507E-3</v>
          </cell>
          <cell r="Y71">
            <v>0.87815704628300895</v>
          </cell>
          <cell r="Z71">
            <v>0.86918201790611505</v>
          </cell>
          <cell r="AA71">
            <v>0.87468187651183305</v>
          </cell>
          <cell r="AE71">
            <v>1.1411573068480599E-2</v>
          </cell>
          <cell r="AF71">
            <v>1.9215476196631799E-3</v>
          </cell>
          <cell r="AG71">
            <v>8.3782863444345507E-3</v>
          </cell>
          <cell r="BJ71">
            <v>1.215524029734778E-2</v>
          </cell>
          <cell r="BV71">
            <v>-1.1787826845598473E-2</v>
          </cell>
          <cell r="BY71">
            <v>3.6741345174930683E-4</v>
          </cell>
        </row>
        <row r="72">
          <cell r="O72">
            <v>0.87815704628300895</v>
          </cell>
          <cell r="P72">
            <v>0.86863438423299699</v>
          </cell>
          <cell r="Q72">
            <v>0.87366481848420696</v>
          </cell>
          <cell r="U72">
            <v>1.0535615644770201E-2</v>
          </cell>
          <cell r="V72">
            <v>2.6272987208544901E-4</v>
          </cell>
          <cell r="W72">
            <v>6.5704203501460601E-3</v>
          </cell>
          <cell r="Y72">
            <v>0.87815704628300895</v>
          </cell>
          <cell r="Z72">
            <v>0.86863438423299699</v>
          </cell>
          <cell r="AA72">
            <v>0.87366481848420696</v>
          </cell>
          <cell r="AE72">
            <v>1.0535615644770201E-2</v>
          </cell>
          <cell r="AF72">
            <v>2.6272987208544901E-4</v>
          </cell>
          <cell r="AG72">
            <v>6.5704203501460601E-3</v>
          </cell>
          <cell r="BJ72">
            <v>1.215524029734778E-2</v>
          </cell>
          <cell r="BV72">
            <v>-1.0911869421888173E-2</v>
          </cell>
          <cell r="BY72">
            <v>1.2433708754596064E-3</v>
          </cell>
        </row>
        <row r="73">
          <cell r="O73">
            <v>0.87815704628300895</v>
          </cell>
          <cell r="P73">
            <v>0.86783608315379901</v>
          </cell>
          <cell r="Q73">
            <v>0.87301634947148898</v>
          </cell>
          <cell r="U73">
            <v>9.5454724123338799E-3</v>
          </cell>
          <cell r="V73">
            <v>-1.3576683062374701E-3</v>
          </cell>
          <cell r="W73">
            <v>4.4168257893629796E-3</v>
          </cell>
          <cell r="Y73">
            <v>0.87815704628300895</v>
          </cell>
          <cell r="Z73">
            <v>0.86783608315379901</v>
          </cell>
          <cell r="AA73">
            <v>0.87301634947148898</v>
          </cell>
          <cell r="AE73">
            <v>9.5454724123338799E-3</v>
          </cell>
          <cell r="AF73">
            <v>-1.3576683062374701E-3</v>
          </cell>
          <cell r="AG73">
            <v>4.4168257893629796E-3</v>
          </cell>
          <cell r="BJ73">
            <v>1.215524029734778E-2</v>
          </cell>
          <cell r="BV73">
            <v>-9.9217261894517742E-3</v>
          </cell>
          <cell r="BY73">
            <v>2.2335141078960053E-3</v>
          </cell>
        </row>
        <row r="74">
          <cell r="O74">
            <v>0.87815704628300895</v>
          </cell>
          <cell r="P74">
            <v>0.86784998761742904</v>
          </cell>
          <cell r="Q74">
            <v>0.87249985072327996</v>
          </cell>
          <cell r="U74">
            <v>1.1452246050311201E-2</v>
          </cell>
          <cell r="V74">
            <v>-3.7034725951465102E-4</v>
          </cell>
          <cell r="W74">
            <v>5.58108378749905E-3</v>
          </cell>
          <cell r="Y74">
            <v>0.87815704628300895</v>
          </cell>
          <cell r="Z74">
            <v>0.86784998761742904</v>
          </cell>
          <cell r="AA74">
            <v>0.87249985072327996</v>
          </cell>
          <cell r="AE74">
            <v>1.1452246050311201E-2</v>
          </cell>
          <cell r="AF74">
            <v>-3.7034725951465102E-4</v>
          </cell>
          <cell r="AG74">
            <v>5.58108378749905E-3</v>
          </cell>
          <cell r="BJ74">
            <v>1.215524029734778E-2</v>
          </cell>
          <cell r="BV74">
            <v>-9.9217261894517742E-3</v>
          </cell>
          <cell r="BY74">
            <v>2.2335141078960053E-3</v>
          </cell>
        </row>
        <row r="75">
          <cell r="O75">
            <v>0.87815704628300895</v>
          </cell>
          <cell r="P75">
            <v>0.86751633708613396</v>
          </cell>
          <cell r="Q75">
            <v>0.871909174597709</v>
          </cell>
          <cell r="U75">
            <v>1.3658633861647399E-2</v>
          </cell>
          <cell r="V75">
            <v>1.8520624164479599E-3</v>
          </cell>
          <cell r="W75">
            <v>7.1956710034290798E-3</v>
          </cell>
          <cell r="Y75">
            <v>0.87815704628300895</v>
          </cell>
          <cell r="Z75">
            <v>0.86751633708613396</v>
          </cell>
          <cell r="AA75">
            <v>0.871909174597709</v>
          </cell>
          <cell r="AE75">
            <v>1.3658633861647399E-2</v>
          </cell>
          <cell r="AF75">
            <v>1.8520624164479599E-3</v>
          </cell>
          <cell r="AG75">
            <v>7.1956710034290798E-3</v>
          </cell>
          <cell r="BJ75">
            <v>1.215524029734778E-2</v>
          </cell>
          <cell r="BV75">
            <v>-9.9217261894517742E-3</v>
          </cell>
          <cell r="BY75">
            <v>2.2335141078960053E-3</v>
          </cell>
        </row>
        <row r="76">
          <cell r="O76">
            <v>0.87815704628300895</v>
          </cell>
          <cell r="P76">
            <v>0.86742759138829995</v>
          </cell>
          <cell r="Q76">
            <v>0.87116120959404297</v>
          </cell>
          <cell r="U76">
            <v>1.1049154598820299E-2</v>
          </cell>
          <cell r="V76">
            <v>-1.1419472255346399E-3</v>
          </cell>
          <cell r="W76">
            <v>3.9089696675994401E-3</v>
          </cell>
          <cell r="Y76">
            <v>0.87815704628300895</v>
          </cell>
          <cell r="Z76">
            <v>0.86742759138829995</v>
          </cell>
          <cell r="AA76">
            <v>0.87116120959404297</v>
          </cell>
          <cell r="AE76">
            <v>1.1049154598820299E-2</v>
          </cell>
          <cell r="AF76">
            <v>-1.1419472255346399E-3</v>
          </cell>
          <cell r="AG76">
            <v>3.9089696675994401E-3</v>
          </cell>
          <cell r="BJ76">
            <v>1.215524029734778E-2</v>
          </cell>
          <cell r="BV76">
            <v>-9.9217261894517742E-3</v>
          </cell>
          <cell r="BY76">
            <v>2.2335141078960053E-3</v>
          </cell>
        </row>
        <row r="77">
          <cell r="O77">
            <v>0.87815704628300895</v>
          </cell>
          <cell r="P77">
            <v>0.86739771282945299</v>
          </cell>
          <cell r="Q77">
            <v>0.87039748764670999</v>
          </cell>
          <cell r="U77">
            <v>1.2845754360449E-2</v>
          </cell>
          <cell r="V77">
            <v>5.5234871352687499E-4</v>
          </cell>
          <cell r="W77">
            <v>4.8473538845691796E-3</v>
          </cell>
          <cell r="Y77">
            <v>0.87815704628300895</v>
          </cell>
          <cell r="Z77">
            <v>0.86739771282945299</v>
          </cell>
          <cell r="AA77">
            <v>0.87039748764670999</v>
          </cell>
          <cell r="AE77">
            <v>1.2845754360449E-2</v>
          </cell>
          <cell r="AF77">
            <v>5.5234871352687499E-4</v>
          </cell>
          <cell r="AG77">
            <v>4.8473538845691796E-3</v>
          </cell>
          <cell r="BJ77">
            <v>1.215524029734778E-2</v>
          </cell>
          <cell r="BV77">
            <v>-9.9217261894517742E-3</v>
          </cell>
          <cell r="BY77">
            <v>2.2335141078960053E-3</v>
          </cell>
        </row>
        <row r="78">
          <cell r="O78">
            <v>0.87815704628300895</v>
          </cell>
          <cell r="P78">
            <v>0.86735925841877803</v>
          </cell>
          <cell r="Q78">
            <v>0.869687186670002</v>
          </cell>
          <cell r="U78">
            <v>1.4563680221827399E-2</v>
          </cell>
          <cell r="V78">
            <v>2.2358289638371902E-3</v>
          </cell>
          <cell r="W78">
            <v>5.6882240400453398E-3</v>
          </cell>
          <cell r="Y78">
            <v>0.87815704628300895</v>
          </cell>
          <cell r="Z78">
            <v>0.86735925841877803</v>
          </cell>
          <cell r="AA78">
            <v>0.869687186670002</v>
          </cell>
          <cell r="AE78">
            <v>1.4563680221827399E-2</v>
          </cell>
          <cell r="AF78">
            <v>2.2358289638371902E-3</v>
          </cell>
          <cell r="AG78">
            <v>5.6882240400453398E-3</v>
          </cell>
          <cell r="BJ78">
            <v>1.215524029734778E-2</v>
          </cell>
          <cell r="BV78">
            <v>-9.9217261894517742E-3</v>
          </cell>
          <cell r="BY78">
            <v>2.2335141078960053E-3</v>
          </cell>
        </row>
        <row r="79">
          <cell r="O79">
            <v>0.87815704628300895</v>
          </cell>
          <cell r="P79">
            <v>0.86737526623733396</v>
          </cell>
          <cell r="Q79">
            <v>0.86897825437758602</v>
          </cell>
          <cell r="U79">
            <v>1.34763074061338E-2</v>
          </cell>
          <cell r="V79">
            <v>1.1041220871562799E-3</v>
          </cell>
          <cell r="W79">
            <v>3.7844530034565498E-3</v>
          </cell>
          <cell r="Y79">
            <v>0.87815704628300895</v>
          </cell>
          <cell r="Z79">
            <v>0.86737526623733396</v>
          </cell>
          <cell r="AA79">
            <v>0.86897825437758602</v>
          </cell>
          <cell r="AE79">
            <v>1.34763074061338E-2</v>
          </cell>
          <cell r="AF79">
            <v>1.1041220871562799E-3</v>
          </cell>
          <cell r="AG79">
            <v>3.7844530034565498E-3</v>
          </cell>
          <cell r="BJ79">
            <v>1.215524029734778E-2</v>
          </cell>
          <cell r="BV79">
            <v>-9.9217261894517742E-3</v>
          </cell>
          <cell r="BY79">
            <v>2.2335141078960053E-3</v>
          </cell>
        </row>
        <row r="80">
          <cell r="O80">
            <v>0.87815704628300895</v>
          </cell>
          <cell r="P80">
            <v>0.86731660076055395</v>
          </cell>
          <cell r="Q80">
            <v>0.86858966660006998</v>
          </cell>
          <cell r="U80">
            <v>1.56921261704163E-2</v>
          </cell>
          <cell r="V80">
            <v>3.3383964921474799E-3</v>
          </cell>
          <cell r="W80">
            <v>5.1847815475185698E-3</v>
          </cell>
          <cell r="Y80">
            <v>0.87815704628300895</v>
          </cell>
          <cell r="Z80">
            <v>0.86731660076055395</v>
          </cell>
          <cell r="AA80">
            <v>0.86858966660006998</v>
          </cell>
          <cell r="AE80">
            <v>1.56921261704163E-2</v>
          </cell>
          <cell r="AF80">
            <v>3.3383964921474799E-3</v>
          </cell>
          <cell r="AG80">
            <v>5.1847815475185698E-3</v>
          </cell>
          <cell r="BJ80">
            <v>1.215524029734778E-2</v>
          </cell>
          <cell r="BV80">
            <v>-9.9217261894517742E-3</v>
          </cell>
          <cell r="BY80">
            <v>2.2335141078960053E-3</v>
          </cell>
        </row>
        <row r="81">
          <cell r="O81">
            <v>0.87815704628300895</v>
          </cell>
          <cell r="P81">
            <v>0.86729227216197502</v>
          </cell>
          <cell r="Q81">
            <v>0.86823714503404503</v>
          </cell>
          <cell r="U81">
            <v>1.16918334712041E-2</v>
          </cell>
          <cell r="V81">
            <v>-7.2953412930203295E-4</v>
          </cell>
          <cell r="W81">
            <v>7.3721104200886501E-4</v>
          </cell>
          <cell r="Y81">
            <v>0.87815704628300895</v>
          </cell>
          <cell r="Z81">
            <v>0.86729227216197502</v>
          </cell>
          <cell r="AA81">
            <v>0.86823714503404503</v>
          </cell>
          <cell r="AE81">
            <v>1.16918334712041E-2</v>
          </cell>
          <cell r="AF81">
            <v>-7.2953412930203295E-4</v>
          </cell>
          <cell r="AG81">
            <v>7.3721104200886501E-4</v>
          </cell>
          <cell r="BJ81">
            <v>1.215524029734778E-2</v>
          </cell>
          <cell r="BV81">
            <v>-9.9217261894517742E-3</v>
          </cell>
          <cell r="BY81">
            <v>2.2335141078960053E-3</v>
          </cell>
        </row>
        <row r="82">
          <cell r="O82">
            <v>0.87815704628300895</v>
          </cell>
          <cell r="P82">
            <v>0.86714070503270602</v>
          </cell>
          <cell r="Q82">
            <v>0.867887544632852</v>
          </cell>
          <cell r="U82">
            <v>1.2281387262815E-2</v>
          </cell>
          <cell r="V82">
            <v>-1.68031155324931E-4</v>
          </cell>
          <cell r="W82">
            <v>9.2082732908034797E-4</v>
          </cell>
          <cell r="Y82">
            <v>0.87815704628300895</v>
          </cell>
          <cell r="Z82">
            <v>0.86714070503270602</v>
          </cell>
          <cell r="AA82">
            <v>0.867887544632852</v>
          </cell>
          <cell r="AE82">
            <v>1.2281387262815E-2</v>
          </cell>
          <cell r="AF82">
            <v>-1.68031155324931E-4</v>
          </cell>
          <cell r="AG82">
            <v>9.2082732908034797E-4</v>
          </cell>
          <cell r="BJ82">
            <v>1.215524029734778E-2</v>
          </cell>
          <cell r="BV82">
            <v>-9.9217261894517742E-3</v>
          </cell>
          <cell r="BY82">
            <v>2.2335141078960053E-3</v>
          </cell>
        </row>
        <row r="83">
          <cell r="O83">
            <v>0.87815704628300895</v>
          </cell>
          <cell r="P83">
            <v>0.86651096081650103</v>
          </cell>
          <cell r="Q83">
            <v>0.86717352198514996</v>
          </cell>
          <cell r="U83">
            <v>1.6811791223181799E-2</v>
          </cell>
          <cell r="V83">
            <v>4.1875985339720001E-3</v>
          </cell>
          <cell r="W83">
            <v>5.0484947717310902E-3</v>
          </cell>
          <cell r="Y83">
            <v>0.87815704628300895</v>
          </cell>
          <cell r="Z83">
            <v>0.86651096081650103</v>
          </cell>
          <cell r="AA83">
            <v>0.86717352198514996</v>
          </cell>
          <cell r="AE83">
            <v>1.6811791223181799E-2</v>
          </cell>
          <cell r="AF83">
            <v>4.1875985339720001E-3</v>
          </cell>
          <cell r="AG83">
            <v>5.0484947717310902E-3</v>
          </cell>
          <cell r="BJ83">
            <v>1.215524029734778E-2</v>
          </cell>
          <cell r="BV83">
            <v>-9.9217261894517742E-3</v>
          </cell>
          <cell r="BY83">
            <v>2.2335141078960053E-3</v>
          </cell>
        </row>
        <row r="84">
          <cell r="O84">
            <v>0.87815704628300895</v>
          </cell>
          <cell r="P84">
            <v>0.86598261193611303</v>
          </cell>
          <cell r="Q84">
            <v>0.86691629977677098</v>
          </cell>
          <cell r="U84">
            <v>1.7556704475237699E-2</v>
          </cell>
          <cell r="V84">
            <v>4.2060172354688001E-3</v>
          </cell>
          <cell r="W84">
            <v>4.9703560842941702E-3</v>
          </cell>
          <cell r="Y84">
            <v>0.87815704628300895</v>
          </cell>
          <cell r="Z84">
            <v>0.86598261193611303</v>
          </cell>
          <cell r="AA84">
            <v>0.86691629977677098</v>
          </cell>
          <cell r="AE84">
            <v>1.7556704475237699E-2</v>
          </cell>
          <cell r="AF84">
            <v>4.2060172354688001E-3</v>
          </cell>
          <cell r="AG84">
            <v>4.9703560842941702E-3</v>
          </cell>
          <cell r="BJ84">
            <v>1.215524029734778E-2</v>
          </cell>
          <cell r="BV84">
            <v>-9.9217261894517742E-3</v>
          </cell>
          <cell r="BY84">
            <v>2.2335141078960053E-3</v>
          </cell>
        </row>
        <row r="85">
          <cell r="O85">
            <v>0.87815704628300895</v>
          </cell>
          <cell r="P85">
            <v>0.86587731034672299</v>
          </cell>
          <cell r="Q85">
            <v>0.86669682371642898</v>
          </cell>
          <cell r="U85">
            <v>1.48749842708733E-2</v>
          </cell>
          <cell r="V85">
            <v>9.1436819202878104E-4</v>
          </cell>
          <cell r="W85">
            <v>1.9919704972746902E-3</v>
          </cell>
          <cell r="Y85">
            <v>0.87815704628300895</v>
          </cell>
          <cell r="Z85">
            <v>0.86587731034672299</v>
          </cell>
          <cell r="AA85">
            <v>0.86669682371642898</v>
          </cell>
          <cell r="AE85">
            <v>1.48749842708733E-2</v>
          </cell>
          <cell r="AF85">
            <v>9.1436819202878104E-4</v>
          </cell>
          <cell r="AG85">
            <v>1.9919704972746902E-3</v>
          </cell>
          <cell r="BJ85">
            <v>1.215524029734778E-2</v>
          </cell>
          <cell r="BV85">
            <v>-9.9217261894517742E-3</v>
          </cell>
          <cell r="BY85">
            <v>2.2335141078960053E-3</v>
          </cell>
        </row>
        <row r="86">
          <cell r="O86">
            <v>0.87815704628300895</v>
          </cell>
          <cell r="P86">
            <v>0.86561607094321003</v>
          </cell>
          <cell r="Q86">
            <v>0.86652183116575499</v>
          </cell>
          <cell r="U86">
            <v>1.4061599135662401E-2</v>
          </cell>
          <cell r="V86">
            <v>-2.06221471186142E-5</v>
          </cell>
          <cell r="W86">
            <v>9.2538462362859203E-4</v>
          </cell>
          <cell r="Y86">
            <v>0.87815704628300895</v>
          </cell>
          <cell r="Z86">
            <v>0.86561607094321003</v>
          </cell>
          <cell r="AA86">
            <v>0.86652183116575499</v>
          </cell>
          <cell r="AE86">
            <v>1.4061599135662401E-2</v>
          </cell>
          <cell r="AF86">
            <v>-2.06221471186142E-5</v>
          </cell>
          <cell r="AG86">
            <v>9.2538462362859203E-4</v>
          </cell>
          <cell r="BJ86">
            <v>1.215524029734778E-2</v>
          </cell>
          <cell r="BV86">
            <v>-9.9217261894517742E-3</v>
          </cell>
          <cell r="BY86">
            <v>2.2335141078960053E-3</v>
          </cell>
        </row>
        <row r="87">
          <cell r="O87">
            <v>0.87815704628300895</v>
          </cell>
          <cell r="P87">
            <v>0.86559008280757399</v>
          </cell>
          <cell r="Q87">
            <v>0.86649389781851405</v>
          </cell>
          <cell r="U87">
            <v>1.31455648861682E-2</v>
          </cell>
          <cell r="V87">
            <v>-1.23840679117755E-3</v>
          </cell>
          <cell r="W87">
            <v>-1.9257746777412701E-4</v>
          </cell>
          <cell r="Y87">
            <v>0.87815704628300895</v>
          </cell>
          <cell r="Z87">
            <v>0.86559008280757399</v>
          </cell>
          <cell r="AA87">
            <v>0.86649389781851405</v>
          </cell>
          <cell r="AE87">
            <v>1.31455648861682E-2</v>
          </cell>
          <cell r="AF87">
            <v>-1.23840679117755E-3</v>
          </cell>
          <cell r="AG87">
            <v>-1.9257746777412701E-4</v>
          </cell>
          <cell r="BJ87">
            <v>1.215524029734778E-2</v>
          </cell>
          <cell r="BV87">
            <v>-9.9217261894517742E-3</v>
          </cell>
          <cell r="BY87">
            <v>2.2335141078960053E-3</v>
          </cell>
        </row>
        <row r="88">
          <cell r="O88">
            <v>0.87815704628300895</v>
          </cell>
          <cell r="P88">
            <v>0.866693949138718</v>
          </cell>
          <cell r="Q88">
            <v>0.86702660377874796</v>
          </cell>
          <cell r="U88">
            <v>1.8896660384864301E-3</v>
          </cell>
          <cell r="V88">
            <v>-1.2524328794197501E-2</v>
          </cell>
          <cell r="W88">
            <v>-1.14807130075723E-2</v>
          </cell>
          <cell r="Y88">
            <v>0.87815704628300895</v>
          </cell>
          <cell r="Z88">
            <v>0.866693949138718</v>
          </cell>
          <cell r="AA88">
            <v>0.86702660377874796</v>
          </cell>
          <cell r="AE88">
            <v>1.8896660384864301E-3</v>
          </cell>
          <cell r="AF88">
            <v>-1.2524328794197501E-2</v>
          </cell>
          <cell r="AG88">
            <v>-1.14807130075723E-2</v>
          </cell>
          <cell r="BJ88">
            <v>1.215524029734778E-2</v>
          </cell>
          <cell r="BV88">
            <v>-9.9217261894517742E-3</v>
          </cell>
          <cell r="BY88">
            <v>2.2335141078960053E-3</v>
          </cell>
        </row>
        <row r="89">
          <cell r="O89">
            <v>0.87815704628300895</v>
          </cell>
          <cell r="P89">
            <v>0.86635204474858596</v>
          </cell>
          <cell r="Q89">
            <v>0.86686365549295996</v>
          </cell>
          <cell r="U89">
            <v>1.7430369668114301E-2</v>
          </cell>
          <cell r="V89">
            <v>4.2908384455547796E-3</v>
          </cell>
          <cell r="W89">
            <v>4.6745849998107297E-3</v>
          </cell>
          <cell r="Y89">
            <v>0.87815704628300895</v>
          </cell>
          <cell r="Z89">
            <v>0.86635204474858596</v>
          </cell>
          <cell r="AA89">
            <v>0.86686365549295996</v>
          </cell>
          <cell r="AE89">
            <v>1.7430369668114301E-2</v>
          </cell>
          <cell r="AF89">
            <v>4.2908384455547796E-3</v>
          </cell>
          <cell r="AG89">
            <v>4.6745849998107297E-3</v>
          </cell>
          <cell r="BJ89">
            <v>1.215524029734778E-2</v>
          </cell>
          <cell r="BV89">
            <v>-9.9217261894517742E-3</v>
          </cell>
          <cell r="BY89">
            <v>2.2335141078960053E-3</v>
          </cell>
        </row>
        <row r="90">
          <cell r="O90">
            <v>0.87815704628300895</v>
          </cell>
          <cell r="P90">
            <v>0.86655743339130198</v>
          </cell>
          <cell r="Q90">
            <v>0.86693701707592796</v>
          </cell>
          <cell r="U90">
            <v>1.33190928365742E-2</v>
          </cell>
          <cell r="V90">
            <v>-2.1500886567642501E-4</v>
          </cell>
          <cell r="W90">
            <v>3.7535130606860401E-4</v>
          </cell>
          <cell r="Y90">
            <v>0.87815704628300895</v>
          </cell>
          <cell r="Z90">
            <v>0.86655743339130198</v>
          </cell>
          <cell r="AA90">
            <v>0.86693701707592796</v>
          </cell>
          <cell r="AE90">
            <v>1.33190928365742E-2</v>
          </cell>
          <cell r="AF90">
            <v>-2.1500886567642501E-4</v>
          </cell>
          <cell r="AG90">
            <v>3.7535130606860401E-4</v>
          </cell>
          <cell r="BJ90">
            <v>1.215524029734778E-2</v>
          </cell>
          <cell r="BV90">
            <v>-9.9217261894517742E-3</v>
          </cell>
          <cell r="BY90">
            <v>2.2335141078960053E-3</v>
          </cell>
        </row>
        <row r="91">
          <cell r="O91">
            <v>0.87815704628300895</v>
          </cell>
          <cell r="P91">
            <v>0.86703639957498002</v>
          </cell>
          <cell r="Q91">
            <v>0.86716433586847796</v>
          </cell>
          <cell r="U91">
            <v>6.1886396470646502E-3</v>
          </cell>
          <cell r="V91">
            <v>-7.1084171936185402E-3</v>
          </cell>
          <cell r="W91">
            <v>-6.6704767195772596E-3</v>
          </cell>
          <cell r="Y91">
            <v>0.87815704628300895</v>
          </cell>
          <cell r="Z91">
            <v>0.86703639957498002</v>
          </cell>
          <cell r="AA91">
            <v>0.86716433586847796</v>
          </cell>
          <cell r="AE91">
            <v>6.1886396470646502E-3</v>
          </cell>
          <cell r="AF91">
            <v>-7.1084171936185402E-3</v>
          </cell>
          <cell r="AG91">
            <v>-6.6704767195772596E-3</v>
          </cell>
          <cell r="BJ91">
            <v>1.215524029734778E-2</v>
          </cell>
          <cell r="BV91">
            <v>-9.9217261894517742E-3</v>
          </cell>
          <cell r="BY91">
            <v>2.2335141078960053E-3</v>
          </cell>
        </row>
        <row r="92">
          <cell r="O92">
            <v>0.87815704628300895</v>
          </cell>
          <cell r="P92">
            <v>0.86718959922586902</v>
          </cell>
          <cell r="Q92">
            <v>0.86716515212928802</v>
          </cell>
          <cell r="U92">
            <v>1.0516828610345599E-2</v>
          </cell>
          <cell r="V92">
            <v>-2.2276579722328902E-3</v>
          </cell>
          <cell r="W92">
            <v>-2.0801130068608198E-3</v>
          </cell>
          <cell r="Y92">
            <v>0.87815704628300895</v>
          </cell>
          <cell r="Z92">
            <v>0.86718959922586902</v>
          </cell>
          <cell r="AA92">
            <v>0.86716515212928802</v>
          </cell>
          <cell r="AE92">
            <v>1.0516828610345599E-2</v>
          </cell>
          <cell r="AF92">
            <v>-2.2276579722328902E-3</v>
          </cell>
          <cell r="AG92">
            <v>-2.0801130068608198E-3</v>
          </cell>
          <cell r="BJ92">
            <v>1.215524029734778E-2</v>
          </cell>
          <cell r="BV92">
            <v>-9.9217261894517742E-3</v>
          </cell>
          <cell r="BY92">
            <v>2.2335141078960053E-3</v>
          </cell>
        </row>
        <row r="93">
          <cell r="O93">
            <v>0.87815704628300895</v>
          </cell>
          <cell r="P93">
            <v>0.86810518042316598</v>
          </cell>
          <cell r="Q93">
            <v>0.86730807061983295</v>
          </cell>
          <cell r="U93">
            <v>6.2646769058589003E-3</v>
          </cell>
          <cell r="V93">
            <v>-6.30313183727678E-3</v>
          </cell>
          <cell r="W93">
            <v>-6.3313234129200096E-3</v>
          </cell>
          <cell r="Y93">
            <v>0.87815704628300895</v>
          </cell>
          <cell r="Z93">
            <v>0.86810518042316598</v>
          </cell>
          <cell r="AA93">
            <v>0.86730807061983295</v>
          </cell>
          <cell r="AE93">
            <v>6.2646769058589003E-3</v>
          </cell>
          <cell r="AF93">
            <v>-6.30313183727678E-3</v>
          </cell>
          <cell r="AG93">
            <v>-6.3313234129200096E-3</v>
          </cell>
          <cell r="BJ93">
            <v>1.215524029734778E-2</v>
          </cell>
          <cell r="BV93">
            <v>-9.9217261894517742E-3</v>
          </cell>
          <cell r="BY93">
            <v>2.2335141078960053E-3</v>
          </cell>
        </row>
        <row r="94">
          <cell r="O94">
            <v>0.87815704628300895</v>
          </cell>
          <cell r="P94">
            <v>0.86897312129933801</v>
          </cell>
          <cell r="Q94">
            <v>0.86747786661772497</v>
          </cell>
          <cell r="U94">
            <v>7.5482364097875501E-3</v>
          </cell>
          <cell r="V94">
            <v>-3.9643265122958696E-3</v>
          </cell>
          <cell r="W94">
            <v>-4.8829663335722903E-3</v>
          </cell>
          <cell r="Y94">
            <v>0.87815704628300895</v>
          </cell>
          <cell r="Z94">
            <v>0.86897312129933801</v>
          </cell>
          <cell r="AA94">
            <v>0.86747786661772497</v>
          </cell>
          <cell r="AE94">
            <v>7.5482364097875501E-3</v>
          </cell>
          <cell r="AF94">
            <v>-3.9643265122958696E-3</v>
          </cell>
          <cell r="AG94">
            <v>-4.8829663335722903E-3</v>
          </cell>
          <cell r="BJ94">
            <v>1.215524029734778E-2</v>
          </cell>
          <cell r="BV94">
            <v>-9.9217261894517742E-3</v>
          </cell>
          <cell r="BY94">
            <v>2.2335141078960053E-3</v>
          </cell>
        </row>
        <row r="95">
          <cell r="O95">
            <v>0.87815704628300895</v>
          </cell>
          <cell r="P95">
            <v>0.86935443664759704</v>
          </cell>
          <cell r="Q95">
            <v>0.86761587349715996</v>
          </cell>
          <cell r="U95">
            <v>1.0477371955770899E-2</v>
          </cell>
          <cell r="V95">
            <v>-3.5879711845976797E-5</v>
          </cell>
          <cell r="W95">
            <v>-1.75807637802264E-3</v>
          </cell>
          <cell r="Y95">
            <v>0.87815704628300895</v>
          </cell>
          <cell r="Z95">
            <v>0.86935443664759704</v>
          </cell>
          <cell r="AA95">
            <v>0.86761587349715996</v>
          </cell>
          <cell r="AE95">
            <v>1.0477371955770899E-2</v>
          </cell>
          <cell r="AF95">
            <v>-3.5879711845976797E-5</v>
          </cell>
          <cell r="AG95">
            <v>-1.75807637802264E-3</v>
          </cell>
          <cell r="BJ95">
            <v>1.215524029734778E-2</v>
          </cell>
          <cell r="BV95">
            <v>-9.9217261894517742E-3</v>
          </cell>
          <cell r="BY95">
            <v>2.2335141078960053E-3</v>
          </cell>
        </row>
        <row r="96">
          <cell r="O96">
            <v>0.87815704628300895</v>
          </cell>
          <cell r="P96">
            <v>0.86991204716985004</v>
          </cell>
          <cell r="Q96">
            <v>0.86776405905652998</v>
          </cell>
          <cell r="U96">
            <v>7.64254527960701E-3</v>
          </cell>
          <cell r="V96">
            <v>-2.4319911957762998E-3</v>
          </cell>
          <cell r="W96">
            <v>-4.4338259086293798E-3</v>
          </cell>
          <cell r="Y96">
            <v>0.87815704628300895</v>
          </cell>
          <cell r="Z96">
            <v>0.86991204716985004</v>
          </cell>
          <cell r="AA96">
            <v>0.86776405905652998</v>
          </cell>
          <cell r="AE96">
            <v>7.64254527960701E-3</v>
          </cell>
          <cell r="AF96">
            <v>-2.4319911957762998E-3</v>
          </cell>
          <cell r="AG96">
            <v>-4.4338259086293798E-3</v>
          </cell>
          <cell r="BJ96">
            <v>1.215524029734778E-2</v>
          </cell>
          <cell r="BV96">
            <v>-9.9217261894517742E-3</v>
          </cell>
          <cell r="BY96">
            <v>2.2335141078960053E-3</v>
          </cell>
        </row>
        <row r="97">
          <cell r="O97">
            <v>0.87815704628300895</v>
          </cell>
          <cell r="P97">
            <v>0.87001085195605099</v>
          </cell>
          <cell r="Q97">
            <v>0.86780046738181305</v>
          </cell>
          <cell r="U97">
            <v>1.2006188006232901E-2</v>
          </cell>
          <cell r="V97">
            <v>2.5728534933393602E-3</v>
          </cell>
          <cell r="W97">
            <v>1.00598509026452E-4</v>
          </cell>
          <cell r="Y97">
            <v>0.87815704628300895</v>
          </cell>
          <cell r="Z97">
            <v>0.87001085195605099</v>
          </cell>
          <cell r="AA97">
            <v>0.86780046738181305</v>
          </cell>
          <cell r="AE97">
            <v>1.2006188006232901E-2</v>
          </cell>
          <cell r="AF97">
            <v>2.5728534933393602E-3</v>
          </cell>
          <cell r="AG97">
            <v>1.00598509026452E-4</v>
          </cell>
          <cell r="BJ97">
            <v>1.215524029734778E-2</v>
          </cell>
          <cell r="BV97">
            <v>-9.9217261894517742E-3</v>
          </cell>
          <cell r="BY97">
            <v>2.2335141078960053E-3</v>
          </cell>
        </row>
        <row r="98">
          <cell r="O98">
            <v>0.87815704628300895</v>
          </cell>
          <cell r="P98">
            <v>0.86966146490822205</v>
          </cell>
          <cell r="Q98">
            <v>0.86817770702346997</v>
          </cell>
          <cell r="U98">
            <v>5.8837970688415597E-3</v>
          </cell>
          <cell r="V98">
            <v>-3.43596369160913E-3</v>
          </cell>
          <cell r="W98">
            <v>-5.9798368286352399E-3</v>
          </cell>
          <cell r="Y98">
            <v>0.87815704628300895</v>
          </cell>
          <cell r="Z98">
            <v>0.86966146490822205</v>
          </cell>
          <cell r="AA98">
            <v>0.86817770702346997</v>
          </cell>
          <cell r="AE98">
            <v>5.8837970688415597E-3</v>
          </cell>
          <cell r="AF98">
            <v>-3.43596369160913E-3</v>
          </cell>
          <cell r="AG98">
            <v>-5.9798368286352399E-3</v>
          </cell>
          <cell r="BJ98">
            <v>1.215524029734778E-2</v>
          </cell>
          <cell r="BV98">
            <v>-9.9217261894517742E-3</v>
          </cell>
          <cell r="BY98">
            <v>2.2335141078960053E-3</v>
          </cell>
        </row>
        <row r="99">
          <cell r="O99">
            <v>0.87815704628300895</v>
          </cell>
          <cell r="P99">
            <v>0.87059361587916695</v>
          </cell>
          <cell r="Q99">
            <v>0.86847283031387601</v>
          </cell>
          <cell r="U99">
            <v>6.6867913975861603E-3</v>
          </cell>
          <cell r="V99">
            <v>-3.0346393200626101E-3</v>
          </cell>
          <cell r="W99">
            <v>-4.7422291468462103E-3</v>
          </cell>
          <cell r="Y99">
            <v>0.87815704628300895</v>
          </cell>
          <cell r="Z99">
            <v>0.87059361587916695</v>
          </cell>
          <cell r="AA99">
            <v>0.86847283031387601</v>
          </cell>
          <cell r="AE99">
            <v>6.6867913975861603E-3</v>
          </cell>
          <cell r="AF99">
            <v>-3.0346393200626101E-3</v>
          </cell>
          <cell r="AG99">
            <v>-4.7422291468462103E-3</v>
          </cell>
          <cell r="BJ99">
            <v>1.215524029734778E-2</v>
          </cell>
          <cell r="BV99">
            <v>-9.9217261894517742E-3</v>
          </cell>
          <cell r="BY99">
            <v>2.2335141078960053E-3</v>
          </cell>
        </row>
        <row r="100">
          <cell r="O100">
            <v>0.87815704628300895</v>
          </cell>
          <cell r="P100">
            <v>0.87141891395107896</v>
          </cell>
          <cell r="Q100">
            <v>0.86898817367118997</v>
          </cell>
          <cell r="U100">
            <v>3.84008065625997E-3</v>
          </cell>
          <cell r="V100">
            <v>-4.8100691090922597E-3</v>
          </cell>
          <cell r="W100">
            <v>-7.2490634571895397E-3</v>
          </cell>
          <cell r="Y100">
            <v>0.87815704628300895</v>
          </cell>
          <cell r="Z100">
            <v>0.87141891395107896</v>
          </cell>
          <cell r="AA100">
            <v>0.86898817367118997</v>
          </cell>
          <cell r="AE100">
            <v>3.84008065625997E-3</v>
          </cell>
          <cell r="AF100">
            <v>-4.8100691090922597E-3</v>
          </cell>
          <cell r="AG100">
            <v>-7.2490634571895397E-3</v>
          </cell>
          <cell r="BJ100">
            <v>1.215524029734778E-2</v>
          </cell>
          <cell r="BV100">
            <v>-9.9217261894517742E-3</v>
          </cell>
          <cell r="BY100">
            <v>2.2335141078960053E-3</v>
          </cell>
        </row>
        <row r="101">
          <cell r="O101">
            <v>0.87815704628300895</v>
          </cell>
          <cell r="P101">
            <v>0.87147679267168598</v>
          </cell>
          <cell r="Q101">
            <v>0.86925659612333295</v>
          </cell>
          <cell r="U101">
            <v>5.5256748698726196E-3</v>
          </cell>
          <cell r="V101">
            <v>-2.17695228065804E-3</v>
          </cell>
          <cell r="W101">
            <v>-4.9702549253912501E-3</v>
          </cell>
          <cell r="Y101">
            <v>0.87815704628300895</v>
          </cell>
          <cell r="Z101">
            <v>0.87147679267168598</v>
          </cell>
          <cell r="AA101">
            <v>0.86925659612333295</v>
          </cell>
          <cell r="AE101">
            <v>5.5256748698726196E-3</v>
          </cell>
          <cell r="AF101">
            <v>-2.17695228065804E-3</v>
          </cell>
          <cell r="AG101">
            <v>-4.9702549253912501E-3</v>
          </cell>
          <cell r="BJ101">
            <v>1.215524029734778E-2</v>
          </cell>
          <cell r="BV101">
            <v>-9.9217261894517742E-3</v>
          </cell>
          <cell r="BY101">
            <v>2.2335141078960053E-3</v>
          </cell>
        </row>
        <row r="102">
          <cell r="O102">
            <v>0.87815704628300895</v>
          </cell>
          <cell r="P102">
            <v>0.87198915194799698</v>
          </cell>
          <cell r="Q102">
            <v>0.86958937558693306</v>
          </cell>
          <cell r="U102">
            <v>4.6379754645772802E-3</v>
          </cell>
          <cell r="V102">
            <v>-2.9982349515401499E-3</v>
          </cell>
          <cell r="W102">
            <v>-5.5491112276430197E-3</v>
          </cell>
          <cell r="Y102">
            <v>0.87815704628300895</v>
          </cell>
          <cell r="Z102">
            <v>0.87198915194799698</v>
          </cell>
          <cell r="AA102">
            <v>0.86958937558693306</v>
          </cell>
          <cell r="AE102">
            <v>4.6379754645772802E-3</v>
          </cell>
          <cell r="AF102">
            <v>-2.9982349515401499E-3</v>
          </cell>
          <cell r="AG102">
            <v>-5.5491112276430197E-3</v>
          </cell>
          <cell r="BJ102">
            <v>1.215524029734778E-2</v>
          </cell>
          <cell r="BV102">
            <v>-9.9217261894517742E-3</v>
          </cell>
          <cell r="BY102">
            <v>2.2335141078960053E-3</v>
          </cell>
        </row>
        <row r="103">
          <cell r="O103">
            <v>0.87815704628300895</v>
          </cell>
          <cell r="P103">
            <v>0.872247015619387</v>
          </cell>
          <cell r="Q103">
            <v>0.87017609802127704</v>
          </cell>
          <cell r="U103">
            <v>3.3141618697973001E-3</v>
          </cell>
          <cell r="V103">
            <v>-3.7343005692036901E-3</v>
          </cell>
          <cell r="W103">
            <v>-6.4901658281511301E-3</v>
          </cell>
          <cell r="Y103">
            <v>0.87815704628300895</v>
          </cell>
          <cell r="Z103">
            <v>0.872247015619387</v>
          </cell>
          <cell r="AA103">
            <v>0.87017609802127704</v>
          </cell>
          <cell r="AE103">
            <v>3.3141618697973001E-3</v>
          </cell>
          <cell r="AF103">
            <v>-3.7343005692036901E-3</v>
          </cell>
          <cell r="AG103">
            <v>-6.4901658281511301E-3</v>
          </cell>
          <cell r="BJ103">
            <v>1.215524029734778E-2</v>
          </cell>
          <cell r="BV103">
            <v>-9.9217261894517742E-3</v>
          </cell>
          <cell r="BY103">
            <v>2.2335141078960053E-3</v>
          </cell>
        </row>
        <row r="104">
          <cell r="O104">
            <v>0.87815704628300895</v>
          </cell>
          <cell r="P104">
            <v>0.87244499392594499</v>
          </cell>
          <cell r="Q104">
            <v>0.87070905761264095</v>
          </cell>
          <cell r="U104">
            <v>5.2792558440972401E-3</v>
          </cell>
          <cell r="V104">
            <v>-1.4735314127657701E-3</v>
          </cell>
          <cell r="W104">
            <v>-3.8505873150014298E-3</v>
          </cell>
          <cell r="Y104">
            <v>0.87815704628300895</v>
          </cell>
          <cell r="Z104">
            <v>0.87244499392594499</v>
          </cell>
          <cell r="AA104">
            <v>0.87070905761264095</v>
          </cell>
          <cell r="AE104">
            <v>5.2792558440972401E-3</v>
          </cell>
          <cell r="AF104">
            <v>-1.4735314127657701E-3</v>
          </cell>
          <cell r="AG104">
            <v>-3.8505873150014298E-3</v>
          </cell>
          <cell r="BJ104">
            <v>1.215524029734778E-2</v>
          </cell>
          <cell r="BV104">
            <v>-9.9217261894517742E-3</v>
          </cell>
          <cell r="BY104">
            <v>2.2335141078960053E-3</v>
          </cell>
        </row>
        <row r="105">
          <cell r="O105">
            <v>0.87815704628300895</v>
          </cell>
          <cell r="P105">
            <v>0.87305284752110202</v>
          </cell>
          <cell r="Q105">
            <v>0.87120364208434897</v>
          </cell>
          <cell r="U105">
            <v>3.5068938925146799E-3</v>
          </cell>
          <cell r="V105">
            <v>-3.01894407321329E-3</v>
          </cell>
          <cell r="W105">
            <v>-5.0106634919707899E-3</v>
          </cell>
          <cell r="Y105">
            <v>0.87815704628300895</v>
          </cell>
          <cell r="Z105">
            <v>0.87305284752110202</v>
          </cell>
          <cell r="AA105">
            <v>0.87120364208434897</v>
          </cell>
          <cell r="AE105">
            <v>3.5068938925146799E-3</v>
          </cell>
          <cell r="AF105">
            <v>-3.01894407321329E-3</v>
          </cell>
          <cell r="AG105">
            <v>-5.0106634919707899E-3</v>
          </cell>
          <cell r="BJ105">
            <v>1.215524029734778E-2</v>
          </cell>
          <cell r="BV105">
            <v>-9.9217261894517742E-3</v>
          </cell>
          <cell r="BY105">
            <v>2.2335141078960053E-3</v>
          </cell>
        </row>
        <row r="106">
          <cell r="O106">
            <v>0.87815704628300895</v>
          </cell>
          <cell r="P106">
            <v>0.87326319852338496</v>
          </cell>
          <cell r="Q106">
            <v>0.87158762284661695</v>
          </cell>
          <cell r="U106">
            <v>5.2317079990691203E-3</v>
          </cell>
          <cell r="V106">
            <v>-5.9764830361149705E-4</v>
          </cell>
          <cell r="W106">
            <v>-2.7179856973171702E-3</v>
          </cell>
          <cell r="Y106">
            <v>0.87815704628300895</v>
          </cell>
          <cell r="Z106">
            <v>0.87326319852338496</v>
          </cell>
          <cell r="AA106">
            <v>0.87158762284661695</v>
          </cell>
          <cell r="AE106">
            <v>5.2317079990691203E-3</v>
          </cell>
          <cell r="AF106">
            <v>-5.9764830361149705E-4</v>
          </cell>
          <cell r="AG106">
            <v>-2.7179856973171702E-3</v>
          </cell>
          <cell r="BJ106">
            <v>1.215524029734778E-2</v>
          </cell>
          <cell r="BV106">
            <v>-9.9217261894517742E-3</v>
          </cell>
          <cell r="BY106">
            <v>2.2335141078960053E-3</v>
          </cell>
        </row>
        <row r="107">
          <cell r="O107">
            <v>0.87815704628300895</v>
          </cell>
          <cell r="P107">
            <v>0.87369500193764404</v>
          </cell>
          <cell r="Q107">
            <v>0.87185292694684802</v>
          </cell>
          <cell r="U107">
            <v>7.0419831691049799E-3</v>
          </cell>
          <cell r="V107">
            <v>1.4535351530734601E-3</v>
          </cell>
          <cell r="W107">
            <v>-4.6706020247422602E-4</v>
          </cell>
          <cell r="Y107">
            <v>0.87815704628300895</v>
          </cell>
          <cell r="Z107">
            <v>0.87369500193764404</v>
          </cell>
          <cell r="AA107">
            <v>0.87185292694684802</v>
          </cell>
          <cell r="AE107">
            <v>7.0419831691049799E-3</v>
          </cell>
          <cell r="AF107">
            <v>1.4535351530734601E-3</v>
          </cell>
          <cell r="AG107">
            <v>-4.6706020247422602E-4</v>
          </cell>
          <cell r="BJ107">
            <v>1.215524029734778E-2</v>
          </cell>
          <cell r="BV107">
            <v>-9.9217261894517742E-3</v>
          </cell>
          <cell r="BY107">
            <v>2.2335141078960053E-3</v>
          </cell>
        </row>
        <row r="108">
          <cell r="O108">
            <v>0.87815704628300895</v>
          </cell>
          <cell r="P108">
            <v>0.87379427765340101</v>
          </cell>
          <cell r="Q108">
            <v>0.87172787128081197</v>
          </cell>
          <cell r="U108">
            <v>4.7472712131780602E-3</v>
          </cell>
          <cell r="V108">
            <v>-3.46827913521876E-4</v>
          </cell>
          <cell r="W108">
            <v>-2.4574267050276499E-3</v>
          </cell>
          <cell r="Y108">
            <v>0.87815704628300895</v>
          </cell>
          <cell r="Z108">
            <v>0.87379427765340101</v>
          </cell>
          <cell r="AA108">
            <v>0.87172787128081197</v>
          </cell>
          <cell r="AE108">
            <v>4.7472712131780602E-3</v>
          </cell>
          <cell r="AF108">
            <v>-3.46827913521876E-4</v>
          </cell>
          <cell r="AG108">
            <v>-2.4574267050276499E-3</v>
          </cell>
          <cell r="BJ108">
            <v>1.215524029734778E-2</v>
          </cell>
          <cell r="BV108">
            <v>-9.9217261894517742E-3</v>
          </cell>
          <cell r="BY108">
            <v>2.2335141078960053E-3</v>
          </cell>
        </row>
        <row r="109">
          <cell r="O109">
            <v>0.87815704628300895</v>
          </cell>
          <cell r="P109">
            <v>0.87376974917778505</v>
          </cell>
          <cell r="Q109">
            <v>0.87218168252847605</v>
          </cell>
          <cell r="U109">
            <v>6.96802257949964E-3</v>
          </cell>
          <cell r="V109">
            <v>1.9875444254984199E-3</v>
          </cell>
          <cell r="W109">
            <v>-3.8012228005516102E-4</v>
          </cell>
          <cell r="Y109">
            <v>0.87815704628300895</v>
          </cell>
          <cell r="Z109">
            <v>0.87376974917778505</v>
          </cell>
          <cell r="AA109">
            <v>0.87218168252847605</v>
          </cell>
          <cell r="AE109">
            <v>6.96802257949964E-3</v>
          </cell>
          <cell r="AF109">
            <v>1.9875444254984199E-3</v>
          </cell>
          <cell r="AG109">
            <v>-3.8012228005516102E-4</v>
          </cell>
          <cell r="BJ109">
            <v>1.215524029734778E-2</v>
          </cell>
          <cell r="BV109">
            <v>-9.9217261894517742E-3</v>
          </cell>
          <cell r="BY109">
            <v>2.2335141078960053E-3</v>
          </cell>
        </row>
        <row r="110">
          <cell r="O110">
            <v>0.87815704628300895</v>
          </cell>
          <cell r="P110">
            <v>0.87386305772916895</v>
          </cell>
          <cell r="Q110">
            <v>0.87264098584012395</v>
          </cell>
          <cell r="U110">
            <v>2.7740112804421598E-3</v>
          </cell>
          <cell r="V110">
            <v>-2.2345384923856998E-3</v>
          </cell>
          <cell r="W110">
            <v>-4.0536808332504301E-3</v>
          </cell>
          <cell r="Y110">
            <v>0.87815704628300895</v>
          </cell>
          <cell r="Z110">
            <v>0.87386305772916895</v>
          </cell>
          <cell r="AA110">
            <v>0.87264098584012395</v>
          </cell>
          <cell r="AE110">
            <v>2.7740112804421598E-3</v>
          </cell>
          <cell r="AF110">
            <v>-2.2345384923856998E-3</v>
          </cell>
          <cell r="AG110">
            <v>-4.0536808332504301E-3</v>
          </cell>
          <cell r="BJ110">
            <v>1.215524029734778E-2</v>
          </cell>
          <cell r="BV110">
            <v>-9.9217261894517742E-3</v>
          </cell>
          <cell r="BY110">
            <v>2.2335141078960053E-3</v>
          </cell>
        </row>
        <row r="111">
          <cell r="O111">
            <v>0.87815704628300895</v>
          </cell>
          <cell r="P111">
            <v>0.87381280935499295</v>
          </cell>
          <cell r="Q111">
            <v>0.87264480101333897</v>
          </cell>
          <cell r="U111">
            <v>6.1012136139139399E-3</v>
          </cell>
          <cell r="V111">
            <v>1.1994466287570599E-3</v>
          </cell>
          <cell r="W111">
            <v>-2.00002852041958E-4</v>
          </cell>
          <cell r="Y111">
            <v>0.87815704628300895</v>
          </cell>
          <cell r="Z111">
            <v>0.87381280935499295</v>
          </cell>
          <cell r="AA111">
            <v>0.87264480101333897</v>
          </cell>
          <cell r="AE111">
            <v>6.1012136139139399E-3</v>
          </cell>
          <cell r="AF111">
            <v>1.1994466287570599E-3</v>
          </cell>
          <cell r="AG111">
            <v>-2.00002852041958E-4</v>
          </cell>
          <cell r="BJ111">
            <v>1.215524029734778E-2</v>
          </cell>
          <cell r="BV111">
            <v>-9.9217261894517742E-3</v>
          </cell>
          <cell r="BY111">
            <v>2.2335141078960053E-3</v>
          </cell>
        </row>
        <row r="112">
          <cell r="O112">
            <v>0.87815704628300895</v>
          </cell>
          <cell r="P112">
            <v>0.87369186563517298</v>
          </cell>
          <cell r="Q112">
            <v>0.87284050879158503</v>
          </cell>
          <cell r="U112">
            <v>6.0225808203436199E-3</v>
          </cell>
          <cell r="V112">
            <v>1.0633107533661399E-3</v>
          </cell>
          <cell r="W112">
            <v>-2.74263670267137E-4</v>
          </cell>
          <cell r="Y112">
            <v>0.87815704628300895</v>
          </cell>
          <cell r="Z112">
            <v>0.87369186563517298</v>
          </cell>
          <cell r="AA112">
            <v>0.87284050879158503</v>
          </cell>
          <cell r="AE112">
            <v>6.0225808203436199E-3</v>
          </cell>
          <cell r="AF112">
            <v>1.0633107533661399E-3</v>
          </cell>
          <cell r="AG112">
            <v>-2.74263670267137E-4</v>
          </cell>
          <cell r="BJ112">
            <v>1.215524029734778E-2</v>
          </cell>
          <cell r="BV112">
            <v>-9.9217261894517742E-3</v>
          </cell>
          <cell r="BY112">
            <v>2.2335141078960053E-3</v>
          </cell>
        </row>
        <row r="113">
          <cell r="O113">
            <v>0.87815704628300895</v>
          </cell>
          <cell r="P113">
            <v>0.87393158144197503</v>
          </cell>
          <cell r="Q113">
            <v>0.87308929853068096</v>
          </cell>
          <cell r="U113">
            <v>5.7908363207051896E-4</v>
          </cell>
          <cell r="V113">
            <v>-4.5186052005263596E-3</v>
          </cell>
          <cell r="W113">
            <v>-5.4935163140958001E-3</v>
          </cell>
          <cell r="Y113">
            <v>0.87815704628300895</v>
          </cell>
          <cell r="Z113">
            <v>0.87393158144197503</v>
          </cell>
          <cell r="AA113">
            <v>0.87308929853068096</v>
          </cell>
          <cell r="AE113">
            <v>5.7908363207051896E-4</v>
          </cell>
          <cell r="AF113">
            <v>-4.5186052005263596E-3</v>
          </cell>
          <cell r="AG113">
            <v>-5.4935163140958001E-3</v>
          </cell>
          <cell r="BJ113">
            <v>1.215524029734778E-2</v>
          </cell>
          <cell r="BV113">
            <v>-9.9217261894517742E-3</v>
          </cell>
          <cell r="BY113">
            <v>2.2335141078960053E-3</v>
          </cell>
        </row>
        <row r="114">
          <cell r="O114">
            <v>0.87815704628300895</v>
          </cell>
          <cell r="P114">
            <v>0.87444150466376303</v>
          </cell>
          <cell r="Q114">
            <v>0.87344324929485395</v>
          </cell>
          <cell r="U114">
            <v>-5.4125136145578802E-4</v>
          </cell>
          <cell r="V114">
            <v>-5.36460671711682E-3</v>
          </cell>
          <cell r="W114">
            <v>-6.3288573293573099E-3</v>
          </cell>
          <cell r="Y114">
            <v>0.87815704628300895</v>
          </cell>
          <cell r="Z114">
            <v>0.87444150466376303</v>
          </cell>
          <cell r="AA114">
            <v>0.87344324929485395</v>
          </cell>
          <cell r="AE114">
            <v>-5.4125136145578802E-4</v>
          </cell>
          <cell r="AF114">
            <v>-5.36460671711682E-3</v>
          </cell>
          <cell r="AG114">
            <v>-6.3288573293573099E-3</v>
          </cell>
          <cell r="BJ114">
            <v>1.215524029734778E-2</v>
          </cell>
          <cell r="BV114">
            <v>-9.9217261894517742E-3</v>
          </cell>
          <cell r="BY114">
            <v>2.2335141078960053E-3</v>
          </cell>
        </row>
        <row r="115">
          <cell r="O115">
            <v>0.87815704628300895</v>
          </cell>
          <cell r="P115">
            <v>0.87468279802037396</v>
          </cell>
          <cell r="Q115">
            <v>0.87386782277073805</v>
          </cell>
          <cell r="U115">
            <v>7.5331116338694698E-4</v>
          </cell>
          <cell r="V115">
            <v>-3.4867324949040602E-3</v>
          </cell>
          <cell r="W115">
            <v>-4.6289765418125401E-3</v>
          </cell>
          <cell r="Y115">
            <v>0.87815704628300895</v>
          </cell>
          <cell r="Z115">
            <v>0.87468279802037396</v>
          </cell>
          <cell r="AA115">
            <v>0.87386782277073805</v>
          </cell>
          <cell r="AE115">
            <v>7.5331116338694698E-4</v>
          </cell>
          <cell r="AF115">
            <v>-3.4867324949040602E-3</v>
          </cell>
          <cell r="AG115">
            <v>-4.6289765418125401E-3</v>
          </cell>
          <cell r="BJ115">
            <v>1.215524029734778E-2</v>
          </cell>
          <cell r="BV115">
            <v>-9.9217261894517742E-3</v>
          </cell>
          <cell r="BY115">
            <v>2.2335141078960053E-3</v>
          </cell>
        </row>
        <row r="116">
          <cell r="O116">
            <v>0.87815704628300895</v>
          </cell>
          <cell r="P116">
            <v>0.87509559008809601</v>
          </cell>
          <cell r="Q116">
            <v>0.87417939430573999</v>
          </cell>
          <cell r="U116">
            <v>5.1751694941400898E-4</v>
          </cell>
          <cell r="V116">
            <v>-3.4466248101131399E-3</v>
          </cell>
          <cell r="W116">
            <v>-4.3787972035917097E-3</v>
          </cell>
          <cell r="Y116">
            <v>0.87815704628300895</v>
          </cell>
          <cell r="Z116">
            <v>0.87509559008809601</v>
          </cell>
          <cell r="AA116">
            <v>0.87417939430573999</v>
          </cell>
          <cell r="AE116">
            <v>5.1751694941400898E-4</v>
          </cell>
          <cell r="AF116">
            <v>-3.4466248101131399E-3</v>
          </cell>
          <cell r="AG116">
            <v>-4.3787972035917097E-3</v>
          </cell>
          <cell r="BJ116">
            <v>1.215524029734778E-2</v>
          </cell>
          <cell r="BV116">
            <v>-9.9217261894517742E-3</v>
          </cell>
          <cell r="BY116">
            <v>2.2335141078960053E-3</v>
          </cell>
        </row>
        <row r="117">
          <cell r="O117">
            <v>0.87815704628300895</v>
          </cell>
          <cell r="P117">
            <v>0.87582654468876797</v>
          </cell>
          <cell r="Q117">
            <v>0.87476077331320601</v>
          </cell>
          <cell r="U117">
            <v>-1.3056351734446301E-3</v>
          </cell>
          <cell r="V117">
            <v>-4.7979548117421198E-3</v>
          </cell>
          <cell r="W117">
            <v>-5.8454697814377702E-3</v>
          </cell>
          <cell r="Y117">
            <v>0.87815704628300895</v>
          </cell>
          <cell r="Z117">
            <v>0.87582654468876797</v>
          </cell>
          <cell r="AA117">
            <v>0.87476077331320601</v>
          </cell>
          <cell r="AE117">
            <v>-1.3056351734446301E-3</v>
          </cell>
          <cell r="AF117">
            <v>-4.7979548117421198E-3</v>
          </cell>
          <cell r="AG117">
            <v>-5.8454697814377702E-3</v>
          </cell>
          <cell r="BJ117">
            <v>1.215524029734778E-2</v>
          </cell>
          <cell r="BV117">
            <v>-9.9217261894517742E-3</v>
          </cell>
          <cell r="BY117">
            <v>2.2335141078960053E-3</v>
          </cell>
        </row>
        <row r="118">
          <cell r="O118">
            <v>0.87815704628300895</v>
          </cell>
          <cell r="P118">
            <v>0.87657143619851896</v>
          </cell>
          <cell r="Q118">
            <v>0.87518285692595998</v>
          </cell>
          <cell r="U118">
            <v>-3.7394196469399299E-3</v>
          </cell>
          <cell r="V118">
            <v>-6.3968025069333903E-3</v>
          </cell>
          <cell r="W118">
            <v>-7.6144184421997798E-3</v>
          </cell>
          <cell r="Y118">
            <v>0.87815704628300895</v>
          </cell>
          <cell r="Z118">
            <v>0.87657143619851896</v>
          </cell>
          <cell r="AA118">
            <v>0.87518285692595998</v>
          </cell>
          <cell r="AE118">
            <v>-3.7394196469399299E-3</v>
          </cell>
          <cell r="AF118">
            <v>-6.3968025069333903E-3</v>
          </cell>
          <cell r="AG118">
            <v>-7.6144184421997798E-3</v>
          </cell>
          <cell r="BJ118">
            <v>1.215524029734778E-2</v>
          </cell>
          <cell r="BV118">
            <v>-9.9217261894517742E-3</v>
          </cell>
          <cell r="BY118">
            <v>2.2335141078960053E-3</v>
          </cell>
        </row>
        <row r="119">
          <cell r="O119">
            <v>0.87815704628300895</v>
          </cell>
          <cell r="P119">
            <v>0.87763405768986003</v>
          </cell>
          <cell r="Q119">
            <v>0.87570190343382204</v>
          </cell>
          <cell r="U119">
            <v>-5.1435331863868899E-3</v>
          </cell>
          <cell r="V119">
            <v>-6.9507763375494698E-3</v>
          </cell>
          <cell r="W119">
            <v>-8.5361351619488296E-3</v>
          </cell>
          <cell r="Y119">
            <v>0.87815704628300895</v>
          </cell>
          <cell r="Z119">
            <v>0.87763405768986003</v>
          </cell>
          <cell r="AA119">
            <v>0.87570190343382204</v>
          </cell>
          <cell r="AE119">
            <v>-5.1435331863868899E-3</v>
          </cell>
          <cell r="AF119">
            <v>-6.9507763375494698E-3</v>
          </cell>
          <cell r="AG119">
            <v>-8.5361351619488296E-3</v>
          </cell>
          <cell r="BJ119">
            <v>1.215524029734778E-2</v>
          </cell>
          <cell r="BV119">
            <v>-9.9217261894517742E-3</v>
          </cell>
          <cell r="BY119">
            <v>2.2335141078960053E-3</v>
          </cell>
        </row>
        <row r="120">
          <cell r="O120">
            <v>0.87815704628300895</v>
          </cell>
          <cell r="P120">
            <v>0.87849484543286005</v>
          </cell>
          <cell r="Q120">
            <v>0.876178951581015</v>
          </cell>
          <cell r="U120">
            <v>-7.0074305657049198E-3</v>
          </cell>
          <cell r="V120">
            <v>-7.6031604420354797E-3</v>
          </cell>
          <cell r="W120">
            <v>-9.80713626982916E-3</v>
          </cell>
          <cell r="Y120">
            <v>0.87815704628300895</v>
          </cell>
          <cell r="Z120">
            <v>0.87849484543286005</v>
          </cell>
          <cell r="AA120">
            <v>0.876178951581015</v>
          </cell>
          <cell r="AE120">
            <v>-7.0074305657049198E-3</v>
          </cell>
          <cell r="AF120">
            <v>-7.6031604420354797E-3</v>
          </cell>
          <cell r="AG120">
            <v>-9.80713626982916E-3</v>
          </cell>
          <cell r="BJ120">
            <v>1.215524029734778E-2</v>
          </cell>
          <cell r="BV120">
            <v>-9.9217261894517742E-3</v>
          </cell>
          <cell r="BY120">
            <v>2.2335141078960053E-3</v>
          </cell>
        </row>
        <row r="121">
          <cell r="O121">
            <v>0.87815704628300895</v>
          </cell>
          <cell r="P121">
            <v>0.87953368723593095</v>
          </cell>
          <cell r="Q121">
            <v>0.876673248295462</v>
          </cell>
          <cell r="U121">
            <v>-5.7307043192957397E-3</v>
          </cell>
          <cell r="V121">
            <v>-5.3461100173649596E-3</v>
          </cell>
          <cell r="W121">
            <v>-7.9857974630190703E-3</v>
          </cell>
          <cell r="Y121">
            <v>0.87815704628300895</v>
          </cell>
          <cell r="Z121">
            <v>0.87953368723593095</v>
          </cell>
          <cell r="AA121">
            <v>0.876673248295462</v>
          </cell>
          <cell r="AE121">
            <v>-5.7307043192957397E-3</v>
          </cell>
          <cell r="AF121">
            <v>-5.3461100173649596E-3</v>
          </cell>
          <cell r="AG121">
            <v>-7.9857974630190703E-3</v>
          </cell>
          <cell r="BJ121">
            <v>1.215524029734778E-2</v>
          </cell>
          <cell r="BV121">
            <v>-9.9217261894517742E-3</v>
          </cell>
          <cell r="BY121">
            <v>2.2335141078960053E-3</v>
          </cell>
        </row>
        <row r="122">
          <cell r="O122">
            <v>0.87815704628300895</v>
          </cell>
          <cell r="P122">
            <v>0.88068940542612895</v>
          </cell>
          <cell r="Q122">
            <v>0.87719063553065102</v>
          </cell>
          <cell r="U122">
            <v>-7.13075747902188E-3</v>
          </cell>
          <cell r="V122">
            <v>-5.5643371661019203E-3</v>
          </cell>
          <cell r="W122">
            <v>-8.8218592861288407E-3</v>
          </cell>
          <cell r="Y122">
            <v>0.87815704628300895</v>
          </cell>
          <cell r="Z122">
            <v>0.88068940542612895</v>
          </cell>
          <cell r="AA122">
            <v>0.87719063553065102</v>
          </cell>
          <cell r="AE122">
            <v>-7.13075747902188E-3</v>
          </cell>
          <cell r="AF122">
            <v>-5.5643371661019203E-3</v>
          </cell>
          <cell r="AG122">
            <v>-8.8218592861288407E-3</v>
          </cell>
          <cell r="BJ122">
            <v>1.215524029734778E-2</v>
          </cell>
          <cell r="BV122">
            <v>-9.9217261894517742E-3</v>
          </cell>
          <cell r="BY122">
            <v>2.2335141078960053E-3</v>
          </cell>
        </row>
        <row r="123">
          <cell r="O123">
            <v>0.87815704628300895</v>
          </cell>
          <cell r="P123">
            <v>0.88140089598184501</v>
          </cell>
          <cell r="Q123">
            <v>0.87766623871190996</v>
          </cell>
          <cell r="U123">
            <v>-7.4950139584731203E-3</v>
          </cell>
          <cell r="V123">
            <v>-4.6154437828013796E-3</v>
          </cell>
          <cell r="W123">
            <v>-8.5961187253669295E-3</v>
          </cell>
          <cell r="Y123">
            <v>0.87815704628300895</v>
          </cell>
          <cell r="Z123">
            <v>0.88140089598184501</v>
          </cell>
          <cell r="AA123">
            <v>0.87766623871190996</v>
          </cell>
          <cell r="AE123">
            <v>-7.4950139584731203E-3</v>
          </cell>
          <cell r="AF123">
            <v>-4.6154437828013796E-3</v>
          </cell>
          <cell r="AG123">
            <v>-8.5961187253669295E-3</v>
          </cell>
          <cell r="BJ123">
            <v>1.215524029734778E-2</v>
          </cell>
          <cell r="BV123">
            <v>-9.9217261894517742E-3</v>
          </cell>
          <cell r="BY123">
            <v>2.2335141078960053E-3</v>
          </cell>
        </row>
        <row r="124">
          <cell r="O124">
            <v>0.87815704628300895</v>
          </cell>
          <cell r="P124">
            <v>0.882026600363786</v>
          </cell>
          <cell r="Q124">
            <v>0.87823405251377396</v>
          </cell>
          <cell r="U124">
            <v>-7.6373579839076203E-3</v>
          </cell>
          <cell r="V124">
            <v>-3.9502348765688396E-3</v>
          </cell>
          <cell r="W124">
            <v>-8.1964206049319494E-3</v>
          </cell>
          <cell r="Y124">
            <v>0.87815704628300895</v>
          </cell>
          <cell r="Z124">
            <v>0.882026600363786</v>
          </cell>
          <cell r="AA124">
            <v>0.87823405251377396</v>
          </cell>
          <cell r="AE124">
            <v>-7.6373579839076203E-3</v>
          </cell>
          <cell r="AF124">
            <v>-3.9502348765688396E-3</v>
          </cell>
          <cell r="AG124">
            <v>-8.1964206049319494E-3</v>
          </cell>
          <cell r="BJ124">
            <v>1.215524029734778E-2</v>
          </cell>
          <cell r="BV124">
            <v>-9.9217261894517742E-3</v>
          </cell>
          <cell r="BY124">
            <v>2.2335141078960053E-3</v>
          </cell>
        </row>
        <row r="125">
          <cell r="O125">
            <v>0.87815704628300895</v>
          </cell>
          <cell r="P125">
            <v>0.88241377551238198</v>
          </cell>
          <cell r="Q125">
            <v>0.87854828676637797</v>
          </cell>
          <cell r="U125">
            <v>-3.64925697132313E-3</v>
          </cell>
          <cell r="V125">
            <v>7.4751187931502798E-4</v>
          </cell>
          <cell r="W125">
            <v>-3.56157008784089E-3</v>
          </cell>
          <cell r="Y125">
            <v>0.87815704628300895</v>
          </cell>
          <cell r="Z125">
            <v>0.88241377551238198</v>
          </cell>
          <cell r="AA125">
            <v>0.87854828676637797</v>
          </cell>
          <cell r="AE125">
            <v>-3.64925697132313E-3</v>
          </cell>
          <cell r="AF125">
            <v>7.4751187931502798E-4</v>
          </cell>
          <cell r="AG125">
            <v>-3.56157008784089E-3</v>
          </cell>
          <cell r="BJ125">
            <v>1.215524029734778E-2</v>
          </cell>
          <cell r="BV125">
            <v>-9.9217261894517742E-3</v>
          </cell>
          <cell r="BY125">
            <v>2.2335141078960053E-3</v>
          </cell>
        </row>
        <row r="126">
          <cell r="O126">
            <v>0.87815704628300895</v>
          </cell>
          <cell r="P126">
            <v>0.88294314064151502</v>
          </cell>
          <cell r="Q126">
            <v>0.87901936536480496</v>
          </cell>
          <cell r="U126">
            <v>-5.4956256393659001E-3</v>
          </cell>
          <cell r="V126">
            <v>-6.5999225116180899E-4</v>
          </cell>
          <cell r="W126">
            <v>-5.05020035092684E-3</v>
          </cell>
          <cell r="Y126">
            <v>0.87815704628300895</v>
          </cell>
          <cell r="Z126">
            <v>0.88294314064151502</v>
          </cell>
          <cell r="AA126">
            <v>0.87901936536480496</v>
          </cell>
          <cell r="AE126">
            <v>-5.4956256393659001E-3</v>
          </cell>
          <cell r="AF126">
            <v>-6.5999225116180899E-4</v>
          </cell>
          <cell r="AG126">
            <v>-5.05020035092684E-3</v>
          </cell>
          <cell r="BJ126">
            <v>1.215524029734778E-2</v>
          </cell>
          <cell r="BV126">
            <v>-9.9217261894517742E-3</v>
          </cell>
          <cell r="BY126">
            <v>2.2335141078960053E-3</v>
          </cell>
        </row>
        <row r="127">
          <cell r="O127">
            <v>0.87815704628300895</v>
          </cell>
          <cell r="P127">
            <v>0.88375354529927996</v>
          </cell>
          <cell r="Q127">
            <v>0.87979004499402402</v>
          </cell>
          <cell r="U127">
            <v>-1.0479852605019701E-2</v>
          </cell>
          <cell r="V127">
            <v>-5.04449330285958E-3</v>
          </cell>
          <cell r="W127">
            <v>-9.4983698747670899E-3</v>
          </cell>
          <cell r="Y127">
            <v>0.87815704628300895</v>
          </cell>
          <cell r="Z127">
            <v>0.88375354529927996</v>
          </cell>
          <cell r="AA127">
            <v>0.87979004499402402</v>
          </cell>
          <cell r="AE127">
            <v>-1.0479852605019701E-2</v>
          </cell>
          <cell r="AF127">
            <v>-5.04449330285958E-3</v>
          </cell>
          <cell r="AG127">
            <v>-9.4983698747670899E-3</v>
          </cell>
          <cell r="BJ127">
            <v>1.215524029734778E-2</v>
          </cell>
          <cell r="BV127">
            <v>-9.9217261894517742E-3</v>
          </cell>
          <cell r="BY127">
            <v>2.2335141078960053E-3</v>
          </cell>
        </row>
        <row r="128">
          <cell r="O128">
            <v>0.87815704628300895</v>
          </cell>
          <cell r="P128">
            <v>0.88395804208930195</v>
          </cell>
          <cell r="Q128">
            <v>0.88026473914391001</v>
          </cell>
          <cell r="U128">
            <v>-6.0567449170567398E-3</v>
          </cell>
          <cell r="V128">
            <v>2.9603809575436899E-4</v>
          </cell>
          <cell r="W128">
            <v>-4.1988969888423202E-3</v>
          </cell>
          <cell r="Y128">
            <v>0.87815704628300895</v>
          </cell>
          <cell r="Z128">
            <v>0.88395804208930195</v>
          </cell>
          <cell r="AA128">
            <v>0.88026473914391001</v>
          </cell>
          <cell r="AE128">
            <v>-6.0567449170567398E-3</v>
          </cell>
          <cell r="AF128">
            <v>2.9603809575436899E-4</v>
          </cell>
          <cell r="AG128">
            <v>-4.1988969888423202E-3</v>
          </cell>
          <cell r="BJ128">
            <v>1.215524029734778E-2</v>
          </cell>
          <cell r="BV128">
            <v>-9.9217261894517742E-3</v>
          </cell>
          <cell r="BY128">
            <v>2.2335141078960053E-3</v>
          </cell>
        </row>
        <row r="129">
          <cell r="O129">
            <v>0.87815704628300895</v>
          </cell>
          <cell r="P129">
            <v>0.88446025497215397</v>
          </cell>
          <cell r="Q129">
            <v>0.88104715633100705</v>
          </cell>
          <cell r="U129">
            <v>-1.08170100517621E-2</v>
          </cell>
          <cell r="V129">
            <v>-4.2328580844298502E-3</v>
          </cell>
          <cell r="W129">
            <v>-8.4197537304974406E-3</v>
          </cell>
          <cell r="Y129">
            <v>0.87815704628300895</v>
          </cell>
          <cell r="Z129">
            <v>0.88446025497215397</v>
          </cell>
          <cell r="AA129">
            <v>0.88104715633100705</v>
          </cell>
          <cell r="AE129">
            <v>-1.08170100517621E-2</v>
          </cell>
          <cell r="AF129">
            <v>-4.2328580844298502E-3</v>
          </cell>
          <cell r="AG129">
            <v>-8.4197537304974406E-3</v>
          </cell>
          <cell r="BJ129">
            <v>1.215524029734778E-2</v>
          </cell>
          <cell r="BV129">
            <v>-9.9217261894517742E-3</v>
          </cell>
          <cell r="BY129">
            <v>2.2335141078960053E-3</v>
          </cell>
        </row>
        <row r="130">
          <cell r="O130">
            <v>0.87815704628300895</v>
          </cell>
          <cell r="P130">
            <v>0.88433412605245498</v>
          </cell>
          <cell r="Q130">
            <v>0.88141448574265702</v>
          </cell>
          <cell r="U130">
            <v>-5.5801508617848699E-3</v>
          </cell>
          <cell r="V130">
            <v>1.57198086145482E-3</v>
          </cell>
          <cell r="W130">
            <v>-2.29444628717784E-3</v>
          </cell>
          <cell r="Y130">
            <v>0.87815704628300895</v>
          </cell>
          <cell r="Z130">
            <v>0.88433412605245498</v>
          </cell>
          <cell r="AA130">
            <v>0.88141448574265702</v>
          </cell>
          <cell r="AE130">
            <v>-5.5801508617848699E-3</v>
          </cell>
          <cell r="AF130">
            <v>1.57198086145482E-3</v>
          </cell>
          <cell r="AG130">
            <v>-2.29444628717784E-3</v>
          </cell>
          <cell r="BJ130">
            <v>1.215524029734778E-2</v>
          </cell>
          <cell r="BV130">
            <v>-9.9217261894517742E-3</v>
          </cell>
          <cell r="BY130">
            <v>2.2335141078960053E-3</v>
          </cell>
        </row>
        <row r="131">
          <cell r="O131">
            <v>0.87815704628300895</v>
          </cell>
          <cell r="P131">
            <v>0.88450386987492702</v>
          </cell>
          <cell r="Q131">
            <v>0.88201877855542898</v>
          </cell>
          <cell r="U131">
            <v>-7.6507694937567004E-3</v>
          </cell>
          <cell r="V131">
            <v>-6.4125346544072399E-4</v>
          </cell>
          <cell r="W131">
            <v>-3.9482281401811304E-3</v>
          </cell>
          <cell r="Y131">
            <v>0.87815704628300895</v>
          </cell>
          <cell r="Z131">
            <v>0.88450386987492702</v>
          </cell>
          <cell r="AA131">
            <v>0.88201877855542898</v>
          </cell>
          <cell r="AE131">
            <v>-7.6507694937567004E-3</v>
          </cell>
          <cell r="AF131">
            <v>-6.4125346544072399E-4</v>
          </cell>
          <cell r="AG131">
            <v>-3.9482281401811304E-3</v>
          </cell>
          <cell r="BJ131">
            <v>1.215524029734778E-2</v>
          </cell>
          <cell r="BV131">
            <v>-9.9217261894517742E-3</v>
          </cell>
          <cell r="BY131">
            <v>2.2335141078960053E-3</v>
          </cell>
        </row>
        <row r="132">
          <cell r="O132">
            <v>0.87815704628300895</v>
          </cell>
          <cell r="P132">
            <v>0.88434372081617996</v>
          </cell>
          <cell r="Q132">
            <v>0.88251656312115401</v>
          </cell>
          <cell r="U132">
            <v>-5.3183792152788102E-3</v>
          </cell>
          <cell r="V132">
            <v>1.88306374290251E-3</v>
          </cell>
          <cell r="W132">
            <v>-9.3047839995311695E-4</v>
          </cell>
          <cell r="Y132">
            <v>0.87815704628300895</v>
          </cell>
          <cell r="Z132">
            <v>0.88434372081617996</v>
          </cell>
          <cell r="AA132">
            <v>0.88251656312115401</v>
          </cell>
          <cell r="AE132">
            <v>-5.3183792152788102E-3</v>
          </cell>
          <cell r="AF132">
            <v>1.88306374290251E-3</v>
          </cell>
          <cell r="AG132">
            <v>-9.3047839995311695E-4</v>
          </cell>
          <cell r="BJ132">
            <v>1.215524029734778E-2</v>
          </cell>
          <cell r="BV132">
            <v>-9.9217261894517742E-3</v>
          </cell>
          <cell r="BY132">
            <v>2.2335141078960053E-3</v>
          </cell>
        </row>
        <row r="133">
          <cell r="O133">
            <v>0.87815704628300895</v>
          </cell>
          <cell r="P133">
            <v>0.88447089484838903</v>
          </cell>
          <cell r="Q133">
            <v>0.88293589541511697</v>
          </cell>
          <cell r="U133">
            <v>-8.9313606277896009E-3</v>
          </cell>
          <cell r="V133">
            <v>-1.91099495408194E-3</v>
          </cell>
          <cell r="W133">
            <v>-3.9792494312113997E-3</v>
          </cell>
          <cell r="Y133">
            <v>0.87815704628300895</v>
          </cell>
          <cell r="Z133">
            <v>0.88447089484838903</v>
          </cell>
          <cell r="AA133">
            <v>0.88293589541511697</v>
          </cell>
          <cell r="AE133">
            <v>-8.9313606277896009E-3</v>
          </cell>
          <cell r="AF133">
            <v>-1.91099495408194E-3</v>
          </cell>
          <cell r="AG133">
            <v>-3.9792494312113997E-3</v>
          </cell>
          <cell r="BJ133">
            <v>1.215524029734778E-2</v>
          </cell>
          <cell r="BV133">
            <v>-9.9217261894517742E-3</v>
          </cell>
          <cell r="BY133">
            <v>2.2335141078960053E-3</v>
          </cell>
        </row>
        <row r="134">
          <cell r="O134">
            <v>0.87815704628300895</v>
          </cell>
          <cell r="P134">
            <v>0.88435844291905596</v>
          </cell>
          <cell r="Q134">
            <v>0.88319252164142104</v>
          </cell>
          <cell r="U134">
            <v>-6.3657479226163103E-3</v>
          </cell>
          <cell r="V134">
            <v>7.9841352403711198E-4</v>
          </cell>
          <cell r="W134">
            <v>-9.3859442192994102E-4</v>
          </cell>
          <cell r="Y134">
            <v>0.87815704628300895</v>
          </cell>
          <cell r="Z134">
            <v>0.88435844291905596</v>
          </cell>
          <cell r="AA134">
            <v>0.88319252164142104</v>
          </cell>
          <cell r="AE134">
            <v>-6.3657479226163103E-3</v>
          </cell>
          <cell r="AF134">
            <v>7.9841352403711198E-4</v>
          </cell>
          <cell r="AG134">
            <v>-9.3859442192994102E-4</v>
          </cell>
          <cell r="BJ134">
            <v>1.215524029734778E-2</v>
          </cell>
          <cell r="BV134">
            <v>-9.9217261894517742E-3</v>
          </cell>
          <cell r="BY134">
            <v>2.2335141078960053E-3</v>
          </cell>
        </row>
        <row r="135">
          <cell r="O135">
            <v>0.87815704628300895</v>
          </cell>
          <cell r="P135">
            <v>0.88439009889539599</v>
          </cell>
          <cell r="Q135">
            <v>0.88340193720388904</v>
          </cell>
          <cell r="U135">
            <v>-4.00836134052906E-3</v>
          </cell>
          <cell r="V135">
            <v>3.0286516841898101E-3</v>
          </cell>
          <cell r="W135">
            <v>1.70940095805892E-3</v>
          </cell>
          <cell r="Y135">
            <v>0.87815704628300895</v>
          </cell>
          <cell r="Z135">
            <v>0.88439009889539599</v>
          </cell>
          <cell r="AA135">
            <v>0.88340193720388904</v>
          </cell>
          <cell r="AE135">
            <v>-4.00836134052906E-3</v>
          </cell>
          <cell r="AF135">
            <v>3.0286516841898101E-3</v>
          </cell>
          <cell r="AG135">
            <v>1.70940095805892E-3</v>
          </cell>
          <cell r="BJ135">
            <v>1.215524029734778E-2</v>
          </cell>
          <cell r="BV135">
            <v>-9.9217261894517742E-3</v>
          </cell>
          <cell r="BY135">
            <v>2.2335141078960053E-3</v>
          </cell>
        </row>
        <row r="136">
          <cell r="O136">
            <v>0.87815704628300895</v>
          </cell>
          <cell r="P136">
            <v>0.88378324572918199</v>
          </cell>
          <cell r="Q136">
            <v>0.88336319318534895</v>
          </cell>
          <cell r="U136">
            <v>1.4007575064744701E-3</v>
          </cell>
          <cell r="V136">
            <v>8.4735653042707602E-3</v>
          </cell>
          <cell r="W136">
            <v>7.3556037180116203E-3</v>
          </cell>
          <cell r="Y136">
            <v>0.87815704628300895</v>
          </cell>
          <cell r="Z136">
            <v>0.88378324572918199</v>
          </cell>
          <cell r="AA136">
            <v>0.88336319318534895</v>
          </cell>
          <cell r="AE136">
            <v>1.4007575064744701E-3</v>
          </cell>
          <cell r="AF136">
            <v>8.4735653042707602E-3</v>
          </cell>
          <cell r="AG136">
            <v>7.3556037180116203E-3</v>
          </cell>
          <cell r="BJ136">
            <v>1.215524029734778E-2</v>
          </cell>
          <cell r="BV136">
            <v>-9.9217261894517742E-3</v>
          </cell>
          <cell r="BY136">
            <v>2.2335141078960053E-3</v>
          </cell>
        </row>
        <row r="137">
          <cell r="O137">
            <v>0.87815704628300895</v>
          </cell>
          <cell r="P137">
            <v>0.882872272789895</v>
          </cell>
          <cell r="Q137">
            <v>0.88331290904458704</v>
          </cell>
          <cell r="U137">
            <v>-1.61255108515552E-4</v>
          </cell>
          <cell r="V137">
            <v>6.2251344804706297E-3</v>
          </cell>
          <cell r="W137">
            <v>5.74973239437933E-3</v>
          </cell>
          <cell r="Y137">
            <v>0.87815704628300895</v>
          </cell>
          <cell r="Z137">
            <v>0.882872272789895</v>
          </cell>
          <cell r="AA137">
            <v>0.88331290904458704</v>
          </cell>
          <cell r="AE137">
            <v>-1.61255108515552E-4</v>
          </cell>
          <cell r="AF137">
            <v>6.2251344804706297E-3</v>
          </cell>
          <cell r="AG137">
            <v>5.74973239437933E-3</v>
          </cell>
          <cell r="BJ137">
            <v>1.215524029734778E-2</v>
          </cell>
          <cell r="BV137">
            <v>-9.9217261894517742E-3</v>
          </cell>
          <cell r="BY137">
            <v>2.2335141078960053E-3</v>
          </cell>
        </row>
        <row r="138">
          <cell r="O138">
            <v>0.87815704628300895</v>
          </cell>
          <cell r="P138">
            <v>0.88273198426094601</v>
          </cell>
          <cell r="Q138">
            <v>0.88334501317512404</v>
          </cell>
          <cell r="U138">
            <v>-4.4675960099752401E-3</v>
          </cell>
          <cell r="V138">
            <v>8.8749685989660898E-4</v>
          </cell>
          <cell r="W138">
            <v>1.38646635456374E-3</v>
          </cell>
          <cell r="Y138">
            <v>0.87815704628300895</v>
          </cell>
          <cell r="Z138">
            <v>0.88273198426094601</v>
          </cell>
          <cell r="AA138">
            <v>0.88334501317512404</v>
          </cell>
          <cell r="AE138">
            <v>-4.4675960099752401E-3</v>
          </cell>
          <cell r="AF138">
            <v>8.8749685989660898E-4</v>
          </cell>
          <cell r="AG138">
            <v>1.38646635456374E-3</v>
          </cell>
          <cell r="BJ138">
            <v>1.215524029734778E-2</v>
          </cell>
          <cell r="BV138">
            <v>-9.9217261894517742E-3</v>
          </cell>
          <cell r="BY138">
            <v>2.2335141078960053E-3</v>
          </cell>
        </row>
        <row r="139">
          <cell r="O139">
            <v>0.87815704628300895</v>
          </cell>
          <cell r="P139">
            <v>0.882297245989487</v>
          </cell>
          <cell r="Q139">
            <v>0.88337875048082004</v>
          </cell>
          <cell r="U139">
            <v>-5.9076653033456302E-3</v>
          </cell>
          <cell r="V139">
            <v>-7.1148520079914596E-4</v>
          </cell>
          <cell r="W139">
            <v>-1.72584601884589E-5</v>
          </cell>
          <cell r="Y139">
            <v>0.87815704628300895</v>
          </cell>
          <cell r="Z139">
            <v>0.882297245989487</v>
          </cell>
          <cell r="AA139">
            <v>0.88337875048082004</v>
          </cell>
          <cell r="AE139">
            <v>-5.9076653033456302E-3</v>
          </cell>
          <cell r="AF139">
            <v>-7.1148520079914596E-4</v>
          </cell>
          <cell r="AG139">
            <v>-1.72584601884589E-5</v>
          </cell>
          <cell r="BJ139">
            <v>1.215524029734778E-2</v>
          </cell>
          <cell r="BV139">
            <v>-9.9217261894517742E-3</v>
          </cell>
          <cell r="BY139">
            <v>2.2335141078960053E-3</v>
          </cell>
        </row>
        <row r="140">
          <cell r="O140">
            <v>0.87815704628300895</v>
          </cell>
          <cell r="P140">
            <v>0.88249434840899599</v>
          </cell>
          <cell r="Q140">
            <v>0.88341423723072499</v>
          </cell>
          <cell r="U140">
            <v>-7.8096746547263998E-3</v>
          </cell>
          <cell r="V140">
            <v>-3.1061076747272601E-3</v>
          </cell>
          <cell r="W140">
            <v>-1.8810758696317E-3</v>
          </cell>
          <cell r="Y140">
            <v>0.87815704628300895</v>
          </cell>
          <cell r="Z140">
            <v>0.88249434840899599</v>
          </cell>
          <cell r="AA140">
            <v>0.88341423723072499</v>
          </cell>
          <cell r="AE140">
            <v>-7.8096746547263998E-3</v>
          </cell>
          <cell r="AF140">
            <v>-3.1061076747272601E-3</v>
          </cell>
          <cell r="AG140">
            <v>-1.8810758696317E-3</v>
          </cell>
          <cell r="BJ140">
            <v>1.215524029734778E-2</v>
          </cell>
          <cell r="BV140">
            <v>-9.9217261894517742E-3</v>
          </cell>
          <cell r="BY140">
            <v>2.2335141078960053E-3</v>
          </cell>
        </row>
        <row r="141">
          <cell r="O141">
            <v>0.87815704628300895</v>
          </cell>
          <cell r="P141">
            <v>0.88264283144567901</v>
          </cell>
          <cell r="Q141">
            <v>0.88357335066030296</v>
          </cell>
          <cell r="U141">
            <v>-9.3273246794275608E-3</v>
          </cell>
          <cell r="V141">
            <v>-4.4003858055975502E-3</v>
          </cell>
          <cell r="W141">
            <v>-3.3585550875019298E-3</v>
          </cell>
          <cell r="Y141">
            <v>0.87815704628300895</v>
          </cell>
          <cell r="Z141">
            <v>0.88264283144567901</v>
          </cell>
          <cell r="AA141">
            <v>0.88357335066030296</v>
          </cell>
          <cell r="AE141">
            <v>-9.3273246794275608E-3</v>
          </cell>
          <cell r="AF141">
            <v>-4.4003858055975502E-3</v>
          </cell>
          <cell r="AG141">
            <v>-3.3585550875019298E-3</v>
          </cell>
          <cell r="BJ141">
            <v>1.215524029734778E-2</v>
          </cell>
          <cell r="BV141">
            <v>-9.9217261894517742E-3</v>
          </cell>
          <cell r="BY141">
            <v>2.2335141078960053E-3</v>
          </cell>
        </row>
        <row r="142">
          <cell r="O142">
            <v>0.87815704628300895</v>
          </cell>
          <cell r="P142">
            <v>0.88261887132717798</v>
          </cell>
          <cell r="Q142">
            <v>0.88348129607167902</v>
          </cell>
          <cell r="U142">
            <v>-5.0469441391731099E-3</v>
          </cell>
          <cell r="V142">
            <v>4.8234391866661901E-5</v>
          </cell>
          <cell r="W142">
            <v>1.1019211490645401E-3</v>
          </cell>
          <cell r="Y142">
            <v>0.87815704628300895</v>
          </cell>
          <cell r="Z142">
            <v>0.88261887132717798</v>
          </cell>
          <cell r="AA142">
            <v>0.88348129607167902</v>
          </cell>
          <cell r="AE142">
            <v>-5.0469441391731099E-3</v>
          </cell>
          <cell r="AF142">
            <v>4.8234391866661901E-5</v>
          </cell>
          <cell r="AG142">
            <v>1.1019211490645401E-3</v>
          </cell>
          <cell r="BJ142">
            <v>1.215524029734778E-2</v>
          </cell>
          <cell r="BV142">
            <v>-9.9217261894517742E-3</v>
          </cell>
          <cell r="BY142">
            <v>2.2335141078960053E-3</v>
          </cell>
        </row>
        <row r="143">
          <cell r="O143">
            <v>0.87815704628300895</v>
          </cell>
          <cell r="P143">
            <v>0.882603834211236</v>
          </cell>
          <cell r="Q143">
            <v>0.88353736452981302</v>
          </cell>
          <cell r="U143">
            <v>-8.7616338476287497E-3</v>
          </cell>
          <cell r="V143">
            <v>-3.6936015674422498E-3</v>
          </cell>
          <cell r="W143">
            <v>-2.7169584200475699E-3</v>
          </cell>
          <cell r="Y143">
            <v>0.87815704628300895</v>
          </cell>
          <cell r="Z143">
            <v>0.882603834211236</v>
          </cell>
          <cell r="AA143">
            <v>0.88353736452981302</v>
          </cell>
          <cell r="AE143">
            <v>-8.7616338476287497E-3</v>
          </cell>
          <cell r="AF143">
            <v>-3.6936015674422498E-3</v>
          </cell>
          <cell r="AG143">
            <v>-2.7169584200475699E-3</v>
          </cell>
          <cell r="BJ143">
            <v>1.215524029734778E-2</v>
          </cell>
          <cell r="BV143">
            <v>-9.9217261894517742E-3</v>
          </cell>
          <cell r="BY143">
            <v>2.2335141078960053E-3</v>
          </cell>
        </row>
        <row r="144">
          <cell r="O144">
            <v>0.87815704628300895</v>
          </cell>
          <cell r="P144">
            <v>0.88252390252283097</v>
          </cell>
          <cell r="Q144">
            <v>0.88344117272094402</v>
          </cell>
          <cell r="U144">
            <v>-5.4608936136169902E-3</v>
          </cell>
          <cell r="V144">
            <v>-4.0989840857684798E-4</v>
          </cell>
          <cell r="W144">
            <v>6.4724289607150803E-4</v>
          </cell>
          <cell r="Y144">
            <v>0.87815704628300895</v>
          </cell>
          <cell r="Z144">
            <v>0.88252390252283097</v>
          </cell>
          <cell r="AA144">
            <v>0.88344117272094402</v>
          </cell>
          <cell r="AE144">
            <v>-5.4608936136169902E-3</v>
          </cell>
          <cell r="AF144">
            <v>-4.0989840857684798E-4</v>
          </cell>
          <cell r="AG144">
            <v>6.4724289607150803E-4</v>
          </cell>
          <cell r="BJ144">
            <v>1.215524029734778E-2</v>
          </cell>
          <cell r="BV144">
            <v>-9.9217261894517742E-3</v>
          </cell>
          <cell r="BY144">
            <v>2.2335141078960053E-3</v>
          </cell>
        </row>
        <row r="145">
          <cell r="O145">
            <v>0.87815704628300895</v>
          </cell>
          <cell r="P145">
            <v>0.882688827743073</v>
          </cell>
          <cell r="Q145">
            <v>0.88353946331923405</v>
          </cell>
          <cell r="U145">
            <v>-5.87718446816841E-3</v>
          </cell>
          <cell r="V145">
            <v>-9.1675685979126197E-4</v>
          </cell>
          <cell r="W145">
            <v>1.22074874156747E-4</v>
          </cell>
          <cell r="Y145">
            <v>0.87815704628300895</v>
          </cell>
          <cell r="Z145">
            <v>0.882688827743073</v>
          </cell>
          <cell r="AA145">
            <v>0.88353946331923405</v>
          </cell>
          <cell r="AE145">
            <v>-5.87718446816841E-3</v>
          </cell>
          <cell r="AF145">
            <v>-9.1675685979126197E-4</v>
          </cell>
          <cell r="AG145">
            <v>1.22074874156747E-4</v>
          </cell>
          <cell r="BJ145">
            <v>1.215524029734778E-2</v>
          </cell>
          <cell r="BV145">
            <v>-9.9217261894517742E-3</v>
          </cell>
          <cell r="BY145">
            <v>2.2335141078960053E-3</v>
          </cell>
        </row>
        <row r="146">
          <cell r="O146">
            <v>0.87815704628300895</v>
          </cell>
          <cell r="P146">
            <v>0.88313163873022305</v>
          </cell>
          <cell r="Q146">
            <v>0.88345744222970202</v>
          </cell>
          <cell r="U146">
            <v>-3.63610781385511E-3</v>
          </cell>
          <cell r="V146">
            <v>1.5111813754450599E-3</v>
          </cell>
          <cell r="W146">
            <v>2.4744041323606601E-3</v>
          </cell>
          <cell r="Y146">
            <v>0.87815704628300895</v>
          </cell>
          <cell r="Z146">
            <v>0.88313163873022305</v>
          </cell>
          <cell r="AA146">
            <v>0.88345744222970202</v>
          </cell>
          <cell r="AE146">
            <v>-3.63610781385511E-3</v>
          </cell>
          <cell r="AF146">
            <v>1.5111813754450599E-3</v>
          </cell>
          <cell r="AG146">
            <v>2.4744041323606601E-3</v>
          </cell>
          <cell r="BJ146">
            <v>1.215524029734778E-2</v>
          </cell>
          <cell r="BV146">
            <v>-9.9217261894517742E-3</v>
          </cell>
          <cell r="BY146">
            <v>2.2335141078960053E-3</v>
          </cell>
        </row>
        <row r="147">
          <cell r="O147">
            <v>0.87815704628300895</v>
          </cell>
          <cell r="P147">
            <v>0.88319104558553696</v>
          </cell>
          <cell r="Q147">
            <v>0.88303165918771598</v>
          </cell>
          <cell r="U147">
            <v>-8.3741204425170598E-4</v>
          </cell>
          <cell r="V147">
            <v>4.8114128388964004E-3</v>
          </cell>
          <cell r="W147">
            <v>5.1802631920258302E-3</v>
          </cell>
          <cell r="Y147">
            <v>0.87815704628300895</v>
          </cell>
          <cell r="Z147">
            <v>0.88319104558553696</v>
          </cell>
          <cell r="AA147">
            <v>0.88303165918771598</v>
          </cell>
          <cell r="AE147">
            <v>-8.3741204425170598E-4</v>
          </cell>
          <cell r="AF147">
            <v>4.8114128388964004E-3</v>
          </cell>
          <cell r="AG147">
            <v>5.1802631920258302E-3</v>
          </cell>
          <cell r="BJ147">
            <v>1.215524029734778E-2</v>
          </cell>
          <cell r="BV147">
            <v>-9.9217261894517742E-3</v>
          </cell>
          <cell r="BY147">
            <v>2.2335141078960053E-3</v>
          </cell>
        </row>
        <row r="148">
          <cell r="O148">
            <v>0.87815704628300895</v>
          </cell>
          <cell r="P148">
            <v>0.88235988879531002</v>
          </cell>
          <cell r="Q148">
            <v>0.88254593652812796</v>
          </cell>
          <cell r="U148">
            <v>4.9996722621786401E-3</v>
          </cell>
          <cell r="V148">
            <v>1.0715763286292399E-2</v>
          </cell>
          <cell r="W148">
            <v>1.0535280499129799E-2</v>
          </cell>
          <cell r="Y148">
            <v>0.87815704628300895</v>
          </cell>
          <cell r="Z148">
            <v>0.88235988879531002</v>
          </cell>
          <cell r="AA148">
            <v>0.88254593652812796</v>
          </cell>
          <cell r="AE148">
            <v>4.9996722621786401E-3</v>
          </cell>
          <cell r="AF148">
            <v>1.0715763286292399E-2</v>
          </cell>
          <cell r="AG148">
            <v>1.0535280499129799E-2</v>
          </cell>
          <cell r="BJ148">
            <v>1.215524029734778E-2</v>
          </cell>
          <cell r="BV148">
            <v>-9.9217261894517742E-3</v>
          </cell>
          <cell r="BY148">
            <v>2.2335141078960053E-3</v>
          </cell>
        </row>
        <row r="149">
          <cell r="O149">
            <v>0.87815704628300895</v>
          </cell>
          <cell r="P149">
            <v>0.88173892482462102</v>
          </cell>
          <cell r="Q149">
            <v>0.88201808540705395</v>
          </cell>
          <cell r="U149">
            <v>1.14672503152038E-3</v>
          </cell>
          <cell r="V149">
            <v>5.9212891526812398E-3</v>
          </cell>
          <cell r="W149">
            <v>6.1321193633784299E-3</v>
          </cell>
          <cell r="Y149">
            <v>0.87815704628300895</v>
          </cell>
          <cell r="Z149">
            <v>0.88173892482462102</v>
          </cell>
          <cell r="AA149">
            <v>0.88201808540705395</v>
          </cell>
          <cell r="AE149">
            <v>1.14672503152038E-3</v>
          </cell>
          <cell r="AF149">
            <v>5.9212891526812398E-3</v>
          </cell>
          <cell r="AG149">
            <v>6.1321193633784299E-3</v>
          </cell>
          <cell r="BJ149">
            <v>1.215524029734778E-2</v>
          </cell>
          <cell r="BV149">
            <v>-9.9217261894517742E-3</v>
          </cell>
          <cell r="BY149">
            <v>2.2335141078960053E-3</v>
          </cell>
        </row>
        <row r="150">
          <cell r="O150">
            <v>0.87815704628300895</v>
          </cell>
          <cell r="P150">
            <v>0.88083436884811195</v>
          </cell>
          <cell r="Q150">
            <v>0.88166435862855397</v>
          </cell>
          <cell r="U150">
            <v>2.4633993888025399E-3</v>
          </cell>
          <cell r="V150">
            <v>6.5339621336884699E-3</v>
          </cell>
          <cell r="W150">
            <v>6.8505143380395298E-3</v>
          </cell>
          <cell r="Y150">
            <v>0.87815704628300895</v>
          </cell>
          <cell r="Z150">
            <v>0.88083436884811195</v>
          </cell>
          <cell r="AA150">
            <v>0.88166435862855397</v>
          </cell>
          <cell r="AE150">
            <v>2.4633993888025399E-3</v>
          </cell>
          <cell r="AF150">
            <v>6.5339621336884699E-3</v>
          </cell>
          <cell r="AG150">
            <v>6.8505143380395298E-3</v>
          </cell>
          <cell r="BJ150">
            <v>1.215524029734778E-2</v>
          </cell>
          <cell r="BV150">
            <v>-9.9217261894517742E-3</v>
          </cell>
          <cell r="BY150">
            <v>2.2335141078960053E-3</v>
          </cell>
        </row>
        <row r="151">
          <cell r="O151">
            <v>0.87815704628300895</v>
          </cell>
          <cell r="P151">
            <v>0.88008480688027702</v>
          </cell>
          <cell r="Q151">
            <v>0.88136381916297801</v>
          </cell>
          <cell r="U151">
            <v>-8.3498553414331996E-4</v>
          </cell>
          <cell r="V151">
            <v>2.2091733055328599E-3</v>
          </cell>
          <cell r="W151">
            <v>3.1510064301264102E-3</v>
          </cell>
          <cell r="Y151">
            <v>0.87815704628300895</v>
          </cell>
          <cell r="Z151">
            <v>0.88008480688027702</v>
          </cell>
          <cell r="AA151">
            <v>0.88136381916297801</v>
          </cell>
          <cell r="AE151">
            <v>-8.3498553414331996E-4</v>
          </cell>
          <cell r="AF151">
            <v>2.2091733055328599E-3</v>
          </cell>
          <cell r="AG151">
            <v>3.1510064301264102E-3</v>
          </cell>
          <cell r="BJ151">
            <v>1.215524029734778E-2</v>
          </cell>
          <cell r="BV151">
            <v>-9.9217261894517742E-3</v>
          </cell>
          <cell r="BY151">
            <v>2.2335141078960053E-3</v>
          </cell>
        </row>
        <row r="152">
          <cell r="O152">
            <v>0.87815704628300895</v>
          </cell>
          <cell r="P152">
            <v>0.87948631946859401</v>
          </cell>
          <cell r="Q152">
            <v>0.88105259539788605</v>
          </cell>
          <cell r="U152">
            <v>1.75710768772761E-3</v>
          </cell>
          <cell r="V152">
            <v>3.94993612741989E-3</v>
          </cell>
          <cell r="W152">
            <v>5.4021641272307399E-3</v>
          </cell>
          <cell r="Y152">
            <v>0.87815704628300895</v>
          </cell>
          <cell r="Z152">
            <v>0.87948631946859401</v>
          </cell>
          <cell r="AA152">
            <v>0.88105259539788605</v>
          </cell>
          <cell r="AE152">
            <v>1.75710768772761E-3</v>
          </cell>
          <cell r="AF152">
            <v>3.94993612741989E-3</v>
          </cell>
          <cell r="AG152">
            <v>5.4021641272307399E-3</v>
          </cell>
          <cell r="BJ152">
            <v>1.215524029734778E-2</v>
          </cell>
          <cell r="BV152">
            <v>-9.9217261894517742E-3</v>
          </cell>
          <cell r="BY152">
            <v>2.2335141078960053E-3</v>
          </cell>
        </row>
        <row r="153">
          <cell r="O153">
            <v>0.87815704628300895</v>
          </cell>
          <cell r="P153">
            <v>0.87853174019101699</v>
          </cell>
          <cell r="Q153">
            <v>0.88056778720112705</v>
          </cell>
          <cell r="U153">
            <v>2.0722733648078401E-3</v>
          </cell>
          <cell r="V153">
            <v>3.58483668102736E-3</v>
          </cell>
          <cell r="W153">
            <v>5.3641513321226802E-3</v>
          </cell>
          <cell r="Y153">
            <v>0.87815704628300895</v>
          </cell>
          <cell r="Z153">
            <v>0.87853174019101699</v>
          </cell>
          <cell r="AA153">
            <v>0.88056778720112705</v>
          </cell>
          <cell r="AE153">
            <v>2.0722733648078401E-3</v>
          </cell>
          <cell r="AF153">
            <v>3.58483668102736E-3</v>
          </cell>
          <cell r="AG153">
            <v>5.3641513321226802E-3</v>
          </cell>
          <cell r="BJ153">
            <v>1.215524029734778E-2</v>
          </cell>
          <cell r="BV153">
            <v>-9.9217261894517742E-3</v>
          </cell>
          <cell r="BY153">
            <v>2.2335141078960053E-3</v>
          </cell>
        </row>
        <row r="154">
          <cell r="O154">
            <v>0.87815704628300895</v>
          </cell>
          <cell r="P154">
            <v>0.87796466972758103</v>
          </cell>
          <cell r="Q154">
            <v>0.880244286125206</v>
          </cell>
          <cell r="U154">
            <v>9.8215695837629595E-4</v>
          </cell>
          <cell r="V154">
            <v>1.40874807294993E-3</v>
          </cell>
          <cell r="W154">
            <v>3.7236232549503301E-3</v>
          </cell>
          <cell r="Y154">
            <v>0.87815704628300895</v>
          </cell>
          <cell r="Z154">
            <v>0.87796466972758103</v>
          </cell>
          <cell r="AA154">
            <v>0.880244286125206</v>
          </cell>
          <cell r="AE154">
            <v>9.8215695837629595E-4</v>
          </cell>
          <cell r="AF154">
            <v>1.40874807294993E-3</v>
          </cell>
          <cell r="AG154">
            <v>3.7236232549503301E-3</v>
          </cell>
          <cell r="BJ154">
            <v>1.215524029734778E-2</v>
          </cell>
          <cell r="BV154">
            <v>-9.9217261894517742E-3</v>
          </cell>
          <cell r="BY154">
            <v>2.2335141078960053E-3</v>
          </cell>
        </row>
        <row r="155">
          <cell r="O155">
            <v>0.87815704628300895</v>
          </cell>
          <cell r="P155">
            <v>0.87751472540123199</v>
          </cell>
          <cell r="Q155">
            <v>0.88010177657215305</v>
          </cell>
          <cell r="U155">
            <v>-7.7045795321221695E-4</v>
          </cell>
          <cell r="V155">
            <v>-9.8955046194162499E-4</v>
          </cell>
          <cell r="W155">
            <v>1.6035630214435101E-3</v>
          </cell>
          <cell r="Y155">
            <v>0.87815704628300895</v>
          </cell>
          <cell r="Z155">
            <v>0.87751472540123199</v>
          </cell>
          <cell r="AA155">
            <v>0.88010177657215305</v>
          </cell>
          <cell r="AE155">
            <v>-7.7045795321221695E-4</v>
          </cell>
          <cell r="AF155">
            <v>-9.8955046194162499E-4</v>
          </cell>
          <cell r="AG155">
            <v>1.6035630214435101E-3</v>
          </cell>
          <cell r="BJ155">
            <v>1.215524029734778E-2</v>
          </cell>
          <cell r="BV155">
            <v>-9.9217261894517742E-3</v>
          </cell>
          <cell r="BY155">
            <v>2.2335141078960053E-3</v>
          </cell>
        </row>
        <row r="156">
          <cell r="O156">
            <v>0.87815704628300895</v>
          </cell>
          <cell r="P156">
            <v>0.877289894918306</v>
          </cell>
          <cell r="Q156">
            <v>0.88021076682426502</v>
          </cell>
          <cell r="U156">
            <v>-1.08188731964358E-3</v>
          </cell>
          <cell r="V156">
            <v>-1.81359688038744E-3</v>
          </cell>
          <cell r="W156">
            <v>1.1302228167008E-3</v>
          </cell>
          <cell r="Y156">
            <v>0.87815704628300895</v>
          </cell>
          <cell r="Z156">
            <v>0.877289894918306</v>
          </cell>
          <cell r="AA156">
            <v>0.88021076682426502</v>
          </cell>
          <cell r="AE156">
            <v>-1.08188731964358E-3</v>
          </cell>
          <cell r="AF156">
            <v>-1.81359688038744E-3</v>
          </cell>
          <cell r="AG156">
            <v>1.1302228167008E-3</v>
          </cell>
          <cell r="BJ156">
            <v>1.215524029734778E-2</v>
          </cell>
          <cell r="BV156">
            <v>-9.9217261894517742E-3</v>
          </cell>
          <cell r="BY156">
            <v>2.2335141078960053E-3</v>
          </cell>
        </row>
        <row r="157">
          <cell r="O157">
            <v>0.87815704628300895</v>
          </cell>
          <cell r="P157">
            <v>0.87722191899152602</v>
          </cell>
          <cell r="Q157">
            <v>0.88020648228853204</v>
          </cell>
          <cell r="U157">
            <v>-6.3685911920535705E-5</v>
          </cell>
          <cell r="V157">
            <v>-1.05164107579623E-3</v>
          </cell>
          <cell r="W157">
            <v>2.2722547937848799E-3</v>
          </cell>
          <cell r="Y157">
            <v>0.87815704628300895</v>
          </cell>
          <cell r="Z157">
            <v>0.87722191899152602</v>
          </cell>
          <cell r="AA157">
            <v>0.88020648228853204</v>
          </cell>
          <cell r="AE157">
            <v>-6.3685911920535705E-5</v>
          </cell>
          <cell r="AF157">
            <v>-1.05164107579623E-3</v>
          </cell>
          <cell r="AG157">
            <v>2.2722547937848799E-3</v>
          </cell>
          <cell r="BJ157">
            <v>1.215524029734778E-2</v>
          </cell>
          <cell r="BV157">
            <v>-9.9217261894517742E-3</v>
          </cell>
          <cell r="BY157">
            <v>2.2335141078960053E-3</v>
          </cell>
        </row>
        <row r="158">
          <cell r="O158">
            <v>0.87815704628300895</v>
          </cell>
          <cell r="P158">
            <v>0.87760170794432801</v>
          </cell>
          <cell r="Q158">
            <v>0.87998079836981902</v>
          </cell>
          <cell r="U158">
            <v>6.6257323714003402E-4</v>
          </cell>
          <cell r="V158">
            <v>-4.0286892485778798E-4</v>
          </cell>
          <cell r="W158">
            <v>2.9936463062269401E-3</v>
          </cell>
          <cell r="Y158">
            <v>0.87815704628300895</v>
          </cell>
          <cell r="Z158">
            <v>0.87760170794432801</v>
          </cell>
          <cell r="AA158">
            <v>0.87998079836981902</v>
          </cell>
          <cell r="AE158">
            <v>6.6257323714003402E-4</v>
          </cell>
          <cell r="AF158">
            <v>-4.0286892485778798E-4</v>
          </cell>
          <cell r="AG158">
            <v>2.9936463062269401E-3</v>
          </cell>
          <cell r="BJ158">
            <v>1.215524029734778E-2</v>
          </cell>
          <cell r="BV158">
            <v>-9.9217261894517742E-3</v>
          </cell>
          <cell r="BY158">
            <v>2.2335141078960053E-3</v>
          </cell>
        </row>
        <row r="159">
          <cell r="O159">
            <v>0.87815704628300895</v>
          </cell>
          <cell r="P159">
            <v>0.87771843849156905</v>
          </cell>
          <cell r="Q159">
            <v>0.87972868165809504</v>
          </cell>
          <cell r="U159">
            <v>-1.8318275760583101E-4</v>
          </cell>
          <cell r="V159">
            <v>-8.1577348895004397E-4</v>
          </cell>
          <cell r="W159">
            <v>1.89145859830001E-3</v>
          </cell>
          <cell r="Y159">
            <v>0.87815704628300895</v>
          </cell>
          <cell r="Z159">
            <v>0.87771843849156905</v>
          </cell>
          <cell r="AA159">
            <v>0.87972868165809504</v>
          </cell>
          <cell r="AE159">
            <v>-1.8318275760583101E-4</v>
          </cell>
          <cell r="AF159">
            <v>-8.1577348895004397E-4</v>
          </cell>
          <cell r="AG159">
            <v>1.89145859830001E-3</v>
          </cell>
          <cell r="BJ159">
            <v>1.215524029734778E-2</v>
          </cell>
          <cell r="BV159">
            <v>-9.9217261894517742E-3</v>
          </cell>
          <cell r="BY159">
            <v>2.2335141078960053E-3</v>
          </cell>
        </row>
        <row r="160">
          <cell r="O160">
            <v>0.87815704628300895</v>
          </cell>
          <cell r="P160">
            <v>0.87789262345644103</v>
          </cell>
          <cell r="Q160">
            <v>0.87936349615227605</v>
          </cell>
          <cell r="U160">
            <v>4.7695279777230302E-4</v>
          </cell>
          <cell r="V160">
            <v>-2.2635930887708499E-5</v>
          </cell>
          <cell r="W160">
            <v>2.2650505891747101E-3</v>
          </cell>
          <cell r="Y160">
            <v>0.87815704628300895</v>
          </cell>
          <cell r="Z160">
            <v>0.87789262345644103</v>
          </cell>
          <cell r="AA160">
            <v>0.87936349615227605</v>
          </cell>
          <cell r="AE160">
            <v>4.7695279777230302E-4</v>
          </cell>
          <cell r="AF160">
            <v>-2.2635930887708499E-5</v>
          </cell>
          <cell r="AG160">
            <v>2.2650505891747101E-3</v>
          </cell>
          <cell r="BJ160">
            <v>1.215524029734778E-2</v>
          </cell>
          <cell r="BV160">
            <v>-9.9217261894517742E-3</v>
          </cell>
          <cell r="BY160">
            <v>2.2335141078960053E-3</v>
          </cell>
        </row>
        <row r="161">
          <cell r="O161">
            <v>0.87815704628300895</v>
          </cell>
          <cell r="P161">
            <v>0.87793409881985196</v>
          </cell>
          <cell r="Q161">
            <v>0.87900945285006404</v>
          </cell>
          <cell r="U161">
            <v>-1.3067800920952E-3</v>
          </cell>
          <cell r="V161">
            <v>-1.6079365264746201E-3</v>
          </cell>
          <cell r="W161">
            <v>6.6120001686397601E-5</v>
          </cell>
          <cell r="Y161">
            <v>0.87815704628300895</v>
          </cell>
          <cell r="Z161">
            <v>0.87793409881985196</v>
          </cell>
          <cell r="AA161">
            <v>0.87900945285006404</v>
          </cell>
          <cell r="AE161">
            <v>-1.3067800920952E-3</v>
          </cell>
          <cell r="AF161">
            <v>-1.6079365264746201E-3</v>
          </cell>
          <cell r="AG161">
            <v>6.6120001686397601E-5</v>
          </cell>
          <cell r="BJ161">
            <v>1.215524029734778E-2</v>
          </cell>
          <cell r="BV161">
            <v>-9.9217261894517742E-3</v>
          </cell>
          <cell r="BY161">
            <v>2.2335141078960053E-3</v>
          </cell>
        </row>
        <row r="162">
          <cell r="O162">
            <v>0.87815704628300895</v>
          </cell>
          <cell r="P162">
            <v>0.87803290272636003</v>
          </cell>
          <cell r="Q162">
            <v>0.87875961109747702</v>
          </cell>
          <cell r="U162">
            <v>6.3063570500853001E-4</v>
          </cell>
          <cell r="V162">
            <v>3.76722387381437E-4</v>
          </cell>
          <cell r="W162">
            <v>1.60084158400789E-3</v>
          </cell>
          <cell r="Y162">
            <v>0.87815704628300895</v>
          </cell>
          <cell r="Z162">
            <v>0.87803290272636003</v>
          </cell>
          <cell r="AA162">
            <v>0.87875961109747702</v>
          </cell>
          <cell r="AE162">
            <v>6.3063570500853001E-4</v>
          </cell>
          <cell r="AF162">
            <v>3.76722387381437E-4</v>
          </cell>
          <cell r="AG162">
            <v>1.60084158400789E-3</v>
          </cell>
          <cell r="BJ162">
            <v>1.215524029734778E-2</v>
          </cell>
          <cell r="BV162">
            <v>-9.9217261894517742E-3</v>
          </cell>
          <cell r="BY162">
            <v>2.2335141078960053E-3</v>
          </cell>
        </row>
        <row r="163">
          <cell r="O163">
            <v>0.87815704628300895</v>
          </cell>
          <cell r="P163">
            <v>0.87836484841715701</v>
          </cell>
          <cell r="Q163">
            <v>0.878448294304087</v>
          </cell>
          <cell r="U163">
            <v>-1.70843860069469E-3</v>
          </cell>
          <cell r="V163">
            <v>-1.8498168803345401E-3</v>
          </cell>
          <cell r="W163">
            <v>-1.02250414209368E-3</v>
          </cell>
          <cell r="Y163">
            <v>0.87815704628300895</v>
          </cell>
          <cell r="Z163">
            <v>0.87836484841715701</v>
          </cell>
          <cell r="AA163">
            <v>0.878448294304087</v>
          </cell>
          <cell r="AE163">
            <v>-1.70843860069469E-3</v>
          </cell>
          <cell r="AF163">
            <v>-1.8498168803345401E-3</v>
          </cell>
          <cell r="AG163">
            <v>-1.02250414209368E-3</v>
          </cell>
          <cell r="BJ163">
            <v>1.215524029734778E-2</v>
          </cell>
          <cell r="BV163">
            <v>-9.9217261894517742E-3</v>
          </cell>
          <cell r="BY163">
            <v>2.2335141078960053E-3</v>
          </cell>
        </row>
        <row r="164">
          <cell r="O164">
            <v>0.87815704628300895</v>
          </cell>
          <cell r="P164">
            <v>0.87849006080932901</v>
          </cell>
          <cell r="Q164">
            <v>0.87822736526845502</v>
          </cell>
          <cell r="U164">
            <v>-4.4408079169485102E-4</v>
          </cell>
          <cell r="V164">
            <v>-2.0747442117967799E-4</v>
          </cell>
          <cell r="W164">
            <v>-1.12477537375015E-4</v>
          </cell>
          <cell r="Y164">
            <v>0.87815704628300895</v>
          </cell>
          <cell r="Z164">
            <v>0.87849006080932901</v>
          </cell>
          <cell r="AA164">
            <v>0.87822736526845502</v>
          </cell>
          <cell r="AE164">
            <v>-4.4408079169485102E-4</v>
          </cell>
          <cell r="AF164">
            <v>-2.0747442117967799E-4</v>
          </cell>
          <cell r="AG164">
            <v>-1.12477537375015E-4</v>
          </cell>
          <cell r="BJ164">
            <v>1.215524029734778E-2</v>
          </cell>
          <cell r="BV164">
            <v>-9.9217261894517742E-3</v>
          </cell>
          <cell r="BY164">
            <v>2.2335141078960053E-3</v>
          </cell>
        </row>
        <row r="165">
          <cell r="O165">
            <v>0.87815704628300895</v>
          </cell>
          <cell r="P165">
            <v>0.87891358006961495</v>
          </cell>
          <cell r="Q165">
            <v>0.87821415273542303</v>
          </cell>
          <cell r="U165">
            <v>-5.5779880220999702E-3</v>
          </cell>
          <cell r="V165">
            <v>-5.1988401227129897E-3</v>
          </cell>
          <cell r="W165">
            <v>-5.4979155903236597E-3</v>
          </cell>
          <cell r="Y165">
            <v>0.87815704628300895</v>
          </cell>
          <cell r="Z165">
            <v>0.87891358006961495</v>
          </cell>
          <cell r="AA165">
            <v>0.87821415273542303</v>
          </cell>
          <cell r="AE165">
            <v>-5.5779880220999702E-3</v>
          </cell>
          <cell r="AF165">
            <v>-5.1988401227129897E-3</v>
          </cell>
          <cell r="AG165">
            <v>-5.4979155903236597E-3</v>
          </cell>
          <cell r="BJ165">
            <v>1.215524029734778E-2</v>
          </cell>
          <cell r="BV165">
            <v>-9.9217261894517742E-3</v>
          </cell>
          <cell r="BY165">
            <v>2.2335141078960053E-3</v>
          </cell>
        </row>
        <row r="166">
          <cell r="O166">
            <v>0.87815704628300895</v>
          </cell>
          <cell r="P166">
            <v>0.87986938835085304</v>
          </cell>
          <cell r="Q166">
            <v>0.87857964163458002</v>
          </cell>
          <cell r="U166">
            <v>-1.1895689916725599E-2</v>
          </cell>
          <cell r="V166">
            <v>-1.10345590981806E-2</v>
          </cell>
          <cell r="W166">
            <v>-1.18306621452995E-2</v>
          </cell>
          <cell r="Y166">
            <v>0.87815704628300895</v>
          </cell>
          <cell r="Z166">
            <v>0.87986938835085304</v>
          </cell>
          <cell r="AA166">
            <v>0.87857964163458002</v>
          </cell>
          <cell r="AE166">
            <v>-1.1895689916725599E-2</v>
          </cell>
          <cell r="AF166">
            <v>-1.10345590981806E-2</v>
          </cell>
          <cell r="AG166">
            <v>-1.18306621452995E-2</v>
          </cell>
          <cell r="BJ166">
            <v>1.215524029734778E-2</v>
          </cell>
          <cell r="BV166">
            <v>-9.9217261894517742E-3</v>
          </cell>
          <cell r="BY166">
            <v>2.2335141078960053E-3</v>
          </cell>
        </row>
        <row r="167">
          <cell r="O167">
            <v>0.87815704628300895</v>
          </cell>
          <cell r="P167">
            <v>0.88129540274918905</v>
          </cell>
          <cell r="Q167">
            <v>0.87925866087035698</v>
          </cell>
          <cell r="U167">
            <v>-1.6170947781489298E-2</v>
          </cell>
          <cell r="V167">
            <v>-1.4222919497486599E-2</v>
          </cell>
          <cell r="W167">
            <v>-1.5689833721962101E-2</v>
          </cell>
          <cell r="Y167">
            <v>0.87815704628300895</v>
          </cell>
          <cell r="Z167">
            <v>0.88129540274918905</v>
          </cell>
          <cell r="AA167">
            <v>0.87925866087035698</v>
          </cell>
          <cell r="AE167">
            <v>-1.6170947781489298E-2</v>
          </cell>
          <cell r="AF167">
            <v>-1.4222919497486599E-2</v>
          </cell>
          <cell r="AG167">
            <v>-1.5689833721962101E-2</v>
          </cell>
          <cell r="BJ167">
            <v>1.215524029734778E-2</v>
          </cell>
          <cell r="BV167">
            <v>-9.9217261894517742E-3</v>
          </cell>
          <cell r="BY167">
            <v>2.2335141078960053E-3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3CA2-D8AB-4561-8A03-E7CDFA083DBF}">
  <dimension ref="A1:CZ176"/>
  <sheetViews>
    <sheetView tabSelected="1" topLeftCell="BW1" workbookViewId="0">
      <selection activeCell="CH20" sqref="CH20"/>
    </sheetView>
  </sheetViews>
  <sheetFormatPr defaultRowHeight="14.4" x14ac:dyDescent="0.3"/>
  <cols>
    <col min="1" max="1" width="9.33203125" bestFit="1" customWidth="1"/>
    <col min="2" max="3" width="10.6640625" style="21" bestFit="1" customWidth="1"/>
    <col min="4" max="4" width="10.5546875" style="22" bestFit="1" customWidth="1"/>
    <col min="5" max="5" width="11.6640625" style="22" bestFit="1" customWidth="1"/>
    <col min="6" max="6" width="9.33203125" style="21" bestFit="1" customWidth="1"/>
    <col min="7" max="7" width="17" style="21" bestFit="1" customWidth="1"/>
    <col min="8" max="8" width="10.44140625" style="21" bestFit="1" customWidth="1"/>
    <col min="9" max="9" width="18.21875" style="21" bestFit="1" customWidth="1"/>
    <col min="10" max="10" width="19.44140625" style="21" bestFit="1" customWidth="1"/>
    <col min="11" max="11" width="20.5546875" style="21" bestFit="1" customWidth="1"/>
    <col min="12" max="13" width="10.6640625" style="21" bestFit="1" customWidth="1"/>
    <col min="14" max="14" width="12.33203125" style="23" bestFit="1" customWidth="1"/>
    <col min="15" max="15" width="15.5546875" style="23" bestFit="1" customWidth="1"/>
    <col min="16" max="17" width="19" style="23" bestFit="1" customWidth="1"/>
    <col min="18" max="18" width="10.77734375" style="21" bestFit="1" customWidth="1"/>
    <col min="19" max="20" width="14.21875" style="21" bestFit="1" customWidth="1"/>
    <col min="21" max="21" width="22.21875" style="22" bestFit="1" customWidth="1"/>
    <col min="22" max="23" width="25.6640625" style="22" bestFit="1" customWidth="1"/>
    <col min="24" max="24" width="14.44140625" style="23" bestFit="1" customWidth="1"/>
    <col min="25" max="25" width="17.6640625" style="23" bestFit="1" customWidth="1"/>
    <col min="26" max="27" width="21" style="23" bestFit="1" customWidth="1"/>
    <col min="28" max="28" width="11.77734375" style="21" bestFit="1" customWidth="1"/>
    <col min="29" max="30" width="15.21875" style="21" bestFit="1" customWidth="1"/>
    <col min="31" max="31" width="24.21875" style="22" bestFit="1" customWidth="1"/>
    <col min="32" max="33" width="27.6640625" style="22" bestFit="1" customWidth="1"/>
    <col min="52" max="52" width="7.21875" style="5" bestFit="1" customWidth="1"/>
    <col min="53" max="53" width="6.77734375" style="5" bestFit="1" customWidth="1"/>
    <col min="54" max="54" width="5.77734375" bestFit="1" customWidth="1"/>
    <col min="55" max="55" width="4.5546875" bestFit="1" customWidth="1"/>
    <col min="56" max="56" width="4.88671875" bestFit="1" customWidth="1"/>
    <col min="57" max="57" width="7.33203125" bestFit="1" customWidth="1"/>
    <col min="58" max="58" width="7.77734375" bestFit="1" customWidth="1"/>
    <col min="59" max="59" width="10.5546875" bestFit="1" customWidth="1"/>
    <col min="60" max="60" width="11.6640625" bestFit="1" customWidth="1"/>
    <col min="61" max="61" width="6.77734375" bestFit="1" customWidth="1"/>
    <col min="62" max="62" width="12" bestFit="1" customWidth="1"/>
    <col min="64" max="64" width="7.21875" style="5" bestFit="1" customWidth="1"/>
    <col min="65" max="65" width="6.109375" style="5" bestFit="1" customWidth="1"/>
    <col min="66" max="66" width="4.5546875" bestFit="1" customWidth="1"/>
    <col min="67" max="67" width="5.77734375" bestFit="1" customWidth="1"/>
    <col min="68" max="68" width="4.88671875" bestFit="1" customWidth="1"/>
    <col min="69" max="69" width="7.33203125" bestFit="1" customWidth="1"/>
    <col min="70" max="70" width="7.77734375" bestFit="1" customWidth="1"/>
    <col min="71" max="71" width="10.5546875" bestFit="1" customWidth="1"/>
    <col min="72" max="72" width="11.6640625" bestFit="1" customWidth="1"/>
    <col min="73" max="73" width="6.77734375" bestFit="1" customWidth="1"/>
    <col min="74" max="74" width="12.6640625" bestFit="1" customWidth="1"/>
    <col min="76" max="76" width="6.77734375" bestFit="1" customWidth="1"/>
    <col min="77" max="77" width="12" bestFit="1" customWidth="1"/>
    <col min="90" max="90" width="6.77734375" bestFit="1" customWidth="1"/>
    <col min="91" max="91" width="6.109375" bestFit="1" customWidth="1"/>
    <col min="92" max="98" width="6.77734375" bestFit="1" customWidth="1"/>
    <col min="99" max="99" width="5.21875" bestFit="1" customWidth="1"/>
    <col min="100" max="100" width="4" bestFit="1" customWidth="1"/>
    <col min="101" max="101" width="5.5546875" bestFit="1" customWidth="1"/>
  </cols>
  <sheetData>
    <row r="1" spans="1:104" s="2" customFormat="1" x14ac:dyDescent="0.3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Z1" s="3"/>
      <c r="BA1" s="3"/>
      <c r="BB1" s="3"/>
      <c r="BC1" s="3"/>
      <c r="BD1" s="3"/>
      <c r="BE1" s="3"/>
      <c r="BF1" s="3"/>
      <c r="BJ1" s="4">
        <f>BJ167</f>
        <v>4.1861007866058404E-2</v>
      </c>
      <c r="BK1" s="3"/>
      <c r="BL1" s="3"/>
      <c r="BM1" s="3"/>
      <c r="BN1" s="3"/>
      <c r="BO1" s="3"/>
      <c r="BP1" s="3"/>
      <c r="BQ1" s="3"/>
      <c r="BR1" s="3"/>
      <c r="BV1" s="4">
        <f>BV167</f>
        <v>3.0025547664535815E-2</v>
      </c>
      <c r="BW1" s="3"/>
      <c r="BX1" s="3"/>
      <c r="BY1" s="4">
        <f>BY167</f>
        <v>7.1886555530594212E-2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</row>
    <row r="2" spans="1:104" x14ac:dyDescent="0.3">
      <c r="A2" s="1">
        <v>46024</v>
      </c>
      <c r="B2" s="21">
        <v>373.3</v>
      </c>
      <c r="C2" s="21">
        <v>313.69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373.3</v>
      </c>
      <c r="M2" s="21">
        <v>313.69</v>
      </c>
      <c r="N2" s="23">
        <v>0.84031609965175402</v>
      </c>
      <c r="O2" s="23">
        <v>0.90525826694812095</v>
      </c>
      <c r="X2" s="23">
        <v>0.84031609965175402</v>
      </c>
      <c r="Y2" s="23">
        <v>0.90571436398272598</v>
      </c>
    </row>
    <row r="3" spans="1:104" x14ac:dyDescent="0.3">
      <c r="A3" s="1">
        <v>46027</v>
      </c>
      <c r="B3" s="21">
        <v>377.59</v>
      </c>
      <c r="C3" s="21">
        <v>318.06</v>
      </c>
      <c r="D3" s="22">
        <v>1.14265649492777E-2</v>
      </c>
      <c r="E3" s="22">
        <v>1.38348071292926E-2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377.59</v>
      </c>
      <c r="M3" s="21">
        <v>318.06</v>
      </c>
      <c r="N3" s="23">
        <v>0.84234222304616102</v>
      </c>
      <c r="O3" s="23">
        <v>0.90525826694812095</v>
      </c>
      <c r="R3" s="21">
        <v>341.81646901694103</v>
      </c>
      <c r="U3" s="22">
        <v>7.2033908490552301E-2</v>
      </c>
      <c r="X3" s="23">
        <v>0.84234222304616102</v>
      </c>
      <c r="Y3" s="23">
        <v>0.90571436398272598</v>
      </c>
      <c r="AB3" s="21">
        <v>341.98868669623698</v>
      </c>
      <c r="AE3" s="22">
        <v>7.2537612452122993E-2</v>
      </c>
      <c r="CL3" s="6">
        <f>BJ11</f>
        <v>2.3719206909613835</v>
      </c>
      <c r="CM3" s="7">
        <v>0</v>
      </c>
      <c r="CN3" s="7">
        <f>CM3-0.005</f>
        <v>-5.0000000000000001E-3</v>
      </c>
      <c r="CO3" s="7">
        <f t="shared" ref="CO3:CT3" si="0">CN3-0.005</f>
        <v>-0.01</v>
      </c>
      <c r="CP3" s="7">
        <f t="shared" si="0"/>
        <v>-1.4999999999999999E-2</v>
      </c>
      <c r="CQ3" s="7">
        <f t="shared" si="0"/>
        <v>-0.02</v>
      </c>
      <c r="CR3" s="7">
        <f t="shared" si="0"/>
        <v>-2.5000000000000001E-2</v>
      </c>
      <c r="CS3" s="7">
        <f t="shared" si="0"/>
        <v>-3.0000000000000002E-2</v>
      </c>
      <c r="CT3" s="7">
        <f t="shared" si="0"/>
        <v>-3.5000000000000003E-2</v>
      </c>
      <c r="CU3" t="s">
        <v>33</v>
      </c>
    </row>
    <row r="4" spans="1:104" x14ac:dyDescent="0.3">
      <c r="A4" s="1">
        <v>46028</v>
      </c>
      <c r="B4" s="21">
        <v>387.62</v>
      </c>
      <c r="C4" s="21">
        <v>328.35</v>
      </c>
      <c r="D4" s="22">
        <v>2.62165274027856E-2</v>
      </c>
      <c r="E4" s="22">
        <v>3.1840068409211997E-2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387.62</v>
      </c>
      <c r="M4" s="21">
        <v>328.35</v>
      </c>
      <c r="N4" s="23">
        <v>0.84709251328620805</v>
      </c>
      <c r="O4" s="23">
        <v>0.90525826694812095</v>
      </c>
      <c r="R4" s="21">
        <v>350.89620943442998</v>
      </c>
      <c r="U4" s="22">
        <v>6.6410367484126001E-2</v>
      </c>
      <c r="X4" s="23">
        <v>0.84709251328620805</v>
      </c>
      <c r="Y4" s="23">
        <v>0.90571436398272598</v>
      </c>
      <c r="AB4" s="21">
        <v>351.07300176698402</v>
      </c>
      <c r="AE4" s="22">
        <v>6.6914071445696693E-2</v>
      </c>
      <c r="CL4" s="7">
        <v>0</v>
      </c>
      <c r="CM4" s="8">
        <f t="dataTable" ref="CM4:CT11" dt2D="1" dtr="1" r1="BA20" r2="BA21"/>
        <v>-1.2744222528931799</v>
      </c>
      <c r="CN4" s="8">
        <v>-1.1452186968681601</v>
      </c>
      <c r="CO4" s="8">
        <v>-1.4335701816076698</v>
      </c>
      <c r="CP4" s="8">
        <v>-0.98397178482212122</v>
      </c>
      <c r="CQ4" s="8">
        <v>-0.70895614055646905</v>
      </c>
      <c r="CR4" s="8">
        <v>-0.58357850315881543</v>
      </c>
      <c r="CS4" s="8">
        <v>-0.69504633230560042</v>
      </c>
      <c r="CT4" s="8">
        <v>0.38743655103945729</v>
      </c>
      <c r="CV4" t="s">
        <v>34</v>
      </c>
      <c r="CW4" t="s">
        <v>35</v>
      </c>
    </row>
    <row r="5" spans="1:104" x14ac:dyDescent="0.3">
      <c r="A5" s="1">
        <v>46029</v>
      </c>
      <c r="B5" s="21">
        <v>385.02</v>
      </c>
      <c r="C5" s="21">
        <v>324.89</v>
      </c>
      <c r="D5" s="22">
        <v>-6.7301972821226796E-3</v>
      </c>
      <c r="E5" s="22">
        <v>-1.05934491367398E-2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385.02</v>
      </c>
      <c r="M5" s="21">
        <v>324.89</v>
      </c>
      <c r="N5" s="23">
        <v>0.84382629473793502</v>
      </c>
      <c r="O5" s="23">
        <v>0.90525826694812095</v>
      </c>
      <c r="R5" s="21">
        <v>348.54253794036498</v>
      </c>
      <c r="U5" s="22">
        <v>7.0273619338743307E-2</v>
      </c>
      <c r="X5" s="23">
        <v>0.84382629473793502</v>
      </c>
      <c r="Y5" s="23">
        <v>0.90571436398272598</v>
      </c>
      <c r="AB5" s="21">
        <v>348.71814442062902</v>
      </c>
      <c r="AE5" s="22">
        <v>7.0777323300313805E-2</v>
      </c>
      <c r="CL5" s="7">
        <f>CL4-0.005</f>
        <v>-5.0000000000000001E-3</v>
      </c>
      <c r="CM5" s="8">
        <v>-1.2744222528931799</v>
      </c>
      <c r="CN5" s="8">
        <v>-1.2988407600760519</v>
      </c>
      <c r="CO5" s="8">
        <v>-1.7326259508762596</v>
      </c>
      <c r="CP5" s="8">
        <v>-1.4304913001581536</v>
      </c>
      <c r="CQ5" s="8">
        <v>-1.121177570791237</v>
      </c>
      <c r="CR5" s="9">
        <v>-0.99031335768105222</v>
      </c>
      <c r="CS5" s="8">
        <v>-0.89590701438728249</v>
      </c>
      <c r="CT5" s="8">
        <v>0.16434756371173798</v>
      </c>
      <c r="CV5" t="s">
        <v>36</v>
      </c>
      <c r="CW5" t="s">
        <v>37</v>
      </c>
    </row>
    <row r="6" spans="1:104" x14ac:dyDescent="0.3">
      <c r="A6" s="1">
        <v>46030</v>
      </c>
      <c r="B6" s="21">
        <v>378.98</v>
      </c>
      <c r="C6" s="21">
        <v>319.58</v>
      </c>
      <c r="D6" s="22">
        <v>-1.5811847749010399E-2</v>
      </c>
      <c r="E6" s="22">
        <v>-1.64790297889994E-2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378.98</v>
      </c>
      <c r="M6" s="21">
        <v>319.58</v>
      </c>
      <c r="N6" s="23">
        <v>0.84326349675444601</v>
      </c>
      <c r="O6" s="23">
        <v>0.90525826694812095</v>
      </c>
      <c r="R6" s="21">
        <v>343.07477800799899</v>
      </c>
      <c r="U6" s="22">
        <v>7.0940801378732293E-2</v>
      </c>
      <c r="X6" s="23">
        <v>0.84326349675444601</v>
      </c>
      <c r="Y6" s="23">
        <v>0.90571436398272598</v>
      </c>
      <c r="AB6" s="21">
        <v>343.24762966217298</v>
      </c>
      <c r="AE6" s="22">
        <v>7.1444505340302805E-2</v>
      </c>
      <c r="CL6" s="7">
        <f t="shared" ref="CL6:CL11" si="1">CL5-0.005</f>
        <v>-0.01</v>
      </c>
      <c r="CM6" s="8">
        <v>-1.2744222528931799</v>
      </c>
      <c r="CN6" s="9">
        <v>-1.2988407600760519</v>
      </c>
      <c r="CO6" s="9">
        <v>-1.5923851263567141</v>
      </c>
      <c r="CP6" s="9">
        <v>-1.0644617033700376</v>
      </c>
      <c r="CQ6" s="8">
        <v>-0.74429965809529819</v>
      </c>
      <c r="CR6" s="9">
        <v>-0.26682738971365172</v>
      </c>
      <c r="CS6" s="9">
        <v>-0.28333503082346118</v>
      </c>
      <c r="CT6" s="9">
        <v>1.3170608862200737</v>
      </c>
    </row>
    <row r="7" spans="1:104" x14ac:dyDescent="0.3">
      <c r="A7" s="1">
        <v>46031</v>
      </c>
      <c r="B7" s="21">
        <v>389.22</v>
      </c>
      <c r="C7" s="21">
        <v>328.78</v>
      </c>
      <c r="D7" s="22">
        <v>2.66613032115505E-2</v>
      </c>
      <c r="E7" s="22">
        <v>2.8381200370121699E-2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389.22</v>
      </c>
      <c r="M7" s="21">
        <v>328.78</v>
      </c>
      <c r="N7" s="23">
        <v>0.84471507116797595</v>
      </c>
      <c r="O7" s="23">
        <v>0.90525826694812095</v>
      </c>
      <c r="R7" s="21">
        <v>352.34462266154799</v>
      </c>
      <c r="U7" s="22">
        <v>6.9220904220161097E-2</v>
      </c>
      <c r="X7" s="23">
        <v>0.84471507116797595</v>
      </c>
      <c r="Y7" s="23">
        <v>0.90571436398272598</v>
      </c>
      <c r="AB7" s="21">
        <v>352.52214474935602</v>
      </c>
      <c r="AE7" s="22">
        <v>6.9724608181731706E-2</v>
      </c>
      <c r="CL7" s="7">
        <f t="shared" si="1"/>
        <v>-1.4999999999999999E-2</v>
      </c>
      <c r="CM7" s="8">
        <v>-1.2744222528931799</v>
      </c>
      <c r="CN7" s="9">
        <v>-1.2988407600760519</v>
      </c>
      <c r="CO7" s="9">
        <v>-1.5923851263567141</v>
      </c>
      <c r="CP7" s="9">
        <v>-1.4687006377825379E-2</v>
      </c>
      <c r="CQ7" s="9">
        <v>0.69314224475250341</v>
      </c>
      <c r="CR7" s="9">
        <v>0.69500521317377384</v>
      </c>
      <c r="CS7" s="9">
        <v>0.22400152646963406</v>
      </c>
      <c r="CT7" s="9">
        <v>2.3719206909613835</v>
      </c>
    </row>
    <row r="8" spans="1:104" x14ac:dyDescent="0.3">
      <c r="A8" s="1">
        <v>46034</v>
      </c>
      <c r="B8" s="21">
        <v>390.66</v>
      </c>
      <c r="C8" s="21">
        <v>330.35</v>
      </c>
      <c r="D8" s="22">
        <v>3.69288002380672E-3</v>
      </c>
      <c r="E8" s="22">
        <v>4.7638643945304201E-3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390.66</v>
      </c>
      <c r="M8" s="21">
        <v>330.35</v>
      </c>
      <c r="N8" s="23">
        <v>0.84562023242717399</v>
      </c>
      <c r="O8" s="23">
        <v>0.90525826694812095</v>
      </c>
      <c r="R8" s="21">
        <v>353.64819456595302</v>
      </c>
      <c r="U8" s="22">
        <v>6.8149919849437204E-2</v>
      </c>
      <c r="X8" s="23">
        <v>0.84562023242717399</v>
      </c>
      <c r="Y8" s="23">
        <v>0.90571436398272598</v>
      </c>
      <c r="AB8" s="21">
        <v>353.82637343349103</v>
      </c>
      <c r="AE8" s="22">
        <v>6.8653623811007702E-2</v>
      </c>
      <c r="CL8" s="7">
        <f t="shared" si="1"/>
        <v>-0.02</v>
      </c>
      <c r="CM8" s="8">
        <v>-1.2744222528931799</v>
      </c>
      <c r="CN8" s="9">
        <v>-1.2988407600760519</v>
      </c>
      <c r="CO8" s="9">
        <v>-1.5923851263567141</v>
      </c>
      <c r="CP8" s="9">
        <v>-1.4687006377825379E-2</v>
      </c>
      <c r="CQ8" s="9">
        <v>1.8608015578946946</v>
      </c>
      <c r="CR8" s="9">
        <v>1.3603379801554805</v>
      </c>
      <c r="CS8" s="9">
        <v>0.80943790316452213</v>
      </c>
      <c r="CT8" s="9">
        <v>2.3704372899277848</v>
      </c>
    </row>
    <row r="9" spans="1:104" x14ac:dyDescent="0.3">
      <c r="A9" s="1">
        <v>46035</v>
      </c>
      <c r="B9" s="21">
        <v>391.53</v>
      </c>
      <c r="C9" s="21">
        <v>333.3</v>
      </c>
      <c r="D9" s="22">
        <v>2.2245243707200899E-3</v>
      </c>
      <c r="E9" s="22">
        <v>8.8902868377992092E-3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391.53</v>
      </c>
      <c r="M9" s="21">
        <v>333.3</v>
      </c>
      <c r="N9" s="23">
        <v>0.85127576430924801</v>
      </c>
      <c r="O9" s="23">
        <v>0.90525826694812095</v>
      </c>
      <c r="R9" s="21">
        <v>354.43576925819798</v>
      </c>
      <c r="U9" s="22">
        <v>6.1484157382357997E-2</v>
      </c>
      <c r="X9" s="23">
        <v>0.85127576430924801</v>
      </c>
      <c r="Y9" s="23">
        <v>0.90571436398272598</v>
      </c>
      <c r="AB9" s="21">
        <v>354.61434493015599</v>
      </c>
      <c r="AE9" s="22">
        <v>6.1987861343928703E-2</v>
      </c>
      <c r="BJ9" s="10">
        <f>AVERAGE(BI22:BI200)</f>
        <v>2.8671923195930414E-4</v>
      </c>
      <c r="BV9" s="10">
        <f>AVERAGE(BU22:BU200)</f>
        <v>2.0565443605846448E-4</v>
      </c>
      <c r="BY9" s="10">
        <f>AVERAGE(BX22:BX200)</f>
        <v>4.9237366801776854E-4</v>
      </c>
      <c r="CL9" s="7">
        <f t="shared" si="1"/>
        <v>-2.5000000000000001E-2</v>
      </c>
      <c r="CM9" s="8">
        <v>-1.2744222528931799</v>
      </c>
      <c r="CN9" s="9">
        <v>-1.2988407600760519</v>
      </c>
      <c r="CO9" s="9">
        <v>-1.5923851263567141</v>
      </c>
      <c r="CP9" s="9">
        <v>-1.4687006377825379E-2</v>
      </c>
      <c r="CQ9" s="9">
        <v>1.8608015578946946</v>
      </c>
      <c r="CR9" s="9">
        <v>1.6008147496397285</v>
      </c>
      <c r="CS9" s="9">
        <v>0.80943790316452213</v>
      </c>
      <c r="CT9" s="9">
        <v>2.3704372899277848</v>
      </c>
    </row>
    <row r="10" spans="1:104" x14ac:dyDescent="0.3">
      <c r="A10" s="1">
        <v>46036</v>
      </c>
      <c r="B10" s="21">
        <v>388.35</v>
      </c>
      <c r="C10" s="21">
        <v>331.9</v>
      </c>
      <c r="D10" s="22">
        <v>-8.1551459818894802E-3</v>
      </c>
      <c r="E10" s="22">
        <v>-4.2092665877651401E-3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388.35</v>
      </c>
      <c r="M10" s="21">
        <v>331.9</v>
      </c>
      <c r="N10" s="23">
        <v>0.85464143169821005</v>
      </c>
      <c r="O10" s="23">
        <v>0.90525826694812095</v>
      </c>
      <c r="R10" s="21">
        <v>351.55704796930303</v>
      </c>
      <c r="U10" s="22">
        <v>5.7538277988233702E-2</v>
      </c>
      <c r="X10" s="23">
        <v>0.85464143169821005</v>
      </c>
      <c r="Y10" s="23">
        <v>0.90571436398272598</v>
      </c>
      <c r="AB10" s="21">
        <v>351.73417325269099</v>
      </c>
      <c r="AE10" s="22">
        <v>5.8041981949804401E-2</v>
      </c>
      <c r="AZ10" s="11"/>
      <c r="BJ10" s="10">
        <f>STDEV(BI22:BI200)</f>
        <v>1.9189202744117682E-3</v>
      </c>
      <c r="BL10" s="11"/>
      <c r="BV10" s="10">
        <f>STDEV(BU22:BU200)</f>
        <v>1.5079450038126192E-3</v>
      </c>
      <c r="BY10" s="10">
        <f>STDEV(BX22:BX200)</f>
        <v>2.4160731939834338E-3</v>
      </c>
      <c r="CL10" s="7">
        <f t="shared" si="1"/>
        <v>-3.0000000000000002E-2</v>
      </c>
      <c r="CM10" s="8">
        <v>-1.2744222528931799</v>
      </c>
      <c r="CN10" s="9">
        <v>-1.2988407600760519</v>
      </c>
      <c r="CO10" s="9">
        <v>-1.5923851263567141</v>
      </c>
      <c r="CP10" s="9">
        <v>-1.4687006377825379E-2</v>
      </c>
      <c r="CQ10" s="9">
        <v>1.8608015578946946</v>
      </c>
      <c r="CR10" s="9">
        <v>1.6008147496397285</v>
      </c>
      <c r="CS10" s="9">
        <v>0.35927094007419214</v>
      </c>
      <c r="CT10" s="9">
        <v>2.3704372899277848</v>
      </c>
    </row>
    <row r="11" spans="1:104" x14ac:dyDescent="0.3">
      <c r="A11" s="1">
        <v>46037</v>
      </c>
      <c r="B11" s="21">
        <v>396.41</v>
      </c>
      <c r="C11" s="21">
        <v>337.22</v>
      </c>
      <c r="D11" s="22">
        <v>2.0542034315370598E-2</v>
      </c>
      <c r="E11" s="22">
        <v>1.5901817623905599E-2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396.41</v>
      </c>
      <c r="M11" s="21">
        <v>337.22</v>
      </c>
      <c r="N11" s="23">
        <v>0.85068489695012695</v>
      </c>
      <c r="O11" s="23">
        <v>0.90525826694812095</v>
      </c>
      <c r="P11" s="23">
        <v>0.84637780240292404</v>
      </c>
      <c r="R11" s="21">
        <v>358.85342960090497</v>
      </c>
      <c r="U11" s="22">
        <v>6.21784946796985E-2</v>
      </c>
      <c r="X11" s="23">
        <v>0.85068489695012695</v>
      </c>
      <c r="Y11" s="23">
        <v>0.90571436398272598</v>
      </c>
      <c r="Z11" s="23">
        <v>0.84637780240292404</v>
      </c>
      <c r="AB11" s="21">
        <v>359.03423102639198</v>
      </c>
      <c r="AE11" s="22">
        <v>6.2682198641269102E-2</v>
      </c>
      <c r="BJ11">
        <f>SQRT(252)*BJ9/BJ10</f>
        <v>2.3719206909613835</v>
      </c>
      <c r="BV11">
        <f>SQRT(252)*BV9/BV10</f>
        <v>2.164974819846456</v>
      </c>
      <c r="BY11">
        <f>SQRT(252)*BY9/BY10</f>
        <v>3.2350798335142441</v>
      </c>
      <c r="CL11" s="7">
        <f t="shared" si="1"/>
        <v>-3.5000000000000003E-2</v>
      </c>
      <c r="CM11" s="8">
        <v>-1.2744222528931799</v>
      </c>
      <c r="CN11" s="9">
        <v>-1.2988407600760519</v>
      </c>
      <c r="CO11" s="9">
        <v>-1.5923851263567141</v>
      </c>
      <c r="CP11" s="9">
        <v>-1.4687006377825379E-2</v>
      </c>
      <c r="CQ11" s="9">
        <v>1.8608015578946946</v>
      </c>
      <c r="CR11" s="9">
        <v>1.6008147496397285</v>
      </c>
      <c r="CS11" s="9">
        <v>0.35927094007419214</v>
      </c>
      <c r="CT11" s="9">
        <v>1.8576178539928201</v>
      </c>
    </row>
    <row r="12" spans="1:104" x14ac:dyDescent="0.3">
      <c r="A12" s="1">
        <v>46038</v>
      </c>
      <c r="B12" s="21">
        <v>400.39</v>
      </c>
      <c r="C12" s="21">
        <v>342.47</v>
      </c>
      <c r="D12" s="22">
        <v>9.99004292318224E-3</v>
      </c>
      <c r="E12" s="22">
        <v>1.5448526275232801E-2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400.39</v>
      </c>
      <c r="M12" s="21">
        <v>342.47</v>
      </c>
      <c r="N12" s="23">
        <v>0.85534104248357801</v>
      </c>
      <c r="O12" s="23">
        <v>0.90525826694812095</v>
      </c>
      <c r="P12" s="23">
        <v>0.84788029668610598</v>
      </c>
      <c r="R12" s="21">
        <v>362.45635750335799</v>
      </c>
      <c r="S12" s="21">
        <v>338.881208304106</v>
      </c>
      <c r="U12" s="22">
        <v>5.6720011327648097E-2</v>
      </c>
      <c r="V12" s="22">
        <v>-1.0534434637330401E-2</v>
      </c>
      <c r="X12" s="23">
        <v>0.85534104248357801</v>
      </c>
      <c r="Y12" s="23">
        <v>0.90571436398272598</v>
      </c>
      <c r="Z12" s="23">
        <v>0.84788029668610598</v>
      </c>
      <c r="AB12" s="21">
        <v>362.63897419504298</v>
      </c>
      <c r="AC12" s="21">
        <v>338.881208304106</v>
      </c>
      <c r="AE12" s="22">
        <v>5.7223715289218803E-2</v>
      </c>
      <c r="AF12" s="22">
        <v>-1.0534434637330401E-2</v>
      </c>
      <c r="CL12" t="s">
        <v>38</v>
      </c>
    </row>
    <row r="13" spans="1:104" x14ac:dyDescent="0.3">
      <c r="A13" s="1">
        <v>46042</v>
      </c>
      <c r="B13" s="21">
        <v>390.39</v>
      </c>
      <c r="C13" s="21">
        <v>337.35</v>
      </c>
      <c r="D13" s="22">
        <v>-2.5292832647433601E-2</v>
      </c>
      <c r="E13" s="22">
        <v>-1.5063095551632899E-2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390.39</v>
      </c>
      <c r="M13" s="21">
        <v>337.35</v>
      </c>
      <c r="N13" s="23">
        <v>0.86413586413586396</v>
      </c>
      <c r="O13" s="23">
        <v>0.90525826694812095</v>
      </c>
      <c r="P13" s="23">
        <v>0.850059660795077</v>
      </c>
      <c r="R13" s="21">
        <v>353.40377483387698</v>
      </c>
      <c r="S13" s="21">
        <v>331.00398902328902</v>
      </c>
      <c r="U13" s="22">
        <v>4.6490274231847303E-2</v>
      </c>
      <c r="V13" s="22">
        <v>-1.89905403391127E-2</v>
      </c>
      <c r="X13" s="23">
        <v>0.86413586413586396</v>
      </c>
      <c r="Y13" s="23">
        <v>0.90571436398272598</v>
      </c>
      <c r="Z13" s="23">
        <v>0.850059660795077</v>
      </c>
      <c r="AB13" s="21">
        <v>353.58183055521602</v>
      </c>
      <c r="AC13" s="21">
        <v>331.00398902328902</v>
      </c>
      <c r="AE13" s="22">
        <v>4.6993978193418003E-2</v>
      </c>
      <c r="AF13" s="22">
        <v>-1.89905403391127E-2</v>
      </c>
    </row>
    <row r="14" spans="1:104" x14ac:dyDescent="0.3">
      <c r="A14" s="1">
        <v>46043</v>
      </c>
      <c r="B14" s="21">
        <v>401.93</v>
      </c>
      <c r="C14" s="21">
        <v>348.14</v>
      </c>
      <c r="D14" s="22">
        <v>2.91317046467356E-2</v>
      </c>
      <c r="E14" s="22">
        <v>3.1483730651128701E-2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401.93</v>
      </c>
      <c r="M14" s="21">
        <v>348.14</v>
      </c>
      <c r="N14" s="23">
        <v>0.866170726245863</v>
      </c>
      <c r="O14" s="23">
        <v>0.90525826694812095</v>
      </c>
      <c r="P14" s="23">
        <v>0.85196748209104201</v>
      </c>
      <c r="R14" s="21">
        <v>363.85045523445802</v>
      </c>
      <c r="S14" s="21">
        <v>341.66447946336501</v>
      </c>
      <c r="U14" s="22">
        <v>4.4138248227454303E-2</v>
      </c>
      <c r="V14" s="22">
        <v>-1.8775496411292499E-2</v>
      </c>
      <c r="X14" s="23">
        <v>0.866170726245863</v>
      </c>
      <c r="Y14" s="23">
        <v>0.90571436398272598</v>
      </c>
      <c r="Z14" s="23">
        <v>0.85196748209104201</v>
      </c>
      <c r="AB14" s="21">
        <v>364.03377431557698</v>
      </c>
      <c r="AC14" s="21">
        <v>341.66447946336501</v>
      </c>
      <c r="AE14" s="22">
        <v>4.4641952189024899E-2</v>
      </c>
      <c r="AF14" s="22">
        <v>-1.8775496411292499E-2</v>
      </c>
      <c r="CL14" s="6">
        <f>BV11</f>
        <v>2.164974819846456</v>
      </c>
      <c r="CM14" s="7">
        <v>0</v>
      </c>
      <c r="CN14" s="12">
        <f>CM14+0.005</f>
        <v>5.0000000000000001E-3</v>
      </c>
      <c r="CO14" s="12">
        <f t="shared" ref="CO14:CT14" si="2">CN14+0.005</f>
        <v>0.01</v>
      </c>
      <c r="CP14" s="12">
        <f t="shared" si="2"/>
        <v>1.4999999999999999E-2</v>
      </c>
      <c r="CQ14" s="12">
        <f t="shared" si="2"/>
        <v>0.02</v>
      </c>
      <c r="CR14" s="12">
        <f t="shared" si="2"/>
        <v>2.5000000000000001E-2</v>
      </c>
      <c r="CS14" s="12">
        <f t="shared" si="2"/>
        <v>3.0000000000000002E-2</v>
      </c>
      <c r="CT14" s="12">
        <f t="shared" si="2"/>
        <v>3.5000000000000003E-2</v>
      </c>
      <c r="CU14" t="s">
        <v>33</v>
      </c>
    </row>
    <row r="15" spans="1:104" x14ac:dyDescent="0.3">
      <c r="A15" s="1">
        <v>46044</v>
      </c>
      <c r="B15" s="21">
        <v>402.82</v>
      </c>
      <c r="C15" s="21">
        <v>348.67</v>
      </c>
      <c r="D15" s="22">
        <v>2.2118679412239301E-3</v>
      </c>
      <c r="E15" s="22">
        <v>1.5212184159421099E-3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402.82</v>
      </c>
      <c r="M15" s="21">
        <v>348.67</v>
      </c>
      <c r="N15" s="23">
        <v>0.86557271237773703</v>
      </c>
      <c r="O15" s="23">
        <v>0.90525826694812095</v>
      </c>
      <c r="P15" s="23">
        <v>0.85414212385502197</v>
      </c>
      <c r="R15" s="21">
        <v>364.65613509204201</v>
      </c>
      <c r="S15" s="21">
        <v>343.18954113591298</v>
      </c>
      <c r="U15" s="22">
        <v>4.4828897752735998E-2</v>
      </c>
      <c r="V15" s="22">
        <v>-1.5843023536762299E-2</v>
      </c>
      <c r="X15" s="23">
        <v>0.86557271237773703</v>
      </c>
      <c r="Y15" s="23">
        <v>0.90571436398272598</v>
      </c>
      <c r="Z15" s="23">
        <v>0.85414212385502197</v>
      </c>
      <c r="AB15" s="21">
        <v>364.83986009952099</v>
      </c>
      <c r="AC15" s="21">
        <v>343.18954113591298</v>
      </c>
      <c r="AE15" s="22">
        <v>4.5332601714306503E-2</v>
      </c>
      <c r="AF15" s="22">
        <v>-1.5843023536762299E-2</v>
      </c>
      <c r="CL15" s="7">
        <v>0</v>
      </c>
      <c r="CM15" s="8">
        <f t="dataTable" ref="CM15:CT22" dt2D="1" dtr="1" r1="BM20" r2="BM21"/>
        <v>-0.40729599912169867</v>
      </c>
      <c r="CN15" s="9">
        <v>-0.55219987430609974</v>
      </c>
      <c r="CO15" s="9">
        <v>-0.16278697169143666</v>
      </c>
      <c r="CP15" s="9">
        <v>9.743516331761401E-2</v>
      </c>
      <c r="CQ15" s="9">
        <v>-0.15556932945351157</v>
      </c>
      <c r="CR15" s="9">
        <v>0.438972296488507</v>
      </c>
      <c r="CS15" s="9">
        <v>0.438972296488507</v>
      </c>
      <c r="CT15" s="9" t="e">
        <v>#DIV/0!</v>
      </c>
      <c r="CV15" t="s">
        <v>34</v>
      </c>
      <c r="CW15" t="s">
        <v>39</v>
      </c>
    </row>
    <row r="16" spans="1:104" x14ac:dyDescent="0.3">
      <c r="A16" s="1">
        <v>46045</v>
      </c>
      <c r="B16" s="21">
        <v>400.09</v>
      </c>
      <c r="C16" s="21">
        <v>344.71</v>
      </c>
      <c r="D16" s="22">
        <v>-6.8002902454570302E-3</v>
      </c>
      <c r="E16" s="22">
        <v>-1.1422432304517401E-2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400.09</v>
      </c>
      <c r="M16" s="21">
        <v>344.71</v>
      </c>
      <c r="N16" s="23">
        <v>0.86158114424254495</v>
      </c>
      <c r="O16" s="23">
        <v>0.90525826694812095</v>
      </c>
      <c r="P16" s="23">
        <v>0.85597388860383194</v>
      </c>
      <c r="R16" s="21">
        <v>362.18478002327402</v>
      </c>
      <c r="S16" s="21">
        <v>341.73372233315598</v>
      </c>
      <c r="U16" s="22">
        <v>4.94510398117965E-2</v>
      </c>
      <c r="V16" s="22">
        <v>-8.6716397008733005E-3</v>
      </c>
      <c r="X16" s="23">
        <v>0.86158114424254495</v>
      </c>
      <c r="Y16" s="23">
        <v>0.90571436398272598</v>
      </c>
      <c r="Z16" s="23">
        <v>0.85597388860383194</v>
      </c>
      <c r="AB16" s="21">
        <v>362.367259885848</v>
      </c>
      <c r="AC16" s="21">
        <v>341.73372233315598</v>
      </c>
      <c r="AE16" s="22">
        <v>4.9954743773367102E-2</v>
      </c>
      <c r="AF16" s="22">
        <v>-8.6716397008733005E-3</v>
      </c>
      <c r="CL16" s="7">
        <f>CL15+0.005</f>
        <v>5.0000000000000001E-3</v>
      </c>
      <c r="CM16" s="8">
        <v>-0.40729599912169867</v>
      </c>
      <c r="CN16" s="9">
        <v>0.5886994888371897</v>
      </c>
      <c r="CO16" s="9">
        <v>0.28420408932946101</v>
      </c>
      <c r="CP16" s="9">
        <v>0.56598596714056171</v>
      </c>
      <c r="CQ16" s="9">
        <v>1.0189240911986475</v>
      </c>
      <c r="CR16" s="9">
        <v>2.3357460080977579</v>
      </c>
      <c r="CS16" s="9">
        <v>2.2353008884954262</v>
      </c>
      <c r="CT16" s="9" t="e">
        <v>#DIV/0!</v>
      </c>
      <c r="CV16" t="s">
        <v>36</v>
      </c>
      <c r="CW16" t="s">
        <v>40</v>
      </c>
    </row>
    <row r="17" spans="1:98" x14ac:dyDescent="0.3">
      <c r="A17" s="1">
        <v>46048</v>
      </c>
      <c r="B17" s="21">
        <v>398.82</v>
      </c>
      <c r="C17" s="21">
        <v>343.07</v>
      </c>
      <c r="D17" s="22">
        <v>-3.1793345177327402E-3</v>
      </c>
      <c r="E17" s="22">
        <v>-4.7689758592185903E-3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398.82</v>
      </c>
      <c r="M17" s="21">
        <v>343.07</v>
      </c>
      <c r="N17" s="23">
        <v>0.86021262725038805</v>
      </c>
      <c r="O17" s="23">
        <v>0.90525826694812095</v>
      </c>
      <c r="P17" s="23">
        <v>0.85752364421207306</v>
      </c>
      <c r="R17" s="21">
        <v>361.035102024249</v>
      </c>
      <c r="S17" s="21">
        <v>341.37950625297998</v>
      </c>
      <c r="U17" s="22">
        <v>5.1040681153282197E-2</v>
      </c>
      <c r="V17" s="22">
        <v>-4.9397279683597601E-3</v>
      </c>
      <c r="X17" s="23">
        <v>0.86021262725038805</v>
      </c>
      <c r="Y17" s="23">
        <v>0.90571436398272598</v>
      </c>
      <c r="Z17" s="23">
        <v>0.85752364421207306</v>
      </c>
      <c r="AB17" s="21">
        <v>361.21700264358998</v>
      </c>
      <c r="AC17" s="21">
        <v>341.37950625297998</v>
      </c>
      <c r="AE17" s="22">
        <v>5.1544385114852799E-2</v>
      </c>
      <c r="AF17" s="22">
        <v>-4.9397279683597601E-3</v>
      </c>
      <c r="CL17" s="7">
        <f t="shared" ref="CL17:CL22" si="3">CL16+0.005</f>
        <v>0.01</v>
      </c>
      <c r="CM17" s="8">
        <v>-0.40729599912169867</v>
      </c>
      <c r="CN17" s="9">
        <v>0.5886994888371897</v>
      </c>
      <c r="CO17" s="9">
        <v>0.37048140688769288</v>
      </c>
      <c r="CP17" s="9">
        <v>0.65045761255532075</v>
      </c>
      <c r="CQ17" s="9">
        <v>0.60246154821416442</v>
      </c>
      <c r="CR17" s="9">
        <v>2.164974819846456</v>
      </c>
      <c r="CS17" s="9">
        <v>1.8910768704243024</v>
      </c>
      <c r="CT17" s="9" t="e">
        <v>#DIV/0!</v>
      </c>
    </row>
    <row r="18" spans="1:98" x14ac:dyDescent="0.3">
      <c r="A18" s="1">
        <v>46049</v>
      </c>
      <c r="B18" s="21">
        <v>407.25</v>
      </c>
      <c r="C18" s="21">
        <v>351.08</v>
      </c>
      <c r="D18" s="22">
        <v>2.0917060200608899E-2</v>
      </c>
      <c r="E18" s="22">
        <v>2.30796097471474E-2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407.25</v>
      </c>
      <c r="M18" s="21">
        <v>351.08</v>
      </c>
      <c r="N18" s="23">
        <v>0.86207489257212999</v>
      </c>
      <c r="O18" s="23">
        <v>0.90525826694812095</v>
      </c>
      <c r="P18" s="23">
        <v>0.85916911022656905</v>
      </c>
      <c r="R18" s="21">
        <v>368.66642921462199</v>
      </c>
      <c r="S18" s="21">
        <v>349.22650410536698</v>
      </c>
      <c r="U18" s="22">
        <v>4.8878131606743903E-2</v>
      </c>
      <c r="V18" s="22">
        <v>-5.2933971387853999E-3</v>
      </c>
      <c r="X18" s="23">
        <v>0.86207489257212999</v>
      </c>
      <c r="Y18" s="23">
        <v>0.90571436398272598</v>
      </c>
      <c r="Z18" s="23">
        <v>0.85916911022656905</v>
      </c>
      <c r="AB18" s="21">
        <v>368.85217473196502</v>
      </c>
      <c r="AC18" s="21">
        <v>349.22650410536698</v>
      </c>
      <c r="AE18" s="22">
        <v>4.9381835568314499E-2</v>
      </c>
      <c r="AF18" s="22">
        <v>-5.2933971387853999E-3</v>
      </c>
      <c r="CL18" s="7">
        <f t="shared" si="3"/>
        <v>1.4999999999999999E-2</v>
      </c>
      <c r="CM18" s="8">
        <v>-0.40729599912169867</v>
      </c>
      <c r="CN18" s="9">
        <v>0.5886994888371897</v>
      </c>
      <c r="CO18" s="9">
        <v>0.37048140688769288</v>
      </c>
      <c r="CP18" s="9">
        <v>1.4369615867047791</v>
      </c>
      <c r="CQ18" s="9">
        <v>0.5861229296327366</v>
      </c>
      <c r="CR18" s="9">
        <v>2.1451103946435159</v>
      </c>
      <c r="CS18" s="9">
        <v>1.8566154383857942</v>
      </c>
      <c r="CT18" s="9" t="e">
        <v>#DIV/0!</v>
      </c>
    </row>
    <row r="19" spans="1:98" x14ac:dyDescent="0.3">
      <c r="A19" s="1">
        <v>46050</v>
      </c>
      <c r="B19" s="21">
        <v>416.63</v>
      </c>
      <c r="C19" s="21">
        <v>360.46</v>
      </c>
      <c r="D19" s="22">
        <v>2.27712902738555E-2</v>
      </c>
      <c r="E19" s="22">
        <v>2.6366875840742099E-2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416.63</v>
      </c>
      <c r="M19" s="21">
        <v>360.46</v>
      </c>
      <c r="N19" s="23">
        <v>0.86518013585195497</v>
      </c>
      <c r="O19" s="23">
        <v>0.90525826694812095</v>
      </c>
      <c r="P19" s="23">
        <v>0.86055954738083995</v>
      </c>
      <c r="R19" s="21">
        <v>377.157751758595</v>
      </c>
      <c r="S19" s="21">
        <v>357.95562639369501</v>
      </c>
      <c r="U19" s="22">
        <v>4.5282546039857E-2</v>
      </c>
      <c r="V19" s="22">
        <v>-6.9719634671859803E-3</v>
      </c>
      <c r="X19" s="23">
        <v>0.86518013585195497</v>
      </c>
      <c r="Y19" s="23">
        <v>0.90571436398272598</v>
      </c>
      <c r="Z19" s="23">
        <v>0.86055954738083995</v>
      </c>
      <c r="AB19" s="21">
        <v>377.34777546612298</v>
      </c>
      <c r="AC19" s="21">
        <v>357.95562639369501</v>
      </c>
      <c r="AE19" s="22">
        <v>4.5786250001427699E-2</v>
      </c>
      <c r="AF19" s="22">
        <v>-6.9719634671859803E-3</v>
      </c>
      <c r="BX19" s="2" t="s">
        <v>41</v>
      </c>
      <c r="BY19" s="2" t="s">
        <v>41</v>
      </c>
      <c r="CL19" s="7">
        <f t="shared" si="3"/>
        <v>0.02</v>
      </c>
      <c r="CM19" s="8">
        <v>-0.40729599912169867</v>
      </c>
      <c r="CN19" s="9">
        <v>0.5886994888371897</v>
      </c>
      <c r="CO19" s="9">
        <v>0.37048140688769288</v>
      </c>
      <c r="CP19" s="9">
        <v>1.4369615867047791</v>
      </c>
      <c r="CQ19" s="9">
        <v>1.0223509801343034</v>
      </c>
      <c r="CR19" s="9">
        <v>2.1451103946435159</v>
      </c>
      <c r="CS19" s="9">
        <v>1.8566154383857942</v>
      </c>
      <c r="CT19" s="9" t="e">
        <v>#DIV/0!</v>
      </c>
    </row>
    <row r="20" spans="1:98" x14ac:dyDescent="0.3">
      <c r="A20" s="1">
        <v>46051</v>
      </c>
      <c r="B20" s="21">
        <v>417.52</v>
      </c>
      <c r="C20" s="21">
        <v>361.13</v>
      </c>
      <c r="D20" s="22">
        <v>2.13390957914772E-3</v>
      </c>
      <c r="E20" s="22">
        <v>1.8570107472126801E-3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417.52</v>
      </c>
      <c r="M20" s="21">
        <v>361.13</v>
      </c>
      <c r="N20" s="23">
        <v>0.86494060164782505</v>
      </c>
      <c r="O20" s="23">
        <v>0.90525826694812095</v>
      </c>
      <c r="P20" s="23">
        <v>0.86158946437580097</v>
      </c>
      <c r="R20" s="21">
        <v>377.96343161617898</v>
      </c>
      <c r="S20" s="21">
        <v>359.30082222244801</v>
      </c>
      <c r="U20" s="22">
        <v>4.5559444871791997E-2</v>
      </c>
      <c r="V20" s="22">
        <v>-5.0780217941034803E-3</v>
      </c>
      <c r="X20" s="23">
        <v>0.86494060164782505</v>
      </c>
      <c r="Y20" s="23">
        <v>0.90571436398272598</v>
      </c>
      <c r="Z20" s="23">
        <v>0.86158946437580097</v>
      </c>
      <c r="AB20" s="21">
        <v>378.153861250067</v>
      </c>
      <c r="AC20" s="21">
        <v>359.30082222244801</v>
      </c>
      <c r="AE20" s="22">
        <v>4.6063148833362599E-2</v>
      </c>
      <c r="AF20" s="22">
        <v>-5.0780217941034803E-3</v>
      </c>
      <c r="AZ20" s="13" t="s">
        <v>42</v>
      </c>
      <c r="BA20" s="14">
        <v>-3.5000000000000003E-2</v>
      </c>
      <c r="BB20" s="2" t="s">
        <v>43</v>
      </c>
      <c r="BC20" s="2" t="s">
        <v>44</v>
      </c>
      <c r="BD20" s="2" t="s">
        <v>45</v>
      </c>
      <c r="BE20" s="2" t="s">
        <v>46</v>
      </c>
      <c r="BF20" s="2" t="s">
        <v>47</v>
      </c>
      <c r="BG20" s="2" t="str">
        <f>D1</f>
        <v>SMH log rtn</v>
      </c>
      <c r="BH20" s="2" t="str">
        <f>E1</f>
        <v>SOXX log rtn</v>
      </c>
      <c r="BI20" s="2" t="s">
        <v>48</v>
      </c>
      <c r="BJ20" s="2" t="s">
        <v>49</v>
      </c>
      <c r="BL20" s="13" t="s">
        <v>42</v>
      </c>
      <c r="BM20" s="14">
        <v>2.5000000000000001E-2</v>
      </c>
      <c r="BN20" s="2" t="s">
        <v>44</v>
      </c>
      <c r="BO20" s="2" t="s">
        <v>43</v>
      </c>
      <c r="BP20" s="2" t="s">
        <v>45</v>
      </c>
      <c r="BQ20" s="2" t="s">
        <v>46</v>
      </c>
      <c r="BR20" s="2" t="s">
        <v>47</v>
      </c>
      <c r="BS20" s="4" t="str">
        <f>D1</f>
        <v>SMH log rtn</v>
      </c>
      <c r="BT20" s="4" t="str">
        <f>E1</f>
        <v>SOXX log rtn</v>
      </c>
      <c r="BU20" s="2" t="s">
        <v>48</v>
      </c>
      <c r="BV20" s="2" t="s">
        <v>49</v>
      </c>
      <c r="BX20" s="2" t="s">
        <v>48</v>
      </c>
      <c r="BY20" s="2" t="s">
        <v>49</v>
      </c>
      <c r="CL20" s="7">
        <f t="shared" si="3"/>
        <v>2.5000000000000001E-2</v>
      </c>
      <c r="CM20" s="8">
        <v>-0.40729599912169867</v>
      </c>
      <c r="CN20" s="9">
        <v>0.5886994888371897</v>
      </c>
      <c r="CO20" s="9">
        <v>0.37048140688769288</v>
      </c>
      <c r="CP20" s="9">
        <v>1.4369615867047791</v>
      </c>
      <c r="CQ20" s="9">
        <v>1.0223509801343034</v>
      </c>
      <c r="CR20" s="9">
        <v>1.6884001905294683</v>
      </c>
      <c r="CS20" s="9">
        <v>1.3137836188886942</v>
      </c>
      <c r="CT20" s="9" t="e">
        <v>#DIV/0!</v>
      </c>
    </row>
    <row r="21" spans="1:98" x14ac:dyDescent="0.3">
      <c r="A21" s="1">
        <v>46052</v>
      </c>
      <c r="B21" s="21">
        <v>403.46</v>
      </c>
      <c r="C21" s="21">
        <v>346.3</v>
      </c>
      <c r="D21" s="22">
        <v>-3.4255097128953103E-2</v>
      </c>
      <c r="E21" s="22">
        <v>-4.1932552903495499E-2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403.46</v>
      </c>
      <c r="M21" s="21">
        <v>346.3</v>
      </c>
      <c r="N21" s="23">
        <v>0.85832548455856805</v>
      </c>
      <c r="O21" s="23">
        <v>0.90525826694812095</v>
      </c>
      <c r="P21" s="23">
        <v>0.86235352313664504</v>
      </c>
      <c r="Q21" s="23">
        <v>0.85436566276978498</v>
      </c>
      <c r="R21" s="21">
        <v>365.23550038288897</v>
      </c>
      <c r="S21" s="21">
        <v>347.61688529705998</v>
      </c>
      <c r="U21" s="22">
        <v>5.3236900646334497E-2</v>
      </c>
      <c r="V21" s="22">
        <v>3.7955176070186298E-3</v>
      </c>
      <c r="X21" s="23">
        <v>0.85832548455856805</v>
      </c>
      <c r="Y21" s="23">
        <v>0.90571436398272598</v>
      </c>
      <c r="Z21" s="23">
        <v>0.86235352313664504</v>
      </c>
      <c r="AA21" s="23">
        <v>0.85436566276978498</v>
      </c>
      <c r="AB21" s="21">
        <v>365.41951729247</v>
      </c>
      <c r="AC21" s="21">
        <v>347.61688529705998</v>
      </c>
      <c r="AE21" s="22">
        <v>5.3740604607905099E-2</v>
      </c>
      <c r="AF21" s="22">
        <v>3.7955176070186298E-3</v>
      </c>
      <c r="BA21" s="14">
        <v>-1.4999999999999999E-2</v>
      </c>
      <c r="BE21">
        <f>IF(F22+H22&gt;0,0,1)</f>
        <v>1</v>
      </c>
      <c r="BF21" s="15">
        <v>0</v>
      </c>
      <c r="BM21" s="14">
        <v>0.01</v>
      </c>
      <c r="BQ21">
        <f>IF(F22+H22&gt;0,0,1)</f>
        <v>1</v>
      </c>
      <c r="BR21" s="15">
        <v>0</v>
      </c>
      <c r="CL21" s="7">
        <f t="shared" si="3"/>
        <v>3.0000000000000002E-2</v>
      </c>
      <c r="CM21" s="8">
        <v>-0.40729599912169867</v>
      </c>
      <c r="CN21" s="9">
        <v>0.5886994888371897</v>
      </c>
      <c r="CO21" s="9">
        <v>0.37048140688769288</v>
      </c>
      <c r="CP21" s="9">
        <v>1.4369615867047791</v>
      </c>
      <c r="CQ21" s="9">
        <v>1.0223509801343034</v>
      </c>
      <c r="CR21" s="9">
        <v>1.6884001905294683</v>
      </c>
      <c r="CS21" s="9">
        <v>1.3137836188886942</v>
      </c>
      <c r="CT21" s="9" t="e">
        <v>#DIV/0!</v>
      </c>
    </row>
    <row r="22" spans="1:98" x14ac:dyDescent="0.3">
      <c r="A22" s="1">
        <v>46055</v>
      </c>
      <c r="B22" s="21">
        <v>407.97</v>
      </c>
      <c r="C22" s="21">
        <v>352.69</v>
      </c>
      <c r="D22" s="22">
        <v>1.1116292082772599E-2</v>
      </c>
      <c r="E22" s="22">
        <v>1.8284032724000799E-2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407.97</v>
      </c>
      <c r="M22" s="21">
        <v>352.69</v>
      </c>
      <c r="N22" s="23">
        <v>0.86449984067455898</v>
      </c>
      <c r="O22" s="23">
        <v>0.90525826694812095</v>
      </c>
      <c r="P22" s="23">
        <v>0.86326940295574295</v>
      </c>
      <c r="Q22" s="23">
        <v>0.85557484982092502</v>
      </c>
      <c r="R22" s="21">
        <v>369.31821516682498</v>
      </c>
      <c r="S22" s="21">
        <v>351.81436683405701</v>
      </c>
      <c r="T22" s="21">
        <v>348.55555944018897</v>
      </c>
      <c r="U22" s="22">
        <v>4.6069160005106503E-2</v>
      </c>
      <c r="V22" s="22">
        <v>-2.4858145898390598E-3</v>
      </c>
      <c r="W22" s="22">
        <v>-1.179184213297E-2</v>
      </c>
      <c r="X22" s="23">
        <v>0.86449984067455898</v>
      </c>
      <c r="Y22" s="23">
        <v>0.90571436398272598</v>
      </c>
      <c r="Z22" s="23">
        <v>0.86326940295574295</v>
      </c>
      <c r="AA22" s="23">
        <v>0.85557484982092502</v>
      </c>
      <c r="AB22" s="21">
        <v>369.50428907403199</v>
      </c>
      <c r="AC22" s="21">
        <v>351.81436683405701</v>
      </c>
      <c r="AD22" s="21">
        <v>348.55555944018897</v>
      </c>
      <c r="AE22" s="22">
        <v>4.6572863966677001E-2</v>
      </c>
      <c r="AF22" s="22">
        <v>-2.4858145898390598E-3</v>
      </c>
      <c r="AG22" s="22">
        <v>-1.179184213297E-2</v>
      </c>
      <c r="AZ22" s="16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16">
        <f>BF22*D22</f>
        <v>0</v>
      </c>
      <c r="BH22" s="16">
        <f>-BF22*$E22</f>
        <v>0</v>
      </c>
      <c r="BI22" s="16">
        <f>BG22+BH22</f>
        <v>0</v>
      </c>
      <c r="BJ22" s="10">
        <f>BJ21+BI22</f>
        <v>0</v>
      </c>
      <c r="BL22" s="16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16">
        <f>-BR22*D22</f>
        <v>0</v>
      </c>
      <c r="BT22" s="16">
        <f>BR22*$E22</f>
        <v>0</v>
      </c>
      <c r="BU22" s="16">
        <f>BS22+BT22</f>
        <v>0</v>
      </c>
      <c r="BV22" s="10">
        <f>BV21+BU22</f>
        <v>0</v>
      </c>
      <c r="BX22" s="10">
        <f>BI22+BU22</f>
        <v>0</v>
      </c>
      <c r="BY22" s="10">
        <f>BY21+BX22</f>
        <v>0</v>
      </c>
      <c r="CL22" s="7">
        <f t="shared" si="3"/>
        <v>3.5000000000000003E-2</v>
      </c>
      <c r="CM22" s="8">
        <v>-0.40729599912169867</v>
      </c>
      <c r="CN22" s="8">
        <v>0.5886994888371897</v>
      </c>
      <c r="CO22" s="8">
        <v>0.37048140688769288</v>
      </c>
      <c r="CP22" s="8">
        <v>1.4369615867047791</v>
      </c>
      <c r="CQ22" s="8">
        <v>1.0223509801343034</v>
      </c>
      <c r="CR22" s="8">
        <v>1.6884001905294683</v>
      </c>
      <c r="CS22" s="8">
        <v>1.3137836188886942</v>
      </c>
      <c r="CT22" s="8" t="e">
        <v>#DIV/0!</v>
      </c>
    </row>
    <row r="23" spans="1:98" x14ac:dyDescent="0.3">
      <c r="A23" s="1">
        <v>46056</v>
      </c>
      <c r="B23" s="21">
        <v>397.68</v>
      </c>
      <c r="C23" s="21">
        <v>345.64</v>
      </c>
      <c r="D23" s="22">
        <v>-2.5545980502560101E-2</v>
      </c>
      <c r="E23" s="22">
        <v>-2.01917131591785E-2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397.68</v>
      </c>
      <c r="M23" s="21">
        <v>345.64</v>
      </c>
      <c r="N23" s="23">
        <v>0.86914101790384202</v>
      </c>
      <c r="O23" s="23">
        <v>0.90525826694812095</v>
      </c>
      <c r="P23" s="23">
        <v>0.86376991833254102</v>
      </c>
      <c r="Q23" s="23">
        <v>0.85691478956380895</v>
      </c>
      <c r="R23" s="21">
        <v>360.00310759992902</v>
      </c>
      <c r="S23" s="21">
        <v>343.30497616743997</v>
      </c>
      <c r="T23" s="21">
        <v>340.24500627678498</v>
      </c>
      <c r="U23" s="22">
        <v>4.0714892661724997E-2</v>
      </c>
      <c r="V23" s="22">
        <v>-6.7785755157406102E-3</v>
      </c>
      <c r="W23" s="22">
        <v>-1.5731806178905499E-2</v>
      </c>
      <c r="X23" s="23">
        <v>0.86914101790384202</v>
      </c>
      <c r="Y23" s="23">
        <v>0.90571436398272598</v>
      </c>
      <c r="Z23" s="23">
        <v>0.86376991833254102</v>
      </c>
      <c r="AA23" s="23">
        <v>0.85691478956380895</v>
      </c>
      <c r="AB23" s="21">
        <v>360.18448826865</v>
      </c>
      <c r="AC23" s="21">
        <v>343.30497616743997</v>
      </c>
      <c r="AD23" s="21">
        <v>340.24500627678498</v>
      </c>
      <c r="AE23" s="22">
        <v>4.1218596623295599E-2</v>
      </c>
      <c r="AF23" s="22">
        <v>-6.7785755157406102E-3</v>
      </c>
      <c r="AG23" s="22">
        <v>-1.5731806178905499E-2</v>
      </c>
      <c r="AZ23" s="16"/>
      <c r="BB23">
        <f t="shared" ref="BB23:BB86" si="6">IF($AG23&lt;BA$20,1,0)</f>
        <v>0</v>
      </c>
      <c r="BC23">
        <f t="shared" ref="BC23:BC86" si="7">IF($AG23&gt;BA$21,1,0)</f>
        <v>0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16">
        <f t="shared" ref="BG23:BG86" si="10">BF23*D23</f>
        <v>0</v>
      </c>
      <c r="BH23" s="16">
        <f t="shared" ref="BH23:BH86" si="11">-BF23*$E23</f>
        <v>0</v>
      </c>
      <c r="BI23" s="16">
        <f t="shared" ref="BI23:BI86" si="12">BG23+BH23</f>
        <v>0</v>
      </c>
      <c r="BJ23" s="10">
        <f t="shared" ref="BJ23:BJ86" si="13">BJ22+BI23</f>
        <v>0</v>
      </c>
      <c r="BL23" s="16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16">
        <f t="shared" ref="BS23:BS86" si="18">-BR23*D23</f>
        <v>0</v>
      </c>
      <c r="BT23" s="16">
        <f t="shared" ref="BT23:BT86" si="19">BR23*$E23</f>
        <v>0</v>
      </c>
      <c r="BU23" s="16">
        <f t="shared" ref="BU23:BU86" si="20">BS23+BT23</f>
        <v>0</v>
      </c>
      <c r="BV23" s="10">
        <f t="shared" ref="BV23:BV86" si="21">BV22+BU23</f>
        <v>0</v>
      </c>
      <c r="BX23" s="10">
        <f t="shared" ref="BX23:BX86" si="22">BI23+BU23</f>
        <v>0</v>
      </c>
      <c r="BY23" s="10">
        <f t="shared" ref="BY23:BY86" si="23">BY22+BX23</f>
        <v>0</v>
      </c>
      <c r="CL23" t="s">
        <v>38</v>
      </c>
    </row>
    <row r="24" spans="1:98" x14ac:dyDescent="0.3">
      <c r="A24" s="1">
        <v>46057</v>
      </c>
      <c r="B24" s="21">
        <v>382.02</v>
      </c>
      <c r="C24" s="21">
        <v>330.38</v>
      </c>
      <c r="D24" s="22">
        <v>-4.0174698529428302E-2</v>
      </c>
      <c r="E24" s="22">
        <v>-4.5154263846203802E-2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382.02</v>
      </c>
      <c r="M24" s="21">
        <v>330.38</v>
      </c>
      <c r="N24" s="23">
        <v>0.86482383121302497</v>
      </c>
      <c r="O24" s="23">
        <v>0.90525826694812095</v>
      </c>
      <c r="P24" s="23">
        <v>0.86363522882925703</v>
      </c>
      <c r="Q24" s="23">
        <v>0.85780135546015002</v>
      </c>
      <c r="R24" s="21">
        <v>345.82676313952101</v>
      </c>
      <c r="S24" s="21">
        <v>329.977384201397</v>
      </c>
      <c r="T24" s="21">
        <v>327.35858790916598</v>
      </c>
      <c r="U24" s="22">
        <v>4.5694457978500601E-2</v>
      </c>
      <c r="V24" s="22">
        <v>-1.21938773798101E-3</v>
      </c>
      <c r="W24" s="22">
        <v>-9.1873379447421008E-3</v>
      </c>
      <c r="X24" s="23">
        <v>0.86482383121302497</v>
      </c>
      <c r="Y24" s="23">
        <v>0.90571436398272598</v>
      </c>
      <c r="Z24" s="23">
        <v>0.86363522882925703</v>
      </c>
      <c r="AA24" s="23">
        <v>0.85780135546015002</v>
      </c>
      <c r="AB24" s="21">
        <v>346.00100132868101</v>
      </c>
      <c r="AC24" s="21">
        <v>329.977384201397</v>
      </c>
      <c r="AD24" s="21">
        <v>327.35858790916598</v>
      </c>
      <c r="AE24" s="22">
        <v>4.6198161940071099E-2</v>
      </c>
      <c r="AF24" s="22">
        <v>-1.21938773798101E-3</v>
      </c>
      <c r="AG24" s="22">
        <v>-9.1873379447421008E-3</v>
      </c>
      <c r="AZ24" s="16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16">
        <f t="shared" si="10"/>
        <v>0</v>
      </c>
      <c r="BH24" s="16">
        <f t="shared" si="11"/>
        <v>0</v>
      </c>
      <c r="BI24" s="16">
        <f t="shared" si="12"/>
        <v>0</v>
      </c>
      <c r="BJ24" s="10">
        <f t="shared" si="13"/>
        <v>0</v>
      </c>
      <c r="BL24" s="16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16">
        <f t="shared" si="18"/>
        <v>0</v>
      </c>
      <c r="BT24" s="16">
        <f t="shared" si="19"/>
        <v>0</v>
      </c>
      <c r="BU24" s="16">
        <f t="shared" si="20"/>
        <v>0</v>
      </c>
      <c r="BV24" s="10">
        <f t="shared" si="21"/>
        <v>0</v>
      </c>
      <c r="BX24" s="10">
        <f t="shared" si="22"/>
        <v>0</v>
      </c>
      <c r="BY24" s="10">
        <f t="shared" si="23"/>
        <v>0</v>
      </c>
    </row>
    <row r="25" spans="1:98" x14ac:dyDescent="0.3">
      <c r="A25" s="1">
        <v>46058</v>
      </c>
      <c r="B25" s="21">
        <v>381.07</v>
      </c>
      <c r="C25" s="21">
        <v>330.83</v>
      </c>
      <c r="D25" s="22">
        <v>-2.48987797191174E-3</v>
      </c>
      <c r="E25" s="22">
        <v>1.3611411487316101E-3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381.07</v>
      </c>
      <c r="M25" s="21">
        <v>330.83</v>
      </c>
      <c r="N25" s="23">
        <v>0.86816070538221302</v>
      </c>
      <c r="O25" s="23">
        <v>0.90525826694812095</v>
      </c>
      <c r="P25" s="23">
        <v>0.86389402812970495</v>
      </c>
      <c r="Q25" s="23">
        <v>0.85901807599236402</v>
      </c>
      <c r="R25" s="21">
        <v>344.96676778592001</v>
      </c>
      <c r="S25" s="21">
        <v>329.105476649965</v>
      </c>
      <c r="T25" s="21">
        <v>326.88236252519903</v>
      </c>
      <c r="U25" s="22">
        <v>4.1843438857857199E-2</v>
      </c>
      <c r="V25" s="22">
        <v>-5.2263511705632698E-3</v>
      </c>
      <c r="W25" s="22">
        <v>-1.20042897325343E-2</v>
      </c>
      <c r="X25" s="23">
        <v>0.86816070538221302</v>
      </c>
      <c r="Y25" s="23">
        <v>0.90571436398272598</v>
      </c>
      <c r="Z25" s="23">
        <v>0.86389402812970495</v>
      </c>
      <c r="AA25" s="23">
        <v>0.85901807599236402</v>
      </c>
      <c r="AB25" s="21">
        <v>345.14057268289702</v>
      </c>
      <c r="AC25" s="21">
        <v>329.105476649965</v>
      </c>
      <c r="AD25" s="21">
        <v>326.88236252519903</v>
      </c>
      <c r="AE25" s="22">
        <v>4.2347142819427697E-2</v>
      </c>
      <c r="AF25" s="22">
        <v>-5.2263511705632698E-3</v>
      </c>
      <c r="AG25" s="22">
        <v>-1.20042897325343E-2</v>
      </c>
      <c r="AZ25" s="16"/>
      <c r="BB25">
        <f t="shared" si="6"/>
        <v>0</v>
      </c>
      <c r="BC25">
        <f t="shared" si="7"/>
        <v>1</v>
      </c>
      <c r="BD25">
        <f t="shared" si="8"/>
        <v>0</v>
      </c>
      <c r="BE25">
        <f t="shared" si="4"/>
        <v>1</v>
      </c>
      <c r="BF25">
        <f t="shared" si="9"/>
        <v>0</v>
      </c>
      <c r="BG25" s="16">
        <f t="shared" si="10"/>
        <v>0</v>
      </c>
      <c r="BH25" s="16">
        <f t="shared" si="11"/>
        <v>0</v>
      </c>
      <c r="BI25" s="16">
        <f t="shared" si="12"/>
        <v>0</v>
      </c>
      <c r="BJ25" s="10">
        <f t="shared" si="13"/>
        <v>0</v>
      </c>
      <c r="BL25" s="16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16">
        <f t="shared" si="18"/>
        <v>0</v>
      </c>
      <c r="BT25" s="16">
        <f t="shared" si="19"/>
        <v>0</v>
      </c>
      <c r="BU25" s="16">
        <f t="shared" si="20"/>
        <v>0</v>
      </c>
      <c r="BV25" s="10">
        <f t="shared" si="21"/>
        <v>0</v>
      </c>
      <c r="BX25" s="10">
        <f t="shared" si="22"/>
        <v>0</v>
      </c>
      <c r="BY25" s="10">
        <f t="shared" si="23"/>
        <v>0</v>
      </c>
      <c r="CL25" s="7"/>
      <c r="CM25" s="7"/>
      <c r="CN25" s="7"/>
      <c r="CO25" s="7"/>
      <c r="CP25" s="7"/>
      <c r="CQ25" s="7"/>
      <c r="CR25" s="7"/>
      <c r="CS25" s="7"/>
      <c r="CT25" s="7"/>
    </row>
    <row r="26" spans="1:98" x14ac:dyDescent="0.3">
      <c r="A26" s="1">
        <v>46059</v>
      </c>
      <c r="B26" s="21">
        <v>401.65</v>
      </c>
      <c r="C26" s="21">
        <v>348.51</v>
      </c>
      <c r="D26" s="22">
        <v>5.2597977334744299E-2</v>
      </c>
      <c r="E26" s="22">
        <v>5.2062275917766798E-2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401.65</v>
      </c>
      <c r="M26" s="21">
        <v>348.51</v>
      </c>
      <c r="N26" s="23">
        <v>0.86769575501058105</v>
      </c>
      <c r="O26" s="23">
        <v>0.90525826694812095</v>
      </c>
      <c r="P26" s="23">
        <v>0.86450548920650805</v>
      </c>
      <c r="Q26" s="23">
        <v>0.86023968890517</v>
      </c>
      <c r="R26" s="21">
        <v>363.59698291971301</v>
      </c>
      <c r="S26" s="21">
        <v>346.98303639829601</v>
      </c>
      <c r="T26" s="21">
        <v>345.024610222332</v>
      </c>
      <c r="U26" s="22">
        <v>4.2379140274834498E-2</v>
      </c>
      <c r="V26" s="22">
        <v>-4.3910319018575896E-3</v>
      </c>
      <c r="W26" s="22">
        <v>-1.00511757285038E-2</v>
      </c>
      <c r="X26" s="23">
        <v>0.86769575501058105</v>
      </c>
      <c r="Y26" s="23">
        <v>0.90571436398272598</v>
      </c>
      <c r="Z26" s="23">
        <v>0.86450548920650805</v>
      </c>
      <c r="AA26" s="23">
        <v>0.86023968890517</v>
      </c>
      <c r="AB26" s="21">
        <v>363.78017429366201</v>
      </c>
      <c r="AC26" s="21">
        <v>346.98303639829601</v>
      </c>
      <c r="AD26" s="21">
        <v>345.024610222332</v>
      </c>
      <c r="AE26" s="22">
        <v>4.2882844236405197E-2</v>
      </c>
      <c r="AF26" s="22">
        <v>-4.3910319018575896E-3</v>
      </c>
      <c r="AG26" s="22">
        <v>-1.00511757285038E-2</v>
      </c>
      <c r="AZ26" s="16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16">
        <f t="shared" si="10"/>
        <v>0</v>
      </c>
      <c r="BH26" s="16">
        <f t="shared" si="11"/>
        <v>0</v>
      </c>
      <c r="BI26" s="16">
        <f t="shared" si="12"/>
        <v>0</v>
      </c>
      <c r="BJ26" s="10">
        <f t="shared" si="13"/>
        <v>0</v>
      </c>
      <c r="BL26" s="16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16">
        <f t="shared" si="18"/>
        <v>0</v>
      </c>
      <c r="BT26" s="16">
        <f t="shared" si="19"/>
        <v>0</v>
      </c>
      <c r="BU26" s="16">
        <f t="shared" si="20"/>
        <v>0</v>
      </c>
      <c r="BV26" s="10">
        <f t="shared" si="21"/>
        <v>0</v>
      </c>
      <c r="BX26" s="10">
        <f t="shared" si="22"/>
        <v>0</v>
      </c>
      <c r="BY26" s="10">
        <f t="shared" si="23"/>
        <v>0</v>
      </c>
      <c r="CL26" s="7"/>
      <c r="CM26" s="8"/>
      <c r="CN26" s="8"/>
      <c r="CO26" s="8"/>
      <c r="CP26" s="8"/>
      <c r="CQ26" s="8"/>
      <c r="CR26" s="8"/>
      <c r="CS26" s="8"/>
      <c r="CT26" s="8"/>
    </row>
    <row r="27" spans="1:98" x14ac:dyDescent="0.3">
      <c r="A27" s="1">
        <v>46062</v>
      </c>
      <c r="B27" s="21">
        <v>406.65</v>
      </c>
      <c r="C27" s="21">
        <v>352.77</v>
      </c>
      <c r="D27" s="22">
        <v>1.2371801992962599E-2</v>
      </c>
      <c r="E27" s="22">
        <v>1.2149362309941E-2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406.65</v>
      </c>
      <c r="M27" s="21">
        <v>352.77</v>
      </c>
      <c r="N27" s="23">
        <v>0.86750276650682401</v>
      </c>
      <c r="O27" s="23">
        <v>0.90525826694812095</v>
      </c>
      <c r="P27" s="23">
        <v>0.865234503132152</v>
      </c>
      <c r="Q27" s="23">
        <v>0.86137907367211297</v>
      </c>
      <c r="R27" s="21">
        <v>368.12327425445301</v>
      </c>
      <c r="S27" s="21">
        <v>351.55115718582601</v>
      </c>
      <c r="T27" s="21">
        <v>349.816469493287</v>
      </c>
      <c r="U27" s="22">
        <v>4.2601579957856302E-2</v>
      </c>
      <c r="V27" s="22">
        <v>-3.46104619584794E-3</v>
      </c>
      <c r="W27" s="22">
        <v>-8.4076424278327795E-3</v>
      </c>
      <c r="X27" s="23">
        <v>0.86750276650682401</v>
      </c>
      <c r="Y27" s="23">
        <v>0.90571436398272598</v>
      </c>
      <c r="Z27" s="23">
        <v>0.865234503132152</v>
      </c>
      <c r="AA27" s="23">
        <v>0.86137907367211297</v>
      </c>
      <c r="AB27" s="21">
        <v>368.30874611357501</v>
      </c>
      <c r="AC27" s="21">
        <v>351.55115718582601</v>
      </c>
      <c r="AD27" s="21">
        <v>349.816469493287</v>
      </c>
      <c r="AE27" s="22">
        <v>4.3105283919426897E-2</v>
      </c>
      <c r="AF27" s="22">
        <v>-3.46104619584794E-3</v>
      </c>
      <c r="AG27" s="22">
        <v>-8.4076424278327795E-3</v>
      </c>
      <c r="AZ27" s="16"/>
      <c r="BB27">
        <f t="shared" si="6"/>
        <v>0</v>
      </c>
      <c r="BC27">
        <f t="shared" si="7"/>
        <v>1</v>
      </c>
      <c r="BD27">
        <f t="shared" si="8"/>
        <v>0</v>
      </c>
      <c r="BE27">
        <f t="shared" si="4"/>
        <v>1</v>
      </c>
      <c r="BF27">
        <f t="shared" si="9"/>
        <v>0</v>
      </c>
      <c r="BG27" s="16">
        <f t="shared" si="10"/>
        <v>0</v>
      </c>
      <c r="BH27" s="16">
        <f t="shared" si="11"/>
        <v>0</v>
      </c>
      <c r="BI27" s="16">
        <f t="shared" si="12"/>
        <v>0</v>
      </c>
      <c r="BJ27" s="10">
        <f t="shared" si="13"/>
        <v>0</v>
      </c>
      <c r="BL27" s="16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16">
        <f t="shared" si="18"/>
        <v>0</v>
      </c>
      <c r="BT27" s="16">
        <f t="shared" si="19"/>
        <v>0</v>
      </c>
      <c r="BU27" s="16">
        <f t="shared" si="20"/>
        <v>0</v>
      </c>
      <c r="BV27" s="10">
        <f t="shared" si="21"/>
        <v>0</v>
      </c>
      <c r="BX27" s="10">
        <f t="shared" si="22"/>
        <v>0</v>
      </c>
      <c r="BY27" s="10">
        <f t="shared" si="23"/>
        <v>0</v>
      </c>
      <c r="CL27" s="7"/>
      <c r="CM27" s="8"/>
      <c r="CN27" s="8"/>
      <c r="CO27" s="8"/>
      <c r="CP27" s="8"/>
      <c r="CQ27" s="8"/>
      <c r="CR27" s="8"/>
      <c r="CS27" s="8"/>
      <c r="CT27" s="8"/>
    </row>
    <row r="28" spans="1:98" ht="15" thickBot="1" x14ac:dyDescent="0.35">
      <c r="A28" s="1">
        <v>46063</v>
      </c>
      <c r="B28" s="21">
        <v>404.76</v>
      </c>
      <c r="C28" s="21">
        <v>351.43</v>
      </c>
      <c r="D28" s="22">
        <v>-4.6585657512249797E-3</v>
      </c>
      <c r="E28" s="22">
        <v>-3.8057415999506799E-3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404.76</v>
      </c>
      <c r="M28" s="21">
        <v>351.43</v>
      </c>
      <c r="N28" s="23">
        <v>0.86824290937839699</v>
      </c>
      <c r="O28" s="23">
        <v>0.90525826694812095</v>
      </c>
      <c r="P28" s="23">
        <v>0.86585130481277905</v>
      </c>
      <c r="Q28" s="23">
        <v>0.862510207519674</v>
      </c>
      <c r="R28" s="21">
        <v>366.41233612992102</v>
      </c>
      <c r="S28" s="21">
        <v>350.21231748777001</v>
      </c>
      <c r="T28" s="21">
        <v>348.65179385952399</v>
      </c>
      <c r="U28" s="22">
        <v>4.1748755806582098E-2</v>
      </c>
      <c r="V28" s="22">
        <v>-3.47095294677661E-3</v>
      </c>
      <c r="W28" s="22">
        <v>-7.9368460911612704E-3</v>
      </c>
      <c r="X28" s="23">
        <v>0.86824290937839699</v>
      </c>
      <c r="Y28" s="23">
        <v>0.90571436398272598</v>
      </c>
      <c r="Z28" s="23">
        <v>0.86585130481277905</v>
      </c>
      <c r="AA28" s="23">
        <v>0.862510207519674</v>
      </c>
      <c r="AB28" s="21">
        <v>366.59694596564799</v>
      </c>
      <c r="AC28" s="21">
        <v>350.21231748777001</v>
      </c>
      <c r="AD28" s="21">
        <v>348.65179385952399</v>
      </c>
      <c r="AE28" s="22">
        <v>4.2252459768152499E-2</v>
      </c>
      <c r="AF28" s="22">
        <v>-3.47095294677661E-3</v>
      </c>
      <c r="AG28" s="22">
        <v>-7.9368460911612704E-3</v>
      </c>
      <c r="AZ28" s="16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16">
        <f t="shared" si="10"/>
        <v>0</v>
      </c>
      <c r="BH28" s="16">
        <f t="shared" si="11"/>
        <v>0</v>
      </c>
      <c r="BI28" s="16">
        <f t="shared" si="12"/>
        <v>0</v>
      </c>
      <c r="BJ28" s="10">
        <f t="shared" si="13"/>
        <v>0</v>
      </c>
      <c r="BL28" s="16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16">
        <f t="shared" si="18"/>
        <v>0</v>
      </c>
      <c r="BT28" s="16">
        <f t="shared" si="19"/>
        <v>0</v>
      </c>
      <c r="BU28" s="16">
        <f t="shared" si="20"/>
        <v>0</v>
      </c>
      <c r="BV28" s="10">
        <f t="shared" si="21"/>
        <v>0</v>
      </c>
      <c r="BX28" s="10">
        <f t="shared" si="22"/>
        <v>0</v>
      </c>
      <c r="BY28" s="10">
        <f t="shared" si="23"/>
        <v>0</v>
      </c>
      <c r="CL28" s="7"/>
      <c r="CM28" s="8"/>
      <c r="CN28" s="8"/>
      <c r="CO28" s="8"/>
      <c r="CP28" s="9"/>
      <c r="CQ28" s="8"/>
      <c r="CR28" s="8"/>
      <c r="CS28" s="8"/>
      <c r="CT28" s="8"/>
    </row>
    <row r="29" spans="1:98" ht="15" thickBot="1" x14ac:dyDescent="0.35">
      <c r="A29" s="1">
        <v>46064</v>
      </c>
      <c r="B29" s="21">
        <v>414.78</v>
      </c>
      <c r="C29" s="21">
        <v>360.2</v>
      </c>
      <c r="D29" s="22">
        <v>2.44539603236693E-2</v>
      </c>
      <c r="E29" s="22">
        <v>2.4648887838372401E-2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414.78</v>
      </c>
      <c r="M29" s="21">
        <v>360.2</v>
      </c>
      <c r="N29" s="23">
        <v>0.86841217030715001</v>
      </c>
      <c r="O29" s="23">
        <v>0.90525826694812095</v>
      </c>
      <c r="P29" s="23">
        <v>0.866174508258298</v>
      </c>
      <c r="Q29" s="23">
        <v>0.86336702781956898</v>
      </c>
      <c r="R29" s="21">
        <v>375.48302396474099</v>
      </c>
      <c r="S29" s="21">
        <v>359.13780421024398</v>
      </c>
      <c r="T29" s="21">
        <v>357.75198387501001</v>
      </c>
      <c r="U29" s="22">
        <v>4.1553828291879001E-2</v>
      </c>
      <c r="V29" s="22">
        <v>-2.9532621685004201E-3</v>
      </c>
      <c r="W29" s="22">
        <v>-6.8194688978604496E-3</v>
      </c>
      <c r="X29" s="23">
        <v>0.86841217030715001</v>
      </c>
      <c r="Y29" s="23">
        <v>0.90571436398272598</v>
      </c>
      <c r="Z29" s="23">
        <v>0.866174508258298</v>
      </c>
      <c r="AA29" s="23">
        <v>0.86336702781956898</v>
      </c>
      <c r="AB29" s="21">
        <v>375.67220389275502</v>
      </c>
      <c r="AC29" s="21">
        <v>359.13780421024398</v>
      </c>
      <c r="AD29" s="21">
        <v>357.75198387501001</v>
      </c>
      <c r="AE29" s="22">
        <v>4.20575322534497E-2</v>
      </c>
      <c r="AF29" s="22">
        <v>-2.9532621685004201E-3</v>
      </c>
      <c r="AG29" s="22">
        <v>-6.8194688978604496E-3</v>
      </c>
      <c r="AZ29" s="16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16">
        <f t="shared" si="10"/>
        <v>0</v>
      </c>
      <c r="BH29" s="16">
        <f t="shared" si="11"/>
        <v>0</v>
      </c>
      <c r="BI29" s="16">
        <f t="shared" si="12"/>
        <v>0</v>
      </c>
      <c r="BJ29" s="10">
        <f t="shared" si="13"/>
        <v>0</v>
      </c>
      <c r="BL29" s="16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16">
        <f t="shared" si="18"/>
        <v>0</v>
      </c>
      <c r="BT29" s="16">
        <f t="shared" si="19"/>
        <v>0</v>
      </c>
      <c r="BU29" s="16">
        <f t="shared" si="20"/>
        <v>0</v>
      </c>
      <c r="BV29" s="10">
        <f t="shared" si="21"/>
        <v>0</v>
      </c>
      <c r="BX29" s="10">
        <f t="shared" si="22"/>
        <v>0</v>
      </c>
      <c r="BY29" s="10">
        <f t="shared" si="23"/>
        <v>0</v>
      </c>
      <c r="CL29" s="7"/>
      <c r="CM29" s="8"/>
      <c r="CN29" s="8"/>
      <c r="CO29" s="8"/>
      <c r="CP29" s="8"/>
      <c r="CQ29" s="17"/>
      <c r="CR29" s="8"/>
      <c r="CS29" s="8"/>
      <c r="CT29" s="8"/>
    </row>
    <row r="30" spans="1:98" x14ac:dyDescent="0.3">
      <c r="A30" s="1">
        <v>46065</v>
      </c>
      <c r="B30" s="21">
        <v>406.11</v>
      </c>
      <c r="C30" s="21">
        <v>351.5</v>
      </c>
      <c r="D30" s="22">
        <v>-2.11242003194239E-2</v>
      </c>
      <c r="E30" s="22">
        <v>-2.4449721491136001E-2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406.11</v>
      </c>
      <c r="M30" s="21">
        <v>351.5</v>
      </c>
      <c r="N30" s="23">
        <v>0.86552904385511298</v>
      </c>
      <c r="O30" s="23">
        <v>0.90525826694812095</v>
      </c>
      <c r="P30" s="23">
        <v>0.866233352479027</v>
      </c>
      <c r="Q30" s="23">
        <v>0.86391140842741398</v>
      </c>
      <c r="R30" s="21">
        <v>367.63443479030099</v>
      </c>
      <c r="S30" s="21">
        <v>351.76212954877701</v>
      </c>
      <c r="T30" s="21">
        <v>350.62198366780501</v>
      </c>
      <c r="U30" s="22">
        <v>4.4879349463591199E-2</v>
      </c>
      <c r="V30" s="22">
        <v>7.4546758570727303E-4</v>
      </c>
      <c r="W30" s="22">
        <v>-2.5010377407293999E-3</v>
      </c>
      <c r="X30" s="23">
        <v>0.86552904385511298</v>
      </c>
      <c r="Y30" s="23">
        <v>0.90571436398272598</v>
      </c>
      <c r="Z30" s="23">
        <v>0.866233352479027</v>
      </c>
      <c r="AA30" s="23">
        <v>0.86391140842741398</v>
      </c>
      <c r="AB30" s="21">
        <v>367.81966035702499</v>
      </c>
      <c r="AC30" s="21">
        <v>351.76212954877701</v>
      </c>
      <c r="AD30" s="21">
        <v>350.62198366780501</v>
      </c>
      <c r="AE30" s="22">
        <v>4.5383053425161697E-2</v>
      </c>
      <c r="AF30" s="22">
        <v>7.4546758570727303E-4</v>
      </c>
      <c r="AG30" s="22">
        <v>-2.5010377407293999E-3</v>
      </c>
      <c r="AZ30" s="16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16">
        <f t="shared" si="10"/>
        <v>0</v>
      </c>
      <c r="BH30" s="16">
        <f t="shared" si="11"/>
        <v>0</v>
      </c>
      <c r="BI30" s="16">
        <f t="shared" si="12"/>
        <v>0</v>
      </c>
      <c r="BJ30" s="10">
        <f t="shared" si="13"/>
        <v>0</v>
      </c>
      <c r="BL30" s="16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16">
        <f t="shared" si="18"/>
        <v>0</v>
      </c>
      <c r="BT30" s="16">
        <f t="shared" si="19"/>
        <v>0</v>
      </c>
      <c r="BU30" s="16">
        <f t="shared" si="20"/>
        <v>0</v>
      </c>
      <c r="BV30" s="10">
        <f t="shared" si="21"/>
        <v>0</v>
      </c>
      <c r="BX30" s="10">
        <f t="shared" si="22"/>
        <v>0</v>
      </c>
      <c r="BY30" s="10">
        <f t="shared" si="23"/>
        <v>0</v>
      </c>
      <c r="CL30" s="7"/>
      <c r="CM30" s="8"/>
      <c r="CN30" s="8"/>
      <c r="CO30" s="8"/>
      <c r="CP30" s="8"/>
      <c r="CQ30" s="8"/>
      <c r="CR30" s="8"/>
      <c r="CS30" s="8"/>
      <c r="CT30" s="8"/>
    </row>
    <row r="31" spans="1:98" x14ac:dyDescent="0.3">
      <c r="A31" s="1">
        <v>46066</v>
      </c>
      <c r="B31" s="21">
        <v>407.72</v>
      </c>
      <c r="C31" s="21">
        <v>354.66</v>
      </c>
      <c r="D31" s="22">
        <v>3.9566054344075396E-3</v>
      </c>
      <c r="E31" s="22">
        <v>8.9498728136136203E-3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407.72</v>
      </c>
      <c r="M31" s="21">
        <v>354.66</v>
      </c>
      <c r="N31" s="23">
        <v>0.86986166977337298</v>
      </c>
      <c r="O31" s="23">
        <v>0.90525826694812095</v>
      </c>
      <c r="P31" s="23">
        <v>0.86738697100050799</v>
      </c>
      <c r="Q31" s="23">
        <v>0.86487024706857696</v>
      </c>
      <c r="R31" s="21">
        <v>369.09190060008802</v>
      </c>
      <c r="S31" s="21">
        <v>353.18066247274902</v>
      </c>
      <c r="T31" s="21">
        <v>352.233959444025</v>
      </c>
      <c r="U31" s="22">
        <v>3.9886082084385002E-2</v>
      </c>
      <c r="V31" s="22">
        <v>-4.1798663442401997E-3</v>
      </c>
      <c r="W31" s="22">
        <v>-6.8639717417773201E-3</v>
      </c>
      <c r="X31" s="23">
        <v>0.86986166977337298</v>
      </c>
      <c r="Y31" s="23">
        <v>0.90571436398272598</v>
      </c>
      <c r="Z31" s="23">
        <v>0.86738697100050799</v>
      </c>
      <c r="AA31" s="23">
        <v>0.86487024706857696</v>
      </c>
      <c r="AB31" s="21">
        <v>369.27786048303699</v>
      </c>
      <c r="AC31" s="21">
        <v>353.18066247274902</v>
      </c>
      <c r="AD31" s="21">
        <v>352.233959444025</v>
      </c>
      <c r="AE31" s="22">
        <v>4.0389786045955799E-2</v>
      </c>
      <c r="AF31" s="22">
        <v>-4.1798663442401997E-3</v>
      </c>
      <c r="AG31" s="22">
        <v>-6.8639717417773201E-3</v>
      </c>
      <c r="AZ31" s="16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16">
        <f t="shared" si="10"/>
        <v>0</v>
      </c>
      <c r="BH31" s="16">
        <f t="shared" si="11"/>
        <v>0</v>
      </c>
      <c r="BI31" s="16">
        <f t="shared" si="12"/>
        <v>0</v>
      </c>
      <c r="BJ31" s="10">
        <f t="shared" si="13"/>
        <v>0</v>
      </c>
      <c r="BL31" s="16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16">
        <f t="shared" si="18"/>
        <v>0</v>
      </c>
      <c r="BT31" s="16">
        <f t="shared" si="19"/>
        <v>0</v>
      </c>
      <c r="BU31" s="16">
        <f t="shared" si="20"/>
        <v>0</v>
      </c>
      <c r="BV31" s="10">
        <f t="shared" si="21"/>
        <v>0</v>
      </c>
      <c r="BX31" s="10">
        <f t="shared" si="22"/>
        <v>0</v>
      </c>
      <c r="BY31" s="10">
        <f t="shared" si="23"/>
        <v>0</v>
      </c>
      <c r="CL31" s="7"/>
      <c r="CM31" s="8"/>
      <c r="CN31" s="8"/>
      <c r="CO31" s="8"/>
      <c r="CP31" s="8"/>
      <c r="CQ31" s="8"/>
      <c r="CR31" s="8"/>
      <c r="CS31" s="8"/>
      <c r="CT31" s="8"/>
    </row>
    <row r="32" spans="1:98" x14ac:dyDescent="0.3">
      <c r="A32" s="1">
        <v>46070</v>
      </c>
      <c r="B32" s="21">
        <v>407.51</v>
      </c>
      <c r="C32" s="21">
        <v>354.1</v>
      </c>
      <c r="D32" s="22">
        <v>-5.1519204309200201E-4</v>
      </c>
      <c r="E32" s="22">
        <v>-1.5802249464751E-3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407.51</v>
      </c>
      <c r="M32" s="21">
        <v>354.1</v>
      </c>
      <c r="N32" s="23">
        <v>0.86893573163848703</v>
      </c>
      <c r="O32" s="23">
        <v>0.90525826694812095</v>
      </c>
      <c r="P32" s="23">
        <v>0.86783056009689996</v>
      </c>
      <c r="Q32" s="23">
        <v>0.86554998152632201</v>
      </c>
      <c r="R32" s="21">
        <v>368.901796364029</v>
      </c>
      <c r="S32" s="21">
        <v>353.46886455241702</v>
      </c>
      <c r="T32" s="21">
        <v>352.44327438291498</v>
      </c>
      <c r="U32" s="22">
        <v>4.0951114987768197E-2</v>
      </c>
      <c r="V32" s="22">
        <v>-1.7839553055077899E-3</v>
      </c>
      <c r="W32" s="22">
        <v>-4.6896735515576998E-3</v>
      </c>
      <c r="X32" s="23">
        <v>0.86893573163848703</v>
      </c>
      <c r="Y32" s="23">
        <v>0.90571436398272598</v>
      </c>
      <c r="Z32" s="23">
        <v>0.86783056009689996</v>
      </c>
      <c r="AA32" s="23">
        <v>0.86554998152632201</v>
      </c>
      <c r="AB32" s="21">
        <v>369.08766046660003</v>
      </c>
      <c r="AC32" s="21">
        <v>353.46886455241702</v>
      </c>
      <c r="AD32" s="21">
        <v>352.44327438291498</v>
      </c>
      <c r="AE32" s="22">
        <v>4.1454818949338799E-2</v>
      </c>
      <c r="AF32" s="22">
        <v>-1.7839553055077899E-3</v>
      </c>
      <c r="AG32" s="22">
        <v>-4.6896735515576998E-3</v>
      </c>
      <c r="AZ32" s="16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16">
        <f t="shared" si="10"/>
        <v>0</v>
      </c>
      <c r="BH32" s="16">
        <f t="shared" si="11"/>
        <v>0</v>
      </c>
      <c r="BI32" s="16">
        <f t="shared" si="12"/>
        <v>0</v>
      </c>
      <c r="BJ32" s="10">
        <f t="shared" si="13"/>
        <v>0</v>
      </c>
      <c r="BL32" s="16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16">
        <f t="shared" si="18"/>
        <v>0</v>
      </c>
      <c r="BT32" s="16">
        <f t="shared" si="19"/>
        <v>0</v>
      </c>
      <c r="BU32" s="16">
        <f t="shared" si="20"/>
        <v>0</v>
      </c>
      <c r="BV32" s="10">
        <f t="shared" si="21"/>
        <v>0</v>
      </c>
      <c r="BX32" s="10">
        <f t="shared" si="22"/>
        <v>0</v>
      </c>
      <c r="BY32" s="10">
        <f t="shared" si="23"/>
        <v>0</v>
      </c>
      <c r="CL32" s="7"/>
      <c r="CM32" s="8"/>
      <c r="CN32" s="8"/>
      <c r="CO32" s="8"/>
      <c r="CP32" s="8"/>
      <c r="CQ32" s="8"/>
      <c r="CR32" s="8"/>
      <c r="CS32" s="8"/>
      <c r="CT32" s="8"/>
    </row>
    <row r="33" spans="1:98" x14ac:dyDescent="0.3">
      <c r="A33" s="1">
        <v>46071</v>
      </c>
      <c r="B33" s="21">
        <v>412.55</v>
      </c>
      <c r="C33" s="21">
        <v>357.92</v>
      </c>
      <c r="D33" s="22">
        <v>1.2291938293232101E-2</v>
      </c>
      <c r="E33" s="22">
        <v>1.07301386239614E-2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412.55</v>
      </c>
      <c r="M33" s="21">
        <v>357.92</v>
      </c>
      <c r="N33" s="23">
        <v>0.86757968731062896</v>
      </c>
      <c r="O33" s="23">
        <v>0.90525826694812095</v>
      </c>
      <c r="P33" s="23">
        <v>0.86767442703757902</v>
      </c>
      <c r="Q33" s="23">
        <v>0.86572217268506002</v>
      </c>
      <c r="R33" s="21">
        <v>373.46429802944698</v>
      </c>
      <c r="S33" s="21">
        <v>358.02349756797599</v>
      </c>
      <c r="T33" s="21">
        <v>357.08264487868399</v>
      </c>
      <c r="U33" s="22">
        <v>4.2512914657038901E-2</v>
      </c>
      <c r="V33" s="22">
        <v>2.8912216969332699E-4</v>
      </c>
      <c r="W33" s="22">
        <v>-2.3422444941479902E-3</v>
      </c>
      <c r="X33" s="23">
        <v>0.86757968731062896</v>
      </c>
      <c r="Y33" s="23">
        <v>0.90571436398272598</v>
      </c>
      <c r="Z33" s="23">
        <v>0.86767442703757902</v>
      </c>
      <c r="AA33" s="23">
        <v>0.86572217268506002</v>
      </c>
      <c r="AB33" s="21">
        <v>373.652460861073</v>
      </c>
      <c r="AC33" s="21">
        <v>358.02349756797599</v>
      </c>
      <c r="AD33" s="21">
        <v>357.08264487868399</v>
      </c>
      <c r="AE33" s="22">
        <v>4.3016618618609399E-2</v>
      </c>
      <c r="AF33" s="22">
        <v>2.8912216969332699E-4</v>
      </c>
      <c r="AG33" s="22">
        <v>-2.3422444941479902E-3</v>
      </c>
      <c r="AZ33" s="16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16">
        <f t="shared" si="10"/>
        <v>0</v>
      </c>
      <c r="BH33" s="16">
        <f t="shared" si="11"/>
        <v>0</v>
      </c>
      <c r="BI33" s="16">
        <f t="shared" si="12"/>
        <v>0</v>
      </c>
      <c r="BJ33" s="10">
        <f t="shared" si="13"/>
        <v>0</v>
      </c>
      <c r="BL33" s="16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16">
        <f t="shared" si="18"/>
        <v>0</v>
      </c>
      <c r="BT33" s="16">
        <f t="shared" si="19"/>
        <v>0</v>
      </c>
      <c r="BU33" s="16">
        <f t="shared" si="20"/>
        <v>0</v>
      </c>
      <c r="BV33" s="10">
        <f t="shared" si="21"/>
        <v>0</v>
      </c>
      <c r="BX33" s="10">
        <f t="shared" si="22"/>
        <v>0</v>
      </c>
      <c r="BY33" s="10">
        <f t="shared" si="23"/>
        <v>0</v>
      </c>
      <c r="CL33" s="7"/>
      <c r="CM33" s="8"/>
      <c r="CN33" s="8"/>
      <c r="CO33" s="8"/>
      <c r="CP33" s="8"/>
      <c r="CQ33" s="8"/>
      <c r="CR33" s="8"/>
      <c r="CS33" s="8"/>
      <c r="CT33" s="8"/>
    </row>
    <row r="34" spans="1:98" x14ac:dyDescent="0.3">
      <c r="A34" s="1">
        <v>46072</v>
      </c>
      <c r="B34" s="21">
        <v>410.2</v>
      </c>
      <c r="C34" s="21">
        <v>355.84</v>
      </c>
      <c r="D34" s="22">
        <v>-5.7125649120720002E-3</v>
      </c>
      <c r="E34" s="22">
        <v>-5.82830611965671E-3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410.2</v>
      </c>
      <c r="M34" s="21">
        <v>355.84</v>
      </c>
      <c r="N34" s="23">
        <v>0.86747927840077999</v>
      </c>
      <c r="O34" s="23">
        <v>0.90525826694812095</v>
      </c>
      <c r="P34" s="23">
        <v>0.86793997175635496</v>
      </c>
      <c r="Q34" s="23">
        <v>0.86578760029280599</v>
      </c>
      <c r="R34" s="21">
        <v>371.336941102119</v>
      </c>
      <c r="S34" s="21">
        <v>355.920049970815</v>
      </c>
      <c r="T34" s="21">
        <v>355.119235235411</v>
      </c>
      <c r="U34" s="22">
        <v>4.2628655864623499E-2</v>
      </c>
      <c r="V34" s="22">
        <v>2.2493527462218599E-4</v>
      </c>
      <c r="W34" s="22">
        <v>-2.0275846371908901E-3</v>
      </c>
      <c r="X34" s="23">
        <v>0.86747927840077999</v>
      </c>
      <c r="Y34" s="23">
        <v>0.90571436398272598</v>
      </c>
      <c r="Z34" s="23">
        <v>0.86793997175635496</v>
      </c>
      <c r="AA34" s="23">
        <v>0.86578760029280599</v>
      </c>
      <c r="AB34" s="21">
        <v>371.52403210571401</v>
      </c>
      <c r="AC34" s="21">
        <v>355.920049970815</v>
      </c>
      <c r="AD34" s="21">
        <v>355.119235235411</v>
      </c>
      <c r="AE34" s="22">
        <v>4.3132359826194101E-2</v>
      </c>
      <c r="AF34" s="22">
        <v>2.2493527462218599E-4</v>
      </c>
      <c r="AG34" s="22">
        <v>-2.0275846371908901E-3</v>
      </c>
      <c r="AZ34" s="16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16">
        <f t="shared" si="10"/>
        <v>0</v>
      </c>
      <c r="BH34" s="16">
        <f t="shared" si="11"/>
        <v>0</v>
      </c>
      <c r="BI34" s="16">
        <f t="shared" si="12"/>
        <v>0</v>
      </c>
      <c r="BJ34" s="10">
        <f t="shared" si="13"/>
        <v>0</v>
      </c>
      <c r="BL34" s="16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16">
        <f t="shared" si="18"/>
        <v>0</v>
      </c>
      <c r="BT34" s="16">
        <f t="shared" si="19"/>
        <v>0</v>
      </c>
      <c r="BU34" s="16">
        <f t="shared" si="20"/>
        <v>0</v>
      </c>
      <c r="BV34" s="10">
        <f t="shared" si="21"/>
        <v>0</v>
      </c>
      <c r="BX34" s="10">
        <f t="shared" si="22"/>
        <v>0</v>
      </c>
      <c r="BY34" s="10">
        <f t="shared" si="23"/>
        <v>0</v>
      </c>
    </row>
    <row r="35" spans="1:98" x14ac:dyDescent="0.3">
      <c r="A35" s="1">
        <v>46073</v>
      </c>
      <c r="B35" s="21">
        <v>415.03</v>
      </c>
      <c r="C35" s="21">
        <v>359.43</v>
      </c>
      <c r="D35" s="22">
        <v>1.17059611363093E-2</v>
      </c>
      <c r="E35" s="22">
        <v>1.00382516977545E-2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415.03</v>
      </c>
      <c r="M35" s="21">
        <v>359.43</v>
      </c>
      <c r="N35" s="23">
        <v>0.86603378069055204</v>
      </c>
      <c r="O35" s="23">
        <v>0.90525826694812095</v>
      </c>
      <c r="P35" s="23">
        <v>0.86772727928718896</v>
      </c>
      <c r="Q35" s="23">
        <v>0.86581065370844701</v>
      </c>
      <c r="R35" s="21">
        <v>375.70933853147801</v>
      </c>
      <c r="S35" s="21">
        <v>360.22112647803999</v>
      </c>
      <c r="T35" s="21">
        <v>359.32782774952301</v>
      </c>
      <c r="U35" s="22">
        <v>4.4296365303178403E-2</v>
      </c>
      <c r="V35" s="22">
        <v>2.1986397787076102E-3</v>
      </c>
      <c r="W35" s="22">
        <v>-2.8430229827116E-4</v>
      </c>
      <c r="X35" s="23">
        <v>0.86603378069055204</v>
      </c>
      <c r="Y35" s="23">
        <v>0.90571436398272598</v>
      </c>
      <c r="Z35" s="23">
        <v>0.86772727928718896</v>
      </c>
      <c r="AA35" s="23">
        <v>0.86581065370844701</v>
      </c>
      <c r="AB35" s="21">
        <v>375.89863248375002</v>
      </c>
      <c r="AC35" s="21">
        <v>360.22112647803999</v>
      </c>
      <c r="AD35" s="21">
        <v>359.32782774952301</v>
      </c>
      <c r="AE35" s="22">
        <v>4.4800069264748998E-2</v>
      </c>
      <c r="AF35" s="22">
        <v>2.1986397787076102E-3</v>
      </c>
      <c r="AG35" s="22">
        <v>-2.8430229827116E-4</v>
      </c>
      <c r="AZ35" s="16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16">
        <f t="shared" si="10"/>
        <v>0</v>
      </c>
      <c r="BH35" s="16">
        <f t="shared" si="11"/>
        <v>0</v>
      </c>
      <c r="BI35" s="16">
        <f t="shared" si="12"/>
        <v>0</v>
      </c>
      <c r="BJ35" s="10">
        <f t="shared" si="13"/>
        <v>0</v>
      </c>
      <c r="BL35" s="16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16">
        <f t="shared" si="18"/>
        <v>0</v>
      </c>
      <c r="BT35" s="16">
        <f t="shared" si="19"/>
        <v>0</v>
      </c>
      <c r="BU35" s="16">
        <f t="shared" si="20"/>
        <v>0</v>
      </c>
      <c r="BV35" s="10">
        <f t="shared" si="21"/>
        <v>0</v>
      </c>
      <c r="BX35" s="10">
        <f t="shared" si="22"/>
        <v>0</v>
      </c>
      <c r="BY35" s="10">
        <f t="shared" si="23"/>
        <v>0</v>
      </c>
    </row>
    <row r="36" spans="1:98" x14ac:dyDescent="0.3">
      <c r="A36" s="1">
        <v>46076</v>
      </c>
      <c r="B36" s="21">
        <v>412.88</v>
      </c>
      <c r="C36" s="21">
        <v>356.82</v>
      </c>
      <c r="D36" s="22">
        <v>-5.1938129341178897E-3</v>
      </c>
      <c r="E36" s="22">
        <v>-7.2879903733600497E-3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412.88</v>
      </c>
      <c r="M36" s="21">
        <v>356.82</v>
      </c>
      <c r="N36" s="23">
        <v>0.86422204999031105</v>
      </c>
      <c r="O36" s="23">
        <v>0.90525826694812095</v>
      </c>
      <c r="P36" s="23">
        <v>0.86737990878516202</v>
      </c>
      <c r="Q36" s="23">
        <v>0.86594269899583498</v>
      </c>
      <c r="R36" s="21">
        <v>373.76303325753997</v>
      </c>
      <c r="S36" s="21">
        <v>358.26723907209401</v>
      </c>
      <c r="T36" s="21">
        <v>357.47590270314299</v>
      </c>
      <c r="U36" s="22">
        <v>4.6390542742420597E-2</v>
      </c>
      <c r="V36" s="22">
        <v>4.04773283313733E-3</v>
      </c>
      <c r="W36" s="22">
        <v>1.8365018895125801E-3</v>
      </c>
      <c r="X36" s="23">
        <v>0.86422204999031105</v>
      </c>
      <c r="Y36" s="23">
        <v>0.90571436398272598</v>
      </c>
      <c r="Z36" s="23">
        <v>0.86737990878516202</v>
      </c>
      <c r="AA36" s="23">
        <v>0.86594269899583498</v>
      </c>
      <c r="AB36" s="21">
        <v>373.95134660118799</v>
      </c>
      <c r="AC36" s="21">
        <v>358.26723907209401</v>
      </c>
      <c r="AD36" s="21">
        <v>357.47590270314299</v>
      </c>
      <c r="AE36" s="22">
        <v>4.6894246703991199E-2</v>
      </c>
      <c r="AF36" s="22">
        <v>4.04773283313733E-3</v>
      </c>
      <c r="AG36" s="22">
        <v>1.8365018895125801E-3</v>
      </c>
      <c r="AZ36" s="16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16">
        <f t="shared" si="10"/>
        <v>0</v>
      </c>
      <c r="BH36" s="16">
        <f t="shared" si="11"/>
        <v>0</v>
      </c>
      <c r="BI36" s="16">
        <f t="shared" si="12"/>
        <v>0</v>
      </c>
      <c r="BJ36" s="10">
        <f t="shared" si="13"/>
        <v>0</v>
      </c>
      <c r="BL36" s="16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16">
        <f t="shared" si="18"/>
        <v>0</v>
      </c>
      <c r="BT36" s="16">
        <f t="shared" si="19"/>
        <v>0</v>
      </c>
      <c r="BU36" s="16">
        <f t="shared" si="20"/>
        <v>0</v>
      </c>
      <c r="BV36" s="10">
        <f t="shared" si="21"/>
        <v>0</v>
      </c>
      <c r="BX36" s="10">
        <f t="shared" si="22"/>
        <v>0</v>
      </c>
      <c r="BY36" s="10">
        <f t="shared" si="23"/>
        <v>0</v>
      </c>
    </row>
    <row r="37" spans="1:98" x14ac:dyDescent="0.3">
      <c r="A37" s="1">
        <v>46077</v>
      </c>
      <c r="B37" s="21">
        <v>419.16</v>
      </c>
      <c r="C37" s="21">
        <v>362.04</v>
      </c>
      <c r="D37" s="22">
        <v>1.5095714766269299E-2</v>
      </c>
      <c r="E37" s="22">
        <v>1.45232500124126E-2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419.16</v>
      </c>
      <c r="M37" s="21">
        <v>362.04</v>
      </c>
      <c r="N37" s="23">
        <v>0.86372745490981895</v>
      </c>
      <c r="O37" s="23">
        <v>0.90525826694812095</v>
      </c>
      <c r="P37" s="23">
        <v>0.86700237762546095</v>
      </c>
      <c r="Q37" s="23">
        <v>0.86611844037880703</v>
      </c>
      <c r="R37" s="21">
        <v>379.44805517397401</v>
      </c>
      <c r="S37" s="21">
        <v>363.570962566388</v>
      </c>
      <c r="T37" s="21">
        <v>362.96854171109402</v>
      </c>
      <c r="U37" s="22">
        <v>4.6963007496277201E-2</v>
      </c>
      <c r="V37" s="22">
        <v>4.2197952267754701E-3</v>
      </c>
      <c r="W37" s="22">
        <v>2.56146559760873E-3</v>
      </c>
      <c r="X37" s="23">
        <v>0.86372745490981895</v>
      </c>
      <c r="Y37" s="23">
        <v>0.90571436398272598</v>
      </c>
      <c r="Z37" s="23">
        <v>0.86700237762546095</v>
      </c>
      <c r="AA37" s="23">
        <v>0.86611844037880703</v>
      </c>
      <c r="AB37" s="21">
        <v>379.63923280699902</v>
      </c>
      <c r="AC37" s="21">
        <v>363.570962566388</v>
      </c>
      <c r="AD37" s="21">
        <v>362.96854171109402</v>
      </c>
      <c r="AE37" s="22">
        <v>4.7466711457847803E-2</v>
      </c>
      <c r="AF37" s="22">
        <v>4.2197952267754701E-3</v>
      </c>
      <c r="AG37" s="22">
        <v>2.56146559760873E-3</v>
      </c>
      <c r="AZ37" s="16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16">
        <f t="shared" si="10"/>
        <v>0</v>
      </c>
      <c r="BH37" s="16">
        <f t="shared" si="11"/>
        <v>0</v>
      </c>
      <c r="BI37" s="16">
        <f t="shared" si="12"/>
        <v>0</v>
      </c>
      <c r="BJ37" s="10">
        <f t="shared" si="13"/>
        <v>0</v>
      </c>
      <c r="BL37" s="16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16">
        <f t="shared" si="18"/>
        <v>0</v>
      </c>
      <c r="BT37" s="16">
        <f t="shared" si="19"/>
        <v>0</v>
      </c>
      <c r="BU37" s="16">
        <f t="shared" si="20"/>
        <v>0</v>
      </c>
      <c r="BV37" s="10">
        <f t="shared" si="21"/>
        <v>0</v>
      </c>
      <c r="BX37" s="10">
        <f t="shared" si="22"/>
        <v>0</v>
      </c>
      <c r="BY37" s="10">
        <f t="shared" si="23"/>
        <v>0</v>
      </c>
    </row>
    <row r="38" spans="1:98" x14ac:dyDescent="0.3">
      <c r="A38" s="1">
        <v>46078</v>
      </c>
      <c r="B38" s="21">
        <v>426.16</v>
      </c>
      <c r="C38" s="21">
        <v>368</v>
      </c>
      <c r="D38" s="22">
        <v>1.65621540020028E-2</v>
      </c>
      <c r="E38" s="22">
        <v>1.6328235209960899E-2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426.16</v>
      </c>
      <c r="M38" s="21">
        <v>368</v>
      </c>
      <c r="N38" s="23">
        <v>0.86352543645579105</v>
      </c>
      <c r="O38" s="23">
        <v>0.90525826694812095</v>
      </c>
      <c r="P38" s="23">
        <v>0.86653063033320099</v>
      </c>
      <c r="Q38" s="23">
        <v>0.86619096757298997</v>
      </c>
      <c r="R38" s="21">
        <v>385.78486304261099</v>
      </c>
      <c r="S38" s="21">
        <v>369.48173324886602</v>
      </c>
      <c r="T38" s="21">
        <v>369.10503455183198</v>
      </c>
      <c r="U38" s="22">
        <v>4.7196926288318897E-2</v>
      </c>
      <c r="V38" s="22">
        <v>4.0183645936979302E-3</v>
      </c>
      <c r="W38" s="22">
        <v>2.9983118494032401E-3</v>
      </c>
      <c r="X38" s="23">
        <v>0.86352543645579105</v>
      </c>
      <c r="Y38" s="23">
        <v>0.90571436398272598</v>
      </c>
      <c r="Z38" s="23">
        <v>0.86653063033320099</v>
      </c>
      <c r="AA38" s="23">
        <v>0.86619096757298997</v>
      </c>
      <c r="AB38" s="21">
        <v>385.97923335487798</v>
      </c>
      <c r="AC38" s="21">
        <v>369.48173324886602</v>
      </c>
      <c r="AD38" s="21">
        <v>369.10503455183198</v>
      </c>
      <c r="AE38" s="22">
        <v>4.77006302498897E-2</v>
      </c>
      <c r="AF38" s="22">
        <v>4.0183645936979302E-3</v>
      </c>
      <c r="AG38" s="22">
        <v>2.9983118494032401E-3</v>
      </c>
      <c r="AZ38" s="16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16">
        <f t="shared" si="10"/>
        <v>0</v>
      </c>
      <c r="BH38" s="16">
        <f t="shared" si="11"/>
        <v>0</v>
      </c>
      <c r="BI38" s="16">
        <f t="shared" si="12"/>
        <v>0</v>
      </c>
      <c r="BJ38" s="10">
        <f t="shared" si="13"/>
        <v>0</v>
      </c>
      <c r="BL38" s="16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16">
        <f t="shared" si="18"/>
        <v>0</v>
      </c>
      <c r="BT38" s="16">
        <f t="shared" si="19"/>
        <v>0</v>
      </c>
      <c r="BU38" s="16">
        <f t="shared" si="20"/>
        <v>0</v>
      </c>
      <c r="BV38" s="10">
        <f t="shared" si="21"/>
        <v>0</v>
      </c>
      <c r="BX38" s="10">
        <f t="shared" si="22"/>
        <v>0</v>
      </c>
      <c r="BY38" s="10">
        <f t="shared" si="23"/>
        <v>0</v>
      </c>
    </row>
    <row r="39" spans="1:98" x14ac:dyDescent="0.3">
      <c r="A39" s="1">
        <v>46079</v>
      </c>
      <c r="B39" s="21">
        <v>412.01</v>
      </c>
      <c r="C39" s="21">
        <v>356.8</v>
      </c>
      <c r="D39" s="22">
        <v>-3.3767241709113598E-2</v>
      </c>
      <c r="E39" s="22">
        <v>-3.09075374630765E-2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412.01</v>
      </c>
      <c r="M39" s="21">
        <v>356.8</v>
      </c>
      <c r="N39" s="23">
        <v>0.86599839809713297</v>
      </c>
      <c r="O39" s="23">
        <v>0.90525826694812095</v>
      </c>
      <c r="P39" s="23">
        <v>0.86628925311219895</v>
      </c>
      <c r="Q39" s="23">
        <v>0.86623188068524803</v>
      </c>
      <c r="R39" s="21">
        <v>372.97545856529501</v>
      </c>
      <c r="S39" s="21">
        <v>357.01928500358201</v>
      </c>
      <c r="T39" s="21">
        <v>356.87934054974698</v>
      </c>
      <c r="U39" s="22">
        <v>4.4337222042281903E-2</v>
      </c>
      <c r="V39" s="22">
        <v>6.1439923265481095E-4</v>
      </c>
      <c r="W39" s="22">
        <v>2.22342291744962E-4</v>
      </c>
      <c r="X39" s="23">
        <v>0.86599839809713297</v>
      </c>
      <c r="Y39" s="23">
        <v>0.90571436398272598</v>
      </c>
      <c r="Z39" s="23">
        <v>0.86628925311219895</v>
      </c>
      <c r="AA39" s="23">
        <v>0.86623188068524803</v>
      </c>
      <c r="AB39" s="21">
        <v>373.16337510452303</v>
      </c>
      <c r="AC39" s="21">
        <v>357.01928500358201</v>
      </c>
      <c r="AD39" s="21">
        <v>356.87934054974698</v>
      </c>
      <c r="AE39" s="22">
        <v>4.4840926003852602E-2</v>
      </c>
      <c r="AF39" s="22">
        <v>6.1439923265481095E-4</v>
      </c>
      <c r="AG39" s="22">
        <v>2.22342291744962E-4</v>
      </c>
      <c r="AZ39" s="16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16">
        <f t="shared" si="10"/>
        <v>0</v>
      </c>
      <c r="BH39" s="16">
        <f t="shared" si="11"/>
        <v>0</v>
      </c>
      <c r="BI39" s="16">
        <f t="shared" si="12"/>
        <v>0</v>
      </c>
      <c r="BJ39" s="10">
        <f t="shared" si="13"/>
        <v>0</v>
      </c>
      <c r="BL39" s="16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16">
        <f t="shared" si="18"/>
        <v>0</v>
      </c>
      <c r="BT39" s="16">
        <f t="shared" si="19"/>
        <v>0</v>
      </c>
      <c r="BU39" s="16">
        <f t="shared" si="20"/>
        <v>0</v>
      </c>
      <c r="BV39" s="10">
        <f t="shared" si="21"/>
        <v>0</v>
      </c>
      <c r="BX39" s="10">
        <f t="shared" si="22"/>
        <v>0</v>
      </c>
      <c r="BY39" s="10">
        <f t="shared" si="23"/>
        <v>0</v>
      </c>
    </row>
    <row r="40" spans="1:98" x14ac:dyDescent="0.3">
      <c r="A40" s="1">
        <v>46080</v>
      </c>
      <c r="B40" s="21">
        <v>406.37</v>
      </c>
      <c r="C40" s="21">
        <v>352.29</v>
      </c>
      <c r="D40" s="22">
        <v>-1.3783546257744601E-2</v>
      </c>
      <c r="E40" s="22">
        <v>-1.2720700660754701E-2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406.37</v>
      </c>
      <c r="M40" s="21">
        <v>352.29</v>
      </c>
      <c r="N40" s="23">
        <v>0.86691930998843403</v>
      </c>
      <c r="O40" s="23">
        <v>0.90525826694812095</v>
      </c>
      <c r="P40" s="23">
        <v>0.86642827972553105</v>
      </c>
      <c r="Q40" s="23">
        <v>0.86633081610227902</v>
      </c>
      <c r="R40" s="21">
        <v>367.869801939708</v>
      </c>
      <c r="S40" s="21">
        <v>352.03396378720402</v>
      </c>
      <c r="T40" s="21">
        <v>352.01064935406401</v>
      </c>
      <c r="U40" s="22">
        <v>4.3274376445292001E-2</v>
      </c>
      <c r="V40" s="22">
        <v>-7.2704106984257605E-4</v>
      </c>
      <c r="W40" s="22">
        <v>-7.9327105786640201E-4</v>
      </c>
      <c r="X40" s="23">
        <v>0.86691930998843403</v>
      </c>
      <c r="Y40" s="23">
        <v>0.90571436398272598</v>
      </c>
      <c r="Z40" s="23">
        <v>0.86642827972553105</v>
      </c>
      <c r="AA40" s="23">
        <v>0.86633081610227902</v>
      </c>
      <c r="AB40" s="21">
        <v>368.05514609165999</v>
      </c>
      <c r="AC40" s="21">
        <v>352.03396378720402</v>
      </c>
      <c r="AD40" s="21">
        <v>352.01064935406401</v>
      </c>
      <c r="AE40" s="22">
        <v>4.3778080406862797E-2</v>
      </c>
      <c r="AF40" s="22">
        <v>-7.2704106984257605E-4</v>
      </c>
      <c r="AG40" s="22">
        <v>-7.9327105786640201E-4</v>
      </c>
      <c r="AZ40" s="16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1</v>
      </c>
      <c r="BF40">
        <f t="shared" si="9"/>
        <v>0</v>
      </c>
      <c r="BG40" s="16">
        <f t="shared" si="10"/>
        <v>0</v>
      </c>
      <c r="BH40" s="16">
        <f t="shared" si="11"/>
        <v>0</v>
      </c>
      <c r="BI40" s="16">
        <f t="shared" si="12"/>
        <v>0</v>
      </c>
      <c r="BJ40" s="10">
        <f t="shared" si="13"/>
        <v>0</v>
      </c>
      <c r="BL40" s="16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16">
        <f t="shared" si="18"/>
        <v>0</v>
      </c>
      <c r="BT40" s="16">
        <f t="shared" si="19"/>
        <v>0</v>
      </c>
      <c r="BU40" s="16">
        <f t="shared" si="20"/>
        <v>0</v>
      </c>
      <c r="BV40" s="10">
        <f t="shared" si="21"/>
        <v>0</v>
      </c>
      <c r="BX40" s="10">
        <f t="shared" si="22"/>
        <v>0</v>
      </c>
      <c r="BY40" s="10">
        <f t="shared" si="23"/>
        <v>0</v>
      </c>
    </row>
    <row r="41" spans="1:98" x14ac:dyDescent="0.3">
      <c r="A41" s="1">
        <v>46083</v>
      </c>
      <c r="B41" s="21">
        <v>406.39</v>
      </c>
      <c r="C41" s="21">
        <v>352.05</v>
      </c>
      <c r="D41" s="22">
        <v>4.9215020434119202E-5</v>
      </c>
      <c r="E41" s="22">
        <v>-6.8148907995733304E-4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406.39</v>
      </c>
      <c r="M41" s="21">
        <v>352.05</v>
      </c>
      <c r="N41" s="23">
        <v>0.86628607987401196</v>
      </c>
      <c r="O41" s="23">
        <v>0.90525826694812095</v>
      </c>
      <c r="P41" s="23">
        <v>0.86607072073559499</v>
      </c>
      <c r="Q41" s="23">
        <v>0.86672884586805099</v>
      </c>
      <c r="R41" s="21">
        <v>367.88790710504702</v>
      </c>
      <c r="S41" s="21">
        <v>352.10778859765799</v>
      </c>
      <c r="T41" s="21">
        <v>352.068180355805</v>
      </c>
      <c r="U41" s="22">
        <v>4.40050805456835E-2</v>
      </c>
      <c r="V41" s="22">
        <v>1.64135364897244E-4</v>
      </c>
      <c r="W41" s="22">
        <v>5.1640069285680302E-5</v>
      </c>
      <c r="X41" s="23">
        <v>0.86628607987401196</v>
      </c>
      <c r="Y41" s="23">
        <v>0.90571436398272598</v>
      </c>
      <c r="Z41" s="23">
        <v>0.86607072073559499</v>
      </c>
      <c r="AA41" s="23">
        <v>0.86672884586805099</v>
      </c>
      <c r="AB41" s="21">
        <v>368.07326037894001</v>
      </c>
      <c r="AC41" s="21">
        <v>352.10778859765799</v>
      </c>
      <c r="AD41" s="21">
        <v>352.068180355805</v>
      </c>
      <c r="AE41" s="22">
        <v>4.4508784507253998E-2</v>
      </c>
      <c r="AF41" s="22">
        <v>1.64135364897244E-4</v>
      </c>
      <c r="AG41" s="22">
        <v>5.1640069285680302E-5</v>
      </c>
      <c r="AZ41" s="16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16">
        <f t="shared" si="10"/>
        <v>0</v>
      </c>
      <c r="BH41" s="16">
        <f t="shared" si="11"/>
        <v>0</v>
      </c>
      <c r="BI41" s="16">
        <f t="shared" si="12"/>
        <v>0</v>
      </c>
      <c r="BJ41" s="10">
        <f t="shared" si="13"/>
        <v>0</v>
      </c>
      <c r="BL41" s="16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16">
        <f t="shared" si="18"/>
        <v>0</v>
      </c>
      <c r="BT41" s="16">
        <f t="shared" si="19"/>
        <v>0</v>
      </c>
      <c r="BU41" s="16">
        <f t="shared" si="20"/>
        <v>0</v>
      </c>
      <c r="BV41" s="10">
        <f t="shared" si="21"/>
        <v>0</v>
      </c>
      <c r="BX41" s="10">
        <f t="shared" si="22"/>
        <v>0</v>
      </c>
      <c r="BY41" s="10">
        <f t="shared" si="23"/>
        <v>0</v>
      </c>
    </row>
    <row r="42" spans="1:98" x14ac:dyDescent="0.3">
      <c r="A42" s="1">
        <v>46084</v>
      </c>
      <c r="B42" s="21">
        <v>391.06</v>
      </c>
      <c r="C42" s="21">
        <v>334.78</v>
      </c>
      <c r="D42" s="22">
        <v>-3.8452288764190802E-2</v>
      </c>
      <c r="E42" s="22">
        <v>-5.02996112906684E-2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391.06</v>
      </c>
      <c r="M42" s="21">
        <v>334.78</v>
      </c>
      <c r="N42" s="23">
        <v>0.85608346545287095</v>
      </c>
      <c r="O42" s="23">
        <v>0.90525826694812095</v>
      </c>
      <c r="P42" s="23">
        <v>0.86478549411703298</v>
      </c>
      <c r="Q42" s="23">
        <v>0.86630802710696697</v>
      </c>
      <c r="R42" s="21">
        <v>354.010297872732</v>
      </c>
      <c r="S42" s="21">
        <v>338.68561605086097</v>
      </c>
      <c r="T42" s="21">
        <v>338.94298246516001</v>
      </c>
      <c r="U42" s="22">
        <v>5.5852403072161202E-2</v>
      </c>
      <c r="V42" s="22">
        <v>1.15986911366263E-2</v>
      </c>
      <c r="W42" s="22">
        <v>1.23583002417829E-2</v>
      </c>
      <c r="X42" s="23">
        <v>0.85608346545287095</v>
      </c>
      <c r="Y42" s="23">
        <v>0.90571436398272598</v>
      </c>
      <c r="Z42" s="23">
        <v>0.86478549411703298</v>
      </c>
      <c r="AA42" s="23">
        <v>0.86630802710696697</v>
      </c>
      <c r="AB42" s="21">
        <v>354.18865917908403</v>
      </c>
      <c r="AC42" s="21">
        <v>338.68561605086097</v>
      </c>
      <c r="AD42" s="21">
        <v>338.94298246516001</v>
      </c>
      <c r="AE42" s="22">
        <v>5.63561070337317E-2</v>
      </c>
      <c r="AF42" s="22">
        <v>1.15986911366263E-2</v>
      </c>
      <c r="AG42" s="22">
        <v>1.23583002417829E-2</v>
      </c>
      <c r="AZ42" s="16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16">
        <f t="shared" si="10"/>
        <v>0</v>
      </c>
      <c r="BH42" s="16">
        <f t="shared" si="11"/>
        <v>0</v>
      </c>
      <c r="BI42" s="16">
        <f t="shared" si="12"/>
        <v>0</v>
      </c>
      <c r="BJ42" s="10">
        <f t="shared" si="13"/>
        <v>0</v>
      </c>
      <c r="BL42" s="16"/>
      <c r="BN42">
        <f t="shared" si="14"/>
        <v>0</v>
      </c>
      <c r="BO42">
        <f t="shared" si="15"/>
        <v>0</v>
      </c>
      <c r="BP42">
        <f t="shared" si="16"/>
        <v>0</v>
      </c>
      <c r="BQ42">
        <f t="shared" si="5"/>
        <v>1</v>
      </c>
      <c r="BR42">
        <f t="shared" si="17"/>
        <v>0</v>
      </c>
      <c r="BS42" s="16">
        <f t="shared" si="18"/>
        <v>0</v>
      </c>
      <c r="BT42" s="16">
        <f t="shared" si="19"/>
        <v>0</v>
      </c>
      <c r="BU42" s="16">
        <f t="shared" si="20"/>
        <v>0</v>
      </c>
      <c r="BV42" s="10">
        <f t="shared" si="21"/>
        <v>0</v>
      </c>
      <c r="BX42" s="10">
        <f t="shared" si="22"/>
        <v>0</v>
      </c>
      <c r="BY42" s="10">
        <f t="shared" si="23"/>
        <v>0</v>
      </c>
    </row>
    <row r="43" spans="1:98" x14ac:dyDescent="0.3">
      <c r="A43" s="1">
        <v>46085</v>
      </c>
      <c r="B43" s="21">
        <v>399.1</v>
      </c>
      <c r="C43" s="21">
        <v>341.54</v>
      </c>
      <c r="D43" s="22">
        <v>2.0351011156559299E-2</v>
      </c>
      <c r="E43" s="22">
        <v>1.9991202784619098E-2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399.1</v>
      </c>
      <c r="M43" s="21">
        <v>341.54</v>
      </c>
      <c r="N43" s="23">
        <v>0.85577549486344195</v>
      </c>
      <c r="O43" s="23">
        <v>0.90525826694812095</v>
      </c>
      <c r="P43" s="23">
        <v>0.86360507487231497</v>
      </c>
      <c r="Q43" s="23">
        <v>0.86563975095494705</v>
      </c>
      <c r="R43" s="21">
        <v>361.28857433899498</v>
      </c>
      <c r="S43" s="21">
        <v>345.13589070210799</v>
      </c>
      <c r="T43" s="21">
        <v>345.74353361839002</v>
      </c>
      <c r="U43" s="22">
        <v>5.62122114441014E-2</v>
      </c>
      <c r="V43" s="22">
        <v>1.0473423112570501E-2</v>
      </c>
      <c r="W43" s="22">
        <v>1.2232465433341401E-2</v>
      </c>
      <c r="X43" s="23">
        <v>0.85577549486344195</v>
      </c>
      <c r="Y43" s="23">
        <v>0.90571436398272598</v>
      </c>
      <c r="Z43" s="23">
        <v>0.86360507487231497</v>
      </c>
      <c r="AA43" s="23">
        <v>0.86563975095494705</v>
      </c>
      <c r="AB43" s="21">
        <v>361.47060266550602</v>
      </c>
      <c r="AC43" s="21">
        <v>345.13589070210799</v>
      </c>
      <c r="AD43" s="21">
        <v>345.74353361839002</v>
      </c>
      <c r="AE43" s="22">
        <v>5.6715915405672002E-2</v>
      </c>
      <c r="AF43" s="22">
        <v>1.0473423112570501E-2</v>
      </c>
      <c r="AG43" s="22">
        <v>1.2232465433341401E-2</v>
      </c>
      <c r="AZ43" s="16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16">
        <f t="shared" si="10"/>
        <v>0</v>
      </c>
      <c r="BH43" s="16">
        <f t="shared" si="11"/>
        <v>0</v>
      </c>
      <c r="BI43" s="16">
        <f t="shared" si="12"/>
        <v>0</v>
      </c>
      <c r="BJ43" s="10">
        <f t="shared" si="13"/>
        <v>0</v>
      </c>
      <c r="BL43" s="16"/>
      <c r="BN43">
        <f t="shared" si="14"/>
        <v>0</v>
      </c>
      <c r="BO43">
        <f t="shared" si="15"/>
        <v>0</v>
      </c>
      <c r="BP43">
        <f t="shared" si="16"/>
        <v>0</v>
      </c>
      <c r="BQ43">
        <f t="shared" si="5"/>
        <v>1</v>
      </c>
      <c r="BR43">
        <f t="shared" si="17"/>
        <v>0</v>
      </c>
      <c r="BS43" s="16">
        <f t="shared" si="18"/>
        <v>0</v>
      </c>
      <c r="BT43" s="16">
        <f t="shared" si="19"/>
        <v>0</v>
      </c>
      <c r="BU43" s="16">
        <f t="shared" si="20"/>
        <v>0</v>
      </c>
      <c r="BV43" s="10">
        <f t="shared" si="21"/>
        <v>0</v>
      </c>
      <c r="BX43" s="10">
        <f t="shared" si="22"/>
        <v>0</v>
      </c>
      <c r="BY43" s="10">
        <f t="shared" si="23"/>
        <v>0</v>
      </c>
    </row>
    <row r="44" spans="1:98" x14ac:dyDescent="0.3">
      <c r="A44" s="1">
        <v>46086</v>
      </c>
      <c r="B44" s="21">
        <v>395.35</v>
      </c>
      <c r="C44" s="21">
        <v>337.76</v>
      </c>
      <c r="D44" s="22">
        <v>-9.4405635377521301E-3</v>
      </c>
      <c r="E44" s="22">
        <v>-1.11292183590825E-2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395.35</v>
      </c>
      <c r="M44" s="21">
        <v>337.76</v>
      </c>
      <c r="N44" s="23">
        <v>0.85433160490704396</v>
      </c>
      <c r="O44" s="23">
        <v>0.90525826694812095</v>
      </c>
      <c r="P44" s="23">
        <v>0.862290307522941</v>
      </c>
      <c r="Q44" s="23">
        <v>0.86511513963964803</v>
      </c>
      <c r="R44" s="21">
        <v>357.89385583793899</v>
      </c>
      <c r="S44" s="21">
        <v>341.42626635076903</v>
      </c>
      <c r="T44" s="21">
        <v>342.23067554003802</v>
      </c>
      <c r="U44" s="22">
        <v>5.7900866265431901E-2</v>
      </c>
      <c r="V44" s="22">
        <v>1.07961604735465E-2</v>
      </c>
      <c r="W44" s="22">
        <v>1.31494154796783E-2</v>
      </c>
      <c r="X44" s="23">
        <v>0.85433160490704396</v>
      </c>
      <c r="Y44" s="23">
        <v>0.90571436398272598</v>
      </c>
      <c r="Z44" s="23">
        <v>0.862290307522941</v>
      </c>
      <c r="AA44" s="23">
        <v>0.86511513963964803</v>
      </c>
      <c r="AB44" s="21">
        <v>358.07417380057001</v>
      </c>
      <c r="AC44" s="21">
        <v>341.42626635076903</v>
      </c>
      <c r="AD44" s="21">
        <v>342.23067554003802</v>
      </c>
      <c r="AE44" s="22">
        <v>5.8404570227002302E-2</v>
      </c>
      <c r="AF44" s="22">
        <v>1.07961604735465E-2</v>
      </c>
      <c r="AG44" s="22">
        <v>1.31494154796783E-2</v>
      </c>
      <c r="AZ44" s="16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16">
        <f t="shared" si="10"/>
        <v>0</v>
      </c>
      <c r="BH44" s="16">
        <f t="shared" si="11"/>
        <v>0</v>
      </c>
      <c r="BI44" s="16">
        <f t="shared" si="12"/>
        <v>0</v>
      </c>
      <c r="BJ44" s="10">
        <f t="shared" si="13"/>
        <v>0</v>
      </c>
      <c r="BL44" s="16"/>
      <c r="BN44">
        <f t="shared" si="14"/>
        <v>0</v>
      </c>
      <c r="BO44">
        <f t="shared" si="15"/>
        <v>0</v>
      </c>
      <c r="BP44">
        <f t="shared" si="16"/>
        <v>0</v>
      </c>
      <c r="BQ44">
        <f t="shared" si="5"/>
        <v>1</v>
      </c>
      <c r="BR44">
        <f t="shared" si="17"/>
        <v>0</v>
      </c>
      <c r="BS44" s="16">
        <f t="shared" si="18"/>
        <v>0</v>
      </c>
      <c r="BT44" s="16">
        <f t="shared" si="19"/>
        <v>0</v>
      </c>
      <c r="BU44" s="16">
        <f t="shared" si="20"/>
        <v>0</v>
      </c>
      <c r="BV44" s="10">
        <f t="shared" si="21"/>
        <v>0</v>
      </c>
      <c r="BX44" s="10">
        <f t="shared" si="22"/>
        <v>0</v>
      </c>
      <c r="BY44" s="10">
        <f t="shared" si="23"/>
        <v>0</v>
      </c>
    </row>
    <row r="45" spans="1:98" x14ac:dyDescent="0.3">
      <c r="A45" s="1">
        <v>46087</v>
      </c>
      <c r="B45" s="21">
        <v>380.56</v>
      </c>
      <c r="C45" s="21">
        <v>323.51</v>
      </c>
      <c r="D45" s="22">
        <v>-3.8127596392910003E-2</v>
      </c>
      <c r="E45" s="22">
        <v>-4.3105558735736203E-2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380.56</v>
      </c>
      <c r="M45" s="21">
        <v>323.51</v>
      </c>
      <c r="N45" s="23">
        <v>0.85008934202228204</v>
      </c>
      <c r="O45" s="23">
        <v>0.90525826694812095</v>
      </c>
      <c r="P45" s="23">
        <v>0.86069586365611395</v>
      </c>
      <c r="Q45" s="23">
        <v>0.86421157147165095</v>
      </c>
      <c r="R45" s="21">
        <v>344.50508606977701</v>
      </c>
      <c r="S45" s="21">
        <v>328.15319943092999</v>
      </c>
      <c r="T45" s="21">
        <v>329.22821754126397</v>
      </c>
      <c r="U45" s="22">
        <v>6.2878828608257997E-2</v>
      </c>
      <c r="V45" s="22">
        <v>1.42505454117234E-2</v>
      </c>
      <c r="W45" s="22">
        <v>1.7521155261220701E-2</v>
      </c>
      <c r="X45" s="23">
        <v>0.85008934202228204</v>
      </c>
      <c r="Y45" s="23">
        <v>0.90571436398272598</v>
      </c>
      <c r="Z45" s="23">
        <v>0.86069586365611395</v>
      </c>
      <c r="AA45" s="23">
        <v>0.86421157147165095</v>
      </c>
      <c r="AB45" s="21">
        <v>344.67865835726599</v>
      </c>
      <c r="AC45" s="21">
        <v>328.15319943092999</v>
      </c>
      <c r="AD45" s="21">
        <v>329.22821754126397</v>
      </c>
      <c r="AE45" s="22">
        <v>6.3382532569828606E-2</v>
      </c>
      <c r="AF45" s="22">
        <v>1.42505454117234E-2</v>
      </c>
      <c r="AG45" s="22">
        <v>1.7521155261220701E-2</v>
      </c>
      <c r="AZ45" s="16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16">
        <f t="shared" si="10"/>
        <v>0</v>
      </c>
      <c r="BH45" s="16">
        <f t="shared" si="11"/>
        <v>0</v>
      </c>
      <c r="BI45" s="16">
        <f t="shared" si="12"/>
        <v>0</v>
      </c>
      <c r="BJ45" s="10">
        <f t="shared" si="13"/>
        <v>0</v>
      </c>
      <c r="BL45" s="16"/>
      <c r="BN45">
        <f t="shared" si="14"/>
        <v>0</v>
      </c>
      <c r="BO45">
        <f t="shared" si="15"/>
        <v>0</v>
      </c>
      <c r="BP45">
        <f t="shared" si="16"/>
        <v>0</v>
      </c>
      <c r="BQ45">
        <f t="shared" si="5"/>
        <v>1</v>
      </c>
      <c r="BR45">
        <f t="shared" si="17"/>
        <v>0</v>
      </c>
      <c r="BS45" s="16">
        <f t="shared" si="18"/>
        <v>0</v>
      </c>
      <c r="BT45" s="16">
        <f t="shared" si="19"/>
        <v>0</v>
      </c>
      <c r="BU45" s="16">
        <f t="shared" si="20"/>
        <v>0</v>
      </c>
      <c r="BV45" s="10">
        <f t="shared" si="21"/>
        <v>0</v>
      </c>
      <c r="BX45" s="10">
        <f t="shared" si="22"/>
        <v>0</v>
      </c>
      <c r="BY45" s="10">
        <f t="shared" si="23"/>
        <v>0</v>
      </c>
    </row>
    <row r="46" spans="1:98" x14ac:dyDescent="0.3">
      <c r="A46" s="1">
        <v>46090</v>
      </c>
      <c r="B46" s="21">
        <v>394.37</v>
      </c>
      <c r="C46" s="21">
        <v>336.37</v>
      </c>
      <c r="D46" s="22">
        <v>3.5645702802650302E-2</v>
      </c>
      <c r="E46" s="22">
        <v>3.8981719209629402E-2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394.37</v>
      </c>
      <c r="M46" s="21">
        <v>336.37</v>
      </c>
      <c r="N46" s="23">
        <v>0.85292998960367095</v>
      </c>
      <c r="O46" s="23">
        <v>0.90525826694812095</v>
      </c>
      <c r="P46" s="23">
        <v>0.85956665761744999</v>
      </c>
      <c r="Q46" s="23">
        <v>0.86347328320130601</v>
      </c>
      <c r="R46" s="21">
        <v>357.00670273633</v>
      </c>
      <c r="S46" s="21">
        <v>339.43262775006099</v>
      </c>
      <c r="T46" s="21">
        <v>340.81911744127501</v>
      </c>
      <c r="U46" s="22">
        <v>5.9542812201278897E-2</v>
      </c>
      <c r="V46" s="22">
        <v>9.0637372240140492E-3</v>
      </c>
      <c r="W46" s="22">
        <v>1.31401445863374E-2</v>
      </c>
      <c r="X46" s="23">
        <v>0.85292998960367095</v>
      </c>
      <c r="Y46" s="23">
        <v>0.90571436398272598</v>
      </c>
      <c r="Z46" s="23">
        <v>0.85956665761744999</v>
      </c>
      <c r="AA46" s="23">
        <v>0.86347328320130601</v>
      </c>
      <c r="AB46" s="21">
        <v>357.18657372386701</v>
      </c>
      <c r="AC46" s="21">
        <v>339.43262775006099</v>
      </c>
      <c r="AD46" s="21">
        <v>340.81911744127501</v>
      </c>
      <c r="AE46" s="22">
        <v>6.0046516162849402E-2</v>
      </c>
      <c r="AF46" s="22">
        <v>9.0637372240140492E-3</v>
      </c>
      <c r="AG46" s="22">
        <v>1.31401445863374E-2</v>
      </c>
      <c r="AZ46" s="16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16">
        <f t="shared" si="10"/>
        <v>0</v>
      </c>
      <c r="BH46" s="16">
        <f t="shared" si="11"/>
        <v>0</v>
      </c>
      <c r="BI46" s="16">
        <f t="shared" si="12"/>
        <v>0</v>
      </c>
      <c r="BJ46" s="10">
        <f t="shared" si="13"/>
        <v>0</v>
      </c>
      <c r="BL46" s="16"/>
      <c r="BN46">
        <f t="shared" si="14"/>
        <v>0</v>
      </c>
      <c r="BO46">
        <f t="shared" si="15"/>
        <v>0</v>
      </c>
      <c r="BP46">
        <f t="shared" si="16"/>
        <v>0</v>
      </c>
      <c r="BQ46">
        <f t="shared" si="5"/>
        <v>1</v>
      </c>
      <c r="BR46">
        <f t="shared" si="17"/>
        <v>0</v>
      </c>
      <c r="BS46" s="16">
        <f t="shared" si="18"/>
        <v>0</v>
      </c>
      <c r="BT46" s="16">
        <f t="shared" si="19"/>
        <v>0</v>
      </c>
      <c r="BU46" s="16">
        <f t="shared" si="20"/>
        <v>0</v>
      </c>
      <c r="BV46" s="10">
        <f t="shared" si="21"/>
        <v>0</v>
      </c>
      <c r="BX46" s="10">
        <f t="shared" si="22"/>
        <v>0</v>
      </c>
      <c r="BY46" s="10">
        <f t="shared" si="23"/>
        <v>0</v>
      </c>
    </row>
    <row r="47" spans="1:98" x14ac:dyDescent="0.3">
      <c r="A47" s="1">
        <v>46091</v>
      </c>
      <c r="B47" s="21">
        <v>397.33</v>
      </c>
      <c r="C47" s="21">
        <v>338.81</v>
      </c>
      <c r="D47" s="22">
        <v>7.4776147335739703E-3</v>
      </c>
      <c r="E47" s="22">
        <v>7.2277337070156596E-3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397.33</v>
      </c>
      <c r="M47" s="21">
        <v>338.81</v>
      </c>
      <c r="N47" s="23">
        <v>0.85271688520876798</v>
      </c>
      <c r="O47" s="23">
        <v>0.90525826694812095</v>
      </c>
      <c r="P47" s="23">
        <v>0.85846560064734501</v>
      </c>
      <c r="Q47" s="23">
        <v>0.86273398913640298</v>
      </c>
      <c r="R47" s="21">
        <v>359.68626720649701</v>
      </c>
      <c r="S47" s="21">
        <v>341.53162007114099</v>
      </c>
      <c r="T47" s="21">
        <v>343.08383961437403</v>
      </c>
      <c r="U47" s="22">
        <v>5.9792693227837097E-2</v>
      </c>
      <c r="V47" s="22">
        <v>8.0007881599506309E-3</v>
      </c>
      <c r="W47" s="22">
        <v>1.2535369379395599E-2</v>
      </c>
      <c r="X47" s="23">
        <v>0.85271688520876798</v>
      </c>
      <c r="Y47" s="23">
        <v>0.90571436398272598</v>
      </c>
      <c r="Z47" s="23">
        <v>0.85846560064734501</v>
      </c>
      <c r="AA47" s="23">
        <v>0.86273398913640298</v>
      </c>
      <c r="AB47" s="21">
        <v>359.86748824125601</v>
      </c>
      <c r="AC47" s="21">
        <v>341.53162007114099</v>
      </c>
      <c r="AD47" s="21">
        <v>343.08383961437403</v>
      </c>
      <c r="AE47" s="22">
        <v>6.0296397189407797E-2</v>
      </c>
      <c r="AF47" s="22">
        <v>8.0007881599506309E-3</v>
      </c>
      <c r="AG47" s="22">
        <v>1.2535369379395599E-2</v>
      </c>
      <c r="AZ47" s="16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16">
        <f t="shared" si="10"/>
        <v>0</v>
      </c>
      <c r="BH47" s="16">
        <f t="shared" si="11"/>
        <v>0</v>
      </c>
      <c r="BI47" s="16">
        <f t="shared" si="12"/>
        <v>0</v>
      </c>
      <c r="BJ47" s="10">
        <f t="shared" si="13"/>
        <v>0</v>
      </c>
      <c r="BL47" s="16"/>
      <c r="BN47">
        <f t="shared" si="14"/>
        <v>0</v>
      </c>
      <c r="BO47">
        <f t="shared" si="15"/>
        <v>0</v>
      </c>
      <c r="BP47">
        <f t="shared" si="16"/>
        <v>0</v>
      </c>
      <c r="BQ47">
        <f t="shared" si="5"/>
        <v>1</v>
      </c>
      <c r="BR47">
        <f t="shared" si="17"/>
        <v>0</v>
      </c>
      <c r="BS47" s="16">
        <f t="shared" si="18"/>
        <v>0</v>
      </c>
      <c r="BT47" s="16">
        <f t="shared" si="19"/>
        <v>0</v>
      </c>
      <c r="BU47" s="16">
        <f t="shared" si="20"/>
        <v>0</v>
      </c>
      <c r="BV47" s="10">
        <f t="shared" si="21"/>
        <v>0</v>
      </c>
      <c r="BX47" s="10">
        <f t="shared" si="22"/>
        <v>0</v>
      </c>
      <c r="BY47" s="10">
        <f t="shared" si="23"/>
        <v>0</v>
      </c>
    </row>
    <row r="48" spans="1:98" x14ac:dyDescent="0.3">
      <c r="A48" s="1">
        <v>46092</v>
      </c>
      <c r="B48" s="21">
        <v>401.03</v>
      </c>
      <c r="C48" s="21">
        <v>342.09</v>
      </c>
      <c r="D48" s="22">
        <v>9.2690678155494394E-3</v>
      </c>
      <c r="E48" s="22">
        <v>9.6343820564572993E-3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401.03</v>
      </c>
      <c r="M48" s="21">
        <v>342.09</v>
      </c>
      <c r="N48" s="23">
        <v>0.85302845173677699</v>
      </c>
      <c r="O48" s="23">
        <v>0.90525826694812095</v>
      </c>
      <c r="P48" s="23">
        <v>0.85741590217544394</v>
      </c>
      <c r="Q48" s="23">
        <v>0.86197326625432202</v>
      </c>
      <c r="R48" s="21">
        <v>363.03572279420501</v>
      </c>
      <c r="S48" s="21">
        <v>344.27045982760399</v>
      </c>
      <c r="T48" s="21">
        <v>345.982211663371</v>
      </c>
      <c r="U48" s="22">
        <v>5.9427378986929201E-2</v>
      </c>
      <c r="V48" s="22">
        <v>6.3537085557274497E-3</v>
      </c>
      <c r="W48" s="22">
        <v>1.1313502021199301E-2</v>
      </c>
      <c r="X48" s="23">
        <v>0.85302845173677699</v>
      </c>
      <c r="Y48" s="23">
        <v>0.90571436398272598</v>
      </c>
      <c r="Z48" s="23">
        <v>0.85741590217544394</v>
      </c>
      <c r="AA48" s="23">
        <v>0.86197326625432202</v>
      </c>
      <c r="AB48" s="21">
        <v>363.21863138799199</v>
      </c>
      <c r="AC48" s="21">
        <v>344.27045982760399</v>
      </c>
      <c r="AD48" s="21">
        <v>345.982211663371</v>
      </c>
      <c r="AE48" s="22">
        <v>5.99310829484999E-2</v>
      </c>
      <c r="AF48" s="22">
        <v>6.3537085557274497E-3</v>
      </c>
      <c r="AG48" s="22">
        <v>1.1313502021199301E-2</v>
      </c>
      <c r="AZ48" s="16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16">
        <f t="shared" si="10"/>
        <v>0</v>
      </c>
      <c r="BH48" s="16">
        <f t="shared" si="11"/>
        <v>0</v>
      </c>
      <c r="BI48" s="16">
        <f t="shared" si="12"/>
        <v>0</v>
      </c>
      <c r="BJ48" s="10">
        <f t="shared" si="13"/>
        <v>0</v>
      </c>
      <c r="BL48" s="16"/>
      <c r="BN48">
        <f t="shared" si="14"/>
        <v>0</v>
      </c>
      <c r="BO48">
        <f t="shared" si="15"/>
        <v>0</v>
      </c>
      <c r="BP48">
        <f t="shared" si="16"/>
        <v>0</v>
      </c>
      <c r="BQ48">
        <f t="shared" si="5"/>
        <v>1</v>
      </c>
      <c r="BR48">
        <f t="shared" si="17"/>
        <v>0</v>
      </c>
      <c r="BS48" s="16">
        <f t="shared" si="18"/>
        <v>0</v>
      </c>
      <c r="BT48" s="16">
        <f t="shared" si="19"/>
        <v>0</v>
      </c>
      <c r="BU48" s="16">
        <f t="shared" si="20"/>
        <v>0</v>
      </c>
      <c r="BV48" s="10">
        <f t="shared" si="21"/>
        <v>0</v>
      </c>
      <c r="BX48" s="10">
        <f t="shared" si="22"/>
        <v>0</v>
      </c>
      <c r="BY48" s="10">
        <f t="shared" si="23"/>
        <v>0</v>
      </c>
    </row>
    <row r="49" spans="1:77" x14ac:dyDescent="0.3">
      <c r="A49" s="1">
        <v>46093</v>
      </c>
      <c r="B49" s="21">
        <v>388.13</v>
      </c>
      <c r="C49" s="21">
        <v>330.19</v>
      </c>
      <c r="D49" s="22">
        <v>-3.2695902423369401E-2</v>
      </c>
      <c r="E49" s="22">
        <v>-3.5405613985893099E-2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388.13</v>
      </c>
      <c r="M49" s="21">
        <v>330.19</v>
      </c>
      <c r="N49" s="23">
        <v>0.85072011954757398</v>
      </c>
      <c r="O49" s="23">
        <v>0.90525826694812095</v>
      </c>
      <c r="P49" s="23">
        <v>0.85588807432048797</v>
      </c>
      <c r="Q49" s="23">
        <v>0.86108866371634296</v>
      </c>
      <c r="R49" s="21">
        <v>351.35789115057401</v>
      </c>
      <c r="S49" s="21">
        <v>332.78883411135502</v>
      </c>
      <c r="T49" s="21">
        <v>334.55768383128998</v>
      </c>
      <c r="U49" s="22">
        <v>6.2137090549452802E-2</v>
      </c>
      <c r="V49" s="22">
        <v>7.8399106846191204E-3</v>
      </c>
      <c r="W49" s="22">
        <v>1.3141066275494001E-2</v>
      </c>
      <c r="X49" s="23">
        <v>0.85072011954757398</v>
      </c>
      <c r="Y49" s="23">
        <v>0.90571436398272598</v>
      </c>
      <c r="Z49" s="23">
        <v>0.85588807432048797</v>
      </c>
      <c r="AA49" s="23">
        <v>0.86108866371634296</v>
      </c>
      <c r="AB49" s="21">
        <v>351.53491609261499</v>
      </c>
      <c r="AC49" s="21">
        <v>332.78883411135502</v>
      </c>
      <c r="AD49" s="21">
        <v>334.55768383128998</v>
      </c>
      <c r="AE49" s="22">
        <v>6.2640794511023404E-2</v>
      </c>
      <c r="AF49" s="22">
        <v>7.8399106846191204E-3</v>
      </c>
      <c r="AG49" s="22">
        <v>1.3141066275494001E-2</v>
      </c>
      <c r="AZ49" s="16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16">
        <f t="shared" si="10"/>
        <v>0</v>
      </c>
      <c r="BH49" s="16">
        <f t="shared" si="11"/>
        <v>0</v>
      </c>
      <c r="BI49" s="16">
        <f t="shared" si="12"/>
        <v>0</v>
      </c>
      <c r="BJ49" s="10">
        <f t="shared" si="13"/>
        <v>0</v>
      </c>
      <c r="BL49" s="16"/>
      <c r="BN49">
        <f t="shared" si="14"/>
        <v>0</v>
      </c>
      <c r="BO49">
        <f t="shared" si="15"/>
        <v>0</v>
      </c>
      <c r="BP49">
        <f t="shared" si="16"/>
        <v>0</v>
      </c>
      <c r="BQ49">
        <f t="shared" si="5"/>
        <v>1</v>
      </c>
      <c r="BR49">
        <f t="shared" si="17"/>
        <v>0</v>
      </c>
      <c r="BS49" s="16">
        <f t="shared" si="18"/>
        <v>0</v>
      </c>
      <c r="BT49" s="16">
        <f t="shared" si="19"/>
        <v>0</v>
      </c>
      <c r="BU49" s="16">
        <f t="shared" si="20"/>
        <v>0</v>
      </c>
      <c r="BV49" s="10">
        <f t="shared" si="21"/>
        <v>0</v>
      </c>
      <c r="BX49" s="10">
        <f t="shared" si="22"/>
        <v>0</v>
      </c>
      <c r="BY49" s="10">
        <f t="shared" si="23"/>
        <v>0</v>
      </c>
    </row>
    <row r="50" spans="1:77" x14ac:dyDescent="0.3">
      <c r="A50" s="1">
        <v>46094</v>
      </c>
      <c r="B50" s="21">
        <v>387.33</v>
      </c>
      <c r="C50" s="21">
        <v>331.32</v>
      </c>
      <c r="D50" s="22">
        <v>-2.0632921976932801E-3</v>
      </c>
      <c r="E50" s="22">
        <v>3.4164293785796601E-3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387.33</v>
      </c>
      <c r="M50" s="21">
        <v>331.32</v>
      </c>
      <c r="N50" s="23">
        <v>0.85539462473859496</v>
      </c>
      <c r="O50" s="23">
        <v>0.90525826694812095</v>
      </c>
      <c r="P50" s="23">
        <v>0.85473560579550401</v>
      </c>
      <c r="Q50" s="23">
        <v>0.86058194276051703</v>
      </c>
      <c r="R50" s="21">
        <v>350.63368453701599</v>
      </c>
      <c r="S50" s="21">
        <v>331.511127826554</v>
      </c>
      <c r="T50" s="21">
        <v>333.52547211725101</v>
      </c>
      <c r="U50" s="22">
        <v>5.66573689731798E-2</v>
      </c>
      <c r="V50" s="22">
        <v>5.7670143669475305E-4</v>
      </c>
      <c r="W50" s="22">
        <v>6.6345648716242796E-3</v>
      </c>
      <c r="X50" s="23">
        <v>0.85539462473859496</v>
      </c>
      <c r="Y50" s="23">
        <v>0.90571436398272598</v>
      </c>
      <c r="Z50" s="23">
        <v>0.85473560579550401</v>
      </c>
      <c r="AA50" s="23">
        <v>0.86058194276051703</v>
      </c>
      <c r="AB50" s="21">
        <v>350.81034460142899</v>
      </c>
      <c r="AC50" s="21">
        <v>331.511127826554</v>
      </c>
      <c r="AD50" s="21">
        <v>333.52547211725101</v>
      </c>
      <c r="AE50" s="22">
        <v>5.7161072934750402E-2</v>
      </c>
      <c r="AF50" s="22">
        <v>5.7670143669475305E-4</v>
      </c>
      <c r="AG50" s="22">
        <v>6.6345648716242796E-3</v>
      </c>
      <c r="AZ50" s="16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16">
        <f t="shared" si="10"/>
        <v>0</v>
      </c>
      <c r="BH50" s="16">
        <f t="shared" si="11"/>
        <v>0</v>
      </c>
      <c r="BI50" s="16">
        <f t="shared" si="12"/>
        <v>0</v>
      </c>
      <c r="BJ50" s="10">
        <f t="shared" si="13"/>
        <v>0</v>
      </c>
      <c r="BL50" s="16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16">
        <f t="shared" si="18"/>
        <v>0</v>
      </c>
      <c r="BT50" s="16">
        <f t="shared" si="19"/>
        <v>0</v>
      </c>
      <c r="BU50" s="16">
        <f t="shared" si="20"/>
        <v>0</v>
      </c>
      <c r="BV50" s="10">
        <f t="shared" si="21"/>
        <v>0</v>
      </c>
      <c r="BX50" s="10">
        <f t="shared" si="22"/>
        <v>0</v>
      </c>
      <c r="BY50" s="10">
        <f t="shared" si="23"/>
        <v>0</v>
      </c>
    </row>
    <row r="51" spans="1:77" x14ac:dyDescent="0.3">
      <c r="A51" s="1">
        <v>46097</v>
      </c>
      <c r="B51" s="21">
        <v>393.92</v>
      </c>
      <c r="C51" s="21">
        <v>337.83</v>
      </c>
      <c r="D51" s="22">
        <v>1.68708001413518E-2</v>
      </c>
      <c r="E51" s="22">
        <v>1.9458134646980398E-2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393.92</v>
      </c>
      <c r="M51" s="21">
        <v>337.83</v>
      </c>
      <c r="N51" s="23">
        <v>0.85761068237205496</v>
      </c>
      <c r="O51" s="23">
        <v>0.90525826694812095</v>
      </c>
      <c r="P51" s="23">
        <v>0.85386806604530796</v>
      </c>
      <c r="Q51" s="23">
        <v>0.85996939339045098</v>
      </c>
      <c r="R51" s="21">
        <v>356.599336516204</v>
      </c>
      <c r="S51" s="21">
        <v>336.69744983496503</v>
      </c>
      <c r="T51" s="21">
        <v>339.00043889222297</v>
      </c>
      <c r="U51" s="22">
        <v>5.4070034467551098E-2</v>
      </c>
      <c r="V51" s="22">
        <v>-3.3580582364257702E-3</v>
      </c>
      <c r="W51" s="22">
        <v>3.4585916698934901E-3</v>
      </c>
      <c r="X51" s="23">
        <v>0.85761068237205496</v>
      </c>
      <c r="Y51" s="23">
        <v>0.90571436398272598</v>
      </c>
      <c r="Z51" s="23">
        <v>0.85386806604530796</v>
      </c>
      <c r="AA51" s="23">
        <v>0.85996939339045098</v>
      </c>
      <c r="AB51" s="21">
        <v>356.779002260075</v>
      </c>
      <c r="AC51" s="21">
        <v>336.69744983496503</v>
      </c>
      <c r="AD51" s="21">
        <v>339.00043889222297</v>
      </c>
      <c r="AE51" s="22">
        <v>5.45737384291217E-2</v>
      </c>
      <c r="AF51" s="22">
        <v>-3.3580582364257702E-3</v>
      </c>
      <c r="AG51" s="22">
        <v>3.4585916698934901E-3</v>
      </c>
      <c r="AZ51" s="16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0</v>
      </c>
      <c r="BF51">
        <f t="shared" si="9"/>
        <v>0</v>
      </c>
      <c r="BG51" s="16">
        <f t="shared" si="10"/>
        <v>0</v>
      </c>
      <c r="BH51" s="16">
        <f t="shared" si="11"/>
        <v>0</v>
      </c>
      <c r="BI51" s="16">
        <f t="shared" si="12"/>
        <v>0</v>
      </c>
      <c r="BJ51" s="10">
        <f t="shared" si="13"/>
        <v>0</v>
      </c>
      <c r="BL51" s="16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0</v>
      </c>
      <c r="BR51">
        <f t="shared" si="17"/>
        <v>0</v>
      </c>
      <c r="BS51" s="16">
        <f t="shared" si="18"/>
        <v>0</v>
      </c>
      <c r="BT51" s="16">
        <f t="shared" si="19"/>
        <v>0</v>
      </c>
      <c r="BU51" s="16">
        <f t="shared" si="20"/>
        <v>0</v>
      </c>
      <c r="BV51" s="10">
        <f t="shared" si="21"/>
        <v>0</v>
      </c>
      <c r="BX51" s="10">
        <f t="shared" si="22"/>
        <v>0</v>
      </c>
      <c r="BY51" s="10">
        <f t="shared" si="23"/>
        <v>0</v>
      </c>
    </row>
    <row r="52" spans="1:77" x14ac:dyDescent="0.3">
      <c r="A52" s="1">
        <v>46098</v>
      </c>
      <c r="B52" s="21">
        <v>396.88</v>
      </c>
      <c r="C52" s="21">
        <v>340.25</v>
      </c>
      <c r="D52" s="22">
        <v>7.4861249967046999E-3</v>
      </c>
      <c r="E52" s="22">
        <v>7.1378311545315602E-3</v>
      </c>
      <c r="F52" s="21">
        <v>0</v>
      </c>
      <c r="G52" s="21">
        <v>0</v>
      </c>
      <c r="H52" s="21">
        <v>0.20794399999999999</v>
      </c>
      <c r="I52" s="21">
        <v>0.20794399999999999</v>
      </c>
      <c r="J52" s="21">
        <v>0</v>
      </c>
      <c r="K52" s="21">
        <v>0.20794399999999999</v>
      </c>
      <c r="L52" s="21">
        <v>396.88</v>
      </c>
      <c r="M52" s="21">
        <v>340.457944</v>
      </c>
      <c r="N52" s="23">
        <v>0.85731203386414001</v>
      </c>
      <c r="O52" s="23">
        <v>0.90525826694812095</v>
      </c>
      <c r="P52" s="23">
        <v>0.85399092288643497</v>
      </c>
      <c r="Q52" s="23">
        <v>0.85938820850173403</v>
      </c>
      <c r="R52" s="21">
        <v>359.27890098636999</v>
      </c>
      <c r="S52" s="21">
        <v>338.88315805206202</v>
      </c>
      <c r="T52" s="21">
        <v>341.30465284880199</v>
      </c>
      <c r="U52" s="22">
        <v>5.44183283097242E-2</v>
      </c>
      <c r="V52" s="22">
        <v>-4.0252600753709396E-3</v>
      </c>
      <c r="W52" s="22">
        <v>3.0948470124579699E-3</v>
      </c>
      <c r="X52" s="23">
        <v>0.85783598064906197</v>
      </c>
      <c r="Y52" s="23">
        <v>0.90571436398272598</v>
      </c>
      <c r="Z52" s="23">
        <v>0.85404331756492702</v>
      </c>
      <c r="AA52" s="23">
        <v>0.85941440584097994</v>
      </c>
      <c r="AB52" s="21">
        <v>359.459916777464</v>
      </c>
      <c r="AC52" s="21">
        <v>338.88315805206202</v>
      </c>
      <c r="AD52" s="21">
        <v>341.30465284880199</v>
      </c>
      <c r="AE52" s="22">
        <v>5.4311068323242402E-2</v>
      </c>
      <c r="AF52" s="22">
        <v>-4.6362240234232698E-3</v>
      </c>
      <c r="AG52" s="22">
        <v>2.4838830644057799E-3</v>
      </c>
      <c r="AZ52" s="16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16">
        <f t="shared" si="10"/>
        <v>0</v>
      </c>
      <c r="BH52" s="16">
        <f t="shared" si="11"/>
        <v>0</v>
      </c>
      <c r="BI52" s="16">
        <f t="shared" si="12"/>
        <v>0</v>
      </c>
      <c r="BJ52" s="10">
        <f t="shared" si="13"/>
        <v>0</v>
      </c>
      <c r="BL52" s="16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16">
        <f t="shared" si="18"/>
        <v>0</v>
      </c>
      <c r="BT52" s="16">
        <f t="shared" si="19"/>
        <v>0</v>
      </c>
      <c r="BU52" s="16">
        <f t="shared" si="20"/>
        <v>0</v>
      </c>
      <c r="BV52" s="10">
        <f t="shared" si="21"/>
        <v>0</v>
      </c>
      <c r="BX52" s="10">
        <f t="shared" si="22"/>
        <v>0</v>
      </c>
      <c r="BY52" s="10">
        <f t="shared" si="23"/>
        <v>0</v>
      </c>
    </row>
    <row r="53" spans="1:77" x14ac:dyDescent="0.3">
      <c r="A53" s="1">
        <v>46099</v>
      </c>
      <c r="B53" s="21">
        <v>393.67</v>
      </c>
      <c r="C53" s="21">
        <v>338.29</v>
      </c>
      <c r="D53" s="22">
        <v>-8.12097309888094E-3</v>
      </c>
      <c r="E53" s="22">
        <v>-5.7771257443235699E-3</v>
      </c>
      <c r="F53" s="21">
        <v>0</v>
      </c>
      <c r="G53" s="21">
        <v>0</v>
      </c>
      <c r="H53" s="21">
        <v>0</v>
      </c>
      <c r="I53" s="21">
        <v>0.20794399999999999</v>
      </c>
      <c r="J53" s="21">
        <v>0</v>
      </c>
      <c r="K53" s="21">
        <v>0.20794399999999999</v>
      </c>
      <c r="L53" s="21">
        <v>393.67</v>
      </c>
      <c r="M53" s="21">
        <v>338.49794400000002</v>
      </c>
      <c r="N53" s="23">
        <v>0.85932379912109103</v>
      </c>
      <c r="O53" s="23">
        <v>0.90525826694812095</v>
      </c>
      <c r="P53" s="23">
        <v>0.85434575331219997</v>
      </c>
      <c r="Q53" s="23">
        <v>0.85897541409225697</v>
      </c>
      <c r="R53" s="21">
        <v>356.37302194946699</v>
      </c>
      <c r="S53" s="21">
        <v>336.19060661270299</v>
      </c>
      <c r="T53" s="21">
        <v>338.31535604087702</v>
      </c>
      <c r="U53" s="22">
        <v>5.2074480955166702E-2</v>
      </c>
      <c r="V53" s="22">
        <v>-6.2252350819946099E-3</v>
      </c>
      <c r="W53" s="22">
        <v>7.4950754271501803E-5</v>
      </c>
      <c r="X53" s="23">
        <v>0.85985201818782198</v>
      </c>
      <c r="Y53" s="23">
        <v>0.90571436398272598</v>
      </c>
      <c r="Z53" s="23">
        <v>0.85445096989736502</v>
      </c>
      <c r="AA53" s="23">
        <v>0.85902802238484</v>
      </c>
      <c r="AB53" s="21">
        <v>356.55257366907898</v>
      </c>
      <c r="AC53" s="21">
        <v>336.21123282578498</v>
      </c>
      <c r="AD53" s="21">
        <v>338.32566914741801</v>
      </c>
      <c r="AE53" s="22">
        <v>5.1963682225349202E-2</v>
      </c>
      <c r="AF53" s="22">
        <v>-6.77838692072675E-3</v>
      </c>
      <c r="AG53" s="22">
        <v>-5.0906869368963904E-4</v>
      </c>
      <c r="AZ53" s="16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16">
        <f t="shared" si="10"/>
        <v>0</v>
      </c>
      <c r="BH53" s="16">
        <f t="shared" si="11"/>
        <v>0</v>
      </c>
      <c r="BI53" s="16">
        <f t="shared" si="12"/>
        <v>0</v>
      </c>
      <c r="BJ53" s="10">
        <f t="shared" si="13"/>
        <v>0</v>
      </c>
      <c r="BL53" s="16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16">
        <f t="shared" si="18"/>
        <v>0</v>
      </c>
      <c r="BT53" s="16">
        <f t="shared" si="19"/>
        <v>0</v>
      </c>
      <c r="BU53" s="16">
        <f t="shared" si="20"/>
        <v>0</v>
      </c>
      <c r="BV53" s="10">
        <f t="shared" si="21"/>
        <v>0</v>
      </c>
      <c r="BX53" s="10">
        <f t="shared" si="22"/>
        <v>0</v>
      </c>
      <c r="BY53" s="10">
        <f t="shared" si="23"/>
        <v>0</v>
      </c>
    </row>
    <row r="54" spans="1:77" x14ac:dyDescent="0.3">
      <c r="A54" s="1">
        <v>46100</v>
      </c>
      <c r="B54" s="21">
        <v>394.92</v>
      </c>
      <c r="C54" s="21">
        <v>340.2</v>
      </c>
      <c r="D54" s="22">
        <v>3.1702178493364401E-3</v>
      </c>
      <c r="E54" s="22">
        <v>5.6301641745094997E-3</v>
      </c>
      <c r="F54" s="21">
        <v>0</v>
      </c>
      <c r="G54" s="21">
        <v>0</v>
      </c>
      <c r="H54" s="21">
        <v>0</v>
      </c>
      <c r="I54" s="21">
        <v>0.20794399999999999</v>
      </c>
      <c r="J54" s="21">
        <v>0</v>
      </c>
      <c r="K54" s="21">
        <v>0.20794399999999999</v>
      </c>
      <c r="L54" s="21">
        <v>394.92</v>
      </c>
      <c r="M54" s="21">
        <v>340.40794399999999</v>
      </c>
      <c r="N54" s="23">
        <v>0.86144029170464897</v>
      </c>
      <c r="O54" s="23">
        <v>0.90525826694812095</v>
      </c>
      <c r="P54" s="23">
        <v>0.85505662199195998</v>
      </c>
      <c r="Q54" s="23">
        <v>0.85867346475745099</v>
      </c>
      <c r="R54" s="21">
        <v>357.50459478315202</v>
      </c>
      <c r="S54" s="21">
        <v>337.39822489805402</v>
      </c>
      <c r="T54" s="21">
        <v>339.22657053331397</v>
      </c>
      <c r="U54" s="22">
        <v>4.9614534629993698E-2</v>
      </c>
      <c r="V54" s="22">
        <v>-8.2697709839046896E-3</v>
      </c>
      <c r="W54" s="22">
        <v>-2.8654461716822199E-3</v>
      </c>
      <c r="X54" s="23">
        <v>0.86196683885343806</v>
      </c>
      <c r="Y54" s="23">
        <v>0.90571436398272598</v>
      </c>
      <c r="Z54" s="23">
        <v>0.85521449329200405</v>
      </c>
      <c r="AA54" s="23">
        <v>0.85875240040747303</v>
      </c>
      <c r="AB54" s="21">
        <v>357.68471662405801</v>
      </c>
      <c r="AC54" s="21">
        <v>337.43977703186698</v>
      </c>
      <c r="AD54" s="21">
        <v>339.24734660022102</v>
      </c>
      <c r="AE54" s="22">
        <v>4.9507184876122302E-2</v>
      </c>
      <c r="AF54" s="22">
        <v>-8.7576777107446092E-3</v>
      </c>
      <c r="AG54" s="22">
        <v>-3.41525636283076E-3</v>
      </c>
      <c r="AZ54" s="16"/>
      <c r="BB54">
        <f t="shared" si="6"/>
        <v>0</v>
      </c>
      <c r="BC54">
        <f t="shared" si="7"/>
        <v>1</v>
      </c>
      <c r="BD54">
        <f t="shared" si="8"/>
        <v>0</v>
      </c>
      <c r="BE54">
        <f t="shared" si="4"/>
        <v>1</v>
      </c>
      <c r="BF54">
        <f t="shared" si="9"/>
        <v>0</v>
      </c>
      <c r="BG54" s="16">
        <f t="shared" si="10"/>
        <v>0</v>
      </c>
      <c r="BH54" s="16">
        <f t="shared" si="11"/>
        <v>0</v>
      </c>
      <c r="BI54" s="16">
        <f t="shared" si="12"/>
        <v>0</v>
      </c>
      <c r="BJ54" s="10">
        <f t="shared" si="13"/>
        <v>0</v>
      </c>
      <c r="BL54" s="16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16">
        <f t="shared" si="18"/>
        <v>0</v>
      </c>
      <c r="BT54" s="16">
        <f t="shared" si="19"/>
        <v>0</v>
      </c>
      <c r="BU54" s="16">
        <f t="shared" si="20"/>
        <v>0</v>
      </c>
      <c r="BV54" s="10">
        <f t="shared" si="21"/>
        <v>0</v>
      </c>
      <c r="BX54" s="10">
        <f t="shared" si="22"/>
        <v>0</v>
      </c>
      <c r="BY54" s="10">
        <f t="shared" si="23"/>
        <v>0</v>
      </c>
    </row>
    <row r="55" spans="1:77" x14ac:dyDescent="0.3">
      <c r="A55" s="1">
        <v>46101</v>
      </c>
      <c r="B55" s="21">
        <v>384.74</v>
      </c>
      <c r="C55" s="21">
        <v>332.51</v>
      </c>
      <c r="D55" s="22">
        <v>-2.6115431265213498E-2</v>
      </c>
      <c r="E55" s="22">
        <v>-2.2863745130132E-2</v>
      </c>
      <c r="F55" s="21">
        <v>0</v>
      </c>
      <c r="G55" s="21">
        <v>0</v>
      </c>
      <c r="H55" s="21">
        <v>0</v>
      </c>
      <c r="I55" s="21">
        <v>0.20794399999999999</v>
      </c>
      <c r="J55" s="21">
        <v>0</v>
      </c>
      <c r="K55" s="21">
        <v>0.20794399999999999</v>
      </c>
      <c r="L55" s="21">
        <v>384.74</v>
      </c>
      <c r="M55" s="21">
        <v>332.71794399999999</v>
      </c>
      <c r="N55" s="23">
        <v>0.86424598430108601</v>
      </c>
      <c r="O55" s="23">
        <v>0.90525826694812095</v>
      </c>
      <c r="P55" s="23">
        <v>0.85647228621984095</v>
      </c>
      <c r="Q55" s="23">
        <v>0.85858407493797695</v>
      </c>
      <c r="R55" s="21">
        <v>348.28906562562003</v>
      </c>
      <c r="S55" s="21">
        <v>328.97448474518598</v>
      </c>
      <c r="T55" s="21">
        <v>330.36602883078098</v>
      </c>
      <c r="U55" s="22">
        <v>4.63628484949122E-2</v>
      </c>
      <c r="V55" s="22">
        <v>-1.06897410397188E-2</v>
      </c>
      <c r="W55" s="22">
        <v>-6.46871677974299E-3</v>
      </c>
      <c r="X55" s="23">
        <v>0.86478646358579803</v>
      </c>
      <c r="Y55" s="23">
        <v>0.90571436398272598</v>
      </c>
      <c r="Z55" s="23">
        <v>0.856684205448356</v>
      </c>
      <c r="AA55" s="23">
        <v>0.85869003455223503</v>
      </c>
      <c r="AB55" s="21">
        <v>348.464544398714</v>
      </c>
      <c r="AC55" s="21">
        <v>329.035224149165</v>
      </c>
      <c r="AD55" s="21">
        <v>330.396398532771</v>
      </c>
      <c r="AE55" s="22">
        <v>4.6241371242589098E-2</v>
      </c>
      <c r="AF55" s="22">
        <v>-1.1130306727943001E-2</v>
      </c>
      <c r="AG55" s="22">
        <v>-7.0019747826509998E-3</v>
      </c>
      <c r="AZ55" s="16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1</v>
      </c>
      <c r="BF55">
        <f t="shared" si="9"/>
        <v>0</v>
      </c>
      <c r="BG55" s="16">
        <f t="shared" si="10"/>
        <v>0</v>
      </c>
      <c r="BH55" s="16">
        <f t="shared" si="11"/>
        <v>0</v>
      </c>
      <c r="BI55" s="16">
        <f t="shared" si="12"/>
        <v>0</v>
      </c>
      <c r="BJ55" s="10">
        <f t="shared" si="13"/>
        <v>0</v>
      </c>
      <c r="BL55" s="16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16">
        <f t="shared" si="18"/>
        <v>0</v>
      </c>
      <c r="BT55" s="16">
        <f t="shared" si="19"/>
        <v>0</v>
      </c>
      <c r="BU55" s="16">
        <f t="shared" si="20"/>
        <v>0</v>
      </c>
      <c r="BV55" s="10">
        <f t="shared" si="21"/>
        <v>0</v>
      </c>
      <c r="BX55" s="10">
        <f t="shared" si="22"/>
        <v>0</v>
      </c>
      <c r="BY55" s="10">
        <f t="shared" si="23"/>
        <v>0</v>
      </c>
    </row>
    <row r="56" spans="1:77" x14ac:dyDescent="0.3">
      <c r="A56" s="1">
        <v>46104</v>
      </c>
      <c r="B56" s="21">
        <v>391.36</v>
      </c>
      <c r="C56" s="21">
        <v>336.59</v>
      </c>
      <c r="D56" s="22">
        <v>1.70600710207722E-2</v>
      </c>
      <c r="E56" s="22">
        <v>1.21956376305212E-2</v>
      </c>
      <c r="F56" s="21">
        <v>0</v>
      </c>
      <c r="G56" s="21">
        <v>0</v>
      </c>
      <c r="H56" s="21">
        <v>0</v>
      </c>
      <c r="I56" s="21">
        <v>0.20794399999999999</v>
      </c>
      <c r="J56" s="21">
        <v>0</v>
      </c>
      <c r="K56" s="21">
        <v>0.20794399999999999</v>
      </c>
      <c r="L56" s="21">
        <v>391.36</v>
      </c>
      <c r="M56" s="21">
        <v>336.79794399999997</v>
      </c>
      <c r="N56" s="23">
        <v>0.86005212591986901</v>
      </c>
      <c r="O56" s="23">
        <v>0.90525826694812095</v>
      </c>
      <c r="P56" s="23">
        <v>0.85718449985145995</v>
      </c>
      <c r="Q56" s="23">
        <v>0.85837557873445502</v>
      </c>
      <c r="R56" s="21">
        <v>354.28187535281597</v>
      </c>
      <c r="S56" s="21">
        <v>335.18899393499697</v>
      </c>
      <c r="T56" s="21">
        <v>336.01546356772599</v>
      </c>
      <c r="U56" s="22">
        <v>5.1227281885163199E-2</v>
      </c>
      <c r="V56" s="22">
        <v>-4.1710387160820497E-3</v>
      </c>
      <c r="W56" s="22">
        <v>-1.7083910349533101E-3</v>
      </c>
      <c r="X56" s="23">
        <v>0.86058346279640197</v>
      </c>
      <c r="Y56" s="23">
        <v>0.90571436398272598</v>
      </c>
      <c r="Z56" s="23">
        <v>0.85744955276762902</v>
      </c>
      <c r="AA56" s="23">
        <v>0.85850810519253995</v>
      </c>
      <c r="AB56" s="21">
        <v>354.460373488279</v>
      </c>
      <c r="AC56" s="21">
        <v>335.27193064426802</v>
      </c>
      <c r="AD56" s="21">
        <v>336.05693192236203</v>
      </c>
      <c r="AE56" s="22">
        <v>5.11133804724095E-2</v>
      </c>
      <c r="AF56" s="22">
        <v>-4.5412420222043096E-3</v>
      </c>
      <c r="AG56" s="22">
        <v>-2.2025919815198401E-3</v>
      </c>
      <c r="AZ56" s="16"/>
      <c r="BB56">
        <f t="shared" si="6"/>
        <v>0</v>
      </c>
      <c r="BC56">
        <f t="shared" si="7"/>
        <v>1</v>
      </c>
      <c r="BD56">
        <f t="shared" si="8"/>
        <v>0</v>
      </c>
      <c r="BE56">
        <f t="shared" si="4"/>
        <v>1</v>
      </c>
      <c r="BF56">
        <f t="shared" si="9"/>
        <v>0</v>
      </c>
      <c r="BG56" s="16">
        <f t="shared" si="10"/>
        <v>0</v>
      </c>
      <c r="BH56" s="16">
        <f t="shared" si="11"/>
        <v>0</v>
      </c>
      <c r="BI56" s="16">
        <f t="shared" si="12"/>
        <v>0</v>
      </c>
      <c r="BJ56" s="10">
        <f t="shared" si="13"/>
        <v>0</v>
      </c>
      <c r="BL56" s="16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16">
        <f t="shared" si="18"/>
        <v>0</v>
      </c>
      <c r="BT56" s="16">
        <f t="shared" si="19"/>
        <v>0</v>
      </c>
      <c r="BU56" s="16">
        <f t="shared" si="20"/>
        <v>0</v>
      </c>
      <c r="BV56" s="10">
        <f t="shared" si="21"/>
        <v>0</v>
      </c>
      <c r="BX56" s="10">
        <f t="shared" si="22"/>
        <v>0</v>
      </c>
      <c r="BY56" s="10">
        <f t="shared" si="23"/>
        <v>0</v>
      </c>
    </row>
    <row r="57" spans="1:77" x14ac:dyDescent="0.3">
      <c r="A57" s="1">
        <v>46105</v>
      </c>
      <c r="B57" s="21">
        <v>394.59</v>
      </c>
      <c r="C57" s="21">
        <v>341.02</v>
      </c>
      <c r="D57" s="22">
        <v>8.2193986499892093E-3</v>
      </c>
      <c r="E57" s="22">
        <v>1.3075554127855001E-2</v>
      </c>
      <c r="F57" s="21">
        <v>0</v>
      </c>
      <c r="G57" s="21">
        <v>0</v>
      </c>
      <c r="H57" s="21">
        <v>0</v>
      </c>
      <c r="I57" s="21">
        <v>0.20794399999999999</v>
      </c>
      <c r="J57" s="21">
        <v>0</v>
      </c>
      <c r="K57" s="21">
        <v>0.20794399999999999</v>
      </c>
      <c r="L57" s="21">
        <v>394.59</v>
      </c>
      <c r="M57" s="21">
        <v>341.22794399999998</v>
      </c>
      <c r="N57" s="23">
        <v>0.86423883017815895</v>
      </c>
      <c r="O57" s="23">
        <v>0.90525826694812095</v>
      </c>
      <c r="P57" s="23">
        <v>0.85833669434839899</v>
      </c>
      <c r="Q57" s="23">
        <v>0.858401147497872</v>
      </c>
      <c r="R57" s="21">
        <v>357.20585955505902</v>
      </c>
      <c r="S57" s="21">
        <v>338.23643179638702</v>
      </c>
      <c r="T57" s="21">
        <v>338.70641961282797</v>
      </c>
      <c r="U57" s="22">
        <v>4.6371126407297403E-2</v>
      </c>
      <c r="V57" s="22">
        <v>-8.1959732885529997E-3</v>
      </c>
      <c r="W57" s="22">
        <v>-6.8074132617270003E-3</v>
      </c>
      <c r="X57" s="23">
        <v>0.86476581768417804</v>
      </c>
      <c r="Y57" s="23">
        <v>0.90571436398272598</v>
      </c>
      <c r="Z57" s="23">
        <v>0.85865444601517005</v>
      </c>
      <c r="AA57" s="23">
        <v>0.85856002333125703</v>
      </c>
      <c r="AB57" s="21">
        <v>357.38583088394302</v>
      </c>
      <c r="AC57" s="21">
        <v>338.34101902657801</v>
      </c>
      <c r="AD57" s="21">
        <v>338.75871322792398</v>
      </c>
      <c r="AE57" s="22">
        <v>4.6265245515537401E-2</v>
      </c>
      <c r="AF57" s="22">
        <v>-8.4963925588543796E-3</v>
      </c>
      <c r="AG57" s="22">
        <v>-7.2626178741733603E-3</v>
      </c>
      <c r="AZ57" s="16"/>
      <c r="BB57">
        <f t="shared" si="6"/>
        <v>0</v>
      </c>
      <c r="BC57">
        <f t="shared" si="7"/>
        <v>1</v>
      </c>
      <c r="BD57">
        <f t="shared" si="8"/>
        <v>0</v>
      </c>
      <c r="BE57">
        <f t="shared" si="4"/>
        <v>1</v>
      </c>
      <c r="BF57">
        <f t="shared" si="9"/>
        <v>0</v>
      </c>
      <c r="BG57" s="16">
        <f t="shared" si="10"/>
        <v>0</v>
      </c>
      <c r="BH57" s="16">
        <f t="shared" si="11"/>
        <v>0</v>
      </c>
      <c r="BI57" s="16">
        <f t="shared" si="12"/>
        <v>0</v>
      </c>
      <c r="BJ57" s="10">
        <f t="shared" si="13"/>
        <v>0</v>
      </c>
      <c r="BL57" s="16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16">
        <f t="shared" si="18"/>
        <v>0</v>
      </c>
      <c r="BT57" s="16">
        <f t="shared" si="19"/>
        <v>0</v>
      </c>
      <c r="BU57" s="16">
        <f t="shared" si="20"/>
        <v>0</v>
      </c>
      <c r="BV57" s="10">
        <f t="shared" si="21"/>
        <v>0</v>
      </c>
      <c r="BX57" s="10">
        <f t="shared" si="22"/>
        <v>0</v>
      </c>
      <c r="BY57" s="10">
        <f t="shared" si="23"/>
        <v>0</v>
      </c>
    </row>
    <row r="58" spans="1:77" x14ac:dyDescent="0.3">
      <c r="A58" s="1">
        <v>46106</v>
      </c>
      <c r="B58" s="21">
        <v>399.02</v>
      </c>
      <c r="C58" s="21">
        <v>345.25</v>
      </c>
      <c r="D58" s="22">
        <v>1.1164289798118201E-2</v>
      </c>
      <c r="E58" s="22">
        <v>1.23276656993959E-2</v>
      </c>
      <c r="F58" s="21">
        <v>0</v>
      </c>
      <c r="G58" s="21">
        <v>0</v>
      </c>
      <c r="H58" s="21">
        <v>0</v>
      </c>
      <c r="I58" s="21">
        <v>0.20794399999999999</v>
      </c>
      <c r="J58" s="21">
        <v>0</v>
      </c>
      <c r="K58" s="21">
        <v>0.20794399999999999</v>
      </c>
      <c r="L58" s="21">
        <v>399.02</v>
      </c>
      <c r="M58" s="21">
        <v>345.457944</v>
      </c>
      <c r="N58" s="23">
        <v>0.86524484988221095</v>
      </c>
      <c r="O58" s="23">
        <v>0.90525826694812095</v>
      </c>
      <c r="P58" s="23">
        <v>0.85955833416294303</v>
      </c>
      <c r="Q58" s="23">
        <v>0.85848711816919299</v>
      </c>
      <c r="R58" s="21">
        <v>361.216153677639</v>
      </c>
      <c r="S58" s="21">
        <v>342.49350777889799</v>
      </c>
      <c r="T58" s="21">
        <v>342.51922587460098</v>
      </c>
      <c r="U58" s="22">
        <v>4.5207750506019703E-2</v>
      </c>
      <c r="V58" s="22">
        <v>-8.0160901568545901E-3</v>
      </c>
      <c r="W58" s="22">
        <v>-7.9410022221309308E-3</v>
      </c>
      <c r="X58" s="23">
        <v>0.86576598666733495</v>
      </c>
      <c r="Y58" s="23">
        <v>0.90571436398272598</v>
      </c>
      <c r="Z58" s="23">
        <v>0.85992819950822597</v>
      </c>
      <c r="AA58" s="23">
        <v>0.85867205084183496</v>
      </c>
      <c r="AB58" s="21">
        <v>361.39814551638699</v>
      </c>
      <c r="AC58" s="21">
        <v>342.62029704897299</v>
      </c>
      <c r="AD58" s="21">
        <v>342.58262050963799</v>
      </c>
      <c r="AE58" s="22">
        <v>4.5109335994540298E-2</v>
      </c>
      <c r="AF58" s="22">
        <v>-8.2480824680063805E-3</v>
      </c>
      <c r="AG58" s="22">
        <v>-8.3580543855428895E-3</v>
      </c>
      <c r="AZ58" s="16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16">
        <f t="shared" si="10"/>
        <v>0</v>
      </c>
      <c r="BH58" s="16">
        <f t="shared" si="11"/>
        <v>0</v>
      </c>
      <c r="BI58" s="16">
        <f t="shared" si="12"/>
        <v>0</v>
      </c>
      <c r="BJ58" s="10">
        <f t="shared" si="13"/>
        <v>0</v>
      </c>
      <c r="BL58" s="16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16">
        <f t="shared" si="18"/>
        <v>0</v>
      </c>
      <c r="BT58" s="16">
        <f t="shared" si="19"/>
        <v>0</v>
      </c>
      <c r="BU58" s="16">
        <f t="shared" si="20"/>
        <v>0</v>
      </c>
      <c r="BV58" s="10">
        <f t="shared" si="21"/>
        <v>0</v>
      </c>
      <c r="BX58" s="10">
        <f t="shared" si="22"/>
        <v>0</v>
      </c>
      <c r="BY58" s="10">
        <f t="shared" si="23"/>
        <v>0</v>
      </c>
    </row>
    <row r="59" spans="1:77" x14ac:dyDescent="0.3">
      <c r="A59" s="1">
        <v>46107</v>
      </c>
      <c r="B59" s="21">
        <v>380.84</v>
      </c>
      <c r="C59" s="21">
        <v>328.85</v>
      </c>
      <c r="D59" s="22">
        <v>-4.6632201529424502E-2</v>
      </c>
      <c r="E59" s="22">
        <v>-4.8667072542041299E-2</v>
      </c>
      <c r="F59" s="21">
        <v>0</v>
      </c>
      <c r="G59" s="21">
        <v>0</v>
      </c>
      <c r="H59" s="21">
        <v>0</v>
      </c>
      <c r="I59" s="21">
        <v>0.20794399999999999</v>
      </c>
      <c r="J59" s="21">
        <v>0</v>
      </c>
      <c r="K59" s="21">
        <v>0.20794399999999999</v>
      </c>
      <c r="L59" s="21">
        <v>380.84</v>
      </c>
      <c r="M59" s="21">
        <v>329.05794400000002</v>
      </c>
      <c r="N59" s="23">
        <v>0.86348597836361696</v>
      </c>
      <c r="O59" s="23">
        <v>0.90525826694812095</v>
      </c>
      <c r="P59" s="23">
        <v>0.86083492004454698</v>
      </c>
      <c r="Q59" s="23">
        <v>0.85836149718251697</v>
      </c>
      <c r="R59" s="21">
        <v>344.75855838452202</v>
      </c>
      <c r="S59" s="21">
        <v>327.35419598261501</v>
      </c>
      <c r="T59" s="21">
        <v>326.946234083555</v>
      </c>
      <c r="U59" s="22">
        <v>4.7242621518636597E-2</v>
      </c>
      <c r="V59" s="22">
        <v>-4.5589669108986102E-3</v>
      </c>
      <c r="W59" s="22">
        <v>-5.8059841316734501E-3</v>
      </c>
      <c r="X59" s="23">
        <v>0.86403199243776896</v>
      </c>
      <c r="Y59" s="23">
        <v>0.90571436398272598</v>
      </c>
      <c r="Z59" s="23">
        <v>0.86125938679724501</v>
      </c>
      <c r="AA59" s="23">
        <v>0.85857373055886599</v>
      </c>
      <c r="AB59" s="21">
        <v>344.93225837918101</v>
      </c>
      <c r="AC59" s="21">
        <v>327.495055500712</v>
      </c>
      <c r="AD59" s="21">
        <v>327.01666384260398</v>
      </c>
      <c r="AE59" s="22">
        <v>4.7114188389233001E-2</v>
      </c>
      <c r="AF59" s="22">
        <v>-4.7608995847462201E-3</v>
      </c>
      <c r="AG59" s="22">
        <v>-6.22272747616917E-3</v>
      </c>
      <c r="AZ59" s="16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16">
        <f t="shared" si="10"/>
        <v>0</v>
      </c>
      <c r="BH59" s="16">
        <f t="shared" si="11"/>
        <v>0</v>
      </c>
      <c r="BI59" s="16">
        <f t="shared" si="12"/>
        <v>0</v>
      </c>
      <c r="BJ59" s="10">
        <f t="shared" si="13"/>
        <v>0</v>
      </c>
      <c r="BL59" s="16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16">
        <f t="shared" si="18"/>
        <v>0</v>
      </c>
      <c r="BT59" s="16">
        <f t="shared" si="19"/>
        <v>0</v>
      </c>
      <c r="BU59" s="16">
        <f t="shared" si="20"/>
        <v>0</v>
      </c>
      <c r="BV59" s="10">
        <f t="shared" si="21"/>
        <v>0</v>
      </c>
      <c r="BX59" s="10">
        <f t="shared" si="22"/>
        <v>0</v>
      </c>
      <c r="BY59" s="10">
        <f t="shared" si="23"/>
        <v>0</v>
      </c>
    </row>
    <row r="60" spans="1:77" x14ac:dyDescent="0.3">
      <c r="A60" s="1">
        <v>46108</v>
      </c>
      <c r="B60" s="21">
        <v>374.25</v>
      </c>
      <c r="C60" s="21">
        <v>323.48</v>
      </c>
      <c r="D60" s="22">
        <v>-1.7455316117752799E-2</v>
      </c>
      <c r="E60" s="22">
        <v>-1.6464431519738601E-2</v>
      </c>
      <c r="F60" s="21">
        <v>0</v>
      </c>
      <c r="G60" s="21">
        <v>0</v>
      </c>
      <c r="H60" s="21">
        <v>0</v>
      </c>
      <c r="I60" s="21">
        <v>0.20794399999999999</v>
      </c>
      <c r="J60" s="21">
        <v>0</v>
      </c>
      <c r="K60" s="21">
        <v>0.20794399999999999</v>
      </c>
      <c r="L60" s="21">
        <v>374.25</v>
      </c>
      <c r="M60" s="21">
        <v>323.68794400000002</v>
      </c>
      <c r="N60" s="23">
        <v>0.86434201736806904</v>
      </c>
      <c r="O60" s="23">
        <v>0.90525826694812095</v>
      </c>
      <c r="P60" s="23">
        <v>0.86172965930749401</v>
      </c>
      <c r="Q60" s="23">
        <v>0.85823263255149895</v>
      </c>
      <c r="R60" s="21">
        <v>338.79290640533401</v>
      </c>
      <c r="S60" s="21">
        <v>322.16746882667098</v>
      </c>
      <c r="T60" s="21">
        <v>321.24179032055702</v>
      </c>
      <c r="U60" s="22">
        <v>4.6251736920622601E-2</v>
      </c>
      <c r="V60" s="22">
        <v>-4.0657883590685196E-3</v>
      </c>
      <c r="W60" s="22">
        <v>-6.9432077671272097E-3</v>
      </c>
      <c r="X60" s="23">
        <v>0.86489764595858298</v>
      </c>
      <c r="Y60" s="23">
        <v>0.90571436398272598</v>
      </c>
      <c r="Z60" s="23">
        <v>0.86220968891924399</v>
      </c>
      <c r="AA60" s="23">
        <v>0.85847264735737405</v>
      </c>
      <c r="AB60" s="21">
        <v>338.963600720535</v>
      </c>
      <c r="AC60" s="21">
        <v>322.32632550886899</v>
      </c>
      <c r="AD60" s="21">
        <v>321.321218661655</v>
      </c>
      <c r="AE60" s="22">
        <v>4.6112813233267998E-2</v>
      </c>
      <c r="AF60" s="22">
        <v>-4.2154502515796598E-3</v>
      </c>
      <c r="AG60" s="22">
        <v>-7.3386119052279899E-3</v>
      </c>
      <c r="AZ60" s="16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16">
        <f t="shared" si="10"/>
        <v>0</v>
      </c>
      <c r="BH60" s="16">
        <f t="shared" si="11"/>
        <v>0</v>
      </c>
      <c r="BI60" s="16">
        <f t="shared" si="12"/>
        <v>0</v>
      </c>
      <c r="BJ60" s="10">
        <f t="shared" si="13"/>
        <v>0</v>
      </c>
      <c r="BL60" s="16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16">
        <f t="shared" si="18"/>
        <v>0</v>
      </c>
      <c r="BT60" s="16">
        <f t="shared" si="19"/>
        <v>0</v>
      </c>
      <c r="BU60" s="16">
        <f t="shared" si="20"/>
        <v>0</v>
      </c>
      <c r="BV60" s="10">
        <f t="shared" si="21"/>
        <v>0</v>
      </c>
      <c r="BX60" s="10">
        <f t="shared" si="22"/>
        <v>0</v>
      </c>
      <c r="BY60" s="10">
        <f t="shared" si="23"/>
        <v>0</v>
      </c>
    </row>
    <row r="61" spans="1:77" x14ac:dyDescent="0.3">
      <c r="A61" s="1">
        <v>46111</v>
      </c>
      <c r="B61" s="21">
        <v>362.53</v>
      </c>
      <c r="C61" s="21">
        <v>309.79000000000002</v>
      </c>
      <c r="D61" s="22">
        <v>-3.18167938086244E-2</v>
      </c>
      <c r="E61" s="22">
        <v>-4.3242639655433901E-2</v>
      </c>
      <c r="F61" s="21">
        <v>0</v>
      </c>
      <c r="G61" s="21">
        <v>0</v>
      </c>
      <c r="H61" s="21">
        <v>0</v>
      </c>
      <c r="I61" s="21">
        <v>0.20794399999999999</v>
      </c>
      <c r="J61" s="21">
        <v>0</v>
      </c>
      <c r="K61" s="21">
        <v>0.20794399999999999</v>
      </c>
      <c r="L61" s="21">
        <v>362.53</v>
      </c>
      <c r="M61" s="21">
        <v>309.99794400000002</v>
      </c>
      <c r="N61" s="23">
        <v>0.85452238435439798</v>
      </c>
      <c r="O61" s="23">
        <v>0.90525826694812095</v>
      </c>
      <c r="P61" s="23">
        <v>0.86142082950572896</v>
      </c>
      <c r="Q61" s="23">
        <v>0.85764444777551796</v>
      </c>
      <c r="R61" s="21">
        <v>328.18327951670199</v>
      </c>
      <c r="S61" s="21">
        <v>312.402853388746</v>
      </c>
      <c r="T61" s="21">
        <v>311.13507627889499</v>
      </c>
      <c r="U61" s="22">
        <v>5.7677582767432102E-2</v>
      </c>
      <c r="V61" s="22">
        <v>8.3989031184236104E-3</v>
      </c>
      <c r="W61" s="22">
        <v>4.3324981846097699E-3</v>
      </c>
      <c r="X61" s="23">
        <v>0.855095975505475</v>
      </c>
      <c r="Y61" s="23">
        <v>0.90571436398272598</v>
      </c>
      <c r="Z61" s="23">
        <v>0.861958218232586</v>
      </c>
      <c r="AA61" s="23">
        <v>0.85791314213894698</v>
      </c>
      <c r="AB61" s="21">
        <v>328.34862837465698</v>
      </c>
      <c r="AC61" s="21">
        <v>312.57687852389301</v>
      </c>
      <c r="AD61" s="21">
        <v>311.22208884646801</v>
      </c>
      <c r="AE61" s="22">
        <v>5.7510270102056102E-2</v>
      </c>
      <c r="AF61" s="22">
        <v>8.2847849979703608E-3</v>
      </c>
      <c r="AG61" s="22">
        <v>3.9411041699401999E-3</v>
      </c>
      <c r="AZ61" s="16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16">
        <f t="shared" si="10"/>
        <v>0</v>
      </c>
      <c r="BH61" s="16">
        <f t="shared" si="11"/>
        <v>0</v>
      </c>
      <c r="BI61" s="16">
        <f t="shared" si="12"/>
        <v>0</v>
      </c>
      <c r="BJ61" s="10">
        <f t="shared" si="13"/>
        <v>0</v>
      </c>
      <c r="BL61" s="16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16">
        <f t="shared" si="18"/>
        <v>0</v>
      </c>
      <c r="BT61" s="16">
        <f t="shared" si="19"/>
        <v>0</v>
      </c>
      <c r="BU61" s="16">
        <f t="shared" si="20"/>
        <v>0</v>
      </c>
      <c r="BV61" s="10">
        <f t="shared" si="21"/>
        <v>0</v>
      </c>
      <c r="BX61" s="10">
        <f t="shared" si="22"/>
        <v>0</v>
      </c>
      <c r="BY61" s="10">
        <f t="shared" si="23"/>
        <v>0</v>
      </c>
    </row>
    <row r="62" spans="1:77" x14ac:dyDescent="0.3">
      <c r="A62" s="1">
        <v>46112</v>
      </c>
      <c r="B62" s="21">
        <v>383.4</v>
      </c>
      <c r="C62" s="21">
        <v>328.66</v>
      </c>
      <c r="D62" s="22">
        <v>5.5971601120430703E-2</v>
      </c>
      <c r="E62" s="22">
        <v>5.9129133180956299E-2</v>
      </c>
      <c r="F62" s="21">
        <v>0</v>
      </c>
      <c r="G62" s="21">
        <v>0</v>
      </c>
      <c r="H62" s="21">
        <v>0</v>
      </c>
      <c r="I62" s="21">
        <v>0.20794399999999999</v>
      </c>
      <c r="J62" s="21">
        <v>0</v>
      </c>
      <c r="K62" s="21">
        <v>0.20794399999999999</v>
      </c>
      <c r="L62" s="21">
        <v>383.4</v>
      </c>
      <c r="M62" s="21">
        <v>328.86794400000002</v>
      </c>
      <c r="N62" s="23">
        <v>0.85722483046426701</v>
      </c>
      <c r="O62" s="23">
        <v>0.90525826694812095</v>
      </c>
      <c r="P62" s="23">
        <v>0.86141210916574196</v>
      </c>
      <c r="Q62" s="23">
        <v>0.85770151602608802</v>
      </c>
      <c r="R62" s="21">
        <v>347.07601954790903</v>
      </c>
      <c r="S62" s="21">
        <v>330.26874603249598</v>
      </c>
      <c r="T62" s="21">
        <v>328.82088127713303</v>
      </c>
      <c r="U62" s="22">
        <v>5.4520050706906298E-2</v>
      </c>
      <c r="V62" s="22">
        <v>4.8829231950127897E-3</v>
      </c>
      <c r="W62" s="22">
        <v>4.8938694622508003E-4</v>
      </c>
      <c r="X62" s="23">
        <v>0.85776719874804397</v>
      </c>
      <c r="Y62" s="23">
        <v>0.90571436398272598</v>
      </c>
      <c r="Z62" s="23">
        <v>0.86195134004248397</v>
      </c>
      <c r="AA62" s="23">
        <v>0.85799732880370505</v>
      </c>
      <c r="AB62" s="21">
        <v>347.25088715097701</v>
      </c>
      <c r="AC62" s="21">
        <v>330.47478087037302</v>
      </c>
      <c r="AD62" s="21">
        <v>328.923898696072</v>
      </c>
      <c r="AE62" s="22">
        <v>5.4391252251416201E-2</v>
      </c>
      <c r="AF62" s="22">
        <v>4.8740662202938403E-3</v>
      </c>
      <c r="AG62" s="22">
        <v>1.7012888447514801E-4</v>
      </c>
      <c r="AZ62" s="16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1</v>
      </c>
      <c r="BF62">
        <f t="shared" si="9"/>
        <v>0</v>
      </c>
      <c r="BG62" s="16">
        <f t="shared" si="10"/>
        <v>0</v>
      </c>
      <c r="BH62" s="16">
        <f t="shared" si="11"/>
        <v>0</v>
      </c>
      <c r="BI62" s="16">
        <f t="shared" si="12"/>
        <v>0</v>
      </c>
      <c r="BJ62" s="10">
        <f t="shared" si="13"/>
        <v>0</v>
      </c>
      <c r="BL62" s="16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16">
        <f t="shared" si="18"/>
        <v>0</v>
      </c>
      <c r="BT62" s="16">
        <f t="shared" si="19"/>
        <v>0</v>
      </c>
      <c r="BU62" s="16">
        <f t="shared" si="20"/>
        <v>0</v>
      </c>
      <c r="BV62" s="10">
        <f t="shared" si="21"/>
        <v>0</v>
      </c>
      <c r="BX62" s="10">
        <f t="shared" si="22"/>
        <v>0</v>
      </c>
      <c r="BY62" s="10">
        <f t="shared" si="23"/>
        <v>0</v>
      </c>
    </row>
    <row r="63" spans="1:77" x14ac:dyDescent="0.3">
      <c r="A63" s="1">
        <v>46113</v>
      </c>
      <c r="B63" s="21">
        <v>391.97</v>
      </c>
      <c r="C63" s="21">
        <v>338.54</v>
      </c>
      <c r="D63" s="22">
        <v>2.2106475638057E-2</v>
      </c>
      <c r="E63" s="22">
        <v>2.9618472007807199E-2</v>
      </c>
      <c r="F63" s="21">
        <v>0</v>
      </c>
      <c r="G63" s="21">
        <v>0</v>
      </c>
      <c r="H63" s="21">
        <v>0</v>
      </c>
      <c r="I63" s="21">
        <v>0.20794399999999999</v>
      </c>
      <c r="J63" s="21">
        <v>0</v>
      </c>
      <c r="K63" s="21">
        <v>0.20794399999999999</v>
      </c>
      <c r="L63" s="21">
        <v>391.97</v>
      </c>
      <c r="M63" s="21">
        <v>338.74794400000002</v>
      </c>
      <c r="N63" s="23">
        <v>0.86368854759292801</v>
      </c>
      <c r="O63" s="23">
        <v>0.90525826694812095</v>
      </c>
      <c r="P63" s="23">
        <v>0.86184858401292497</v>
      </c>
      <c r="Q63" s="23">
        <v>0.85809716866256203</v>
      </c>
      <c r="R63" s="21">
        <v>354.834082895655</v>
      </c>
      <c r="S63" s="21">
        <v>337.64770442969501</v>
      </c>
      <c r="T63" s="21">
        <v>336.193263236745</v>
      </c>
      <c r="U63" s="22">
        <v>4.7008054337155901E-2</v>
      </c>
      <c r="V63" s="22">
        <v>-2.6391964313708699E-3</v>
      </c>
      <c r="W63" s="22">
        <v>-6.95607095047668E-3</v>
      </c>
      <c r="X63" s="23">
        <v>0.86421905758093698</v>
      </c>
      <c r="Y63" s="23">
        <v>0.90571436398272598</v>
      </c>
      <c r="Z63" s="23">
        <v>0.86238804398179603</v>
      </c>
      <c r="AA63" s="23">
        <v>0.85841950693958002</v>
      </c>
      <c r="AB63" s="21">
        <v>355.01285925030902</v>
      </c>
      <c r="AC63" s="21">
        <v>337.85906675645202</v>
      </c>
      <c r="AD63" s="21">
        <v>336.309212971188</v>
      </c>
      <c r="AE63" s="22">
        <v>4.68977092568795E-2</v>
      </c>
      <c r="AF63" s="22">
        <v>-2.6274565317294702E-3</v>
      </c>
      <c r="AG63" s="22">
        <v>-7.2252893346123198E-3</v>
      </c>
      <c r="AZ63" s="16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16">
        <f t="shared" si="10"/>
        <v>0</v>
      </c>
      <c r="BH63" s="16">
        <f t="shared" si="11"/>
        <v>0</v>
      </c>
      <c r="BI63" s="16">
        <f t="shared" si="12"/>
        <v>0</v>
      </c>
      <c r="BJ63" s="10">
        <f t="shared" si="13"/>
        <v>0</v>
      </c>
      <c r="BL63" s="16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16">
        <f t="shared" si="18"/>
        <v>0</v>
      </c>
      <c r="BT63" s="16">
        <f t="shared" si="19"/>
        <v>0</v>
      </c>
      <c r="BU63" s="16">
        <f t="shared" si="20"/>
        <v>0</v>
      </c>
      <c r="BV63" s="10">
        <f t="shared" si="21"/>
        <v>0</v>
      </c>
      <c r="BX63" s="10">
        <f t="shared" si="22"/>
        <v>0</v>
      </c>
      <c r="BY63" s="10">
        <f t="shared" si="23"/>
        <v>0</v>
      </c>
    </row>
    <row r="64" spans="1:77" x14ac:dyDescent="0.3">
      <c r="A64" s="1">
        <v>46114</v>
      </c>
      <c r="B64" s="21">
        <v>392.32</v>
      </c>
      <c r="C64" s="21">
        <v>339.61</v>
      </c>
      <c r="D64" s="22">
        <v>8.92527058190903E-4</v>
      </c>
      <c r="E64" s="22">
        <v>3.1556466502423602E-3</v>
      </c>
      <c r="F64" s="21">
        <v>0</v>
      </c>
      <c r="G64" s="21">
        <v>0</v>
      </c>
      <c r="H64" s="21">
        <v>0</v>
      </c>
      <c r="I64" s="21">
        <v>0.20794399999999999</v>
      </c>
      <c r="J64" s="21">
        <v>0</v>
      </c>
      <c r="K64" s="21">
        <v>0.20794399999999999</v>
      </c>
      <c r="L64" s="21">
        <v>392.32</v>
      </c>
      <c r="M64" s="21">
        <v>339.81794400000001</v>
      </c>
      <c r="N64" s="23">
        <v>0.86564539151712805</v>
      </c>
      <c r="O64" s="23">
        <v>0.90525826694812095</v>
      </c>
      <c r="P64" s="23">
        <v>0.86226909399417295</v>
      </c>
      <c r="Q64" s="23">
        <v>0.85866285799306696</v>
      </c>
      <c r="R64" s="21">
        <v>355.15092328908702</v>
      </c>
      <c r="S64" s="21">
        <v>338.12043647995</v>
      </c>
      <c r="T64" s="21">
        <v>336.64868120969601</v>
      </c>
      <c r="U64" s="22">
        <v>4.4744934745104499E-2</v>
      </c>
      <c r="V64" s="22">
        <v>-4.3957474488068599E-3</v>
      </c>
      <c r="W64" s="22">
        <v>-8.7580028204278203E-3</v>
      </c>
      <c r="X64" s="23">
        <v>0.866175428221859</v>
      </c>
      <c r="Y64" s="23">
        <v>0.90571436398272598</v>
      </c>
      <c r="Z64" s="23">
        <v>0.86280890291863799</v>
      </c>
      <c r="AA64" s="23">
        <v>0.85901169810532096</v>
      </c>
      <c r="AB64" s="21">
        <v>355.32985927770301</v>
      </c>
      <c r="AC64" s="21">
        <v>338.332077414938</v>
      </c>
      <c r="AD64" s="21">
        <v>336.775140962536</v>
      </c>
      <c r="AE64" s="22">
        <v>4.4636523740462203E-2</v>
      </c>
      <c r="AF64" s="22">
        <v>-4.3821246505922002E-3</v>
      </c>
      <c r="AG64" s="22">
        <v>-8.9945452269462305E-3</v>
      </c>
      <c r="AZ64" s="16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16">
        <f t="shared" si="10"/>
        <v>0</v>
      </c>
      <c r="BH64" s="16">
        <f t="shared" si="11"/>
        <v>0</v>
      </c>
      <c r="BI64" s="16">
        <f t="shared" si="12"/>
        <v>0</v>
      </c>
      <c r="BJ64" s="10">
        <f t="shared" si="13"/>
        <v>0</v>
      </c>
      <c r="BL64" s="16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16">
        <f t="shared" si="18"/>
        <v>0</v>
      </c>
      <c r="BT64" s="16">
        <f t="shared" si="19"/>
        <v>0</v>
      </c>
      <c r="BU64" s="16">
        <f t="shared" si="20"/>
        <v>0</v>
      </c>
      <c r="BV64" s="10">
        <f t="shared" si="21"/>
        <v>0</v>
      </c>
      <c r="BX64" s="10">
        <f t="shared" si="22"/>
        <v>0</v>
      </c>
      <c r="BY64" s="10">
        <f t="shared" si="23"/>
        <v>0</v>
      </c>
    </row>
    <row r="65" spans="1:77" x14ac:dyDescent="0.3">
      <c r="A65" s="1">
        <v>46118</v>
      </c>
      <c r="B65" s="21">
        <v>395.98</v>
      </c>
      <c r="C65" s="21">
        <v>344.1</v>
      </c>
      <c r="D65" s="22">
        <v>9.2858716207607304E-3</v>
      </c>
      <c r="E65" s="22">
        <v>1.3134412392241E-2</v>
      </c>
      <c r="F65" s="21">
        <v>0</v>
      </c>
      <c r="G65" s="21">
        <v>0</v>
      </c>
      <c r="H65" s="21">
        <v>0</v>
      </c>
      <c r="I65" s="21">
        <v>0.20794399999999999</v>
      </c>
      <c r="J65" s="21">
        <v>0</v>
      </c>
      <c r="K65" s="21">
        <v>0.20794399999999999</v>
      </c>
      <c r="L65" s="21">
        <v>395.98</v>
      </c>
      <c r="M65" s="21">
        <v>344.30794400000002</v>
      </c>
      <c r="N65" s="23">
        <v>0.86898328198393804</v>
      </c>
      <c r="O65" s="23">
        <v>0.90525826694812095</v>
      </c>
      <c r="P65" s="23">
        <v>0.86274282376245803</v>
      </c>
      <c r="Q65" s="23">
        <v>0.85960755499114905</v>
      </c>
      <c r="R65" s="21">
        <v>358.46416854611698</v>
      </c>
      <c r="S65" s="21">
        <v>341.44131583981198</v>
      </c>
      <c r="T65" s="21">
        <v>340.01331850809402</v>
      </c>
      <c r="U65" s="22">
        <v>4.0896393973623997E-2</v>
      </c>
      <c r="V65" s="22">
        <v>-7.7564909023314001E-3</v>
      </c>
      <c r="W65" s="22">
        <v>-1.1947523877801999E-2</v>
      </c>
      <c r="X65" s="23">
        <v>0.86950841961715197</v>
      </c>
      <c r="Y65" s="23">
        <v>0.90571436398272598</v>
      </c>
      <c r="Z65" s="23">
        <v>0.86328109852177304</v>
      </c>
      <c r="AA65" s="23">
        <v>0.85998265198506496</v>
      </c>
      <c r="AB65" s="21">
        <v>358.64477384987998</v>
      </c>
      <c r="AC65" s="21">
        <v>341.65506937772199</v>
      </c>
      <c r="AD65" s="21">
        <v>340.151452215745</v>
      </c>
      <c r="AE65" s="22">
        <v>4.0795967758787098E-2</v>
      </c>
      <c r="AF65" s="22">
        <v>-7.7347839362444598E-3</v>
      </c>
      <c r="AG65" s="22">
        <v>-1.2145476858637899E-2</v>
      </c>
      <c r="AZ65" s="16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16">
        <f t="shared" si="10"/>
        <v>0</v>
      </c>
      <c r="BH65" s="16">
        <f t="shared" si="11"/>
        <v>0</v>
      </c>
      <c r="BI65" s="16">
        <f t="shared" si="12"/>
        <v>0</v>
      </c>
      <c r="BJ65" s="10">
        <f t="shared" si="13"/>
        <v>0</v>
      </c>
      <c r="BL65" s="16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16">
        <f t="shared" si="18"/>
        <v>0</v>
      </c>
      <c r="BT65" s="16">
        <f t="shared" si="19"/>
        <v>0</v>
      </c>
      <c r="BU65" s="16">
        <f t="shared" si="20"/>
        <v>0</v>
      </c>
      <c r="BV65" s="10">
        <f t="shared" si="21"/>
        <v>0</v>
      </c>
      <c r="BX65" s="10">
        <f t="shared" si="22"/>
        <v>0</v>
      </c>
      <c r="BY65" s="10">
        <f t="shared" si="23"/>
        <v>0</v>
      </c>
    </row>
    <row r="66" spans="1:77" x14ac:dyDescent="0.3">
      <c r="A66" s="1">
        <v>46119</v>
      </c>
      <c r="B66" s="21">
        <v>399.9</v>
      </c>
      <c r="C66" s="21">
        <v>347.76</v>
      </c>
      <c r="D66" s="22">
        <v>9.8508109242201308E-3</v>
      </c>
      <c r="E66" s="22">
        <v>1.0580273877101899E-2</v>
      </c>
      <c r="F66" s="21">
        <v>0</v>
      </c>
      <c r="G66" s="21">
        <v>0</v>
      </c>
      <c r="H66" s="21">
        <v>0</v>
      </c>
      <c r="I66" s="21">
        <v>0.20794399999999999</v>
      </c>
      <c r="J66" s="21">
        <v>0</v>
      </c>
      <c r="K66" s="21">
        <v>0.20794399999999999</v>
      </c>
      <c r="L66" s="21">
        <v>399.9</v>
      </c>
      <c r="M66" s="21">
        <v>347.96794399999999</v>
      </c>
      <c r="N66" s="23">
        <v>0.86961740435108703</v>
      </c>
      <c r="O66" s="23">
        <v>0.90525826694812095</v>
      </c>
      <c r="P66" s="23">
        <v>0.86369935160557998</v>
      </c>
      <c r="Q66" s="23">
        <v>0.86044192572851996</v>
      </c>
      <c r="R66" s="21">
        <v>362.01278095255299</v>
      </c>
      <c r="S66" s="21">
        <v>345.01085522260701</v>
      </c>
      <c r="T66" s="21">
        <v>343.75706124096001</v>
      </c>
      <c r="U66" s="22">
        <v>4.0166931020742203E-2</v>
      </c>
      <c r="V66" s="22">
        <v>-7.9367057308167704E-3</v>
      </c>
      <c r="W66" s="22">
        <v>-1.15773961188493E-2</v>
      </c>
      <c r="X66" s="23">
        <v>0.87013739434858695</v>
      </c>
      <c r="Y66" s="23">
        <v>0.90571436398272598</v>
      </c>
      <c r="Z66" s="23">
        <v>0.86423649167699201</v>
      </c>
      <c r="AA66" s="23">
        <v>0.86084302222231002</v>
      </c>
      <c r="AB66" s="21">
        <v>362.19517415669202</v>
      </c>
      <c r="AC66" s="21">
        <v>345.22611129885701</v>
      </c>
      <c r="AD66" s="21">
        <v>343.907062528827</v>
      </c>
      <c r="AE66" s="22">
        <v>4.0072861073745802E-2</v>
      </c>
      <c r="AF66" s="22">
        <v>-7.9107631661465699E-3</v>
      </c>
      <c r="AG66" s="22">
        <v>-1.1738906784763701E-2</v>
      </c>
      <c r="AZ66" s="16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16">
        <f t="shared" si="10"/>
        <v>0</v>
      </c>
      <c r="BH66" s="16">
        <f t="shared" si="11"/>
        <v>0</v>
      </c>
      <c r="BI66" s="16">
        <f t="shared" si="12"/>
        <v>0</v>
      </c>
      <c r="BJ66" s="10">
        <f t="shared" si="13"/>
        <v>0</v>
      </c>
      <c r="BL66" s="16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16">
        <f t="shared" si="18"/>
        <v>0</v>
      </c>
      <c r="BT66" s="16">
        <f t="shared" si="19"/>
        <v>0</v>
      </c>
      <c r="BU66" s="16">
        <f t="shared" si="20"/>
        <v>0</v>
      </c>
      <c r="BV66" s="10">
        <f t="shared" si="21"/>
        <v>0</v>
      </c>
      <c r="BX66" s="10">
        <f t="shared" si="22"/>
        <v>0</v>
      </c>
      <c r="BY66" s="10">
        <f t="shared" si="23"/>
        <v>0</v>
      </c>
    </row>
    <row r="67" spans="1:77" x14ac:dyDescent="0.3">
      <c r="A67" s="1">
        <v>46120</v>
      </c>
      <c r="B67" s="21">
        <v>422.92</v>
      </c>
      <c r="C67" s="21">
        <v>370.4</v>
      </c>
      <c r="D67" s="22">
        <v>5.5968520011553197E-2</v>
      </c>
      <c r="E67" s="22">
        <v>6.3070916091487697E-2</v>
      </c>
      <c r="F67" s="21">
        <v>0</v>
      </c>
      <c r="G67" s="21">
        <v>0</v>
      </c>
      <c r="H67" s="21">
        <v>0</v>
      </c>
      <c r="I67" s="21">
        <v>0.20794399999999999</v>
      </c>
      <c r="J67" s="21">
        <v>0</v>
      </c>
      <c r="K67" s="21">
        <v>0.20794399999999999</v>
      </c>
      <c r="L67" s="21">
        <v>422.92</v>
      </c>
      <c r="M67" s="21">
        <v>370.60794399999997</v>
      </c>
      <c r="N67" s="23">
        <v>0.87581575711718496</v>
      </c>
      <c r="O67" s="23">
        <v>0.90525826694812095</v>
      </c>
      <c r="P67" s="23">
        <v>0.86485704429948296</v>
      </c>
      <c r="Q67" s="23">
        <v>0.86159686932394097</v>
      </c>
      <c r="R67" s="21">
        <v>382.85182625769897</v>
      </c>
      <c r="S67" s="21">
        <v>365.275729781032</v>
      </c>
      <c r="T67" s="21">
        <v>363.89809922910598</v>
      </c>
      <c r="U67" s="22">
        <v>3.3064534940807702E-2</v>
      </c>
      <c r="V67" s="22">
        <v>-1.3931010321047E-2</v>
      </c>
      <c r="W67" s="22">
        <v>-1.77096215005937E-2</v>
      </c>
      <c r="X67" s="23">
        <v>0.87630744348812994</v>
      </c>
      <c r="Y67" s="23">
        <v>0.90571436398272598</v>
      </c>
      <c r="Z67" s="23">
        <v>0.86539065425738704</v>
      </c>
      <c r="AA67" s="23">
        <v>0.86202255013627804</v>
      </c>
      <c r="AB67" s="21">
        <v>383.04471881557402</v>
      </c>
      <c r="AC67" s="21">
        <v>365.50289706003298</v>
      </c>
      <c r="AD67" s="21">
        <v>364.06773095825901</v>
      </c>
      <c r="AE67" s="22">
        <v>3.3006992542896803E-2</v>
      </c>
      <c r="AF67" s="22">
        <v>-1.38705436802441E-2</v>
      </c>
      <c r="AG67" s="22">
        <v>-1.7804824743243099E-2</v>
      </c>
      <c r="AZ67" s="16"/>
      <c r="BB67">
        <f t="shared" si="6"/>
        <v>0</v>
      </c>
      <c r="BC67">
        <f t="shared" si="7"/>
        <v>0</v>
      </c>
      <c r="BD67">
        <f t="shared" si="8"/>
        <v>0</v>
      </c>
      <c r="BE67">
        <f t="shared" si="4"/>
        <v>1</v>
      </c>
      <c r="BF67">
        <f t="shared" si="9"/>
        <v>0</v>
      </c>
      <c r="BG67" s="16">
        <f t="shared" si="10"/>
        <v>0</v>
      </c>
      <c r="BH67" s="16">
        <f t="shared" si="11"/>
        <v>0</v>
      </c>
      <c r="BI67" s="16">
        <f t="shared" si="12"/>
        <v>0</v>
      </c>
      <c r="BJ67" s="10">
        <f t="shared" si="13"/>
        <v>0</v>
      </c>
      <c r="BL67" s="16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16">
        <f t="shared" si="18"/>
        <v>0</v>
      </c>
      <c r="BT67" s="16">
        <f t="shared" si="19"/>
        <v>0</v>
      </c>
      <c r="BU67" s="16">
        <f t="shared" si="20"/>
        <v>0</v>
      </c>
      <c r="BV67" s="10">
        <f t="shared" si="21"/>
        <v>0</v>
      </c>
      <c r="BX67" s="10">
        <f t="shared" si="22"/>
        <v>0</v>
      </c>
      <c r="BY67" s="10">
        <f t="shared" si="23"/>
        <v>0</v>
      </c>
    </row>
    <row r="68" spans="1:77" x14ac:dyDescent="0.3">
      <c r="A68" s="1">
        <v>46121</v>
      </c>
      <c r="B68" s="21">
        <v>430.31</v>
      </c>
      <c r="C68" s="21">
        <v>378.63</v>
      </c>
      <c r="D68" s="22">
        <v>1.7322843310471701E-2</v>
      </c>
      <c r="E68" s="22">
        <v>2.1975972166624599E-2</v>
      </c>
      <c r="F68" s="21">
        <v>0</v>
      </c>
      <c r="G68" s="21">
        <v>0</v>
      </c>
      <c r="H68" s="21">
        <v>0</v>
      </c>
      <c r="I68" s="21">
        <v>0.20794399999999999</v>
      </c>
      <c r="J68" s="21">
        <v>0</v>
      </c>
      <c r="K68" s="21">
        <v>0.20794399999999999</v>
      </c>
      <c r="L68" s="21">
        <v>430.31</v>
      </c>
      <c r="M68" s="21">
        <v>378.83794399999999</v>
      </c>
      <c r="N68" s="23">
        <v>0.87990053682228997</v>
      </c>
      <c r="O68" s="23">
        <v>0.90525826694812095</v>
      </c>
      <c r="P68" s="23">
        <v>0.866322612993491</v>
      </c>
      <c r="Q68" s="23">
        <v>0.86294047357821702</v>
      </c>
      <c r="R68" s="21">
        <v>389.54168485044602</v>
      </c>
      <c r="S68" s="21">
        <v>372.15663473250999</v>
      </c>
      <c r="T68" s="21">
        <v>370.75374883878499</v>
      </c>
      <c r="U68" s="22">
        <v>2.8411406084654801E-2</v>
      </c>
      <c r="V68" s="22">
        <v>-1.7244648177955599E-2</v>
      </c>
      <c r="W68" s="22">
        <v>-2.10213824712959E-2</v>
      </c>
      <c r="X68" s="23">
        <v>0.88038377913597099</v>
      </c>
      <c r="Y68" s="23">
        <v>0.90571436398272598</v>
      </c>
      <c r="Z68" s="23">
        <v>0.86685243350425101</v>
      </c>
      <c r="AA68" s="23">
        <v>0.86339031650623799</v>
      </c>
      <c r="AB68" s="21">
        <v>389.73794796540699</v>
      </c>
      <c r="AC68" s="21">
        <v>372.386252433496</v>
      </c>
      <c r="AD68" s="21">
        <v>370.93692354914202</v>
      </c>
      <c r="AE68" s="22">
        <v>2.8366059734932499E-2</v>
      </c>
      <c r="AF68" s="22">
        <v>-1.71768966576188E-2</v>
      </c>
      <c r="AG68" s="22">
        <v>-2.1076494484857999E-2</v>
      </c>
      <c r="AZ68" s="16"/>
      <c r="BB68">
        <f t="shared" si="6"/>
        <v>0</v>
      </c>
      <c r="BC68">
        <f t="shared" si="7"/>
        <v>0</v>
      </c>
      <c r="BD68">
        <f t="shared" si="8"/>
        <v>0</v>
      </c>
      <c r="BE68">
        <f t="shared" si="4"/>
        <v>1</v>
      </c>
      <c r="BF68">
        <f t="shared" si="9"/>
        <v>0</v>
      </c>
      <c r="BG68" s="16">
        <f t="shared" si="10"/>
        <v>0</v>
      </c>
      <c r="BH68" s="16">
        <f t="shared" si="11"/>
        <v>0</v>
      </c>
      <c r="BI68" s="16">
        <f t="shared" si="12"/>
        <v>0</v>
      </c>
      <c r="BJ68" s="10">
        <f t="shared" si="13"/>
        <v>0</v>
      </c>
      <c r="BL68" s="16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16">
        <f t="shared" si="18"/>
        <v>0</v>
      </c>
      <c r="BT68" s="16">
        <f t="shared" si="19"/>
        <v>0</v>
      </c>
      <c r="BU68" s="16">
        <f t="shared" si="20"/>
        <v>0</v>
      </c>
      <c r="BV68" s="10">
        <f t="shared" si="21"/>
        <v>0</v>
      </c>
      <c r="BX68" s="10">
        <f t="shared" si="22"/>
        <v>0</v>
      </c>
      <c r="BY68" s="10">
        <f t="shared" si="23"/>
        <v>0</v>
      </c>
    </row>
    <row r="69" spans="1:77" x14ac:dyDescent="0.3">
      <c r="A69" s="1">
        <v>46122</v>
      </c>
      <c r="B69" s="21">
        <v>436.88</v>
      </c>
      <c r="C69" s="21">
        <v>386.6</v>
      </c>
      <c r="D69" s="22">
        <v>1.5152678669100699E-2</v>
      </c>
      <c r="E69" s="22">
        <v>2.0831091835581701E-2</v>
      </c>
      <c r="F69" s="21">
        <v>0</v>
      </c>
      <c r="G69" s="21">
        <v>0</v>
      </c>
      <c r="H69" s="21">
        <v>0</v>
      </c>
      <c r="I69" s="21">
        <v>0.20794399999999999</v>
      </c>
      <c r="J69" s="21">
        <v>0</v>
      </c>
      <c r="K69" s="21">
        <v>0.20794399999999999</v>
      </c>
      <c r="L69" s="21">
        <v>436.88</v>
      </c>
      <c r="M69" s="21">
        <v>386.80794400000002</v>
      </c>
      <c r="N69" s="23">
        <v>0.88491118842702798</v>
      </c>
      <c r="O69" s="23">
        <v>0.90525826694812095</v>
      </c>
      <c r="P69" s="23">
        <v>0.86846513399983205</v>
      </c>
      <c r="Q69" s="23">
        <v>0.86465002702218996</v>
      </c>
      <c r="R69" s="21">
        <v>395.489231664295</v>
      </c>
      <c r="S69" s="21">
        <v>378.47902316459601</v>
      </c>
      <c r="T69" s="21">
        <v>377.00143409685103</v>
      </c>
      <c r="U69" s="22">
        <v>2.2732992918173801E-2</v>
      </c>
      <c r="V69" s="22">
        <v>-2.1229916397924601E-2</v>
      </c>
      <c r="W69" s="22">
        <v>-2.51415753630264E-2</v>
      </c>
      <c r="X69" s="23">
        <v>0.88538716352316404</v>
      </c>
      <c r="Y69" s="23">
        <v>0.90571436398272598</v>
      </c>
      <c r="Z69" s="23">
        <v>0.86898795061278999</v>
      </c>
      <c r="AA69" s="23">
        <v>0.865123668705018</v>
      </c>
      <c r="AB69" s="21">
        <v>395.68849133677298</v>
      </c>
      <c r="AC69" s="21">
        <v>378.71049114933697</v>
      </c>
      <c r="AD69" s="21">
        <v>377.19796147524499</v>
      </c>
      <c r="AE69" s="22">
        <v>2.2698962540127401E-2</v>
      </c>
      <c r="AF69" s="22">
        <v>-2.11562635284606E-2</v>
      </c>
      <c r="AG69" s="22">
        <v>-2.5158154729579399E-2</v>
      </c>
      <c r="AZ69" s="16"/>
      <c r="BB69">
        <f t="shared" si="6"/>
        <v>0</v>
      </c>
      <c r="BC69">
        <f t="shared" si="7"/>
        <v>0</v>
      </c>
      <c r="BD69">
        <f t="shared" si="8"/>
        <v>0</v>
      </c>
      <c r="BE69">
        <f t="shared" si="4"/>
        <v>1</v>
      </c>
      <c r="BF69">
        <f t="shared" si="9"/>
        <v>0</v>
      </c>
      <c r="BG69" s="16">
        <f t="shared" si="10"/>
        <v>0</v>
      </c>
      <c r="BH69" s="16">
        <f t="shared" si="11"/>
        <v>0</v>
      </c>
      <c r="BI69" s="16">
        <f t="shared" si="12"/>
        <v>0</v>
      </c>
      <c r="BJ69" s="10">
        <f t="shared" si="13"/>
        <v>0</v>
      </c>
      <c r="BL69" s="16"/>
      <c r="BN69">
        <f t="shared" si="14"/>
        <v>0</v>
      </c>
      <c r="BO69">
        <f t="shared" si="15"/>
        <v>1</v>
      </c>
      <c r="BP69">
        <f t="shared" si="16"/>
        <v>0</v>
      </c>
      <c r="BQ69">
        <f t="shared" si="5"/>
        <v>1</v>
      </c>
      <c r="BR69">
        <f t="shared" si="17"/>
        <v>0</v>
      </c>
      <c r="BS69" s="16">
        <f t="shared" si="18"/>
        <v>0</v>
      </c>
      <c r="BT69" s="16">
        <f t="shared" si="19"/>
        <v>0</v>
      </c>
      <c r="BU69" s="16">
        <f t="shared" si="20"/>
        <v>0</v>
      </c>
      <c r="BV69" s="10">
        <f t="shared" si="21"/>
        <v>0</v>
      </c>
      <c r="BX69" s="10">
        <f t="shared" si="22"/>
        <v>0</v>
      </c>
      <c r="BY69" s="10">
        <f t="shared" si="23"/>
        <v>0</v>
      </c>
    </row>
    <row r="70" spans="1:77" x14ac:dyDescent="0.3">
      <c r="A70" s="1">
        <v>46125</v>
      </c>
      <c r="B70" s="21">
        <v>443.34</v>
      </c>
      <c r="C70" s="21">
        <v>393.34</v>
      </c>
      <c r="D70" s="22">
        <v>1.46784121847129E-2</v>
      </c>
      <c r="E70" s="22">
        <v>1.7283811026277299E-2</v>
      </c>
      <c r="F70" s="21">
        <v>0</v>
      </c>
      <c r="G70" s="21">
        <v>0</v>
      </c>
      <c r="H70" s="21">
        <v>0</v>
      </c>
      <c r="I70" s="21">
        <v>0.20794399999999999</v>
      </c>
      <c r="J70" s="21">
        <v>0</v>
      </c>
      <c r="K70" s="21">
        <v>0.20794399999999999</v>
      </c>
      <c r="L70" s="21">
        <v>443.34</v>
      </c>
      <c r="M70" s="21">
        <v>393.54794399999997</v>
      </c>
      <c r="N70" s="23">
        <v>0.88721974105652501</v>
      </c>
      <c r="O70" s="23">
        <v>0.90525826694812095</v>
      </c>
      <c r="P70" s="23">
        <v>0.87075290636867697</v>
      </c>
      <c r="Q70" s="23">
        <v>0.86624128283808599</v>
      </c>
      <c r="R70" s="21">
        <v>401.33720006878002</v>
      </c>
      <c r="S70" s="21">
        <v>385.02533250748502</v>
      </c>
      <c r="T70" s="21">
        <v>383.33394298001701</v>
      </c>
      <c r="U70" s="22">
        <v>2.0127594076609599E-2</v>
      </c>
      <c r="V70" s="22">
        <v>-2.1365246956622602E-2</v>
      </c>
      <c r="W70" s="22">
        <v>-2.57678547299314E-2</v>
      </c>
      <c r="X70" s="23">
        <v>0.88768878061984002</v>
      </c>
      <c r="Y70" s="23">
        <v>0.90571436398272598</v>
      </c>
      <c r="Z70" s="23">
        <v>0.87126706407891596</v>
      </c>
      <c r="AA70" s="23">
        <v>0.86673837649908003</v>
      </c>
      <c r="AB70" s="21">
        <v>401.53940612810101</v>
      </c>
      <c r="AC70" s="21">
        <v>385.25711802467401</v>
      </c>
      <c r="AD70" s="21">
        <v>383.54392728368202</v>
      </c>
      <c r="AE70" s="22">
        <v>2.0102775504759501E-2</v>
      </c>
      <c r="AF70" s="22">
        <v>-2.1291949926259601E-2</v>
      </c>
      <c r="AG70" s="22">
        <v>-2.5748742973577401E-2</v>
      </c>
      <c r="AZ70" s="16"/>
      <c r="BB70">
        <f t="shared" si="6"/>
        <v>0</v>
      </c>
      <c r="BC70">
        <f t="shared" si="7"/>
        <v>0</v>
      </c>
      <c r="BD70">
        <f t="shared" si="8"/>
        <v>0</v>
      </c>
      <c r="BE70">
        <f t="shared" si="4"/>
        <v>1</v>
      </c>
      <c r="BF70">
        <f t="shared" si="9"/>
        <v>0</v>
      </c>
      <c r="BG70" s="16">
        <f t="shared" si="10"/>
        <v>0</v>
      </c>
      <c r="BH70" s="16">
        <f t="shared" si="11"/>
        <v>0</v>
      </c>
      <c r="BI70" s="16">
        <f t="shared" si="12"/>
        <v>0</v>
      </c>
      <c r="BJ70" s="10">
        <f t="shared" si="13"/>
        <v>0</v>
      </c>
      <c r="BL70" s="16"/>
      <c r="BN70">
        <f t="shared" si="14"/>
        <v>0</v>
      </c>
      <c r="BO70">
        <f t="shared" si="15"/>
        <v>1</v>
      </c>
      <c r="BP70">
        <f t="shared" si="16"/>
        <v>0</v>
      </c>
      <c r="BQ70">
        <f t="shared" si="5"/>
        <v>1</v>
      </c>
      <c r="BR70">
        <f t="shared" si="17"/>
        <v>0</v>
      </c>
      <c r="BS70" s="16">
        <f t="shared" si="18"/>
        <v>0</v>
      </c>
      <c r="BT70" s="16">
        <f t="shared" si="19"/>
        <v>0</v>
      </c>
      <c r="BU70" s="16">
        <f t="shared" si="20"/>
        <v>0</v>
      </c>
      <c r="BV70" s="10">
        <f t="shared" si="21"/>
        <v>0</v>
      </c>
      <c r="BX70" s="10">
        <f t="shared" si="22"/>
        <v>0</v>
      </c>
      <c r="BY70" s="10">
        <f t="shared" si="23"/>
        <v>0</v>
      </c>
    </row>
    <row r="71" spans="1:77" x14ac:dyDescent="0.3">
      <c r="A71" s="1">
        <v>46126</v>
      </c>
      <c r="B71" s="21">
        <v>452</v>
      </c>
      <c r="C71" s="21">
        <v>401.24</v>
      </c>
      <c r="D71" s="22">
        <v>1.9345209803619898E-2</v>
      </c>
      <c r="E71" s="22">
        <v>1.9885374214776499E-2</v>
      </c>
      <c r="F71" s="21">
        <v>0</v>
      </c>
      <c r="G71" s="21">
        <v>0</v>
      </c>
      <c r="H71" s="21">
        <v>0</v>
      </c>
      <c r="I71" s="21">
        <v>0.20794399999999999</v>
      </c>
      <c r="J71" s="21">
        <v>0</v>
      </c>
      <c r="K71" s="21">
        <v>0.20794399999999999</v>
      </c>
      <c r="L71" s="21">
        <v>452</v>
      </c>
      <c r="M71" s="21">
        <v>401.44794400000001</v>
      </c>
      <c r="N71" s="23">
        <v>0.88769911504424703</v>
      </c>
      <c r="O71" s="23">
        <v>0.90525826694812095</v>
      </c>
      <c r="P71" s="23">
        <v>0.87407057943766198</v>
      </c>
      <c r="Q71" s="23">
        <v>0.86774570447169597</v>
      </c>
      <c r="R71" s="21">
        <v>409.176736660551</v>
      </c>
      <c r="S71" s="21">
        <v>393.58031367864203</v>
      </c>
      <c r="T71" s="21">
        <v>391.54105984281398</v>
      </c>
      <c r="U71" s="22">
        <v>1.9587429665452901E-2</v>
      </c>
      <c r="V71" s="22">
        <v>-1.92746041483907E-2</v>
      </c>
      <c r="W71" s="22">
        <v>-2.4469363813487001E-2</v>
      </c>
      <c r="X71" s="23">
        <v>0.88815916814159201</v>
      </c>
      <c r="Y71" s="23">
        <v>0.90571436398272598</v>
      </c>
      <c r="Z71" s="23">
        <v>0.87457338334252799</v>
      </c>
      <c r="AA71" s="23">
        <v>0.868265800787557</v>
      </c>
      <c r="AB71" s="21">
        <v>409.382892520192</v>
      </c>
      <c r="AC71" s="21">
        <v>393.81271296366998</v>
      </c>
      <c r="AD71" s="21">
        <v>391.76574617758399</v>
      </c>
      <c r="AE71" s="22">
        <v>1.9573014459528401E-2</v>
      </c>
      <c r="AF71" s="22">
        <v>-1.9202422706374098E-2</v>
      </c>
      <c r="AG71" s="22">
        <v>-2.44137962998381E-2</v>
      </c>
      <c r="AZ71" s="16"/>
      <c r="BB71">
        <f t="shared" si="6"/>
        <v>0</v>
      </c>
      <c r="BC71">
        <f t="shared" si="7"/>
        <v>0</v>
      </c>
      <c r="BD71">
        <f t="shared" si="8"/>
        <v>0</v>
      </c>
      <c r="BE71">
        <f t="shared" si="4"/>
        <v>1</v>
      </c>
      <c r="BF71">
        <f t="shared" si="9"/>
        <v>0</v>
      </c>
      <c r="BG71" s="16">
        <f t="shared" si="10"/>
        <v>0</v>
      </c>
      <c r="BH71" s="16">
        <f t="shared" si="11"/>
        <v>0</v>
      </c>
      <c r="BI71" s="16">
        <f t="shared" si="12"/>
        <v>0</v>
      </c>
      <c r="BJ71" s="10">
        <f t="shared" si="13"/>
        <v>0</v>
      </c>
      <c r="BL71" s="16"/>
      <c r="BN71">
        <f t="shared" si="14"/>
        <v>0</v>
      </c>
      <c r="BO71">
        <f t="shared" si="15"/>
        <v>1</v>
      </c>
      <c r="BP71">
        <f t="shared" si="16"/>
        <v>0</v>
      </c>
      <c r="BQ71">
        <f t="shared" si="5"/>
        <v>1</v>
      </c>
      <c r="BR71">
        <f t="shared" si="17"/>
        <v>0</v>
      </c>
      <c r="BS71" s="16">
        <f t="shared" si="18"/>
        <v>0</v>
      </c>
      <c r="BT71" s="16">
        <f t="shared" si="19"/>
        <v>0</v>
      </c>
      <c r="BU71" s="16">
        <f t="shared" si="20"/>
        <v>0</v>
      </c>
      <c r="BV71" s="10">
        <f t="shared" si="21"/>
        <v>0</v>
      </c>
      <c r="BX71" s="10">
        <f t="shared" si="22"/>
        <v>0</v>
      </c>
      <c r="BY71" s="10">
        <f t="shared" si="23"/>
        <v>0</v>
      </c>
    </row>
    <row r="72" spans="1:77" x14ac:dyDescent="0.3">
      <c r="A72" s="1">
        <v>46127</v>
      </c>
      <c r="B72" s="21">
        <v>453</v>
      </c>
      <c r="C72" s="21">
        <v>401.86</v>
      </c>
      <c r="D72" s="22">
        <v>2.2099456508028899E-3</v>
      </c>
      <c r="E72" s="22">
        <v>1.5440172411225199E-3</v>
      </c>
      <c r="F72" s="21">
        <v>0</v>
      </c>
      <c r="G72" s="21">
        <v>0</v>
      </c>
      <c r="H72" s="21">
        <v>0</v>
      </c>
      <c r="I72" s="21">
        <v>0.20794399999999999</v>
      </c>
      <c r="J72" s="21">
        <v>0</v>
      </c>
      <c r="K72" s="21">
        <v>0.20794399999999999</v>
      </c>
      <c r="L72" s="21">
        <v>453</v>
      </c>
      <c r="M72" s="21">
        <v>402.06794400000001</v>
      </c>
      <c r="N72" s="23">
        <v>0.88710816777041901</v>
      </c>
      <c r="O72" s="23">
        <v>0.90525826694812095</v>
      </c>
      <c r="P72" s="23">
        <v>0.877058913168278</v>
      </c>
      <c r="Q72" s="23">
        <v>0.86923551116701003</v>
      </c>
      <c r="R72" s="21">
        <v>410.08199492749901</v>
      </c>
      <c r="S72" s="21">
        <v>395.95397248526098</v>
      </c>
      <c r="T72" s="21">
        <v>393.088804125678</v>
      </c>
      <c r="U72" s="22">
        <v>2.02533580751331E-2</v>
      </c>
      <c r="V72" s="22">
        <v>-1.48057958551091E-2</v>
      </c>
      <c r="W72" s="22">
        <v>-2.2068218216940001E-2</v>
      </c>
      <c r="X72" s="23">
        <v>0.88756720529801303</v>
      </c>
      <c r="Y72" s="23">
        <v>0.90571436398272598</v>
      </c>
      <c r="Z72" s="23">
        <v>0.87755338399752403</v>
      </c>
      <c r="AA72" s="23">
        <v>0.86975236202000406</v>
      </c>
      <c r="AB72" s="21">
        <v>410.28860688417501</v>
      </c>
      <c r="AC72" s="21">
        <v>396.18174265416502</v>
      </c>
      <c r="AD72" s="21">
        <v>393.32440775676298</v>
      </c>
      <c r="AE72" s="22">
        <v>2.0239742030129799E-2</v>
      </c>
      <c r="AF72" s="22">
        <v>-1.47480371956715E-2</v>
      </c>
      <c r="AG72" s="22">
        <v>-2.19863528726724E-2</v>
      </c>
      <c r="AZ72" s="16"/>
      <c r="BB72">
        <f t="shared" si="6"/>
        <v>0</v>
      </c>
      <c r="BC72">
        <f t="shared" si="7"/>
        <v>0</v>
      </c>
      <c r="BD72">
        <f t="shared" si="8"/>
        <v>0</v>
      </c>
      <c r="BE72">
        <f t="shared" si="4"/>
        <v>1</v>
      </c>
      <c r="BF72">
        <f t="shared" si="9"/>
        <v>0</v>
      </c>
      <c r="BG72" s="16">
        <f t="shared" si="10"/>
        <v>0</v>
      </c>
      <c r="BH72" s="16">
        <f t="shared" si="11"/>
        <v>0</v>
      </c>
      <c r="BI72" s="16">
        <f t="shared" si="12"/>
        <v>0</v>
      </c>
      <c r="BJ72" s="10">
        <f t="shared" si="13"/>
        <v>0</v>
      </c>
      <c r="BL72" s="16"/>
      <c r="BN72">
        <f t="shared" si="14"/>
        <v>0</v>
      </c>
      <c r="BO72">
        <f t="shared" si="15"/>
        <v>1</v>
      </c>
      <c r="BP72">
        <f t="shared" si="16"/>
        <v>0</v>
      </c>
      <c r="BQ72">
        <f t="shared" si="5"/>
        <v>1</v>
      </c>
      <c r="BR72">
        <f t="shared" si="17"/>
        <v>0</v>
      </c>
      <c r="BS72" s="16">
        <f t="shared" si="18"/>
        <v>0</v>
      </c>
      <c r="BT72" s="16">
        <f t="shared" si="19"/>
        <v>0</v>
      </c>
      <c r="BU72" s="16">
        <f t="shared" si="20"/>
        <v>0</v>
      </c>
      <c r="BV72" s="10">
        <f t="shared" si="21"/>
        <v>0</v>
      </c>
      <c r="BX72" s="10">
        <f t="shared" si="22"/>
        <v>0</v>
      </c>
      <c r="BY72" s="10">
        <f t="shared" si="23"/>
        <v>0</v>
      </c>
    </row>
    <row r="73" spans="1:77" x14ac:dyDescent="0.3">
      <c r="A73" s="1">
        <v>46128</v>
      </c>
      <c r="B73" s="21">
        <v>454.8</v>
      </c>
      <c r="C73" s="21">
        <v>405.95</v>
      </c>
      <c r="D73" s="22">
        <v>3.9656363933468801E-3</v>
      </c>
      <c r="E73" s="22">
        <v>1.01262300520484E-2</v>
      </c>
      <c r="F73" s="21">
        <v>0</v>
      </c>
      <c r="G73" s="21">
        <v>0</v>
      </c>
      <c r="H73" s="21">
        <v>0</v>
      </c>
      <c r="I73" s="21">
        <v>0.20794399999999999</v>
      </c>
      <c r="J73" s="21">
        <v>0</v>
      </c>
      <c r="K73" s="21">
        <v>0.20794399999999999</v>
      </c>
      <c r="L73" s="21">
        <v>454.8</v>
      </c>
      <c r="M73" s="21">
        <v>406.15794399999999</v>
      </c>
      <c r="N73" s="23">
        <v>0.89259014951627003</v>
      </c>
      <c r="O73" s="23">
        <v>0.90525826694812095</v>
      </c>
      <c r="P73" s="23">
        <v>0.87994907336061201</v>
      </c>
      <c r="Q73" s="23">
        <v>0.87089882868676904</v>
      </c>
      <c r="R73" s="21">
        <v>411.71145980800497</v>
      </c>
      <c r="S73" s="21">
        <v>398.88639370893202</v>
      </c>
      <c r="T73" s="21">
        <v>395.32831047875601</v>
      </c>
      <c r="U73" s="22">
        <v>1.4092764416431799E-2</v>
      </c>
      <c r="V73" s="22">
        <v>-1.7553350507709901E-2</v>
      </c>
      <c r="W73" s="22">
        <v>-2.6513413865317598E-2</v>
      </c>
      <c r="X73" s="23">
        <v>0.89304737027264702</v>
      </c>
      <c r="Y73" s="23">
        <v>0.90571436398272598</v>
      </c>
      <c r="Z73" s="23">
        <v>0.88043621526669502</v>
      </c>
      <c r="AA73" s="23">
        <v>0.87141212962424597</v>
      </c>
      <c r="AB73" s="21">
        <v>411.91889273934299</v>
      </c>
      <c r="AC73" s="21">
        <v>399.11127904207399</v>
      </c>
      <c r="AD73" s="21">
        <v>395.563374246698</v>
      </c>
      <c r="AE73" s="22">
        <v>1.40843591046457E-2</v>
      </c>
      <c r="AF73" s="22">
        <v>-1.75018357335942E-2</v>
      </c>
      <c r="AG73" s="22">
        <v>-2.6431095913294799E-2</v>
      </c>
      <c r="AZ73" s="16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16">
        <f t="shared" si="10"/>
        <v>0</v>
      </c>
      <c r="BH73" s="16">
        <f t="shared" si="11"/>
        <v>0</v>
      </c>
      <c r="BI73" s="16">
        <f t="shared" si="12"/>
        <v>0</v>
      </c>
      <c r="BJ73" s="10">
        <f t="shared" si="13"/>
        <v>0</v>
      </c>
      <c r="BL73" s="16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16">
        <f t="shared" si="18"/>
        <v>0</v>
      </c>
      <c r="BT73" s="16">
        <f t="shared" si="19"/>
        <v>0</v>
      </c>
      <c r="BU73" s="16">
        <f t="shared" si="20"/>
        <v>0</v>
      </c>
      <c r="BV73" s="10">
        <f t="shared" si="21"/>
        <v>0</v>
      </c>
      <c r="BX73" s="10">
        <f t="shared" si="22"/>
        <v>0</v>
      </c>
      <c r="BY73" s="10">
        <f t="shared" si="23"/>
        <v>0</v>
      </c>
    </row>
    <row r="74" spans="1:77" x14ac:dyDescent="0.3">
      <c r="A74" s="1">
        <v>46129</v>
      </c>
      <c r="B74" s="21">
        <v>464.16</v>
      </c>
      <c r="C74" s="21">
        <v>415.71</v>
      </c>
      <c r="D74" s="22">
        <v>2.0371558496712999E-2</v>
      </c>
      <c r="E74" s="22">
        <v>2.3757902470277901E-2</v>
      </c>
      <c r="F74" s="21">
        <v>0</v>
      </c>
      <c r="G74" s="21">
        <v>0</v>
      </c>
      <c r="H74" s="21">
        <v>0</v>
      </c>
      <c r="I74" s="21">
        <v>0.20794399999999999</v>
      </c>
      <c r="J74" s="21">
        <v>0</v>
      </c>
      <c r="K74" s="21">
        <v>0.20794399999999999</v>
      </c>
      <c r="L74" s="21">
        <v>464.16</v>
      </c>
      <c r="M74" s="21">
        <v>415.91794399999998</v>
      </c>
      <c r="N74" s="23">
        <v>0.89561789038262596</v>
      </c>
      <c r="O74" s="23">
        <v>0.90525826694812095</v>
      </c>
      <c r="P74" s="23">
        <v>0.88294632324716205</v>
      </c>
      <c r="Q74" s="23">
        <v>0.87260770862066706</v>
      </c>
      <c r="R74" s="21">
        <v>420.18467718663999</v>
      </c>
      <c r="S74" s="21">
        <v>408.43716189106101</v>
      </c>
      <c r="T74" s="21">
        <v>404.23640032325</v>
      </c>
      <c r="U74" s="22">
        <v>1.0706420442866699E-2</v>
      </c>
      <c r="V74" s="22">
        <v>-1.76498257712479E-2</v>
      </c>
      <c r="W74" s="22">
        <v>-2.79880456357109E-2</v>
      </c>
      <c r="X74" s="23">
        <v>0.89606589107204404</v>
      </c>
      <c r="Y74" s="23">
        <v>0.90571436398272598</v>
      </c>
      <c r="Z74" s="23">
        <v>0.88342526155171397</v>
      </c>
      <c r="AA74" s="23">
        <v>0.87311708223517603</v>
      </c>
      <c r="AB74" s="21">
        <v>420.39637918622202</v>
      </c>
      <c r="AC74" s="21">
        <v>408.663273678189</v>
      </c>
      <c r="AD74" s="21">
        <v>404.47465408638999</v>
      </c>
      <c r="AE74" s="22">
        <v>1.0710035378247201E-2</v>
      </c>
      <c r="AF74" s="22">
        <v>-1.7596465593260901E-2</v>
      </c>
      <c r="AG74" s="22">
        <v>-2.7898916130181101E-2</v>
      </c>
      <c r="AZ74" s="16"/>
      <c r="BB74">
        <f t="shared" si="6"/>
        <v>0</v>
      </c>
      <c r="BC74">
        <f t="shared" si="7"/>
        <v>0</v>
      </c>
      <c r="BD74">
        <f t="shared" si="8"/>
        <v>0</v>
      </c>
      <c r="BE74">
        <f t="shared" si="4"/>
        <v>1</v>
      </c>
      <c r="BF74">
        <f t="shared" si="9"/>
        <v>0</v>
      </c>
      <c r="BG74" s="16">
        <f t="shared" si="10"/>
        <v>0</v>
      </c>
      <c r="BH74" s="16">
        <f t="shared" si="11"/>
        <v>0</v>
      </c>
      <c r="BI74" s="16">
        <f t="shared" si="12"/>
        <v>0</v>
      </c>
      <c r="BJ74" s="10">
        <f t="shared" si="13"/>
        <v>0</v>
      </c>
      <c r="BL74" s="16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16">
        <f t="shared" si="18"/>
        <v>0</v>
      </c>
      <c r="BT74" s="16">
        <f t="shared" si="19"/>
        <v>0</v>
      </c>
      <c r="BU74" s="16">
        <f t="shared" si="20"/>
        <v>0</v>
      </c>
      <c r="BV74" s="10">
        <f t="shared" si="21"/>
        <v>0</v>
      </c>
      <c r="BX74" s="10">
        <f t="shared" si="22"/>
        <v>0</v>
      </c>
      <c r="BY74" s="10">
        <f t="shared" si="23"/>
        <v>0</v>
      </c>
    </row>
    <row r="75" spans="1:77" x14ac:dyDescent="0.3">
      <c r="A75" s="1">
        <v>46132</v>
      </c>
      <c r="B75" s="21">
        <v>463.96</v>
      </c>
      <c r="C75" s="21">
        <v>417.55</v>
      </c>
      <c r="D75" s="22">
        <v>-4.3097875941849298E-4</v>
      </c>
      <c r="E75" s="22">
        <v>4.4163958205050702E-3</v>
      </c>
      <c r="F75" s="21">
        <v>0</v>
      </c>
      <c r="G75" s="21">
        <v>0</v>
      </c>
      <c r="H75" s="21">
        <v>0</v>
      </c>
      <c r="I75" s="21">
        <v>0.20794399999999999</v>
      </c>
      <c r="J75" s="21">
        <v>0</v>
      </c>
      <c r="K75" s="21">
        <v>0.20794399999999999</v>
      </c>
      <c r="L75" s="21">
        <v>463.96</v>
      </c>
      <c r="M75" s="21">
        <v>417.75794400000001</v>
      </c>
      <c r="N75" s="23">
        <v>0.89996982498491196</v>
      </c>
      <c r="O75" s="23">
        <v>0.90525826694812095</v>
      </c>
      <c r="P75" s="23">
        <v>0.88604497754725897</v>
      </c>
      <c r="Q75" s="23">
        <v>0.874393900654859</v>
      </c>
      <c r="R75" s="21">
        <v>420.00362553324999</v>
      </c>
      <c r="S75" s="21">
        <v>409.651776133753</v>
      </c>
      <c r="T75" s="21">
        <v>404.85507249164499</v>
      </c>
      <c r="U75" s="22">
        <v>5.8590458629432397E-3</v>
      </c>
      <c r="V75" s="22">
        <v>-1.90968252860323E-2</v>
      </c>
      <c r="W75" s="22">
        <v>-3.0875140234391901E-2</v>
      </c>
      <c r="X75" s="23">
        <v>0.90041801879472305</v>
      </c>
      <c r="Y75" s="23">
        <v>0.90571436398272598</v>
      </c>
      <c r="Z75" s="23">
        <v>0.88651622146947096</v>
      </c>
      <c r="AA75" s="23">
        <v>0.874898659995622</v>
      </c>
      <c r="AB75" s="21">
        <v>420.21523631342501</v>
      </c>
      <c r="AC75" s="21">
        <v>409.87398434953298</v>
      </c>
      <c r="AD75" s="21">
        <v>405.09140147383198</v>
      </c>
      <c r="AE75" s="22">
        <v>5.8648639710648497E-3</v>
      </c>
      <c r="AF75" s="22">
        <v>-1.90524262426786E-2</v>
      </c>
      <c r="AG75" s="22">
        <v>-3.0789459157209001E-2</v>
      </c>
      <c r="AZ75" s="16"/>
      <c r="BB75">
        <f t="shared" si="6"/>
        <v>0</v>
      </c>
      <c r="BC75">
        <f t="shared" si="7"/>
        <v>0</v>
      </c>
      <c r="BD75">
        <f t="shared" si="8"/>
        <v>0</v>
      </c>
      <c r="BE75">
        <f t="shared" si="4"/>
        <v>1</v>
      </c>
      <c r="BF75">
        <f t="shared" si="9"/>
        <v>0</v>
      </c>
      <c r="BG75" s="16">
        <f t="shared" si="10"/>
        <v>0</v>
      </c>
      <c r="BH75" s="16">
        <f t="shared" si="11"/>
        <v>0</v>
      </c>
      <c r="BI75" s="16">
        <f t="shared" si="12"/>
        <v>0</v>
      </c>
      <c r="BJ75" s="10">
        <f t="shared" si="13"/>
        <v>0</v>
      </c>
      <c r="BL75" s="16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16">
        <f t="shared" si="18"/>
        <v>0</v>
      </c>
      <c r="BT75" s="16">
        <f t="shared" si="19"/>
        <v>0</v>
      </c>
      <c r="BU75" s="16">
        <f t="shared" si="20"/>
        <v>0</v>
      </c>
      <c r="BV75" s="10">
        <f t="shared" si="21"/>
        <v>0</v>
      </c>
      <c r="BX75" s="10">
        <f t="shared" si="22"/>
        <v>0</v>
      </c>
      <c r="BY75" s="10">
        <f t="shared" si="23"/>
        <v>0</v>
      </c>
    </row>
    <row r="76" spans="1:77" x14ac:dyDescent="0.3">
      <c r="A76" s="1">
        <v>46133</v>
      </c>
      <c r="B76" s="21">
        <v>464.66</v>
      </c>
      <c r="C76" s="21">
        <v>420.7</v>
      </c>
      <c r="D76" s="22">
        <v>1.5076137334664101E-3</v>
      </c>
      <c r="E76" s="22">
        <v>7.5156929972367299E-3</v>
      </c>
      <c r="F76" s="21">
        <v>0</v>
      </c>
      <c r="G76" s="21">
        <v>0</v>
      </c>
      <c r="H76" s="21">
        <v>0</v>
      </c>
      <c r="I76" s="21">
        <v>0.20794399999999999</v>
      </c>
      <c r="J76" s="21">
        <v>0</v>
      </c>
      <c r="K76" s="21">
        <v>0.20794399999999999</v>
      </c>
      <c r="L76" s="21">
        <v>464.66</v>
      </c>
      <c r="M76" s="21">
        <v>420.90794399999999</v>
      </c>
      <c r="N76" s="23">
        <v>0.90539319072009605</v>
      </c>
      <c r="O76" s="23">
        <v>0.90525826694812095</v>
      </c>
      <c r="P76" s="23">
        <v>0.88962255618415997</v>
      </c>
      <c r="Q76" s="23">
        <v>0.87666095389486998</v>
      </c>
      <c r="R76" s="21">
        <v>420.63730632011402</v>
      </c>
      <c r="S76" s="21">
        <v>411.70965926710898</v>
      </c>
      <c r="T76" s="21">
        <v>406.295869878286</v>
      </c>
      <c r="U76" s="22">
        <v>-1.49033400827019E-4</v>
      </c>
      <c r="V76" s="22">
        <v>-2.1601600188847901E-2</v>
      </c>
      <c r="W76" s="22">
        <v>-3.48383528568059E-2</v>
      </c>
      <c r="X76" s="23">
        <v>0.90584070933585803</v>
      </c>
      <c r="Y76" s="23">
        <v>0.90571436398272598</v>
      </c>
      <c r="Z76" s="23">
        <v>0.89008655296819805</v>
      </c>
      <c r="AA76" s="23">
        <v>0.87716152232259503</v>
      </c>
      <c r="AB76" s="21">
        <v>420.84923636821298</v>
      </c>
      <c r="AC76" s="21">
        <v>411.92862746800398</v>
      </c>
      <c r="AD76" s="21">
        <v>406.53041135356602</v>
      </c>
      <c r="AE76" s="22">
        <v>-1.3948828296512901E-4</v>
      </c>
      <c r="AF76" s="22">
        <v>-2.1564049398411601E-2</v>
      </c>
      <c r="AG76" s="22">
        <v>-3.4755410572748197E-2</v>
      </c>
      <c r="AZ76" s="16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16">
        <f t="shared" si="10"/>
        <v>0</v>
      </c>
      <c r="BH76" s="16">
        <f t="shared" si="11"/>
        <v>0</v>
      </c>
      <c r="BI76" s="16">
        <f t="shared" si="12"/>
        <v>0</v>
      </c>
      <c r="BJ76" s="10">
        <f t="shared" si="13"/>
        <v>0</v>
      </c>
      <c r="BL76" s="16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16">
        <f t="shared" si="18"/>
        <v>0</v>
      </c>
      <c r="BT76" s="16">
        <f t="shared" si="19"/>
        <v>0</v>
      </c>
      <c r="BU76" s="16">
        <f t="shared" si="20"/>
        <v>0</v>
      </c>
      <c r="BV76" s="10">
        <f t="shared" si="21"/>
        <v>0</v>
      </c>
      <c r="BX76" s="10">
        <f t="shared" si="22"/>
        <v>0</v>
      </c>
      <c r="BY76" s="10">
        <f t="shared" si="23"/>
        <v>0</v>
      </c>
    </row>
    <row r="77" spans="1:77" x14ac:dyDescent="0.3">
      <c r="A77" s="1">
        <v>46134</v>
      </c>
      <c r="B77" s="21">
        <v>476.83</v>
      </c>
      <c r="C77" s="21">
        <v>431.77</v>
      </c>
      <c r="D77" s="22">
        <v>2.5854077887738899E-2</v>
      </c>
      <c r="E77" s="22">
        <v>2.5973048461078899E-2</v>
      </c>
      <c r="F77" s="21">
        <v>0</v>
      </c>
      <c r="G77" s="21">
        <v>0</v>
      </c>
      <c r="H77" s="21">
        <v>0</v>
      </c>
      <c r="I77" s="21">
        <v>0.20794399999999999</v>
      </c>
      <c r="J77" s="21">
        <v>0</v>
      </c>
      <c r="K77" s="21">
        <v>0.20794399999999999</v>
      </c>
      <c r="L77" s="21">
        <v>476.83</v>
      </c>
      <c r="M77" s="21">
        <v>431.97794399999998</v>
      </c>
      <c r="N77" s="23">
        <v>0.905500912274814</v>
      </c>
      <c r="O77" s="23">
        <v>0.90525826694812095</v>
      </c>
      <c r="P77" s="23">
        <v>0.89259107169992302</v>
      </c>
      <c r="Q77" s="23">
        <v>0.87872405799970299</v>
      </c>
      <c r="R77" s="21">
        <v>431.65429942887198</v>
      </c>
      <c r="S77" s="21">
        <v>424.19872346529303</v>
      </c>
      <c r="T77" s="21">
        <v>418.01824264569098</v>
      </c>
      <c r="U77" s="22">
        <v>-2.68003974166971E-4</v>
      </c>
      <c r="V77" s="22">
        <v>-1.76910062070933E-2</v>
      </c>
      <c r="W77" s="22">
        <v>-3.2367964792071401E-2</v>
      </c>
      <c r="X77" s="23">
        <v>0.90593700899691698</v>
      </c>
      <c r="Y77" s="23">
        <v>0.90571436398272598</v>
      </c>
      <c r="Z77" s="23">
        <v>0.89304950951907702</v>
      </c>
      <c r="AA77" s="23">
        <v>0.87922008188823197</v>
      </c>
      <c r="AB77" s="21">
        <v>431.87178017788301</v>
      </c>
      <c r="AC77" s="21">
        <v>424.419971051826</v>
      </c>
      <c r="AD77" s="21">
        <v>418.256928689083</v>
      </c>
      <c r="AE77" s="22">
        <v>-2.4579234021786299E-4</v>
      </c>
      <c r="AF77" s="22">
        <v>-1.76510686087063E-2</v>
      </c>
      <c r="AG77" s="22">
        <v>-3.2278625752088397E-2</v>
      </c>
      <c r="AZ77" s="16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16">
        <f t="shared" si="10"/>
        <v>0</v>
      </c>
      <c r="BH77" s="16">
        <f t="shared" si="11"/>
        <v>0</v>
      </c>
      <c r="BI77" s="16">
        <f t="shared" si="12"/>
        <v>0</v>
      </c>
      <c r="BJ77" s="10">
        <f t="shared" si="13"/>
        <v>0</v>
      </c>
      <c r="BL77" s="16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16">
        <f t="shared" si="18"/>
        <v>0</v>
      </c>
      <c r="BT77" s="16">
        <f t="shared" si="19"/>
        <v>0</v>
      </c>
      <c r="BU77" s="16">
        <f t="shared" si="20"/>
        <v>0</v>
      </c>
      <c r="BV77" s="10">
        <f t="shared" si="21"/>
        <v>0</v>
      </c>
      <c r="BX77" s="10">
        <f t="shared" si="22"/>
        <v>0</v>
      </c>
      <c r="BY77" s="10">
        <f t="shared" si="23"/>
        <v>0</v>
      </c>
    </row>
    <row r="78" spans="1:77" x14ac:dyDescent="0.3">
      <c r="A78" s="1">
        <v>46135</v>
      </c>
      <c r="B78" s="21">
        <v>481.85</v>
      </c>
      <c r="C78" s="21">
        <v>441</v>
      </c>
      <c r="D78" s="22">
        <v>1.0472829062415499E-2</v>
      </c>
      <c r="E78" s="22">
        <v>2.11518363892918E-2</v>
      </c>
      <c r="F78" s="21">
        <v>0</v>
      </c>
      <c r="G78" s="21">
        <v>0</v>
      </c>
      <c r="H78" s="21">
        <v>0</v>
      </c>
      <c r="I78" s="21">
        <v>0.20794399999999999</v>
      </c>
      <c r="J78" s="21">
        <v>0</v>
      </c>
      <c r="K78" s="21">
        <v>0.20794399999999999</v>
      </c>
      <c r="L78" s="21">
        <v>481.85</v>
      </c>
      <c r="M78" s="21">
        <v>441.207944</v>
      </c>
      <c r="N78" s="23">
        <v>0.91522257964096698</v>
      </c>
      <c r="O78" s="23">
        <v>0.90525826694812095</v>
      </c>
      <c r="P78" s="23">
        <v>0.89612327598178998</v>
      </c>
      <c r="Q78" s="23">
        <v>0.88122294448764105</v>
      </c>
      <c r="R78" s="21">
        <v>436.19869592895202</v>
      </c>
      <c r="S78" s="21">
        <v>430.095007898608</v>
      </c>
      <c r="T78" s="21">
        <v>423.41318734715702</v>
      </c>
      <c r="U78" s="22">
        <v>-1.09470113010432E-2</v>
      </c>
      <c r="V78" s="22">
        <v>-2.50387425633713E-2</v>
      </c>
      <c r="W78" s="22">
        <v>-4.0696370922291197E-2</v>
      </c>
      <c r="X78" s="23">
        <v>0.91565413302895005</v>
      </c>
      <c r="Y78" s="23">
        <v>0.90571436398272598</v>
      </c>
      <c r="Z78" s="23">
        <v>0.89657654490837502</v>
      </c>
      <c r="AA78" s="23">
        <v>0.88171448920631301</v>
      </c>
      <c r="AB78" s="21">
        <v>436.41846628507602</v>
      </c>
      <c r="AC78" s="21">
        <v>430.31590616176697</v>
      </c>
      <c r="AD78" s="21">
        <v>423.65219645784401</v>
      </c>
      <c r="AE78" s="22">
        <v>-1.09147245495879E-2</v>
      </c>
      <c r="AF78" s="22">
        <v>-2.4996688211462201E-2</v>
      </c>
      <c r="AG78" s="22">
        <v>-4.0603465421077997E-2</v>
      </c>
      <c r="AZ78" s="16"/>
      <c r="BB78">
        <f t="shared" si="6"/>
        <v>1</v>
      </c>
      <c r="BC78">
        <f t="shared" si="7"/>
        <v>0</v>
      </c>
      <c r="BD78">
        <f t="shared" si="8"/>
        <v>0</v>
      </c>
      <c r="BE78">
        <f t="shared" si="4"/>
        <v>1</v>
      </c>
      <c r="BF78">
        <f t="shared" si="9"/>
        <v>0</v>
      </c>
      <c r="BG78" s="16">
        <f t="shared" si="10"/>
        <v>0</v>
      </c>
      <c r="BH78" s="16">
        <f t="shared" si="11"/>
        <v>0</v>
      </c>
      <c r="BI78" s="16">
        <f t="shared" si="12"/>
        <v>0</v>
      </c>
      <c r="BJ78" s="10">
        <f t="shared" si="13"/>
        <v>0</v>
      </c>
      <c r="BL78" s="16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16">
        <f t="shared" si="18"/>
        <v>0</v>
      </c>
      <c r="BT78" s="16">
        <f t="shared" si="19"/>
        <v>0</v>
      </c>
      <c r="BU78" s="16">
        <f t="shared" si="20"/>
        <v>0</v>
      </c>
      <c r="BV78" s="10">
        <f t="shared" si="21"/>
        <v>0</v>
      </c>
      <c r="BX78" s="10">
        <f t="shared" si="22"/>
        <v>0</v>
      </c>
      <c r="BY78" s="10">
        <f t="shared" si="23"/>
        <v>0</v>
      </c>
    </row>
    <row r="79" spans="1:77" x14ac:dyDescent="0.3">
      <c r="A79" s="1">
        <v>46136</v>
      </c>
      <c r="B79" s="21">
        <v>506.44</v>
      </c>
      <c r="C79" s="21">
        <v>461.6</v>
      </c>
      <c r="D79" s="22">
        <v>4.9772994354756003E-2</v>
      </c>
      <c r="E79" s="22">
        <v>4.5653839747043803E-2</v>
      </c>
      <c r="F79" s="21">
        <v>0</v>
      </c>
      <c r="G79" s="21">
        <v>0</v>
      </c>
      <c r="H79" s="21">
        <v>0</v>
      </c>
      <c r="I79" s="21">
        <v>0.20794399999999999</v>
      </c>
      <c r="J79" s="21">
        <v>0</v>
      </c>
      <c r="K79" s="21">
        <v>0.20794399999999999</v>
      </c>
      <c r="L79" s="21">
        <v>506.44</v>
      </c>
      <c r="M79" s="21">
        <v>461.80794400000002</v>
      </c>
      <c r="N79" s="23">
        <v>0.91146039017455105</v>
      </c>
      <c r="O79" s="23">
        <v>0.90525826694812095</v>
      </c>
      <c r="P79" s="23">
        <v>0.89877819615654297</v>
      </c>
      <c r="Q79" s="23">
        <v>0.88362166507818696</v>
      </c>
      <c r="R79" s="21">
        <v>458.45899671320598</v>
      </c>
      <c r="S79" s="21">
        <v>453.83267188821799</v>
      </c>
      <c r="T79" s="21">
        <v>446.28654800632</v>
      </c>
      <c r="U79" s="22">
        <v>-6.8278566933311002E-3</v>
      </c>
      <c r="V79" s="22">
        <v>-1.6970149211858802E-2</v>
      </c>
      <c r="W79" s="22">
        <v>-3.3737485159410302E-2</v>
      </c>
      <c r="X79" s="23">
        <v>0.91187098965326596</v>
      </c>
      <c r="Y79" s="23">
        <v>0.90571436398272598</v>
      </c>
      <c r="Z79" s="23">
        <v>0.89922492752138505</v>
      </c>
      <c r="AA79" s="23">
        <v>0.88410643906708797</v>
      </c>
      <c r="AB79" s="21">
        <v>458.68998249541102</v>
      </c>
      <c r="AC79" s="21">
        <v>454.06222540339701</v>
      </c>
      <c r="AD79" s="21">
        <v>446.535485913645</v>
      </c>
      <c r="AE79" s="22">
        <v>-6.7745365623658E-3</v>
      </c>
      <c r="AF79" s="22">
        <v>-1.6914850015153599E-2</v>
      </c>
      <c r="AG79" s="22">
        <v>-3.3630226135521503E-2</v>
      </c>
      <c r="AZ79" s="16"/>
      <c r="BB79">
        <f t="shared" si="6"/>
        <v>0</v>
      </c>
      <c r="BC79">
        <f t="shared" si="7"/>
        <v>0</v>
      </c>
      <c r="BD79">
        <f t="shared" si="8"/>
        <v>1</v>
      </c>
      <c r="BE79">
        <f t="shared" si="4"/>
        <v>1</v>
      </c>
      <c r="BF79">
        <f t="shared" si="9"/>
        <v>1</v>
      </c>
      <c r="BG79" s="16">
        <f t="shared" si="10"/>
        <v>4.9772994354756003E-2</v>
      </c>
      <c r="BH79" s="16">
        <f t="shared" si="11"/>
        <v>-4.5653839747043803E-2</v>
      </c>
      <c r="BI79" s="16">
        <f t="shared" si="12"/>
        <v>4.1191546077121999E-3</v>
      </c>
      <c r="BJ79" s="10">
        <f t="shared" si="13"/>
        <v>4.1191546077121999E-3</v>
      </c>
      <c r="BL79" s="16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16">
        <f t="shared" si="18"/>
        <v>0</v>
      </c>
      <c r="BT79" s="16">
        <f t="shared" si="19"/>
        <v>0</v>
      </c>
      <c r="BU79" s="16">
        <f t="shared" si="20"/>
        <v>0</v>
      </c>
      <c r="BV79" s="10">
        <f t="shared" si="21"/>
        <v>0</v>
      </c>
      <c r="BX79" s="10">
        <f t="shared" si="22"/>
        <v>4.1191546077121999E-3</v>
      </c>
      <c r="BY79" s="10">
        <f t="shared" si="23"/>
        <v>4.1191546077121999E-3</v>
      </c>
    </row>
    <row r="80" spans="1:77" x14ac:dyDescent="0.3">
      <c r="A80" s="1">
        <v>46139</v>
      </c>
      <c r="B80" s="21">
        <v>506.26</v>
      </c>
      <c r="C80" s="21">
        <v>455.41</v>
      </c>
      <c r="D80" s="22">
        <v>-3.5548533997349998E-4</v>
      </c>
      <c r="E80" s="22">
        <v>-1.3500603087728699E-2</v>
      </c>
      <c r="F80" s="21">
        <v>0</v>
      </c>
      <c r="G80" s="21">
        <v>0</v>
      </c>
      <c r="H80" s="21">
        <v>0</v>
      </c>
      <c r="I80" s="21">
        <v>0.20794399999999999</v>
      </c>
      <c r="J80" s="21">
        <v>0</v>
      </c>
      <c r="K80" s="21">
        <v>0.20794399999999999</v>
      </c>
      <c r="L80" s="21">
        <v>506.26</v>
      </c>
      <c r="M80" s="21">
        <v>455.61794400000002</v>
      </c>
      <c r="N80" s="23">
        <v>0.89955753960415596</v>
      </c>
      <c r="O80" s="23">
        <v>0.90525826694812095</v>
      </c>
      <c r="P80" s="23">
        <v>0.900011976011306</v>
      </c>
      <c r="Q80" s="23">
        <v>0.88538244118999199</v>
      </c>
      <c r="R80" s="21">
        <v>458.29605022515602</v>
      </c>
      <c r="S80" s="21">
        <v>455.01544958621099</v>
      </c>
      <c r="T80" s="21">
        <v>447.342304162483</v>
      </c>
      <c r="U80" s="22">
        <v>6.3172610544241104E-3</v>
      </c>
      <c r="V80" s="22">
        <v>-8.6673859714212799E-4</v>
      </c>
      <c r="W80" s="22">
        <v>-1.7874029429229402E-2</v>
      </c>
      <c r="X80" s="23">
        <v>0.89996828507091198</v>
      </c>
      <c r="Y80" s="23">
        <v>0.90571436398272598</v>
      </c>
      <c r="Z80" s="23">
        <v>0.90045287796649198</v>
      </c>
      <c r="AA80" s="23">
        <v>0.88585997102270397</v>
      </c>
      <c r="AB80" s="21">
        <v>458.52695390989498</v>
      </c>
      <c r="AC80" s="21">
        <v>455.24161180697598</v>
      </c>
      <c r="AD80" s="21">
        <v>447.587725842103</v>
      </c>
      <c r="AE80" s="22">
        <v>6.3644608989021096E-3</v>
      </c>
      <c r="AF80" s="22">
        <v>-8.2632325046775299E-4</v>
      </c>
      <c r="AG80" s="22">
        <v>-1.77820623194224E-2</v>
      </c>
      <c r="AZ80" s="16"/>
      <c r="BB80">
        <f t="shared" si="6"/>
        <v>0</v>
      </c>
      <c r="BC80">
        <f t="shared" si="7"/>
        <v>0</v>
      </c>
      <c r="BD80">
        <f t="shared" si="8"/>
        <v>1</v>
      </c>
      <c r="BE80">
        <f t="shared" si="4"/>
        <v>1</v>
      </c>
      <c r="BF80">
        <f t="shared" si="9"/>
        <v>1</v>
      </c>
      <c r="BG80" s="16">
        <f t="shared" si="10"/>
        <v>-3.5548533997349998E-4</v>
      </c>
      <c r="BH80" s="16">
        <f t="shared" si="11"/>
        <v>1.3500603087728699E-2</v>
      </c>
      <c r="BI80" s="16">
        <f t="shared" si="12"/>
        <v>1.3145117747755199E-2</v>
      </c>
      <c r="BJ80" s="10">
        <f t="shared" si="13"/>
        <v>1.7264272355467399E-2</v>
      </c>
      <c r="BL80" s="16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16">
        <f t="shared" si="18"/>
        <v>0</v>
      </c>
      <c r="BT80" s="16">
        <f t="shared" si="19"/>
        <v>0</v>
      </c>
      <c r="BU80" s="16">
        <f t="shared" si="20"/>
        <v>0</v>
      </c>
      <c r="BV80" s="10">
        <f t="shared" si="21"/>
        <v>0</v>
      </c>
      <c r="BX80" s="10">
        <f t="shared" si="22"/>
        <v>1.3145117747755199E-2</v>
      </c>
      <c r="BY80" s="10">
        <f t="shared" si="23"/>
        <v>1.7264272355467399E-2</v>
      </c>
    </row>
    <row r="81" spans="1:77" x14ac:dyDescent="0.3">
      <c r="A81" s="1">
        <v>46140</v>
      </c>
      <c r="B81" s="21">
        <v>491.21</v>
      </c>
      <c r="C81" s="21">
        <v>438.71</v>
      </c>
      <c r="D81" s="22">
        <v>-3.0178636380184899E-2</v>
      </c>
      <c r="E81" s="22">
        <v>-3.7359509573316602E-2</v>
      </c>
      <c r="F81" s="21">
        <v>0</v>
      </c>
      <c r="G81" s="21">
        <v>0</v>
      </c>
      <c r="H81" s="21">
        <v>0</v>
      </c>
      <c r="I81" s="21">
        <v>0.20794399999999999</v>
      </c>
      <c r="J81" s="21">
        <v>0</v>
      </c>
      <c r="K81" s="21">
        <v>0.20794399999999999</v>
      </c>
      <c r="L81" s="21">
        <v>491.21</v>
      </c>
      <c r="M81" s="21">
        <v>438.91794399999998</v>
      </c>
      <c r="N81" s="23">
        <v>0.89312106838215799</v>
      </c>
      <c r="O81" s="23">
        <v>0.90525826694812095</v>
      </c>
      <c r="P81" s="23">
        <v>0.90055417134509697</v>
      </c>
      <c r="Q81" s="23">
        <v>0.88731237539137997</v>
      </c>
      <c r="R81" s="21">
        <v>444.67191330758601</v>
      </c>
      <c r="S81" s="21">
        <v>442.094882736513</v>
      </c>
      <c r="T81" s="21">
        <v>434.90870893693602</v>
      </c>
      <c r="U81" s="22">
        <v>1.3498134247555801E-2</v>
      </c>
      <c r="V81" s="22">
        <v>7.6859233319195404E-3</v>
      </c>
      <c r="W81" s="22">
        <v>-8.7024579815892806E-3</v>
      </c>
      <c r="X81" s="23">
        <v>0.89354439852608802</v>
      </c>
      <c r="Y81" s="23">
        <v>0.90571436398272598</v>
      </c>
      <c r="Z81" s="23">
        <v>0.90099140100494202</v>
      </c>
      <c r="AA81" s="23">
        <v>0.887782392173735</v>
      </c>
      <c r="AB81" s="21">
        <v>444.89595273195499</v>
      </c>
      <c r="AC81" s="21">
        <v>442.31145818592</v>
      </c>
      <c r="AD81" s="21">
        <v>435.14327636606203</v>
      </c>
      <c r="AE81" s="22">
        <v>1.35279608552594E-2</v>
      </c>
      <c r="AF81" s="22">
        <v>7.7018105663757301E-3</v>
      </c>
      <c r="AG81" s="22">
        <v>-8.6371320722676906E-3</v>
      </c>
      <c r="AZ81" s="16"/>
      <c r="BB81">
        <f t="shared" si="6"/>
        <v>0</v>
      </c>
      <c r="BC81">
        <f t="shared" si="7"/>
        <v>1</v>
      </c>
      <c r="BD81">
        <f t="shared" si="8"/>
        <v>1</v>
      </c>
      <c r="BE81">
        <f t="shared" si="4"/>
        <v>1</v>
      </c>
      <c r="BF81">
        <f t="shared" si="9"/>
        <v>1</v>
      </c>
      <c r="BG81" s="16">
        <f t="shared" si="10"/>
        <v>-3.0178636380184899E-2</v>
      </c>
      <c r="BH81" s="16">
        <f t="shared" si="11"/>
        <v>3.7359509573316602E-2</v>
      </c>
      <c r="BI81" s="16">
        <f t="shared" si="12"/>
        <v>7.1808731931317024E-3</v>
      </c>
      <c r="BJ81" s="10">
        <f t="shared" si="13"/>
        <v>2.4445145548599102E-2</v>
      </c>
      <c r="BL81" s="16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16">
        <f t="shared" si="18"/>
        <v>0</v>
      </c>
      <c r="BT81" s="16">
        <f t="shared" si="19"/>
        <v>0</v>
      </c>
      <c r="BU81" s="16">
        <f t="shared" si="20"/>
        <v>0</v>
      </c>
      <c r="BV81" s="10">
        <f t="shared" si="21"/>
        <v>0</v>
      </c>
      <c r="BX81" s="10">
        <f t="shared" si="22"/>
        <v>7.1808731931317024E-3</v>
      </c>
      <c r="BY81" s="10">
        <f t="shared" si="23"/>
        <v>2.4445145548599102E-2</v>
      </c>
    </row>
    <row r="82" spans="1:77" x14ac:dyDescent="0.3">
      <c r="A82" s="1">
        <v>46141</v>
      </c>
      <c r="B82" s="21">
        <v>499.58</v>
      </c>
      <c r="C82" s="21">
        <v>449.99</v>
      </c>
      <c r="D82" s="22">
        <v>1.6896010492605001E-2</v>
      </c>
      <c r="E82" s="22">
        <v>2.5386757762381501E-2</v>
      </c>
      <c r="F82" s="21">
        <v>0</v>
      </c>
      <c r="G82" s="21">
        <v>0</v>
      </c>
      <c r="H82" s="21">
        <v>0</v>
      </c>
      <c r="I82" s="21">
        <v>0.20794399999999999</v>
      </c>
      <c r="J82" s="21">
        <v>0</v>
      </c>
      <c r="K82" s="21">
        <v>0.20794399999999999</v>
      </c>
      <c r="L82" s="21">
        <v>499.58</v>
      </c>
      <c r="M82" s="21">
        <v>450.19794400000001</v>
      </c>
      <c r="N82" s="23">
        <v>0.90073661875975797</v>
      </c>
      <c r="O82" s="23">
        <v>0.90525826694812095</v>
      </c>
      <c r="P82" s="23">
        <v>0.90191701644403099</v>
      </c>
      <c r="Q82" s="23">
        <v>0.889487964806154</v>
      </c>
      <c r="R82" s="21">
        <v>452.24892500194198</v>
      </c>
      <c r="S82" s="21">
        <v>449.89885292058301</v>
      </c>
      <c r="T82" s="21">
        <v>443.28351649802499</v>
      </c>
      <c r="U82" s="22">
        <v>5.0073869777793904E-3</v>
      </c>
      <c r="V82" s="22">
        <v>-2.0257408330405101E-4</v>
      </c>
      <c r="W82" s="22">
        <v>-1.50158028628289E-2</v>
      </c>
      <c r="X82" s="23">
        <v>0.90115285639937504</v>
      </c>
      <c r="Y82" s="23">
        <v>0.90571436398272598</v>
      </c>
      <c r="Z82" s="23">
        <v>0.90234996611507801</v>
      </c>
      <c r="AA82" s="23">
        <v>0.88995167505630102</v>
      </c>
      <c r="AB82" s="21">
        <v>452.47678195848999</v>
      </c>
      <c r="AC82" s="21">
        <v>450.117284114048</v>
      </c>
      <c r="AD82" s="21">
        <v>443.51832748215401</v>
      </c>
      <c r="AE82" s="22">
        <v>5.0490896315458396E-3</v>
      </c>
      <c r="AF82" s="22">
        <v>-1.7918143256510799E-4</v>
      </c>
      <c r="AG82" s="22">
        <v>-1.49482360575071E-2</v>
      </c>
      <c r="AZ82" s="16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16">
        <f t="shared" si="10"/>
        <v>0</v>
      </c>
      <c r="BH82" s="16">
        <f t="shared" si="11"/>
        <v>0</v>
      </c>
      <c r="BI82" s="16">
        <f t="shared" si="12"/>
        <v>0</v>
      </c>
      <c r="BJ82" s="10">
        <f t="shared" si="13"/>
        <v>2.4445145548599102E-2</v>
      </c>
      <c r="BL82" s="16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16">
        <f t="shared" si="18"/>
        <v>0</v>
      </c>
      <c r="BT82" s="16">
        <f t="shared" si="19"/>
        <v>0</v>
      </c>
      <c r="BU82" s="16">
        <f t="shared" si="20"/>
        <v>0</v>
      </c>
      <c r="BV82" s="10">
        <f t="shared" si="21"/>
        <v>0</v>
      </c>
      <c r="BX82" s="10">
        <f t="shared" si="22"/>
        <v>0</v>
      </c>
      <c r="BY82" s="10">
        <f t="shared" si="23"/>
        <v>2.4445145548599102E-2</v>
      </c>
    </row>
    <row r="83" spans="1:77" x14ac:dyDescent="0.3">
      <c r="A83" s="1">
        <v>46142</v>
      </c>
      <c r="B83" s="21">
        <v>506.72</v>
      </c>
      <c r="C83" s="21">
        <v>461.44</v>
      </c>
      <c r="D83" s="22">
        <v>1.41908373658306E-2</v>
      </c>
      <c r="E83" s="22">
        <v>2.5126674361303499E-2</v>
      </c>
      <c r="F83" s="21">
        <v>0</v>
      </c>
      <c r="G83" s="21">
        <v>0</v>
      </c>
      <c r="H83" s="21">
        <v>0</v>
      </c>
      <c r="I83" s="21">
        <v>0.20794399999999999</v>
      </c>
      <c r="J83" s="21">
        <v>0</v>
      </c>
      <c r="K83" s="21">
        <v>0.20794399999999999</v>
      </c>
      <c r="L83" s="21">
        <v>506.72</v>
      </c>
      <c r="M83" s="21">
        <v>461.647944</v>
      </c>
      <c r="N83" s="23">
        <v>0.91064098515945602</v>
      </c>
      <c r="O83" s="23">
        <v>0.90525826694812095</v>
      </c>
      <c r="P83" s="23">
        <v>0.90372210000834896</v>
      </c>
      <c r="Q83" s="23">
        <v>0.89183558668448104</v>
      </c>
      <c r="R83" s="21">
        <v>458.71246902795201</v>
      </c>
      <c r="S83" s="21">
        <v>457.019390572519</v>
      </c>
      <c r="T83" s="21">
        <v>450.72134152657401</v>
      </c>
      <c r="U83" s="22">
        <v>-5.92845001769362E-3</v>
      </c>
      <c r="V83" s="22">
        <v>-9.6262145256533291E-3</v>
      </c>
      <c r="W83" s="22">
        <v>-2.3502754124983202E-2</v>
      </c>
      <c r="X83" s="23">
        <v>0.91105135775181501</v>
      </c>
      <c r="Y83" s="23">
        <v>0.90571436398272598</v>
      </c>
      <c r="Z83" s="23">
        <v>0.90415036486299505</v>
      </c>
      <c r="AA83" s="23">
        <v>0.89229329006484503</v>
      </c>
      <c r="AB83" s="21">
        <v>458.943582517327</v>
      </c>
      <c r="AC83" s="21">
        <v>457.23877482983198</v>
      </c>
      <c r="AD83" s="21">
        <v>450.95631278452902</v>
      </c>
      <c r="AE83" s="22">
        <v>-5.8752860179306903E-3</v>
      </c>
      <c r="AF83" s="22">
        <v>-9.5968369546992598E-3</v>
      </c>
      <c r="AG83" s="22">
        <v>-2.3432107247681001E-2</v>
      </c>
      <c r="AZ83" s="16"/>
      <c r="BB83">
        <f t="shared" si="6"/>
        <v>0</v>
      </c>
      <c r="BC83">
        <f t="shared" si="7"/>
        <v>0</v>
      </c>
      <c r="BD83">
        <f t="shared" si="8"/>
        <v>0</v>
      </c>
      <c r="BE83">
        <f t="shared" si="4"/>
        <v>1</v>
      </c>
      <c r="BF83">
        <f t="shared" si="9"/>
        <v>0</v>
      </c>
      <c r="BG83" s="16">
        <f t="shared" si="10"/>
        <v>0</v>
      </c>
      <c r="BH83" s="16">
        <f t="shared" si="11"/>
        <v>0</v>
      </c>
      <c r="BI83" s="16">
        <f t="shared" si="12"/>
        <v>0</v>
      </c>
      <c r="BJ83" s="10">
        <f t="shared" si="13"/>
        <v>2.4445145548599102E-2</v>
      </c>
      <c r="BL83" s="16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16">
        <f t="shared" si="18"/>
        <v>0</v>
      </c>
      <c r="BT83" s="16">
        <f t="shared" si="19"/>
        <v>0</v>
      </c>
      <c r="BU83" s="16">
        <f t="shared" si="20"/>
        <v>0</v>
      </c>
      <c r="BV83" s="10">
        <f t="shared" si="21"/>
        <v>0</v>
      </c>
      <c r="BX83" s="10">
        <f t="shared" si="22"/>
        <v>0</v>
      </c>
      <c r="BY83" s="10">
        <f t="shared" si="23"/>
        <v>2.4445145548599102E-2</v>
      </c>
    </row>
    <row r="84" spans="1:77" x14ac:dyDescent="0.3">
      <c r="A84" s="1">
        <v>46143</v>
      </c>
      <c r="B84" s="21">
        <v>509.82</v>
      </c>
      <c r="C84" s="21">
        <v>465.75</v>
      </c>
      <c r="D84" s="22">
        <v>6.0991394531752204E-3</v>
      </c>
      <c r="E84" s="22">
        <v>9.2969748251682596E-3</v>
      </c>
      <c r="F84" s="21">
        <v>0</v>
      </c>
      <c r="G84" s="21">
        <v>0</v>
      </c>
      <c r="H84" s="21">
        <v>0</v>
      </c>
      <c r="I84" s="21">
        <v>0.20794399999999999</v>
      </c>
      <c r="J84" s="21">
        <v>0</v>
      </c>
      <c r="K84" s="21">
        <v>0.20794399999999999</v>
      </c>
      <c r="L84" s="21">
        <v>509.82</v>
      </c>
      <c r="M84" s="21">
        <v>465.957944</v>
      </c>
      <c r="N84" s="23">
        <v>0.91355772625632503</v>
      </c>
      <c r="O84" s="23">
        <v>0.90525826694812095</v>
      </c>
      <c r="P84" s="23">
        <v>0.905516083595719</v>
      </c>
      <c r="Q84" s="23">
        <v>0.89423120342144002</v>
      </c>
      <c r="R84" s="21">
        <v>461.51876965549098</v>
      </c>
      <c r="S84" s="21">
        <v>460.73560102625601</v>
      </c>
      <c r="T84" s="21">
        <v>454.675618803482</v>
      </c>
      <c r="U84" s="22">
        <v>-9.1262853896866298E-3</v>
      </c>
      <c r="V84" s="22">
        <v>-1.08246645839412E-2</v>
      </c>
      <c r="W84" s="22">
        <v>-2.40647704897607E-2</v>
      </c>
      <c r="X84" s="23">
        <v>0.91396560354634904</v>
      </c>
      <c r="Y84" s="23">
        <v>0.90571436398272598</v>
      </c>
      <c r="Z84" s="23">
        <v>0.90594033611042502</v>
      </c>
      <c r="AA84" s="23">
        <v>0.89468279883107005</v>
      </c>
      <c r="AB84" s="21">
        <v>461.75129704567303</v>
      </c>
      <c r="AC84" s="21">
        <v>460.95393901445198</v>
      </c>
      <c r="AD84" s="21">
        <v>454.90896514085898</v>
      </c>
      <c r="AE84" s="22">
        <v>-9.0689530723458995E-3</v>
      </c>
      <c r="AF84" s="22">
        <v>-1.07972584911042E-2</v>
      </c>
      <c r="AG84" s="22">
        <v>-2.39980588064687E-2</v>
      </c>
      <c r="AZ84" s="16"/>
      <c r="BB84">
        <f t="shared" si="6"/>
        <v>0</v>
      </c>
      <c r="BC84">
        <f t="shared" si="7"/>
        <v>0</v>
      </c>
      <c r="BD84">
        <f t="shared" si="8"/>
        <v>0</v>
      </c>
      <c r="BE84">
        <f t="shared" si="4"/>
        <v>1</v>
      </c>
      <c r="BF84">
        <f t="shared" si="9"/>
        <v>0</v>
      </c>
      <c r="BG84" s="16">
        <f t="shared" si="10"/>
        <v>0</v>
      </c>
      <c r="BH84" s="16">
        <f t="shared" si="11"/>
        <v>0</v>
      </c>
      <c r="BI84" s="16">
        <f t="shared" si="12"/>
        <v>0</v>
      </c>
      <c r="BJ84" s="10">
        <f t="shared" si="13"/>
        <v>2.4445145548599102E-2</v>
      </c>
      <c r="BL84" s="16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16">
        <f t="shared" si="18"/>
        <v>0</v>
      </c>
      <c r="BT84" s="16">
        <f t="shared" si="19"/>
        <v>0</v>
      </c>
      <c r="BU84" s="16">
        <f t="shared" si="20"/>
        <v>0</v>
      </c>
      <c r="BV84" s="10">
        <f t="shared" si="21"/>
        <v>0</v>
      </c>
      <c r="BX84" s="10">
        <f t="shared" si="22"/>
        <v>0</v>
      </c>
      <c r="BY84" s="10">
        <f t="shared" si="23"/>
        <v>2.4445145548599102E-2</v>
      </c>
    </row>
    <row r="85" spans="1:77" x14ac:dyDescent="0.3">
      <c r="A85" s="1">
        <v>46146</v>
      </c>
      <c r="B85" s="21">
        <v>506.79</v>
      </c>
      <c r="C85" s="21">
        <v>462.06</v>
      </c>
      <c r="D85" s="22">
        <v>-5.96100564075841E-3</v>
      </c>
      <c r="E85" s="22">
        <v>-7.9542567024840603E-3</v>
      </c>
      <c r="F85" s="21">
        <v>0</v>
      </c>
      <c r="G85" s="21">
        <v>0</v>
      </c>
      <c r="H85" s="21">
        <v>0</v>
      </c>
      <c r="I85" s="21">
        <v>0.20794399999999999</v>
      </c>
      <c r="J85" s="21">
        <v>0</v>
      </c>
      <c r="K85" s="21">
        <v>0.20794399999999999</v>
      </c>
      <c r="L85" s="21">
        <v>506.79</v>
      </c>
      <c r="M85" s="21">
        <v>462.267944</v>
      </c>
      <c r="N85" s="23">
        <v>0.91173858994849899</v>
      </c>
      <c r="O85" s="23">
        <v>0.90525826694812095</v>
      </c>
      <c r="P85" s="23">
        <v>0.906692960092078</v>
      </c>
      <c r="Q85" s="23">
        <v>0.89636896881966899</v>
      </c>
      <c r="R85" s="21">
        <v>458.77583710663799</v>
      </c>
      <c r="S85" s="21">
        <v>458.90649600547403</v>
      </c>
      <c r="T85" s="21">
        <v>453.18743158195201</v>
      </c>
      <c r="U85" s="22">
        <v>-7.1330343279609196E-3</v>
      </c>
      <c r="V85" s="22">
        <v>-6.8482758772320899E-3</v>
      </c>
      <c r="W85" s="22">
        <v>-1.9388956618144298E-2</v>
      </c>
      <c r="X85" s="23">
        <v>0.91214890585844199</v>
      </c>
      <c r="Y85" s="23">
        <v>0.90571436398272598</v>
      </c>
      <c r="Z85" s="23">
        <v>0.90711342481679702</v>
      </c>
      <c r="AA85" s="23">
        <v>0.89681482314313399</v>
      </c>
      <c r="AB85" s="21">
        <v>459.006982522805</v>
      </c>
      <c r="AC85" s="21">
        <v>459.121502937402</v>
      </c>
      <c r="AD85" s="21">
        <v>453.41629561959797</v>
      </c>
      <c r="AE85" s="22">
        <v>-7.07926592196412E-3</v>
      </c>
      <c r="AF85" s="22">
        <v>-6.8298010224338299E-3</v>
      </c>
      <c r="AG85" s="22">
        <v>-1.93340099729487E-2</v>
      </c>
      <c r="AZ85" s="16"/>
      <c r="BB85">
        <f t="shared" si="6"/>
        <v>0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16">
        <f t="shared" si="10"/>
        <v>0</v>
      </c>
      <c r="BH85" s="16">
        <f t="shared" si="11"/>
        <v>0</v>
      </c>
      <c r="BI85" s="16">
        <f t="shared" si="12"/>
        <v>0</v>
      </c>
      <c r="BJ85" s="10">
        <f t="shared" si="13"/>
        <v>2.4445145548599102E-2</v>
      </c>
      <c r="BL85" s="16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16">
        <f t="shared" si="18"/>
        <v>0</v>
      </c>
      <c r="BT85" s="16">
        <f t="shared" si="19"/>
        <v>0</v>
      </c>
      <c r="BU85" s="16">
        <f t="shared" si="20"/>
        <v>0</v>
      </c>
      <c r="BV85" s="10">
        <f t="shared" si="21"/>
        <v>0</v>
      </c>
      <c r="BX85" s="10">
        <f t="shared" si="22"/>
        <v>0</v>
      </c>
      <c r="BY85" s="10">
        <f t="shared" si="23"/>
        <v>2.4445145548599102E-2</v>
      </c>
    </row>
    <row r="86" spans="1:77" x14ac:dyDescent="0.3">
      <c r="A86" s="1">
        <v>46147</v>
      </c>
      <c r="B86" s="21">
        <v>522.69000000000005</v>
      </c>
      <c r="C86" s="21">
        <v>482.73</v>
      </c>
      <c r="D86" s="22">
        <v>3.08918375001771E-2</v>
      </c>
      <c r="E86" s="22">
        <v>4.37627383599547E-2</v>
      </c>
      <c r="F86" s="21">
        <v>0</v>
      </c>
      <c r="G86" s="21">
        <v>0</v>
      </c>
      <c r="H86" s="21">
        <v>0</v>
      </c>
      <c r="I86" s="21">
        <v>0.20794399999999999</v>
      </c>
      <c r="J86" s="21">
        <v>0</v>
      </c>
      <c r="K86" s="21">
        <v>0.20794399999999999</v>
      </c>
      <c r="L86" s="21">
        <v>522.69000000000005</v>
      </c>
      <c r="M86" s="21">
        <v>482.93794400000002</v>
      </c>
      <c r="N86" s="23">
        <v>0.92354933134362605</v>
      </c>
      <c r="O86" s="23">
        <v>0.90525826694812095</v>
      </c>
      <c r="P86" s="23">
        <v>0.90850857415443098</v>
      </c>
      <c r="Q86" s="23">
        <v>0.89906556516929503</v>
      </c>
      <c r="R86" s="21">
        <v>473.16944355111298</v>
      </c>
      <c r="S86" s="21">
        <v>473.91934331052801</v>
      </c>
      <c r="T86" s="21">
        <v>468.52309631235198</v>
      </c>
      <c r="U86" s="22">
        <v>-2.0003935187738599E-2</v>
      </c>
      <c r="V86" s="22">
        <v>-1.8420345715386099E-2</v>
      </c>
      <c r="W86" s="22">
        <v>-2.9872092250306102E-2</v>
      </c>
      <c r="X86" s="23">
        <v>0.92394716562398305</v>
      </c>
      <c r="Y86" s="23">
        <v>0.90571436398272598</v>
      </c>
      <c r="Z86" s="23">
        <v>0.90892407044560997</v>
      </c>
      <c r="AA86" s="23">
        <v>0.89950531170690395</v>
      </c>
      <c r="AB86" s="21">
        <v>473.40784091013097</v>
      </c>
      <c r="AC86" s="21">
        <v>474.13911601749197</v>
      </c>
      <c r="AD86" s="21">
        <v>468.75613990868499</v>
      </c>
      <c r="AE86" s="22">
        <v>-1.9930905154004398E-2</v>
      </c>
      <c r="AF86" s="22">
        <v>-1.83873927249926E-2</v>
      </c>
      <c r="AG86" s="22">
        <v>-2.98054893963073E-2</v>
      </c>
      <c r="AZ86" s="16"/>
      <c r="BB86">
        <f t="shared" si="6"/>
        <v>0</v>
      </c>
      <c r="BC86">
        <f t="shared" si="7"/>
        <v>0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16">
        <f t="shared" si="10"/>
        <v>0</v>
      </c>
      <c r="BH86" s="16">
        <f t="shared" si="11"/>
        <v>0</v>
      </c>
      <c r="BI86" s="16">
        <f t="shared" si="12"/>
        <v>0</v>
      </c>
      <c r="BJ86" s="10">
        <f t="shared" si="13"/>
        <v>2.4445145548599102E-2</v>
      </c>
      <c r="BL86" s="16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16">
        <f t="shared" si="18"/>
        <v>0</v>
      </c>
      <c r="BT86" s="16">
        <f t="shared" si="19"/>
        <v>0</v>
      </c>
      <c r="BU86" s="16">
        <f t="shared" si="20"/>
        <v>0</v>
      </c>
      <c r="BV86" s="10">
        <f t="shared" si="21"/>
        <v>0</v>
      </c>
      <c r="BX86" s="10">
        <f t="shared" si="22"/>
        <v>0</v>
      </c>
      <c r="BY86" s="10">
        <f t="shared" si="23"/>
        <v>2.4445145548599102E-2</v>
      </c>
    </row>
    <row r="87" spans="1:77" x14ac:dyDescent="0.3">
      <c r="A87" s="1">
        <v>46148</v>
      </c>
      <c r="B87" s="21">
        <v>549.76</v>
      </c>
      <c r="C87" s="21">
        <v>506.87</v>
      </c>
      <c r="D87" s="22">
        <v>5.0493265252912103E-2</v>
      </c>
      <c r="E87" s="22">
        <v>4.8797069316873998E-2</v>
      </c>
      <c r="F87" s="21">
        <v>0</v>
      </c>
      <c r="G87" s="21">
        <v>0</v>
      </c>
      <c r="H87" s="21">
        <v>0</v>
      </c>
      <c r="I87" s="21">
        <v>0.20794399999999999</v>
      </c>
      <c r="J87" s="21">
        <v>0</v>
      </c>
      <c r="K87" s="21">
        <v>0.20794399999999999</v>
      </c>
      <c r="L87" s="21">
        <v>549.76</v>
      </c>
      <c r="M87" s="21">
        <v>507.077944</v>
      </c>
      <c r="N87" s="23">
        <v>0.92198413853317795</v>
      </c>
      <c r="O87" s="23">
        <v>0.90525826694812095</v>
      </c>
      <c r="P87" s="23">
        <v>0.91015689678026701</v>
      </c>
      <c r="Q87" s="23">
        <v>0.90137398424009496</v>
      </c>
      <c r="R87" s="21">
        <v>497.67478483739899</v>
      </c>
      <c r="S87" s="21">
        <v>499.46167372714001</v>
      </c>
      <c r="T87" s="21">
        <v>494.27028510747198</v>
      </c>
      <c r="U87" s="22">
        <v>-1.8307739251700601E-2</v>
      </c>
      <c r="V87" s="22">
        <v>-1.47236945862706E-2</v>
      </c>
      <c r="W87" s="22">
        <v>-2.5172057047277499E-2</v>
      </c>
      <c r="X87" s="23">
        <v>0.92236238358556399</v>
      </c>
      <c r="Y87" s="23">
        <v>0.90571436398272598</v>
      </c>
      <c r="Z87" s="23">
        <v>0.91056660790447397</v>
      </c>
      <c r="AA87" s="23">
        <v>0.90180805871177605</v>
      </c>
      <c r="AB87" s="21">
        <v>497.92552874314299</v>
      </c>
      <c r="AC87" s="21">
        <v>499.69009696817801</v>
      </c>
      <c r="AD87" s="21">
        <v>494.51204016398702</v>
      </c>
      <c r="AE87" s="22">
        <v>-1.8214202309345898E-2</v>
      </c>
      <c r="AF87" s="22">
        <v>-1.4676627275892799E-2</v>
      </c>
      <c r="AG87" s="22">
        <v>-2.5093228551193E-2</v>
      </c>
      <c r="AZ87" s="16"/>
      <c r="BB87">
        <f t="shared" ref="BB87:BB150" si="26">IF($AG87&lt;BA$20,1,0)</f>
        <v>0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16">
        <f t="shared" ref="BG87:BG150" si="30">BF87*D87</f>
        <v>0</v>
      </c>
      <c r="BH87" s="16">
        <f t="shared" ref="BH87:BH150" si="31">-BF87*$E87</f>
        <v>0</v>
      </c>
      <c r="BI87" s="16">
        <f t="shared" ref="BI87:BI150" si="32">BG87+BH87</f>
        <v>0</v>
      </c>
      <c r="BJ87" s="10">
        <f t="shared" ref="BJ87:BJ150" si="33">BJ86+BI87</f>
        <v>2.4445145548599102E-2</v>
      </c>
      <c r="BL87" s="16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16">
        <f t="shared" ref="BS87:BS150" si="38">-BR87*D87</f>
        <v>0</v>
      </c>
      <c r="BT87" s="16">
        <f t="shared" ref="BT87:BT150" si="39">BR87*$E87</f>
        <v>0</v>
      </c>
      <c r="BU87" s="16">
        <f t="shared" ref="BU87:BU150" si="40">BS87+BT87</f>
        <v>0</v>
      </c>
      <c r="BV87" s="10">
        <f t="shared" ref="BV87:BV150" si="41">BV86+BU87</f>
        <v>0</v>
      </c>
      <c r="BX87" s="10">
        <f t="shared" ref="BX87:BX150" si="42">BI87+BU87</f>
        <v>0</v>
      </c>
      <c r="BY87" s="10">
        <f t="shared" ref="BY87:BY150" si="43">BY86+BX87</f>
        <v>2.4445145548599102E-2</v>
      </c>
    </row>
    <row r="88" spans="1:77" x14ac:dyDescent="0.3">
      <c r="A88" s="1">
        <v>46149</v>
      </c>
      <c r="B88" s="21">
        <v>540.1</v>
      </c>
      <c r="C88" s="21">
        <v>492.36</v>
      </c>
      <c r="D88" s="22">
        <v>-1.7727511756990302E-2</v>
      </c>
      <c r="E88" s="22">
        <v>-2.9044404213947599E-2</v>
      </c>
      <c r="F88" s="21">
        <v>0</v>
      </c>
      <c r="G88" s="21">
        <v>0</v>
      </c>
      <c r="H88" s="21">
        <v>0</v>
      </c>
      <c r="I88" s="21">
        <v>0.20794399999999999</v>
      </c>
      <c r="J88" s="21">
        <v>0</v>
      </c>
      <c r="K88" s="21">
        <v>0.20794399999999999</v>
      </c>
      <c r="L88" s="21">
        <v>540.1</v>
      </c>
      <c r="M88" s="21">
        <v>492.56794400000001</v>
      </c>
      <c r="N88" s="23">
        <v>0.91160896130346203</v>
      </c>
      <c r="O88" s="23">
        <v>0.90525826694812095</v>
      </c>
      <c r="P88" s="23">
        <v>0.90979553494651699</v>
      </c>
      <c r="Q88" s="23">
        <v>0.90295940546415399</v>
      </c>
      <c r="R88" s="21">
        <v>488.92998997868</v>
      </c>
      <c r="S88" s="21">
        <v>491.575739951022</v>
      </c>
      <c r="T88" s="21">
        <v>486.83208888807502</v>
      </c>
      <c r="U88" s="22">
        <v>-6.9908467947432896E-3</v>
      </c>
      <c r="V88" s="22">
        <v>-1.5941289318337701E-3</v>
      </c>
      <c r="W88" s="22">
        <v>-1.12908792895606E-2</v>
      </c>
      <c r="X88" s="23">
        <v>0.91199397148676098</v>
      </c>
      <c r="Y88" s="23">
        <v>0.90571436398272598</v>
      </c>
      <c r="Z88" s="23">
        <v>0.91020059175025503</v>
      </c>
      <c r="AA88" s="23">
        <v>0.90338856832931502</v>
      </c>
      <c r="AB88" s="21">
        <v>489.17632798707001</v>
      </c>
      <c r="AC88" s="21">
        <v>491.79702492920597</v>
      </c>
      <c r="AD88" s="21">
        <v>487.06653251022999</v>
      </c>
      <c r="AE88" s="22">
        <v>-6.9093950483857403E-3</v>
      </c>
      <c r="AF88" s="22">
        <v>-1.5663280444550599E-3</v>
      </c>
      <c r="AG88" s="22">
        <v>-1.12316776418516E-2</v>
      </c>
      <c r="AZ88" s="16"/>
      <c r="BB88">
        <f t="shared" si="26"/>
        <v>0</v>
      </c>
      <c r="BC88">
        <f t="shared" si="27"/>
        <v>1</v>
      </c>
      <c r="BD88">
        <f t="shared" si="28"/>
        <v>0</v>
      </c>
      <c r="BE88">
        <f t="shared" si="24"/>
        <v>1</v>
      </c>
      <c r="BF88">
        <f t="shared" si="29"/>
        <v>0</v>
      </c>
      <c r="BG88" s="16">
        <f t="shared" si="30"/>
        <v>0</v>
      </c>
      <c r="BH88" s="16">
        <f t="shared" si="31"/>
        <v>0</v>
      </c>
      <c r="BI88" s="16">
        <f t="shared" si="32"/>
        <v>0</v>
      </c>
      <c r="BJ88" s="10">
        <f t="shared" si="33"/>
        <v>2.4445145548599102E-2</v>
      </c>
      <c r="BL88" s="16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16">
        <f t="shared" si="38"/>
        <v>0</v>
      </c>
      <c r="BT88" s="16">
        <f t="shared" si="39"/>
        <v>0</v>
      </c>
      <c r="BU88" s="16">
        <f t="shared" si="40"/>
        <v>0</v>
      </c>
      <c r="BV88" s="10">
        <f t="shared" si="41"/>
        <v>0</v>
      </c>
      <c r="BX88" s="10">
        <f t="shared" si="42"/>
        <v>0</v>
      </c>
      <c r="BY88" s="10">
        <f t="shared" si="43"/>
        <v>2.4445145548599102E-2</v>
      </c>
    </row>
    <row r="89" spans="1:77" x14ac:dyDescent="0.3">
      <c r="A89" s="1">
        <v>46150</v>
      </c>
      <c r="B89" s="21">
        <v>566.54</v>
      </c>
      <c r="C89" s="21">
        <v>520.29999999999995</v>
      </c>
      <c r="D89" s="22">
        <v>4.7793379379164898E-2</v>
      </c>
      <c r="E89" s="22">
        <v>5.51954120541625E-2</v>
      </c>
      <c r="F89" s="21">
        <v>0</v>
      </c>
      <c r="G89" s="21">
        <v>0</v>
      </c>
      <c r="H89" s="21">
        <v>0</v>
      </c>
      <c r="I89" s="21">
        <v>0.20794399999999999</v>
      </c>
      <c r="J89" s="21">
        <v>0</v>
      </c>
      <c r="K89" s="21">
        <v>0.20794399999999999</v>
      </c>
      <c r="L89" s="21">
        <v>566.54</v>
      </c>
      <c r="M89" s="21">
        <v>520.50794399999995</v>
      </c>
      <c r="N89" s="23">
        <v>0.91838175592191196</v>
      </c>
      <c r="O89" s="23">
        <v>0.90525826694812095</v>
      </c>
      <c r="P89" s="23">
        <v>0.91048767152125298</v>
      </c>
      <c r="Q89" s="23">
        <v>0.90463293383889798</v>
      </c>
      <c r="R89" s="21">
        <v>512.86501855678796</v>
      </c>
      <c r="S89" s="21">
        <v>515.43556236859899</v>
      </c>
      <c r="T89" s="21">
        <v>511.562621571661</v>
      </c>
      <c r="U89" s="22">
        <v>-1.43928794697409E-2</v>
      </c>
      <c r="V89" s="22">
        <v>-9.3932729073246193E-3</v>
      </c>
      <c r="W89" s="22">
        <v>-1.6935563083111699E-2</v>
      </c>
      <c r="X89" s="23">
        <v>0.91874879796660402</v>
      </c>
      <c r="Y89" s="23">
        <v>0.90571436398272598</v>
      </c>
      <c r="Z89" s="23">
        <v>0.91088837258158895</v>
      </c>
      <c r="AA89" s="23">
        <v>0.90505665005148705</v>
      </c>
      <c r="AB89" s="21">
        <v>513.12341577077302</v>
      </c>
      <c r="AC89" s="21">
        <v>515.665043250189</v>
      </c>
      <c r="AD89" s="21">
        <v>511.80575950129003</v>
      </c>
      <c r="AE89" s="22">
        <v>-1.4288757398307801E-2</v>
      </c>
      <c r="AF89" s="22">
        <v>-9.3477364760712802E-3</v>
      </c>
      <c r="AG89" s="22">
        <v>-1.6859973102200301E-2</v>
      </c>
      <c r="AZ89" s="16"/>
      <c r="BB89">
        <f t="shared" si="26"/>
        <v>0</v>
      </c>
      <c r="BC89">
        <f t="shared" si="27"/>
        <v>0</v>
      </c>
      <c r="BD89">
        <f t="shared" si="28"/>
        <v>0</v>
      </c>
      <c r="BE89">
        <f t="shared" si="24"/>
        <v>1</v>
      </c>
      <c r="BF89">
        <f t="shared" si="29"/>
        <v>0</v>
      </c>
      <c r="BG89" s="16">
        <f t="shared" si="30"/>
        <v>0</v>
      </c>
      <c r="BH89" s="16">
        <f t="shared" si="31"/>
        <v>0</v>
      </c>
      <c r="BI89" s="16">
        <f t="shared" si="32"/>
        <v>0</v>
      </c>
      <c r="BJ89" s="10">
        <f t="shared" si="33"/>
        <v>2.4445145548599102E-2</v>
      </c>
      <c r="BL89" s="16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16">
        <f t="shared" si="38"/>
        <v>0</v>
      </c>
      <c r="BT89" s="16">
        <f t="shared" si="39"/>
        <v>0</v>
      </c>
      <c r="BU89" s="16">
        <f t="shared" si="40"/>
        <v>0</v>
      </c>
      <c r="BV89" s="10">
        <f t="shared" si="41"/>
        <v>0</v>
      </c>
      <c r="BX89" s="10">
        <f t="shared" si="42"/>
        <v>0</v>
      </c>
      <c r="BY89" s="10">
        <f t="shared" si="43"/>
        <v>2.4445145548599102E-2</v>
      </c>
    </row>
    <row r="90" spans="1:77" x14ac:dyDescent="0.3">
      <c r="A90" s="1">
        <v>46153</v>
      </c>
      <c r="B90" s="21">
        <v>576.30999999999995</v>
      </c>
      <c r="C90" s="21">
        <v>532.76</v>
      </c>
      <c r="D90" s="22">
        <v>1.7098023387637301E-2</v>
      </c>
      <c r="E90" s="22">
        <v>2.3665473036571998E-2</v>
      </c>
      <c r="F90" s="21">
        <v>0</v>
      </c>
      <c r="G90" s="21">
        <v>0</v>
      </c>
      <c r="H90" s="21">
        <v>0</v>
      </c>
      <c r="I90" s="21">
        <v>0.20794399999999999</v>
      </c>
      <c r="J90" s="21">
        <v>0</v>
      </c>
      <c r="K90" s="21">
        <v>0.20794399999999999</v>
      </c>
      <c r="L90" s="21">
        <v>576.30999999999995</v>
      </c>
      <c r="M90" s="21">
        <v>532.96794399999999</v>
      </c>
      <c r="N90" s="23">
        <v>0.924433030834099</v>
      </c>
      <c r="O90" s="23">
        <v>0.90525826694812095</v>
      </c>
      <c r="P90" s="23">
        <v>0.91297522064424697</v>
      </c>
      <c r="Q90" s="23">
        <v>0.90649359832777698</v>
      </c>
      <c r="R90" s="21">
        <v>521.709391824872</v>
      </c>
      <c r="S90" s="21">
        <v>524.72314997441299</v>
      </c>
      <c r="T90" s="21">
        <v>521.34900610069496</v>
      </c>
      <c r="U90" s="22">
        <v>-2.09603291186756E-2</v>
      </c>
      <c r="V90" s="22">
        <v>-1.52002512124235E-2</v>
      </c>
      <c r="W90" s="22">
        <v>-2.16513464945652E-2</v>
      </c>
      <c r="X90" s="23">
        <v>0.92479385053183105</v>
      </c>
      <c r="Y90" s="23">
        <v>0.90571436398272598</v>
      </c>
      <c r="Z90" s="23">
        <v>0.91337092912768103</v>
      </c>
      <c r="AA90" s="23">
        <v>0.90691190354708695</v>
      </c>
      <c r="AB90" s="21">
        <v>521.972245106885</v>
      </c>
      <c r="AC90" s="21">
        <v>524.95407800249598</v>
      </c>
      <c r="AD90" s="21">
        <v>521.59319799117202</v>
      </c>
      <c r="AE90" s="22">
        <v>-2.0846863592363402E-2</v>
      </c>
      <c r="AF90" s="22">
        <v>-1.5150491473665499E-2</v>
      </c>
      <c r="AG90" s="22">
        <v>-2.15733099017703E-2</v>
      </c>
      <c r="AZ90" s="16"/>
      <c r="BB90">
        <f t="shared" si="26"/>
        <v>0</v>
      </c>
      <c r="BC90">
        <f t="shared" si="27"/>
        <v>0</v>
      </c>
      <c r="BD90">
        <f t="shared" si="28"/>
        <v>0</v>
      </c>
      <c r="BE90">
        <f t="shared" si="24"/>
        <v>1</v>
      </c>
      <c r="BF90">
        <f t="shared" si="29"/>
        <v>0</v>
      </c>
      <c r="BG90" s="16">
        <f t="shared" si="30"/>
        <v>0</v>
      </c>
      <c r="BH90" s="16">
        <f t="shared" si="31"/>
        <v>0</v>
      </c>
      <c r="BI90" s="16">
        <f t="shared" si="32"/>
        <v>0</v>
      </c>
      <c r="BJ90" s="10">
        <f t="shared" si="33"/>
        <v>2.4445145548599102E-2</v>
      </c>
      <c r="BL90" s="16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16">
        <f t="shared" si="38"/>
        <v>0</v>
      </c>
      <c r="BT90" s="16">
        <f t="shared" si="39"/>
        <v>0</v>
      </c>
      <c r="BU90" s="16">
        <f t="shared" si="40"/>
        <v>0</v>
      </c>
      <c r="BV90" s="10">
        <f t="shared" si="41"/>
        <v>0</v>
      </c>
      <c r="BX90" s="10">
        <f t="shared" si="42"/>
        <v>0</v>
      </c>
      <c r="BY90" s="10">
        <f t="shared" si="43"/>
        <v>2.4445145548599102E-2</v>
      </c>
    </row>
    <row r="91" spans="1:77" x14ac:dyDescent="0.3">
      <c r="A91" s="1">
        <v>46154</v>
      </c>
      <c r="B91" s="21">
        <v>561.25</v>
      </c>
      <c r="C91" s="21">
        <v>515.99</v>
      </c>
      <c r="D91" s="22">
        <v>-2.6479271309183799E-2</v>
      </c>
      <c r="E91" s="22">
        <v>-3.1983655884019899E-2</v>
      </c>
      <c r="F91" s="21">
        <v>0</v>
      </c>
      <c r="G91" s="21">
        <v>0</v>
      </c>
      <c r="H91" s="21">
        <v>0</v>
      </c>
      <c r="I91" s="21">
        <v>0.20794399999999999</v>
      </c>
      <c r="J91" s="21">
        <v>0</v>
      </c>
      <c r="K91" s="21">
        <v>0.20794399999999999</v>
      </c>
      <c r="L91" s="21">
        <v>561.25</v>
      </c>
      <c r="M91" s="21">
        <v>516.19794400000001</v>
      </c>
      <c r="N91" s="23">
        <v>0.91935857461024495</v>
      </c>
      <c r="O91" s="23">
        <v>0.90525826694812095</v>
      </c>
      <c r="P91" s="23">
        <v>0.91559897126705603</v>
      </c>
      <c r="Q91" s="23">
        <v>0.908076571306076</v>
      </c>
      <c r="R91" s="21">
        <v>508.07620232463302</v>
      </c>
      <c r="S91" s="21">
        <v>512.40734258658404</v>
      </c>
      <c r="T91" s="21">
        <v>508.76953206146402</v>
      </c>
      <c r="U91" s="22">
        <v>-1.5455944543839599E-2</v>
      </c>
      <c r="V91" s="22">
        <v>-6.967485734631E-3</v>
      </c>
      <c r="W91" s="22">
        <v>-1.40922571705614E-2</v>
      </c>
      <c r="X91" s="23">
        <v>0.91972907616926503</v>
      </c>
      <c r="Y91" s="23">
        <v>0.90571436398272598</v>
      </c>
      <c r="Z91" s="23">
        <v>0.91598939689199899</v>
      </c>
      <c r="AA91" s="23">
        <v>0.90849039894846995</v>
      </c>
      <c r="AB91" s="21">
        <v>508.332186785305</v>
      </c>
      <c r="AC91" s="21">
        <v>512.62943397291099</v>
      </c>
      <c r="AD91" s="21">
        <v>509.004305865802</v>
      </c>
      <c r="AE91" s="22">
        <v>-1.5355159457696501E-2</v>
      </c>
      <c r="AF91" s="22">
        <v>-6.9370711046051799E-3</v>
      </c>
      <c r="AG91" s="22">
        <v>-1.4033828348193699E-2</v>
      </c>
      <c r="AZ91" s="16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16">
        <f t="shared" si="30"/>
        <v>0</v>
      </c>
      <c r="BH91" s="16">
        <f t="shared" si="31"/>
        <v>0</v>
      </c>
      <c r="BI91" s="16">
        <f t="shared" si="32"/>
        <v>0</v>
      </c>
      <c r="BJ91" s="10">
        <f t="shared" si="33"/>
        <v>2.4445145548599102E-2</v>
      </c>
      <c r="BL91" s="16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16">
        <f t="shared" si="38"/>
        <v>0</v>
      </c>
      <c r="BT91" s="16">
        <f t="shared" si="39"/>
        <v>0</v>
      </c>
      <c r="BU91" s="16">
        <f t="shared" si="40"/>
        <v>0</v>
      </c>
      <c r="BV91" s="10">
        <f t="shared" si="41"/>
        <v>0</v>
      </c>
      <c r="BX91" s="10">
        <f t="shared" si="42"/>
        <v>0</v>
      </c>
      <c r="BY91" s="10">
        <f t="shared" si="43"/>
        <v>2.4445145548599102E-2</v>
      </c>
    </row>
    <row r="92" spans="1:77" x14ac:dyDescent="0.3">
      <c r="A92" s="1">
        <v>46155</v>
      </c>
      <c r="B92" s="21">
        <v>572.46</v>
      </c>
      <c r="C92" s="21">
        <v>528.29</v>
      </c>
      <c r="D92" s="22">
        <v>1.97764249353456E-2</v>
      </c>
      <c r="E92" s="22">
        <v>2.35579899032804E-2</v>
      </c>
      <c r="F92" s="21">
        <v>0</v>
      </c>
      <c r="G92" s="21">
        <v>0</v>
      </c>
      <c r="H92" s="21">
        <v>0</v>
      </c>
      <c r="I92" s="21">
        <v>0.20794399999999999</v>
      </c>
      <c r="J92" s="21">
        <v>0</v>
      </c>
      <c r="K92" s="21">
        <v>0.20794399999999999</v>
      </c>
      <c r="L92" s="21">
        <v>572.46</v>
      </c>
      <c r="M92" s="21">
        <v>528.49794399999996</v>
      </c>
      <c r="N92" s="23">
        <v>0.92284177060405903</v>
      </c>
      <c r="O92" s="23">
        <v>0.90525826694812095</v>
      </c>
      <c r="P92" s="23">
        <v>0.91780948645148597</v>
      </c>
      <c r="Q92" s="23">
        <v>0.90986325144775804</v>
      </c>
      <c r="R92" s="21">
        <v>518.22414749712095</v>
      </c>
      <c r="S92" s="21">
        <v>524.14378709153902</v>
      </c>
      <c r="T92" s="21">
        <v>519.83751400987603</v>
      </c>
      <c r="U92" s="22">
        <v>-1.9237509511774501E-2</v>
      </c>
      <c r="V92" s="22">
        <v>-7.8793258261748399E-3</v>
      </c>
      <c r="W92" s="22">
        <v>-1.61290856644246E-2</v>
      </c>
      <c r="X92" s="23">
        <v>0.92320501694441504</v>
      </c>
      <c r="Y92" s="23">
        <v>0.90571436398272598</v>
      </c>
      <c r="Z92" s="23">
        <v>0.91819461294650295</v>
      </c>
      <c r="AA92" s="23">
        <v>0.91027228953079098</v>
      </c>
      <c r="AB92" s="21">
        <v>518.48524480555102</v>
      </c>
      <c r="AC92" s="21">
        <v>524.36729014479397</v>
      </c>
      <c r="AD92" s="21">
        <v>520.07441378204101</v>
      </c>
      <c r="AE92" s="22">
        <v>-1.9127345245398698E-2</v>
      </c>
      <c r="AF92" s="22">
        <v>-7.8465408758940196E-3</v>
      </c>
      <c r="AG92" s="22">
        <v>-1.6067010283127601E-2</v>
      </c>
      <c r="AZ92" s="16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16">
        <f t="shared" si="30"/>
        <v>0</v>
      </c>
      <c r="BH92" s="16">
        <f t="shared" si="31"/>
        <v>0</v>
      </c>
      <c r="BI92" s="16">
        <f t="shared" si="32"/>
        <v>0</v>
      </c>
      <c r="BJ92" s="10">
        <f t="shared" si="33"/>
        <v>2.4445145548599102E-2</v>
      </c>
      <c r="BL92" s="16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16">
        <f t="shared" si="38"/>
        <v>0</v>
      </c>
      <c r="BT92" s="16">
        <f t="shared" si="39"/>
        <v>0</v>
      </c>
      <c r="BU92" s="16">
        <f t="shared" si="40"/>
        <v>0</v>
      </c>
      <c r="BV92" s="10">
        <f t="shared" si="41"/>
        <v>0</v>
      </c>
      <c r="BX92" s="10">
        <f t="shared" si="42"/>
        <v>0</v>
      </c>
      <c r="BY92" s="10">
        <f t="shared" si="43"/>
        <v>2.4445145548599102E-2</v>
      </c>
    </row>
    <row r="93" spans="1:77" x14ac:dyDescent="0.3">
      <c r="A93" s="1">
        <v>46156</v>
      </c>
      <c r="B93" s="21">
        <v>578.34</v>
      </c>
      <c r="C93" s="21">
        <v>530.03</v>
      </c>
      <c r="D93" s="22">
        <v>1.02190670321223E-2</v>
      </c>
      <c r="E93" s="22">
        <v>3.2882333657290302E-3</v>
      </c>
      <c r="F93" s="21">
        <v>0</v>
      </c>
      <c r="G93" s="21">
        <v>0</v>
      </c>
      <c r="H93" s="21">
        <v>0</v>
      </c>
      <c r="I93" s="21">
        <v>0.20794399999999999</v>
      </c>
      <c r="J93" s="21">
        <v>0</v>
      </c>
      <c r="K93" s="21">
        <v>0.20794399999999999</v>
      </c>
      <c r="L93" s="21">
        <v>578.34</v>
      </c>
      <c r="M93" s="21">
        <v>530.23794399999997</v>
      </c>
      <c r="N93" s="23">
        <v>0.91646782169657903</v>
      </c>
      <c r="O93" s="23">
        <v>0.90525826694812095</v>
      </c>
      <c r="P93" s="23">
        <v>0.91839217010519802</v>
      </c>
      <c r="Q93" s="23">
        <v>0.91105713505677399</v>
      </c>
      <c r="R93" s="21">
        <v>523.54706610677601</v>
      </c>
      <c r="S93" s="21">
        <v>530.80593839435198</v>
      </c>
      <c r="T93" s="21">
        <v>526.21031284229605</v>
      </c>
      <c r="U93" s="22">
        <v>-1.2306675845381299E-2</v>
      </c>
      <c r="V93" s="22">
        <v>1.4628813083091901E-3</v>
      </c>
      <c r="W93" s="22">
        <v>-7.2326415915984097E-3</v>
      </c>
      <c r="X93" s="23">
        <v>0.91682737490057697</v>
      </c>
      <c r="Y93" s="23">
        <v>0.90571436398272598</v>
      </c>
      <c r="Z93" s="23">
        <v>0.91877221466137904</v>
      </c>
      <c r="AA93" s="23">
        <v>0.91146128976218699</v>
      </c>
      <c r="AB93" s="21">
        <v>523.81084526577001</v>
      </c>
      <c r="AC93" s="21">
        <v>531.02867245148002</v>
      </c>
      <c r="AD93" s="21">
        <v>526.44687592723699</v>
      </c>
      <c r="AE93" s="22">
        <v>-1.2195219907233001E-2</v>
      </c>
      <c r="AF93" s="22">
        <v>1.4901601266750701E-3</v>
      </c>
      <c r="AG93" s="22">
        <v>-7.17543068110214E-3</v>
      </c>
      <c r="AZ93" s="16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16">
        <f t="shared" si="30"/>
        <v>0</v>
      </c>
      <c r="BH93" s="16">
        <f t="shared" si="31"/>
        <v>0</v>
      </c>
      <c r="BI93" s="16">
        <f t="shared" si="32"/>
        <v>0</v>
      </c>
      <c r="BJ93" s="10">
        <f t="shared" si="33"/>
        <v>2.4445145548599102E-2</v>
      </c>
      <c r="BL93" s="16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16">
        <f t="shared" si="38"/>
        <v>0</v>
      </c>
      <c r="BT93" s="16">
        <f t="shared" si="39"/>
        <v>0</v>
      </c>
      <c r="BU93" s="16">
        <f t="shared" si="40"/>
        <v>0</v>
      </c>
      <c r="BV93" s="10">
        <f t="shared" si="41"/>
        <v>0</v>
      </c>
      <c r="BX93" s="10">
        <f t="shared" si="42"/>
        <v>0</v>
      </c>
      <c r="BY93" s="10">
        <f t="shared" si="43"/>
        <v>2.4445145548599102E-2</v>
      </c>
    </row>
    <row r="94" spans="1:77" x14ac:dyDescent="0.3">
      <c r="A94" s="1">
        <v>46157</v>
      </c>
      <c r="B94" s="21">
        <v>556.34</v>
      </c>
      <c r="C94" s="21">
        <v>508.52</v>
      </c>
      <c r="D94" s="22">
        <v>-3.8782312878517501E-2</v>
      </c>
      <c r="E94" s="22">
        <v>-4.1429062635897497E-2</v>
      </c>
      <c r="F94" s="21">
        <v>0</v>
      </c>
      <c r="G94" s="21">
        <v>0</v>
      </c>
      <c r="H94" s="21">
        <v>0</v>
      </c>
      <c r="I94" s="21">
        <v>0.20794399999999999</v>
      </c>
      <c r="J94" s="21">
        <v>0</v>
      </c>
      <c r="K94" s="21">
        <v>0.20794399999999999</v>
      </c>
      <c r="L94" s="21">
        <v>556.34</v>
      </c>
      <c r="M94" s="21">
        <v>508.72794399999998</v>
      </c>
      <c r="N94" s="23">
        <v>0.91404536794046798</v>
      </c>
      <c r="O94" s="23">
        <v>0.90525826694812095</v>
      </c>
      <c r="P94" s="23">
        <v>0.91844093427361295</v>
      </c>
      <c r="Q94" s="23">
        <v>0.91197850893466603</v>
      </c>
      <c r="R94" s="21">
        <v>503.63138423391803</v>
      </c>
      <c r="S94" s="21">
        <v>510.938299916326</v>
      </c>
      <c r="T94" s="21">
        <v>506.85752651748498</v>
      </c>
      <c r="U94" s="22">
        <v>-9.6599260880010796E-3</v>
      </c>
      <c r="V94" s="22">
        <v>4.7442930279961298E-3</v>
      </c>
      <c r="W94" s="22">
        <v>-3.27459476825398E-3</v>
      </c>
      <c r="X94" s="23">
        <v>0.91441913937520203</v>
      </c>
      <c r="Y94" s="23">
        <v>0.90571436398272598</v>
      </c>
      <c r="Z94" s="23">
        <v>0.91881756824426397</v>
      </c>
      <c r="AA94" s="23">
        <v>0.91237895217734499</v>
      </c>
      <c r="AB94" s="21">
        <v>503.88512925814899</v>
      </c>
      <c r="AC94" s="21">
        <v>511.14973390471198</v>
      </c>
      <c r="AD94" s="21">
        <v>507.08237394629498</v>
      </c>
      <c r="AE94" s="22">
        <v>-9.5650585445780801E-3</v>
      </c>
      <c r="AF94" s="22">
        <v>4.7491861212120698E-3</v>
      </c>
      <c r="AG94" s="22">
        <v>-3.2399188393829798E-3</v>
      </c>
      <c r="AZ94" s="16"/>
      <c r="BB94">
        <f t="shared" si="26"/>
        <v>0</v>
      </c>
      <c r="BC94">
        <f t="shared" si="27"/>
        <v>1</v>
      </c>
      <c r="BD94">
        <f t="shared" si="28"/>
        <v>0</v>
      </c>
      <c r="BE94">
        <f t="shared" si="24"/>
        <v>1</v>
      </c>
      <c r="BF94">
        <f t="shared" si="29"/>
        <v>0</v>
      </c>
      <c r="BG94" s="16">
        <f t="shared" si="30"/>
        <v>0</v>
      </c>
      <c r="BH94" s="16">
        <f t="shared" si="31"/>
        <v>0</v>
      </c>
      <c r="BI94" s="16">
        <f t="shared" si="32"/>
        <v>0</v>
      </c>
      <c r="BJ94" s="10">
        <f t="shared" si="33"/>
        <v>2.4445145548599102E-2</v>
      </c>
      <c r="BL94" s="16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16">
        <f t="shared" si="38"/>
        <v>0</v>
      </c>
      <c r="BT94" s="16">
        <f t="shared" si="39"/>
        <v>0</v>
      </c>
      <c r="BU94" s="16">
        <f t="shared" si="40"/>
        <v>0</v>
      </c>
      <c r="BV94" s="10">
        <f t="shared" si="41"/>
        <v>0</v>
      </c>
      <c r="BX94" s="10">
        <f t="shared" si="42"/>
        <v>0</v>
      </c>
      <c r="BY94" s="10">
        <f t="shared" si="43"/>
        <v>2.4445145548599102E-2</v>
      </c>
    </row>
    <row r="95" spans="1:77" x14ac:dyDescent="0.3">
      <c r="A95" s="1">
        <v>46160</v>
      </c>
      <c r="B95" s="21">
        <v>546.16</v>
      </c>
      <c r="C95" s="21">
        <v>495.87</v>
      </c>
      <c r="D95" s="22">
        <v>-1.8467645035389401E-2</v>
      </c>
      <c r="E95" s="22">
        <v>-2.5190750484549999E-2</v>
      </c>
      <c r="F95" s="21">
        <v>0</v>
      </c>
      <c r="G95" s="21">
        <v>0</v>
      </c>
      <c r="H95" s="21">
        <v>0</v>
      </c>
      <c r="I95" s="21">
        <v>0.20794399999999999</v>
      </c>
      <c r="J95" s="21">
        <v>0</v>
      </c>
      <c r="K95" s="21">
        <v>0.20794399999999999</v>
      </c>
      <c r="L95" s="21">
        <v>546.16</v>
      </c>
      <c r="M95" s="21">
        <v>496.077944</v>
      </c>
      <c r="N95" s="23">
        <v>0.90792075582246901</v>
      </c>
      <c r="O95" s="23">
        <v>0.90525826694812095</v>
      </c>
      <c r="P95" s="23">
        <v>0.91805915086100998</v>
      </c>
      <c r="Q95" s="23">
        <v>0.91237605547654399</v>
      </c>
      <c r="R95" s="21">
        <v>494.41585507638598</v>
      </c>
      <c r="S95" s="21">
        <v>501.61570066287601</v>
      </c>
      <c r="T95" s="21">
        <v>498.08618243975701</v>
      </c>
      <c r="U95" s="22">
        <v>-2.93682063884055E-3</v>
      </c>
      <c r="V95" s="22">
        <v>1.1520494393502299E-2</v>
      </c>
      <c r="W95" s="22">
        <v>4.4593235625737899E-3</v>
      </c>
      <c r="X95" s="23">
        <v>0.90830149406767202</v>
      </c>
      <c r="Y95" s="23">
        <v>0.90571436398272598</v>
      </c>
      <c r="Z95" s="23">
        <v>0.91843282706518703</v>
      </c>
      <c r="AA95" s="23">
        <v>0.91277312594099203</v>
      </c>
      <c r="AB95" s="21">
        <v>494.66495703280498</v>
      </c>
      <c r="AC95" s="21">
        <v>501.82140307228701</v>
      </c>
      <c r="AD95" s="21">
        <v>498.30488852117799</v>
      </c>
      <c r="AE95" s="22">
        <v>-2.85238062010865E-3</v>
      </c>
      <c r="AF95" s="22">
        <v>1.15112260777477E-2</v>
      </c>
      <c r="AG95" s="22">
        <v>4.4790560967369096E-3</v>
      </c>
      <c r="AZ95" s="16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16">
        <f t="shared" si="30"/>
        <v>0</v>
      </c>
      <c r="BH95" s="16">
        <f t="shared" si="31"/>
        <v>0</v>
      </c>
      <c r="BI95" s="16">
        <f t="shared" si="32"/>
        <v>0</v>
      </c>
      <c r="BJ95" s="10">
        <f t="shared" si="33"/>
        <v>2.4445145548599102E-2</v>
      </c>
      <c r="BL95" s="16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16">
        <f t="shared" si="38"/>
        <v>0</v>
      </c>
      <c r="BT95" s="16">
        <f t="shared" si="39"/>
        <v>0</v>
      </c>
      <c r="BU95" s="16">
        <f t="shared" si="40"/>
        <v>0</v>
      </c>
      <c r="BV95" s="10">
        <f t="shared" si="41"/>
        <v>0</v>
      </c>
      <c r="BX95" s="10">
        <f t="shared" si="42"/>
        <v>0</v>
      </c>
      <c r="BY95" s="10">
        <f t="shared" si="43"/>
        <v>2.4445145548599102E-2</v>
      </c>
    </row>
    <row r="96" spans="1:77" x14ac:dyDescent="0.3">
      <c r="A96" s="1">
        <v>46161</v>
      </c>
      <c r="B96" s="21">
        <v>543.96</v>
      </c>
      <c r="C96" s="21">
        <v>496.74</v>
      </c>
      <c r="D96" s="22">
        <v>-4.03625836926658E-3</v>
      </c>
      <c r="E96" s="22">
        <v>1.7529547813979101E-3</v>
      </c>
      <c r="F96" s="21">
        <v>0</v>
      </c>
      <c r="G96" s="21">
        <v>0</v>
      </c>
      <c r="H96" s="21">
        <v>0</v>
      </c>
      <c r="I96" s="21">
        <v>0.20794399999999999</v>
      </c>
      <c r="J96" s="21">
        <v>0</v>
      </c>
      <c r="K96" s="21">
        <v>0.20794399999999999</v>
      </c>
      <c r="L96" s="21">
        <v>543.96</v>
      </c>
      <c r="M96" s="21">
        <v>496.94794400000001</v>
      </c>
      <c r="N96" s="23">
        <v>0.91319214648135805</v>
      </c>
      <c r="O96" s="23">
        <v>0.90525826694812095</v>
      </c>
      <c r="P96" s="23">
        <v>0.91702343237478301</v>
      </c>
      <c r="Q96" s="23">
        <v>0.912766003264607</v>
      </c>
      <c r="R96" s="21">
        <v>492.42428688910002</v>
      </c>
      <c r="S96" s="21">
        <v>499.387455702355</v>
      </c>
      <c r="T96" s="21">
        <v>496.29607913702102</v>
      </c>
      <c r="U96" s="22">
        <v>-8.7260337895050302E-3</v>
      </c>
      <c r="V96" s="22">
        <v>5.3155084136474002E-3</v>
      </c>
      <c r="W96" s="22">
        <v>-8.9406800392522205E-4</v>
      </c>
      <c r="X96" s="23">
        <v>0.91357442459004301</v>
      </c>
      <c r="Y96" s="23">
        <v>0.90571436398272598</v>
      </c>
      <c r="Z96" s="23">
        <v>0.91739555296179298</v>
      </c>
      <c r="AA96" s="23">
        <v>0.91315981170370197</v>
      </c>
      <c r="AB96" s="21">
        <v>492.67238543204297</v>
      </c>
      <c r="AC96" s="21">
        <v>499.59072061037898</v>
      </c>
      <c r="AD96" s="21">
        <v>496.51206958686203</v>
      </c>
      <c r="AE96" s="22">
        <v>-8.6408596174745202E-3</v>
      </c>
      <c r="AF96" s="22">
        <v>5.3039242724696603E-3</v>
      </c>
      <c r="AG96" s="22">
        <v>-8.7748763945101399E-4</v>
      </c>
      <c r="AZ96" s="16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16">
        <f t="shared" si="30"/>
        <v>0</v>
      </c>
      <c r="BH96" s="16">
        <f t="shared" si="31"/>
        <v>0</v>
      </c>
      <c r="BI96" s="16">
        <f t="shared" si="32"/>
        <v>0</v>
      </c>
      <c r="BJ96" s="10">
        <f t="shared" si="33"/>
        <v>2.4445145548599102E-2</v>
      </c>
      <c r="BL96" s="16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16">
        <f t="shared" si="38"/>
        <v>0</v>
      </c>
      <c r="BT96" s="16">
        <f t="shared" si="39"/>
        <v>0</v>
      </c>
      <c r="BU96" s="16">
        <f t="shared" si="40"/>
        <v>0</v>
      </c>
      <c r="BV96" s="10">
        <f t="shared" si="41"/>
        <v>0</v>
      </c>
      <c r="BX96" s="10">
        <f t="shared" si="42"/>
        <v>0</v>
      </c>
      <c r="BY96" s="10">
        <f t="shared" si="43"/>
        <v>2.4445145548599102E-2</v>
      </c>
    </row>
    <row r="97" spans="1:77" x14ac:dyDescent="0.3">
      <c r="A97" s="1">
        <v>46162</v>
      </c>
      <c r="B97" s="21">
        <v>564.66</v>
      </c>
      <c r="C97" s="21">
        <v>520.30999999999995</v>
      </c>
      <c r="D97" s="22">
        <v>3.73480653579931E-2</v>
      </c>
      <c r="E97" s="22">
        <v>4.6358037413745799E-2</v>
      </c>
      <c r="F97" s="21">
        <v>0</v>
      </c>
      <c r="G97" s="21">
        <v>0</v>
      </c>
      <c r="H97" s="21">
        <v>0</v>
      </c>
      <c r="I97" s="21">
        <v>0.20794399999999999</v>
      </c>
      <c r="J97" s="21">
        <v>0</v>
      </c>
      <c r="K97" s="21">
        <v>0.20794399999999999</v>
      </c>
      <c r="L97" s="21">
        <v>564.66</v>
      </c>
      <c r="M97" s="21">
        <v>520.51794399999903</v>
      </c>
      <c r="N97" s="23">
        <v>0.92145716006092104</v>
      </c>
      <c r="O97" s="23">
        <v>0.90525826694812095</v>
      </c>
      <c r="P97" s="23">
        <v>0.91697073452755695</v>
      </c>
      <c r="Q97" s="23">
        <v>0.91356381565391198</v>
      </c>
      <c r="R97" s="21">
        <v>511.16313301492602</v>
      </c>
      <c r="S97" s="21">
        <v>517.80645132474501</v>
      </c>
      <c r="T97" s="21">
        <v>515.402451403393</v>
      </c>
      <c r="U97" s="22">
        <v>-1.77360058452577E-2</v>
      </c>
      <c r="V97" s="22">
        <v>-4.8232614473516797E-3</v>
      </c>
      <c r="W97" s="22">
        <v>-9.4767332731965203E-3</v>
      </c>
      <c r="X97" s="23">
        <v>0.921825424149045</v>
      </c>
      <c r="Y97" s="23">
        <v>0.90571436398272598</v>
      </c>
      <c r="Z97" s="23">
        <v>0.91734185701814097</v>
      </c>
      <c r="AA97" s="23">
        <v>0.91395423246130802</v>
      </c>
      <c r="AB97" s="21">
        <v>511.42067276648601</v>
      </c>
      <c r="AC97" s="21">
        <v>518.01657293540597</v>
      </c>
      <c r="AD97" s="21">
        <v>515.62481927661202</v>
      </c>
      <c r="AE97" s="22">
        <v>-1.7631876095669598E-2</v>
      </c>
      <c r="AF97" s="22">
        <v>-4.8171261730183598E-3</v>
      </c>
      <c r="AG97" s="22">
        <v>-9.4449554094567009E-3</v>
      </c>
      <c r="AZ97" s="16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16">
        <f t="shared" si="30"/>
        <v>0</v>
      </c>
      <c r="BH97" s="16">
        <f t="shared" si="31"/>
        <v>0</v>
      </c>
      <c r="BI97" s="16">
        <f t="shared" si="32"/>
        <v>0</v>
      </c>
      <c r="BJ97" s="10">
        <f t="shared" si="33"/>
        <v>2.4445145548599102E-2</v>
      </c>
      <c r="BL97" s="16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16">
        <f t="shared" si="38"/>
        <v>0</v>
      </c>
      <c r="BT97" s="16">
        <f t="shared" si="39"/>
        <v>0</v>
      </c>
      <c r="BU97" s="16">
        <f t="shared" si="40"/>
        <v>0</v>
      </c>
      <c r="BV97" s="10">
        <f t="shared" si="41"/>
        <v>0</v>
      </c>
      <c r="BX97" s="10">
        <f t="shared" si="42"/>
        <v>0</v>
      </c>
      <c r="BY97" s="10">
        <f t="shared" si="43"/>
        <v>2.4445145548599102E-2</v>
      </c>
    </row>
    <row r="98" spans="1:77" x14ac:dyDescent="0.3">
      <c r="A98" s="1">
        <v>46163</v>
      </c>
      <c r="B98" s="21">
        <v>567.88</v>
      </c>
      <c r="C98" s="21">
        <v>524.71</v>
      </c>
      <c r="D98" s="22">
        <v>5.6863486966216804E-3</v>
      </c>
      <c r="E98" s="22">
        <v>8.4209412281643706E-3</v>
      </c>
      <c r="F98" s="21">
        <v>0</v>
      </c>
      <c r="G98" s="21">
        <v>0</v>
      </c>
      <c r="H98" s="21">
        <v>0</v>
      </c>
      <c r="I98" s="21">
        <v>0.20794399999999999</v>
      </c>
      <c r="J98" s="21">
        <v>0</v>
      </c>
      <c r="K98" s="21">
        <v>0.20794399999999999</v>
      </c>
      <c r="L98" s="21">
        <v>567.88</v>
      </c>
      <c r="M98" s="21">
        <v>524.91794400000003</v>
      </c>
      <c r="N98" s="23">
        <v>0.92398041839825296</v>
      </c>
      <c r="O98" s="23">
        <v>0.90525826694812095</v>
      </c>
      <c r="P98" s="23">
        <v>0.91820788023703603</v>
      </c>
      <c r="Q98" s="23">
        <v>0.91400170759177701</v>
      </c>
      <c r="R98" s="21">
        <v>514.07806463449901</v>
      </c>
      <c r="S98" s="21">
        <v>520.72934072350904</v>
      </c>
      <c r="T98" s="21">
        <v>518.79461963354299</v>
      </c>
      <c r="U98" s="22">
        <v>-2.0470598376800101E-2</v>
      </c>
      <c r="V98" s="22">
        <v>-7.6153218249664697E-3</v>
      </c>
      <c r="W98" s="22">
        <v>-1.13376474233322E-2</v>
      </c>
      <c r="X98" s="23">
        <v>0.92434659435091904</v>
      </c>
      <c r="Y98" s="23">
        <v>0.90571436398272598</v>
      </c>
      <c r="Z98" s="23">
        <v>0.91857711930455699</v>
      </c>
      <c r="AA98" s="23">
        <v>0.91438885552740601</v>
      </c>
      <c r="AB98" s="21">
        <v>514.33707301850995</v>
      </c>
      <c r="AC98" s="21">
        <v>520.94009376346196</v>
      </c>
      <c r="AD98" s="21">
        <v>519.016329530127</v>
      </c>
      <c r="AE98" s="22">
        <v>-2.0363118627645199E-2</v>
      </c>
      <c r="AF98" s="22">
        <v>-7.6069012703357201E-3</v>
      </c>
      <c r="AG98" s="22">
        <v>-1.13066071129839E-2</v>
      </c>
      <c r="AZ98" s="16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16">
        <f t="shared" si="30"/>
        <v>0</v>
      </c>
      <c r="BH98" s="16">
        <f t="shared" si="31"/>
        <v>0</v>
      </c>
      <c r="BI98" s="16">
        <f t="shared" si="32"/>
        <v>0</v>
      </c>
      <c r="BJ98" s="10">
        <f t="shared" si="33"/>
        <v>2.4445145548599102E-2</v>
      </c>
      <c r="BL98" s="16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16">
        <f t="shared" si="38"/>
        <v>0</v>
      </c>
      <c r="BT98" s="16">
        <f t="shared" si="39"/>
        <v>0</v>
      </c>
      <c r="BU98" s="16">
        <f t="shared" si="40"/>
        <v>0</v>
      </c>
      <c r="BV98" s="10">
        <f t="shared" si="41"/>
        <v>0</v>
      </c>
      <c r="BX98" s="10">
        <f t="shared" si="42"/>
        <v>0</v>
      </c>
      <c r="BY98" s="10">
        <f t="shared" si="43"/>
        <v>2.4445145548599102E-2</v>
      </c>
    </row>
    <row r="99" spans="1:77" x14ac:dyDescent="0.3">
      <c r="A99" s="1">
        <v>46164</v>
      </c>
      <c r="B99" s="21">
        <v>576.32000000000005</v>
      </c>
      <c r="C99" s="21">
        <v>537.33000000000004</v>
      </c>
      <c r="D99" s="22">
        <v>1.4752933192218E-2</v>
      </c>
      <c r="E99" s="22">
        <v>2.3766701884597199E-2</v>
      </c>
      <c r="F99" s="21">
        <v>0</v>
      </c>
      <c r="G99" s="21">
        <v>0</v>
      </c>
      <c r="H99" s="21">
        <v>0</v>
      </c>
      <c r="I99" s="21">
        <v>0.20794399999999999</v>
      </c>
      <c r="J99" s="21">
        <v>0</v>
      </c>
      <c r="K99" s="21">
        <v>0.20794399999999999</v>
      </c>
      <c r="L99" s="21">
        <v>576.32000000000005</v>
      </c>
      <c r="M99" s="21">
        <v>537.53794400000004</v>
      </c>
      <c r="N99" s="23">
        <v>0.93234661299278099</v>
      </c>
      <c r="O99" s="23">
        <v>0.90525826694812095</v>
      </c>
      <c r="P99" s="23">
        <v>0.91960436594412298</v>
      </c>
      <c r="Q99" s="23">
        <v>0.91504601873268798</v>
      </c>
      <c r="R99" s="21">
        <v>521.71844440754103</v>
      </c>
      <c r="S99" s="21">
        <v>529.18156553820904</v>
      </c>
      <c r="T99" s="21">
        <v>526.75746411929299</v>
      </c>
      <c r="U99" s="22">
        <v>-2.9484367069179299E-2</v>
      </c>
      <c r="V99" s="22">
        <v>-1.52808338550974E-2</v>
      </c>
      <c r="W99" s="22">
        <v>-1.98722081850797E-2</v>
      </c>
      <c r="X99" s="23">
        <v>0.93270742642976101</v>
      </c>
      <c r="Y99" s="23">
        <v>0.90571436398272598</v>
      </c>
      <c r="Z99" s="23">
        <v>0.91997298215087298</v>
      </c>
      <c r="AA99" s="23">
        <v>0.91543067736623096</v>
      </c>
      <c r="AB99" s="21">
        <v>521.98130225052398</v>
      </c>
      <c r="AC99" s="21">
        <v>529.39436539760197</v>
      </c>
      <c r="AD99" s="21">
        <v>526.98058521755502</v>
      </c>
      <c r="AE99" s="22">
        <v>-2.9367583200918701E-2</v>
      </c>
      <c r="AF99" s="22">
        <v>-1.5265704636608E-2</v>
      </c>
      <c r="AG99" s="22">
        <v>-1.9835643330233601E-2</v>
      </c>
      <c r="AZ99" s="16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16">
        <f t="shared" si="30"/>
        <v>0</v>
      </c>
      <c r="BH99" s="16">
        <f t="shared" si="31"/>
        <v>0</v>
      </c>
      <c r="BI99" s="16">
        <f t="shared" si="32"/>
        <v>0</v>
      </c>
      <c r="BJ99" s="10">
        <f t="shared" si="33"/>
        <v>2.4445145548599102E-2</v>
      </c>
      <c r="BL99" s="16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16">
        <f t="shared" si="38"/>
        <v>0</v>
      </c>
      <c r="BT99" s="16">
        <f t="shared" si="39"/>
        <v>0</v>
      </c>
      <c r="BU99" s="16">
        <f t="shared" si="40"/>
        <v>0</v>
      </c>
      <c r="BV99" s="10">
        <f t="shared" si="41"/>
        <v>0</v>
      </c>
      <c r="BX99" s="10">
        <f t="shared" si="42"/>
        <v>0</v>
      </c>
      <c r="BY99" s="10">
        <f t="shared" si="43"/>
        <v>2.4445145548599102E-2</v>
      </c>
    </row>
    <row r="100" spans="1:77" x14ac:dyDescent="0.3">
      <c r="A100" s="1">
        <v>46168</v>
      </c>
      <c r="B100" s="21">
        <v>602.14</v>
      </c>
      <c r="C100" s="21">
        <v>570.09</v>
      </c>
      <c r="D100" s="22">
        <v>4.3826914423312199E-2</v>
      </c>
      <c r="E100" s="22">
        <v>5.9181812196098901E-2</v>
      </c>
      <c r="F100" s="21">
        <v>0</v>
      </c>
      <c r="G100" s="21">
        <v>0</v>
      </c>
      <c r="H100" s="21">
        <v>0</v>
      </c>
      <c r="I100" s="21">
        <v>0.20794399999999999</v>
      </c>
      <c r="J100" s="21">
        <v>0</v>
      </c>
      <c r="K100" s="21">
        <v>0.20794399999999999</v>
      </c>
      <c r="L100" s="21">
        <v>602.14</v>
      </c>
      <c r="M100" s="21">
        <v>570.29794400000003</v>
      </c>
      <c r="N100" s="23">
        <v>0.946773175673431</v>
      </c>
      <c r="O100" s="23">
        <v>0.90525826694812095</v>
      </c>
      <c r="P100" s="23">
        <v>0.92183838042805599</v>
      </c>
      <c r="Q100" s="23">
        <v>0.91740680053615198</v>
      </c>
      <c r="R100" s="21">
        <v>545.09221286014201</v>
      </c>
      <c r="S100" s="21">
        <v>553.730572909594</v>
      </c>
      <c r="T100" s="21">
        <v>550.98580971970102</v>
      </c>
      <c r="U100" s="22">
        <v>-4.4839264841966202E-2</v>
      </c>
      <c r="V100" s="22">
        <v>-2.9116005139216101E-2</v>
      </c>
      <c r="W100" s="22">
        <v>-3.40851879648464E-2</v>
      </c>
      <c r="X100" s="23">
        <v>0.94711851728833796</v>
      </c>
      <c r="Y100" s="23">
        <v>0.90571436398272598</v>
      </c>
      <c r="Z100" s="23">
        <v>0.922205448826524</v>
      </c>
      <c r="AA100" s="23">
        <v>0.91778818897710202</v>
      </c>
      <c r="AB100" s="21">
        <v>545.36684712855799</v>
      </c>
      <c r="AC100" s="21">
        <v>553.95253147232597</v>
      </c>
      <c r="AD100" s="21">
        <v>551.21742806930195</v>
      </c>
      <c r="AE100" s="22">
        <v>-4.4700250814902198E-2</v>
      </c>
      <c r="AF100" s="22">
        <v>-2.9079933222566998E-2</v>
      </c>
      <c r="AG100" s="22">
        <v>-3.40295954231815E-2</v>
      </c>
      <c r="AZ100" s="16"/>
      <c r="BB100">
        <f t="shared" si="26"/>
        <v>0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16">
        <f t="shared" si="30"/>
        <v>0</v>
      </c>
      <c r="BH100" s="16">
        <f t="shared" si="31"/>
        <v>0</v>
      </c>
      <c r="BI100" s="16">
        <f t="shared" si="32"/>
        <v>0</v>
      </c>
      <c r="BJ100" s="10">
        <f t="shared" si="33"/>
        <v>2.4445145548599102E-2</v>
      </c>
      <c r="BL100" s="16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16">
        <f t="shared" si="38"/>
        <v>0</v>
      </c>
      <c r="BT100" s="16">
        <f t="shared" si="39"/>
        <v>0</v>
      </c>
      <c r="BU100" s="16">
        <f t="shared" si="40"/>
        <v>0</v>
      </c>
      <c r="BV100" s="10">
        <f t="shared" si="41"/>
        <v>0</v>
      </c>
      <c r="BX100" s="10">
        <f t="shared" si="42"/>
        <v>0</v>
      </c>
      <c r="BY100" s="10">
        <f t="shared" si="43"/>
        <v>2.4445145548599102E-2</v>
      </c>
    </row>
    <row r="101" spans="1:77" x14ac:dyDescent="0.3">
      <c r="A101" s="1">
        <v>46169</v>
      </c>
      <c r="B101" s="21">
        <v>595.5</v>
      </c>
      <c r="C101" s="21">
        <v>563.98</v>
      </c>
      <c r="D101" s="22">
        <v>-1.1088587615548699E-2</v>
      </c>
      <c r="E101" s="22">
        <v>-1.07754532249808E-2</v>
      </c>
      <c r="F101" s="21">
        <v>0</v>
      </c>
      <c r="G101" s="21">
        <v>0</v>
      </c>
      <c r="H101" s="21">
        <v>0</v>
      </c>
      <c r="I101" s="21">
        <v>0.20794399999999999</v>
      </c>
      <c r="J101" s="21">
        <v>0</v>
      </c>
      <c r="K101" s="21">
        <v>0.20794399999999999</v>
      </c>
      <c r="L101" s="21">
        <v>595.5</v>
      </c>
      <c r="M101" s="21">
        <v>564.18794400000002</v>
      </c>
      <c r="N101" s="23">
        <v>0.947069689336691</v>
      </c>
      <c r="O101" s="23">
        <v>0.90525826694812095</v>
      </c>
      <c r="P101" s="23">
        <v>0.92460949190070096</v>
      </c>
      <c r="Q101" s="23">
        <v>0.920104231583878</v>
      </c>
      <c r="R101" s="21">
        <v>539.08129796760602</v>
      </c>
      <c r="S101" s="21">
        <v>548.95475554490702</v>
      </c>
      <c r="T101" s="21">
        <v>546.31574971927796</v>
      </c>
      <c r="U101" s="22">
        <v>-4.5152399232534203E-2</v>
      </c>
      <c r="V101" s="22">
        <v>-2.7002764249466699E-2</v>
      </c>
      <c r="W101" s="22">
        <v>-3.1821685091138197E-2</v>
      </c>
      <c r="X101" s="23">
        <v>0.94741888161208998</v>
      </c>
      <c r="Y101" s="23">
        <v>0.90571436398272598</v>
      </c>
      <c r="Z101" s="23">
        <v>0.92497442937080598</v>
      </c>
      <c r="AA101" s="23">
        <v>0.92048191313140304</v>
      </c>
      <c r="AB101" s="21">
        <v>539.35290375171303</v>
      </c>
      <c r="AC101" s="21">
        <v>549.17334477619499</v>
      </c>
      <c r="AD101" s="21">
        <v>546.54286653586405</v>
      </c>
      <c r="AE101" s="22">
        <v>-4.5017335425048502E-2</v>
      </c>
      <c r="AF101" s="22">
        <v>-2.6973291953628398E-2</v>
      </c>
      <c r="AG101" s="22">
        <v>-3.1774687181017003E-2</v>
      </c>
      <c r="AZ101" s="16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16">
        <f t="shared" si="30"/>
        <v>0</v>
      </c>
      <c r="BH101" s="16">
        <f t="shared" si="31"/>
        <v>0</v>
      </c>
      <c r="BI101" s="16">
        <f t="shared" si="32"/>
        <v>0</v>
      </c>
      <c r="BJ101" s="10">
        <f t="shared" si="33"/>
        <v>2.4445145548599102E-2</v>
      </c>
      <c r="BL101" s="16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16">
        <f t="shared" si="38"/>
        <v>0</v>
      </c>
      <c r="BT101" s="16">
        <f t="shared" si="39"/>
        <v>0</v>
      </c>
      <c r="BU101" s="16">
        <f t="shared" si="40"/>
        <v>0</v>
      </c>
      <c r="BV101" s="10">
        <f t="shared" si="41"/>
        <v>0</v>
      </c>
      <c r="BX101" s="10">
        <f t="shared" si="42"/>
        <v>0</v>
      </c>
      <c r="BY101" s="10">
        <f t="shared" si="43"/>
        <v>2.4445145548599102E-2</v>
      </c>
    </row>
    <row r="102" spans="1:77" x14ac:dyDescent="0.3">
      <c r="A102" s="1">
        <v>46170</v>
      </c>
      <c r="B102" s="21">
        <v>599.83000000000004</v>
      </c>
      <c r="C102" s="21">
        <v>569.47</v>
      </c>
      <c r="D102" s="22">
        <v>7.2448929409861104E-3</v>
      </c>
      <c r="E102" s="22">
        <v>9.6873138357852304E-3</v>
      </c>
      <c r="F102" s="21">
        <v>0</v>
      </c>
      <c r="G102" s="21">
        <v>0</v>
      </c>
      <c r="H102" s="21">
        <v>0</v>
      </c>
      <c r="I102" s="21">
        <v>0.20794399999999999</v>
      </c>
      <c r="J102" s="21">
        <v>0</v>
      </c>
      <c r="K102" s="21">
        <v>0.20794399999999999</v>
      </c>
      <c r="L102" s="21">
        <v>599.83000000000004</v>
      </c>
      <c r="M102" s="21">
        <v>569.67794400000002</v>
      </c>
      <c r="N102" s="23">
        <v>0.94938565927012597</v>
      </c>
      <c r="O102" s="23">
        <v>0.90525826694812095</v>
      </c>
      <c r="P102" s="23">
        <v>0.92726388076730804</v>
      </c>
      <c r="Q102" s="23">
        <v>0.922536683609397</v>
      </c>
      <c r="R102" s="21">
        <v>543.001066263491</v>
      </c>
      <c r="S102" s="21">
        <v>554.60851152679697</v>
      </c>
      <c r="T102" s="21">
        <v>551.90612123095798</v>
      </c>
      <c r="U102" s="22">
        <v>-4.7594820127333397E-2</v>
      </c>
      <c r="V102" s="22">
        <v>-2.6443623502942999E-2</v>
      </c>
      <c r="W102" s="22">
        <v>-3.1328142132438903E-2</v>
      </c>
      <c r="X102" s="23">
        <v>0.94973233082706698</v>
      </c>
      <c r="Y102" s="23">
        <v>0.90571436398272598</v>
      </c>
      <c r="Z102" s="23">
        <v>0.92762716075907103</v>
      </c>
      <c r="AA102" s="23">
        <v>0.92291088685278699</v>
      </c>
      <c r="AB102" s="21">
        <v>543.27464694775801</v>
      </c>
      <c r="AC102" s="21">
        <v>554.82741196948996</v>
      </c>
      <c r="AD102" s="21">
        <v>552.13266595360903</v>
      </c>
      <c r="AE102" s="22">
        <v>-4.7456203077265301E-2</v>
      </c>
      <c r="AF102" s="22">
        <v>-2.6414094662606899E-2</v>
      </c>
      <c r="AG102" s="22">
        <v>-3.1282836350386298E-2</v>
      </c>
      <c r="AZ102" s="16"/>
      <c r="BB102">
        <f t="shared" si="26"/>
        <v>0</v>
      </c>
      <c r="BC102">
        <f t="shared" si="27"/>
        <v>0</v>
      </c>
      <c r="BD102">
        <f t="shared" si="28"/>
        <v>0</v>
      </c>
      <c r="BE102">
        <f t="shared" si="24"/>
        <v>1</v>
      </c>
      <c r="BF102">
        <f t="shared" si="29"/>
        <v>0</v>
      </c>
      <c r="BG102" s="16">
        <f t="shared" si="30"/>
        <v>0</v>
      </c>
      <c r="BH102" s="16">
        <f t="shared" si="31"/>
        <v>0</v>
      </c>
      <c r="BI102" s="16">
        <f t="shared" si="32"/>
        <v>0</v>
      </c>
      <c r="BJ102" s="10">
        <f t="shared" si="33"/>
        <v>2.4445145548599102E-2</v>
      </c>
      <c r="BL102" s="16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16">
        <f t="shared" si="38"/>
        <v>0</v>
      </c>
      <c r="BT102" s="16">
        <f t="shared" si="39"/>
        <v>0</v>
      </c>
      <c r="BU102" s="16">
        <f t="shared" si="40"/>
        <v>0</v>
      </c>
      <c r="BV102" s="10">
        <f t="shared" si="41"/>
        <v>0</v>
      </c>
      <c r="BX102" s="10">
        <f t="shared" si="42"/>
        <v>0</v>
      </c>
      <c r="BY102" s="10">
        <f t="shared" si="43"/>
        <v>2.4445145548599102E-2</v>
      </c>
    </row>
    <row r="103" spans="1:77" x14ac:dyDescent="0.3">
      <c r="A103" s="1">
        <v>46171</v>
      </c>
      <c r="B103" s="21">
        <v>598.92999999999995</v>
      </c>
      <c r="C103" s="21">
        <v>569.08000000000004</v>
      </c>
      <c r="D103" s="22">
        <v>-1.5015518854473099E-3</v>
      </c>
      <c r="E103" s="22">
        <v>-6.8508192921425701E-4</v>
      </c>
      <c r="F103" s="21">
        <v>0</v>
      </c>
      <c r="G103" s="21">
        <v>0</v>
      </c>
      <c r="H103" s="21">
        <v>0</v>
      </c>
      <c r="I103" s="21">
        <v>0.20794399999999999</v>
      </c>
      <c r="J103" s="21">
        <v>0</v>
      </c>
      <c r="K103" s="21">
        <v>0.20794399999999999</v>
      </c>
      <c r="L103" s="21">
        <v>598.92999999999995</v>
      </c>
      <c r="M103" s="21">
        <v>569.28794400000004</v>
      </c>
      <c r="N103" s="23">
        <v>0.95016112066518599</v>
      </c>
      <c r="O103" s="23">
        <v>0.90525826694812095</v>
      </c>
      <c r="P103" s="23">
        <v>0.93063321066416804</v>
      </c>
      <c r="Q103" s="23">
        <v>0.92451269038468298</v>
      </c>
      <c r="R103" s="21">
        <v>542.18633382323799</v>
      </c>
      <c r="S103" s="21">
        <v>555.36615610796298</v>
      </c>
      <c r="T103" s="21">
        <v>552.53489591417599</v>
      </c>
      <c r="U103" s="22">
        <v>-4.8411290083566497E-2</v>
      </c>
      <c r="V103" s="22">
        <v>-2.4393384834708699E-2</v>
      </c>
      <c r="W103" s="22">
        <v>-2.9504430359910301E-2</v>
      </c>
      <c r="X103" s="23">
        <v>0.95050831315846596</v>
      </c>
      <c r="Y103" s="23">
        <v>0.90571436398272598</v>
      </c>
      <c r="Z103" s="23">
        <v>0.93099525458485999</v>
      </c>
      <c r="AA103" s="23">
        <v>0.92488373462312001</v>
      </c>
      <c r="AB103" s="21">
        <v>542.45950402017399</v>
      </c>
      <c r="AC103" s="21">
        <v>555.58373539342995</v>
      </c>
      <c r="AD103" s="21">
        <v>552.75901746273996</v>
      </c>
      <c r="AE103" s="22">
        <v>-4.8272923187939999E-2</v>
      </c>
      <c r="AF103" s="22">
        <v>-2.4367022347120501E-2</v>
      </c>
      <c r="AG103" s="22">
        <v>-2.9464225426711801E-2</v>
      </c>
      <c r="AZ103" s="16"/>
      <c r="BB103">
        <f t="shared" si="26"/>
        <v>0</v>
      </c>
      <c r="BC103">
        <f t="shared" si="27"/>
        <v>0</v>
      </c>
      <c r="BD103">
        <f t="shared" si="28"/>
        <v>0</v>
      </c>
      <c r="BE103">
        <f t="shared" si="24"/>
        <v>1</v>
      </c>
      <c r="BF103">
        <f t="shared" si="29"/>
        <v>0</v>
      </c>
      <c r="BG103" s="16">
        <f t="shared" si="30"/>
        <v>0</v>
      </c>
      <c r="BH103" s="16">
        <f t="shared" si="31"/>
        <v>0</v>
      </c>
      <c r="BI103" s="16">
        <f t="shared" si="32"/>
        <v>0</v>
      </c>
      <c r="BJ103" s="10">
        <f t="shared" si="33"/>
        <v>2.4445145548599102E-2</v>
      </c>
      <c r="BL103" s="16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16">
        <f t="shared" si="38"/>
        <v>0</v>
      </c>
      <c r="BT103" s="16">
        <f t="shared" si="39"/>
        <v>0</v>
      </c>
      <c r="BU103" s="16">
        <f t="shared" si="40"/>
        <v>0</v>
      </c>
      <c r="BV103" s="10">
        <f t="shared" si="41"/>
        <v>0</v>
      </c>
      <c r="BX103" s="10">
        <f t="shared" si="42"/>
        <v>0</v>
      </c>
      <c r="BY103" s="10">
        <f t="shared" si="43"/>
        <v>2.4445145548599102E-2</v>
      </c>
    </row>
    <row r="104" spans="1:77" x14ac:dyDescent="0.3">
      <c r="A104" s="1">
        <v>46174</v>
      </c>
      <c r="B104" s="21">
        <v>607.80999999999995</v>
      </c>
      <c r="C104" s="21">
        <v>571.92999999999995</v>
      </c>
      <c r="D104" s="22">
        <v>1.4717603276973501E-2</v>
      </c>
      <c r="E104" s="22">
        <v>4.9955844857017201E-3</v>
      </c>
      <c r="F104" s="21">
        <v>0</v>
      </c>
      <c r="G104" s="21">
        <v>0</v>
      </c>
      <c r="H104" s="21">
        <v>0</v>
      </c>
      <c r="I104" s="21">
        <v>0.20794399999999999</v>
      </c>
      <c r="J104" s="21">
        <v>0</v>
      </c>
      <c r="K104" s="21">
        <v>0.20794399999999999</v>
      </c>
      <c r="L104" s="21">
        <v>607.80999999999995</v>
      </c>
      <c r="M104" s="21">
        <v>572.13794399999995</v>
      </c>
      <c r="N104" s="23">
        <v>0.94096839472861504</v>
      </c>
      <c r="O104" s="23">
        <v>0.90525826694812095</v>
      </c>
      <c r="P104" s="23">
        <v>0.93332551334298297</v>
      </c>
      <c r="Q104" s="23">
        <v>0.92588322380829802</v>
      </c>
      <c r="R104" s="21">
        <v>550.22502723373702</v>
      </c>
      <c r="S104" s="21">
        <v>565.64817177378802</v>
      </c>
      <c r="T104" s="21">
        <v>561.92805834271405</v>
      </c>
      <c r="U104" s="22">
        <v>-3.86892712922947E-2</v>
      </c>
      <c r="V104" s="22">
        <v>-1.10443259816975E-2</v>
      </c>
      <c r="W104" s="22">
        <v>-1.7642774635308799E-2</v>
      </c>
      <c r="X104" s="23">
        <v>0.94131051479903205</v>
      </c>
      <c r="Y104" s="23">
        <v>0.90571436398272598</v>
      </c>
      <c r="Z104" s="23">
        <v>0.93368439212724297</v>
      </c>
      <c r="AA104" s="23">
        <v>0.92625098018575402</v>
      </c>
      <c r="AB104" s="21">
        <v>550.50224757234002</v>
      </c>
      <c r="AC104" s="21">
        <v>565.868225689224</v>
      </c>
      <c r="AD104" s="21">
        <v>562.153582741278</v>
      </c>
      <c r="AE104" s="22">
        <v>-3.8549084206414001E-2</v>
      </c>
      <c r="AF104" s="22">
        <v>-1.1018888850705E-2</v>
      </c>
      <c r="AG104" s="22">
        <v>-1.76050316854711E-2</v>
      </c>
      <c r="AZ104" s="16"/>
      <c r="BB104">
        <f t="shared" si="26"/>
        <v>0</v>
      </c>
      <c r="BC104">
        <f t="shared" si="27"/>
        <v>0</v>
      </c>
      <c r="BD104">
        <f t="shared" si="28"/>
        <v>0</v>
      </c>
      <c r="BE104">
        <f t="shared" si="24"/>
        <v>1</v>
      </c>
      <c r="BF104">
        <f t="shared" si="29"/>
        <v>0</v>
      </c>
      <c r="BG104" s="16">
        <f t="shared" si="30"/>
        <v>0</v>
      </c>
      <c r="BH104" s="16">
        <f t="shared" si="31"/>
        <v>0</v>
      </c>
      <c r="BI104" s="16">
        <f t="shared" si="32"/>
        <v>0</v>
      </c>
      <c r="BJ104" s="10">
        <f t="shared" si="33"/>
        <v>2.4445145548599102E-2</v>
      </c>
      <c r="BL104" s="16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16">
        <f t="shared" si="38"/>
        <v>0</v>
      </c>
      <c r="BT104" s="16">
        <f t="shared" si="39"/>
        <v>0</v>
      </c>
      <c r="BU104" s="16">
        <f t="shared" si="40"/>
        <v>0</v>
      </c>
      <c r="BV104" s="10">
        <f t="shared" si="41"/>
        <v>0</v>
      </c>
      <c r="BX104" s="10">
        <f t="shared" si="42"/>
        <v>0</v>
      </c>
      <c r="BY104" s="10">
        <f t="shared" si="43"/>
        <v>2.4445145548599102E-2</v>
      </c>
    </row>
    <row r="105" spans="1:77" x14ac:dyDescent="0.3">
      <c r="A105" s="1">
        <v>46175</v>
      </c>
      <c r="B105" s="21">
        <v>632.21</v>
      </c>
      <c r="C105" s="21">
        <v>605.02</v>
      </c>
      <c r="D105" s="22">
        <v>3.9359284307734402E-2</v>
      </c>
      <c r="E105" s="22">
        <v>5.62449090670143E-2</v>
      </c>
      <c r="F105" s="21">
        <v>0</v>
      </c>
      <c r="G105" s="21">
        <v>0</v>
      </c>
      <c r="H105" s="21">
        <v>0</v>
      </c>
      <c r="I105" s="21">
        <v>0.20794399999999999</v>
      </c>
      <c r="J105" s="21">
        <v>0</v>
      </c>
      <c r="K105" s="21">
        <v>0.20794399999999999</v>
      </c>
      <c r="L105" s="21">
        <v>632.21</v>
      </c>
      <c r="M105" s="21">
        <v>605.22794399999998</v>
      </c>
      <c r="N105" s="23">
        <v>0.95699213868809396</v>
      </c>
      <c r="O105" s="23">
        <v>0.90525826694812095</v>
      </c>
      <c r="P105" s="23">
        <v>0.93823265162954606</v>
      </c>
      <c r="Q105" s="23">
        <v>0.92814590124527796</v>
      </c>
      <c r="R105" s="21">
        <v>572.313328947272</v>
      </c>
      <c r="S105" s="21">
        <v>590.05772279056703</v>
      </c>
      <c r="T105" s="21">
        <v>585.352632923844</v>
      </c>
      <c r="U105" s="22">
        <v>-5.5574896051574597E-2</v>
      </c>
      <c r="V105" s="22">
        <v>-2.50411479832214E-2</v>
      </c>
      <c r="W105" s="22">
        <v>-3.3047058386727703E-2</v>
      </c>
      <c r="X105" s="23">
        <v>0.95732105471283202</v>
      </c>
      <c r="Y105" s="23">
        <v>0.90571436398272598</v>
      </c>
      <c r="Z105" s="23">
        <v>0.93858634819175901</v>
      </c>
      <c r="AA105" s="23">
        <v>0.92850958762847302</v>
      </c>
      <c r="AB105" s="21">
        <v>572.60167805351898</v>
      </c>
      <c r="AC105" s="21">
        <v>590.28460954676405</v>
      </c>
      <c r="AD105" s="21">
        <v>585.58513218323503</v>
      </c>
      <c r="AE105" s="22">
        <v>-5.5414830768470202E-2</v>
      </c>
      <c r="AF105" s="22">
        <v>-2.5000344364270202E-2</v>
      </c>
      <c r="AG105" s="22">
        <v>-3.2993580720713699E-2</v>
      </c>
      <c r="AZ105" s="16"/>
      <c r="BB105">
        <f t="shared" si="26"/>
        <v>0</v>
      </c>
      <c r="BC105">
        <f t="shared" si="27"/>
        <v>0</v>
      </c>
      <c r="BD105">
        <f t="shared" si="28"/>
        <v>0</v>
      </c>
      <c r="BE105">
        <f t="shared" si="24"/>
        <v>1</v>
      </c>
      <c r="BF105">
        <f t="shared" si="29"/>
        <v>0</v>
      </c>
      <c r="BG105" s="16">
        <f t="shared" si="30"/>
        <v>0</v>
      </c>
      <c r="BH105" s="16">
        <f t="shared" si="31"/>
        <v>0</v>
      </c>
      <c r="BI105" s="16">
        <f t="shared" si="32"/>
        <v>0</v>
      </c>
      <c r="BJ105" s="10">
        <f t="shared" si="33"/>
        <v>2.4445145548599102E-2</v>
      </c>
      <c r="BL105" s="16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16">
        <f t="shared" si="38"/>
        <v>0</v>
      </c>
      <c r="BT105" s="16">
        <f t="shared" si="39"/>
        <v>0</v>
      </c>
      <c r="BU105" s="16">
        <f t="shared" si="40"/>
        <v>0</v>
      </c>
      <c r="BV105" s="10">
        <f t="shared" si="41"/>
        <v>0</v>
      </c>
      <c r="BX105" s="10">
        <f t="shared" si="42"/>
        <v>0</v>
      </c>
      <c r="BY105" s="10">
        <f t="shared" si="43"/>
        <v>2.4445145548599102E-2</v>
      </c>
    </row>
    <row r="106" spans="1:77" x14ac:dyDescent="0.3">
      <c r="A106" s="1">
        <v>46176</v>
      </c>
      <c r="B106" s="21">
        <v>637.9</v>
      </c>
      <c r="C106" s="21">
        <v>615.67999999999995</v>
      </c>
      <c r="D106" s="22">
        <v>8.9599138123080905E-3</v>
      </c>
      <c r="E106" s="22">
        <v>1.7465832701604601E-2</v>
      </c>
      <c r="F106" s="21">
        <v>0</v>
      </c>
      <c r="G106" s="21">
        <v>0</v>
      </c>
      <c r="H106" s="21">
        <v>0</v>
      </c>
      <c r="I106" s="21">
        <v>0.20794399999999999</v>
      </c>
      <c r="J106" s="21">
        <v>0</v>
      </c>
      <c r="K106" s="21">
        <v>0.20794399999999999</v>
      </c>
      <c r="L106" s="21">
        <v>637.9</v>
      </c>
      <c r="M106" s="21">
        <v>615.88794399999995</v>
      </c>
      <c r="N106" s="23">
        <v>0.96516695406803499</v>
      </c>
      <c r="O106" s="23">
        <v>0.90525826694812095</v>
      </c>
      <c r="P106" s="23">
        <v>0.94343013238821305</v>
      </c>
      <c r="Q106" s="23">
        <v>0.93022678238149803</v>
      </c>
      <c r="R106" s="21">
        <v>577.46424848620597</v>
      </c>
      <c r="S106" s="21">
        <v>598.49860847448701</v>
      </c>
      <c r="T106" s="21">
        <v>592.06427040436199</v>
      </c>
      <c r="U106" s="22">
        <v>-6.4080814940871006E-2</v>
      </c>
      <c r="V106" s="22">
        <v>-2.8303148063704001E-2</v>
      </c>
      <c r="W106" s="22">
        <v>-3.9112154173785801E-2</v>
      </c>
      <c r="X106" s="23">
        <v>0.96549293619689602</v>
      </c>
      <c r="Y106" s="23">
        <v>0.90571436398272598</v>
      </c>
      <c r="Z106" s="23">
        <v>0.943778199352445</v>
      </c>
      <c r="AA106" s="23">
        <v>0.93058687615711899</v>
      </c>
      <c r="AB106" s="21">
        <v>577.75519278458103</v>
      </c>
      <c r="AC106" s="21">
        <v>598.72423151152304</v>
      </c>
      <c r="AD106" s="21">
        <v>592.29626594820297</v>
      </c>
      <c r="AE106" s="22">
        <v>-6.39148008371586E-2</v>
      </c>
      <c r="AF106" s="22">
        <v>-2.8263927237650199E-2</v>
      </c>
      <c r="AG106" s="22">
        <v>-3.9058078957265402E-2</v>
      </c>
      <c r="AZ106" s="16"/>
      <c r="BB106">
        <f t="shared" si="26"/>
        <v>1</v>
      </c>
      <c r="BC106">
        <f t="shared" si="27"/>
        <v>0</v>
      </c>
      <c r="BD106">
        <f t="shared" si="28"/>
        <v>0</v>
      </c>
      <c r="BE106">
        <f t="shared" si="24"/>
        <v>1</v>
      </c>
      <c r="BF106">
        <f t="shared" si="29"/>
        <v>0</v>
      </c>
      <c r="BG106" s="16">
        <f t="shared" si="30"/>
        <v>0</v>
      </c>
      <c r="BH106" s="16">
        <f t="shared" si="31"/>
        <v>0</v>
      </c>
      <c r="BI106" s="16">
        <f t="shared" si="32"/>
        <v>0</v>
      </c>
      <c r="BJ106" s="10">
        <f t="shared" si="33"/>
        <v>2.4445145548599102E-2</v>
      </c>
      <c r="BL106" s="16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16">
        <f t="shared" si="38"/>
        <v>0</v>
      </c>
      <c r="BT106" s="16">
        <f t="shared" si="39"/>
        <v>0</v>
      </c>
      <c r="BU106" s="16">
        <f t="shared" si="40"/>
        <v>0</v>
      </c>
      <c r="BV106" s="10">
        <f t="shared" si="41"/>
        <v>0</v>
      </c>
      <c r="BX106" s="10">
        <f t="shared" si="42"/>
        <v>0</v>
      </c>
      <c r="BY106" s="10">
        <f t="shared" si="43"/>
        <v>2.4445145548599102E-2</v>
      </c>
    </row>
    <row r="107" spans="1:77" x14ac:dyDescent="0.3">
      <c r="A107" s="1">
        <v>46177</v>
      </c>
      <c r="B107" s="21">
        <v>627.53</v>
      </c>
      <c r="C107" s="21">
        <v>602.72</v>
      </c>
      <c r="D107" s="22">
        <v>-1.6390052619833E-2</v>
      </c>
      <c r="E107" s="22">
        <v>-2.1274604093555902E-2</v>
      </c>
      <c r="F107" s="21">
        <v>0</v>
      </c>
      <c r="G107" s="21">
        <v>0</v>
      </c>
      <c r="H107" s="21">
        <v>0</v>
      </c>
      <c r="I107" s="21">
        <v>0.20794399999999999</v>
      </c>
      <c r="J107" s="21">
        <v>0</v>
      </c>
      <c r="K107" s="21">
        <v>0.20794399999999999</v>
      </c>
      <c r="L107" s="21">
        <v>627.53</v>
      </c>
      <c r="M107" s="21">
        <v>602.92794400000002</v>
      </c>
      <c r="N107" s="23">
        <v>0.96046404155976595</v>
      </c>
      <c r="O107" s="23">
        <v>0.90525826694812095</v>
      </c>
      <c r="P107" s="23">
        <v>0.94733082053809803</v>
      </c>
      <c r="Q107" s="23">
        <v>0.93215077753282805</v>
      </c>
      <c r="R107" s="21">
        <v>568.07672025795398</v>
      </c>
      <c r="S107" s="21">
        <v>592.03071097757504</v>
      </c>
      <c r="T107" s="21">
        <v>583.74521274786105</v>
      </c>
      <c r="U107" s="22">
        <v>-5.9196263467148201E-2</v>
      </c>
      <c r="V107" s="22">
        <v>-1.78942337539616E-2</v>
      </c>
      <c r="W107" s="22">
        <v>-3.1988135854445002E-2</v>
      </c>
      <c r="X107" s="23">
        <v>0.96079541057798001</v>
      </c>
      <c r="Y107" s="23">
        <v>0.90571436398272598</v>
      </c>
      <c r="Z107" s="23">
        <v>0.94767519799533795</v>
      </c>
      <c r="AA107" s="23">
        <v>0.93250852750673996</v>
      </c>
      <c r="AB107" s="21">
        <v>568.36293483008001</v>
      </c>
      <c r="AC107" s="21">
        <v>592.24913343963897</v>
      </c>
      <c r="AD107" s="21">
        <v>583.97118239487702</v>
      </c>
      <c r="AE107" s="22">
        <v>-5.9037509294770599E-2</v>
      </c>
      <c r="AF107" s="22">
        <v>-1.7870313861600599E-2</v>
      </c>
      <c r="AG107" s="22">
        <v>-3.19460573364636E-2</v>
      </c>
      <c r="AZ107" s="16"/>
      <c r="BB107">
        <f t="shared" si="26"/>
        <v>0</v>
      </c>
      <c r="BC107">
        <f t="shared" si="27"/>
        <v>0</v>
      </c>
      <c r="BD107">
        <f t="shared" si="28"/>
        <v>1</v>
      </c>
      <c r="BE107">
        <f t="shared" si="24"/>
        <v>1</v>
      </c>
      <c r="BF107">
        <f t="shared" si="29"/>
        <v>1</v>
      </c>
      <c r="BG107" s="16">
        <f t="shared" si="30"/>
        <v>-1.6390052619833E-2</v>
      </c>
      <c r="BH107" s="16">
        <f t="shared" si="31"/>
        <v>2.1274604093555902E-2</v>
      </c>
      <c r="BI107" s="16">
        <f t="shared" si="32"/>
        <v>4.884551473722902E-3</v>
      </c>
      <c r="BJ107" s="10">
        <f t="shared" si="33"/>
        <v>2.9329697022322004E-2</v>
      </c>
      <c r="BL107" s="16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16">
        <f t="shared" si="38"/>
        <v>0</v>
      </c>
      <c r="BT107" s="16">
        <f t="shared" si="39"/>
        <v>0</v>
      </c>
      <c r="BU107" s="16">
        <f t="shared" si="40"/>
        <v>0</v>
      </c>
      <c r="BV107" s="10">
        <f t="shared" si="41"/>
        <v>0</v>
      </c>
      <c r="BX107" s="10">
        <f t="shared" si="42"/>
        <v>4.884551473722902E-3</v>
      </c>
      <c r="BY107" s="10">
        <f t="shared" si="43"/>
        <v>2.9329697022322004E-2</v>
      </c>
    </row>
    <row r="108" spans="1:77" x14ac:dyDescent="0.3">
      <c r="A108" s="1">
        <v>46178</v>
      </c>
      <c r="B108" s="21">
        <v>569.69000000000005</v>
      </c>
      <c r="C108" s="21">
        <v>539.77</v>
      </c>
      <c r="D108" s="22">
        <v>-9.6699125393905794E-2</v>
      </c>
      <c r="E108" s="22">
        <v>-0.110309621043548</v>
      </c>
      <c r="F108" s="21">
        <v>0</v>
      </c>
      <c r="G108" s="21">
        <v>0</v>
      </c>
      <c r="H108" s="21">
        <v>0</v>
      </c>
      <c r="I108" s="21">
        <v>0.20794399999999999</v>
      </c>
      <c r="J108" s="21">
        <v>0</v>
      </c>
      <c r="K108" s="21">
        <v>0.20794399999999999</v>
      </c>
      <c r="L108" s="21">
        <v>569.69000000000005</v>
      </c>
      <c r="M108" s="21">
        <v>539.97794399999998</v>
      </c>
      <c r="N108" s="23">
        <v>0.94748020853446602</v>
      </c>
      <c r="O108" s="23">
        <v>0.90525826694812095</v>
      </c>
      <c r="P108" s="23">
        <v>0.94968079955171902</v>
      </c>
      <c r="Q108" s="23">
        <v>0.93394433989437797</v>
      </c>
      <c r="R108" s="21">
        <v>515.71658209767497</v>
      </c>
      <c r="S108" s="21">
        <v>539.68489515234899</v>
      </c>
      <c r="T108" s="21">
        <v>531.03697645267596</v>
      </c>
      <c r="U108" s="22">
        <v>-4.5585767817505403E-2</v>
      </c>
      <c r="V108" s="22">
        <v>-1.5768115594137099E-4</v>
      </c>
      <c r="W108" s="22">
        <v>-1.6311468578583298E-2</v>
      </c>
      <c r="X108" s="23">
        <v>0.94784522108515101</v>
      </c>
      <c r="Y108" s="23">
        <v>0.90571436398272598</v>
      </c>
      <c r="Z108" s="23">
        <v>0.95002506066876102</v>
      </c>
      <c r="AA108" s="23">
        <v>0.93430108998665895</v>
      </c>
      <c r="AB108" s="21">
        <v>515.97641601731902</v>
      </c>
      <c r="AC108" s="21">
        <v>539.88108354596397</v>
      </c>
      <c r="AD108" s="21">
        <v>531.24078303531405</v>
      </c>
      <c r="AE108" s="22">
        <v>-4.5467235235470999E-2</v>
      </c>
      <c r="AF108" s="22">
        <v>-1.79394628047809E-4</v>
      </c>
      <c r="AG108" s="22">
        <v>-1.6312923772181399E-2</v>
      </c>
      <c r="AZ108" s="16"/>
      <c r="BB108">
        <f t="shared" si="26"/>
        <v>0</v>
      </c>
      <c r="BC108">
        <f t="shared" si="27"/>
        <v>0</v>
      </c>
      <c r="BD108">
        <f t="shared" si="28"/>
        <v>1</v>
      </c>
      <c r="BE108">
        <f t="shared" si="24"/>
        <v>1</v>
      </c>
      <c r="BF108">
        <f t="shared" si="29"/>
        <v>1</v>
      </c>
      <c r="BG108" s="16">
        <f t="shared" si="30"/>
        <v>-9.6699125393905794E-2</v>
      </c>
      <c r="BH108" s="16">
        <f t="shared" si="31"/>
        <v>0.110309621043548</v>
      </c>
      <c r="BI108" s="16">
        <f t="shared" si="32"/>
        <v>1.3610495649642201E-2</v>
      </c>
      <c r="BJ108" s="10">
        <f t="shared" si="33"/>
        <v>4.2940192671964209E-2</v>
      </c>
      <c r="BL108" s="16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16">
        <f t="shared" si="38"/>
        <v>0</v>
      </c>
      <c r="BT108" s="16">
        <f t="shared" si="39"/>
        <v>0</v>
      </c>
      <c r="BU108" s="16">
        <f t="shared" si="40"/>
        <v>0</v>
      </c>
      <c r="BV108" s="10">
        <f t="shared" si="41"/>
        <v>0</v>
      </c>
      <c r="BX108" s="10">
        <f t="shared" si="42"/>
        <v>1.3610495649642201E-2</v>
      </c>
      <c r="BY108" s="10">
        <f t="shared" si="43"/>
        <v>4.2940192671964209E-2</v>
      </c>
    </row>
    <row r="109" spans="1:77" x14ac:dyDescent="0.3">
      <c r="A109" s="1">
        <v>46181</v>
      </c>
      <c r="B109" s="21">
        <v>598.16</v>
      </c>
      <c r="C109" s="21">
        <v>571.45000000000005</v>
      </c>
      <c r="D109" s="22">
        <v>4.8765923457489299E-2</v>
      </c>
      <c r="E109" s="22">
        <v>5.7033867443424403E-2</v>
      </c>
      <c r="F109" s="21">
        <v>0</v>
      </c>
      <c r="G109" s="21">
        <v>0</v>
      </c>
      <c r="H109" s="21">
        <v>0</v>
      </c>
      <c r="I109" s="21">
        <v>0.20794399999999999</v>
      </c>
      <c r="J109" s="21">
        <v>0</v>
      </c>
      <c r="K109" s="21">
        <v>0.20794399999999999</v>
      </c>
      <c r="L109" s="21">
        <v>598.16</v>
      </c>
      <c r="M109" s="21">
        <v>571.65794400000004</v>
      </c>
      <c r="N109" s="23">
        <v>0.95534639561321399</v>
      </c>
      <c r="O109" s="23">
        <v>0.90525826694812095</v>
      </c>
      <c r="P109" s="23">
        <v>0.951980777813762</v>
      </c>
      <c r="Q109" s="23">
        <v>0.93579257187894305</v>
      </c>
      <c r="R109" s="21">
        <v>541.48928495768803</v>
      </c>
      <c r="S109" s="21">
        <v>568.06106705985599</v>
      </c>
      <c r="T109" s="21">
        <v>558.64814635122104</v>
      </c>
      <c r="U109" s="22">
        <v>-5.3853711803440597E-2</v>
      </c>
      <c r="V109" s="22">
        <v>-5.9480649721777301E-3</v>
      </c>
      <c r="W109" s="22">
        <v>-2.2657149441827201E-2</v>
      </c>
      <c r="X109" s="23">
        <v>0.95569403504079098</v>
      </c>
      <c r="Y109" s="23">
        <v>0.90571436398272598</v>
      </c>
      <c r="Z109" s="23">
        <v>0.952323721529864</v>
      </c>
      <c r="AA109" s="23">
        <v>0.93614835184036804</v>
      </c>
      <c r="AB109" s="21">
        <v>541.76210395990699</v>
      </c>
      <c r="AC109" s="21">
        <v>568.26699028962605</v>
      </c>
      <c r="AD109" s="21">
        <v>558.86153998641998</v>
      </c>
      <c r="AE109" s="22">
        <v>-5.3713830004746603E-2</v>
      </c>
      <c r="AF109" s="22">
        <v>-5.9494508989827799E-3</v>
      </c>
      <c r="AG109" s="22">
        <v>-2.2639062364181499E-2</v>
      </c>
      <c r="AZ109" s="16"/>
      <c r="BB109">
        <f t="shared" si="26"/>
        <v>0</v>
      </c>
      <c r="BC109">
        <f t="shared" si="27"/>
        <v>0</v>
      </c>
      <c r="BD109">
        <f t="shared" si="28"/>
        <v>1</v>
      </c>
      <c r="BE109">
        <f t="shared" si="24"/>
        <v>1</v>
      </c>
      <c r="BF109">
        <f t="shared" si="29"/>
        <v>1</v>
      </c>
      <c r="BG109" s="16">
        <f t="shared" si="30"/>
        <v>4.8765923457489299E-2</v>
      </c>
      <c r="BH109" s="16">
        <f t="shared" si="31"/>
        <v>-5.7033867443424403E-2</v>
      </c>
      <c r="BI109" s="16">
        <f t="shared" si="32"/>
        <v>-8.2679439859351042E-3</v>
      </c>
      <c r="BJ109" s="10">
        <f t="shared" si="33"/>
        <v>3.4672248686029104E-2</v>
      </c>
      <c r="BL109" s="16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16">
        <f t="shared" si="38"/>
        <v>0</v>
      </c>
      <c r="BT109" s="16">
        <f t="shared" si="39"/>
        <v>0</v>
      </c>
      <c r="BU109" s="16">
        <f t="shared" si="40"/>
        <v>0</v>
      </c>
      <c r="BV109" s="10">
        <f t="shared" si="41"/>
        <v>0</v>
      </c>
      <c r="BX109" s="10">
        <f t="shared" si="42"/>
        <v>-8.2679439859351042E-3</v>
      </c>
      <c r="BY109" s="10">
        <f t="shared" si="43"/>
        <v>3.4672248686029104E-2</v>
      </c>
    </row>
    <row r="110" spans="1:77" x14ac:dyDescent="0.3">
      <c r="A110" s="1">
        <v>46182</v>
      </c>
      <c r="B110" s="21">
        <v>591.01</v>
      </c>
      <c r="C110" s="21">
        <v>562.14</v>
      </c>
      <c r="D110" s="22">
        <v>-1.2025338954938101E-2</v>
      </c>
      <c r="E110" s="22">
        <v>-1.6426061152455099E-2</v>
      </c>
      <c r="F110" s="21">
        <v>0</v>
      </c>
      <c r="G110" s="21">
        <v>0</v>
      </c>
      <c r="H110" s="21">
        <v>0</v>
      </c>
      <c r="I110" s="21">
        <v>0.20794399999999999</v>
      </c>
      <c r="J110" s="21">
        <v>0</v>
      </c>
      <c r="K110" s="21">
        <v>0.20794399999999999</v>
      </c>
      <c r="L110" s="21">
        <v>591.01</v>
      </c>
      <c r="M110" s="21">
        <v>562.34794399999998</v>
      </c>
      <c r="N110" s="23">
        <v>0.95115141875771902</v>
      </c>
      <c r="O110" s="23">
        <v>0.90525826694812095</v>
      </c>
      <c r="P110" s="23">
        <v>0.95241860212219098</v>
      </c>
      <c r="Q110" s="23">
        <v>0.93712849127512399</v>
      </c>
      <c r="R110" s="21">
        <v>535.01668834900897</v>
      </c>
      <c r="S110" s="21">
        <v>562.63015949571195</v>
      </c>
      <c r="T110" s="21">
        <v>553.06276790617403</v>
      </c>
      <c r="U110" s="22">
        <v>-4.9452989605923703E-2</v>
      </c>
      <c r="V110" s="22">
        <v>8.7157277885178497E-4</v>
      </c>
      <c r="W110" s="22">
        <v>-1.6279429758819599E-2</v>
      </c>
      <c r="X110" s="23">
        <v>0.95150326390416395</v>
      </c>
      <c r="Y110" s="23">
        <v>0.90571436398272598</v>
      </c>
      <c r="Z110" s="23">
        <v>0.95276219619144698</v>
      </c>
      <c r="AA110" s="23">
        <v>0.93748382250898499</v>
      </c>
      <c r="AB110" s="21">
        <v>535.286246257431</v>
      </c>
      <c r="AC110" s="21">
        <v>562.83284266136502</v>
      </c>
      <c r="AD110" s="21">
        <v>553.27303742117601</v>
      </c>
      <c r="AE110" s="22">
        <v>-4.9319132210480898E-2</v>
      </c>
      <c r="AF110" s="22">
        <v>8.6190361074773496E-4</v>
      </c>
      <c r="AG110" s="22">
        <v>-1.6269157528246699E-2</v>
      </c>
      <c r="AZ110" s="16"/>
      <c r="BB110">
        <f t="shared" si="26"/>
        <v>0</v>
      </c>
      <c r="BC110">
        <f t="shared" si="27"/>
        <v>0</v>
      </c>
      <c r="BD110">
        <f t="shared" si="28"/>
        <v>1</v>
      </c>
      <c r="BE110">
        <f t="shared" si="24"/>
        <v>1</v>
      </c>
      <c r="BF110">
        <f t="shared" si="29"/>
        <v>1</v>
      </c>
      <c r="BG110" s="16">
        <f t="shared" si="30"/>
        <v>-1.2025338954938101E-2</v>
      </c>
      <c r="BH110" s="16">
        <f t="shared" si="31"/>
        <v>1.6426061152455099E-2</v>
      </c>
      <c r="BI110" s="16">
        <f t="shared" si="32"/>
        <v>4.4007221975169986E-3</v>
      </c>
      <c r="BJ110" s="10">
        <f t="shared" si="33"/>
        <v>3.9072970883546103E-2</v>
      </c>
      <c r="BL110" s="16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16">
        <f t="shared" si="38"/>
        <v>0</v>
      </c>
      <c r="BT110" s="16">
        <f t="shared" si="39"/>
        <v>0</v>
      </c>
      <c r="BU110" s="16">
        <f t="shared" si="40"/>
        <v>0</v>
      </c>
      <c r="BV110" s="10">
        <f t="shared" si="41"/>
        <v>0</v>
      </c>
      <c r="BX110" s="10">
        <f t="shared" si="42"/>
        <v>4.4007221975169986E-3</v>
      </c>
      <c r="BY110" s="10">
        <f t="shared" si="43"/>
        <v>3.9072970883546103E-2</v>
      </c>
    </row>
    <row r="111" spans="1:77" x14ac:dyDescent="0.3">
      <c r="A111" s="1">
        <v>46183</v>
      </c>
      <c r="B111" s="21">
        <v>570.91</v>
      </c>
      <c r="C111" s="21">
        <v>541.51</v>
      </c>
      <c r="D111" s="22">
        <v>-3.4601358717427901E-2</v>
      </c>
      <c r="E111" s="22">
        <v>-3.7389395699940202E-2</v>
      </c>
      <c r="F111" s="21">
        <v>0</v>
      </c>
      <c r="G111" s="21">
        <v>0</v>
      </c>
      <c r="H111" s="21">
        <v>0</v>
      </c>
      <c r="I111" s="21">
        <v>0.20794399999999999</v>
      </c>
      <c r="J111" s="21">
        <v>0</v>
      </c>
      <c r="K111" s="21">
        <v>0.20794399999999999</v>
      </c>
      <c r="L111" s="21">
        <v>570.91</v>
      </c>
      <c r="M111" s="21">
        <v>541.71794399999999</v>
      </c>
      <c r="N111" s="23">
        <v>0.94850326671454299</v>
      </c>
      <c r="O111" s="23">
        <v>0.90525826694812095</v>
      </c>
      <c r="P111" s="23">
        <v>0.95256195985997605</v>
      </c>
      <c r="Q111" s="23">
        <v>0.93858572588033895</v>
      </c>
      <c r="R111" s="21">
        <v>516.82099718335201</v>
      </c>
      <c r="S111" s="21">
        <v>543.74530413757998</v>
      </c>
      <c r="T111" s="21">
        <v>535.01602695388101</v>
      </c>
      <c r="U111" s="22">
        <v>-4.6664952623411499E-2</v>
      </c>
      <c r="V111" s="22">
        <v>4.1194128055736098E-3</v>
      </c>
      <c r="W111" s="22">
        <v>-1.20648301207621E-2</v>
      </c>
      <c r="X111" s="23">
        <v>0.94886749925557401</v>
      </c>
      <c r="Y111" s="23">
        <v>0.90571436398272598</v>
      </c>
      <c r="Z111" s="23">
        <v>0.952907057955795</v>
      </c>
      <c r="AA111" s="23">
        <v>0.93894074366330105</v>
      </c>
      <c r="AB111" s="21">
        <v>517.08138754137804</v>
      </c>
      <c r="AC111" s="21">
        <v>543.94146542765895</v>
      </c>
      <c r="AD111" s="21">
        <v>535.21888910860503</v>
      </c>
      <c r="AE111" s="22">
        <v>-4.65451826319827E-2</v>
      </c>
      <c r="AF111" s="22">
        <v>4.0961732884567201E-3</v>
      </c>
      <c r="AG111" s="22">
        <v>-1.2069665718932299E-2</v>
      </c>
      <c r="AZ111" s="16"/>
      <c r="BB111">
        <f t="shared" si="26"/>
        <v>0</v>
      </c>
      <c r="BC111">
        <f t="shared" si="27"/>
        <v>1</v>
      </c>
      <c r="BD111">
        <f t="shared" si="28"/>
        <v>1</v>
      </c>
      <c r="BE111">
        <f t="shared" si="24"/>
        <v>1</v>
      </c>
      <c r="BF111">
        <f t="shared" si="29"/>
        <v>1</v>
      </c>
      <c r="BG111" s="16">
        <f t="shared" si="30"/>
        <v>-3.4601358717427901E-2</v>
      </c>
      <c r="BH111" s="16">
        <f t="shared" si="31"/>
        <v>3.7389395699940202E-2</v>
      </c>
      <c r="BI111" s="16">
        <f t="shared" si="32"/>
        <v>2.7880369825123014E-3</v>
      </c>
      <c r="BJ111" s="10">
        <f t="shared" si="33"/>
        <v>4.1861007866058404E-2</v>
      </c>
      <c r="BL111" s="16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16">
        <f t="shared" si="38"/>
        <v>0</v>
      </c>
      <c r="BT111" s="16">
        <f t="shared" si="39"/>
        <v>0</v>
      </c>
      <c r="BU111" s="16">
        <f t="shared" si="40"/>
        <v>0</v>
      </c>
      <c r="BV111" s="10">
        <f t="shared" si="41"/>
        <v>0</v>
      </c>
      <c r="BX111" s="10">
        <f t="shared" si="42"/>
        <v>2.7880369825123014E-3</v>
      </c>
      <c r="BY111" s="10">
        <f t="shared" si="43"/>
        <v>4.1861007866058404E-2</v>
      </c>
    </row>
    <row r="112" spans="1:77" x14ac:dyDescent="0.3">
      <c r="A112" s="1">
        <v>46184</v>
      </c>
      <c r="B112" s="21">
        <v>609.45000000000005</v>
      </c>
      <c r="C112" s="21">
        <v>586.92999999999995</v>
      </c>
      <c r="D112" s="22">
        <v>6.5325332082551604E-2</v>
      </c>
      <c r="E112" s="22">
        <v>8.0544028800092995E-2</v>
      </c>
      <c r="F112" s="21">
        <v>0</v>
      </c>
      <c r="G112" s="21">
        <v>0</v>
      </c>
      <c r="H112" s="21">
        <v>0</v>
      </c>
      <c r="I112" s="21">
        <v>0.20794399999999999</v>
      </c>
      <c r="J112" s="21">
        <v>0</v>
      </c>
      <c r="K112" s="21">
        <v>0.20794399999999999</v>
      </c>
      <c r="L112" s="21">
        <v>609.45000000000005</v>
      </c>
      <c r="M112" s="21">
        <v>587.13794399999995</v>
      </c>
      <c r="N112" s="23">
        <v>0.96304865042251198</v>
      </c>
      <c r="O112" s="23">
        <v>0.90525826694812095</v>
      </c>
      <c r="P112" s="23">
        <v>0.95392825897521505</v>
      </c>
      <c r="Q112" s="23">
        <v>0.94059606987126099</v>
      </c>
      <c r="R112" s="21">
        <v>551.709650791532</v>
      </c>
      <c r="S112" s="21">
        <v>580.53888643666198</v>
      </c>
      <c r="T112" s="21">
        <v>572.02107063777203</v>
      </c>
      <c r="U112" s="22">
        <v>-6.1883649340952897E-2</v>
      </c>
      <c r="V112" s="22">
        <v>-1.0948775564621101E-2</v>
      </c>
      <c r="W112" s="22">
        <v>-2.5729734810641201E-2</v>
      </c>
      <c r="X112" s="23">
        <v>0.96338984986463105</v>
      </c>
      <c r="Y112" s="23">
        <v>0.90571436398272598</v>
      </c>
      <c r="Z112" s="23">
        <v>0.95427280985955198</v>
      </c>
      <c r="AA112" s="23">
        <v>0.94094998530931195</v>
      </c>
      <c r="AB112" s="21">
        <v>551.98761912927205</v>
      </c>
      <c r="AC112" s="21">
        <v>580.74920647115903</v>
      </c>
      <c r="AD112" s="21">
        <v>572.237436225598</v>
      </c>
      <c r="AE112" s="22">
        <v>-6.1734173604821897E-2</v>
      </c>
      <c r="AF112" s="22">
        <v>-1.09407852534531E-2</v>
      </c>
      <c r="AG112" s="22">
        <v>-2.5705786969908599E-2</v>
      </c>
      <c r="AZ112" s="16"/>
      <c r="BB112">
        <f t="shared" si="26"/>
        <v>0</v>
      </c>
      <c r="BC112">
        <f t="shared" si="27"/>
        <v>0</v>
      </c>
      <c r="BD112">
        <f t="shared" si="28"/>
        <v>0</v>
      </c>
      <c r="BE112">
        <f t="shared" si="24"/>
        <v>1</v>
      </c>
      <c r="BF112">
        <f t="shared" si="29"/>
        <v>0</v>
      </c>
      <c r="BG112" s="16">
        <f t="shared" si="30"/>
        <v>0</v>
      </c>
      <c r="BH112" s="16">
        <f t="shared" si="31"/>
        <v>0</v>
      </c>
      <c r="BI112" s="16">
        <f t="shared" si="32"/>
        <v>0</v>
      </c>
      <c r="BJ112" s="10">
        <f t="shared" si="33"/>
        <v>4.1861007866058404E-2</v>
      </c>
      <c r="BL112" s="16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16">
        <f t="shared" si="38"/>
        <v>0</v>
      </c>
      <c r="BT112" s="16">
        <f t="shared" si="39"/>
        <v>0</v>
      </c>
      <c r="BU112" s="16">
        <f t="shared" si="40"/>
        <v>0</v>
      </c>
      <c r="BV112" s="10">
        <f t="shared" si="41"/>
        <v>0</v>
      </c>
      <c r="BX112" s="10">
        <f t="shared" si="42"/>
        <v>0</v>
      </c>
      <c r="BY112" s="10">
        <f t="shared" si="43"/>
        <v>4.1861007866058404E-2</v>
      </c>
    </row>
    <row r="113" spans="1:77" x14ac:dyDescent="0.3">
      <c r="A113" s="1">
        <v>46185</v>
      </c>
      <c r="B113" s="21">
        <v>619.96</v>
      </c>
      <c r="C113" s="21">
        <v>596.25</v>
      </c>
      <c r="D113" s="22">
        <v>1.7098048727004499E-2</v>
      </c>
      <c r="E113" s="22">
        <v>1.57544799112464E-2</v>
      </c>
      <c r="F113" s="21">
        <v>0</v>
      </c>
      <c r="G113" s="21">
        <v>0</v>
      </c>
      <c r="H113" s="21">
        <v>0</v>
      </c>
      <c r="I113" s="21">
        <v>0.20794399999999999</v>
      </c>
      <c r="J113" s="21">
        <v>0</v>
      </c>
      <c r="K113" s="21">
        <v>0.20794399999999999</v>
      </c>
      <c r="L113" s="21">
        <v>619.96</v>
      </c>
      <c r="M113" s="21">
        <v>596.457944</v>
      </c>
      <c r="N113" s="23">
        <v>0.96175559713529901</v>
      </c>
      <c r="O113" s="23">
        <v>0.90525826694812095</v>
      </c>
      <c r="P113" s="23">
        <v>0.95508770662222597</v>
      </c>
      <c r="Q113" s="23">
        <v>0.94286045864319701</v>
      </c>
      <c r="R113" s="21">
        <v>561.22391517715698</v>
      </c>
      <c r="S113" s="21">
        <v>591.39736343427398</v>
      </c>
      <c r="T113" s="21">
        <v>583.13193947738705</v>
      </c>
      <c r="U113" s="22">
        <v>-6.0540080525194599E-2</v>
      </c>
      <c r="V113" s="22">
        <v>-8.1718929708544403E-3</v>
      </c>
      <c r="W113" s="22">
        <v>-2.2246570174625401E-2</v>
      </c>
      <c r="X113" s="23">
        <v>0.96209101232337502</v>
      </c>
      <c r="Y113" s="23">
        <v>0.90571436398272598</v>
      </c>
      <c r="Z113" s="23">
        <v>0.95543107977604302</v>
      </c>
      <c r="AA113" s="23">
        <v>0.94321316718045101</v>
      </c>
      <c r="AB113" s="21">
        <v>561.506677094731</v>
      </c>
      <c r="AC113" s="21">
        <v>591.61097120052796</v>
      </c>
      <c r="AD113" s="21">
        <v>583.35135289236098</v>
      </c>
      <c r="AE113" s="22">
        <v>-6.0385068803250702E-2</v>
      </c>
      <c r="AF113" s="22">
        <v>-8.15945881378345E-3</v>
      </c>
      <c r="AG113" s="22">
        <v>-2.2219065997215501E-2</v>
      </c>
      <c r="AZ113" s="16"/>
      <c r="BB113">
        <f t="shared" si="26"/>
        <v>0</v>
      </c>
      <c r="BC113">
        <f t="shared" si="27"/>
        <v>0</v>
      </c>
      <c r="BD113">
        <f t="shared" si="28"/>
        <v>0</v>
      </c>
      <c r="BE113">
        <f t="shared" si="24"/>
        <v>0</v>
      </c>
      <c r="BF113">
        <f t="shared" si="29"/>
        <v>0</v>
      </c>
      <c r="BG113" s="16">
        <f t="shared" si="30"/>
        <v>0</v>
      </c>
      <c r="BH113" s="16">
        <f t="shared" si="31"/>
        <v>0</v>
      </c>
      <c r="BI113" s="16">
        <f t="shared" si="32"/>
        <v>0</v>
      </c>
      <c r="BJ113" s="10">
        <f t="shared" si="33"/>
        <v>4.1861007866058404E-2</v>
      </c>
      <c r="BL113" s="16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0</v>
      </c>
      <c r="BR113">
        <f t="shared" si="37"/>
        <v>0</v>
      </c>
      <c r="BS113" s="16">
        <f t="shared" si="38"/>
        <v>0</v>
      </c>
      <c r="BT113" s="16">
        <f t="shared" si="39"/>
        <v>0</v>
      </c>
      <c r="BU113" s="16">
        <f t="shared" si="40"/>
        <v>0</v>
      </c>
      <c r="BV113" s="10">
        <f t="shared" si="41"/>
        <v>0</v>
      </c>
      <c r="BX113" s="10">
        <f t="shared" si="42"/>
        <v>0</v>
      </c>
      <c r="BY113" s="10">
        <f t="shared" si="43"/>
        <v>4.1861007866058404E-2</v>
      </c>
    </row>
    <row r="114" spans="1:77" x14ac:dyDescent="0.3">
      <c r="A114" s="1">
        <v>46188</v>
      </c>
      <c r="B114" s="21">
        <v>647.1</v>
      </c>
      <c r="C114" s="21">
        <v>628.45000000000005</v>
      </c>
      <c r="D114" s="22">
        <v>4.28458822343704E-2</v>
      </c>
      <c r="E114" s="22">
        <v>5.25964281682956E-2</v>
      </c>
      <c r="F114" s="21">
        <v>0</v>
      </c>
      <c r="G114" s="21">
        <v>0</v>
      </c>
      <c r="H114" s="21">
        <v>0.28272599999999998</v>
      </c>
      <c r="I114" s="21">
        <v>0.490669999999999</v>
      </c>
      <c r="J114" s="21">
        <v>0</v>
      </c>
      <c r="K114" s="21">
        <v>0.490669999999999</v>
      </c>
      <c r="L114" s="21">
        <v>647.1</v>
      </c>
      <c r="M114" s="21">
        <v>628.94066999999995</v>
      </c>
      <c r="N114" s="23">
        <v>0.97117910678411301</v>
      </c>
      <c r="O114" s="23">
        <v>0.90525826694812095</v>
      </c>
      <c r="P114" s="23">
        <v>0.95810877782777604</v>
      </c>
      <c r="Q114" s="23">
        <v>0.94571714558538</v>
      </c>
      <c r="R114" s="21">
        <v>585.79262454212903</v>
      </c>
      <c r="S114" s="21">
        <v>618.03725495524202</v>
      </c>
      <c r="T114" s="21">
        <v>610.12500278801303</v>
      </c>
      <c r="U114" s="22">
        <v>-7.0290626459119807E-2</v>
      </c>
      <c r="V114" s="22">
        <v>-1.6707731631010098E-2</v>
      </c>
      <c r="W114" s="22">
        <v>-2.9592611593957801E-2</v>
      </c>
      <c r="X114" s="23">
        <v>0.971937366713027</v>
      </c>
      <c r="Y114" s="23">
        <v>0.90571436398272598</v>
      </c>
      <c r="Z114" s="23">
        <v>0.95849376496744199</v>
      </c>
      <c r="AA114" s="23">
        <v>0.94608907854734303</v>
      </c>
      <c r="AB114" s="21">
        <v>586.08776493322205</v>
      </c>
      <c r="AC114" s="21">
        <v>618.25945172307695</v>
      </c>
      <c r="AD114" s="21">
        <v>610.35324048247003</v>
      </c>
      <c r="AE114" s="22">
        <v>-7.0567380054000206E-2</v>
      </c>
      <c r="AF114" s="22">
        <v>-1.7128733776754598E-2</v>
      </c>
      <c r="AG114" s="22">
        <v>-2.9999055605511599E-2</v>
      </c>
      <c r="AZ114" s="16"/>
      <c r="BB114">
        <f t="shared" si="26"/>
        <v>0</v>
      </c>
      <c r="BC114">
        <f t="shared" si="27"/>
        <v>0</v>
      </c>
      <c r="BD114">
        <f t="shared" si="28"/>
        <v>0</v>
      </c>
      <c r="BE114">
        <f t="shared" si="24"/>
        <v>1</v>
      </c>
      <c r="BF114">
        <f t="shared" si="29"/>
        <v>0</v>
      </c>
      <c r="BG114" s="16">
        <f t="shared" si="30"/>
        <v>0</v>
      </c>
      <c r="BH114" s="16">
        <f t="shared" si="31"/>
        <v>0</v>
      </c>
      <c r="BI114" s="16">
        <f t="shared" si="32"/>
        <v>0</v>
      </c>
      <c r="BJ114" s="10">
        <f t="shared" si="33"/>
        <v>4.1861007866058404E-2</v>
      </c>
      <c r="BL114" s="16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16">
        <f t="shared" si="38"/>
        <v>0</v>
      </c>
      <c r="BT114" s="16">
        <f t="shared" si="39"/>
        <v>0</v>
      </c>
      <c r="BU114" s="16">
        <f t="shared" si="40"/>
        <v>0</v>
      </c>
      <c r="BV114" s="10">
        <f t="shared" si="41"/>
        <v>0</v>
      </c>
      <c r="BX114" s="10">
        <f t="shared" si="42"/>
        <v>0</v>
      </c>
      <c r="BY114" s="10">
        <f t="shared" si="43"/>
        <v>4.1861007866058404E-2</v>
      </c>
    </row>
    <row r="115" spans="1:77" x14ac:dyDescent="0.3">
      <c r="A115" s="1">
        <v>46189</v>
      </c>
      <c r="B115" s="21">
        <v>616</v>
      </c>
      <c r="C115" s="21">
        <v>591.24</v>
      </c>
      <c r="D115" s="22">
        <v>-4.9253878529700701E-2</v>
      </c>
      <c r="E115" s="22">
        <v>-6.1034444026974402E-2</v>
      </c>
      <c r="F115" s="21">
        <v>0</v>
      </c>
      <c r="G115" s="21">
        <v>0</v>
      </c>
      <c r="H115" s="21">
        <v>0</v>
      </c>
      <c r="I115" s="21">
        <v>0.490669999999999</v>
      </c>
      <c r="J115" s="21">
        <v>0</v>
      </c>
      <c r="K115" s="21">
        <v>0.490669999999999</v>
      </c>
      <c r="L115" s="21">
        <v>616</v>
      </c>
      <c r="M115" s="21">
        <v>591.73067000000003</v>
      </c>
      <c r="N115" s="23">
        <v>0.959805194805194</v>
      </c>
      <c r="O115" s="23">
        <v>0.90525826694812095</v>
      </c>
      <c r="P115" s="23">
        <v>0.95839008343948595</v>
      </c>
      <c r="Q115" s="23">
        <v>0.94831136753451595</v>
      </c>
      <c r="R115" s="21">
        <v>557.63909244004299</v>
      </c>
      <c r="S115" s="21">
        <v>590.19500714190997</v>
      </c>
      <c r="T115" s="21">
        <v>582.56176168059403</v>
      </c>
      <c r="U115" s="22">
        <v>-5.8510060961846001E-2</v>
      </c>
      <c r="V115" s="22">
        <v>-1.7690234744920301E-3</v>
      </c>
      <c r="W115" s="22">
        <v>-1.4786817888441999E-2</v>
      </c>
      <c r="X115" s="23">
        <v>0.96060173701298701</v>
      </c>
      <c r="Y115" s="23">
        <v>0.90571436398272598</v>
      </c>
      <c r="Z115" s="23">
        <v>0.95882183319745795</v>
      </c>
      <c r="AA115" s="23">
        <v>0.94870409069460804</v>
      </c>
      <c r="AB115" s="21">
        <v>557.920048213359</v>
      </c>
      <c r="AC115" s="21">
        <v>590.43215921994397</v>
      </c>
      <c r="AD115" s="21">
        <v>582.79087238516297</v>
      </c>
      <c r="AE115" s="22">
        <v>-5.8835912695241799E-2</v>
      </c>
      <c r="AF115" s="22">
        <v>-2.1968400125410899E-3</v>
      </c>
      <c r="AG115" s="22">
        <v>-1.52231694993847E-2</v>
      </c>
      <c r="AZ115" s="16"/>
      <c r="BB115">
        <f t="shared" si="26"/>
        <v>0</v>
      </c>
      <c r="BC115">
        <f t="shared" si="27"/>
        <v>0</v>
      </c>
      <c r="BD115">
        <f t="shared" si="28"/>
        <v>0</v>
      </c>
      <c r="BE115">
        <f t="shared" si="24"/>
        <v>1</v>
      </c>
      <c r="BF115">
        <f t="shared" si="29"/>
        <v>0</v>
      </c>
      <c r="BG115" s="16">
        <f t="shared" si="30"/>
        <v>0</v>
      </c>
      <c r="BH115" s="16">
        <f t="shared" si="31"/>
        <v>0</v>
      </c>
      <c r="BI115" s="16">
        <f t="shared" si="32"/>
        <v>0</v>
      </c>
      <c r="BJ115" s="10">
        <f t="shared" si="33"/>
        <v>4.1861007866058404E-2</v>
      </c>
      <c r="BL115" s="16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16">
        <f t="shared" si="38"/>
        <v>0</v>
      </c>
      <c r="BT115" s="16">
        <f t="shared" si="39"/>
        <v>0</v>
      </c>
      <c r="BU115" s="16">
        <f t="shared" si="40"/>
        <v>0</v>
      </c>
      <c r="BV115" s="10">
        <f t="shared" si="41"/>
        <v>0</v>
      </c>
      <c r="BX115" s="10">
        <f t="shared" si="42"/>
        <v>0</v>
      </c>
      <c r="BY115" s="10">
        <f t="shared" si="43"/>
        <v>4.1861007866058404E-2</v>
      </c>
    </row>
    <row r="116" spans="1:77" x14ac:dyDescent="0.3">
      <c r="A116" s="1">
        <v>46190</v>
      </c>
      <c r="B116" s="21">
        <v>623.97</v>
      </c>
      <c r="C116" s="21">
        <v>599.73</v>
      </c>
      <c r="D116" s="22">
        <v>1.2855326757098599E-2</v>
      </c>
      <c r="E116" s="22">
        <v>1.4257527591889E-2</v>
      </c>
      <c r="F116" s="21">
        <v>0</v>
      </c>
      <c r="G116" s="21">
        <v>0</v>
      </c>
      <c r="H116" s="21">
        <v>0</v>
      </c>
      <c r="I116" s="21">
        <v>0.490669999999999</v>
      </c>
      <c r="J116" s="21">
        <v>0</v>
      </c>
      <c r="K116" s="21">
        <v>0.490669999999999</v>
      </c>
      <c r="L116" s="21">
        <v>623.97</v>
      </c>
      <c r="M116" s="21">
        <v>600.22067000000004</v>
      </c>
      <c r="N116" s="23">
        <v>0.96115197846050204</v>
      </c>
      <c r="O116" s="23">
        <v>0.90525826694812095</v>
      </c>
      <c r="P116" s="23">
        <v>0.95798858587873303</v>
      </c>
      <c r="Q116" s="23">
        <v>0.95070935913347299</v>
      </c>
      <c r="R116" s="21">
        <v>564.85400082761896</v>
      </c>
      <c r="S116" s="21">
        <v>598.00666036373605</v>
      </c>
      <c r="T116" s="21">
        <v>591.71784400051195</v>
      </c>
      <c r="U116" s="22">
        <v>-5.99122617966363E-2</v>
      </c>
      <c r="V116" s="22">
        <v>-2.8776623151526301E-3</v>
      </c>
      <c r="W116" s="22">
        <v>-1.34496475327219E-2</v>
      </c>
      <c r="X116" s="23">
        <v>0.96193834639485798</v>
      </c>
      <c r="Y116" s="23">
        <v>0.90571436398272598</v>
      </c>
      <c r="Z116" s="23">
        <v>0.958466374217254</v>
      </c>
      <c r="AA116" s="23">
        <v>0.951122286784849</v>
      </c>
      <c r="AB116" s="21">
        <v>565.138591694301</v>
      </c>
      <c r="AC116" s="21">
        <v>598.27605926021795</v>
      </c>
      <c r="AD116" s="21">
        <v>591.96289147071502</v>
      </c>
      <c r="AE116" s="22">
        <v>-6.0226374833072402E-2</v>
      </c>
      <c r="AF116" s="22">
        <v>-3.2450859460792401E-3</v>
      </c>
      <c r="AG116" s="22">
        <v>-1.3853421340938501E-2</v>
      </c>
      <c r="AZ116" s="16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16">
        <f t="shared" si="30"/>
        <v>0</v>
      </c>
      <c r="BH116" s="16">
        <f t="shared" si="31"/>
        <v>0</v>
      </c>
      <c r="BI116" s="16">
        <f t="shared" si="32"/>
        <v>0</v>
      </c>
      <c r="BJ116" s="10">
        <f t="shared" si="33"/>
        <v>4.1861007866058404E-2</v>
      </c>
      <c r="BL116" s="16"/>
      <c r="BN116">
        <f t="shared" si="34"/>
        <v>0</v>
      </c>
      <c r="BO116">
        <f t="shared" si="35"/>
        <v>1</v>
      </c>
      <c r="BP116">
        <f t="shared" si="36"/>
        <v>0</v>
      </c>
      <c r="BQ116">
        <f t="shared" si="25"/>
        <v>1</v>
      </c>
      <c r="BR116">
        <f t="shared" si="37"/>
        <v>0</v>
      </c>
      <c r="BS116" s="16">
        <f t="shared" si="38"/>
        <v>0</v>
      </c>
      <c r="BT116" s="16">
        <f t="shared" si="39"/>
        <v>0</v>
      </c>
      <c r="BU116" s="16">
        <f t="shared" si="40"/>
        <v>0</v>
      </c>
      <c r="BV116" s="10">
        <f t="shared" si="41"/>
        <v>0</v>
      </c>
      <c r="BX116" s="10">
        <f t="shared" si="42"/>
        <v>0</v>
      </c>
      <c r="BY116" s="10">
        <f t="shared" si="43"/>
        <v>4.1861007866058404E-2</v>
      </c>
    </row>
    <row r="117" spans="1:77" x14ac:dyDescent="0.3">
      <c r="A117" s="1">
        <v>46191</v>
      </c>
      <c r="B117" s="21">
        <v>659.88</v>
      </c>
      <c r="C117" s="21">
        <v>639.45000000000005</v>
      </c>
      <c r="D117" s="22">
        <v>5.5955710017105101E-2</v>
      </c>
      <c r="E117" s="22">
        <v>6.4128877943567794E-2</v>
      </c>
      <c r="F117" s="21">
        <v>0</v>
      </c>
      <c r="G117" s="21">
        <v>0</v>
      </c>
      <c r="H117" s="21">
        <v>0</v>
      </c>
      <c r="I117" s="21">
        <v>0.490669999999999</v>
      </c>
      <c r="J117" s="21">
        <v>0</v>
      </c>
      <c r="K117" s="21">
        <v>0.490669999999999</v>
      </c>
      <c r="L117" s="21">
        <v>659.88</v>
      </c>
      <c r="M117" s="21">
        <v>639.94066999999995</v>
      </c>
      <c r="N117" s="23">
        <v>0.96903982542280398</v>
      </c>
      <c r="O117" s="23">
        <v>0.90525826694812095</v>
      </c>
      <c r="P117" s="23">
        <v>0.95884616426503599</v>
      </c>
      <c r="Q117" s="23">
        <v>0.95308849240156701</v>
      </c>
      <c r="R117" s="21">
        <v>597.36182519372596</v>
      </c>
      <c r="S117" s="21">
        <v>632.15750804965796</v>
      </c>
      <c r="T117" s="21">
        <v>627.35409190499604</v>
      </c>
      <c r="U117" s="22">
        <v>-6.8085429723099194E-2</v>
      </c>
      <c r="V117" s="22">
        <v>-1.14698471854543E-2</v>
      </c>
      <c r="W117" s="22">
        <v>-1.9097310771585101E-2</v>
      </c>
      <c r="X117" s="23">
        <v>0.96978340001212304</v>
      </c>
      <c r="Y117" s="23">
        <v>0.90571436398272598</v>
      </c>
      <c r="Z117" s="23">
        <v>0.95936517316066805</v>
      </c>
      <c r="AA117" s="23">
        <v>0.953520185578003</v>
      </c>
      <c r="AB117" s="21">
        <v>597.66279450492095</v>
      </c>
      <c r="AC117" s="21">
        <v>632.47279101848096</v>
      </c>
      <c r="AD117" s="21">
        <v>627.62657460358605</v>
      </c>
      <c r="AE117" s="22">
        <v>-6.8348762813716907E-2</v>
      </c>
      <c r="AF117" s="22">
        <v>-1.17382674077473E-2</v>
      </c>
      <c r="AG117" s="22">
        <v>-1.9430105751136802E-2</v>
      </c>
      <c r="AZ117" s="16"/>
      <c r="BB117">
        <f t="shared" si="26"/>
        <v>0</v>
      </c>
      <c r="BC117">
        <f t="shared" si="27"/>
        <v>0</v>
      </c>
      <c r="BD117">
        <f t="shared" si="28"/>
        <v>0</v>
      </c>
      <c r="BE117">
        <f t="shared" si="24"/>
        <v>1</v>
      </c>
      <c r="BF117">
        <f t="shared" si="29"/>
        <v>0</v>
      </c>
      <c r="BG117" s="16">
        <f t="shared" si="30"/>
        <v>0</v>
      </c>
      <c r="BH117" s="16">
        <f t="shared" si="31"/>
        <v>0</v>
      </c>
      <c r="BI117" s="16">
        <f t="shared" si="32"/>
        <v>0</v>
      </c>
      <c r="BJ117" s="10">
        <f t="shared" si="33"/>
        <v>4.1861007866058404E-2</v>
      </c>
      <c r="BL117" s="16"/>
      <c r="BN117">
        <f t="shared" si="34"/>
        <v>0</v>
      </c>
      <c r="BO117">
        <f t="shared" si="35"/>
        <v>1</v>
      </c>
      <c r="BP117">
        <f t="shared" si="36"/>
        <v>0</v>
      </c>
      <c r="BQ117">
        <f t="shared" si="25"/>
        <v>1</v>
      </c>
      <c r="BR117">
        <f t="shared" si="37"/>
        <v>0</v>
      </c>
      <c r="BS117" s="16">
        <f t="shared" si="38"/>
        <v>0</v>
      </c>
      <c r="BT117" s="16">
        <f t="shared" si="39"/>
        <v>0</v>
      </c>
      <c r="BU117" s="16">
        <f t="shared" si="40"/>
        <v>0</v>
      </c>
      <c r="BV117" s="10">
        <f t="shared" si="41"/>
        <v>0</v>
      </c>
      <c r="BX117" s="10">
        <f t="shared" si="42"/>
        <v>0</v>
      </c>
      <c r="BY117" s="10">
        <f t="shared" si="43"/>
        <v>4.1861007866058404E-2</v>
      </c>
    </row>
    <row r="118" spans="1:77" x14ac:dyDescent="0.3">
      <c r="A118" s="1">
        <v>46195</v>
      </c>
      <c r="B118" s="21">
        <v>668.91</v>
      </c>
      <c r="C118" s="21">
        <v>655.01</v>
      </c>
      <c r="D118" s="22">
        <v>1.3591521622665101E-2</v>
      </c>
      <c r="E118" s="22">
        <v>2.40420708149531E-2</v>
      </c>
      <c r="F118" s="21">
        <v>0</v>
      </c>
      <c r="G118" s="21">
        <v>0</v>
      </c>
      <c r="H118" s="21">
        <v>0</v>
      </c>
      <c r="I118" s="21">
        <v>0.490669999999999</v>
      </c>
      <c r="J118" s="21">
        <v>0</v>
      </c>
      <c r="K118" s="21">
        <v>0.490669999999999</v>
      </c>
      <c r="L118" s="21">
        <v>668.91</v>
      </c>
      <c r="M118" s="21">
        <v>655.50067000000001</v>
      </c>
      <c r="N118" s="23">
        <v>0.97921992495253396</v>
      </c>
      <c r="O118" s="23">
        <v>0.90525826694812095</v>
      </c>
      <c r="P118" s="23">
        <v>0.96202013590684299</v>
      </c>
      <c r="Q118" s="23">
        <v>0.95585046772928095</v>
      </c>
      <c r="R118" s="21">
        <v>605.53630734426804</v>
      </c>
      <c r="S118" s="21">
        <v>641.38178773852496</v>
      </c>
      <c r="T118" s="21">
        <v>637.530423452332</v>
      </c>
      <c r="U118" s="22">
        <v>-7.8535978915387106E-2</v>
      </c>
      <c r="V118" s="22">
        <v>-2.1025610383845698E-2</v>
      </c>
      <c r="W118" s="22">
        <v>-2.70485037379277E-2</v>
      </c>
      <c r="X118" s="23">
        <v>0.97995346160171004</v>
      </c>
      <c r="Y118" s="23">
        <v>0.90571436398272598</v>
      </c>
      <c r="Z118" s="23">
        <v>0.96257599721232401</v>
      </c>
      <c r="AA118" s="23">
        <v>0.95630052894054296</v>
      </c>
      <c r="AB118" s="21">
        <v>605.84139521168504</v>
      </c>
      <c r="AC118" s="21">
        <v>641.72895797890203</v>
      </c>
      <c r="AD118" s="21">
        <v>637.81918733498196</v>
      </c>
      <c r="AE118" s="22">
        <v>-7.8781097583285206E-2</v>
      </c>
      <c r="AF118" s="22">
        <v>-2.1233294611960201E-2</v>
      </c>
      <c r="AG118" s="22">
        <v>-2.73444875769315E-2</v>
      </c>
      <c r="AZ118" s="16"/>
      <c r="BB118">
        <f t="shared" si="26"/>
        <v>0</v>
      </c>
      <c r="BC118">
        <f t="shared" si="27"/>
        <v>0</v>
      </c>
      <c r="BD118">
        <f t="shared" si="28"/>
        <v>0</v>
      </c>
      <c r="BE118">
        <f t="shared" si="24"/>
        <v>1</v>
      </c>
      <c r="BF118">
        <f t="shared" si="29"/>
        <v>0</v>
      </c>
      <c r="BG118" s="16">
        <f t="shared" si="30"/>
        <v>0</v>
      </c>
      <c r="BH118" s="16">
        <f t="shared" si="31"/>
        <v>0</v>
      </c>
      <c r="BI118" s="16">
        <f t="shared" si="32"/>
        <v>0</v>
      </c>
      <c r="BJ118" s="10">
        <f t="shared" si="33"/>
        <v>4.1861007866058404E-2</v>
      </c>
      <c r="BL118" s="16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16">
        <f t="shared" si="38"/>
        <v>0</v>
      </c>
      <c r="BT118" s="16">
        <f t="shared" si="39"/>
        <v>0</v>
      </c>
      <c r="BU118" s="16">
        <f t="shared" si="40"/>
        <v>0</v>
      </c>
      <c r="BV118" s="10">
        <f t="shared" si="41"/>
        <v>0</v>
      </c>
      <c r="BX118" s="10">
        <f t="shared" si="42"/>
        <v>0</v>
      </c>
      <c r="BY118" s="10">
        <f t="shared" si="43"/>
        <v>4.1861007866058404E-2</v>
      </c>
    </row>
    <row r="119" spans="1:77" x14ac:dyDescent="0.3">
      <c r="A119" s="1">
        <v>46196</v>
      </c>
      <c r="B119" s="21">
        <v>622.04999999999995</v>
      </c>
      <c r="C119" s="21">
        <v>603.39</v>
      </c>
      <c r="D119" s="22">
        <v>-7.2629046569888903E-2</v>
      </c>
      <c r="E119" s="22">
        <v>-8.2086748861043002E-2</v>
      </c>
      <c r="F119" s="21">
        <v>0</v>
      </c>
      <c r="G119" s="21">
        <v>0</v>
      </c>
      <c r="H119" s="21">
        <v>0</v>
      </c>
      <c r="I119" s="21">
        <v>0.490669999999999</v>
      </c>
      <c r="J119" s="21">
        <v>0</v>
      </c>
      <c r="K119" s="21">
        <v>0.490669999999999</v>
      </c>
      <c r="L119" s="21">
        <v>622.04999999999995</v>
      </c>
      <c r="M119" s="21">
        <v>603.88067000000001</v>
      </c>
      <c r="N119" s="23">
        <v>0.97000241138172105</v>
      </c>
      <c r="O119" s="23">
        <v>0.90525826694812095</v>
      </c>
      <c r="P119" s="23">
        <v>0.96348573748369404</v>
      </c>
      <c r="Q119" s="23">
        <v>0.95773325764872796</v>
      </c>
      <c r="R119" s="21">
        <v>563.11590495507903</v>
      </c>
      <c r="S119" s="21">
        <v>598.42462554085205</v>
      </c>
      <c r="T119" s="21">
        <v>594.58678345099895</v>
      </c>
      <c r="U119" s="22">
        <v>-6.9078276624233201E-2</v>
      </c>
      <c r="V119" s="22">
        <v>-8.2631757121310202E-3</v>
      </c>
      <c r="W119" s="22">
        <v>-1.46970711466197E-2</v>
      </c>
      <c r="X119" s="23">
        <v>0.970791206494654</v>
      </c>
      <c r="Y119" s="23">
        <v>0.90571436398272598</v>
      </c>
      <c r="Z119" s="23">
        <v>0.96408571435770996</v>
      </c>
      <c r="AA119" s="23">
        <v>0.95820471794378703</v>
      </c>
      <c r="AB119" s="21">
        <v>563.39962011545401</v>
      </c>
      <c r="AC119" s="21">
        <v>598.77039906592597</v>
      </c>
      <c r="AD119" s="21">
        <v>594.86674402746405</v>
      </c>
      <c r="AE119" s="22">
        <v>-6.9387431020295195E-2</v>
      </c>
      <c r="AF119" s="22">
        <v>-8.4983946249247502E-3</v>
      </c>
      <c r="AG119" s="22">
        <v>-1.5039191345648399E-2</v>
      </c>
      <c r="AZ119" s="16"/>
      <c r="BB119">
        <f t="shared" si="26"/>
        <v>0</v>
      </c>
      <c r="BC119">
        <f t="shared" si="27"/>
        <v>0</v>
      </c>
      <c r="BD119">
        <f t="shared" si="28"/>
        <v>0</v>
      </c>
      <c r="BE119">
        <f t="shared" si="24"/>
        <v>1</v>
      </c>
      <c r="BF119">
        <f t="shared" si="29"/>
        <v>0</v>
      </c>
      <c r="BG119" s="16">
        <f t="shared" si="30"/>
        <v>0</v>
      </c>
      <c r="BH119" s="16">
        <f t="shared" si="31"/>
        <v>0</v>
      </c>
      <c r="BI119" s="16">
        <f t="shared" si="32"/>
        <v>0</v>
      </c>
      <c r="BJ119" s="10">
        <f t="shared" si="33"/>
        <v>4.1861007866058404E-2</v>
      </c>
      <c r="BL119" s="16"/>
      <c r="BN119">
        <f t="shared" si="34"/>
        <v>0</v>
      </c>
      <c r="BO119">
        <f t="shared" si="35"/>
        <v>1</v>
      </c>
      <c r="BP119">
        <f t="shared" si="36"/>
        <v>0</v>
      </c>
      <c r="BQ119">
        <f t="shared" si="25"/>
        <v>1</v>
      </c>
      <c r="BR119">
        <f t="shared" si="37"/>
        <v>0</v>
      </c>
      <c r="BS119" s="16">
        <f t="shared" si="38"/>
        <v>0</v>
      </c>
      <c r="BT119" s="16">
        <f t="shared" si="39"/>
        <v>0</v>
      </c>
      <c r="BU119" s="16">
        <f t="shared" si="40"/>
        <v>0</v>
      </c>
      <c r="BV119" s="10">
        <f t="shared" si="41"/>
        <v>0</v>
      </c>
      <c r="BX119" s="10">
        <f t="shared" si="42"/>
        <v>0</v>
      </c>
      <c r="BY119" s="10">
        <f t="shared" si="43"/>
        <v>4.1861007866058404E-2</v>
      </c>
    </row>
    <row r="120" spans="1:77" x14ac:dyDescent="0.3">
      <c r="A120" s="1">
        <v>46197</v>
      </c>
      <c r="B120" s="21">
        <v>618.91999999999996</v>
      </c>
      <c r="C120" s="21">
        <v>601.5</v>
      </c>
      <c r="D120" s="22">
        <v>-5.0444517390281296E-3</v>
      </c>
      <c r="E120" s="22">
        <v>-3.1372184185057099E-3</v>
      </c>
      <c r="F120" s="21">
        <v>0</v>
      </c>
      <c r="G120" s="21">
        <v>0</v>
      </c>
      <c r="H120" s="21">
        <v>0</v>
      </c>
      <c r="I120" s="21">
        <v>0.490669999999999</v>
      </c>
      <c r="J120" s="21">
        <v>0</v>
      </c>
      <c r="K120" s="21">
        <v>0.490669999999999</v>
      </c>
      <c r="L120" s="21">
        <v>618.91999999999996</v>
      </c>
      <c r="M120" s="21">
        <v>601.99067000000002</v>
      </c>
      <c r="N120" s="23">
        <v>0.97185419763458902</v>
      </c>
      <c r="O120" s="23">
        <v>0.90525826694812095</v>
      </c>
      <c r="P120" s="23">
        <v>0.96555601537138103</v>
      </c>
      <c r="Q120" s="23">
        <v>0.95898730874678595</v>
      </c>
      <c r="R120" s="21">
        <v>560.28244657953098</v>
      </c>
      <c r="S120" s="21">
        <v>596.32059264340796</v>
      </c>
      <c r="T120" s="21">
        <v>592.76026782395104</v>
      </c>
      <c r="U120" s="22">
        <v>-7.0985509944755595E-2</v>
      </c>
      <c r="V120" s="22">
        <v>-8.6481058497469704E-3</v>
      </c>
      <c r="W120" s="22">
        <v>-1.46364882675812E-2</v>
      </c>
      <c r="X120" s="23">
        <v>0.97264698183933296</v>
      </c>
      <c r="Y120" s="23">
        <v>0.90571436398272598</v>
      </c>
      <c r="Z120" s="23">
        <v>0.96620008615122699</v>
      </c>
      <c r="AA120" s="23">
        <v>0.95948114117133698</v>
      </c>
      <c r="AB120" s="21">
        <v>560.56473415618802</v>
      </c>
      <c r="AC120" s="21">
        <v>596.69193033027398</v>
      </c>
      <c r="AD120" s="21">
        <v>593.05206402976899</v>
      </c>
      <c r="AE120" s="22">
        <v>-7.1297217418301403E-2</v>
      </c>
      <c r="AF120" s="22">
        <v>-8.8409962438728996E-3</v>
      </c>
      <c r="AG120" s="22">
        <v>-1.4959754016792301E-2</v>
      </c>
      <c r="AZ120" s="16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16">
        <f t="shared" si="30"/>
        <v>0</v>
      </c>
      <c r="BH120" s="16">
        <f t="shared" si="31"/>
        <v>0</v>
      </c>
      <c r="BI120" s="16">
        <f t="shared" si="32"/>
        <v>0</v>
      </c>
      <c r="BJ120" s="10">
        <f t="shared" si="33"/>
        <v>4.1861007866058404E-2</v>
      </c>
      <c r="BL120" s="16"/>
      <c r="BN120">
        <f t="shared" si="34"/>
        <v>0</v>
      </c>
      <c r="BO120">
        <f t="shared" si="35"/>
        <v>1</v>
      </c>
      <c r="BP120">
        <f t="shared" si="36"/>
        <v>0</v>
      </c>
      <c r="BQ120">
        <f t="shared" si="25"/>
        <v>1</v>
      </c>
      <c r="BR120">
        <f t="shared" si="37"/>
        <v>0</v>
      </c>
      <c r="BS120" s="16">
        <f t="shared" si="38"/>
        <v>0</v>
      </c>
      <c r="BT120" s="16">
        <f t="shared" si="39"/>
        <v>0</v>
      </c>
      <c r="BU120" s="16">
        <f t="shared" si="40"/>
        <v>0</v>
      </c>
      <c r="BV120" s="10">
        <f t="shared" si="41"/>
        <v>0</v>
      </c>
      <c r="BX120" s="10">
        <f t="shared" si="42"/>
        <v>0</v>
      </c>
      <c r="BY120" s="10">
        <f t="shared" si="43"/>
        <v>4.1861007866058404E-2</v>
      </c>
    </row>
    <row r="121" spans="1:77" x14ac:dyDescent="0.3">
      <c r="A121" s="1">
        <v>46198</v>
      </c>
      <c r="B121" s="21">
        <v>636.88</v>
      </c>
      <c r="C121" s="21">
        <v>625.20000000000005</v>
      </c>
      <c r="D121" s="22">
        <v>2.86052311588509E-2</v>
      </c>
      <c r="E121" s="22">
        <v>3.8645063132587899E-2</v>
      </c>
      <c r="F121" s="21">
        <v>0</v>
      </c>
      <c r="G121" s="21">
        <v>0</v>
      </c>
      <c r="H121" s="21">
        <v>0</v>
      </c>
      <c r="I121" s="21">
        <v>0.490669999999999</v>
      </c>
      <c r="J121" s="21">
        <v>0</v>
      </c>
      <c r="K121" s="21">
        <v>0.490669999999999</v>
      </c>
      <c r="L121" s="21">
        <v>636.88</v>
      </c>
      <c r="M121" s="21">
        <v>625.69066999999995</v>
      </c>
      <c r="N121" s="23">
        <v>0.98166059540258699</v>
      </c>
      <c r="O121" s="23">
        <v>0.90525826694812095</v>
      </c>
      <c r="P121" s="23">
        <v>0.96887174824018596</v>
      </c>
      <c r="Q121" s="23">
        <v>0.960716854050081</v>
      </c>
      <c r="R121" s="21">
        <v>576.54088505391906</v>
      </c>
      <c r="S121" s="21">
        <v>614.94331506972503</v>
      </c>
      <c r="T121" s="21">
        <v>610.75983719465296</v>
      </c>
      <c r="U121" s="22">
        <v>-8.1025341918492602E-2</v>
      </c>
      <c r="V121" s="22">
        <v>-1.6541505607108702E-2</v>
      </c>
      <c r="W121" s="22">
        <v>-2.33677817939471E-2</v>
      </c>
      <c r="X121" s="23">
        <v>0.98243102311267405</v>
      </c>
      <c r="Y121" s="23">
        <v>0.90571436398272598</v>
      </c>
      <c r="Z121" s="23">
        <v>0.96955643853693696</v>
      </c>
      <c r="AA121" s="23">
        <v>0.96123174824636604</v>
      </c>
      <c r="AB121" s="21">
        <v>576.83136413331795</v>
      </c>
      <c r="AC121" s="21">
        <v>615.35351086799301</v>
      </c>
      <c r="AD121" s="21">
        <v>611.07434918920103</v>
      </c>
      <c r="AE121" s="22">
        <v>-8.1306151003398996E-2</v>
      </c>
      <c r="AF121" s="22">
        <v>-1.6659194510305699E-2</v>
      </c>
      <c r="AG121" s="22">
        <v>-2.3637475391108699E-2</v>
      </c>
      <c r="AZ121" s="16"/>
      <c r="BB121">
        <f t="shared" si="26"/>
        <v>0</v>
      </c>
      <c r="BC121">
        <f t="shared" si="27"/>
        <v>0</v>
      </c>
      <c r="BD121">
        <f t="shared" si="28"/>
        <v>0</v>
      </c>
      <c r="BE121">
        <f t="shared" si="24"/>
        <v>1</v>
      </c>
      <c r="BF121">
        <f t="shared" si="29"/>
        <v>0</v>
      </c>
      <c r="BG121" s="16">
        <f t="shared" si="30"/>
        <v>0</v>
      </c>
      <c r="BH121" s="16">
        <f t="shared" si="31"/>
        <v>0</v>
      </c>
      <c r="BI121" s="16">
        <f t="shared" si="32"/>
        <v>0</v>
      </c>
      <c r="BJ121" s="10">
        <f t="shared" si="33"/>
        <v>4.1861007866058404E-2</v>
      </c>
      <c r="BL121" s="16"/>
      <c r="BN121">
        <f t="shared" si="34"/>
        <v>0</v>
      </c>
      <c r="BO121">
        <f t="shared" si="35"/>
        <v>1</v>
      </c>
      <c r="BP121">
        <f t="shared" si="36"/>
        <v>0</v>
      </c>
      <c r="BQ121">
        <f t="shared" si="25"/>
        <v>1</v>
      </c>
      <c r="BR121">
        <f t="shared" si="37"/>
        <v>0</v>
      </c>
      <c r="BS121" s="16">
        <f t="shared" si="38"/>
        <v>0</v>
      </c>
      <c r="BT121" s="16">
        <f t="shared" si="39"/>
        <v>0</v>
      </c>
      <c r="BU121" s="16">
        <f t="shared" si="40"/>
        <v>0</v>
      </c>
      <c r="BV121" s="10">
        <f t="shared" si="41"/>
        <v>0</v>
      </c>
      <c r="BX121" s="10">
        <f t="shared" si="42"/>
        <v>0</v>
      </c>
      <c r="BY121" s="10">
        <f t="shared" si="43"/>
        <v>4.1861007866058404E-2</v>
      </c>
    </row>
    <row r="122" spans="1:77" x14ac:dyDescent="0.3">
      <c r="A122" s="1">
        <v>46199</v>
      </c>
      <c r="B122" s="21">
        <v>611.61</v>
      </c>
      <c r="C122" s="21">
        <v>589.94000000000005</v>
      </c>
      <c r="D122" s="22">
        <v>-4.0486430303165399E-2</v>
      </c>
      <c r="E122" s="22">
        <v>-5.8050761734089101E-2</v>
      </c>
      <c r="F122" s="21">
        <v>0</v>
      </c>
      <c r="G122" s="21">
        <v>0</v>
      </c>
      <c r="H122" s="21">
        <v>0</v>
      </c>
      <c r="I122" s="21">
        <v>0.490669999999999</v>
      </c>
      <c r="J122" s="21">
        <v>0</v>
      </c>
      <c r="K122" s="21">
        <v>0.490669999999999</v>
      </c>
      <c r="L122" s="21">
        <v>611.61</v>
      </c>
      <c r="M122" s="21">
        <v>590.43066999999996</v>
      </c>
      <c r="N122" s="23">
        <v>0.96456892464152</v>
      </c>
      <c r="O122" s="23">
        <v>0.90525826694812095</v>
      </c>
      <c r="P122" s="23">
        <v>0.96902377566208597</v>
      </c>
      <c r="Q122" s="23">
        <v>0.96147601731865096</v>
      </c>
      <c r="R122" s="21">
        <v>553.66500864813997</v>
      </c>
      <c r="S122" s="21">
        <v>592.57164994118</v>
      </c>
      <c r="T122" s="21">
        <v>587.58403510557002</v>
      </c>
      <c r="U122" s="22">
        <v>-6.34610104875689E-2</v>
      </c>
      <c r="V122" s="22">
        <v>4.4509570556001297E-3</v>
      </c>
      <c r="W122" s="22">
        <v>-4.0015625463794696E-3</v>
      </c>
      <c r="X122" s="23">
        <v>0.965371184251402</v>
      </c>
      <c r="Y122" s="23">
        <v>0.90571436398272598</v>
      </c>
      <c r="Z122" s="23">
        <v>0.96975457197561399</v>
      </c>
      <c r="AA122" s="23">
        <v>0.96201369091758304</v>
      </c>
      <c r="AB122" s="21">
        <v>553.94396215547499</v>
      </c>
      <c r="AC122" s="21">
        <v>592.99041337357596</v>
      </c>
      <c r="AD122" s="21">
        <v>587.89894954496003</v>
      </c>
      <c r="AE122" s="22">
        <v>-6.3788689481765207E-2</v>
      </c>
      <c r="AF122" s="22">
        <v>4.3260127803033902E-3</v>
      </c>
      <c r="AG122" s="22">
        <v>-4.2971411544253796E-3</v>
      </c>
      <c r="AZ122" s="16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16">
        <f t="shared" si="30"/>
        <v>0</v>
      </c>
      <c r="BH122" s="16">
        <f t="shared" si="31"/>
        <v>0</v>
      </c>
      <c r="BI122" s="16">
        <f t="shared" si="32"/>
        <v>0</v>
      </c>
      <c r="BJ122" s="10">
        <f t="shared" si="33"/>
        <v>4.1861007866058404E-2</v>
      </c>
      <c r="BL122" s="16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16">
        <f t="shared" si="38"/>
        <v>0</v>
      </c>
      <c r="BT122" s="16">
        <f t="shared" si="39"/>
        <v>0</v>
      </c>
      <c r="BU122" s="16">
        <f t="shared" si="40"/>
        <v>0</v>
      </c>
      <c r="BV122" s="10">
        <f t="shared" si="41"/>
        <v>0</v>
      </c>
      <c r="BX122" s="10">
        <f t="shared" si="42"/>
        <v>0</v>
      </c>
      <c r="BY122" s="10">
        <f t="shared" si="43"/>
        <v>4.1861007866058404E-2</v>
      </c>
    </row>
    <row r="123" spans="1:77" x14ac:dyDescent="0.3">
      <c r="A123" s="1">
        <v>46202</v>
      </c>
      <c r="B123" s="21">
        <v>631.98</v>
      </c>
      <c r="C123" s="21">
        <v>614.35</v>
      </c>
      <c r="D123" s="22">
        <v>3.27629235993483E-2</v>
      </c>
      <c r="E123" s="22">
        <v>4.0543961500347801E-2</v>
      </c>
      <c r="F123" s="21">
        <v>0</v>
      </c>
      <c r="G123" s="21">
        <v>0</v>
      </c>
      <c r="H123" s="21">
        <v>0</v>
      </c>
      <c r="I123" s="21">
        <v>0.490669999999999</v>
      </c>
      <c r="J123" s="21">
        <v>0</v>
      </c>
      <c r="K123" s="21">
        <v>0.490669999999999</v>
      </c>
      <c r="L123" s="21">
        <v>631.98</v>
      </c>
      <c r="M123" s="21">
        <v>614.84067000000005</v>
      </c>
      <c r="N123" s="23">
        <v>0.97210354758061901</v>
      </c>
      <c r="O123" s="23">
        <v>0.90525826694812095</v>
      </c>
      <c r="P123" s="23">
        <v>0.97005857070661805</v>
      </c>
      <c r="Q123" s="23">
        <v>0.96257313866442196</v>
      </c>
      <c r="R123" s="21">
        <v>572.105119545874</v>
      </c>
      <c r="S123" s="21">
        <v>612.40364574292505</v>
      </c>
      <c r="T123" s="21">
        <v>607.63361342504095</v>
      </c>
      <c r="U123" s="22">
        <v>-7.1242048388568402E-2</v>
      </c>
      <c r="V123" s="22">
        <v>-3.1731813424720002E-3</v>
      </c>
      <c r="W123" s="22">
        <v>-1.09927074877812E-2</v>
      </c>
      <c r="X123" s="23">
        <v>0.97287994873255401</v>
      </c>
      <c r="Y123" s="23">
        <v>0.90571436398272598</v>
      </c>
      <c r="Z123" s="23">
        <v>0.97083346561653205</v>
      </c>
      <c r="AA123" s="23">
        <v>0.96313227269628698</v>
      </c>
      <c r="AB123" s="21">
        <v>572.39336374980303</v>
      </c>
      <c r="AC123" s="21">
        <v>612.86549439714895</v>
      </c>
      <c r="AD123" s="21">
        <v>607.97341238609397</v>
      </c>
      <c r="AE123" s="22">
        <v>-7.1536707183952594E-2</v>
      </c>
      <c r="AF123" s="22">
        <v>-3.2176710751800099E-3</v>
      </c>
      <c r="AG123" s="22">
        <v>-1.12320096886704E-2</v>
      </c>
      <c r="AZ123" s="16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16">
        <f t="shared" si="30"/>
        <v>0</v>
      </c>
      <c r="BH123" s="16">
        <f t="shared" si="31"/>
        <v>0</v>
      </c>
      <c r="BI123" s="16">
        <f t="shared" si="32"/>
        <v>0</v>
      </c>
      <c r="BJ123" s="10">
        <f t="shared" si="33"/>
        <v>4.1861007866058404E-2</v>
      </c>
      <c r="BL123" s="16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16">
        <f t="shared" si="38"/>
        <v>0</v>
      </c>
      <c r="BT123" s="16">
        <f t="shared" si="39"/>
        <v>0</v>
      </c>
      <c r="BU123" s="16">
        <f t="shared" si="40"/>
        <v>0</v>
      </c>
      <c r="BV123" s="10">
        <f t="shared" si="41"/>
        <v>0</v>
      </c>
      <c r="BX123" s="10">
        <f t="shared" si="42"/>
        <v>0</v>
      </c>
      <c r="BY123" s="10">
        <f t="shared" si="43"/>
        <v>4.1861007866058404E-2</v>
      </c>
    </row>
    <row r="124" spans="1:77" x14ac:dyDescent="0.3">
      <c r="A124" s="1">
        <v>46203</v>
      </c>
      <c r="B124" s="21">
        <v>655.89</v>
      </c>
      <c r="C124" s="21">
        <v>640.76</v>
      </c>
      <c r="D124" s="22">
        <v>3.71353438804004E-2</v>
      </c>
      <c r="E124" s="22">
        <v>4.2090173519702498E-2</v>
      </c>
      <c r="F124" s="21">
        <v>0</v>
      </c>
      <c r="G124" s="21">
        <v>0</v>
      </c>
      <c r="H124" s="21">
        <v>0</v>
      </c>
      <c r="I124" s="21">
        <v>0.490669999999999</v>
      </c>
      <c r="J124" s="21">
        <v>0</v>
      </c>
      <c r="K124" s="21">
        <v>0.490669999999999</v>
      </c>
      <c r="L124" s="21">
        <v>655.89</v>
      </c>
      <c r="M124" s="21">
        <v>641.25067000000001</v>
      </c>
      <c r="N124" s="23">
        <v>0.97693210751802895</v>
      </c>
      <c r="O124" s="23">
        <v>0.90525826694812095</v>
      </c>
      <c r="P124" s="23">
        <v>0.97063387078000996</v>
      </c>
      <c r="Q124" s="23">
        <v>0.96437132430389305</v>
      </c>
      <c r="R124" s="21">
        <v>593.74984470860295</v>
      </c>
      <c r="S124" s="21">
        <v>636.25171594076403</v>
      </c>
      <c r="T124" s="21">
        <v>631.34209591860804</v>
      </c>
      <c r="U124" s="22">
        <v>-7.6196878027870493E-2</v>
      </c>
      <c r="V124" s="22">
        <v>-7.0607070122431703E-3</v>
      </c>
      <c r="W124" s="22">
        <v>-1.4807107360756201E-2</v>
      </c>
      <c r="X124" s="23">
        <v>0.97768020552226698</v>
      </c>
      <c r="Y124" s="23">
        <v>0.90571436398272598</v>
      </c>
      <c r="Z124" s="23">
        <v>0.97140774949745601</v>
      </c>
      <c r="AA124" s="23">
        <v>0.96495075723244905</v>
      </c>
      <c r="AB124" s="21">
        <v>594.04899419262995</v>
      </c>
      <c r="AC124" s="21">
        <v>636.75996176322701</v>
      </c>
      <c r="AD124" s="21">
        <v>631.70882633876795</v>
      </c>
      <c r="AE124" s="22">
        <v>-7.6458643551758507E-2</v>
      </c>
      <c r="AF124" s="22">
        <v>-7.0276828807627999E-3</v>
      </c>
      <c r="AG124" s="22">
        <v>-1.49918711533514E-2</v>
      </c>
      <c r="AZ124" s="16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1</v>
      </c>
      <c r="BF124">
        <f t="shared" si="29"/>
        <v>0</v>
      </c>
      <c r="BG124" s="16">
        <f t="shared" si="30"/>
        <v>0</v>
      </c>
      <c r="BH124" s="16">
        <f t="shared" si="31"/>
        <v>0</v>
      </c>
      <c r="BI124" s="16">
        <f t="shared" si="32"/>
        <v>0</v>
      </c>
      <c r="BJ124" s="10">
        <f t="shared" si="33"/>
        <v>4.1861007866058404E-2</v>
      </c>
      <c r="BL124" s="16"/>
      <c r="BN124">
        <f t="shared" si="34"/>
        <v>0</v>
      </c>
      <c r="BO124">
        <f t="shared" si="35"/>
        <v>1</v>
      </c>
      <c r="BP124">
        <f t="shared" si="36"/>
        <v>0</v>
      </c>
      <c r="BQ124">
        <f t="shared" si="25"/>
        <v>1</v>
      </c>
      <c r="BR124">
        <f t="shared" si="37"/>
        <v>0</v>
      </c>
      <c r="BS124" s="16">
        <f t="shared" si="38"/>
        <v>0</v>
      </c>
      <c r="BT124" s="16">
        <f t="shared" si="39"/>
        <v>0</v>
      </c>
      <c r="BU124" s="16">
        <f t="shared" si="40"/>
        <v>0</v>
      </c>
      <c r="BV124" s="10">
        <f t="shared" si="41"/>
        <v>0</v>
      </c>
      <c r="BX124" s="10">
        <f t="shared" si="42"/>
        <v>0</v>
      </c>
      <c r="BY124" s="10">
        <f t="shared" si="43"/>
        <v>4.1861007866058404E-2</v>
      </c>
    </row>
    <row r="125" spans="1:77" x14ac:dyDescent="0.3">
      <c r="A125" s="1">
        <v>46204</v>
      </c>
      <c r="B125" s="21">
        <v>620.46</v>
      </c>
      <c r="C125" s="21">
        <v>599.70000000000005</v>
      </c>
      <c r="D125" s="22">
        <v>-5.5531953531967097E-2</v>
      </c>
      <c r="E125" s="22">
        <v>-6.6225441658818496E-2</v>
      </c>
      <c r="F125" s="21">
        <v>0</v>
      </c>
      <c r="G125" s="21">
        <v>0</v>
      </c>
      <c r="H125" s="21">
        <v>0</v>
      </c>
      <c r="I125" s="21">
        <v>0.490669999999999</v>
      </c>
      <c r="J125" s="21">
        <v>0</v>
      </c>
      <c r="K125" s="21">
        <v>0.490669999999999</v>
      </c>
      <c r="L125" s="21">
        <v>620.46</v>
      </c>
      <c r="M125" s="21">
        <v>600.19066999999995</v>
      </c>
      <c r="N125" s="23">
        <v>0.96654095348612301</v>
      </c>
      <c r="O125" s="23">
        <v>0.90525826694812095</v>
      </c>
      <c r="P125" s="23">
        <v>0.97130744664810298</v>
      </c>
      <c r="Q125" s="23">
        <v>0.96484876504379402</v>
      </c>
      <c r="R125" s="21">
        <v>561.67654431063102</v>
      </c>
      <c r="S125" s="21">
        <v>602.23949146416498</v>
      </c>
      <c r="T125" s="21">
        <v>598.35383187759305</v>
      </c>
      <c r="U125" s="22">
        <v>-6.5503389901019199E-2</v>
      </c>
      <c r="V125" s="22">
        <v>4.2256623748687799E-3</v>
      </c>
      <c r="W125" s="22">
        <v>-2.2472591015857001E-3</v>
      </c>
      <c r="X125" s="23">
        <v>0.96733176997711301</v>
      </c>
      <c r="Y125" s="23">
        <v>0.90571436398272598</v>
      </c>
      <c r="Z125" s="23">
        <v>0.97208075279386896</v>
      </c>
      <c r="AA125" s="23">
        <v>0.96545129299566301</v>
      </c>
      <c r="AB125" s="21">
        <v>561.95953427672202</v>
      </c>
      <c r="AC125" s="21">
        <v>602.71965225319195</v>
      </c>
      <c r="AD125" s="21">
        <v>598.71334683244504</v>
      </c>
      <c r="AE125" s="22">
        <v>-6.5817543832035405E-2</v>
      </c>
      <c r="AF125" s="22">
        <v>4.2047789140630797E-3</v>
      </c>
      <c r="AG125" s="22">
        <v>-2.4644573619390601E-3</v>
      </c>
      <c r="AZ125" s="16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16">
        <f t="shared" si="30"/>
        <v>0</v>
      </c>
      <c r="BH125" s="16">
        <f t="shared" si="31"/>
        <v>0</v>
      </c>
      <c r="BI125" s="16">
        <f t="shared" si="32"/>
        <v>0</v>
      </c>
      <c r="BJ125" s="10">
        <f t="shared" si="33"/>
        <v>4.1861007866058404E-2</v>
      </c>
      <c r="BL125" s="16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16">
        <f t="shared" si="38"/>
        <v>0</v>
      </c>
      <c r="BT125" s="16">
        <f t="shared" si="39"/>
        <v>0</v>
      </c>
      <c r="BU125" s="16">
        <f t="shared" si="40"/>
        <v>0</v>
      </c>
      <c r="BV125" s="10">
        <f t="shared" si="41"/>
        <v>0</v>
      </c>
      <c r="BX125" s="10">
        <f t="shared" si="42"/>
        <v>0</v>
      </c>
      <c r="BY125" s="10">
        <f t="shared" si="43"/>
        <v>4.1861007866058404E-2</v>
      </c>
    </row>
    <row r="126" spans="1:77" x14ac:dyDescent="0.3">
      <c r="A126" s="1">
        <v>46205</v>
      </c>
      <c r="B126" s="21">
        <v>592.29</v>
      </c>
      <c r="C126" s="21">
        <v>566.32000000000005</v>
      </c>
      <c r="D126" s="22">
        <v>-4.6464758620691597E-2</v>
      </c>
      <c r="E126" s="22">
        <v>-5.72702407085302E-2</v>
      </c>
      <c r="F126" s="21">
        <v>0</v>
      </c>
      <c r="G126" s="21">
        <v>0</v>
      </c>
      <c r="H126" s="21">
        <v>0</v>
      </c>
      <c r="I126" s="21">
        <v>0.490669999999999</v>
      </c>
      <c r="J126" s="21">
        <v>0</v>
      </c>
      <c r="K126" s="21">
        <v>0.490669999999999</v>
      </c>
      <c r="L126" s="21">
        <v>592.29</v>
      </c>
      <c r="M126" s="21">
        <v>566.81066999999996</v>
      </c>
      <c r="N126" s="23">
        <v>0.95615323574600297</v>
      </c>
      <c r="O126" s="23">
        <v>0.90525826694812095</v>
      </c>
      <c r="P126" s="23">
        <v>0.97080757237665305</v>
      </c>
      <c r="Q126" s="23">
        <v>0.96439807912769304</v>
      </c>
      <c r="R126" s="21">
        <v>536.17541893070302</v>
      </c>
      <c r="S126" s="21">
        <v>575.29568757520497</v>
      </c>
      <c r="T126" s="21">
        <v>571.47027504778896</v>
      </c>
      <c r="U126" s="22">
        <v>-5.4697907813180499E-2</v>
      </c>
      <c r="V126" s="22">
        <v>1.5724858416945101E-2</v>
      </c>
      <c r="W126" s="22">
        <v>9.0531802514035292E-3</v>
      </c>
      <c r="X126" s="23">
        <v>0.95698166438737797</v>
      </c>
      <c r="Y126" s="23">
        <v>0.90571436398272598</v>
      </c>
      <c r="Z126" s="23">
        <v>0.97158508459312098</v>
      </c>
      <c r="AA126" s="23">
        <v>0.96502572940518705</v>
      </c>
      <c r="AB126" s="21">
        <v>536.44556064332801</v>
      </c>
      <c r="AC126" s="21">
        <v>575.75370907228</v>
      </c>
      <c r="AD126" s="21">
        <v>571.827146328401</v>
      </c>
      <c r="AE126" s="22">
        <v>-5.5060247007370902E-2</v>
      </c>
      <c r="AF126" s="22">
        <v>1.5654648216023401E-2</v>
      </c>
      <c r="AG126" s="22">
        <v>8.81142135541697E-3</v>
      </c>
      <c r="AZ126" s="16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16">
        <f t="shared" si="30"/>
        <v>0</v>
      </c>
      <c r="BH126" s="16">
        <f t="shared" si="31"/>
        <v>0</v>
      </c>
      <c r="BI126" s="16">
        <f t="shared" si="32"/>
        <v>0</v>
      </c>
      <c r="BJ126" s="10">
        <f t="shared" si="33"/>
        <v>4.1861007866058404E-2</v>
      </c>
      <c r="BL126" s="16"/>
      <c r="BN126">
        <f t="shared" si="34"/>
        <v>0</v>
      </c>
      <c r="BO126">
        <f t="shared" si="35"/>
        <v>1</v>
      </c>
      <c r="BP126">
        <f t="shared" si="36"/>
        <v>0</v>
      </c>
      <c r="BQ126">
        <f t="shared" si="25"/>
        <v>1</v>
      </c>
      <c r="BR126">
        <f t="shared" si="37"/>
        <v>0</v>
      </c>
      <c r="BS126" s="16">
        <f t="shared" si="38"/>
        <v>0</v>
      </c>
      <c r="BT126" s="16">
        <f t="shared" si="39"/>
        <v>0</v>
      </c>
      <c r="BU126" s="16">
        <f t="shared" si="40"/>
        <v>0</v>
      </c>
      <c r="BV126" s="10">
        <f t="shared" si="41"/>
        <v>0</v>
      </c>
      <c r="BX126" s="10">
        <f t="shared" si="42"/>
        <v>0</v>
      </c>
      <c r="BY126" s="10">
        <f t="shared" si="43"/>
        <v>4.1861007866058404E-2</v>
      </c>
    </row>
    <row r="127" spans="1:77" x14ac:dyDescent="0.3">
      <c r="A127" s="1">
        <v>46209</v>
      </c>
      <c r="B127" s="21">
        <v>604.29999999999995</v>
      </c>
      <c r="C127" s="21">
        <v>581.51</v>
      </c>
      <c r="D127" s="22">
        <v>2.0074383563265599E-2</v>
      </c>
      <c r="E127" s="22">
        <v>2.6468879249477301E-2</v>
      </c>
      <c r="F127" s="21">
        <v>0</v>
      </c>
      <c r="G127" s="21">
        <v>0</v>
      </c>
      <c r="H127" s="21">
        <v>0</v>
      </c>
      <c r="I127" s="21">
        <v>0.490669999999999</v>
      </c>
      <c r="J127" s="21">
        <v>0</v>
      </c>
      <c r="K127" s="21">
        <v>0.490669999999999</v>
      </c>
      <c r="L127" s="21">
        <v>604.29999999999995</v>
      </c>
      <c r="M127" s="21">
        <v>582.00067000000001</v>
      </c>
      <c r="N127" s="23">
        <v>0.96228694357107403</v>
      </c>
      <c r="O127" s="23">
        <v>0.90525826694812095</v>
      </c>
      <c r="P127" s="23">
        <v>0.97013228419148001</v>
      </c>
      <c r="Q127" s="23">
        <v>0.964489224228258</v>
      </c>
      <c r="R127" s="21">
        <v>547.04757071674896</v>
      </c>
      <c r="S127" s="21">
        <v>586.65901598721098</v>
      </c>
      <c r="T127" s="21">
        <v>582.78575921686502</v>
      </c>
      <c r="U127" s="22">
        <v>-6.1092403499392198E-2</v>
      </c>
      <c r="V127" s="22">
        <v>8.8155896327532599E-3</v>
      </c>
      <c r="W127" s="22">
        <v>2.19147019533413E-3</v>
      </c>
      <c r="X127" s="23">
        <v>0.96309890782723795</v>
      </c>
      <c r="Y127" s="23">
        <v>0.90571436398272598</v>
      </c>
      <c r="Z127" s="23">
        <v>0.97091663537463202</v>
      </c>
      <c r="AA127" s="23">
        <v>0.96514090426764998</v>
      </c>
      <c r="AB127" s="21">
        <v>547.32319015476105</v>
      </c>
      <c r="AC127" s="21">
        <v>587.12886661962295</v>
      </c>
      <c r="AD127" s="21">
        <v>583.16504827955498</v>
      </c>
      <c r="AE127" s="22">
        <v>-6.1432129755934602E-2</v>
      </c>
      <c r="AF127" s="22">
        <v>8.7727310757869607E-3</v>
      </c>
      <c r="AG127" s="22">
        <v>1.9986490314462201E-3</v>
      </c>
      <c r="AZ127" s="16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16">
        <f t="shared" si="30"/>
        <v>0</v>
      </c>
      <c r="BH127" s="16">
        <f t="shared" si="31"/>
        <v>0</v>
      </c>
      <c r="BI127" s="16">
        <f t="shared" si="32"/>
        <v>0</v>
      </c>
      <c r="BJ127" s="10">
        <f t="shared" si="33"/>
        <v>4.1861007866058404E-2</v>
      </c>
      <c r="BL127" s="16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16">
        <f t="shared" si="38"/>
        <v>0</v>
      </c>
      <c r="BT127" s="16">
        <f t="shared" si="39"/>
        <v>0</v>
      </c>
      <c r="BU127" s="16">
        <f t="shared" si="40"/>
        <v>0</v>
      </c>
      <c r="BV127" s="10">
        <f t="shared" si="41"/>
        <v>0</v>
      </c>
      <c r="BX127" s="10">
        <f t="shared" si="42"/>
        <v>0</v>
      </c>
      <c r="BY127" s="10">
        <f t="shared" si="43"/>
        <v>4.1861007866058404E-2</v>
      </c>
    </row>
    <row r="128" spans="1:77" x14ac:dyDescent="0.3">
      <c r="A128" s="1">
        <v>46210</v>
      </c>
      <c r="B128" s="21">
        <v>581.45000000000005</v>
      </c>
      <c r="C128" s="21">
        <v>551.69000000000005</v>
      </c>
      <c r="D128" s="22">
        <v>-3.8545779628460501E-2</v>
      </c>
      <c r="E128" s="22">
        <v>-5.2641874394303602E-2</v>
      </c>
      <c r="F128" s="21">
        <v>0</v>
      </c>
      <c r="G128" s="21">
        <v>0</v>
      </c>
      <c r="H128" s="21">
        <v>0</v>
      </c>
      <c r="I128" s="21">
        <v>0.490669999999999</v>
      </c>
      <c r="J128" s="21">
        <v>0</v>
      </c>
      <c r="K128" s="21">
        <v>0.490669999999999</v>
      </c>
      <c r="L128" s="21">
        <v>581.45000000000005</v>
      </c>
      <c r="M128" s="21">
        <v>552.18066999999996</v>
      </c>
      <c r="N128" s="23">
        <v>0.94881761114455199</v>
      </c>
      <c r="O128" s="23">
        <v>0.90525826694812095</v>
      </c>
      <c r="P128" s="23">
        <v>0.967092052810681</v>
      </c>
      <c r="Q128" s="23">
        <v>0.964556094358762</v>
      </c>
      <c r="R128" s="21">
        <v>526.36241931698498</v>
      </c>
      <c r="S128" s="21">
        <v>564.08341664313605</v>
      </c>
      <c r="T128" s="21">
        <v>560.80225942752099</v>
      </c>
      <c r="U128" s="22">
        <v>-4.6996308733549E-2</v>
      </c>
      <c r="V128" s="22">
        <v>2.22158480900836E-2</v>
      </c>
      <c r="W128" s="22">
        <v>1.6382070327535001E-2</v>
      </c>
      <c r="X128" s="23">
        <v>0.94966148422048302</v>
      </c>
      <c r="Y128" s="23">
        <v>0.90571436398272598</v>
      </c>
      <c r="Z128" s="23">
        <v>0.96788743763650997</v>
      </c>
      <c r="AA128" s="23">
        <v>0.96523171742441705</v>
      </c>
      <c r="AB128" s="21">
        <v>526.62761693775599</v>
      </c>
      <c r="AC128" s="21">
        <v>564.53947763858002</v>
      </c>
      <c r="AD128" s="21">
        <v>561.18117878642499</v>
      </c>
      <c r="AE128" s="22">
        <v>-4.7381603901406402E-2</v>
      </c>
      <c r="AF128" s="22">
        <v>2.2135021508948399E-2</v>
      </c>
      <c r="AG128" s="22">
        <v>1.6168516771374802E-2</v>
      </c>
      <c r="AZ128" s="16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16">
        <f t="shared" si="30"/>
        <v>0</v>
      </c>
      <c r="BH128" s="16">
        <f t="shared" si="31"/>
        <v>0</v>
      </c>
      <c r="BI128" s="16">
        <f t="shared" si="32"/>
        <v>0</v>
      </c>
      <c r="BJ128" s="10">
        <f t="shared" si="33"/>
        <v>4.1861007866058404E-2</v>
      </c>
      <c r="BL128" s="16"/>
      <c r="BN128">
        <f t="shared" si="34"/>
        <v>0</v>
      </c>
      <c r="BO128">
        <f t="shared" si="35"/>
        <v>0</v>
      </c>
      <c r="BP128">
        <f t="shared" si="36"/>
        <v>0</v>
      </c>
      <c r="BQ128">
        <f t="shared" si="25"/>
        <v>1</v>
      </c>
      <c r="BR128">
        <f t="shared" si="37"/>
        <v>0</v>
      </c>
      <c r="BS128" s="16">
        <f t="shared" si="38"/>
        <v>0</v>
      </c>
      <c r="BT128" s="16">
        <f t="shared" si="39"/>
        <v>0</v>
      </c>
      <c r="BU128" s="16">
        <f t="shared" si="40"/>
        <v>0</v>
      </c>
      <c r="BV128" s="10">
        <f t="shared" si="41"/>
        <v>0</v>
      </c>
      <c r="BX128" s="10">
        <f t="shared" si="42"/>
        <v>0</v>
      </c>
      <c r="BY128" s="10">
        <f t="shared" si="43"/>
        <v>4.1861007866058404E-2</v>
      </c>
    </row>
    <row r="129" spans="1:77" x14ac:dyDescent="0.3">
      <c r="A129" s="1">
        <v>46211</v>
      </c>
      <c r="B129" s="21">
        <v>593</v>
      </c>
      <c r="C129" s="21">
        <v>562.03</v>
      </c>
      <c r="D129" s="22">
        <v>1.9669415258673099E-2</v>
      </c>
      <c r="E129" s="22">
        <v>1.8568934930798201E-2</v>
      </c>
      <c r="F129" s="21">
        <v>0</v>
      </c>
      <c r="G129" s="21">
        <v>0</v>
      </c>
      <c r="H129" s="21">
        <v>0</v>
      </c>
      <c r="I129" s="21">
        <v>0.490669999999999</v>
      </c>
      <c r="J129" s="21">
        <v>0</v>
      </c>
      <c r="K129" s="21">
        <v>0.490669999999999</v>
      </c>
      <c r="L129" s="21">
        <v>593</v>
      </c>
      <c r="M129" s="21">
        <v>562.52067</v>
      </c>
      <c r="N129" s="23">
        <v>0.94777403035413099</v>
      </c>
      <c r="O129" s="23">
        <v>0.90525826694812095</v>
      </c>
      <c r="P129" s="23">
        <v>0.96486921470792297</v>
      </c>
      <c r="Q129" s="23">
        <v>0.96417747609580795</v>
      </c>
      <c r="R129" s="21">
        <v>536.81815230023597</v>
      </c>
      <c r="S129" s="21">
        <v>573.48558731673404</v>
      </c>
      <c r="T129" s="21">
        <v>571.98176395474604</v>
      </c>
      <c r="U129" s="22">
        <v>-4.5895828405674098E-2</v>
      </c>
      <c r="V129" s="22">
        <v>2.01775759062345E-2</v>
      </c>
      <c r="W129" s="22">
        <v>1.7551880421679902E-2</v>
      </c>
      <c r="X129" s="23">
        <v>0.94860146711635696</v>
      </c>
      <c r="Y129" s="23">
        <v>0.90571436398272598</v>
      </c>
      <c r="Z129" s="23">
        <v>0.96566846369867998</v>
      </c>
      <c r="AA129" s="23">
        <v>0.96487708902819502</v>
      </c>
      <c r="AB129" s="21">
        <v>537.08861784175599</v>
      </c>
      <c r="AC129" s="21">
        <v>573.95725051845</v>
      </c>
      <c r="AD129" s="21">
        <v>572.38240843267897</v>
      </c>
      <c r="AE129" s="22">
        <v>-4.62647752622974E-2</v>
      </c>
      <c r="AF129" s="22">
        <v>2.0127037027265701E-2</v>
      </c>
      <c r="AG129" s="22">
        <v>1.73794341432114E-2</v>
      </c>
      <c r="AZ129" s="16"/>
      <c r="BB129">
        <f t="shared" si="26"/>
        <v>0</v>
      </c>
      <c r="BC129">
        <f t="shared" si="27"/>
        <v>1</v>
      </c>
      <c r="BD129">
        <f t="shared" si="28"/>
        <v>0</v>
      </c>
      <c r="BE129">
        <f t="shared" si="24"/>
        <v>1</v>
      </c>
      <c r="BF129">
        <f t="shared" si="29"/>
        <v>0</v>
      </c>
      <c r="BG129" s="16">
        <f t="shared" si="30"/>
        <v>0</v>
      </c>
      <c r="BH129" s="16">
        <f t="shared" si="31"/>
        <v>0</v>
      </c>
      <c r="BI129" s="16">
        <f t="shared" si="32"/>
        <v>0</v>
      </c>
      <c r="BJ129" s="10">
        <f t="shared" si="33"/>
        <v>4.1861007866058404E-2</v>
      </c>
      <c r="BL129" s="16"/>
      <c r="BN129">
        <f t="shared" si="34"/>
        <v>0</v>
      </c>
      <c r="BO129">
        <f t="shared" si="35"/>
        <v>0</v>
      </c>
      <c r="BP129">
        <f t="shared" si="36"/>
        <v>0</v>
      </c>
      <c r="BQ129">
        <f t="shared" si="25"/>
        <v>1</v>
      </c>
      <c r="BR129">
        <f t="shared" si="37"/>
        <v>0</v>
      </c>
      <c r="BS129" s="16">
        <f t="shared" si="38"/>
        <v>0</v>
      </c>
      <c r="BT129" s="16">
        <f t="shared" si="39"/>
        <v>0</v>
      </c>
      <c r="BU129" s="16">
        <f t="shared" si="40"/>
        <v>0</v>
      </c>
      <c r="BV129" s="10">
        <f t="shared" si="41"/>
        <v>0</v>
      </c>
      <c r="BX129" s="10">
        <f t="shared" si="42"/>
        <v>0</v>
      </c>
      <c r="BY129" s="10">
        <f t="shared" si="43"/>
        <v>4.1861007866058404E-2</v>
      </c>
    </row>
    <row r="130" spans="1:77" x14ac:dyDescent="0.3">
      <c r="A130" s="1">
        <v>46212</v>
      </c>
      <c r="B130" s="21">
        <v>607.73</v>
      </c>
      <c r="C130" s="21">
        <v>581.70000000000005</v>
      </c>
      <c r="D130" s="22">
        <v>2.45363053888158E-2</v>
      </c>
      <c r="E130" s="22">
        <v>3.43996216648099E-2</v>
      </c>
      <c r="F130" s="21">
        <v>0</v>
      </c>
      <c r="G130" s="21">
        <v>0</v>
      </c>
      <c r="H130" s="21">
        <v>0</v>
      </c>
      <c r="I130" s="21">
        <v>0.490669999999999</v>
      </c>
      <c r="J130" s="21">
        <v>0</v>
      </c>
      <c r="K130" s="21">
        <v>0.490669999999999</v>
      </c>
      <c r="L130" s="21">
        <v>607.73</v>
      </c>
      <c r="M130" s="21">
        <v>582.19066999999995</v>
      </c>
      <c r="N130" s="23">
        <v>0.95716847942342798</v>
      </c>
      <c r="O130" s="23">
        <v>0.90525826694812095</v>
      </c>
      <c r="P130" s="23">
        <v>0.96340064288680605</v>
      </c>
      <c r="Q130" s="23">
        <v>0.96447832912909404</v>
      </c>
      <c r="R130" s="21">
        <v>550.15260657238196</v>
      </c>
      <c r="S130" s="21">
        <v>586.37996785444602</v>
      </c>
      <c r="T130" s="21">
        <v>585.95957754770495</v>
      </c>
      <c r="U130" s="22">
        <v>-5.5759144681668101E-2</v>
      </c>
      <c r="V130" s="22">
        <v>8.0131378417368903E-3</v>
      </c>
      <c r="W130" s="22">
        <v>7.2959559870295499E-3</v>
      </c>
      <c r="X130" s="23">
        <v>0.95797586099090004</v>
      </c>
      <c r="Y130" s="23">
        <v>0.90571436398272598</v>
      </c>
      <c r="Z130" s="23">
        <v>0.96420135161383702</v>
      </c>
      <c r="AA130" s="23">
        <v>0.965200718882532</v>
      </c>
      <c r="AB130" s="21">
        <v>550.42979042322202</v>
      </c>
      <c r="AC130" s="21">
        <v>586.86569544359895</v>
      </c>
      <c r="AD130" s="21">
        <v>586.38475331510494</v>
      </c>
      <c r="AE130" s="22">
        <v>-5.6098595565678699E-2</v>
      </c>
      <c r="AF130" s="22">
        <v>7.9979896653449602E-3</v>
      </c>
      <c r="AG130" s="22">
        <v>7.17814398628943E-3</v>
      </c>
      <c r="AZ130" s="16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16">
        <f t="shared" si="30"/>
        <v>0</v>
      </c>
      <c r="BH130" s="16">
        <f t="shared" si="31"/>
        <v>0</v>
      </c>
      <c r="BI130" s="16">
        <f t="shared" si="32"/>
        <v>0</v>
      </c>
      <c r="BJ130" s="10">
        <f t="shared" si="33"/>
        <v>4.1861007866058404E-2</v>
      </c>
      <c r="BL130" s="16"/>
      <c r="BN130">
        <f t="shared" si="34"/>
        <v>0</v>
      </c>
      <c r="BO130">
        <f t="shared" si="35"/>
        <v>1</v>
      </c>
      <c r="BP130">
        <f t="shared" si="36"/>
        <v>0</v>
      </c>
      <c r="BQ130">
        <f t="shared" si="25"/>
        <v>1</v>
      </c>
      <c r="BR130">
        <f t="shared" si="37"/>
        <v>0</v>
      </c>
      <c r="BS130" s="16">
        <f t="shared" si="38"/>
        <v>0</v>
      </c>
      <c r="BT130" s="16">
        <f t="shared" si="39"/>
        <v>0</v>
      </c>
      <c r="BU130" s="16">
        <f t="shared" si="40"/>
        <v>0</v>
      </c>
      <c r="BV130" s="10">
        <f t="shared" si="41"/>
        <v>0</v>
      </c>
      <c r="BX130" s="10">
        <f t="shared" si="42"/>
        <v>0</v>
      </c>
      <c r="BY130" s="10">
        <f t="shared" si="43"/>
        <v>4.1861007866058404E-2</v>
      </c>
    </row>
    <row r="131" spans="1:77" x14ac:dyDescent="0.3">
      <c r="A131" s="1">
        <v>46213</v>
      </c>
      <c r="B131" s="21">
        <v>611.03</v>
      </c>
      <c r="C131" s="21">
        <v>581.34</v>
      </c>
      <c r="D131" s="22">
        <v>5.4153534160300901E-3</v>
      </c>
      <c r="E131" s="22">
        <v>-6.1906729174807996E-4</v>
      </c>
      <c r="F131" s="21">
        <v>0</v>
      </c>
      <c r="G131" s="21">
        <v>0</v>
      </c>
      <c r="H131" s="21">
        <v>0</v>
      </c>
      <c r="I131" s="21">
        <v>0.490669999999999</v>
      </c>
      <c r="J131" s="21">
        <v>0</v>
      </c>
      <c r="K131" s="21">
        <v>0.490669999999999</v>
      </c>
      <c r="L131" s="21">
        <v>611.03</v>
      </c>
      <c r="M131" s="21">
        <v>581.83067000000005</v>
      </c>
      <c r="N131" s="23">
        <v>0.95140991440682099</v>
      </c>
      <c r="O131" s="23">
        <v>0.90525826694812095</v>
      </c>
      <c r="P131" s="23">
        <v>0.96037557478723001</v>
      </c>
      <c r="Q131" s="23">
        <v>0.96462366151370804</v>
      </c>
      <c r="R131" s="21">
        <v>553.13995885330996</v>
      </c>
      <c r="S131" s="21">
        <v>588.666694823125</v>
      </c>
      <c r="T131" s="21">
        <v>589.32519344775005</v>
      </c>
      <c r="U131" s="22">
        <v>-4.9724723973889898E-2</v>
      </c>
      <c r="V131" s="22">
        <v>1.2524356701730599E-2</v>
      </c>
      <c r="W131" s="22">
        <v>1.36423587860764E-2</v>
      </c>
      <c r="X131" s="23">
        <v>0.95221293553508002</v>
      </c>
      <c r="Y131" s="23">
        <v>0.90571436398272598</v>
      </c>
      <c r="Z131" s="23">
        <v>0.96117954285607698</v>
      </c>
      <c r="AA131" s="23">
        <v>0.96536799069650703</v>
      </c>
      <c r="AB131" s="21">
        <v>553.41864782436505</v>
      </c>
      <c r="AC131" s="21">
        <v>589.15595187660199</v>
      </c>
      <c r="AD131" s="21">
        <v>589.76659525879302</v>
      </c>
      <c r="AE131" s="22">
        <v>-5.0064696768894398E-2</v>
      </c>
      <c r="AF131" s="22">
        <v>1.2511462207644101E-2</v>
      </c>
      <c r="AG131" s="22">
        <v>1.3547396991119899E-2</v>
      </c>
      <c r="AZ131" s="16"/>
      <c r="BB131">
        <f t="shared" si="26"/>
        <v>0</v>
      </c>
      <c r="BC131">
        <f t="shared" si="27"/>
        <v>1</v>
      </c>
      <c r="BD131">
        <f t="shared" si="28"/>
        <v>0</v>
      </c>
      <c r="BE131">
        <f t="shared" si="24"/>
        <v>1</v>
      </c>
      <c r="BF131">
        <f t="shared" si="29"/>
        <v>0</v>
      </c>
      <c r="BG131" s="16">
        <f t="shared" si="30"/>
        <v>0</v>
      </c>
      <c r="BH131" s="16">
        <f t="shared" si="31"/>
        <v>0</v>
      </c>
      <c r="BI131" s="16">
        <f t="shared" si="32"/>
        <v>0</v>
      </c>
      <c r="BJ131" s="10">
        <f t="shared" si="33"/>
        <v>4.1861007866058404E-2</v>
      </c>
      <c r="BL131" s="16"/>
      <c r="BN131">
        <f t="shared" si="34"/>
        <v>0</v>
      </c>
      <c r="BO131">
        <f t="shared" si="35"/>
        <v>0</v>
      </c>
      <c r="BP131">
        <f t="shared" si="36"/>
        <v>0</v>
      </c>
      <c r="BQ131">
        <f t="shared" si="25"/>
        <v>1</v>
      </c>
      <c r="BR131">
        <f t="shared" si="37"/>
        <v>0</v>
      </c>
      <c r="BS131" s="16">
        <f t="shared" si="38"/>
        <v>0</v>
      </c>
      <c r="BT131" s="16">
        <f t="shared" si="39"/>
        <v>0</v>
      </c>
      <c r="BU131" s="16">
        <f t="shared" si="40"/>
        <v>0</v>
      </c>
      <c r="BV131" s="10">
        <f t="shared" si="41"/>
        <v>0</v>
      </c>
      <c r="BX131" s="10">
        <f t="shared" si="42"/>
        <v>0</v>
      </c>
      <c r="BY131" s="10">
        <f t="shared" si="43"/>
        <v>4.1861007866058404E-2</v>
      </c>
    </row>
    <row r="132" spans="1:77" x14ac:dyDescent="0.3">
      <c r="A132" s="1">
        <v>46216</v>
      </c>
      <c r="B132" s="21">
        <v>585.62</v>
      </c>
      <c r="C132" s="21">
        <v>553.61</v>
      </c>
      <c r="D132" s="22">
        <v>-4.2474942733205998E-2</v>
      </c>
      <c r="E132" s="22">
        <v>-4.8875315900837497E-2</v>
      </c>
      <c r="F132" s="21">
        <v>0</v>
      </c>
      <c r="G132" s="21">
        <v>0</v>
      </c>
      <c r="H132" s="21">
        <v>0</v>
      </c>
      <c r="I132" s="21">
        <v>0.490669999999999</v>
      </c>
      <c r="J132" s="21">
        <v>0</v>
      </c>
      <c r="K132" s="21">
        <v>0.490669999999999</v>
      </c>
      <c r="L132" s="21">
        <v>585.62</v>
      </c>
      <c r="M132" s="21">
        <v>554.10067000000004</v>
      </c>
      <c r="N132" s="23">
        <v>0.94533998155800603</v>
      </c>
      <c r="O132" s="23">
        <v>0.90525826694812095</v>
      </c>
      <c r="P132" s="23">
        <v>0.95845268047887799</v>
      </c>
      <c r="Q132" s="23">
        <v>0.96373822807048204</v>
      </c>
      <c r="R132" s="21">
        <v>530.13734629015903</v>
      </c>
      <c r="S132" s="21">
        <v>562.41514410689695</v>
      </c>
      <c r="T132" s="21">
        <v>564.90290865565703</v>
      </c>
      <c r="U132" s="22">
        <v>-4.3324350806258398E-2</v>
      </c>
      <c r="V132" s="22">
        <v>1.5779800053626E-2</v>
      </c>
      <c r="W132" s="22">
        <v>2.0193405568264301E-2</v>
      </c>
      <c r="X132" s="23">
        <v>0.94617784570199104</v>
      </c>
      <c r="Y132" s="23">
        <v>0.90571436398272598</v>
      </c>
      <c r="Z132" s="23">
        <v>0.95926020900113596</v>
      </c>
      <c r="AA132" s="23">
        <v>0.96450739048837497</v>
      </c>
      <c r="AB132" s="21">
        <v>530.40444583556405</v>
      </c>
      <c r="AC132" s="21">
        <v>562.88596388737596</v>
      </c>
      <c r="AD132" s="21">
        <v>565.338802711688</v>
      </c>
      <c r="AE132" s="22">
        <v>-4.3706564161150603E-2</v>
      </c>
      <c r="AF132" s="22">
        <v>1.57306717611971E-2</v>
      </c>
      <c r="AG132" s="22">
        <v>2.00788172042871E-2</v>
      </c>
      <c r="AZ132" s="16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16">
        <f t="shared" si="30"/>
        <v>0</v>
      </c>
      <c r="BH132" s="16">
        <f t="shared" si="31"/>
        <v>0</v>
      </c>
      <c r="BI132" s="16">
        <f t="shared" si="32"/>
        <v>0</v>
      </c>
      <c r="BJ132" s="10">
        <f t="shared" si="33"/>
        <v>4.1861007866058404E-2</v>
      </c>
      <c r="BL132" s="16"/>
      <c r="BN132">
        <f t="shared" si="34"/>
        <v>0</v>
      </c>
      <c r="BO132">
        <f t="shared" si="35"/>
        <v>0</v>
      </c>
      <c r="BP132">
        <f t="shared" si="36"/>
        <v>0</v>
      </c>
      <c r="BQ132">
        <f t="shared" si="25"/>
        <v>1</v>
      </c>
      <c r="BR132">
        <f t="shared" si="37"/>
        <v>0</v>
      </c>
      <c r="BS132" s="16">
        <f t="shared" si="38"/>
        <v>0</v>
      </c>
      <c r="BT132" s="16">
        <f t="shared" si="39"/>
        <v>0</v>
      </c>
      <c r="BU132" s="16">
        <f t="shared" si="40"/>
        <v>0</v>
      </c>
      <c r="BV132" s="10">
        <f t="shared" si="41"/>
        <v>0</v>
      </c>
      <c r="BX132" s="10">
        <f t="shared" si="42"/>
        <v>0</v>
      </c>
      <c r="BY132" s="10">
        <f t="shared" si="43"/>
        <v>4.1861007866058404E-2</v>
      </c>
    </row>
    <row r="133" spans="1:77" x14ac:dyDescent="0.3">
      <c r="A133" s="1">
        <v>46217</v>
      </c>
      <c r="B133" s="21">
        <v>600.30999999999995</v>
      </c>
      <c r="C133" s="21">
        <v>567.91999999999996</v>
      </c>
      <c r="D133" s="22">
        <v>2.47750733871809E-2</v>
      </c>
      <c r="E133" s="22">
        <v>2.5520096007E-2</v>
      </c>
      <c r="F133" s="21">
        <v>0</v>
      </c>
      <c r="G133" s="21">
        <v>0</v>
      </c>
      <c r="H133" s="21">
        <v>0</v>
      </c>
      <c r="I133" s="21">
        <v>0.490669999999999</v>
      </c>
      <c r="J133" s="21">
        <v>0</v>
      </c>
      <c r="K133" s="21">
        <v>0.490669999999999</v>
      </c>
      <c r="L133" s="21">
        <v>600.30999999999995</v>
      </c>
      <c r="M133" s="21">
        <v>568.41066999999998</v>
      </c>
      <c r="N133" s="23">
        <v>0.94604454365244595</v>
      </c>
      <c r="O133" s="23">
        <v>0.90525826694812095</v>
      </c>
      <c r="P133" s="23">
        <v>0.95584678008606105</v>
      </c>
      <c r="Q133" s="23">
        <v>0.96295267539634</v>
      </c>
      <c r="R133" s="21">
        <v>543.43559023162595</v>
      </c>
      <c r="S133" s="21">
        <v>575.36872861827499</v>
      </c>
      <c r="T133" s="21">
        <v>578.54169569299097</v>
      </c>
      <c r="U133" s="22">
        <v>-4.4069373426077502E-2</v>
      </c>
      <c r="V133" s="22">
        <v>1.3030538704511299E-2</v>
      </c>
      <c r="W133" s="22">
        <v>1.8530055833359999E-2</v>
      </c>
      <c r="X133" s="23">
        <v>0.94686190468258002</v>
      </c>
      <c r="Y133" s="23">
        <v>0.90571436398272598</v>
      </c>
      <c r="Z133" s="23">
        <v>0.95665840459613904</v>
      </c>
      <c r="AA133" s="23">
        <v>0.96374593510633599</v>
      </c>
      <c r="AB133" s="21">
        <v>543.70938984247005</v>
      </c>
      <c r="AC133" s="21">
        <v>575.85349606547197</v>
      </c>
      <c r="AD133" s="21">
        <v>579.003431584076</v>
      </c>
      <c r="AE133" s="22">
        <v>-4.4429273771685603E-2</v>
      </c>
      <c r="AF133" s="22">
        <v>1.3009113197315099E-2</v>
      </c>
      <c r="AG133" s="22">
        <v>1.8464236259915199E-2</v>
      </c>
      <c r="AZ133" s="16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16">
        <f t="shared" si="30"/>
        <v>0</v>
      </c>
      <c r="BH133" s="16">
        <f t="shared" si="31"/>
        <v>0</v>
      </c>
      <c r="BI133" s="16">
        <f t="shared" si="32"/>
        <v>0</v>
      </c>
      <c r="BJ133" s="10">
        <f t="shared" si="33"/>
        <v>4.1861007866058404E-2</v>
      </c>
      <c r="BL133" s="16"/>
      <c r="BN133">
        <f t="shared" si="34"/>
        <v>0</v>
      </c>
      <c r="BO133">
        <f t="shared" si="35"/>
        <v>0</v>
      </c>
      <c r="BP133">
        <f t="shared" si="36"/>
        <v>0</v>
      </c>
      <c r="BQ133">
        <f t="shared" si="25"/>
        <v>1</v>
      </c>
      <c r="BR133">
        <f t="shared" si="37"/>
        <v>0</v>
      </c>
      <c r="BS133" s="16">
        <f t="shared" si="38"/>
        <v>0</v>
      </c>
      <c r="BT133" s="16">
        <f t="shared" si="39"/>
        <v>0</v>
      </c>
      <c r="BU133" s="16">
        <f t="shared" si="40"/>
        <v>0</v>
      </c>
      <c r="BV133" s="10">
        <f t="shared" si="41"/>
        <v>0</v>
      </c>
      <c r="BX133" s="10">
        <f t="shared" si="42"/>
        <v>0</v>
      </c>
      <c r="BY133" s="10">
        <f t="shared" si="43"/>
        <v>4.1861007866058404E-2</v>
      </c>
    </row>
    <row r="134" spans="1:77" x14ac:dyDescent="0.3">
      <c r="A134" s="1">
        <v>46218</v>
      </c>
      <c r="B134" s="21">
        <v>590.77</v>
      </c>
      <c r="C134" s="21">
        <v>555.27</v>
      </c>
      <c r="D134" s="22">
        <v>-1.6019417693879899E-2</v>
      </c>
      <c r="E134" s="22">
        <v>-2.2526081794395299E-2</v>
      </c>
      <c r="F134" s="21">
        <v>0</v>
      </c>
      <c r="G134" s="21">
        <v>0</v>
      </c>
      <c r="H134" s="21">
        <v>0</v>
      </c>
      <c r="I134" s="21">
        <v>0.490669999999999</v>
      </c>
      <c r="J134" s="21">
        <v>0</v>
      </c>
      <c r="K134" s="21">
        <v>0.490669999999999</v>
      </c>
      <c r="L134" s="21">
        <v>590.77</v>
      </c>
      <c r="M134" s="21">
        <v>555.76067</v>
      </c>
      <c r="N134" s="23">
        <v>0.93990893241024398</v>
      </c>
      <c r="O134" s="23">
        <v>0.90525826694812095</v>
      </c>
      <c r="P134" s="23">
        <v>0.95214446257528296</v>
      </c>
      <c r="Q134" s="23">
        <v>0.96138916667764596</v>
      </c>
      <c r="R134" s="21">
        <v>534.79942636494104</v>
      </c>
      <c r="S134" s="21">
        <v>564.68560227144201</v>
      </c>
      <c r="T134" s="21">
        <v>568.88355204389495</v>
      </c>
      <c r="U134" s="22">
        <v>-3.7562709325562001E-2</v>
      </c>
      <c r="V134" s="22">
        <v>1.6814638173781701E-2</v>
      </c>
      <c r="W134" s="22">
        <v>2.42212775437564E-2</v>
      </c>
      <c r="X134" s="23">
        <v>0.94073949252670197</v>
      </c>
      <c r="Y134" s="23">
        <v>0.90571436398272598</v>
      </c>
      <c r="Z134" s="23">
        <v>0.95296433329658203</v>
      </c>
      <c r="AA134" s="23">
        <v>0.96218604139701902</v>
      </c>
      <c r="AB134" s="21">
        <v>535.06887481007504</v>
      </c>
      <c r="AC134" s="21">
        <v>565.16508568326105</v>
      </c>
      <c r="AD134" s="21">
        <v>569.35218608277</v>
      </c>
      <c r="AE134" s="22">
        <v>-3.7942275367510603E-2</v>
      </c>
      <c r="AF134" s="22">
        <v>1.67801235778836E-2</v>
      </c>
      <c r="AG134" s="22">
        <v>2.41614469204228E-2</v>
      </c>
      <c r="AZ134" s="16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16">
        <f t="shared" si="30"/>
        <v>0</v>
      </c>
      <c r="BH134" s="16">
        <f t="shared" si="31"/>
        <v>0</v>
      </c>
      <c r="BI134" s="16">
        <f t="shared" si="32"/>
        <v>0</v>
      </c>
      <c r="BJ134" s="10">
        <f t="shared" si="33"/>
        <v>4.1861007866058404E-2</v>
      </c>
      <c r="BL134" s="16"/>
      <c r="BN134">
        <f t="shared" si="34"/>
        <v>0</v>
      </c>
      <c r="BO134">
        <f t="shared" si="35"/>
        <v>0</v>
      </c>
      <c r="BP134">
        <f t="shared" si="36"/>
        <v>0</v>
      </c>
      <c r="BQ134">
        <f t="shared" si="25"/>
        <v>1</v>
      </c>
      <c r="BR134">
        <f t="shared" si="37"/>
        <v>0</v>
      </c>
      <c r="BS134" s="16">
        <f t="shared" si="38"/>
        <v>0</v>
      </c>
      <c r="BT134" s="16">
        <f t="shared" si="39"/>
        <v>0</v>
      </c>
      <c r="BU134" s="16">
        <f t="shared" si="40"/>
        <v>0</v>
      </c>
      <c r="BV134" s="10">
        <f t="shared" si="41"/>
        <v>0</v>
      </c>
      <c r="BX134" s="10">
        <f t="shared" si="42"/>
        <v>0</v>
      </c>
      <c r="BY134" s="10">
        <f t="shared" si="43"/>
        <v>4.1861007866058404E-2</v>
      </c>
    </row>
    <row r="135" spans="1:77" x14ac:dyDescent="0.3">
      <c r="A135" s="1">
        <v>46219</v>
      </c>
      <c r="B135" s="21">
        <v>568.91999999999996</v>
      </c>
      <c r="C135" s="21">
        <v>530.5</v>
      </c>
      <c r="D135" s="22">
        <v>-3.76869440606395E-2</v>
      </c>
      <c r="E135" s="22">
        <v>-4.5634523882697099E-2</v>
      </c>
      <c r="F135" s="21">
        <v>0</v>
      </c>
      <c r="G135" s="21">
        <v>0</v>
      </c>
      <c r="H135" s="21">
        <v>0</v>
      </c>
      <c r="I135" s="21">
        <v>0.490669999999999</v>
      </c>
      <c r="J135" s="21">
        <v>0</v>
      </c>
      <c r="K135" s="21">
        <v>0.490669999999999</v>
      </c>
      <c r="L135" s="21">
        <v>568.91999999999996</v>
      </c>
      <c r="M135" s="21">
        <v>530.99067000000002</v>
      </c>
      <c r="N135" s="23">
        <v>0.93246853687688902</v>
      </c>
      <c r="O135" s="23">
        <v>0.90525826694812095</v>
      </c>
      <c r="P135" s="23">
        <v>0.94873722091435897</v>
      </c>
      <c r="Q135" s="23">
        <v>0.96002233378123103</v>
      </c>
      <c r="R135" s="21">
        <v>515.01953323212501</v>
      </c>
      <c r="S135" s="21">
        <v>541.69402764833001</v>
      </c>
      <c r="T135" s="21">
        <v>546.95352470624596</v>
      </c>
      <c r="U135" s="22">
        <v>-2.9615129503504398E-2</v>
      </c>
      <c r="V135" s="22">
        <v>2.0881359347505402E-2</v>
      </c>
      <c r="W135" s="22">
        <v>3.05438767843456E-2</v>
      </c>
      <c r="X135" s="23">
        <v>0.93333099557055399</v>
      </c>
      <c r="Y135" s="23">
        <v>0.90571436398272598</v>
      </c>
      <c r="Z135" s="23">
        <v>0.94956425585592596</v>
      </c>
      <c r="AA135" s="23">
        <v>0.96082250432489802</v>
      </c>
      <c r="AB135" s="21">
        <v>515.27901595705202</v>
      </c>
      <c r="AC135" s="21">
        <v>542.16046849909105</v>
      </c>
      <c r="AD135" s="21">
        <v>547.40688267159203</v>
      </c>
      <c r="AE135" s="22">
        <v>-3.00359179540007E-2</v>
      </c>
      <c r="AF135" s="22">
        <v>2.0817574495752399E-2</v>
      </c>
      <c r="AG135" s="22">
        <v>3.0447919447604901E-2</v>
      </c>
      <c r="AZ135" s="16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16">
        <f t="shared" si="30"/>
        <v>0</v>
      </c>
      <c r="BH135" s="16">
        <f t="shared" si="31"/>
        <v>0</v>
      </c>
      <c r="BI135" s="16">
        <f t="shared" si="32"/>
        <v>0</v>
      </c>
      <c r="BJ135" s="10">
        <f t="shared" si="33"/>
        <v>4.1861007866058404E-2</v>
      </c>
      <c r="BL135" s="16"/>
      <c r="BN135">
        <f t="shared" si="34"/>
        <v>1</v>
      </c>
      <c r="BO135">
        <f t="shared" si="35"/>
        <v>0</v>
      </c>
      <c r="BP135">
        <f t="shared" si="36"/>
        <v>0</v>
      </c>
      <c r="BQ135">
        <f t="shared" si="25"/>
        <v>1</v>
      </c>
      <c r="BR135">
        <f t="shared" si="37"/>
        <v>0</v>
      </c>
      <c r="BS135" s="16">
        <f t="shared" si="38"/>
        <v>0</v>
      </c>
      <c r="BT135" s="16">
        <f t="shared" si="39"/>
        <v>0</v>
      </c>
      <c r="BU135" s="16">
        <f t="shared" si="40"/>
        <v>0</v>
      </c>
      <c r="BV135" s="10">
        <f t="shared" si="41"/>
        <v>0</v>
      </c>
      <c r="BX135" s="10">
        <f t="shared" si="42"/>
        <v>0</v>
      </c>
      <c r="BY135" s="10">
        <f t="shared" si="43"/>
        <v>4.1861007866058404E-2</v>
      </c>
    </row>
    <row r="136" spans="1:77" x14ac:dyDescent="0.3">
      <c r="A136" s="1">
        <v>46220</v>
      </c>
      <c r="B136" s="21">
        <v>556.53</v>
      </c>
      <c r="C136" s="21">
        <v>521.80999999999995</v>
      </c>
      <c r="D136" s="22">
        <v>-2.20187490836357E-2</v>
      </c>
      <c r="E136" s="22">
        <v>-1.6516421104228799E-2</v>
      </c>
      <c r="F136" s="21">
        <v>0</v>
      </c>
      <c r="G136" s="21">
        <v>0</v>
      </c>
      <c r="H136" s="21">
        <v>0</v>
      </c>
      <c r="I136" s="21">
        <v>0.490669999999999</v>
      </c>
      <c r="J136" s="21">
        <v>0</v>
      </c>
      <c r="K136" s="21">
        <v>0.490669999999999</v>
      </c>
      <c r="L136" s="21">
        <v>556.53</v>
      </c>
      <c r="M136" s="21">
        <v>522.30066999999997</v>
      </c>
      <c r="N136" s="23">
        <v>0.93761342605070697</v>
      </c>
      <c r="O136" s="23">
        <v>0.90525826694812095</v>
      </c>
      <c r="P136" s="23">
        <v>0.94688323994483004</v>
      </c>
      <c r="Q136" s="23">
        <v>0.95884540616074099</v>
      </c>
      <c r="R136" s="21">
        <v>503.80338330463798</v>
      </c>
      <c r="S136" s="21">
        <v>528.00072555546797</v>
      </c>
      <c r="T136" s="21">
        <v>534.28122941926802</v>
      </c>
      <c r="U136" s="22">
        <v>-3.5117457482911299E-2</v>
      </c>
      <c r="V136" s="22">
        <v>1.17941209135928E-2</v>
      </c>
      <c r="W136" s="22">
        <v>2.36188102331658E-2</v>
      </c>
      <c r="X136" s="23">
        <v>0.93849508561982198</v>
      </c>
      <c r="Y136" s="23">
        <v>0.90571436398272598</v>
      </c>
      <c r="Z136" s="23">
        <v>0.94771559797917104</v>
      </c>
      <c r="AA136" s="23">
        <v>0.95965034128614601</v>
      </c>
      <c r="AB136" s="21">
        <v>504.057214987306</v>
      </c>
      <c r="AC136" s="21">
        <v>528.46099531149798</v>
      </c>
      <c r="AD136" s="21">
        <v>534.72654833193496</v>
      </c>
      <c r="AE136" s="22">
        <v>-3.5553634800631902E-2</v>
      </c>
      <c r="AF136" s="22">
        <v>1.1725581730395101E-2</v>
      </c>
      <c r="AG136" s="22">
        <v>2.3512073384989299E-2</v>
      </c>
      <c r="AZ136" s="16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16">
        <f t="shared" si="30"/>
        <v>0</v>
      </c>
      <c r="BH136" s="16">
        <f t="shared" si="31"/>
        <v>0</v>
      </c>
      <c r="BI136" s="16">
        <f t="shared" si="32"/>
        <v>0</v>
      </c>
      <c r="BJ136" s="10">
        <f t="shared" si="33"/>
        <v>4.1861007866058404E-2</v>
      </c>
      <c r="BL136" s="16"/>
      <c r="BN136">
        <f t="shared" si="34"/>
        <v>0</v>
      </c>
      <c r="BO136">
        <f t="shared" si="35"/>
        <v>0</v>
      </c>
      <c r="BP136">
        <f t="shared" si="36"/>
        <v>1</v>
      </c>
      <c r="BQ136">
        <f t="shared" si="25"/>
        <v>1</v>
      </c>
      <c r="BR136">
        <f t="shared" si="37"/>
        <v>1</v>
      </c>
      <c r="BS136" s="16">
        <f t="shared" si="38"/>
        <v>2.20187490836357E-2</v>
      </c>
      <c r="BT136" s="16">
        <f t="shared" si="39"/>
        <v>-1.6516421104228799E-2</v>
      </c>
      <c r="BU136" s="16">
        <f t="shared" si="40"/>
        <v>5.5023279794069006E-3</v>
      </c>
      <c r="BV136" s="10">
        <f t="shared" si="41"/>
        <v>5.5023279794069006E-3</v>
      </c>
      <c r="BX136" s="10">
        <f t="shared" si="42"/>
        <v>5.5023279794069006E-3</v>
      </c>
      <c r="BY136" s="10">
        <f t="shared" si="43"/>
        <v>4.7363335845465301E-2</v>
      </c>
    </row>
    <row r="137" spans="1:77" x14ac:dyDescent="0.3">
      <c r="A137" s="1">
        <v>46223</v>
      </c>
      <c r="B137" s="21">
        <v>558.83000000000004</v>
      </c>
      <c r="C137" s="21">
        <v>524.14</v>
      </c>
      <c r="D137" s="22">
        <v>4.1242347943576101E-3</v>
      </c>
      <c r="E137" s="22">
        <v>4.4552872587150004E-3</v>
      </c>
      <c r="F137" s="21">
        <v>0</v>
      </c>
      <c r="G137" s="21">
        <v>0</v>
      </c>
      <c r="H137" s="21">
        <v>0</v>
      </c>
      <c r="I137" s="21">
        <v>0.490669999999999</v>
      </c>
      <c r="J137" s="21">
        <v>0</v>
      </c>
      <c r="K137" s="21">
        <v>0.490669999999999</v>
      </c>
      <c r="L137" s="21">
        <v>558.83000000000004</v>
      </c>
      <c r="M137" s="21">
        <v>524.63067000000001</v>
      </c>
      <c r="N137" s="23">
        <v>0.93792387667090105</v>
      </c>
      <c r="O137" s="23">
        <v>0.90525826694812095</v>
      </c>
      <c r="P137" s="23">
        <v>0.94444693325481199</v>
      </c>
      <c r="Q137" s="23">
        <v>0.95728960872314595</v>
      </c>
      <c r="R137" s="21">
        <v>505.88547731861797</v>
      </c>
      <c r="S137" s="21">
        <v>529.146760978369</v>
      </c>
      <c r="T137" s="21">
        <v>535.83157832480697</v>
      </c>
      <c r="U137" s="22">
        <v>-3.5448509947268503E-2</v>
      </c>
      <c r="V137" s="22">
        <v>9.5070001339235492E-3</v>
      </c>
      <c r="W137" s="22">
        <v>2.20610679417035E-2</v>
      </c>
      <c r="X137" s="23">
        <v>0.93880190755685899</v>
      </c>
      <c r="Y137" s="23">
        <v>0.90571436398272598</v>
      </c>
      <c r="Z137" s="23">
        <v>0.94528589795213303</v>
      </c>
      <c r="AA137" s="23">
        <v>0.95810126666338302</v>
      </c>
      <c r="AB137" s="21">
        <v>506.14035802446699</v>
      </c>
      <c r="AC137" s="21">
        <v>529.6119076187</v>
      </c>
      <c r="AD137" s="21">
        <v>536.28140022093703</v>
      </c>
      <c r="AE137" s="22">
        <v>-3.5880511092325797E-2</v>
      </c>
      <c r="AF137" s="22">
        <v>9.4499592291645198E-3</v>
      </c>
      <c r="AG137" s="22">
        <v>2.1964494403345299E-2</v>
      </c>
      <c r="AZ137" s="16"/>
      <c r="BB137">
        <f t="shared" si="26"/>
        <v>0</v>
      </c>
      <c r="BC137">
        <f t="shared" si="27"/>
        <v>1</v>
      </c>
      <c r="BD137">
        <f t="shared" si="28"/>
        <v>0</v>
      </c>
      <c r="BE137">
        <f t="shared" si="24"/>
        <v>1</v>
      </c>
      <c r="BF137">
        <f t="shared" si="29"/>
        <v>0</v>
      </c>
      <c r="BG137" s="16">
        <f t="shared" si="30"/>
        <v>0</v>
      </c>
      <c r="BH137" s="16">
        <f t="shared" si="31"/>
        <v>0</v>
      </c>
      <c r="BI137" s="16">
        <f t="shared" si="32"/>
        <v>0</v>
      </c>
      <c r="BJ137" s="10">
        <f t="shared" si="33"/>
        <v>4.1861007866058404E-2</v>
      </c>
      <c r="BL137" s="16"/>
      <c r="BN137">
        <f t="shared" si="34"/>
        <v>0</v>
      </c>
      <c r="BO137">
        <f t="shared" si="35"/>
        <v>0</v>
      </c>
      <c r="BP137">
        <f t="shared" si="36"/>
        <v>1</v>
      </c>
      <c r="BQ137">
        <f t="shared" si="25"/>
        <v>1</v>
      </c>
      <c r="BR137">
        <f t="shared" si="37"/>
        <v>1</v>
      </c>
      <c r="BS137" s="16">
        <f t="shared" si="38"/>
        <v>-4.1242347943576101E-3</v>
      </c>
      <c r="BT137" s="16">
        <f t="shared" si="39"/>
        <v>4.4552872587150004E-3</v>
      </c>
      <c r="BU137" s="16">
        <f t="shared" si="40"/>
        <v>3.310524643573903E-4</v>
      </c>
      <c r="BV137" s="10">
        <f t="shared" si="41"/>
        <v>5.8333804437642909E-3</v>
      </c>
      <c r="BX137" s="10">
        <f t="shared" si="42"/>
        <v>3.310524643573903E-4</v>
      </c>
      <c r="BY137" s="10">
        <f t="shared" si="43"/>
        <v>4.7694388309822693E-2</v>
      </c>
    </row>
    <row r="138" spans="1:77" x14ac:dyDescent="0.3">
      <c r="A138" s="1">
        <v>46224</v>
      </c>
      <c r="B138" s="21">
        <v>584.08000000000004</v>
      </c>
      <c r="C138" s="21">
        <v>552.69000000000005</v>
      </c>
      <c r="D138" s="22">
        <v>4.4192647335081298E-2</v>
      </c>
      <c r="E138" s="22">
        <v>5.3038441469003397E-2</v>
      </c>
      <c r="F138" s="21">
        <v>0</v>
      </c>
      <c r="G138" s="21">
        <v>0</v>
      </c>
      <c r="H138" s="21">
        <v>0</v>
      </c>
      <c r="I138" s="21">
        <v>0.490669999999999</v>
      </c>
      <c r="J138" s="21">
        <v>0</v>
      </c>
      <c r="K138" s="21">
        <v>0.490669999999999</v>
      </c>
      <c r="L138" s="21">
        <v>584.08000000000004</v>
      </c>
      <c r="M138" s="21">
        <v>553.18066999999996</v>
      </c>
      <c r="N138" s="23">
        <v>0.94625736200520405</v>
      </c>
      <c r="O138" s="23">
        <v>0.90525826694812095</v>
      </c>
      <c r="P138" s="23">
        <v>0.94419090834087804</v>
      </c>
      <c r="Q138" s="23">
        <v>0.95564148057578002</v>
      </c>
      <c r="R138" s="21">
        <v>528.743248559059</v>
      </c>
      <c r="S138" s="21">
        <v>551.632564775471</v>
      </c>
      <c r="T138" s="21">
        <v>559.13371466301498</v>
      </c>
      <c r="U138" s="22">
        <v>-4.4294304081190602E-2</v>
      </c>
      <c r="V138" s="22">
        <v>-1.9150845621394299E-3</v>
      </c>
      <c r="W138" s="22">
        <v>1.1591382205781001E-2</v>
      </c>
      <c r="X138" s="23">
        <v>0.94709743528283796</v>
      </c>
      <c r="Y138" s="23">
        <v>0.90571436398272598</v>
      </c>
      <c r="Z138" s="23">
        <v>0.94502949305836803</v>
      </c>
      <c r="AA138" s="23">
        <v>0.95645846534743895</v>
      </c>
      <c r="AB138" s="21">
        <v>529.00964571503005</v>
      </c>
      <c r="AC138" s="21">
        <v>552.12258727588198</v>
      </c>
      <c r="AD138" s="21">
        <v>559.60778783274895</v>
      </c>
      <c r="AE138" s="22">
        <v>-4.4677991467468599E-2</v>
      </c>
      <c r="AF138" s="22">
        <v>-1.91455700570045E-3</v>
      </c>
      <c r="AG138" s="22">
        <v>1.15515024538677E-2</v>
      </c>
      <c r="AZ138" s="16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16">
        <f t="shared" si="30"/>
        <v>0</v>
      </c>
      <c r="BH138" s="16">
        <f t="shared" si="31"/>
        <v>0</v>
      </c>
      <c r="BI138" s="16">
        <f t="shared" si="32"/>
        <v>0</v>
      </c>
      <c r="BJ138" s="10">
        <f t="shared" si="33"/>
        <v>4.1861007866058404E-2</v>
      </c>
      <c r="BL138" s="16"/>
      <c r="BN138">
        <f t="shared" si="34"/>
        <v>0</v>
      </c>
      <c r="BO138">
        <f t="shared" si="35"/>
        <v>0</v>
      </c>
      <c r="BP138">
        <f t="shared" si="36"/>
        <v>1</v>
      </c>
      <c r="BQ138">
        <f t="shared" si="25"/>
        <v>1</v>
      </c>
      <c r="BR138">
        <f t="shared" si="37"/>
        <v>1</v>
      </c>
      <c r="BS138" s="16">
        <f t="shared" si="38"/>
        <v>-4.4192647335081298E-2</v>
      </c>
      <c r="BT138" s="16">
        <f t="shared" si="39"/>
        <v>5.3038441469003397E-2</v>
      </c>
      <c r="BU138" s="16">
        <f t="shared" si="40"/>
        <v>8.8457941339220997E-3</v>
      </c>
      <c r="BV138" s="10">
        <f t="shared" si="41"/>
        <v>1.4679174577686391E-2</v>
      </c>
      <c r="BX138" s="10">
        <f t="shared" si="42"/>
        <v>8.8457941339220997E-3</v>
      </c>
      <c r="BY138" s="10">
        <f t="shared" si="43"/>
        <v>5.6540182443744792E-2</v>
      </c>
    </row>
    <row r="139" spans="1:77" x14ac:dyDescent="0.3">
      <c r="A139" s="1">
        <v>46225</v>
      </c>
      <c r="B139" s="21">
        <v>586.91</v>
      </c>
      <c r="C139" s="21">
        <v>555.52</v>
      </c>
      <c r="D139" s="22">
        <v>4.8335263491003496E-3</v>
      </c>
      <c r="E139" s="22">
        <v>5.10734635440318E-3</v>
      </c>
      <c r="F139" s="21">
        <v>0</v>
      </c>
      <c r="G139" s="21">
        <v>0</v>
      </c>
      <c r="H139" s="21">
        <v>0</v>
      </c>
      <c r="I139" s="21">
        <v>0.490669999999999</v>
      </c>
      <c r="J139" s="21">
        <v>0</v>
      </c>
      <c r="K139" s="21">
        <v>0.490669999999999</v>
      </c>
      <c r="L139" s="21">
        <v>586.91</v>
      </c>
      <c r="M139" s="21">
        <v>556.01067</v>
      </c>
      <c r="N139" s="23">
        <v>0.94651650167828105</v>
      </c>
      <c r="O139" s="23">
        <v>0.90525826694812095</v>
      </c>
      <c r="P139" s="23">
        <v>0.94406515547329295</v>
      </c>
      <c r="Q139" s="23">
        <v>0.95446718509060802</v>
      </c>
      <c r="R139" s="21">
        <v>531.30512945452199</v>
      </c>
      <c r="S139" s="21">
        <v>554.15508601434396</v>
      </c>
      <c r="T139" s="21">
        <v>560.87554136473102</v>
      </c>
      <c r="U139" s="22">
        <v>-4.4568124086493598E-2</v>
      </c>
      <c r="V139" s="22">
        <v>-2.46002580610887E-3</v>
      </c>
      <c r="W139" s="22">
        <v>9.5944174783371E-3</v>
      </c>
      <c r="X139" s="23">
        <v>0.94735252423710603</v>
      </c>
      <c r="Y139" s="23">
        <v>0.90571436398272598</v>
      </c>
      <c r="Z139" s="23">
        <v>0.94490459877044297</v>
      </c>
      <c r="AA139" s="23">
        <v>0.95528653123456198</v>
      </c>
      <c r="AB139" s="21">
        <v>531.57281736510095</v>
      </c>
      <c r="AC139" s="21">
        <v>554.64725977088699</v>
      </c>
      <c r="AD139" s="21">
        <v>561.35503789706502</v>
      </c>
      <c r="AE139" s="22">
        <v>-4.4947292806918698E-2</v>
      </c>
      <c r="AF139" s="22">
        <v>-2.4551410068232998E-3</v>
      </c>
      <c r="AG139" s="22">
        <v>9.5660867601312701E-3</v>
      </c>
      <c r="AZ139" s="16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16">
        <f t="shared" si="30"/>
        <v>0</v>
      </c>
      <c r="BH139" s="16">
        <f t="shared" si="31"/>
        <v>0</v>
      </c>
      <c r="BI139" s="16">
        <f t="shared" si="32"/>
        <v>0</v>
      </c>
      <c r="BJ139" s="10">
        <f t="shared" si="33"/>
        <v>4.1861007866058404E-2</v>
      </c>
      <c r="BL139" s="16"/>
      <c r="BN139">
        <f t="shared" si="34"/>
        <v>0</v>
      </c>
      <c r="BO139">
        <f t="shared" si="35"/>
        <v>1</v>
      </c>
      <c r="BP139">
        <f t="shared" si="36"/>
        <v>1</v>
      </c>
      <c r="BQ139">
        <f t="shared" si="25"/>
        <v>1</v>
      </c>
      <c r="BR139">
        <f t="shared" si="37"/>
        <v>1</v>
      </c>
      <c r="BS139" s="16">
        <f t="shared" si="38"/>
        <v>-4.8335263491003496E-3</v>
      </c>
      <c r="BT139" s="16">
        <f t="shared" si="39"/>
        <v>5.10734635440318E-3</v>
      </c>
      <c r="BU139" s="16">
        <f t="shared" si="40"/>
        <v>2.7382000530283036E-4</v>
      </c>
      <c r="BV139" s="10">
        <f t="shared" si="41"/>
        <v>1.4952994582989222E-2</v>
      </c>
      <c r="BX139" s="10">
        <f t="shared" si="42"/>
        <v>2.7382000530283036E-4</v>
      </c>
      <c r="BY139" s="10">
        <f t="shared" si="43"/>
        <v>5.6814002449047621E-2</v>
      </c>
    </row>
    <row r="140" spans="1:77" x14ac:dyDescent="0.3">
      <c r="A140" s="1">
        <v>46226</v>
      </c>
      <c r="B140" s="21">
        <v>580.16999999999996</v>
      </c>
      <c r="C140" s="21">
        <v>551.24</v>
      </c>
      <c r="D140" s="22">
        <v>-1.15503220546139E-2</v>
      </c>
      <c r="E140" s="22">
        <v>-7.7343260249865499E-3</v>
      </c>
      <c r="F140" s="21">
        <v>0</v>
      </c>
      <c r="G140" s="21">
        <v>0</v>
      </c>
      <c r="H140" s="21">
        <v>0</v>
      </c>
      <c r="I140" s="21">
        <v>0.490669999999999</v>
      </c>
      <c r="J140" s="21">
        <v>0</v>
      </c>
      <c r="K140" s="21">
        <v>0.490669999999999</v>
      </c>
      <c r="L140" s="21">
        <v>580.16999999999996</v>
      </c>
      <c r="M140" s="21">
        <v>551.73067000000003</v>
      </c>
      <c r="N140" s="23">
        <v>0.95013530516917399</v>
      </c>
      <c r="O140" s="23">
        <v>0.90525826694812095</v>
      </c>
      <c r="P140" s="23">
        <v>0.943361838047867</v>
      </c>
      <c r="Q140" s="23">
        <v>0.95338124046733697</v>
      </c>
      <c r="R140" s="21">
        <v>525.20368873529105</v>
      </c>
      <c r="S140" s="21">
        <v>547.71828125093998</v>
      </c>
      <c r="T140" s="21">
        <v>553.753226774018</v>
      </c>
      <c r="U140" s="22">
        <v>-4.8384120116121102E-2</v>
      </c>
      <c r="V140" s="22">
        <v>-6.4092165545890098E-3</v>
      </c>
      <c r="W140" s="22">
        <v>4.5488624668333696E-3</v>
      </c>
      <c r="X140" s="23">
        <v>0.95098104003998796</v>
      </c>
      <c r="Y140" s="23">
        <v>0.90571436398272598</v>
      </c>
      <c r="Z140" s="23">
        <v>0.94420511667535201</v>
      </c>
      <c r="AA140" s="23">
        <v>0.95420323414459396</v>
      </c>
      <c r="AB140" s="21">
        <v>525.46830255185796</v>
      </c>
      <c r="AC140" s="21">
        <v>548.20530106864805</v>
      </c>
      <c r="AD140" s="21">
        <v>554.22858682635501</v>
      </c>
      <c r="AE140" s="22">
        <v>-4.8770140687965799E-2</v>
      </c>
      <c r="AF140" s="22">
        <v>-6.4101567646731097E-3</v>
      </c>
      <c r="AG140" s="22">
        <v>4.5172027060867096E-3</v>
      </c>
      <c r="AZ140" s="16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16">
        <f t="shared" si="30"/>
        <v>0</v>
      </c>
      <c r="BH140" s="16">
        <f t="shared" si="31"/>
        <v>0</v>
      </c>
      <c r="BI140" s="16">
        <f t="shared" si="32"/>
        <v>0</v>
      </c>
      <c r="BJ140" s="10">
        <f t="shared" si="33"/>
        <v>4.1861007866058404E-2</v>
      </c>
      <c r="BL140" s="16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16">
        <f t="shared" si="38"/>
        <v>0</v>
      </c>
      <c r="BT140" s="16">
        <f t="shared" si="39"/>
        <v>0</v>
      </c>
      <c r="BU140" s="16">
        <f t="shared" si="40"/>
        <v>0</v>
      </c>
      <c r="BV140" s="10">
        <f t="shared" si="41"/>
        <v>1.4952994582989222E-2</v>
      </c>
      <c r="BX140" s="10">
        <f t="shared" si="42"/>
        <v>0</v>
      </c>
      <c r="BY140" s="10">
        <f t="shared" si="43"/>
        <v>5.6814002449047621E-2</v>
      </c>
    </row>
    <row r="141" spans="1:77" x14ac:dyDescent="0.3">
      <c r="A141" s="1">
        <v>46227</v>
      </c>
      <c r="B141" s="21">
        <v>561.19000000000005</v>
      </c>
      <c r="C141" s="21">
        <v>527.01</v>
      </c>
      <c r="D141" s="22">
        <v>-3.3261634932143E-2</v>
      </c>
      <c r="E141" s="22">
        <v>-4.4950762313542801E-2</v>
      </c>
      <c r="F141" s="21">
        <v>0</v>
      </c>
      <c r="G141" s="21">
        <v>0</v>
      </c>
      <c r="H141" s="21">
        <v>0</v>
      </c>
      <c r="I141" s="21">
        <v>0.490669999999999</v>
      </c>
      <c r="J141" s="21">
        <v>0</v>
      </c>
      <c r="K141" s="21">
        <v>0.490669999999999</v>
      </c>
      <c r="L141" s="21">
        <v>561.19000000000005</v>
      </c>
      <c r="M141" s="21">
        <v>527.50067000000001</v>
      </c>
      <c r="N141" s="23">
        <v>0.93909371157718402</v>
      </c>
      <c r="O141" s="23">
        <v>0.90525826694812095</v>
      </c>
      <c r="P141" s="23">
        <v>0.94213021776490302</v>
      </c>
      <c r="Q141" s="23">
        <v>0.95125289627606702</v>
      </c>
      <c r="R141" s="21">
        <v>508.021886828616</v>
      </c>
      <c r="S141" s="21">
        <v>529.40522989408305</v>
      </c>
      <c r="T141" s="21">
        <v>535.02801833786498</v>
      </c>
      <c r="U141" s="22">
        <v>-3.6694992734721397E-2</v>
      </c>
      <c r="V141" s="22">
        <v>4.5346449591582598E-3</v>
      </c>
      <c r="W141" s="22">
        <v>1.50995925562882E-2</v>
      </c>
      <c r="X141" s="23">
        <v>0.93996805003652895</v>
      </c>
      <c r="Y141" s="23">
        <v>0.90571436398272598</v>
      </c>
      <c r="Z141" s="23">
        <v>0.94298062812549699</v>
      </c>
      <c r="AA141" s="23">
        <v>0.95208008549078704</v>
      </c>
      <c r="AB141" s="21">
        <v>508.27784392346598</v>
      </c>
      <c r="AC141" s="21">
        <v>529.87846942704095</v>
      </c>
      <c r="AD141" s="21">
        <v>535.48931296960495</v>
      </c>
      <c r="AE141" s="22">
        <v>-3.7121900571344499E-2</v>
      </c>
      <c r="AF141" s="22">
        <v>4.4975417927802797E-3</v>
      </c>
      <c r="AG141" s="22">
        <v>1.50307970908165E-2</v>
      </c>
      <c r="AZ141" s="16"/>
      <c r="BB141">
        <f t="shared" si="26"/>
        <v>0</v>
      </c>
      <c r="BC141">
        <f t="shared" si="27"/>
        <v>1</v>
      </c>
      <c r="BD141">
        <f t="shared" si="28"/>
        <v>0</v>
      </c>
      <c r="BE141">
        <f t="shared" si="24"/>
        <v>1</v>
      </c>
      <c r="BF141">
        <f t="shared" si="29"/>
        <v>0</v>
      </c>
      <c r="BG141" s="16">
        <f t="shared" si="30"/>
        <v>0</v>
      </c>
      <c r="BH141" s="16">
        <f t="shared" si="31"/>
        <v>0</v>
      </c>
      <c r="BI141" s="16">
        <f t="shared" si="32"/>
        <v>0</v>
      </c>
      <c r="BJ141" s="10">
        <f t="shared" si="33"/>
        <v>4.1861007866058404E-2</v>
      </c>
      <c r="BL141" s="16"/>
      <c r="BN141">
        <f t="shared" si="34"/>
        <v>0</v>
      </c>
      <c r="BO141">
        <f t="shared" si="35"/>
        <v>0</v>
      </c>
      <c r="BP141">
        <f t="shared" si="36"/>
        <v>0</v>
      </c>
      <c r="BQ141">
        <f t="shared" si="25"/>
        <v>1</v>
      </c>
      <c r="BR141">
        <f t="shared" si="37"/>
        <v>0</v>
      </c>
      <c r="BS141" s="16">
        <f t="shared" si="38"/>
        <v>0</v>
      </c>
      <c r="BT141" s="16">
        <f t="shared" si="39"/>
        <v>0</v>
      </c>
      <c r="BU141" s="16">
        <f t="shared" si="40"/>
        <v>0</v>
      </c>
      <c r="BV141" s="10">
        <f t="shared" si="41"/>
        <v>1.4952994582989222E-2</v>
      </c>
      <c r="BX141" s="10">
        <f t="shared" si="42"/>
        <v>0</v>
      </c>
      <c r="BY141" s="10">
        <f t="shared" si="43"/>
        <v>5.6814002449047621E-2</v>
      </c>
    </row>
    <row r="142" spans="1:77" x14ac:dyDescent="0.3">
      <c r="A142" s="1">
        <v>46230</v>
      </c>
      <c r="B142" s="21">
        <v>548.54999999999995</v>
      </c>
      <c r="C142" s="21">
        <v>516.23</v>
      </c>
      <c r="D142" s="22">
        <v>-2.2781095846673802E-2</v>
      </c>
      <c r="E142" s="22">
        <v>-2.0667121088704301E-2</v>
      </c>
      <c r="F142" s="21">
        <v>0</v>
      </c>
      <c r="G142" s="21">
        <v>0</v>
      </c>
      <c r="H142" s="21">
        <v>0</v>
      </c>
      <c r="I142" s="21">
        <v>0.490669999999999</v>
      </c>
      <c r="J142" s="21">
        <v>0</v>
      </c>
      <c r="K142" s="21">
        <v>0.490669999999999</v>
      </c>
      <c r="L142" s="21">
        <v>548.54999999999995</v>
      </c>
      <c r="M142" s="21">
        <v>516.72067000000004</v>
      </c>
      <c r="N142" s="23">
        <v>0.941081031811138</v>
      </c>
      <c r="O142" s="23">
        <v>0.90525826694812095</v>
      </c>
      <c r="P142" s="23">
        <v>0.94170432279021699</v>
      </c>
      <c r="Q142" s="23">
        <v>0.95007850163454799</v>
      </c>
      <c r="R142" s="21">
        <v>496.57942233439201</v>
      </c>
      <c r="S142" s="21">
        <v>516.80553095493804</v>
      </c>
      <c r="T142" s="21">
        <v>521.80977625223602</v>
      </c>
      <c r="U142" s="22">
        <v>-3.8808967492690798E-2</v>
      </c>
      <c r="V142" s="22">
        <v>1.11425211861251E-3</v>
      </c>
      <c r="W142" s="22">
        <v>1.07507055533846E-2</v>
      </c>
      <c r="X142" s="23">
        <v>0.94197551727281004</v>
      </c>
      <c r="Y142" s="23">
        <v>0.90571436398272598</v>
      </c>
      <c r="Z142" s="23">
        <v>0.94256039528257896</v>
      </c>
      <c r="AA142" s="23">
        <v>0.95091030214185801</v>
      </c>
      <c r="AB142" s="21">
        <v>496.82961436272399</v>
      </c>
      <c r="AC142" s="21">
        <v>517.27202355824102</v>
      </c>
      <c r="AD142" s="21">
        <v>522.26353089597103</v>
      </c>
      <c r="AE142" s="22">
        <v>-3.9255299290146699E-2</v>
      </c>
      <c r="AF142" s="22">
        <v>1.0664555251352599E-3</v>
      </c>
      <c r="AG142" s="22">
        <v>1.0669870585521201E-2</v>
      </c>
      <c r="AZ142" s="16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16">
        <f t="shared" si="30"/>
        <v>0</v>
      </c>
      <c r="BH142" s="16">
        <f t="shared" si="31"/>
        <v>0</v>
      </c>
      <c r="BI142" s="16">
        <f t="shared" si="32"/>
        <v>0</v>
      </c>
      <c r="BJ142" s="10">
        <f t="shared" si="33"/>
        <v>4.1861007866058404E-2</v>
      </c>
      <c r="BL142" s="16"/>
      <c r="BN142">
        <f t="shared" si="34"/>
        <v>0</v>
      </c>
      <c r="BO142">
        <f t="shared" si="35"/>
        <v>0</v>
      </c>
      <c r="BP142">
        <f t="shared" si="36"/>
        <v>0</v>
      </c>
      <c r="BQ142">
        <f t="shared" si="25"/>
        <v>1</v>
      </c>
      <c r="BR142">
        <f t="shared" si="37"/>
        <v>0</v>
      </c>
      <c r="BS142" s="16">
        <f t="shared" si="38"/>
        <v>0</v>
      </c>
      <c r="BT142" s="16">
        <f t="shared" si="39"/>
        <v>0</v>
      </c>
      <c r="BU142" s="16">
        <f t="shared" si="40"/>
        <v>0</v>
      </c>
      <c r="BV142" s="10">
        <f t="shared" si="41"/>
        <v>1.4952994582989222E-2</v>
      </c>
      <c r="BX142" s="10">
        <f t="shared" si="42"/>
        <v>0</v>
      </c>
      <c r="BY142" s="10">
        <f t="shared" si="43"/>
        <v>5.6814002449047621E-2</v>
      </c>
    </row>
    <row r="143" spans="1:77" x14ac:dyDescent="0.3">
      <c r="A143" s="1">
        <v>46231</v>
      </c>
      <c r="B143" s="21">
        <v>529.6</v>
      </c>
      <c r="C143" s="21">
        <v>491.46</v>
      </c>
      <c r="D143" s="22">
        <v>-3.5156428640701301E-2</v>
      </c>
      <c r="E143" s="22">
        <v>-4.9171849849131102E-2</v>
      </c>
      <c r="F143" s="21">
        <v>0</v>
      </c>
      <c r="G143" s="21">
        <v>0</v>
      </c>
      <c r="H143" s="21">
        <v>0</v>
      </c>
      <c r="I143" s="21">
        <v>0.490669999999999</v>
      </c>
      <c r="J143" s="21">
        <v>0</v>
      </c>
      <c r="K143" s="21">
        <v>0.490669999999999</v>
      </c>
      <c r="L143" s="21">
        <v>529.6</v>
      </c>
      <c r="M143" s="21">
        <v>491.95067</v>
      </c>
      <c r="N143" s="23">
        <v>0.92798338368580002</v>
      </c>
      <c r="O143" s="23">
        <v>0.90525826694812095</v>
      </c>
      <c r="P143" s="23">
        <v>0.93989820679355196</v>
      </c>
      <c r="Q143" s="23">
        <v>0.94787249343980695</v>
      </c>
      <c r="R143" s="21">
        <v>479.42477817572501</v>
      </c>
      <c r="S143" s="21">
        <v>498.726609349699</v>
      </c>
      <c r="T143" s="21">
        <v>503.16157446565597</v>
      </c>
      <c r="U143" s="22">
        <v>-2.4793546284260799E-2</v>
      </c>
      <c r="V143" s="22">
        <v>1.46775158017669E-2</v>
      </c>
      <c r="W143" s="22">
        <v>2.3530787365263501E-2</v>
      </c>
      <c r="X143" s="23">
        <v>0.92890987537764302</v>
      </c>
      <c r="Y143" s="23">
        <v>0.90571436398272598</v>
      </c>
      <c r="Z143" s="23">
        <v>0.940765192352085</v>
      </c>
      <c r="AA143" s="23">
        <v>0.94871179847411202</v>
      </c>
      <c r="AB143" s="21">
        <v>479.666327165251</v>
      </c>
      <c r="AC143" s="21">
        <v>499.179985341654</v>
      </c>
      <c r="AD143" s="21">
        <v>503.60209601432803</v>
      </c>
      <c r="AE143" s="22">
        <v>-2.52877368049968E-2</v>
      </c>
      <c r="AF143" s="22">
        <v>1.4588275547343399E-2</v>
      </c>
      <c r="AG143" s="22">
        <v>2.3408016985469599E-2</v>
      </c>
      <c r="AZ143" s="16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16">
        <f t="shared" si="30"/>
        <v>0</v>
      </c>
      <c r="BH143" s="16">
        <f t="shared" si="31"/>
        <v>0</v>
      </c>
      <c r="BI143" s="16">
        <f t="shared" si="32"/>
        <v>0</v>
      </c>
      <c r="BJ143" s="10">
        <f t="shared" si="33"/>
        <v>4.1861007866058404E-2</v>
      </c>
      <c r="BL143" s="16"/>
      <c r="BN143">
        <f t="shared" si="34"/>
        <v>0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16">
        <f t="shared" si="38"/>
        <v>0</v>
      </c>
      <c r="BT143" s="16">
        <f t="shared" si="39"/>
        <v>0</v>
      </c>
      <c r="BU143" s="16">
        <f t="shared" si="40"/>
        <v>0</v>
      </c>
      <c r="BV143" s="10">
        <f t="shared" si="41"/>
        <v>1.4952994582989222E-2</v>
      </c>
      <c r="BX143" s="10">
        <f t="shared" si="42"/>
        <v>0</v>
      </c>
      <c r="BY143" s="10">
        <f t="shared" si="43"/>
        <v>5.6814002449047621E-2</v>
      </c>
    </row>
    <row r="144" spans="1:77" x14ac:dyDescent="0.3">
      <c r="A144" s="1">
        <v>46232</v>
      </c>
      <c r="B144" s="21">
        <v>504.22</v>
      </c>
      <c r="C144" s="21">
        <v>465</v>
      </c>
      <c r="D144" s="22">
        <v>-4.9109323856796297E-2</v>
      </c>
      <c r="E144" s="22">
        <v>-5.5343147168209303E-2</v>
      </c>
      <c r="F144" s="21">
        <v>0</v>
      </c>
      <c r="G144" s="21">
        <v>0</v>
      </c>
      <c r="H144" s="21">
        <v>0</v>
      </c>
      <c r="I144" s="21">
        <v>0.490669999999999</v>
      </c>
      <c r="J144" s="21">
        <v>0</v>
      </c>
      <c r="K144" s="21">
        <v>0.490669999999999</v>
      </c>
      <c r="L144" s="21">
        <v>504.22</v>
      </c>
      <c r="M144" s="21">
        <v>465.49067000000002</v>
      </c>
      <c r="N144" s="23">
        <v>0.92221649280076101</v>
      </c>
      <c r="O144" s="23">
        <v>0.90525826694812095</v>
      </c>
      <c r="P144" s="23">
        <v>0.93812896283260405</v>
      </c>
      <c r="Q144" s="23">
        <v>0.94513671270394295</v>
      </c>
      <c r="R144" s="21">
        <v>456.44932336058099</v>
      </c>
      <c r="S144" s="21">
        <v>473.91547382944498</v>
      </c>
      <c r="T144" s="21">
        <v>477.93626864221898</v>
      </c>
      <c r="U144" s="22">
        <v>-1.85597229728478E-2</v>
      </c>
      <c r="V144" s="22">
        <v>1.8991574951546401E-2</v>
      </c>
      <c r="W144" s="22">
        <v>2.7439988814594099E-2</v>
      </c>
      <c r="X144" s="23">
        <v>0.92318961961048696</v>
      </c>
      <c r="Y144" s="23">
        <v>0.90571436398272598</v>
      </c>
      <c r="Z144" s="23">
        <v>0.93901020506046395</v>
      </c>
      <c r="AA144" s="23">
        <v>0.94598726917852305</v>
      </c>
      <c r="AB144" s="21">
        <v>456.67929660737002</v>
      </c>
      <c r="AC144" s="21">
        <v>474.35262528776798</v>
      </c>
      <c r="AD144" s="21">
        <v>478.35946302661603</v>
      </c>
      <c r="AE144" s="22">
        <v>-1.91106669756256E-2</v>
      </c>
      <c r="AF144" s="22">
        <v>1.8858926767003702E-2</v>
      </c>
      <c r="AG144" s="22">
        <v>2.7270411018413699E-2</v>
      </c>
      <c r="AZ144" s="16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16">
        <f t="shared" si="30"/>
        <v>0</v>
      </c>
      <c r="BH144" s="16">
        <f t="shared" si="31"/>
        <v>0</v>
      </c>
      <c r="BI144" s="16">
        <f t="shared" si="32"/>
        <v>0</v>
      </c>
      <c r="BJ144" s="10">
        <f t="shared" si="33"/>
        <v>4.1861007866058404E-2</v>
      </c>
      <c r="BL144" s="16"/>
      <c r="BN144">
        <f t="shared" si="34"/>
        <v>1</v>
      </c>
      <c r="BO144">
        <f t="shared" si="35"/>
        <v>0</v>
      </c>
      <c r="BP144">
        <f t="shared" si="36"/>
        <v>0</v>
      </c>
      <c r="BQ144">
        <f t="shared" si="25"/>
        <v>1</v>
      </c>
      <c r="BR144">
        <f t="shared" si="37"/>
        <v>0</v>
      </c>
      <c r="BS144" s="16">
        <f t="shared" si="38"/>
        <v>0</v>
      </c>
      <c r="BT144" s="16">
        <f t="shared" si="39"/>
        <v>0</v>
      </c>
      <c r="BU144" s="16">
        <f t="shared" si="40"/>
        <v>0</v>
      </c>
      <c r="BV144" s="10">
        <f t="shared" si="41"/>
        <v>1.4952994582989222E-2</v>
      </c>
      <c r="BX144" s="10">
        <f t="shared" si="42"/>
        <v>0</v>
      </c>
      <c r="BY144" s="10">
        <f t="shared" si="43"/>
        <v>5.6814002449047621E-2</v>
      </c>
    </row>
    <row r="145" spans="1:77" x14ac:dyDescent="0.3">
      <c r="A145" s="1">
        <v>46233</v>
      </c>
      <c r="B145" s="21">
        <v>538.9</v>
      </c>
      <c r="C145" s="21">
        <v>504.53</v>
      </c>
      <c r="D145" s="22">
        <v>6.6517344173448706E-2</v>
      </c>
      <c r="E145" s="22">
        <v>8.1589897254995297E-2</v>
      </c>
      <c r="F145" s="21">
        <v>0</v>
      </c>
      <c r="G145" s="21">
        <v>0</v>
      </c>
      <c r="H145" s="21">
        <v>0</v>
      </c>
      <c r="I145" s="21">
        <v>0.490669999999999</v>
      </c>
      <c r="J145" s="21">
        <v>0</v>
      </c>
      <c r="K145" s="21">
        <v>0.490669999999999</v>
      </c>
      <c r="L145" s="21">
        <v>538.9</v>
      </c>
      <c r="M145" s="21">
        <v>505.02067</v>
      </c>
      <c r="N145" s="23">
        <v>0.93622193356838002</v>
      </c>
      <c r="O145" s="23">
        <v>0.90525826694812095</v>
      </c>
      <c r="P145" s="23">
        <v>0.93850430250175298</v>
      </c>
      <c r="Q145" s="23">
        <v>0.94362076170805598</v>
      </c>
      <c r="R145" s="21">
        <v>487.84368005834199</v>
      </c>
      <c r="S145" s="21">
        <v>505.55769807049001</v>
      </c>
      <c r="T145" s="21">
        <v>509.334174476155</v>
      </c>
      <c r="U145" s="22">
        <v>-3.3632276054394401E-2</v>
      </c>
      <c r="V145" s="22">
        <v>2.0348696990744801E-3</v>
      </c>
      <c r="W145" s="22">
        <v>9.4770296730610007E-3</v>
      </c>
      <c r="X145" s="23">
        <v>0.93713243644460897</v>
      </c>
      <c r="Y145" s="23">
        <v>0.90571436398272598</v>
      </c>
      <c r="Z145" s="23">
        <v>0.93939034914786901</v>
      </c>
      <c r="AA145" s="23">
        <v>0.94447730250189799</v>
      </c>
      <c r="AB145" s="21">
        <v>488.08947075029101</v>
      </c>
      <c r="AC145" s="21">
        <v>506.032599507084</v>
      </c>
      <c r="AD145" s="21">
        <v>509.79253936030602</v>
      </c>
      <c r="AE145" s="22">
        <v>-3.41006283812633E-2</v>
      </c>
      <c r="AF145" s="22">
        <v>2.0017339847431801E-3</v>
      </c>
      <c r="AG145" s="22">
        <v>9.4044982598595808E-3</v>
      </c>
      <c r="AZ145" s="16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16">
        <f t="shared" si="30"/>
        <v>0</v>
      </c>
      <c r="BH145" s="16">
        <f t="shared" si="31"/>
        <v>0</v>
      </c>
      <c r="BI145" s="16">
        <f t="shared" si="32"/>
        <v>0</v>
      </c>
      <c r="BJ145" s="10">
        <f t="shared" si="33"/>
        <v>4.1861007866058404E-2</v>
      </c>
      <c r="BL145" s="16"/>
      <c r="BN145">
        <f t="shared" si="34"/>
        <v>0</v>
      </c>
      <c r="BO145">
        <f t="shared" si="35"/>
        <v>1</v>
      </c>
      <c r="BP145">
        <f t="shared" si="36"/>
        <v>1</v>
      </c>
      <c r="BQ145">
        <f t="shared" si="25"/>
        <v>1</v>
      </c>
      <c r="BR145">
        <f t="shared" si="37"/>
        <v>1</v>
      </c>
      <c r="BS145" s="16">
        <f t="shared" si="38"/>
        <v>-6.6517344173448706E-2</v>
      </c>
      <c r="BT145" s="16">
        <f t="shared" si="39"/>
        <v>8.1589897254995297E-2</v>
      </c>
      <c r="BU145" s="16">
        <f t="shared" si="40"/>
        <v>1.5072553081546591E-2</v>
      </c>
      <c r="BV145" s="10">
        <f t="shared" si="41"/>
        <v>3.0025547664535815E-2</v>
      </c>
      <c r="BX145" s="10">
        <f t="shared" si="42"/>
        <v>1.5072553081546591E-2</v>
      </c>
      <c r="BY145" s="10">
        <f t="shared" si="43"/>
        <v>7.1886555530594212E-2</v>
      </c>
    </row>
    <row r="146" spans="1:77" x14ac:dyDescent="0.3">
      <c r="A146" s="1">
        <v>46234</v>
      </c>
      <c r="B146" s="21">
        <v>540.53</v>
      </c>
      <c r="C146" s="21">
        <v>504.89</v>
      </c>
      <c r="D146" s="22">
        <v>3.02011476232516E-3</v>
      </c>
      <c r="E146" s="22">
        <v>7.1328092422015402E-4</v>
      </c>
      <c r="F146" s="21">
        <v>0</v>
      </c>
      <c r="G146" s="21">
        <v>0</v>
      </c>
      <c r="H146" s="21">
        <v>0</v>
      </c>
      <c r="I146" s="21">
        <v>0.490669999999999</v>
      </c>
      <c r="J146" s="21">
        <v>0</v>
      </c>
      <c r="K146" s="21">
        <v>0.490669999999999</v>
      </c>
      <c r="L146" s="21">
        <v>540.53</v>
      </c>
      <c r="M146" s="21">
        <v>505.38067000000001</v>
      </c>
      <c r="N146" s="23">
        <v>0.93406471426192805</v>
      </c>
      <c r="O146" s="23">
        <v>0.90525826694812095</v>
      </c>
      <c r="P146" s="23">
        <v>0.93814943132287498</v>
      </c>
      <c r="Q146" s="23">
        <v>0.94251633563385195</v>
      </c>
      <c r="R146" s="21">
        <v>489.31925103346799</v>
      </c>
      <c r="S146" s="21">
        <v>507.28973063127199</v>
      </c>
      <c r="T146" s="21">
        <v>510.05533032605501</v>
      </c>
      <c r="U146" s="22">
        <v>-3.1325442216289301E-2</v>
      </c>
      <c r="V146" s="22">
        <v>4.7417174142511198E-3</v>
      </c>
      <c r="W146" s="22">
        <v>1.01786269024981E-2</v>
      </c>
      <c r="X146" s="23">
        <v>0.93497247146319296</v>
      </c>
      <c r="Y146" s="23">
        <v>0.90571436398272598</v>
      </c>
      <c r="Z146" s="23">
        <v>0.93903808773220598</v>
      </c>
      <c r="AA146" s="23">
        <v>0.94337684285568801</v>
      </c>
      <c r="AB146" s="21">
        <v>489.56578516358297</v>
      </c>
      <c r="AC146" s="21">
        <v>507.76866542489699</v>
      </c>
      <c r="AD146" s="21">
        <v>510.51831632135003</v>
      </c>
      <c r="AE146" s="22">
        <v>-3.1793101777686003E-2</v>
      </c>
      <c r="AF146" s="22">
        <v>4.7140135487512298E-3</v>
      </c>
      <c r="AG146" s="22">
        <v>1.01145688514621E-2</v>
      </c>
      <c r="AZ146" s="16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1</v>
      </c>
      <c r="BF146">
        <f t="shared" si="29"/>
        <v>0</v>
      </c>
      <c r="BG146" s="16">
        <f t="shared" si="30"/>
        <v>0</v>
      </c>
      <c r="BH146" s="16">
        <f t="shared" si="31"/>
        <v>0</v>
      </c>
      <c r="BI146" s="16">
        <f t="shared" si="32"/>
        <v>0</v>
      </c>
      <c r="BJ146" s="10">
        <f t="shared" si="33"/>
        <v>4.1861007866058404E-2</v>
      </c>
      <c r="BL146" s="16"/>
      <c r="BN146">
        <f t="shared" si="34"/>
        <v>0</v>
      </c>
      <c r="BO146">
        <f t="shared" si="35"/>
        <v>0</v>
      </c>
      <c r="BP146">
        <f t="shared" si="36"/>
        <v>0</v>
      </c>
      <c r="BQ146">
        <f t="shared" si="25"/>
        <v>1</v>
      </c>
      <c r="BR146">
        <f t="shared" si="37"/>
        <v>0</v>
      </c>
      <c r="BS146" s="16">
        <f t="shared" si="38"/>
        <v>0</v>
      </c>
      <c r="BT146" s="16">
        <f t="shared" si="39"/>
        <v>0</v>
      </c>
      <c r="BU146" s="16">
        <f t="shared" si="40"/>
        <v>0</v>
      </c>
      <c r="BV146" s="10">
        <f t="shared" si="41"/>
        <v>3.0025547664535815E-2</v>
      </c>
      <c r="BX146" s="10">
        <f t="shared" si="42"/>
        <v>0</v>
      </c>
      <c r="BY146" s="10">
        <f t="shared" si="43"/>
        <v>7.1886555530594212E-2</v>
      </c>
    </row>
    <row r="147" spans="1:77" x14ac:dyDescent="0.3">
      <c r="A147" s="1">
        <v>46237</v>
      </c>
      <c r="B147" s="21">
        <v>545.46</v>
      </c>
      <c r="C147" s="21">
        <v>507.68</v>
      </c>
      <c r="D147" s="22">
        <v>9.0793356600458106E-3</v>
      </c>
      <c r="E147" s="22">
        <v>5.5107440683137103E-3</v>
      </c>
      <c r="F147" s="21">
        <v>0</v>
      </c>
      <c r="G147" s="21">
        <v>0</v>
      </c>
      <c r="H147" s="21">
        <v>0</v>
      </c>
      <c r="I147" s="21">
        <v>0.490669999999999</v>
      </c>
      <c r="J147" s="21">
        <v>0</v>
      </c>
      <c r="K147" s="21">
        <v>0.490669999999999</v>
      </c>
      <c r="L147" s="21">
        <v>545.46</v>
      </c>
      <c r="M147" s="21">
        <v>508.17066999999997</v>
      </c>
      <c r="N147" s="23">
        <v>0.930737359293073</v>
      </c>
      <c r="O147" s="23">
        <v>0.90525826694812095</v>
      </c>
      <c r="P147" s="23">
        <v>0.93743077958509202</v>
      </c>
      <c r="Q147" s="23">
        <v>0.94093885641995201</v>
      </c>
      <c r="R147" s="21">
        <v>493.782174289522</v>
      </c>
      <c r="S147" s="21">
        <v>511.72298880937501</v>
      </c>
      <c r="T147" s="21">
        <v>514.10496043484102</v>
      </c>
      <c r="U147" s="22">
        <v>-2.7756850624557201E-2</v>
      </c>
      <c r="V147" s="22">
        <v>7.93211330934342E-3</v>
      </c>
      <c r="W147" s="22">
        <v>1.2576119954273201E-2</v>
      </c>
      <c r="X147" s="23">
        <v>0.93163691196421305</v>
      </c>
      <c r="Y147" s="23">
        <v>0.90571436398272598</v>
      </c>
      <c r="Z147" s="23">
        <v>0.93832158817294198</v>
      </c>
      <c r="AA147" s="23">
        <v>0.941803743062537</v>
      </c>
      <c r="AB147" s="21">
        <v>494.030956978017</v>
      </c>
      <c r="AC147" s="21">
        <v>512.20771533440904</v>
      </c>
      <c r="AD147" s="21">
        <v>514.57433270406398</v>
      </c>
      <c r="AE147" s="22">
        <v>-2.8219174550054401E-2</v>
      </c>
      <c r="AF147" s="22">
        <v>7.9128810585078896E-3</v>
      </c>
      <c r="AG147" s="22">
        <v>1.2522664731839399E-2</v>
      </c>
      <c r="AZ147" s="16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16">
        <f t="shared" si="30"/>
        <v>0</v>
      </c>
      <c r="BH147" s="16">
        <f t="shared" si="31"/>
        <v>0</v>
      </c>
      <c r="BI147" s="16">
        <f t="shared" si="32"/>
        <v>0</v>
      </c>
      <c r="BJ147" s="10">
        <f t="shared" si="33"/>
        <v>4.1861007866058404E-2</v>
      </c>
      <c r="BL147" s="16"/>
      <c r="BN147">
        <f t="shared" si="34"/>
        <v>0</v>
      </c>
      <c r="BO147">
        <f t="shared" si="35"/>
        <v>0</v>
      </c>
      <c r="BP147">
        <f t="shared" si="36"/>
        <v>0</v>
      </c>
      <c r="BQ147">
        <f t="shared" si="25"/>
        <v>1</v>
      </c>
      <c r="BR147">
        <f t="shared" si="37"/>
        <v>0</v>
      </c>
      <c r="BS147" s="16">
        <f t="shared" si="38"/>
        <v>0</v>
      </c>
      <c r="BT147" s="16">
        <f t="shared" si="39"/>
        <v>0</v>
      </c>
      <c r="BU147" s="16">
        <f t="shared" si="40"/>
        <v>0</v>
      </c>
      <c r="BV147" s="10">
        <f t="shared" si="41"/>
        <v>3.0025547664535815E-2</v>
      </c>
      <c r="BX147" s="10">
        <f t="shared" si="42"/>
        <v>0</v>
      </c>
      <c r="BY147" s="10">
        <f t="shared" si="43"/>
        <v>7.1886555530594212E-2</v>
      </c>
    </row>
    <row r="148" spans="1:77" x14ac:dyDescent="0.3">
      <c r="A148" s="1">
        <v>46238</v>
      </c>
      <c r="B148" s="21">
        <v>575.71</v>
      </c>
      <c r="C148" s="21">
        <v>542.21</v>
      </c>
      <c r="D148" s="22">
        <v>5.3974586327150902E-2</v>
      </c>
      <c r="E148" s="22">
        <v>6.5802052438429695E-2</v>
      </c>
      <c r="F148" s="21">
        <v>0</v>
      </c>
      <c r="G148" s="21">
        <v>0</v>
      </c>
      <c r="H148" s="21">
        <v>0</v>
      </c>
      <c r="I148" s="21">
        <v>0.490669999999999</v>
      </c>
      <c r="J148" s="21">
        <v>0</v>
      </c>
      <c r="K148" s="21">
        <v>0.490669999999999</v>
      </c>
      <c r="L148" s="21">
        <v>575.71</v>
      </c>
      <c r="M148" s="21">
        <v>542.70066999999995</v>
      </c>
      <c r="N148" s="23">
        <v>0.94181098122318496</v>
      </c>
      <c r="O148" s="23">
        <v>0.90525826694812095</v>
      </c>
      <c r="P148" s="23">
        <v>0.93698614150688997</v>
      </c>
      <c r="Q148" s="23">
        <v>0.94058852492388401</v>
      </c>
      <c r="R148" s="21">
        <v>521.16623686470302</v>
      </c>
      <c r="S148" s="21">
        <v>539.68827411493305</v>
      </c>
      <c r="T148" s="21">
        <v>541.70790902953104</v>
      </c>
      <c r="U148" s="22">
        <v>-3.9584316735835998E-2</v>
      </c>
      <c r="V148" s="22">
        <v>-4.6616775570937604E-3</v>
      </c>
      <c r="W148" s="22">
        <v>-9.2643732924387598E-4</v>
      </c>
      <c r="X148" s="23">
        <v>0.94266326796477395</v>
      </c>
      <c r="Y148" s="23">
        <v>0.90571436398272598</v>
      </c>
      <c r="Z148" s="23">
        <v>0.93787817144113494</v>
      </c>
      <c r="AA148" s="23">
        <v>0.94145383224975199</v>
      </c>
      <c r="AB148" s="21">
        <v>521.42881648849504</v>
      </c>
      <c r="AC148" s="21">
        <v>540.20112152704405</v>
      </c>
      <c r="AD148" s="21">
        <v>542.20583291853302</v>
      </c>
      <c r="AE148" s="22">
        <v>-3.9985148137448502E-2</v>
      </c>
      <c r="AF148" s="22">
        <v>-4.6163981471422496E-3</v>
      </c>
      <c r="AG148" s="22">
        <v>-9.1222075718056699E-4</v>
      </c>
      <c r="AZ148" s="16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16">
        <f t="shared" si="30"/>
        <v>0</v>
      </c>
      <c r="BH148" s="16">
        <f t="shared" si="31"/>
        <v>0</v>
      </c>
      <c r="BI148" s="16">
        <f t="shared" si="32"/>
        <v>0</v>
      </c>
      <c r="BJ148" s="10">
        <f t="shared" si="33"/>
        <v>4.1861007866058404E-2</v>
      </c>
      <c r="BL148" s="16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16">
        <f t="shared" si="38"/>
        <v>0</v>
      </c>
      <c r="BT148" s="16">
        <f t="shared" si="39"/>
        <v>0</v>
      </c>
      <c r="BU148" s="16">
        <f t="shared" si="40"/>
        <v>0</v>
      </c>
      <c r="BV148" s="10">
        <f t="shared" si="41"/>
        <v>3.0025547664535815E-2</v>
      </c>
      <c r="BX148" s="10">
        <f t="shared" si="42"/>
        <v>0</v>
      </c>
      <c r="BY148" s="10">
        <f t="shared" si="43"/>
        <v>7.1886555530594212E-2</v>
      </c>
    </row>
    <row r="149" spans="1:77" x14ac:dyDescent="0.3">
      <c r="A149" s="1">
        <v>46239</v>
      </c>
      <c r="B149" s="21">
        <v>569.70000000000005</v>
      </c>
      <c r="C149" s="21">
        <v>530.70000000000005</v>
      </c>
      <c r="D149" s="22">
        <v>-1.0494155202623E-2</v>
      </c>
      <c r="E149" s="22">
        <v>-2.1456490439465799E-2</v>
      </c>
      <c r="F149" s="21">
        <v>0</v>
      </c>
      <c r="G149" s="21">
        <v>0</v>
      </c>
      <c r="H149" s="21">
        <v>0</v>
      </c>
      <c r="I149" s="21">
        <v>0.490669999999999</v>
      </c>
      <c r="J149" s="21">
        <v>0</v>
      </c>
      <c r="K149" s="21">
        <v>0.490669999999999</v>
      </c>
      <c r="L149" s="21">
        <v>569.70000000000005</v>
      </c>
      <c r="M149" s="21">
        <v>531.19066999999995</v>
      </c>
      <c r="N149" s="23">
        <v>0.93154291732490702</v>
      </c>
      <c r="O149" s="23">
        <v>0.90525826694812095</v>
      </c>
      <c r="P149" s="23">
        <v>0.93548878307155303</v>
      </c>
      <c r="Q149" s="23">
        <v>0.93977696927242305</v>
      </c>
      <c r="R149" s="21">
        <v>515.72563468034502</v>
      </c>
      <c r="S149" s="21">
        <v>533.80100481647503</v>
      </c>
      <c r="T149" s="21">
        <v>535.85328264913699</v>
      </c>
      <c r="U149" s="22">
        <v>-2.8621981498993001E-2</v>
      </c>
      <c r="V149" s="22">
        <v>5.82622951860883E-3</v>
      </c>
      <c r="W149" s="22">
        <v>9.6635073661797306E-3</v>
      </c>
      <c r="X149" s="23">
        <v>0.93240419519045104</v>
      </c>
      <c r="Y149" s="23">
        <v>0.90571436398272598</v>
      </c>
      <c r="Z149" s="23">
        <v>0.93638333853646905</v>
      </c>
      <c r="AA149" s="23">
        <v>0.94064396865345601</v>
      </c>
      <c r="AB149" s="21">
        <v>515.98547316095903</v>
      </c>
      <c r="AC149" s="21">
        <v>534.30919427001504</v>
      </c>
      <c r="AD149" s="21">
        <v>536.34624823268302</v>
      </c>
      <c r="AE149" s="22">
        <v>-2.9042421705524301E-2</v>
      </c>
      <c r="AF149" s="22">
        <v>5.8536528803747601E-3</v>
      </c>
      <c r="AG149" s="22">
        <v>9.6589040187631293E-3</v>
      </c>
      <c r="AZ149" s="16"/>
      <c r="BB149">
        <f t="shared" si="26"/>
        <v>0</v>
      </c>
      <c r="BC149">
        <f t="shared" si="27"/>
        <v>1</v>
      </c>
      <c r="BD149">
        <f t="shared" si="28"/>
        <v>0</v>
      </c>
      <c r="BE149">
        <f t="shared" si="24"/>
        <v>1</v>
      </c>
      <c r="BF149">
        <f t="shared" si="29"/>
        <v>0</v>
      </c>
      <c r="BG149" s="16">
        <f t="shared" si="30"/>
        <v>0</v>
      </c>
      <c r="BH149" s="16">
        <f t="shared" si="31"/>
        <v>0</v>
      </c>
      <c r="BI149" s="16">
        <f t="shared" si="32"/>
        <v>0</v>
      </c>
      <c r="BJ149" s="10">
        <f t="shared" si="33"/>
        <v>4.1861007866058404E-2</v>
      </c>
      <c r="BL149" s="16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16">
        <f t="shared" si="38"/>
        <v>0</v>
      </c>
      <c r="BT149" s="16">
        <f t="shared" si="39"/>
        <v>0</v>
      </c>
      <c r="BU149" s="16">
        <f t="shared" si="40"/>
        <v>0</v>
      </c>
      <c r="BV149" s="10">
        <f t="shared" si="41"/>
        <v>3.0025547664535815E-2</v>
      </c>
      <c r="BX149" s="10">
        <f t="shared" si="42"/>
        <v>0</v>
      </c>
      <c r="BY149" s="10">
        <f t="shared" si="43"/>
        <v>7.1886555530594212E-2</v>
      </c>
    </row>
    <row r="150" spans="1:77" x14ac:dyDescent="0.3">
      <c r="A150" s="1">
        <v>46240</v>
      </c>
      <c r="B150" s="21">
        <v>571.48</v>
      </c>
      <c r="C150" s="21">
        <v>532.52</v>
      </c>
      <c r="D150" s="22">
        <v>3.1195805106073999E-3</v>
      </c>
      <c r="E150" s="22">
        <v>3.4235657298670101E-3</v>
      </c>
      <c r="F150" s="21">
        <v>0</v>
      </c>
      <c r="G150" s="21">
        <v>0</v>
      </c>
      <c r="H150" s="21">
        <v>0</v>
      </c>
      <c r="I150" s="21">
        <v>0.490669999999999</v>
      </c>
      <c r="J150" s="21">
        <v>0</v>
      </c>
      <c r="K150" s="21">
        <v>0.490669999999999</v>
      </c>
      <c r="L150" s="21">
        <v>571.48</v>
      </c>
      <c r="M150" s="21">
        <v>533.01067</v>
      </c>
      <c r="N150" s="23">
        <v>0.93182613564779104</v>
      </c>
      <c r="O150" s="23">
        <v>0.90525826694812095</v>
      </c>
      <c r="P150" s="23">
        <v>0.93365786611941504</v>
      </c>
      <c r="Q150" s="23">
        <v>0.93850985208364102</v>
      </c>
      <c r="R150" s="21">
        <v>517.33699439551197</v>
      </c>
      <c r="S150" s="21">
        <v>534.613129749731</v>
      </c>
      <c r="T150" s="21">
        <v>537.06374239980403</v>
      </c>
      <c r="U150" s="22">
        <v>-2.8925966718252601E-2</v>
      </c>
      <c r="V150" s="22">
        <v>3.9229077903746197E-3</v>
      </c>
      <c r="W150" s="22">
        <v>8.4963328314845692E-3</v>
      </c>
      <c r="X150" s="23">
        <v>0.93268473087422099</v>
      </c>
      <c r="Y150" s="23">
        <v>0.90571436398272598</v>
      </c>
      <c r="Z150" s="23">
        <v>0.93455370761989298</v>
      </c>
      <c r="AA150" s="23">
        <v>0.93937941214762199</v>
      </c>
      <c r="AB150" s="21">
        <v>517.59764472884797</v>
      </c>
      <c r="AC150" s="21">
        <v>535.12435030682104</v>
      </c>
      <c r="AD150" s="21">
        <v>537.55921520607706</v>
      </c>
      <c r="AE150" s="22">
        <v>-2.93432499201636E-2</v>
      </c>
      <c r="AF150" s="22">
        <v>3.9577076410704003E-3</v>
      </c>
      <c r="AG150" s="22">
        <v>8.4974790318512201E-3</v>
      </c>
      <c r="AZ150" s="16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16">
        <f t="shared" si="30"/>
        <v>0</v>
      </c>
      <c r="BH150" s="16">
        <f t="shared" si="31"/>
        <v>0</v>
      </c>
      <c r="BI150" s="16">
        <f t="shared" si="32"/>
        <v>0</v>
      </c>
      <c r="BJ150" s="10">
        <f t="shared" si="33"/>
        <v>4.1861007866058404E-2</v>
      </c>
      <c r="BL150" s="16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16">
        <f t="shared" si="38"/>
        <v>0</v>
      </c>
      <c r="BT150" s="16">
        <f t="shared" si="39"/>
        <v>0</v>
      </c>
      <c r="BU150" s="16">
        <f t="shared" si="40"/>
        <v>0</v>
      </c>
      <c r="BV150" s="10">
        <f t="shared" si="41"/>
        <v>3.0025547664535815E-2</v>
      </c>
      <c r="BX150" s="10">
        <f t="shared" si="42"/>
        <v>0</v>
      </c>
      <c r="BY150" s="10">
        <f t="shared" si="43"/>
        <v>7.1886555530594212E-2</v>
      </c>
    </row>
    <row r="151" spans="1:77" x14ac:dyDescent="0.3">
      <c r="A151" s="1">
        <v>46241</v>
      </c>
      <c r="B151" s="21">
        <v>582.70000000000005</v>
      </c>
      <c r="C151" s="21">
        <v>543.27</v>
      </c>
      <c r="D151" s="22">
        <v>1.9442987152071101E-2</v>
      </c>
      <c r="E151" s="22">
        <v>1.9985978357644402E-2</v>
      </c>
      <c r="F151" s="21">
        <v>0</v>
      </c>
      <c r="G151" s="21">
        <v>0</v>
      </c>
      <c r="H151" s="21">
        <v>0</v>
      </c>
      <c r="I151" s="21">
        <v>0.490669999999999</v>
      </c>
      <c r="J151" s="21">
        <v>0</v>
      </c>
      <c r="K151" s="21">
        <v>0.490669999999999</v>
      </c>
      <c r="L151" s="21">
        <v>582.70000000000005</v>
      </c>
      <c r="M151" s="21">
        <v>543.76067</v>
      </c>
      <c r="N151" s="23">
        <v>0.93233224643899004</v>
      </c>
      <c r="O151" s="23">
        <v>0.90525826694812095</v>
      </c>
      <c r="P151" s="23">
        <v>0.93298171960559595</v>
      </c>
      <c r="Q151" s="23">
        <v>0.93755596868524904</v>
      </c>
      <c r="R151" s="21">
        <v>527.49399215067001</v>
      </c>
      <c r="S151" s="21">
        <v>544.04243858778295</v>
      </c>
      <c r="T151" s="21">
        <v>546.86969080913798</v>
      </c>
      <c r="U151" s="22">
        <v>-2.9468957923825801E-2</v>
      </c>
      <c r="V151" s="22">
        <v>1.42082200169124E-3</v>
      </c>
      <c r="W151" s="22">
        <v>6.6041149086738899E-3</v>
      </c>
      <c r="X151" s="23">
        <v>0.93317430925004197</v>
      </c>
      <c r="Y151" s="23">
        <v>0.90571436398272598</v>
      </c>
      <c r="Z151" s="23">
        <v>0.93387433354124405</v>
      </c>
      <c r="AA151" s="23">
        <v>0.93842748083337102</v>
      </c>
      <c r="AB151" s="21">
        <v>527.759759892734</v>
      </c>
      <c r="AC151" s="21">
        <v>544.56444543011105</v>
      </c>
      <c r="AD151" s="21">
        <v>547.37638345841901</v>
      </c>
      <c r="AE151" s="22">
        <v>-2.98680252397658E-2</v>
      </c>
      <c r="AF151" s="22">
        <v>1.47708725059252E-3</v>
      </c>
      <c r="AG151" s="22">
        <v>6.6274473612322696E-3</v>
      </c>
      <c r="AZ151" s="16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16">
        <f t="shared" ref="BG151:BG167" si="50">BF151*D151</f>
        <v>0</v>
      </c>
      <c r="BH151" s="16">
        <f t="shared" ref="BH151:BH167" si="51">-BF151*$E151</f>
        <v>0</v>
      </c>
      <c r="BI151" s="16">
        <f t="shared" ref="BI151:BI167" si="52">BG151+BH151</f>
        <v>0</v>
      </c>
      <c r="BJ151" s="10">
        <f t="shared" ref="BJ151:BJ167" si="53">BJ150+BI151</f>
        <v>4.1861007866058404E-2</v>
      </c>
      <c r="BL151" s="16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16">
        <f t="shared" ref="BS151:BS167" si="58">-BR151*D151</f>
        <v>0</v>
      </c>
      <c r="BT151" s="16">
        <f t="shared" ref="BT151:BT167" si="59">BR151*$E151</f>
        <v>0</v>
      </c>
      <c r="BU151" s="16">
        <f t="shared" ref="BU151:BU167" si="60">BS151+BT151</f>
        <v>0</v>
      </c>
      <c r="BV151" s="10">
        <f t="shared" ref="BV151:BV167" si="61">BV150+BU151</f>
        <v>3.0025547664535815E-2</v>
      </c>
      <c r="BX151" s="10">
        <f t="shared" ref="BX151:BX167" si="62">BI151+BU151</f>
        <v>0</v>
      </c>
      <c r="BY151" s="10">
        <f t="shared" ref="BY151:BY167" si="63">BY150+BX151</f>
        <v>7.1886555530594212E-2</v>
      </c>
    </row>
    <row r="152" spans="1:77" x14ac:dyDescent="0.3">
      <c r="A152" s="1">
        <v>46244</v>
      </c>
      <c r="B152" s="21">
        <v>569.41</v>
      </c>
      <c r="C152" s="21">
        <v>529.39</v>
      </c>
      <c r="D152" s="22">
        <v>-2.3071737112978202E-2</v>
      </c>
      <c r="E152" s="22">
        <v>-2.58810336154164E-2</v>
      </c>
      <c r="F152" s="21">
        <v>0</v>
      </c>
      <c r="G152" s="21">
        <v>0</v>
      </c>
      <c r="H152" s="21">
        <v>0</v>
      </c>
      <c r="I152" s="21">
        <v>0.490669999999999</v>
      </c>
      <c r="J152" s="21">
        <v>0</v>
      </c>
      <c r="K152" s="21">
        <v>0.490669999999999</v>
      </c>
      <c r="L152" s="21">
        <v>569.41</v>
      </c>
      <c r="M152" s="21">
        <v>529.88067000000001</v>
      </c>
      <c r="N152" s="23">
        <v>0.92971672432869101</v>
      </c>
      <c r="O152" s="23">
        <v>0.90525826694812095</v>
      </c>
      <c r="P152" s="23">
        <v>0.93184528885735096</v>
      </c>
      <c r="Q152" s="23">
        <v>0.93677480582378403</v>
      </c>
      <c r="R152" s="21">
        <v>515.46310978293002</v>
      </c>
      <c r="S152" s="21">
        <v>531.24912096062201</v>
      </c>
      <c r="T152" s="21">
        <v>533.85374412906799</v>
      </c>
      <c r="U152" s="22">
        <v>-2.66596614213876E-2</v>
      </c>
      <c r="V152" s="22">
        <v>3.50566526895534E-3</v>
      </c>
      <c r="W152" s="22">
        <v>8.3965137414982096E-3</v>
      </c>
      <c r="X152" s="23">
        <v>0.93057844084227503</v>
      </c>
      <c r="Y152" s="23">
        <v>0.90571436398272598</v>
      </c>
      <c r="Z152" s="23">
        <v>0.93273462589819101</v>
      </c>
      <c r="AA152" s="23">
        <v>0.93764751059038498</v>
      </c>
      <c r="AB152" s="21">
        <v>515.72281599540395</v>
      </c>
      <c r="AC152" s="21">
        <v>531.75738426171995</v>
      </c>
      <c r="AD152" s="21">
        <v>534.34999186132904</v>
      </c>
      <c r="AE152" s="22">
        <v>-2.7082387406365201E-2</v>
      </c>
      <c r="AF152" s="22">
        <v>3.5355104483507501E-3</v>
      </c>
      <c r="AG152" s="22">
        <v>8.3992094874404209E-3</v>
      </c>
      <c r="AZ152" s="16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16">
        <f t="shared" si="50"/>
        <v>0</v>
      </c>
      <c r="BH152" s="16">
        <f t="shared" si="51"/>
        <v>0</v>
      </c>
      <c r="BI152" s="16">
        <f t="shared" si="52"/>
        <v>0</v>
      </c>
      <c r="BJ152" s="10">
        <f t="shared" si="53"/>
        <v>4.1861007866058404E-2</v>
      </c>
      <c r="BL152" s="16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16">
        <f t="shared" si="58"/>
        <v>0</v>
      </c>
      <c r="BT152" s="16">
        <f t="shared" si="59"/>
        <v>0</v>
      </c>
      <c r="BU152" s="16">
        <f t="shared" si="60"/>
        <v>0</v>
      </c>
      <c r="BV152" s="10">
        <f t="shared" si="61"/>
        <v>3.0025547664535815E-2</v>
      </c>
      <c r="BX152" s="10">
        <f t="shared" si="62"/>
        <v>0</v>
      </c>
      <c r="BY152" s="10">
        <f t="shared" si="63"/>
        <v>7.1886555530594212E-2</v>
      </c>
    </row>
    <row r="153" spans="1:77" x14ac:dyDescent="0.3">
      <c r="A153" s="1">
        <v>46245</v>
      </c>
      <c r="B153" s="21">
        <v>572.92999999999995</v>
      </c>
      <c r="C153" s="21">
        <v>534.20000000000005</v>
      </c>
      <c r="D153" s="22">
        <v>6.1628081671883097E-3</v>
      </c>
      <c r="E153" s="22">
        <v>9.0449003699162294E-3</v>
      </c>
      <c r="F153" s="21">
        <v>0</v>
      </c>
      <c r="G153" s="21">
        <v>0</v>
      </c>
      <c r="H153" s="21">
        <v>0</v>
      </c>
      <c r="I153" s="21">
        <v>0.490669999999999</v>
      </c>
      <c r="J153" s="21">
        <v>0</v>
      </c>
      <c r="K153" s="21">
        <v>0.490669999999999</v>
      </c>
      <c r="L153" s="21">
        <v>572.92999999999995</v>
      </c>
      <c r="M153" s="21">
        <v>534.69066999999995</v>
      </c>
      <c r="N153" s="23">
        <v>0.93240011868814698</v>
      </c>
      <c r="O153" s="23">
        <v>0.90525826694812095</v>
      </c>
      <c r="P153" s="23">
        <v>0.93228696235758501</v>
      </c>
      <c r="Q153" s="23">
        <v>0.93609258457556899</v>
      </c>
      <c r="R153" s="21">
        <v>518.64961888258699</v>
      </c>
      <c r="S153" s="21">
        <v>533.88212134504204</v>
      </c>
      <c r="T153" s="21">
        <v>536.70638950062005</v>
      </c>
      <c r="U153" s="22">
        <v>-2.95417536241156E-2</v>
      </c>
      <c r="V153" s="22">
        <v>-5.9523262863532404E-4</v>
      </c>
      <c r="W153" s="22">
        <v>4.68088359838286E-3</v>
      </c>
      <c r="X153" s="23">
        <v>0.93325654093868304</v>
      </c>
      <c r="Y153" s="23">
        <v>0.90571436398272598</v>
      </c>
      <c r="Z153" s="23">
        <v>0.93316929245429503</v>
      </c>
      <c r="AA153" s="23">
        <v>0.93696724240318996</v>
      </c>
      <c r="AB153" s="21">
        <v>518.91093055662304</v>
      </c>
      <c r="AC153" s="21">
        <v>534.39164921584995</v>
      </c>
      <c r="AD153" s="21">
        <v>537.206388242549</v>
      </c>
      <c r="AE153" s="22">
        <v>-2.9956141752290999E-2</v>
      </c>
      <c r="AF153" s="22">
        <v>-5.5939713261059199E-4</v>
      </c>
      <c r="AG153" s="22">
        <v>4.6939635524373396E-3</v>
      </c>
      <c r="AZ153" s="16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16">
        <f t="shared" si="50"/>
        <v>0</v>
      </c>
      <c r="BH153" s="16">
        <f t="shared" si="51"/>
        <v>0</v>
      </c>
      <c r="BI153" s="16">
        <f t="shared" si="52"/>
        <v>0</v>
      </c>
      <c r="BJ153" s="10">
        <f t="shared" si="53"/>
        <v>4.1861007866058404E-2</v>
      </c>
      <c r="BL153" s="16"/>
      <c r="BN153">
        <f t="shared" si="54"/>
        <v>0</v>
      </c>
      <c r="BO153">
        <f t="shared" si="55"/>
        <v>1</v>
      </c>
      <c r="BP153">
        <f t="shared" si="56"/>
        <v>0</v>
      </c>
      <c r="BQ153">
        <f t="shared" si="45"/>
        <v>1</v>
      </c>
      <c r="BR153">
        <f t="shared" si="57"/>
        <v>0</v>
      </c>
      <c r="BS153" s="16">
        <f t="shared" si="58"/>
        <v>0</v>
      </c>
      <c r="BT153" s="16">
        <f t="shared" si="59"/>
        <v>0</v>
      </c>
      <c r="BU153" s="16">
        <f t="shared" si="60"/>
        <v>0</v>
      </c>
      <c r="BV153" s="10">
        <f t="shared" si="61"/>
        <v>3.0025547664535815E-2</v>
      </c>
      <c r="BX153" s="10">
        <f t="shared" si="62"/>
        <v>0</v>
      </c>
      <c r="BY153" s="10">
        <f t="shared" si="63"/>
        <v>7.1886555530594212E-2</v>
      </c>
    </row>
    <row r="154" spans="1:77" x14ac:dyDescent="0.3">
      <c r="A154" s="1">
        <v>46246</v>
      </c>
      <c r="B154" s="21">
        <v>584.83000000000004</v>
      </c>
      <c r="C154" s="21">
        <v>546.61</v>
      </c>
      <c r="D154" s="22">
        <v>2.0557661506154502E-2</v>
      </c>
      <c r="E154" s="22">
        <v>2.2965267564771099E-2</v>
      </c>
      <c r="F154" s="21">
        <v>0</v>
      </c>
      <c r="G154" s="21">
        <v>0</v>
      </c>
      <c r="H154" s="21">
        <v>0</v>
      </c>
      <c r="I154" s="21">
        <v>0.490669999999999</v>
      </c>
      <c r="J154" s="21">
        <v>0</v>
      </c>
      <c r="K154" s="21">
        <v>0.490669999999999</v>
      </c>
      <c r="L154" s="21">
        <v>584.83000000000004</v>
      </c>
      <c r="M154" s="21">
        <v>547.10067000000004</v>
      </c>
      <c r="N154" s="23">
        <v>0.93464767539284899</v>
      </c>
      <c r="O154" s="23">
        <v>0.90525826694812095</v>
      </c>
      <c r="P154" s="23">
        <v>0.93353008061679399</v>
      </c>
      <c r="Q154" s="23">
        <v>0.93582952172469902</v>
      </c>
      <c r="R154" s="21">
        <v>529.42219225926999</v>
      </c>
      <c r="S154" s="21">
        <v>545.22938419558602</v>
      </c>
      <c r="T154" s="21">
        <v>547.45502623733</v>
      </c>
      <c r="U154" s="22">
        <v>-3.1949359682732097E-2</v>
      </c>
      <c r="V154" s="22">
        <v>-2.52897369380922E-3</v>
      </c>
      <c r="W154" s="22">
        <v>1.5447462172748E-3</v>
      </c>
      <c r="X154" s="23">
        <v>0.93548667134038899</v>
      </c>
      <c r="Y154" s="23">
        <v>0.90571436398272598</v>
      </c>
      <c r="Z154" s="23">
        <v>0.93439899762728496</v>
      </c>
      <c r="AA154" s="23">
        <v>0.93670460134387401</v>
      </c>
      <c r="AB154" s="21">
        <v>529.68893148801703</v>
      </c>
      <c r="AC154" s="21">
        <v>545.74539730604499</v>
      </c>
      <c r="AD154" s="21">
        <v>547.966552374657</v>
      </c>
      <c r="AE154" s="22">
        <v>-3.2342913188566101E-2</v>
      </c>
      <c r="AF154" s="22">
        <v>-2.4802640175401501E-3</v>
      </c>
      <c r="AG154" s="22">
        <v>1.58142356455046E-3</v>
      </c>
      <c r="AZ154" s="16"/>
      <c r="BB154">
        <f t="shared" si="46"/>
        <v>0</v>
      </c>
      <c r="BC154">
        <f t="shared" si="47"/>
        <v>1</v>
      </c>
      <c r="BD154">
        <f t="shared" si="48"/>
        <v>0</v>
      </c>
      <c r="BE154">
        <f t="shared" si="44"/>
        <v>1</v>
      </c>
      <c r="BF154">
        <f t="shared" si="49"/>
        <v>0</v>
      </c>
      <c r="BG154" s="16">
        <f t="shared" si="50"/>
        <v>0</v>
      </c>
      <c r="BH154" s="16">
        <f t="shared" si="51"/>
        <v>0</v>
      </c>
      <c r="BI154" s="16">
        <f t="shared" si="52"/>
        <v>0</v>
      </c>
      <c r="BJ154" s="10">
        <f t="shared" si="53"/>
        <v>4.1861007866058404E-2</v>
      </c>
      <c r="BL154" s="16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16">
        <f t="shared" si="58"/>
        <v>0</v>
      </c>
      <c r="BT154" s="16">
        <f t="shared" si="59"/>
        <v>0</v>
      </c>
      <c r="BU154" s="16">
        <f t="shared" si="60"/>
        <v>0</v>
      </c>
      <c r="BV154" s="10">
        <f t="shared" si="61"/>
        <v>3.0025547664535815E-2</v>
      </c>
      <c r="BX154" s="10">
        <f t="shared" si="62"/>
        <v>0</v>
      </c>
      <c r="BY154" s="10">
        <f t="shared" si="63"/>
        <v>7.1886555530594212E-2</v>
      </c>
    </row>
    <row r="155" spans="1:77" x14ac:dyDescent="0.3">
      <c r="A155" s="1">
        <v>46247</v>
      </c>
      <c r="B155" s="21">
        <v>589.12</v>
      </c>
      <c r="C155" s="21">
        <v>550.74</v>
      </c>
      <c r="D155" s="22">
        <v>7.3086913353199098E-3</v>
      </c>
      <c r="E155" s="22">
        <v>7.5272602184229204E-3</v>
      </c>
      <c r="F155" s="21">
        <v>0</v>
      </c>
      <c r="G155" s="21">
        <v>0</v>
      </c>
      <c r="H155" s="21">
        <v>0</v>
      </c>
      <c r="I155" s="21">
        <v>0.490669999999999</v>
      </c>
      <c r="J155" s="21">
        <v>0</v>
      </c>
      <c r="K155" s="21">
        <v>0.490669999999999</v>
      </c>
      <c r="L155" s="21">
        <v>589.12</v>
      </c>
      <c r="M155" s="21">
        <v>551.23067000000003</v>
      </c>
      <c r="N155" s="23">
        <v>0.93485198261814195</v>
      </c>
      <c r="O155" s="23">
        <v>0.90525826694812095</v>
      </c>
      <c r="P155" s="23">
        <v>0.93339308552177003</v>
      </c>
      <c r="Q155" s="23">
        <v>0.93594869401176195</v>
      </c>
      <c r="R155" s="21">
        <v>533.30575022447704</v>
      </c>
      <c r="S155" s="21">
        <v>549.961241092965</v>
      </c>
      <c r="T155" s="21">
        <v>551.31588783845405</v>
      </c>
      <c r="U155" s="22">
        <v>-3.2167928565835197E-2</v>
      </c>
      <c r="V155" s="22">
        <v>-1.4150234557793E-3</v>
      </c>
      <c r="W155" s="22">
        <v>1.04511558302711E-3</v>
      </c>
      <c r="X155" s="23">
        <v>0.93568486895708802</v>
      </c>
      <c r="Y155" s="23">
        <v>0.90571436398272598</v>
      </c>
      <c r="Z155" s="23">
        <v>0.93425424087853304</v>
      </c>
      <c r="AA155" s="23">
        <v>0.93682229501320102</v>
      </c>
      <c r="AB155" s="21">
        <v>533.57444610950301</v>
      </c>
      <c r="AC155" s="21">
        <v>550.47313748218596</v>
      </c>
      <c r="AD155" s="21">
        <v>551.83141474370302</v>
      </c>
      <c r="AE155" s="22">
        <v>-3.2554756531810697E-2</v>
      </c>
      <c r="AF155" s="22">
        <v>-1.3752019954087901E-3</v>
      </c>
      <c r="AG155" s="22">
        <v>1.0892311709507099E-3</v>
      </c>
      <c r="AZ155" s="16"/>
      <c r="BB155">
        <f t="shared" si="46"/>
        <v>0</v>
      </c>
      <c r="BC155">
        <f t="shared" si="47"/>
        <v>1</v>
      </c>
      <c r="BD155">
        <f t="shared" si="48"/>
        <v>0</v>
      </c>
      <c r="BE155">
        <f t="shared" si="44"/>
        <v>1</v>
      </c>
      <c r="BF155">
        <f t="shared" si="49"/>
        <v>0</v>
      </c>
      <c r="BG155" s="16">
        <f t="shared" si="50"/>
        <v>0</v>
      </c>
      <c r="BH155" s="16">
        <f t="shared" si="51"/>
        <v>0</v>
      </c>
      <c r="BI155" s="16">
        <f t="shared" si="52"/>
        <v>0</v>
      </c>
      <c r="BJ155" s="10">
        <f t="shared" si="53"/>
        <v>4.1861007866058404E-2</v>
      </c>
      <c r="BL155" s="16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16">
        <f t="shared" si="58"/>
        <v>0</v>
      </c>
      <c r="BT155" s="16">
        <f t="shared" si="59"/>
        <v>0</v>
      </c>
      <c r="BU155" s="16">
        <f t="shared" si="60"/>
        <v>0</v>
      </c>
      <c r="BV155" s="10">
        <f t="shared" si="61"/>
        <v>3.0025547664535815E-2</v>
      </c>
      <c r="BX155" s="10">
        <f t="shared" si="62"/>
        <v>0</v>
      </c>
      <c r="BY155" s="10">
        <f t="shared" si="63"/>
        <v>7.1886555530594212E-2</v>
      </c>
    </row>
    <row r="156" spans="1:77" x14ac:dyDescent="0.3">
      <c r="A156" s="1">
        <v>46248</v>
      </c>
      <c r="B156" s="21">
        <v>587.82000000000005</v>
      </c>
      <c r="C156" s="21">
        <v>550.41999999999996</v>
      </c>
      <c r="D156" s="22">
        <v>-2.20911946010704E-3</v>
      </c>
      <c r="E156" s="22">
        <v>-5.8120529079883304E-4</v>
      </c>
      <c r="F156" s="21">
        <v>0</v>
      </c>
      <c r="G156" s="21">
        <v>0</v>
      </c>
      <c r="H156" s="21">
        <v>0</v>
      </c>
      <c r="I156" s="21">
        <v>0.490669999999999</v>
      </c>
      <c r="J156" s="21">
        <v>0</v>
      </c>
      <c r="K156" s="21">
        <v>0.490669999999999</v>
      </c>
      <c r="L156" s="21">
        <v>587.82000000000005</v>
      </c>
      <c r="M156" s="21">
        <v>550.91066999999998</v>
      </c>
      <c r="N156" s="23">
        <v>0.93637508080704901</v>
      </c>
      <c r="O156" s="23">
        <v>0.90525826694812095</v>
      </c>
      <c r="P156" s="23">
        <v>0.93362412217628299</v>
      </c>
      <c r="Q156" s="23">
        <v>0.93588677674957899</v>
      </c>
      <c r="R156" s="21">
        <v>532.12891447744403</v>
      </c>
      <c r="S156" s="21">
        <v>548.66712353140701</v>
      </c>
      <c r="T156" s="21">
        <v>550.16936131399405</v>
      </c>
      <c r="U156" s="22">
        <v>-3.3795842735143501E-2</v>
      </c>
      <c r="V156" s="22">
        <v>-3.1896979179097799E-3</v>
      </c>
      <c r="W156" s="22">
        <v>-4.5546268053965199E-4</v>
      </c>
      <c r="X156" s="23">
        <v>0.93720980912524199</v>
      </c>
      <c r="Y156" s="23">
        <v>0.90571436398272598</v>
      </c>
      <c r="Z156" s="23">
        <v>0.93447797464473803</v>
      </c>
      <c r="AA156" s="23">
        <v>0.93675803118847201</v>
      </c>
      <c r="AB156" s="21">
        <v>532.397017436326</v>
      </c>
      <c r="AC156" s="21">
        <v>549.17332787321902</v>
      </c>
      <c r="AD156" s="21">
        <v>550.68288145465999</v>
      </c>
      <c r="AE156" s="22">
        <v>-3.41831882028324E-2</v>
      </c>
      <c r="AF156" s="22">
        <v>-3.1585652996076602E-3</v>
      </c>
      <c r="AG156" s="22">
        <v>-4.1356187731078501E-4</v>
      </c>
      <c r="AZ156" s="16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16">
        <f t="shared" si="50"/>
        <v>0</v>
      </c>
      <c r="BH156" s="16">
        <f t="shared" si="51"/>
        <v>0</v>
      </c>
      <c r="BI156" s="16">
        <f t="shared" si="52"/>
        <v>0</v>
      </c>
      <c r="BJ156" s="10">
        <f t="shared" si="53"/>
        <v>4.1861007866058404E-2</v>
      </c>
      <c r="BL156" s="16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16">
        <f t="shared" si="58"/>
        <v>0</v>
      </c>
      <c r="BT156" s="16">
        <f t="shared" si="59"/>
        <v>0</v>
      </c>
      <c r="BU156" s="16">
        <f t="shared" si="60"/>
        <v>0</v>
      </c>
      <c r="BV156" s="10">
        <f t="shared" si="61"/>
        <v>3.0025547664535815E-2</v>
      </c>
      <c r="BX156" s="10">
        <f t="shared" si="62"/>
        <v>0</v>
      </c>
      <c r="BY156" s="10">
        <f t="shared" si="63"/>
        <v>7.1886555530594212E-2</v>
      </c>
    </row>
    <row r="157" spans="1:77" x14ac:dyDescent="0.3">
      <c r="A157" s="1">
        <v>46251</v>
      </c>
      <c r="B157" s="21">
        <v>594.07000000000005</v>
      </c>
      <c r="C157" s="21">
        <v>559.12</v>
      </c>
      <c r="D157" s="22">
        <v>1.05763789526936E-2</v>
      </c>
      <c r="E157" s="22">
        <v>1.5682496000617701E-2</v>
      </c>
      <c r="F157" s="21">
        <v>0</v>
      </c>
      <c r="G157" s="21">
        <v>0</v>
      </c>
      <c r="H157" s="21">
        <v>0</v>
      </c>
      <c r="I157" s="21">
        <v>0.490669999999999</v>
      </c>
      <c r="J157" s="21">
        <v>0</v>
      </c>
      <c r="K157" s="21">
        <v>0.490669999999999</v>
      </c>
      <c r="L157" s="21">
        <v>594.07000000000005</v>
      </c>
      <c r="M157" s="21">
        <v>559.61067000000003</v>
      </c>
      <c r="N157" s="23">
        <v>0.941168549160873</v>
      </c>
      <c r="O157" s="23">
        <v>0.90525826694812095</v>
      </c>
      <c r="P157" s="23">
        <v>0.93466724116306199</v>
      </c>
      <c r="Q157" s="23">
        <v>0.93604901037407695</v>
      </c>
      <c r="R157" s="21">
        <v>537.78677864586996</v>
      </c>
      <c r="S157" s="21">
        <v>554.638082261264</v>
      </c>
      <c r="T157" s="21">
        <v>555.98225746362198</v>
      </c>
      <c r="U157" s="22">
        <v>-3.89019597830675E-2</v>
      </c>
      <c r="V157" s="22">
        <v>-8.0483221685110004E-3</v>
      </c>
      <c r="W157" s="22">
        <v>-5.62773646410911E-3</v>
      </c>
      <c r="X157" s="23">
        <v>0.94199449559816095</v>
      </c>
      <c r="Y157" s="23">
        <v>0.90571436398272598</v>
      </c>
      <c r="Z157" s="23">
        <v>0.93551373300813301</v>
      </c>
      <c r="AA157" s="23">
        <v>0.93691766059053705</v>
      </c>
      <c r="AB157" s="21">
        <v>538.05773221121797</v>
      </c>
      <c r="AC157" s="21">
        <v>555.14533039719902</v>
      </c>
      <c r="AD157" s="21">
        <v>556.49984358813504</v>
      </c>
      <c r="AE157" s="22">
        <v>-3.9275446453023499E-2</v>
      </c>
      <c r="AF157" s="22">
        <v>-8.0113737608828398E-3</v>
      </c>
      <c r="AG157" s="22">
        <v>-5.57442014838762E-3</v>
      </c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16">
        <f t="shared" si="50"/>
        <v>0</v>
      </c>
      <c r="BH157" s="16">
        <f t="shared" si="51"/>
        <v>0</v>
      </c>
      <c r="BI157" s="16">
        <f t="shared" si="52"/>
        <v>0</v>
      </c>
      <c r="BJ157" s="10">
        <f t="shared" si="53"/>
        <v>4.1861007866058404E-2</v>
      </c>
      <c r="BL157" s="16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16">
        <f t="shared" si="58"/>
        <v>0</v>
      </c>
      <c r="BT157" s="16">
        <f t="shared" si="59"/>
        <v>0</v>
      </c>
      <c r="BU157" s="16">
        <f t="shared" si="60"/>
        <v>0</v>
      </c>
      <c r="BV157" s="10">
        <f t="shared" si="61"/>
        <v>3.0025547664535815E-2</v>
      </c>
      <c r="BX157" s="10">
        <f t="shared" si="62"/>
        <v>0</v>
      </c>
      <c r="BY157" s="10">
        <f t="shared" si="63"/>
        <v>7.1886555530594212E-2</v>
      </c>
    </row>
    <row r="158" spans="1:77" x14ac:dyDescent="0.3">
      <c r="A158" s="1">
        <v>46252</v>
      </c>
      <c r="B158" s="21">
        <v>569.77</v>
      </c>
      <c r="C158" s="21">
        <v>531.39</v>
      </c>
      <c r="D158" s="22">
        <v>-4.17643869122045E-2</v>
      </c>
      <c r="E158" s="22">
        <v>-5.08679042362584E-2</v>
      </c>
      <c r="F158" s="21">
        <v>0</v>
      </c>
      <c r="G158" s="21">
        <v>0</v>
      </c>
      <c r="H158" s="21">
        <v>0</v>
      </c>
      <c r="I158" s="21">
        <v>0.490669999999999</v>
      </c>
      <c r="J158" s="21">
        <v>0</v>
      </c>
      <c r="K158" s="21">
        <v>0.490669999999999</v>
      </c>
      <c r="L158" s="21">
        <v>569.77</v>
      </c>
      <c r="M158" s="21">
        <v>531.88067000000001</v>
      </c>
      <c r="N158" s="23">
        <v>0.93263948610842895</v>
      </c>
      <c r="O158" s="23">
        <v>0.90525826694812095</v>
      </c>
      <c r="P158" s="23">
        <v>0.93375009165158696</v>
      </c>
      <c r="Q158" s="23">
        <v>0.93536811657923902</v>
      </c>
      <c r="R158" s="21">
        <v>515.78900275903095</v>
      </c>
      <c r="S158" s="21">
        <v>532.54535399747795</v>
      </c>
      <c r="T158" s="21">
        <v>533.332644640838</v>
      </c>
      <c r="U158" s="22">
        <v>-2.97984424590137E-2</v>
      </c>
      <c r="V158" s="22">
        <v>2.17185085030139E-3</v>
      </c>
      <c r="W158" s="22">
        <v>3.6491133278856599E-3</v>
      </c>
      <c r="X158" s="23">
        <v>0.93350065816031003</v>
      </c>
      <c r="Y158" s="23">
        <v>0.90571436398272598</v>
      </c>
      <c r="Z158" s="23">
        <v>0.93459747202768595</v>
      </c>
      <c r="AA158" s="23">
        <v>0.93623782173441095</v>
      </c>
      <c r="AB158" s="21">
        <v>516.04887316643703</v>
      </c>
      <c r="AC158" s="21">
        <v>533.02765965604397</v>
      </c>
      <c r="AD158" s="21">
        <v>533.82757547466997</v>
      </c>
      <c r="AE158" s="22">
        <v>-3.0217683235174798E-2</v>
      </c>
      <c r="AF158" s="22">
        <v>2.1541574380487399E-3</v>
      </c>
      <c r="AG158" s="22">
        <v>3.6537347793516302E-3</v>
      </c>
      <c r="BB158">
        <f t="shared" si="46"/>
        <v>0</v>
      </c>
      <c r="BC158">
        <f t="shared" si="47"/>
        <v>1</v>
      </c>
      <c r="BD158">
        <f t="shared" si="48"/>
        <v>0</v>
      </c>
      <c r="BE158">
        <f t="shared" si="44"/>
        <v>1</v>
      </c>
      <c r="BF158">
        <f t="shared" si="49"/>
        <v>0</v>
      </c>
      <c r="BG158" s="16">
        <f t="shared" si="50"/>
        <v>0</v>
      </c>
      <c r="BH158" s="16">
        <f t="shared" si="51"/>
        <v>0</v>
      </c>
      <c r="BI158" s="16">
        <f t="shared" si="52"/>
        <v>0</v>
      </c>
      <c r="BJ158" s="10">
        <f t="shared" si="53"/>
        <v>4.1861007866058404E-2</v>
      </c>
      <c r="BL158" s="16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16">
        <f t="shared" si="58"/>
        <v>0</v>
      </c>
      <c r="BT158" s="16">
        <f t="shared" si="59"/>
        <v>0</v>
      </c>
      <c r="BU158" s="16">
        <f t="shared" si="60"/>
        <v>0</v>
      </c>
      <c r="BV158" s="10">
        <f t="shared" si="61"/>
        <v>3.0025547664535815E-2</v>
      </c>
      <c r="BX158" s="10">
        <f t="shared" si="62"/>
        <v>0</v>
      </c>
      <c r="BY158" s="10">
        <f t="shared" si="63"/>
        <v>7.1886555530594212E-2</v>
      </c>
    </row>
    <row r="159" spans="1:77" x14ac:dyDescent="0.3">
      <c r="A159" s="1">
        <v>46253</v>
      </c>
      <c r="B159" s="21">
        <v>560.91999999999996</v>
      </c>
      <c r="C159" s="21">
        <v>519.66999999999996</v>
      </c>
      <c r="D159" s="22">
        <v>-1.5654477766645199E-2</v>
      </c>
      <c r="E159" s="22">
        <v>-2.2302220195335599E-2</v>
      </c>
      <c r="F159" s="21">
        <v>0</v>
      </c>
      <c r="G159" s="21">
        <v>0</v>
      </c>
      <c r="H159" s="21">
        <v>0</v>
      </c>
      <c r="I159" s="21">
        <v>0.490669999999999</v>
      </c>
      <c r="J159" s="21">
        <v>0</v>
      </c>
      <c r="K159" s="21">
        <v>0.490669999999999</v>
      </c>
      <c r="L159" s="21">
        <v>560.91999999999996</v>
      </c>
      <c r="M159" s="21">
        <v>520.16066999999998</v>
      </c>
      <c r="N159" s="23">
        <v>0.92646010126221201</v>
      </c>
      <c r="O159" s="23">
        <v>0.90525826694812095</v>
      </c>
      <c r="P159" s="23">
        <v>0.93324181004531703</v>
      </c>
      <c r="Q159" s="23">
        <v>0.93436529655843503</v>
      </c>
      <c r="R159" s="21">
        <v>507.77746709654002</v>
      </c>
      <c r="S159" s="21">
        <v>523.75910140920803</v>
      </c>
      <c r="T159" s="21">
        <v>524.66668395162606</v>
      </c>
      <c r="U159" s="22">
        <v>-2.3150700030323199E-2</v>
      </c>
      <c r="V159" s="22">
        <v>7.8378537403658993E-3</v>
      </c>
      <c r="W159" s="22">
        <v>9.56917851660939E-3</v>
      </c>
      <c r="X159" s="23">
        <v>0.92733486058617898</v>
      </c>
      <c r="Y159" s="23">
        <v>0.90571436398272598</v>
      </c>
      <c r="Z159" s="23">
        <v>0.93409053856725899</v>
      </c>
      <c r="AA159" s="23">
        <v>0.93523693855186496</v>
      </c>
      <c r="AB159" s="21">
        <v>508.03330104519</v>
      </c>
      <c r="AC159" s="21">
        <v>524.23441400977003</v>
      </c>
      <c r="AD159" s="21">
        <v>525.15451896726495</v>
      </c>
      <c r="AE159" s="22">
        <v>-2.3590745951449499E-2</v>
      </c>
      <c r="AF159" s="22">
        <v>7.8011946481362001E-3</v>
      </c>
      <c r="AG159" s="22">
        <v>9.5547965098818997E-3</v>
      </c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16">
        <f t="shared" si="50"/>
        <v>0</v>
      </c>
      <c r="BH159" s="16">
        <f t="shared" si="51"/>
        <v>0</v>
      </c>
      <c r="BI159" s="16">
        <f t="shared" si="52"/>
        <v>0</v>
      </c>
      <c r="BJ159" s="10">
        <f t="shared" si="53"/>
        <v>4.1861007866058404E-2</v>
      </c>
      <c r="BL159" s="16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16">
        <f t="shared" si="58"/>
        <v>0</v>
      </c>
      <c r="BT159" s="16">
        <f t="shared" si="59"/>
        <v>0</v>
      </c>
      <c r="BU159" s="16">
        <f t="shared" si="60"/>
        <v>0</v>
      </c>
      <c r="BV159" s="10">
        <f t="shared" si="61"/>
        <v>3.0025547664535815E-2</v>
      </c>
      <c r="BX159" s="10">
        <f t="shared" si="62"/>
        <v>0</v>
      </c>
      <c r="BY159" s="10">
        <f t="shared" si="63"/>
        <v>7.1886555530594212E-2</v>
      </c>
    </row>
    <row r="160" spans="1:77" x14ac:dyDescent="0.3">
      <c r="A160" s="1">
        <v>46254</v>
      </c>
      <c r="B160" s="21">
        <v>562.65</v>
      </c>
      <c r="C160" s="21">
        <v>522.35</v>
      </c>
      <c r="D160" s="22">
        <v>3.0794723375559998E-3</v>
      </c>
      <c r="E160" s="22">
        <v>5.1438665462374099E-3</v>
      </c>
      <c r="F160" s="21">
        <v>0</v>
      </c>
      <c r="G160" s="21">
        <v>0</v>
      </c>
      <c r="H160" s="21">
        <v>0</v>
      </c>
      <c r="I160" s="21">
        <v>0.490669999999999</v>
      </c>
      <c r="J160" s="21">
        <v>0</v>
      </c>
      <c r="K160" s="21">
        <v>0.490669999999999</v>
      </c>
      <c r="L160" s="21">
        <v>562.65</v>
      </c>
      <c r="M160" s="21">
        <v>522.84067000000005</v>
      </c>
      <c r="N160" s="23">
        <v>0.92837465564738297</v>
      </c>
      <c r="O160" s="23">
        <v>0.90525826694812095</v>
      </c>
      <c r="P160" s="23">
        <v>0.93289666204527599</v>
      </c>
      <c r="Q160" s="23">
        <v>0.93327726408234501</v>
      </c>
      <c r="R160" s="21">
        <v>509.34356389836</v>
      </c>
      <c r="S160" s="21">
        <v>525.08850442199798</v>
      </c>
      <c r="T160" s="21">
        <v>525.72063410860301</v>
      </c>
      <c r="U160" s="22">
        <v>-2.5215094239004799E-2</v>
      </c>
      <c r="V160" s="22">
        <v>5.2289669515450899E-3</v>
      </c>
      <c r="W160" s="22">
        <v>6.4320965012966301E-3</v>
      </c>
      <c r="X160" s="23">
        <v>0.92924672531769303</v>
      </c>
      <c r="Y160" s="23">
        <v>0.90571436398272598</v>
      </c>
      <c r="Z160" s="23">
        <v>0.93374673801160601</v>
      </c>
      <c r="AA160" s="23">
        <v>0.93415022281575</v>
      </c>
      <c r="AB160" s="21">
        <v>509.60018689487998</v>
      </c>
      <c r="AC160" s="21">
        <v>525.56604152486796</v>
      </c>
      <c r="AD160" s="21">
        <v>526.21106347620605</v>
      </c>
      <c r="AE160" s="22">
        <v>-2.5650300373227301E-2</v>
      </c>
      <c r="AF160" s="22">
        <v>5.1990847328908501E-3</v>
      </c>
      <c r="AG160" s="22">
        <v>6.4256222361987903E-3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16">
        <f t="shared" si="50"/>
        <v>0</v>
      </c>
      <c r="BH160" s="16">
        <f t="shared" si="51"/>
        <v>0</v>
      </c>
      <c r="BI160" s="16">
        <f t="shared" si="52"/>
        <v>0</v>
      </c>
      <c r="BJ160" s="10">
        <f t="shared" si="53"/>
        <v>4.1861007866058404E-2</v>
      </c>
      <c r="BL160" s="16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16">
        <f t="shared" si="58"/>
        <v>0</v>
      </c>
      <c r="BT160" s="16">
        <f t="shared" si="59"/>
        <v>0</v>
      </c>
      <c r="BU160" s="16">
        <f t="shared" si="60"/>
        <v>0</v>
      </c>
      <c r="BV160" s="10">
        <f t="shared" si="61"/>
        <v>3.0025547664535815E-2</v>
      </c>
      <c r="BX160" s="10">
        <f t="shared" si="62"/>
        <v>0</v>
      </c>
      <c r="BY160" s="10">
        <f t="shared" si="63"/>
        <v>7.1886555530594212E-2</v>
      </c>
    </row>
    <row r="161" spans="1:77" x14ac:dyDescent="0.3">
      <c r="A161" s="1">
        <v>46255</v>
      </c>
      <c r="B161" s="21">
        <v>560.41999999999996</v>
      </c>
      <c r="C161" s="21">
        <v>520.04999999999995</v>
      </c>
      <c r="D161" s="22">
        <v>-3.9712625762651603E-3</v>
      </c>
      <c r="E161" s="22">
        <v>-4.4129004843749802E-3</v>
      </c>
      <c r="F161" s="21">
        <v>0</v>
      </c>
      <c r="G161" s="21">
        <v>0</v>
      </c>
      <c r="H161" s="21">
        <v>0</v>
      </c>
      <c r="I161" s="21">
        <v>0.490669999999999</v>
      </c>
      <c r="J161" s="21">
        <v>0</v>
      </c>
      <c r="K161" s="21">
        <v>0.490669999999999</v>
      </c>
      <c r="L161" s="21">
        <v>560.41999999999996</v>
      </c>
      <c r="M161" s="21">
        <v>520.54066999999998</v>
      </c>
      <c r="N161" s="23">
        <v>0.92796474073016599</v>
      </c>
      <c r="O161" s="23">
        <v>0.90525826694812095</v>
      </c>
      <c r="P161" s="23">
        <v>0.932459911474394</v>
      </c>
      <c r="Q161" s="23">
        <v>0.93272081553999497</v>
      </c>
      <c r="R161" s="21">
        <v>507.32483796306599</v>
      </c>
      <c r="S161" s="21">
        <v>522.81394734341302</v>
      </c>
      <c r="T161" s="21">
        <v>523.02724433702804</v>
      </c>
      <c r="U161" s="22">
        <v>-2.4773456330894901E-2</v>
      </c>
      <c r="V161" s="22">
        <v>5.3006987576817901E-3</v>
      </c>
      <c r="W161" s="22">
        <v>5.7085943316339304E-3</v>
      </c>
      <c r="X161" s="23">
        <v>0.92884028050390699</v>
      </c>
      <c r="Y161" s="23">
        <v>0.90571436398272598</v>
      </c>
      <c r="Z161" s="23">
        <v>0.93331333513699299</v>
      </c>
      <c r="AA161" s="23">
        <v>0.93359383433911902</v>
      </c>
      <c r="AB161" s="21">
        <v>507.58044386319898</v>
      </c>
      <c r="AC161" s="21">
        <v>523.29034691646405</v>
      </c>
      <c r="AD161" s="21">
        <v>523.51646787040204</v>
      </c>
      <c r="AE161" s="22">
        <v>-2.5212812980016399E-2</v>
      </c>
      <c r="AF161" s="22">
        <v>5.2684452406967603E-3</v>
      </c>
      <c r="AG161" s="22">
        <v>5.7004656560413697E-3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16">
        <f t="shared" si="50"/>
        <v>0</v>
      </c>
      <c r="BH161" s="16">
        <f t="shared" si="51"/>
        <v>0</v>
      </c>
      <c r="BI161" s="16">
        <f t="shared" si="52"/>
        <v>0</v>
      </c>
      <c r="BJ161" s="10">
        <f t="shared" si="53"/>
        <v>4.1861007866058404E-2</v>
      </c>
      <c r="BL161" s="16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16">
        <f t="shared" si="58"/>
        <v>0</v>
      </c>
      <c r="BT161" s="16">
        <f t="shared" si="59"/>
        <v>0</v>
      </c>
      <c r="BU161" s="16">
        <f t="shared" si="60"/>
        <v>0</v>
      </c>
      <c r="BV161" s="10">
        <f t="shared" si="61"/>
        <v>3.0025547664535815E-2</v>
      </c>
      <c r="BX161" s="10">
        <f t="shared" si="62"/>
        <v>0</v>
      </c>
      <c r="BY161" s="10">
        <f t="shared" si="63"/>
        <v>7.1886555530594212E-2</v>
      </c>
    </row>
    <row r="162" spans="1:77" x14ac:dyDescent="0.3">
      <c r="A162" s="1">
        <v>46258</v>
      </c>
      <c r="B162" s="21">
        <v>546.79999999999995</v>
      </c>
      <c r="C162" s="21">
        <v>506.18</v>
      </c>
      <c r="D162" s="22">
        <v>-2.46033977699463E-2</v>
      </c>
      <c r="E162" s="22">
        <v>-2.70326235437311E-2</v>
      </c>
      <c r="F162" s="21">
        <v>0</v>
      </c>
      <c r="G162" s="21">
        <v>0</v>
      </c>
      <c r="H162" s="21">
        <v>0</v>
      </c>
      <c r="I162" s="21">
        <v>0.490669999999999</v>
      </c>
      <c r="J162" s="21">
        <v>0</v>
      </c>
      <c r="K162" s="21">
        <v>0.490669999999999</v>
      </c>
      <c r="L162" s="21">
        <v>546.79999999999995</v>
      </c>
      <c r="M162" s="21">
        <v>506.67066999999997</v>
      </c>
      <c r="N162" s="23">
        <v>0.92571324067300598</v>
      </c>
      <c r="O162" s="23">
        <v>0.90525826694812095</v>
      </c>
      <c r="P162" s="23">
        <v>0.93205956310882598</v>
      </c>
      <c r="Q162" s="23">
        <v>0.93195242598308803</v>
      </c>
      <c r="R162" s="21">
        <v>494.99522036723198</v>
      </c>
      <c r="S162" s="21">
        <v>509.86907959419801</v>
      </c>
      <c r="T162" s="21">
        <v>510.01174193726899</v>
      </c>
      <c r="U162" s="22">
        <v>-2.2344230557110201E-2</v>
      </c>
      <c r="V162" s="22">
        <v>7.2616488301196196E-3</v>
      </c>
      <c r="W162" s="22">
        <v>7.5414116043361996E-3</v>
      </c>
      <c r="X162" s="23">
        <v>0.92661058888075998</v>
      </c>
      <c r="Y162" s="23">
        <v>0.90571436398272598</v>
      </c>
      <c r="Z162" s="23">
        <v>0.93291654994084094</v>
      </c>
      <c r="AA162" s="23">
        <v>0.93282558791951597</v>
      </c>
      <c r="AB162" s="21">
        <v>495.24461422575399</v>
      </c>
      <c r="AC162" s="21">
        <v>510.33573165290699</v>
      </c>
      <c r="AD162" s="21">
        <v>510.48910861663001</v>
      </c>
      <c r="AE162" s="22">
        <v>-2.2809415796915401E-2</v>
      </c>
      <c r="AF162" s="22">
        <v>7.2075800375667196E-3</v>
      </c>
      <c r="AG162" s="22">
        <v>7.5080761830876698E-3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16">
        <f t="shared" si="50"/>
        <v>0</v>
      </c>
      <c r="BH162" s="16">
        <f t="shared" si="51"/>
        <v>0</v>
      </c>
      <c r="BI162" s="16">
        <f t="shared" si="52"/>
        <v>0</v>
      </c>
      <c r="BJ162" s="10">
        <f t="shared" si="53"/>
        <v>4.1861007866058404E-2</v>
      </c>
      <c r="BL162" s="16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16">
        <f t="shared" si="58"/>
        <v>0</v>
      </c>
      <c r="BT162" s="16">
        <f t="shared" si="59"/>
        <v>0</v>
      </c>
      <c r="BU162" s="16">
        <f t="shared" si="60"/>
        <v>0</v>
      </c>
      <c r="BV162" s="10">
        <f t="shared" si="61"/>
        <v>3.0025547664535815E-2</v>
      </c>
      <c r="BX162" s="10">
        <f t="shared" si="62"/>
        <v>0</v>
      </c>
      <c r="BY162" s="10">
        <f t="shared" si="63"/>
        <v>7.1886555530594212E-2</v>
      </c>
    </row>
    <row r="163" spans="1:77" x14ac:dyDescent="0.3">
      <c r="A163" s="1">
        <v>46259</v>
      </c>
      <c r="B163" s="21">
        <v>555.82000000000005</v>
      </c>
      <c r="C163" s="21">
        <v>514.05999999999995</v>
      </c>
      <c r="D163" s="22">
        <v>1.63613959781609E-2</v>
      </c>
      <c r="E163" s="22">
        <v>1.54476529046704E-2</v>
      </c>
      <c r="F163" s="21">
        <v>0</v>
      </c>
      <c r="G163" s="21">
        <v>0</v>
      </c>
      <c r="H163" s="21">
        <v>0</v>
      </c>
      <c r="I163" s="21">
        <v>0.490669999999999</v>
      </c>
      <c r="J163" s="21">
        <v>0</v>
      </c>
      <c r="K163" s="21">
        <v>0.490669999999999</v>
      </c>
      <c r="L163" s="21">
        <v>555.82000000000005</v>
      </c>
      <c r="M163" s="21">
        <v>514.55066999999997</v>
      </c>
      <c r="N163" s="23">
        <v>0.92486776294483797</v>
      </c>
      <c r="O163" s="23">
        <v>0.90525826694812095</v>
      </c>
      <c r="P163" s="23">
        <v>0.93130632753449505</v>
      </c>
      <c r="Q163" s="23">
        <v>0.93179664494603998</v>
      </c>
      <c r="R163" s="21">
        <v>503.16064993510503</v>
      </c>
      <c r="S163" s="21">
        <v>518.05734636714703</v>
      </c>
      <c r="T163" s="21">
        <v>517.99779740992005</v>
      </c>
      <c r="U163" s="22">
        <v>-2.1430487483619601E-2</v>
      </c>
      <c r="V163" s="22">
        <v>7.7459532442899302E-3</v>
      </c>
      <c r="W163" s="22">
        <v>7.6309999859604698E-3</v>
      </c>
      <c r="X163" s="23">
        <v>0.92575054873880003</v>
      </c>
      <c r="Y163" s="23">
        <v>0.90571436398272598</v>
      </c>
      <c r="Z163" s="23">
        <v>0.93216595072085295</v>
      </c>
      <c r="AA163" s="23">
        <v>0.93266762158757399</v>
      </c>
      <c r="AB163" s="21">
        <v>503.41415778887898</v>
      </c>
      <c r="AC163" s="21">
        <v>518.53367678811799</v>
      </c>
      <c r="AD163" s="21">
        <v>518.48311827742498</v>
      </c>
      <c r="AE163" s="22">
        <v>-2.1880827751859299E-2</v>
      </c>
      <c r="AF163" s="22">
        <v>7.71094158153331E-3</v>
      </c>
      <c r="AG163" s="22">
        <v>7.6134339790072097E-3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16">
        <f t="shared" si="50"/>
        <v>0</v>
      </c>
      <c r="BH163" s="16">
        <f t="shared" si="51"/>
        <v>0</v>
      </c>
      <c r="BI163" s="16">
        <f t="shared" si="52"/>
        <v>0</v>
      </c>
      <c r="BJ163" s="10">
        <f t="shared" si="53"/>
        <v>4.1861007866058404E-2</v>
      </c>
      <c r="BL163" s="16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16">
        <f t="shared" si="58"/>
        <v>0</v>
      </c>
      <c r="BT163" s="16">
        <f t="shared" si="59"/>
        <v>0</v>
      </c>
      <c r="BU163" s="16">
        <f t="shared" si="60"/>
        <v>0</v>
      </c>
      <c r="BV163" s="10">
        <f t="shared" si="61"/>
        <v>3.0025547664535815E-2</v>
      </c>
      <c r="BX163" s="10">
        <f t="shared" si="62"/>
        <v>0</v>
      </c>
      <c r="BY163" s="10">
        <f t="shared" si="63"/>
        <v>7.1886555530594212E-2</v>
      </c>
    </row>
    <row r="164" spans="1:77" x14ac:dyDescent="0.3">
      <c r="A164" s="1">
        <v>46260</v>
      </c>
      <c r="B164" s="21">
        <v>555.77</v>
      </c>
      <c r="C164" s="21">
        <v>515.4</v>
      </c>
      <c r="D164" s="22">
        <v>-8.9961226772114895E-5</v>
      </c>
      <c r="E164" s="22">
        <v>2.6033080581832498E-3</v>
      </c>
      <c r="F164" s="21">
        <v>0</v>
      </c>
      <c r="G164" s="21">
        <v>0</v>
      </c>
      <c r="H164" s="21">
        <v>0</v>
      </c>
      <c r="I164" s="21">
        <v>0.490669999999999</v>
      </c>
      <c r="J164" s="21">
        <v>0</v>
      </c>
      <c r="K164" s="21">
        <v>0.490669999999999</v>
      </c>
      <c r="L164" s="21">
        <v>555.77</v>
      </c>
      <c r="M164" s="21">
        <v>515.89067</v>
      </c>
      <c r="N164" s="23">
        <v>0.92736203825323404</v>
      </c>
      <c r="O164" s="23">
        <v>0.90525826694812095</v>
      </c>
      <c r="P164" s="23">
        <v>0.93057776382053303</v>
      </c>
      <c r="Q164" s="23">
        <v>0.93205392221866401</v>
      </c>
      <c r="R164" s="21">
        <v>503.11538702175699</v>
      </c>
      <c r="S164" s="21">
        <v>517.592117653846</v>
      </c>
      <c r="T164" s="21">
        <v>517.86462136166006</v>
      </c>
      <c r="U164" s="22">
        <v>-2.4123756768574998E-2</v>
      </c>
      <c r="V164" s="22">
        <v>4.2442162084319699E-3</v>
      </c>
      <c r="W164" s="22">
        <v>4.77056116102697E-3</v>
      </c>
      <c r="X164" s="23">
        <v>0.92824490346726096</v>
      </c>
      <c r="Y164" s="23">
        <v>0.90571436398272598</v>
      </c>
      <c r="Z164" s="23">
        <v>0.93144177393354</v>
      </c>
      <c r="AA164" s="23">
        <v>0.93292038578041303</v>
      </c>
      <c r="AB164" s="21">
        <v>503.368872070679</v>
      </c>
      <c r="AC164" s="21">
        <v>518.06987043212803</v>
      </c>
      <c r="AD164" s="21">
        <v>518.34868404972599</v>
      </c>
      <c r="AE164" s="22">
        <v>-2.4571617775635799E-2</v>
      </c>
      <c r="AF164" s="22">
        <v>4.2152549805320096E-3</v>
      </c>
      <c r="AG164" s="22">
        <v>4.7532878498161603E-3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16">
        <f t="shared" si="50"/>
        <v>0</v>
      </c>
      <c r="BH164" s="16">
        <f t="shared" si="51"/>
        <v>0</v>
      </c>
      <c r="BI164" s="16">
        <f t="shared" si="52"/>
        <v>0</v>
      </c>
      <c r="BJ164" s="10">
        <f t="shared" si="53"/>
        <v>4.1861007866058404E-2</v>
      </c>
      <c r="BL164" s="16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16">
        <f t="shared" si="58"/>
        <v>0</v>
      </c>
      <c r="BT164" s="16">
        <f t="shared" si="59"/>
        <v>0</v>
      </c>
      <c r="BU164" s="16">
        <f t="shared" si="60"/>
        <v>0</v>
      </c>
      <c r="BV164" s="10">
        <f t="shared" si="61"/>
        <v>3.0025547664535815E-2</v>
      </c>
      <c r="BX164" s="10">
        <f t="shared" si="62"/>
        <v>0</v>
      </c>
      <c r="BY164" s="10">
        <f t="shared" si="63"/>
        <v>7.1886555530594212E-2</v>
      </c>
    </row>
    <row r="165" spans="1:77" x14ac:dyDescent="0.3">
      <c r="A165" s="1">
        <v>46261</v>
      </c>
      <c r="B165" s="21">
        <v>573</v>
      </c>
      <c r="C165" s="21">
        <v>525.42999999999995</v>
      </c>
      <c r="D165" s="22">
        <v>3.0531177113556299E-2</v>
      </c>
      <c r="E165" s="22">
        <v>1.9273676755942801E-2</v>
      </c>
      <c r="F165" s="21">
        <v>0</v>
      </c>
      <c r="G165" s="21">
        <v>0</v>
      </c>
      <c r="H165" s="21">
        <v>0</v>
      </c>
      <c r="I165" s="21">
        <v>0.490669999999999</v>
      </c>
      <c r="J165" s="21">
        <v>0</v>
      </c>
      <c r="K165" s="21">
        <v>0.490669999999999</v>
      </c>
      <c r="L165" s="21">
        <v>573</v>
      </c>
      <c r="M165" s="21">
        <v>525.92066999999997</v>
      </c>
      <c r="N165" s="23">
        <v>0.91698080279232097</v>
      </c>
      <c r="O165" s="23">
        <v>0.90525826694812095</v>
      </c>
      <c r="P165" s="23">
        <v>0.92879064583795101</v>
      </c>
      <c r="Q165" s="23">
        <v>0.93109186567986102</v>
      </c>
      <c r="R165" s="21">
        <v>518.71298696127303</v>
      </c>
      <c r="S165" s="21">
        <v>533.22105866916502</v>
      </c>
      <c r="T165" s="21">
        <v>534.06689743129402</v>
      </c>
      <c r="U165" s="22">
        <v>-1.2866256410961599E-2</v>
      </c>
      <c r="V165" s="22">
        <v>1.47191074288495E-2</v>
      </c>
      <c r="W165" s="22">
        <v>1.6304132228160101E-2</v>
      </c>
      <c r="X165" s="23">
        <v>0.91783712041884802</v>
      </c>
      <c r="Y165" s="23">
        <v>0.90571436398272598</v>
      </c>
      <c r="Z165" s="23">
        <v>0.929656999079716</v>
      </c>
      <c r="AA165" s="23">
        <v>0.93195561997912502</v>
      </c>
      <c r="AB165" s="21">
        <v>518.97433056210195</v>
      </c>
      <c r="AC165" s="21">
        <v>533.71613646391802</v>
      </c>
      <c r="AD165" s="21">
        <v>534.56338105217606</v>
      </c>
      <c r="AE165" s="22">
        <v>-1.32959613482977E-2</v>
      </c>
      <c r="AF165" s="22">
        <v>1.4713734092942099E-2</v>
      </c>
      <c r="AG165" s="22">
        <v>1.6299919640832699E-2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16">
        <f t="shared" si="50"/>
        <v>0</v>
      </c>
      <c r="BH165" s="16">
        <f t="shared" si="51"/>
        <v>0</v>
      </c>
      <c r="BI165" s="16">
        <f t="shared" si="52"/>
        <v>0</v>
      </c>
      <c r="BJ165" s="10">
        <f t="shared" si="53"/>
        <v>4.1861007866058404E-2</v>
      </c>
      <c r="BL165" s="16"/>
      <c r="BN165">
        <f t="shared" si="54"/>
        <v>0</v>
      </c>
      <c r="BO165">
        <f t="shared" si="55"/>
        <v>0</v>
      </c>
      <c r="BP165">
        <f t="shared" si="56"/>
        <v>0</v>
      </c>
      <c r="BQ165">
        <f t="shared" si="45"/>
        <v>1</v>
      </c>
      <c r="BR165">
        <f t="shared" si="57"/>
        <v>0</v>
      </c>
      <c r="BS165" s="16">
        <f t="shared" si="58"/>
        <v>0</v>
      </c>
      <c r="BT165" s="16">
        <f t="shared" si="59"/>
        <v>0</v>
      </c>
      <c r="BU165" s="16">
        <f t="shared" si="60"/>
        <v>0</v>
      </c>
      <c r="BV165" s="10">
        <f t="shared" si="61"/>
        <v>3.0025547664535815E-2</v>
      </c>
      <c r="BX165" s="10">
        <f t="shared" si="62"/>
        <v>0</v>
      </c>
      <c r="BY165" s="10">
        <f t="shared" si="63"/>
        <v>7.1886555530594212E-2</v>
      </c>
    </row>
    <row r="166" spans="1:77" x14ac:dyDescent="0.3">
      <c r="A166" s="1">
        <v>46262</v>
      </c>
      <c r="B166" s="21">
        <v>553.11</v>
      </c>
      <c r="C166" s="21">
        <v>508.62</v>
      </c>
      <c r="D166" s="22">
        <v>-3.5328819964330398E-2</v>
      </c>
      <c r="E166" s="22">
        <v>-3.2515799125838102E-2</v>
      </c>
      <c r="F166" s="21">
        <v>0</v>
      </c>
      <c r="G166" s="21">
        <v>0</v>
      </c>
      <c r="H166" s="21">
        <v>0</v>
      </c>
      <c r="I166" s="21">
        <v>0.490669999999999</v>
      </c>
      <c r="J166" s="21">
        <v>0</v>
      </c>
      <c r="K166" s="21">
        <v>0.490669999999999</v>
      </c>
      <c r="L166" s="21">
        <v>553.11</v>
      </c>
      <c r="M166" s="21">
        <v>509.11067000000003</v>
      </c>
      <c r="N166" s="23">
        <v>0.91956392037750101</v>
      </c>
      <c r="O166" s="23">
        <v>0.90525826694812095</v>
      </c>
      <c r="P166" s="23">
        <v>0.92710952979499595</v>
      </c>
      <c r="Q166" s="23">
        <v>0.93036682598563902</v>
      </c>
      <c r="R166" s="21">
        <v>500.70740003167498</v>
      </c>
      <c r="S166" s="21">
        <v>513.72339411942903</v>
      </c>
      <c r="T166" s="21">
        <v>514.99622182618805</v>
      </c>
      <c r="U166" s="22">
        <v>-1.56792772494538E-2</v>
      </c>
      <c r="V166" s="22">
        <v>9.9838010189668407E-3</v>
      </c>
      <c r="W166" s="22">
        <v>1.24583885286274E-2</v>
      </c>
      <c r="X166" s="23">
        <v>0.92045103144039997</v>
      </c>
      <c r="Y166" s="23">
        <v>0.90571436398272598</v>
      </c>
      <c r="Z166" s="23">
        <v>0.927981121311232</v>
      </c>
      <c r="AA166" s="23">
        <v>0.93122954797798496</v>
      </c>
      <c r="AB166" s="21">
        <v>500.95967186248498</v>
      </c>
      <c r="AC166" s="21">
        <v>514.20258276098195</v>
      </c>
      <c r="AD166" s="21">
        <v>515.47397296665304</v>
      </c>
      <c r="AE166" s="22">
        <v>-1.61398166824884E-2</v>
      </c>
      <c r="AF166" s="22">
        <v>9.9518984485883807E-3</v>
      </c>
      <c r="AG166" s="22">
        <v>1.24213940289643E-2</v>
      </c>
      <c r="BB166">
        <f t="shared" si="46"/>
        <v>0</v>
      </c>
      <c r="BC166">
        <f t="shared" si="47"/>
        <v>1</v>
      </c>
      <c r="BD166">
        <f t="shared" si="48"/>
        <v>0</v>
      </c>
      <c r="BE166">
        <f t="shared" si="44"/>
        <v>1</v>
      </c>
      <c r="BF166">
        <f t="shared" si="49"/>
        <v>0</v>
      </c>
      <c r="BG166" s="16">
        <f t="shared" si="50"/>
        <v>0</v>
      </c>
      <c r="BH166" s="16">
        <f t="shared" si="51"/>
        <v>0</v>
      </c>
      <c r="BI166" s="16">
        <f t="shared" si="52"/>
        <v>0</v>
      </c>
      <c r="BJ166" s="10">
        <f t="shared" si="53"/>
        <v>4.1861007866058404E-2</v>
      </c>
      <c r="BL166" s="16"/>
      <c r="BN166">
        <f t="shared" si="54"/>
        <v>0</v>
      </c>
      <c r="BO166">
        <f t="shared" si="55"/>
        <v>0</v>
      </c>
      <c r="BP166">
        <f t="shared" si="56"/>
        <v>0</v>
      </c>
      <c r="BQ166">
        <f t="shared" si="45"/>
        <v>1</v>
      </c>
      <c r="BR166">
        <f t="shared" si="57"/>
        <v>0</v>
      </c>
      <c r="BS166" s="16">
        <f t="shared" si="58"/>
        <v>0</v>
      </c>
      <c r="BT166" s="16">
        <f t="shared" si="59"/>
        <v>0</v>
      </c>
      <c r="BU166" s="16">
        <f t="shared" si="60"/>
        <v>0</v>
      </c>
      <c r="BV166" s="10">
        <f t="shared" si="61"/>
        <v>3.0025547664535815E-2</v>
      </c>
      <c r="BX166" s="10">
        <f t="shared" si="62"/>
        <v>0</v>
      </c>
      <c r="BY166" s="10">
        <f t="shared" si="63"/>
        <v>7.1886555530594212E-2</v>
      </c>
    </row>
    <row r="167" spans="1:77" x14ac:dyDescent="0.3">
      <c r="A167" s="1">
        <v>46265</v>
      </c>
      <c r="B167" s="21">
        <v>556.63</v>
      </c>
      <c r="C167" s="21">
        <v>511.04</v>
      </c>
      <c r="D167" s="22">
        <v>6.3438495593994898E-3</v>
      </c>
      <c r="E167" s="22">
        <v>4.7466891782785197E-3</v>
      </c>
      <c r="F167" s="21">
        <v>0</v>
      </c>
      <c r="G167" s="21">
        <v>0</v>
      </c>
      <c r="H167" s="21">
        <v>0</v>
      </c>
      <c r="I167" s="21">
        <v>0.490669999999999</v>
      </c>
      <c r="J167" s="21">
        <v>0</v>
      </c>
      <c r="K167" s="21">
        <v>0.490669999999999</v>
      </c>
      <c r="L167" s="21">
        <v>556.63</v>
      </c>
      <c r="M167" s="21">
        <v>511.53066999999999</v>
      </c>
      <c r="N167" s="23">
        <v>0.91809640155938399</v>
      </c>
      <c r="O167" s="23">
        <v>0.90525826694812095</v>
      </c>
      <c r="P167" s="23">
        <v>0.924802315034847</v>
      </c>
      <c r="Q167" s="23">
        <v>0.92973477809895499</v>
      </c>
      <c r="R167" s="21">
        <v>503.89390913133298</v>
      </c>
      <c r="S167" s="21">
        <v>516.05697756978896</v>
      </c>
      <c r="T167" s="21">
        <v>517.87008634838605</v>
      </c>
      <c r="U167" s="22">
        <v>-1.40821168683327E-2</v>
      </c>
      <c r="V167" s="22">
        <v>9.7693160057716506E-3</v>
      </c>
      <c r="W167" s="22">
        <v>1.32765472223801E-2</v>
      </c>
      <c r="X167" s="23">
        <v>0.91897790273610802</v>
      </c>
      <c r="Y167" s="23">
        <v>0.90571436398272598</v>
      </c>
      <c r="Z167" s="23">
        <v>0.92567946202502704</v>
      </c>
      <c r="AA167" s="23">
        <v>0.93059659751657997</v>
      </c>
      <c r="AB167" s="21">
        <v>504.14778642370402</v>
      </c>
      <c r="AC167" s="21">
        <v>516.54213155547097</v>
      </c>
      <c r="AD167" s="21">
        <v>518.35030329098595</v>
      </c>
      <c r="AE167" s="22">
        <v>-1.4538092373528501E-2</v>
      </c>
      <c r="AF167" s="22">
        <v>9.7493119989078992E-3</v>
      </c>
      <c r="AG167" s="22">
        <v>1.3243730384026301E-2</v>
      </c>
      <c r="BB167">
        <f t="shared" si="46"/>
        <v>0</v>
      </c>
      <c r="BC167">
        <f t="shared" si="47"/>
        <v>1</v>
      </c>
      <c r="BD167">
        <f t="shared" si="48"/>
        <v>0</v>
      </c>
      <c r="BE167">
        <f t="shared" si="44"/>
        <v>1</v>
      </c>
      <c r="BF167">
        <f t="shared" si="49"/>
        <v>0</v>
      </c>
      <c r="BG167" s="16">
        <f t="shared" si="50"/>
        <v>0</v>
      </c>
      <c r="BH167" s="16">
        <f t="shared" si="51"/>
        <v>0</v>
      </c>
      <c r="BI167" s="16">
        <f t="shared" si="52"/>
        <v>0</v>
      </c>
      <c r="BJ167" s="10">
        <f t="shared" si="53"/>
        <v>4.1861007866058404E-2</v>
      </c>
      <c r="BL167" s="16"/>
      <c r="BN167">
        <f t="shared" si="54"/>
        <v>0</v>
      </c>
      <c r="BO167">
        <f t="shared" si="55"/>
        <v>0</v>
      </c>
      <c r="BP167">
        <f t="shared" si="56"/>
        <v>0</v>
      </c>
      <c r="BQ167">
        <f t="shared" si="45"/>
        <v>1</v>
      </c>
      <c r="BR167">
        <f t="shared" si="57"/>
        <v>0</v>
      </c>
      <c r="BS167" s="16">
        <f t="shared" si="58"/>
        <v>0</v>
      </c>
      <c r="BT167" s="16">
        <f t="shared" si="59"/>
        <v>0</v>
      </c>
      <c r="BU167" s="16">
        <f t="shared" si="60"/>
        <v>0</v>
      </c>
      <c r="BV167" s="10">
        <f t="shared" si="61"/>
        <v>3.0025547664535815E-2</v>
      </c>
      <c r="BX167" s="10">
        <f t="shared" si="62"/>
        <v>0</v>
      </c>
      <c r="BY167" s="10">
        <f t="shared" si="63"/>
        <v>7.1886555530594212E-2</v>
      </c>
    </row>
    <row r="168" spans="1:77" x14ac:dyDescent="0.3">
      <c r="A168" s="1">
        <v>46266</v>
      </c>
      <c r="B168" s="21">
        <v>545.22</v>
      </c>
      <c r="C168" s="21">
        <v>500.31</v>
      </c>
      <c r="D168" s="22">
        <v>-2.0711363374497901E-2</v>
      </c>
      <c r="E168" s="22">
        <v>-2.12199587250501E-2</v>
      </c>
      <c r="F168" s="21">
        <v>0</v>
      </c>
      <c r="G168" s="21">
        <v>0</v>
      </c>
      <c r="H168" s="21">
        <v>0</v>
      </c>
      <c r="I168" s="21">
        <v>0.490669999999999</v>
      </c>
      <c r="J168" s="21">
        <v>0</v>
      </c>
      <c r="K168" s="21">
        <v>0.490669999999999</v>
      </c>
      <c r="L168" s="21">
        <v>545.22</v>
      </c>
      <c r="M168" s="21">
        <v>500.80067000000003</v>
      </c>
      <c r="N168" s="23">
        <v>0.91762958071970901</v>
      </c>
      <c r="O168" s="23">
        <v>0.90525826694812095</v>
      </c>
      <c r="P168" s="23">
        <v>0.92330132449597502</v>
      </c>
      <c r="Q168" s="23">
        <v>0.92852570807378099</v>
      </c>
      <c r="R168" s="21">
        <v>493.56491230545402</v>
      </c>
      <c r="S168" s="21">
        <v>504.22071820329899</v>
      </c>
      <c r="T168" s="21">
        <v>506.90999571511202</v>
      </c>
      <c r="U168" s="22">
        <v>-1.3573521517780599E-2</v>
      </c>
      <c r="V168" s="22">
        <v>7.7861988481821697E-3</v>
      </c>
      <c r="W168" s="22">
        <v>1.31055582861153E-2</v>
      </c>
      <c r="X168" s="23">
        <v>0.918529529364293</v>
      </c>
      <c r="Y168" s="23">
        <v>0.90571436398272598</v>
      </c>
      <c r="Z168" s="23">
        <v>0.92418234914542496</v>
      </c>
      <c r="AA168" s="23">
        <v>0.92938991058655596</v>
      </c>
      <c r="AB168" s="21">
        <v>493.81358553066201</v>
      </c>
      <c r="AC168" s="21">
        <v>504.69895628528502</v>
      </c>
      <c r="AD168" s="21">
        <v>507.37987689798899</v>
      </c>
      <c r="AE168" s="22">
        <v>-1.4050068899031201E-2</v>
      </c>
      <c r="AF168" s="22">
        <v>7.7539677093392502E-3</v>
      </c>
      <c r="AG168" s="22">
        <v>1.3051829487151599E-2</v>
      </c>
    </row>
    <row r="169" spans="1:77" x14ac:dyDescent="0.3">
      <c r="A169" s="1">
        <v>46267</v>
      </c>
      <c r="B169" s="21">
        <v>550.48</v>
      </c>
      <c r="C169" s="21">
        <v>501.44</v>
      </c>
      <c r="D169" s="22">
        <v>9.6012419589138701E-3</v>
      </c>
      <c r="E169" s="22">
        <v>2.25605286605843E-3</v>
      </c>
      <c r="F169" s="21">
        <v>0</v>
      </c>
      <c r="G169" s="21">
        <v>0</v>
      </c>
      <c r="H169" s="21">
        <v>0</v>
      </c>
      <c r="I169" s="21">
        <v>0.490669999999999</v>
      </c>
      <c r="J169" s="21">
        <v>0</v>
      </c>
      <c r="K169" s="21">
        <v>0.490669999999999</v>
      </c>
      <c r="L169" s="21">
        <v>550.48</v>
      </c>
      <c r="M169" s="21">
        <v>501.93067000000002</v>
      </c>
      <c r="N169" s="23">
        <v>0.91091411132102795</v>
      </c>
      <c r="O169" s="23">
        <v>0.90525826694812095</v>
      </c>
      <c r="P169" s="23">
        <v>0.92174672550185699</v>
      </c>
      <c r="Q169" s="23">
        <v>0.92749426777358701</v>
      </c>
      <c r="R169" s="21">
        <v>498.32657078960199</v>
      </c>
      <c r="S169" s="21">
        <v>508.25891310854399</v>
      </c>
      <c r="T169" s="21">
        <v>511.13483178045499</v>
      </c>
      <c r="U169" s="22">
        <v>-6.2283324249253202E-3</v>
      </c>
      <c r="V169" s="22">
        <v>1.35070300459485E-2</v>
      </c>
      <c r="W169" s="22">
        <v>1.9149454901638701E-2</v>
      </c>
      <c r="X169" s="23">
        <v>0.91180546068885304</v>
      </c>
      <c r="Y169" s="23">
        <v>0.90571436398272598</v>
      </c>
      <c r="Z169" s="23">
        <v>0.92262940915569203</v>
      </c>
      <c r="AA169" s="23">
        <v>0.92835997386147595</v>
      </c>
      <c r="AB169" s="21">
        <v>498.57764308521098</v>
      </c>
      <c r="AC169" s="21">
        <v>508.743899557573</v>
      </c>
      <c r="AD169" s="21">
        <v>511.61055797968697</v>
      </c>
      <c r="AE169" s="22">
        <v>-6.7026718799782104E-3</v>
      </c>
      <c r="AF169" s="22">
        <v>1.3482743059007899E-2</v>
      </c>
      <c r="AG169" s="22">
        <v>1.9101704084336001E-2</v>
      </c>
    </row>
    <row r="170" spans="1:77" x14ac:dyDescent="0.3">
      <c r="A170" s="1">
        <v>46268</v>
      </c>
      <c r="B170" s="21">
        <v>552.6</v>
      </c>
      <c r="C170" s="21">
        <v>502.2</v>
      </c>
      <c r="D170" s="22">
        <v>3.8437875950917502E-3</v>
      </c>
      <c r="E170" s="22">
        <v>1.5144875558285201E-3</v>
      </c>
      <c r="F170" s="21">
        <v>0</v>
      </c>
      <c r="G170" s="21">
        <v>0</v>
      </c>
      <c r="H170" s="21">
        <v>0</v>
      </c>
      <c r="I170" s="21">
        <v>0.490669999999999</v>
      </c>
      <c r="J170" s="21">
        <v>0</v>
      </c>
      <c r="K170" s="21">
        <v>0.490669999999999</v>
      </c>
      <c r="L170" s="21">
        <v>552.6</v>
      </c>
      <c r="M170" s="21">
        <v>502.69067000000001</v>
      </c>
      <c r="N170" s="23">
        <v>0.90879478827361504</v>
      </c>
      <c r="O170" s="23">
        <v>0.90525826694812095</v>
      </c>
      <c r="P170" s="23">
        <v>0.91978873876447997</v>
      </c>
      <c r="Q170" s="23">
        <v>0.92634270040487798</v>
      </c>
      <c r="R170" s="21">
        <v>500.24571831553197</v>
      </c>
      <c r="S170" s="21">
        <v>509.35724051232597</v>
      </c>
      <c r="T170" s="21">
        <v>512.53333237168397</v>
      </c>
      <c r="U170" s="22">
        <v>-3.89903238566214E-3</v>
      </c>
      <c r="V170" s="22">
        <v>1.4151171411961001E-2</v>
      </c>
      <c r="W170" s="22">
        <v>2.03673009481679E-2</v>
      </c>
      <c r="X170" s="23">
        <v>0.90968271806007905</v>
      </c>
      <c r="Y170" s="23">
        <v>0.90571436398272598</v>
      </c>
      <c r="Z170" s="23">
        <v>0.92067300842993105</v>
      </c>
      <c r="AA170" s="23">
        <v>0.92720987322076898</v>
      </c>
      <c r="AB170" s="21">
        <v>500.49775753685401</v>
      </c>
      <c r="AC170" s="21">
        <v>509.84501149943497</v>
      </c>
      <c r="AD170" s="21">
        <v>513.01172155585095</v>
      </c>
      <c r="AE170" s="22">
        <v>-4.3718924496986104E-3</v>
      </c>
      <c r="AF170" s="22">
        <v>1.4131769761900699E-2</v>
      </c>
      <c r="AG170" s="22">
        <v>2.0323683197390901E-2</v>
      </c>
    </row>
    <row r="171" spans="1:77" x14ac:dyDescent="0.3">
      <c r="A171" s="1">
        <v>46269</v>
      </c>
      <c r="B171" s="21">
        <v>567.01</v>
      </c>
      <c r="C171" s="21">
        <v>519.86</v>
      </c>
      <c r="D171" s="22">
        <v>2.5742527767214699E-2</v>
      </c>
      <c r="E171" s="22">
        <v>3.4561097833647601E-2</v>
      </c>
      <c r="F171" s="21">
        <v>0</v>
      </c>
      <c r="G171" s="21">
        <v>0</v>
      </c>
      <c r="H171" s="21">
        <v>0</v>
      </c>
      <c r="I171" s="21">
        <v>0.490669999999999</v>
      </c>
      <c r="J171" s="21">
        <v>0</v>
      </c>
      <c r="K171" s="21">
        <v>0.490669999999999</v>
      </c>
      <c r="L171" s="21">
        <v>567.01</v>
      </c>
      <c r="M171" s="21">
        <v>520.35067000000004</v>
      </c>
      <c r="N171" s="23">
        <v>0.91684450009700003</v>
      </c>
      <c r="O171" s="23">
        <v>0.90525826694812095</v>
      </c>
      <c r="P171" s="23">
        <v>0.91867671470116397</v>
      </c>
      <c r="Q171" s="23">
        <v>0.92556831308777898</v>
      </c>
      <c r="R171" s="21">
        <v>513.290489942254</v>
      </c>
      <c r="S171" s="21">
        <v>521.52941276684805</v>
      </c>
      <c r="T171" s="21">
        <v>525.24557455656998</v>
      </c>
      <c r="U171" s="22">
        <v>-1.27176024520953E-2</v>
      </c>
      <c r="V171" s="22">
        <v>3.2061286131954501E-3</v>
      </c>
      <c r="W171" s="22">
        <v>1.0306369728524001E-2</v>
      </c>
      <c r="X171" s="23">
        <v>0.91770986402356203</v>
      </c>
      <c r="Y171" s="23">
        <v>0.90571436398272598</v>
      </c>
      <c r="Z171" s="23">
        <v>0.919559966781896</v>
      </c>
      <c r="AA171" s="23">
        <v>0.92643665095944405</v>
      </c>
      <c r="AB171" s="21">
        <v>513.54910152184505</v>
      </c>
      <c r="AC171" s="21">
        <v>522.03080250985499</v>
      </c>
      <c r="AD171" s="21">
        <v>525.73727021490799</v>
      </c>
      <c r="AE171" s="22">
        <v>-1.3157303611319801E-2</v>
      </c>
      <c r="AF171" s="22">
        <v>3.2236451033395199E-3</v>
      </c>
      <c r="AG171" s="22">
        <v>1.02986519915103E-2</v>
      </c>
    </row>
    <row r="172" spans="1:77" x14ac:dyDescent="0.3">
      <c r="A172" s="1">
        <v>46273</v>
      </c>
      <c r="B172" s="21">
        <v>573.73</v>
      </c>
      <c r="C172" s="21">
        <v>528.4</v>
      </c>
      <c r="D172" s="22">
        <v>1.1781962122856799E-2</v>
      </c>
      <c r="E172" s="22">
        <v>1.62940280910377E-2</v>
      </c>
      <c r="F172" s="21">
        <v>0</v>
      </c>
      <c r="G172" s="21">
        <v>0</v>
      </c>
      <c r="H172" s="21">
        <v>0</v>
      </c>
      <c r="I172" s="21">
        <v>0.490669999999999</v>
      </c>
      <c r="J172" s="21">
        <v>0</v>
      </c>
      <c r="K172" s="21">
        <v>0.490669999999999</v>
      </c>
      <c r="L172" s="21">
        <v>573.73</v>
      </c>
      <c r="M172" s="21">
        <v>528.89067</v>
      </c>
      <c r="N172" s="23">
        <v>0.920990709915814</v>
      </c>
      <c r="O172" s="23">
        <v>0.90525826694812095</v>
      </c>
      <c r="P172" s="23">
        <v>0.918204461625444</v>
      </c>
      <c r="Q172" s="23">
        <v>0.92513201236713505</v>
      </c>
      <c r="R172" s="21">
        <v>519.37382549614495</v>
      </c>
      <c r="S172" s="21">
        <v>527.07239152549801</v>
      </c>
      <c r="T172" s="21">
        <v>531.02630826785105</v>
      </c>
      <c r="U172" s="22">
        <v>-1.72296684202763E-2</v>
      </c>
      <c r="V172" s="22">
        <v>-2.51566821703285E-3</v>
      </c>
      <c r="W172" s="22">
        <v>4.9579921270167604E-3</v>
      </c>
      <c r="X172" s="23">
        <v>0.921845937984766</v>
      </c>
      <c r="Y172" s="23">
        <v>0.90571436398272598</v>
      </c>
      <c r="Z172" s="23">
        <v>0.91908350169229702</v>
      </c>
      <c r="AA172" s="23">
        <v>0.92600002581656904</v>
      </c>
      <c r="AB172" s="21">
        <v>519.63550204780904</v>
      </c>
      <c r="AC172" s="21">
        <v>527.579139741777</v>
      </c>
      <c r="AD172" s="21">
        <v>531.52449975496199</v>
      </c>
      <c r="AE172" s="22">
        <v>-1.765412934117E-2</v>
      </c>
      <c r="AF172" s="22">
        <v>-2.4828554869819799E-3</v>
      </c>
      <c r="AG172" s="22">
        <v>4.9675546828176296E-3</v>
      </c>
    </row>
    <row r="173" spans="1:77" x14ac:dyDescent="0.3">
      <c r="A173" s="1">
        <v>46274</v>
      </c>
      <c r="B173" s="21">
        <v>574.29</v>
      </c>
      <c r="C173" s="21">
        <v>532</v>
      </c>
      <c r="D173" s="22">
        <v>9.7559283708712895E-4</v>
      </c>
      <c r="E173" s="22">
        <v>6.7899166934741002E-3</v>
      </c>
      <c r="F173" s="21">
        <v>0</v>
      </c>
      <c r="G173" s="21">
        <v>0</v>
      </c>
      <c r="H173" s="21">
        <v>0</v>
      </c>
      <c r="I173" s="21">
        <v>0.490669999999999</v>
      </c>
      <c r="J173" s="21">
        <v>0</v>
      </c>
      <c r="K173" s="21">
        <v>0.490669999999999</v>
      </c>
      <c r="L173" s="21">
        <v>574.29</v>
      </c>
      <c r="M173" s="21">
        <v>532.49067000000002</v>
      </c>
      <c r="N173" s="23">
        <v>0.92636124606035197</v>
      </c>
      <c r="O173" s="23">
        <v>0.90525826694812095</v>
      </c>
      <c r="P173" s="23">
        <v>0.918353809936996</v>
      </c>
      <c r="Q173" s="23">
        <v>0.92483006873574503</v>
      </c>
      <c r="R173" s="21">
        <v>519.88077012563599</v>
      </c>
      <c r="S173" s="21">
        <v>527.31564026687602</v>
      </c>
      <c r="T173" s="21">
        <v>531.29406338232195</v>
      </c>
      <c r="U173" s="22">
        <v>-2.3043992276663199E-2</v>
      </c>
      <c r="V173" s="22">
        <v>-8.8441822041810201E-3</v>
      </c>
      <c r="W173" s="22">
        <v>-1.32782970527238E-3</v>
      </c>
      <c r="X173" s="23">
        <v>0.92721564018178904</v>
      </c>
      <c r="Y173" s="23">
        <v>0.90571436398272598</v>
      </c>
      <c r="Z173" s="23">
        <v>0.91923001083659595</v>
      </c>
      <c r="AA173" s="23">
        <v>0.925697980778725</v>
      </c>
      <c r="AB173" s="21">
        <v>520.14270209163897</v>
      </c>
      <c r="AC173" s="21">
        <v>527.820464186869</v>
      </c>
      <c r="AD173" s="21">
        <v>531.79255482619703</v>
      </c>
      <c r="AE173" s="22">
        <v>-2.3462175276771201E-2</v>
      </c>
      <c r="AF173" s="22">
        <v>-8.8091803694635897E-3</v>
      </c>
      <c r="AG173" s="22">
        <v>-1.31189754314161E-3</v>
      </c>
    </row>
    <row r="174" spans="1:77" x14ac:dyDescent="0.3">
      <c r="A174" s="1">
        <v>46275</v>
      </c>
      <c r="B174" s="21">
        <v>560.28</v>
      </c>
      <c r="C174" s="21">
        <v>517.42999999999995</v>
      </c>
      <c r="D174" s="22">
        <v>-2.4697836445628799E-2</v>
      </c>
      <c r="E174" s="22">
        <v>-2.7769239051833299E-2</v>
      </c>
      <c r="F174" s="21">
        <v>0</v>
      </c>
      <c r="G174" s="21">
        <v>0</v>
      </c>
      <c r="H174" s="21">
        <v>0</v>
      </c>
      <c r="I174" s="21">
        <v>0.490669999999999</v>
      </c>
      <c r="J174" s="21">
        <v>0</v>
      </c>
      <c r="K174" s="21">
        <v>0.490669999999999</v>
      </c>
      <c r="L174" s="21">
        <v>560.28</v>
      </c>
      <c r="M174" s="21">
        <v>517.92066999999997</v>
      </c>
      <c r="N174" s="23">
        <v>0.92352038266580905</v>
      </c>
      <c r="O174" s="23">
        <v>0.90525826694812095</v>
      </c>
      <c r="P174" s="23">
        <v>0.91796964437825301</v>
      </c>
      <c r="Q174" s="23">
        <v>0.92427370409939302</v>
      </c>
      <c r="R174" s="21">
        <v>507.198101805693</v>
      </c>
      <c r="S174" s="21">
        <v>514.53527263149999</v>
      </c>
      <c r="T174" s="21">
        <v>518.16379091126305</v>
      </c>
      <c r="U174" s="22">
        <v>-1.9972589670458799E-2</v>
      </c>
      <c r="V174" s="22">
        <v>-5.6101402587377201E-3</v>
      </c>
      <c r="W174" s="22">
        <v>1.4171406598010501E-3</v>
      </c>
      <c r="X174" s="23">
        <v>0.92439614121510605</v>
      </c>
      <c r="Y174" s="23">
        <v>0.90571436398272598</v>
      </c>
      <c r="Z174" s="23">
        <v>0.91884513461138095</v>
      </c>
      <c r="AA174" s="23">
        <v>0.92514345427246003</v>
      </c>
      <c r="AB174" s="21">
        <v>507.45364385224099</v>
      </c>
      <c r="AC174" s="21">
        <v>515.02619047152803</v>
      </c>
      <c r="AD174" s="21">
        <v>518.65006467070396</v>
      </c>
      <c r="AE174" s="22">
        <v>-2.04167192322573E-2</v>
      </c>
      <c r="AF174" s="22">
        <v>-5.6043291580093798E-3</v>
      </c>
      <c r="AG174" s="22">
        <v>1.40732275510334E-3</v>
      </c>
    </row>
    <row r="175" spans="1:77" x14ac:dyDescent="0.3">
      <c r="A175" s="1">
        <v>46276</v>
      </c>
      <c r="B175" s="21">
        <v>568.53</v>
      </c>
      <c r="C175" s="21">
        <v>527.07000000000005</v>
      </c>
      <c r="D175" s="22">
        <v>1.4617423475982501E-2</v>
      </c>
      <c r="E175" s="22">
        <v>1.84591167552615E-2</v>
      </c>
      <c r="F175" s="21">
        <v>0</v>
      </c>
      <c r="G175" s="21">
        <v>0</v>
      </c>
      <c r="H175" s="21">
        <v>0</v>
      </c>
      <c r="I175" s="21">
        <v>0.490669999999999</v>
      </c>
      <c r="J175" s="21">
        <v>0</v>
      </c>
      <c r="K175" s="21">
        <v>0.490669999999999</v>
      </c>
      <c r="L175" s="21">
        <v>568.53</v>
      </c>
      <c r="M175" s="21">
        <v>527.56066999999996</v>
      </c>
      <c r="N175" s="23">
        <v>0.92707508838583697</v>
      </c>
      <c r="O175" s="23">
        <v>0.90525826694812095</v>
      </c>
      <c r="P175" s="23">
        <v>0.91897907293760495</v>
      </c>
      <c r="Q175" s="23">
        <v>0.92388485938777798</v>
      </c>
      <c r="R175" s="21">
        <v>514.66648250801495</v>
      </c>
      <c r="S175" s="21">
        <v>521.89328191836796</v>
      </c>
      <c r="T175" s="21">
        <v>525.47732899162804</v>
      </c>
      <c r="U175" s="22">
        <v>-2.3814282949737999E-2</v>
      </c>
      <c r="V175" s="22">
        <v>-9.8702408327054503E-3</v>
      </c>
      <c r="W175" s="22">
        <v>-3.0263194443744998E-3</v>
      </c>
      <c r="X175" s="23">
        <v>0.92793813870859898</v>
      </c>
      <c r="Y175" s="23">
        <v>0.90571436398272598</v>
      </c>
      <c r="Z175" s="23">
        <v>0.91985523644035605</v>
      </c>
      <c r="AA175" s="23">
        <v>0.92475611776003597</v>
      </c>
      <c r="AB175" s="21">
        <v>514.92578735509903</v>
      </c>
      <c r="AC175" s="21">
        <v>522.39102438060797</v>
      </c>
      <c r="AD175" s="21">
        <v>525.97180805752203</v>
      </c>
      <c r="AE175" s="22">
        <v>-2.4241084897697801E-2</v>
      </c>
      <c r="AF175" s="22">
        <v>-9.8474766472435599E-3</v>
      </c>
      <c r="AG175" s="22">
        <v>-3.0162585020729301E-3</v>
      </c>
    </row>
    <row r="176" spans="1:77" x14ac:dyDescent="0.3">
      <c r="A176" s="1">
        <v>46279</v>
      </c>
      <c r="B176" s="21">
        <v>541.5</v>
      </c>
      <c r="C176" s="21">
        <v>497.4</v>
      </c>
      <c r="D176" s="22">
        <v>-4.8711015805782999E-2</v>
      </c>
      <c r="E176" s="22">
        <v>-5.7938835675768303E-2</v>
      </c>
      <c r="F176" s="21">
        <v>0</v>
      </c>
      <c r="G176" s="21">
        <v>0</v>
      </c>
      <c r="H176" s="21">
        <v>0</v>
      </c>
      <c r="I176" s="21">
        <v>0.490669999999999</v>
      </c>
      <c r="J176" s="21">
        <v>0</v>
      </c>
      <c r="K176" s="21">
        <v>0.490669999999999</v>
      </c>
      <c r="L176" s="21">
        <v>541.5</v>
      </c>
      <c r="M176" s="21">
        <v>497.89067</v>
      </c>
      <c r="N176" s="23">
        <v>0.91855955678670298</v>
      </c>
      <c r="O176" s="23">
        <v>0.90525826694812095</v>
      </c>
      <c r="P176" s="23">
        <v>0.91887863657852498</v>
      </c>
      <c r="Q176" s="23">
        <v>0.92299408318676102</v>
      </c>
      <c r="R176" s="21">
        <v>490.19735155240699</v>
      </c>
      <c r="S176" s="21">
        <v>497.62716799571302</v>
      </c>
      <c r="T176" s="21">
        <v>500.28365135848099</v>
      </c>
      <c r="U176" s="22">
        <v>-1.45864630797527E-2</v>
      </c>
      <c r="V176" s="22">
        <v>4.5660662737048399E-4</v>
      </c>
      <c r="W176" s="22">
        <v>5.78070891449809E-3</v>
      </c>
      <c r="X176" s="23">
        <v>0.91946568790396999</v>
      </c>
      <c r="Y176" s="23">
        <v>0.90571436398272598</v>
      </c>
      <c r="Z176" s="23">
        <v>0.91975670208671301</v>
      </c>
      <c r="AA176" s="23">
        <v>0.92386891169897201</v>
      </c>
      <c r="AB176" s="21">
        <v>490.44432809664602</v>
      </c>
      <c r="AC176" s="21">
        <v>498.10161053245201</v>
      </c>
      <c r="AD176" s="21">
        <v>500.75543776705899</v>
      </c>
      <c r="AE176" s="22">
        <v>-1.5068742518892401E-2</v>
      </c>
      <c r="AF176" s="22">
        <v>4.2357865563767E-4</v>
      </c>
      <c r="AG176" s="22">
        <v>5.7373189622034098E-3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SMH_SOXX_2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2026-09-20T00:26:04Z</dcterms:created>
  <dcterms:modified xsi:type="dcterms:W3CDTF">2026-09-20T00:40:46Z</dcterms:modified>
</cp:coreProperties>
</file>