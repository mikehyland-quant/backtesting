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58D1497B-6A24-433F-B1D9-9F51695CDB5A}" xr6:coauthVersionLast="47" xr6:coauthVersionMax="47" xr10:uidLastSave="{00000000-0000-0000-0000-000000000000}"/>
  <bookViews>
    <workbookView xWindow="28680" yWindow="-120" windowWidth="29040" windowHeight="15720" xr2:uid="{C793780C-A51A-41CE-A31C-DCE2E1005D2D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M172" i="1"/>
  <c r="AK172" i="1"/>
  <c r="AJ172" i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X167" i="1"/>
  <c r="AV167" i="1"/>
  <c r="AU167" i="1"/>
  <c r="AY168" i="1" s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M131" i="1"/>
  <c r="AK131" i="1"/>
  <c r="AJ131" i="1"/>
  <c r="AN132" i="1" s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N130" i="1" s="1"/>
  <c r="AX128" i="1"/>
  <c r="AV128" i="1"/>
  <c r="AU128" i="1"/>
  <c r="AM128" i="1"/>
  <c r="AK128" i="1"/>
  <c r="AJ128" i="1"/>
  <c r="AN129" i="1" s="1"/>
  <c r="AX127" i="1"/>
  <c r="AV127" i="1"/>
  <c r="AU127" i="1"/>
  <c r="AM127" i="1"/>
  <c r="AK127" i="1"/>
  <c r="AJ127" i="1"/>
  <c r="AN128" i="1" s="1"/>
  <c r="AX126" i="1"/>
  <c r="AV126" i="1"/>
  <c r="AU126" i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M109" i="1"/>
  <c r="AK109" i="1"/>
  <c r="AJ109" i="1"/>
  <c r="AN110" i="1" s="1"/>
  <c r="AX108" i="1"/>
  <c r="AV108" i="1"/>
  <c r="AU108" i="1"/>
  <c r="AM108" i="1"/>
  <c r="AK108" i="1"/>
  <c r="AJ108" i="1"/>
  <c r="AN109" i="1" s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N107" i="1" s="1"/>
  <c r="AX105" i="1"/>
  <c r="AV105" i="1"/>
  <c r="AU105" i="1"/>
  <c r="AM105" i="1"/>
  <c r="AK105" i="1"/>
  <c r="AJ105" i="1"/>
  <c r="AN106" i="1" s="1"/>
  <c r="AX104" i="1"/>
  <c r="AV104" i="1"/>
  <c r="AU104" i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X99" i="1"/>
  <c r="AV99" i="1"/>
  <c r="AU99" i="1"/>
  <c r="AY100" i="1" s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Y92" i="1" s="1"/>
  <c r="AM91" i="1"/>
  <c r="AK91" i="1"/>
  <c r="AJ91" i="1"/>
  <c r="AN92" i="1" s="1"/>
  <c r="AX90" i="1"/>
  <c r="AV90" i="1"/>
  <c r="AU90" i="1"/>
  <c r="AY91" i="1" s="1"/>
  <c r="AM90" i="1"/>
  <c r="AK90" i="1"/>
  <c r="AJ90" i="1"/>
  <c r="AN91" i="1" s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M86" i="1"/>
  <c r="AK86" i="1"/>
  <c r="AJ86" i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N81" i="1" s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M75" i="1"/>
  <c r="AK75" i="1"/>
  <c r="AJ75" i="1"/>
  <c r="AX74" i="1"/>
  <c r="AV74" i="1"/>
  <c r="AU74" i="1"/>
  <c r="AY75" i="1" s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Y62" i="1" s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N54" i="1" s="1"/>
  <c r="AX52" i="1"/>
  <c r="AV52" i="1"/>
  <c r="AU52" i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N50" i="1" s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X39" i="1"/>
  <c r="AV39" i="1"/>
  <c r="AU39" i="1"/>
  <c r="AM39" i="1"/>
  <c r="AK39" i="1"/>
  <c r="AJ39" i="1"/>
  <c r="AN40" i="1" s="1"/>
  <c r="AX38" i="1"/>
  <c r="AV38" i="1"/>
  <c r="AU38" i="1"/>
  <c r="AY39" i="1" s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Y26" i="1" s="1"/>
  <c r="AM25" i="1"/>
  <c r="AK25" i="1"/>
  <c r="AJ25" i="1"/>
  <c r="AX24" i="1"/>
  <c r="AV24" i="1"/>
  <c r="AU24" i="1"/>
  <c r="AM24" i="1"/>
  <c r="AK24" i="1"/>
  <c r="AJ24" i="1"/>
  <c r="AN25" i="1" s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16" i="1" l="1"/>
  <c r="AY140" i="1"/>
  <c r="AY135" i="1"/>
  <c r="AY134" i="1"/>
  <c r="AY118" i="1"/>
  <c r="AY90" i="1"/>
  <c r="AY82" i="1"/>
  <c r="AY30" i="1"/>
  <c r="AY86" i="1"/>
  <c r="BA86" i="1" s="1"/>
  <c r="AY63" i="1"/>
  <c r="AY85" i="1"/>
  <c r="AY71" i="1"/>
  <c r="AY69" i="1"/>
  <c r="AY64" i="1"/>
  <c r="AY36" i="1"/>
  <c r="AY34" i="1"/>
  <c r="AY33" i="1"/>
  <c r="AY98" i="1"/>
  <c r="AY93" i="1"/>
  <c r="AY76" i="1"/>
  <c r="AY37" i="1"/>
  <c r="AY27" i="1"/>
  <c r="AY89" i="1"/>
  <c r="AY65" i="1"/>
  <c r="AY61" i="1"/>
  <c r="AY28" i="1"/>
  <c r="AY24" i="1"/>
  <c r="AY74" i="1"/>
  <c r="AY66" i="1"/>
  <c r="AY52" i="1"/>
  <c r="AY40" i="1"/>
  <c r="AY23" i="1"/>
  <c r="AY173" i="1"/>
  <c r="AY152" i="1"/>
  <c r="AY143" i="1"/>
  <c r="AY113" i="1"/>
  <c r="AY109" i="1"/>
  <c r="AY96" i="1"/>
  <c r="AY87" i="1"/>
  <c r="AY84" i="1"/>
  <c r="AY72" i="1"/>
  <c r="AY70" i="1"/>
  <c r="AY38" i="1"/>
  <c r="AY25" i="1"/>
  <c r="AN52" i="1"/>
  <c r="AN124" i="1"/>
  <c r="AN122" i="1"/>
  <c r="AN120" i="1"/>
  <c r="AN58" i="1"/>
  <c r="AN49" i="1"/>
  <c r="AN51" i="1"/>
  <c r="AN115" i="1"/>
  <c r="AN104" i="1"/>
  <c r="AN56" i="1"/>
  <c r="AN55" i="1"/>
  <c r="AN83" i="1"/>
  <c r="AN53" i="1"/>
  <c r="AN62" i="1"/>
  <c r="AN59" i="1"/>
  <c r="AN57" i="1"/>
  <c r="AN155" i="1"/>
  <c r="AN125" i="1"/>
  <c r="AN121" i="1"/>
  <c r="AN119" i="1"/>
  <c r="AO119" i="1" s="1"/>
  <c r="AN82" i="1"/>
  <c r="AN48" i="1"/>
  <c r="AN47" i="1"/>
  <c r="AN46" i="1"/>
  <c r="AN116" i="1"/>
  <c r="AN23" i="1"/>
  <c r="AN138" i="1"/>
  <c r="AN103" i="1"/>
  <c r="AN173" i="1"/>
  <c r="AY162" i="1"/>
  <c r="AY148" i="1"/>
  <c r="AY142" i="1"/>
  <c r="AY29" i="1"/>
  <c r="AY81" i="1"/>
  <c r="BA176" i="1"/>
  <c r="AZ176" i="1"/>
  <c r="BB176" i="1" s="1"/>
  <c r="AW176" i="1"/>
  <c r="AP176" i="1"/>
  <c r="AL176" i="1"/>
  <c r="AO176" i="1"/>
  <c r="AQ176" i="1" s="1"/>
  <c r="BA175" i="1"/>
  <c r="AW175" i="1"/>
  <c r="AZ175" i="1"/>
  <c r="BB175" i="1" s="1"/>
  <c r="AP175" i="1"/>
  <c r="AO175" i="1"/>
  <c r="AQ175" i="1" s="1"/>
  <c r="AL175" i="1"/>
  <c r="BA174" i="1"/>
  <c r="AW174" i="1"/>
  <c r="AZ174" i="1"/>
  <c r="BB174" i="1" s="1"/>
  <c r="AL174" i="1"/>
  <c r="AO174" i="1"/>
  <c r="AP174" i="1"/>
  <c r="BA173" i="1"/>
  <c r="AW173" i="1"/>
  <c r="AZ173" i="1"/>
  <c r="BB173" i="1" s="1"/>
  <c r="AP173" i="1"/>
  <c r="AO173" i="1"/>
  <c r="AQ173" i="1" s="1"/>
  <c r="AL173" i="1"/>
  <c r="BA172" i="1"/>
  <c r="AW172" i="1"/>
  <c r="AZ172" i="1"/>
  <c r="BB172" i="1" s="1"/>
  <c r="AL172" i="1"/>
  <c r="AP172" i="1"/>
  <c r="AO172" i="1"/>
  <c r="AQ172" i="1" s="1"/>
  <c r="BE172" i="1" s="1"/>
  <c r="AW171" i="1"/>
  <c r="AZ171" i="1"/>
  <c r="BA171" i="1"/>
  <c r="AP171" i="1"/>
  <c r="AO171" i="1"/>
  <c r="AL171" i="1"/>
  <c r="BA170" i="1"/>
  <c r="AW170" i="1"/>
  <c r="AZ170" i="1"/>
  <c r="BB170" i="1" s="1"/>
  <c r="BA169" i="1"/>
  <c r="AZ169" i="1"/>
  <c r="BB169" i="1" s="1"/>
  <c r="AW169" i="1"/>
  <c r="BA168" i="1"/>
  <c r="AW168" i="1"/>
  <c r="AZ168" i="1"/>
  <c r="BB168" i="1" s="1"/>
  <c r="AZ167" i="1"/>
  <c r="AW167" i="1"/>
  <c r="BA167" i="1"/>
  <c r="BA166" i="1"/>
  <c r="AZ166" i="1"/>
  <c r="BB166" i="1" s="1"/>
  <c r="AW166" i="1"/>
  <c r="BA165" i="1"/>
  <c r="AW165" i="1"/>
  <c r="AZ165" i="1"/>
  <c r="BB165" i="1" s="1"/>
  <c r="AL165" i="1"/>
  <c r="AN166" i="1" s="1"/>
  <c r="AP165" i="1"/>
  <c r="AO165" i="1"/>
  <c r="AZ164" i="1"/>
  <c r="AW164" i="1"/>
  <c r="BA164" i="1"/>
  <c r="AP164" i="1"/>
  <c r="AO164" i="1"/>
  <c r="AQ164" i="1" s="1"/>
  <c r="AL164" i="1"/>
  <c r="BA163" i="1"/>
  <c r="AW163" i="1"/>
  <c r="AZ163" i="1"/>
  <c r="BB163" i="1" s="1"/>
  <c r="AW162" i="1"/>
  <c r="BA162" i="1"/>
  <c r="AZ162" i="1"/>
  <c r="BB162" i="1" s="1"/>
  <c r="AO162" i="1"/>
  <c r="AL162" i="1"/>
  <c r="AN163" i="1" s="1"/>
  <c r="AP162" i="1"/>
  <c r="BA161" i="1"/>
  <c r="AZ161" i="1"/>
  <c r="BB161" i="1" s="1"/>
  <c r="AW161" i="1"/>
  <c r="BA160" i="1"/>
  <c r="AW160" i="1"/>
  <c r="AZ160" i="1"/>
  <c r="AO160" i="1"/>
  <c r="AP160" i="1"/>
  <c r="AL160" i="1"/>
  <c r="AN161" i="1" s="1"/>
  <c r="AZ159" i="1"/>
  <c r="AW159" i="1"/>
  <c r="BA159" i="1"/>
  <c r="BA158" i="1"/>
  <c r="AZ158" i="1"/>
  <c r="BB158" i="1" s="1"/>
  <c r="AW158" i="1"/>
  <c r="AZ157" i="1"/>
  <c r="AW157" i="1"/>
  <c r="BA157" i="1"/>
  <c r="BA156" i="1"/>
  <c r="AZ156" i="1"/>
  <c r="BB156" i="1" s="1"/>
  <c r="AW156" i="1"/>
  <c r="AO156" i="1"/>
  <c r="AL156" i="1"/>
  <c r="AN157" i="1" s="1"/>
  <c r="AP156" i="1"/>
  <c r="AW155" i="1"/>
  <c r="BA155" i="1"/>
  <c r="AZ155" i="1"/>
  <c r="BB155" i="1" s="1"/>
  <c r="AP155" i="1"/>
  <c r="AL155" i="1"/>
  <c r="AO155" i="1"/>
  <c r="BA154" i="1"/>
  <c r="AZ154" i="1"/>
  <c r="BB154" i="1" s="1"/>
  <c r="AW154" i="1"/>
  <c r="AP154" i="1"/>
  <c r="AL154" i="1"/>
  <c r="AO154" i="1"/>
  <c r="AQ154" i="1" s="1"/>
  <c r="BE154" i="1" s="1"/>
  <c r="AW153" i="1"/>
  <c r="AZ153" i="1"/>
  <c r="BA153" i="1"/>
  <c r="AW152" i="1"/>
  <c r="BA152" i="1"/>
  <c r="AZ152" i="1"/>
  <c r="BB152" i="1" s="1"/>
  <c r="AW151" i="1"/>
  <c r="AZ151" i="1"/>
  <c r="BA151" i="1"/>
  <c r="AW150" i="1"/>
  <c r="BA150" i="1"/>
  <c r="AZ150" i="1"/>
  <c r="AL150" i="1"/>
  <c r="AN151" i="1" s="1"/>
  <c r="AP150" i="1"/>
  <c r="AO150" i="1"/>
  <c r="AQ150" i="1" s="1"/>
  <c r="AW149" i="1"/>
  <c r="AZ149" i="1"/>
  <c r="BA149" i="1"/>
  <c r="AL149" i="1"/>
  <c r="AO149" i="1"/>
  <c r="AP149" i="1"/>
  <c r="AZ148" i="1"/>
  <c r="AW148" i="1"/>
  <c r="BA148" i="1"/>
  <c r="AL148" i="1"/>
  <c r="AO148" i="1"/>
  <c r="AP148" i="1"/>
  <c r="BA147" i="1"/>
  <c r="AW147" i="1"/>
  <c r="AZ147" i="1"/>
  <c r="BB147" i="1" s="1"/>
  <c r="AP147" i="1"/>
  <c r="AL147" i="1"/>
  <c r="AO147" i="1"/>
  <c r="AQ147" i="1" s="1"/>
  <c r="AZ146" i="1"/>
  <c r="AW146" i="1"/>
  <c r="BA146" i="1"/>
  <c r="AP146" i="1"/>
  <c r="AO146" i="1"/>
  <c r="AQ146" i="1" s="1"/>
  <c r="AL146" i="1"/>
  <c r="BA145" i="1"/>
  <c r="AZ145" i="1"/>
  <c r="BB145" i="1" s="1"/>
  <c r="AW145" i="1"/>
  <c r="AL145" i="1"/>
  <c r="AP145" i="1"/>
  <c r="AO145" i="1"/>
  <c r="AQ145" i="1" s="1"/>
  <c r="BA144" i="1"/>
  <c r="AZ144" i="1"/>
  <c r="BB144" i="1" s="1"/>
  <c r="AW144" i="1"/>
  <c r="BA143" i="1"/>
  <c r="AW143" i="1"/>
  <c r="AZ143" i="1"/>
  <c r="BB143" i="1" s="1"/>
  <c r="BA142" i="1"/>
  <c r="AZ142" i="1"/>
  <c r="BB142" i="1" s="1"/>
  <c r="AW142" i="1"/>
  <c r="AP142" i="1"/>
  <c r="AO142" i="1"/>
  <c r="AQ142" i="1" s="1"/>
  <c r="AL142" i="1"/>
  <c r="AN143" i="1" s="1"/>
  <c r="AW141" i="1"/>
  <c r="AZ141" i="1"/>
  <c r="BA141" i="1"/>
  <c r="AW140" i="1"/>
  <c r="BA140" i="1"/>
  <c r="AZ140" i="1"/>
  <c r="BB140" i="1" s="1"/>
  <c r="AW139" i="1"/>
  <c r="AZ139" i="1"/>
  <c r="BA139" i="1"/>
  <c r="AL139" i="1"/>
  <c r="AN140" i="1" s="1"/>
  <c r="AO139" i="1"/>
  <c r="AP139" i="1"/>
  <c r="AL138" i="1"/>
  <c r="AP138" i="1"/>
  <c r="AO138" i="1"/>
  <c r="AQ138" i="1" s="1"/>
  <c r="AL137" i="1"/>
  <c r="AP137" i="1"/>
  <c r="AO137" i="1"/>
  <c r="BA136" i="1"/>
  <c r="AZ136" i="1"/>
  <c r="AW136" i="1"/>
  <c r="AY137" i="1" s="1"/>
  <c r="AO136" i="1"/>
  <c r="AL136" i="1"/>
  <c r="AP136" i="1"/>
  <c r="BA135" i="1"/>
  <c r="AW135" i="1"/>
  <c r="AZ135" i="1"/>
  <c r="BB135" i="1" s="1"/>
  <c r="AL135" i="1"/>
  <c r="AO135" i="1"/>
  <c r="AP135" i="1"/>
  <c r="BA134" i="1"/>
  <c r="AZ134" i="1"/>
  <c r="BB134" i="1" s="1"/>
  <c r="AW134" i="1"/>
  <c r="AL134" i="1"/>
  <c r="AO134" i="1"/>
  <c r="AP134" i="1"/>
  <c r="AO133" i="1"/>
  <c r="AP133" i="1"/>
  <c r="AL133" i="1"/>
  <c r="AO132" i="1"/>
  <c r="AL132" i="1"/>
  <c r="AP132" i="1"/>
  <c r="AP131" i="1"/>
  <c r="AL131" i="1"/>
  <c r="AO131" i="1"/>
  <c r="AQ131" i="1" s="1"/>
  <c r="AO130" i="1"/>
  <c r="AL130" i="1"/>
  <c r="AP130" i="1"/>
  <c r="AL129" i="1"/>
  <c r="AP129" i="1"/>
  <c r="AO129" i="1"/>
  <c r="AL128" i="1"/>
  <c r="AP128" i="1"/>
  <c r="AO128" i="1"/>
  <c r="AL127" i="1"/>
  <c r="AO127" i="1"/>
  <c r="AP127" i="1"/>
  <c r="AW126" i="1"/>
  <c r="AY127" i="1" s="1"/>
  <c r="BA126" i="1"/>
  <c r="AZ126" i="1"/>
  <c r="AO126" i="1"/>
  <c r="AL126" i="1"/>
  <c r="AP126" i="1"/>
  <c r="AP125" i="1"/>
  <c r="AL125" i="1"/>
  <c r="AO125" i="1"/>
  <c r="AQ125" i="1" s="1"/>
  <c r="AP124" i="1"/>
  <c r="AO124" i="1"/>
  <c r="AQ124" i="1" s="1"/>
  <c r="AL124" i="1"/>
  <c r="AO123" i="1"/>
  <c r="AL123" i="1"/>
  <c r="AP123" i="1"/>
  <c r="AZ122" i="1"/>
  <c r="AW122" i="1"/>
  <c r="AY123" i="1" s="1"/>
  <c r="BA122" i="1"/>
  <c r="AP122" i="1"/>
  <c r="AL122" i="1"/>
  <c r="AO122" i="1"/>
  <c r="AQ122" i="1" s="1"/>
  <c r="AP121" i="1"/>
  <c r="AO121" i="1"/>
  <c r="AQ121" i="1" s="1"/>
  <c r="AL121" i="1"/>
  <c r="AP120" i="1"/>
  <c r="AL120" i="1"/>
  <c r="AO120" i="1"/>
  <c r="AQ120" i="1" s="1"/>
  <c r="AP119" i="1"/>
  <c r="AL119" i="1"/>
  <c r="AZ117" i="1"/>
  <c r="BA117" i="1"/>
  <c r="AW117" i="1"/>
  <c r="AO117" i="1"/>
  <c r="AP117" i="1"/>
  <c r="AL117" i="1"/>
  <c r="AN118" i="1" s="1"/>
  <c r="BA115" i="1"/>
  <c r="AZ115" i="1"/>
  <c r="BB115" i="1" s="1"/>
  <c r="AW115" i="1"/>
  <c r="AO114" i="1"/>
  <c r="AL114" i="1"/>
  <c r="AP114" i="1"/>
  <c r="AL113" i="1"/>
  <c r="AP113" i="1"/>
  <c r="AO113" i="1"/>
  <c r="AQ113" i="1" s="1"/>
  <c r="AL112" i="1"/>
  <c r="AO112" i="1"/>
  <c r="AP112" i="1"/>
  <c r="AZ111" i="1"/>
  <c r="BA111" i="1"/>
  <c r="AW111" i="1"/>
  <c r="AY112" i="1" s="1"/>
  <c r="AO111" i="1"/>
  <c r="AL111" i="1"/>
  <c r="AP111" i="1"/>
  <c r="AP110" i="1"/>
  <c r="AL110" i="1"/>
  <c r="AO110" i="1"/>
  <c r="AP109" i="1"/>
  <c r="AO109" i="1"/>
  <c r="AQ109" i="1" s="1"/>
  <c r="AL109" i="1"/>
  <c r="AL108" i="1"/>
  <c r="AP108" i="1"/>
  <c r="AO108" i="1"/>
  <c r="AQ108" i="1" s="1"/>
  <c r="AO107" i="1"/>
  <c r="AL107" i="1"/>
  <c r="AP107" i="1"/>
  <c r="AO106" i="1"/>
  <c r="AP106" i="1"/>
  <c r="AL106" i="1"/>
  <c r="AL105" i="1"/>
  <c r="AP105" i="1"/>
  <c r="AO105" i="1"/>
  <c r="AQ105" i="1" s="1"/>
  <c r="BA104" i="1"/>
  <c r="AZ104" i="1"/>
  <c r="BB104" i="1" s="1"/>
  <c r="AW104" i="1"/>
  <c r="AY105" i="1" s="1"/>
  <c r="AW103" i="1"/>
  <c r="AZ103" i="1"/>
  <c r="BA103" i="1"/>
  <c r="BA102" i="1"/>
  <c r="AZ102" i="1"/>
  <c r="BB102" i="1" s="1"/>
  <c r="AW102" i="1"/>
  <c r="AP102" i="1"/>
  <c r="AO102" i="1"/>
  <c r="AQ102" i="1" s="1"/>
  <c r="AL102" i="1"/>
  <c r="AZ101" i="1"/>
  <c r="BA101" i="1"/>
  <c r="AW101" i="1"/>
  <c r="BA100" i="1"/>
  <c r="AW100" i="1"/>
  <c r="AZ100" i="1"/>
  <c r="BB100" i="1" s="1"/>
  <c r="AZ99" i="1"/>
  <c r="BA99" i="1"/>
  <c r="AW99" i="1"/>
  <c r="BA97" i="1"/>
  <c r="AZ97" i="1"/>
  <c r="BB97" i="1" s="1"/>
  <c r="AW97" i="1"/>
  <c r="BA95" i="1"/>
  <c r="AW95" i="1"/>
  <c r="AZ95" i="1"/>
  <c r="BB95" i="1" s="1"/>
  <c r="BA94" i="1"/>
  <c r="AW94" i="1"/>
  <c r="AZ94" i="1"/>
  <c r="BB94" i="1" s="1"/>
  <c r="BA92" i="1"/>
  <c r="AZ92" i="1"/>
  <c r="BB92" i="1" s="1"/>
  <c r="AW92" i="1"/>
  <c r="AO92" i="1"/>
  <c r="AL92" i="1"/>
  <c r="AN93" i="1" s="1"/>
  <c r="AP92" i="1"/>
  <c r="AW91" i="1"/>
  <c r="BA91" i="1"/>
  <c r="AZ91" i="1"/>
  <c r="BB91" i="1" s="1"/>
  <c r="AL91" i="1"/>
  <c r="AP91" i="1"/>
  <c r="AO91" i="1"/>
  <c r="AQ91" i="1" s="1"/>
  <c r="BA90" i="1"/>
  <c r="AZ90" i="1"/>
  <c r="BB90" i="1" s="1"/>
  <c r="AW90" i="1"/>
  <c r="BA88" i="1"/>
  <c r="AW88" i="1"/>
  <c r="AZ88" i="1"/>
  <c r="BB88" i="1" s="1"/>
  <c r="AW86" i="1"/>
  <c r="AZ86" i="1"/>
  <c r="AZ85" i="1"/>
  <c r="BA83" i="1"/>
  <c r="AW83" i="1"/>
  <c r="AZ83" i="1"/>
  <c r="BB83" i="1" s="1"/>
  <c r="BA82" i="1"/>
  <c r="AW82" i="1"/>
  <c r="AZ82" i="1"/>
  <c r="BB82" i="1" s="1"/>
  <c r="AO81" i="1"/>
  <c r="AL81" i="1"/>
  <c r="AP81" i="1"/>
  <c r="BA80" i="1"/>
  <c r="AW80" i="1"/>
  <c r="AZ80" i="1"/>
  <c r="BB80" i="1" s="1"/>
  <c r="BA79" i="1"/>
  <c r="AW79" i="1"/>
  <c r="AZ79" i="1"/>
  <c r="BB79" i="1" s="1"/>
  <c r="AL79" i="1"/>
  <c r="AN80" i="1" s="1"/>
  <c r="AO79" i="1"/>
  <c r="AP79" i="1"/>
  <c r="BA78" i="1"/>
  <c r="AW78" i="1"/>
  <c r="AZ78" i="1"/>
  <c r="BB78" i="1" s="1"/>
  <c r="AP78" i="1"/>
  <c r="AO78" i="1"/>
  <c r="AQ78" i="1" s="1"/>
  <c r="AL78" i="1"/>
  <c r="AZ77" i="1"/>
  <c r="BA77" i="1"/>
  <c r="AW77" i="1"/>
  <c r="AP77" i="1"/>
  <c r="AO77" i="1"/>
  <c r="AQ77" i="1" s="1"/>
  <c r="AL77" i="1"/>
  <c r="AW75" i="1"/>
  <c r="AZ75" i="1"/>
  <c r="BA75" i="1"/>
  <c r="AP74" i="1"/>
  <c r="AO74" i="1"/>
  <c r="AL74" i="1"/>
  <c r="AN75" i="1" s="1"/>
  <c r="BA73" i="1"/>
  <c r="AW73" i="1"/>
  <c r="AZ73" i="1"/>
  <c r="BB73" i="1" s="1"/>
  <c r="BA71" i="1"/>
  <c r="AW71" i="1"/>
  <c r="AZ71" i="1"/>
  <c r="BB71" i="1" s="1"/>
  <c r="BA69" i="1"/>
  <c r="AZ69" i="1"/>
  <c r="BB69" i="1" s="1"/>
  <c r="AW69" i="1"/>
  <c r="BA68" i="1"/>
  <c r="AW68" i="1"/>
  <c r="AZ68" i="1"/>
  <c r="BB68" i="1" s="1"/>
  <c r="BA67" i="1"/>
  <c r="AW67" i="1"/>
  <c r="AZ67" i="1"/>
  <c r="BB67" i="1" s="1"/>
  <c r="AZ66" i="1"/>
  <c r="AW66" i="1"/>
  <c r="BA66" i="1"/>
  <c r="AZ65" i="1"/>
  <c r="BA65" i="1"/>
  <c r="AW65" i="1"/>
  <c r="AW64" i="1"/>
  <c r="AZ64" i="1"/>
  <c r="BA64" i="1"/>
  <c r="BA63" i="1"/>
  <c r="AZ63" i="1"/>
  <c r="AW63" i="1"/>
  <c r="AW62" i="1"/>
  <c r="BA62" i="1"/>
  <c r="AZ62" i="1"/>
  <c r="BB62" i="1" s="1"/>
  <c r="AL62" i="1"/>
  <c r="AN63" i="1" s="1"/>
  <c r="AO62" i="1"/>
  <c r="AP62" i="1"/>
  <c r="AZ61" i="1"/>
  <c r="AW61" i="1"/>
  <c r="BA61" i="1"/>
  <c r="BA60" i="1"/>
  <c r="AZ60" i="1"/>
  <c r="BB60" i="1" s="1"/>
  <c r="AW60" i="1"/>
  <c r="AW59" i="1"/>
  <c r="AZ59" i="1"/>
  <c r="BA59" i="1"/>
  <c r="AL59" i="1"/>
  <c r="AN60" i="1" s="1"/>
  <c r="AO59" i="1"/>
  <c r="AP59" i="1"/>
  <c r="BA58" i="1"/>
  <c r="AW58" i="1"/>
  <c r="AZ58" i="1"/>
  <c r="BB58" i="1" s="1"/>
  <c r="AL58" i="1"/>
  <c r="AP58" i="1"/>
  <c r="AO58" i="1"/>
  <c r="AQ58" i="1" s="1"/>
  <c r="AZ57" i="1"/>
  <c r="BA57" i="1"/>
  <c r="AW57" i="1"/>
  <c r="AP57" i="1"/>
  <c r="AL57" i="1"/>
  <c r="AO57" i="1"/>
  <c r="AQ57" i="1" s="1"/>
  <c r="AL56" i="1"/>
  <c r="AP56" i="1"/>
  <c r="AO56" i="1"/>
  <c r="AP55" i="1"/>
  <c r="AL55" i="1"/>
  <c r="AO55" i="1"/>
  <c r="AQ55" i="1" s="1"/>
  <c r="AP54" i="1"/>
  <c r="AL54" i="1"/>
  <c r="AO54" i="1"/>
  <c r="AQ54" i="1" s="1"/>
  <c r="AL53" i="1"/>
  <c r="AO53" i="1"/>
  <c r="AP53" i="1"/>
  <c r="AW52" i="1"/>
  <c r="AY53" i="1" s="1"/>
  <c r="AZ52" i="1"/>
  <c r="BA52" i="1"/>
  <c r="AL52" i="1"/>
  <c r="AO52" i="1"/>
  <c r="AP52" i="1"/>
  <c r="AW51" i="1"/>
  <c r="AZ51" i="1"/>
  <c r="BA51" i="1"/>
  <c r="AL50" i="1"/>
  <c r="AO50" i="1"/>
  <c r="AP50" i="1"/>
  <c r="BA47" i="1"/>
  <c r="AW47" i="1"/>
  <c r="AY48" i="1" s="1"/>
  <c r="AZ47" i="1"/>
  <c r="BB47" i="1" s="1"/>
  <c r="BA46" i="1"/>
  <c r="AW46" i="1"/>
  <c r="AZ46" i="1"/>
  <c r="BB46" i="1" s="1"/>
  <c r="AZ45" i="1"/>
  <c r="BA45" i="1"/>
  <c r="AW45" i="1"/>
  <c r="BA44" i="1"/>
  <c r="AW44" i="1"/>
  <c r="AZ44" i="1"/>
  <c r="BA43" i="1"/>
  <c r="AW43" i="1"/>
  <c r="AZ43" i="1"/>
  <c r="BB43" i="1" s="1"/>
  <c r="BA42" i="1"/>
  <c r="AZ42" i="1"/>
  <c r="BB42" i="1" s="1"/>
  <c r="AW42" i="1"/>
  <c r="AW41" i="1"/>
  <c r="BA41" i="1"/>
  <c r="AZ41" i="1"/>
  <c r="BB41" i="1" s="1"/>
  <c r="AW40" i="1"/>
  <c r="AZ40" i="1"/>
  <c r="BA40" i="1"/>
  <c r="AO40" i="1"/>
  <c r="AL40" i="1"/>
  <c r="AN41" i="1" s="1"/>
  <c r="AP40" i="1"/>
  <c r="AZ39" i="1"/>
  <c r="BA39" i="1"/>
  <c r="AW39" i="1"/>
  <c r="AW35" i="1"/>
  <c r="AZ35" i="1"/>
  <c r="BA35" i="1"/>
  <c r="AZ32" i="1"/>
  <c r="AW32" i="1"/>
  <c r="BA32" i="1"/>
  <c r="BA31" i="1"/>
  <c r="AZ31" i="1"/>
  <c r="BB31" i="1" s="1"/>
  <c r="AW31" i="1"/>
  <c r="AO30" i="1"/>
  <c r="AL30" i="1"/>
  <c r="AN31" i="1" s="1"/>
  <c r="AP30" i="1"/>
  <c r="AZ26" i="1"/>
  <c r="AW26" i="1"/>
  <c r="BA26" i="1"/>
  <c r="AP25" i="1"/>
  <c r="AO25" i="1"/>
  <c r="AQ25" i="1" s="1"/>
  <c r="AL25" i="1"/>
  <c r="AN26" i="1" s="1"/>
  <c r="AZ22" i="1"/>
  <c r="BA22" i="1"/>
  <c r="AP22" i="1"/>
  <c r="AO22" i="1"/>
  <c r="AQ22" i="1" s="1"/>
  <c r="BE175" i="1" l="1"/>
  <c r="BE142" i="1"/>
  <c r="BB86" i="1"/>
  <c r="BB160" i="1"/>
  <c r="AW116" i="1"/>
  <c r="BA116" i="1"/>
  <c r="AZ116" i="1"/>
  <c r="BB116" i="1" s="1"/>
  <c r="BA118" i="1"/>
  <c r="AW118" i="1"/>
  <c r="AY119" i="1" s="1"/>
  <c r="AZ118" i="1"/>
  <c r="BB118" i="1" s="1"/>
  <c r="BA85" i="1"/>
  <c r="BB85" i="1" s="1"/>
  <c r="AW85" i="1"/>
  <c r="BA98" i="1"/>
  <c r="AZ98" i="1"/>
  <c r="AW98" i="1"/>
  <c r="BA93" i="1"/>
  <c r="AW93" i="1"/>
  <c r="AZ93" i="1"/>
  <c r="BB93" i="1" s="1"/>
  <c r="AW76" i="1"/>
  <c r="AZ76" i="1"/>
  <c r="BA76" i="1"/>
  <c r="AZ89" i="1"/>
  <c r="AW89" i="1"/>
  <c r="BA89" i="1"/>
  <c r="BA74" i="1"/>
  <c r="AZ74" i="1"/>
  <c r="BB74" i="1" s="1"/>
  <c r="AW74" i="1"/>
  <c r="AW72" i="1"/>
  <c r="AZ72" i="1"/>
  <c r="BA72" i="1"/>
  <c r="BA70" i="1"/>
  <c r="AZ70" i="1"/>
  <c r="BB70" i="1" s="1"/>
  <c r="AW70" i="1"/>
  <c r="BB136" i="1"/>
  <c r="BA109" i="1"/>
  <c r="AW109" i="1"/>
  <c r="AY110" i="1" s="1"/>
  <c r="AZ109" i="1"/>
  <c r="BB109" i="1" s="1"/>
  <c r="BE109" i="1" s="1"/>
  <c r="BA96" i="1"/>
  <c r="AW96" i="1"/>
  <c r="AZ96" i="1"/>
  <c r="BB96" i="1" s="1"/>
  <c r="BA87" i="1"/>
  <c r="AZ87" i="1"/>
  <c r="BB87" i="1" s="1"/>
  <c r="AW87" i="1"/>
  <c r="AZ84" i="1"/>
  <c r="BA84" i="1"/>
  <c r="AW84" i="1"/>
  <c r="AZ81" i="1"/>
  <c r="AW81" i="1"/>
  <c r="BA81" i="1"/>
  <c r="BE145" i="1"/>
  <c r="BE176" i="1"/>
  <c r="BE173" i="1"/>
  <c r="BB150" i="1"/>
  <c r="AZ30" i="1"/>
  <c r="AW30" i="1"/>
  <c r="BA30" i="1"/>
  <c r="AZ36" i="1"/>
  <c r="BA36" i="1"/>
  <c r="AW36" i="1"/>
  <c r="AW34" i="1"/>
  <c r="AZ34" i="1"/>
  <c r="BA34" i="1"/>
  <c r="AZ33" i="1"/>
  <c r="AW33" i="1"/>
  <c r="BA33" i="1"/>
  <c r="BA37" i="1"/>
  <c r="AW37" i="1"/>
  <c r="AZ37" i="1"/>
  <c r="BB37" i="1" s="1"/>
  <c r="AW27" i="1"/>
  <c r="BA27" i="1"/>
  <c r="AZ27" i="1"/>
  <c r="BB27" i="1" s="1"/>
  <c r="BA28" i="1"/>
  <c r="AW28" i="1"/>
  <c r="AZ28" i="1"/>
  <c r="AW24" i="1"/>
  <c r="BA24" i="1"/>
  <c r="AZ24" i="1"/>
  <c r="BB24" i="1" s="1"/>
  <c r="AZ23" i="1"/>
  <c r="AW23" i="1"/>
  <c r="BA23" i="1"/>
  <c r="AW113" i="1"/>
  <c r="AY114" i="1" s="1"/>
  <c r="AZ113" i="1"/>
  <c r="BA113" i="1"/>
  <c r="AW38" i="1"/>
  <c r="AZ38" i="1"/>
  <c r="BA38" i="1"/>
  <c r="AZ25" i="1"/>
  <c r="AW25" i="1"/>
  <c r="BA25" i="1"/>
  <c r="AZ29" i="1"/>
  <c r="AW29" i="1"/>
  <c r="BA29" i="1"/>
  <c r="BB126" i="1"/>
  <c r="BE58" i="1"/>
  <c r="AW53" i="1"/>
  <c r="AY54" i="1" s="1"/>
  <c r="BA53" i="1"/>
  <c r="AZ53" i="1"/>
  <c r="BE150" i="1"/>
  <c r="BB98" i="1"/>
  <c r="BB44" i="1"/>
  <c r="BE91" i="1"/>
  <c r="BE147" i="1"/>
  <c r="BE102" i="1"/>
  <c r="BE78" i="1"/>
  <c r="BA110" i="1"/>
  <c r="AZ110" i="1"/>
  <c r="AW110" i="1"/>
  <c r="AZ54" i="1"/>
  <c r="AW48" i="1"/>
  <c r="AY49" i="1" s="1"/>
  <c r="BA48" i="1"/>
  <c r="AZ48" i="1"/>
  <c r="BB48" i="1" s="1"/>
  <c r="AQ119" i="1"/>
  <c r="AQ171" i="1"/>
  <c r="AQ155" i="1"/>
  <c r="BE155" i="1" s="1"/>
  <c r="AQ137" i="1"/>
  <c r="AL49" i="1"/>
  <c r="AP49" i="1"/>
  <c r="AO49" i="1"/>
  <c r="AP51" i="1"/>
  <c r="AL51" i="1"/>
  <c r="AO51" i="1"/>
  <c r="AO115" i="1"/>
  <c r="AL115" i="1"/>
  <c r="AP115" i="1"/>
  <c r="AO104" i="1"/>
  <c r="AL104" i="1"/>
  <c r="AP104" i="1"/>
  <c r="AL83" i="1"/>
  <c r="AN84" i="1" s="1"/>
  <c r="AO83" i="1"/>
  <c r="AP83" i="1"/>
  <c r="AP82" i="1"/>
  <c r="AL82" i="1"/>
  <c r="AO82" i="1"/>
  <c r="AQ82" i="1" s="1"/>
  <c r="BE82" i="1" s="1"/>
  <c r="AO48" i="1"/>
  <c r="AL48" i="1"/>
  <c r="AP48" i="1"/>
  <c r="AO47" i="1"/>
  <c r="AL47" i="1"/>
  <c r="AP47" i="1"/>
  <c r="AP46" i="1"/>
  <c r="AO46" i="1"/>
  <c r="AQ46" i="1" s="1"/>
  <c r="BE46" i="1" s="1"/>
  <c r="AL46" i="1"/>
  <c r="AO116" i="1"/>
  <c r="AP116" i="1"/>
  <c r="AL116" i="1"/>
  <c r="AO23" i="1"/>
  <c r="AL23" i="1"/>
  <c r="AN24" i="1" s="1"/>
  <c r="AP23" i="1"/>
  <c r="AO103" i="1"/>
  <c r="AP103" i="1"/>
  <c r="AL103" i="1"/>
  <c r="AQ129" i="1"/>
  <c r="AQ56" i="1"/>
  <c r="AQ110" i="1"/>
  <c r="AL166" i="1"/>
  <c r="AN167" i="1" s="1"/>
  <c r="AP166" i="1"/>
  <c r="AO166" i="1"/>
  <c r="AO163" i="1"/>
  <c r="AL163" i="1"/>
  <c r="AP163" i="1"/>
  <c r="AL161" i="1"/>
  <c r="AP161" i="1"/>
  <c r="AO161" i="1"/>
  <c r="AO151" i="1"/>
  <c r="AL151" i="1"/>
  <c r="AN152" i="1" s="1"/>
  <c r="AP151" i="1"/>
  <c r="AL60" i="1"/>
  <c r="AN61" i="1" s="1"/>
  <c r="AP60" i="1"/>
  <c r="AO60" i="1"/>
  <c r="AP41" i="1"/>
  <c r="AO41" i="1"/>
  <c r="AL41" i="1"/>
  <c r="AN42" i="1" s="1"/>
  <c r="AO31" i="1"/>
  <c r="AL31" i="1"/>
  <c r="AN32" i="1" s="1"/>
  <c r="AP31" i="1"/>
  <c r="AL26" i="1"/>
  <c r="AN27" i="1" s="1"/>
  <c r="AO26" i="1"/>
  <c r="AP26" i="1"/>
  <c r="AO24" i="1"/>
  <c r="AL24" i="1"/>
  <c r="AP24" i="1"/>
  <c r="AQ165" i="1"/>
  <c r="BE165" i="1" s="1"/>
  <c r="AQ60" i="1"/>
  <c r="BE60" i="1" s="1"/>
  <c r="AQ53" i="1"/>
  <c r="AQ114" i="1"/>
  <c r="AQ74" i="1"/>
  <c r="BE74" i="1" s="1"/>
  <c r="BB52" i="1"/>
  <c r="BB66" i="1"/>
  <c r="AQ52" i="1"/>
  <c r="AQ128" i="1"/>
  <c r="AQ59" i="1"/>
  <c r="AP157" i="1"/>
  <c r="AL157" i="1"/>
  <c r="AN158" i="1" s="1"/>
  <c r="AO157" i="1"/>
  <c r="AQ157" i="1" s="1"/>
  <c r="AL143" i="1"/>
  <c r="AN144" i="1" s="1"/>
  <c r="AP143" i="1"/>
  <c r="AO143" i="1"/>
  <c r="AQ143" i="1" s="1"/>
  <c r="BE143" i="1" s="1"/>
  <c r="AP140" i="1"/>
  <c r="AL140" i="1"/>
  <c r="AN141" i="1" s="1"/>
  <c r="AO140" i="1"/>
  <c r="AQ140" i="1" s="1"/>
  <c r="BE140" i="1" s="1"/>
  <c r="BA137" i="1"/>
  <c r="AZ137" i="1"/>
  <c r="BB137" i="1" s="1"/>
  <c r="BE137" i="1" s="1"/>
  <c r="AW137" i="1"/>
  <c r="AY138" i="1" s="1"/>
  <c r="BA127" i="1"/>
  <c r="AW127" i="1"/>
  <c r="AY128" i="1" s="1"/>
  <c r="AZ127" i="1"/>
  <c r="AZ123" i="1"/>
  <c r="AW123" i="1"/>
  <c r="AY124" i="1" s="1"/>
  <c r="BA123" i="1"/>
  <c r="AW119" i="1"/>
  <c r="AY120" i="1" s="1"/>
  <c r="AZ119" i="1"/>
  <c r="BA119" i="1"/>
  <c r="AO118" i="1"/>
  <c r="AL118" i="1"/>
  <c r="AP118" i="1"/>
  <c r="AZ114" i="1"/>
  <c r="AW114" i="1"/>
  <c r="BA114" i="1"/>
  <c r="BA112" i="1"/>
  <c r="AW112" i="1"/>
  <c r="AZ112" i="1"/>
  <c r="AZ105" i="1"/>
  <c r="AW105" i="1"/>
  <c r="AY106" i="1" s="1"/>
  <c r="BA105" i="1"/>
  <c r="AP93" i="1"/>
  <c r="AO93" i="1"/>
  <c r="AQ93" i="1" s="1"/>
  <c r="AL93" i="1"/>
  <c r="AN94" i="1" s="1"/>
  <c r="AP80" i="1"/>
  <c r="AO80" i="1"/>
  <c r="AQ80" i="1" s="1"/>
  <c r="BE80" i="1" s="1"/>
  <c r="AL80" i="1"/>
  <c r="AO75" i="1"/>
  <c r="AL75" i="1"/>
  <c r="AN76" i="1" s="1"/>
  <c r="AP75" i="1"/>
  <c r="AO63" i="1"/>
  <c r="AL63" i="1"/>
  <c r="AN64" i="1" s="1"/>
  <c r="AP63" i="1"/>
  <c r="AO27" i="1"/>
  <c r="AL27" i="1"/>
  <c r="AN28" i="1" s="1"/>
  <c r="AP27" i="1"/>
  <c r="AR22" i="1"/>
  <c r="AQ174" i="1"/>
  <c r="BE174" i="1" s="1"/>
  <c r="BB171" i="1"/>
  <c r="BE171" i="1" s="1"/>
  <c r="BB167" i="1"/>
  <c r="AQ166" i="1"/>
  <c r="BE166" i="1" s="1"/>
  <c r="BB164" i="1"/>
  <c r="BE164" i="1" s="1"/>
  <c r="AQ162" i="1"/>
  <c r="BE162" i="1" s="1"/>
  <c r="AQ161" i="1"/>
  <c r="BE161" i="1" s="1"/>
  <c r="AQ160" i="1"/>
  <c r="BE160" i="1" s="1"/>
  <c r="BB159" i="1"/>
  <c r="BB157" i="1"/>
  <c r="AQ156" i="1"/>
  <c r="BE156" i="1" s="1"/>
  <c r="BB153" i="1"/>
  <c r="BB151" i="1"/>
  <c r="BB149" i="1"/>
  <c r="AQ149" i="1"/>
  <c r="BB148" i="1"/>
  <c r="AQ148" i="1"/>
  <c r="BE148" i="1" s="1"/>
  <c r="BB146" i="1"/>
  <c r="BE146" i="1" s="1"/>
  <c r="BB141" i="1"/>
  <c r="BB139" i="1"/>
  <c r="AQ139" i="1"/>
  <c r="AQ136" i="1"/>
  <c r="BE136" i="1" s="1"/>
  <c r="AQ135" i="1"/>
  <c r="BE135" i="1" s="1"/>
  <c r="AQ134" i="1"/>
  <c r="BE134" i="1" s="1"/>
  <c r="AQ133" i="1"/>
  <c r="AQ130" i="1"/>
  <c r="AQ127" i="1"/>
  <c r="AQ126" i="1"/>
  <c r="BE126" i="1" s="1"/>
  <c r="BB117" i="1"/>
  <c r="AQ117" i="1"/>
  <c r="AQ115" i="1"/>
  <c r="BE115" i="1" s="1"/>
  <c r="AQ111" i="1"/>
  <c r="AQ107" i="1"/>
  <c r="BB103" i="1"/>
  <c r="AQ92" i="1"/>
  <c r="BE92" i="1" s="1"/>
  <c r="BB89" i="1"/>
  <c r="AQ83" i="1"/>
  <c r="BE83" i="1" s="1"/>
  <c r="AQ81" i="1"/>
  <c r="AQ79" i="1"/>
  <c r="BE79" i="1" s="1"/>
  <c r="BB76" i="1"/>
  <c r="BB65" i="1"/>
  <c r="BB63" i="1"/>
  <c r="BB53" i="1"/>
  <c r="BE53" i="1" s="1"/>
  <c r="AQ50" i="1"/>
  <c r="AQ49" i="1"/>
  <c r="AQ48" i="1"/>
  <c r="BE48" i="1" s="1"/>
  <c r="AQ47" i="1"/>
  <c r="BE47" i="1" s="1"/>
  <c r="BB45" i="1"/>
  <c r="BB40" i="1"/>
  <c r="AQ40" i="1"/>
  <c r="BE40" i="1" s="1"/>
  <c r="BB39" i="1"/>
  <c r="BB36" i="1"/>
  <c r="BB35" i="1"/>
  <c r="BB34" i="1"/>
  <c r="BB33" i="1"/>
  <c r="BB32" i="1"/>
  <c r="AQ30" i="1"/>
  <c r="BB29" i="1"/>
  <c r="BB28" i="1"/>
  <c r="BB26" i="1"/>
  <c r="AQ26" i="1"/>
  <c r="BB25" i="1"/>
  <c r="BE25" i="1" s="1"/>
  <c r="AQ23" i="1"/>
  <c r="BB22" i="1"/>
  <c r="BE22" i="1" s="1"/>
  <c r="BB59" i="1"/>
  <c r="BE59" i="1" s="1"/>
  <c r="BB57" i="1"/>
  <c r="BE57" i="1" s="1"/>
  <c r="AQ51" i="1"/>
  <c r="BB51" i="1"/>
  <c r="AQ132" i="1"/>
  <c r="AQ123" i="1"/>
  <c r="BB122" i="1"/>
  <c r="BE122" i="1" s="1"/>
  <c r="AQ112" i="1"/>
  <c r="BB111" i="1"/>
  <c r="BB110" i="1"/>
  <c r="BE110" i="1" s="1"/>
  <c r="AQ106" i="1"/>
  <c r="AQ104" i="1"/>
  <c r="BE104" i="1" s="1"/>
  <c r="BB101" i="1"/>
  <c r="BB99" i="1"/>
  <c r="BB84" i="1"/>
  <c r="BB81" i="1"/>
  <c r="BB77" i="1"/>
  <c r="BE77" i="1" s="1"/>
  <c r="BB75" i="1"/>
  <c r="BB72" i="1"/>
  <c r="BB64" i="1"/>
  <c r="AQ62" i="1"/>
  <c r="BE62" i="1" s="1"/>
  <c r="BB61" i="1"/>
  <c r="BB127" i="1" l="1"/>
  <c r="BE127" i="1" s="1"/>
  <c r="BE93" i="1"/>
  <c r="BE52" i="1"/>
  <c r="AW54" i="1"/>
  <c r="AY55" i="1" s="1"/>
  <c r="BA54" i="1"/>
  <c r="BB54" i="1" s="1"/>
  <c r="BE54" i="1" s="1"/>
  <c r="BE26" i="1"/>
  <c r="BB30" i="1"/>
  <c r="BE30" i="1" s="1"/>
  <c r="BB23" i="1"/>
  <c r="BB113" i="1"/>
  <c r="BE113" i="1" s="1"/>
  <c r="BB38" i="1"/>
  <c r="BB112" i="1"/>
  <c r="BE112" i="1" s="1"/>
  <c r="BE117" i="1"/>
  <c r="AZ55" i="1"/>
  <c r="BA55" i="1"/>
  <c r="AW55" i="1"/>
  <c r="AY56" i="1" s="1"/>
  <c r="AW49" i="1"/>
  <c r="AY50" i="1" s="1"/>
  <c r="AZ49" i="1"/>
  <c r="BA49" i="1"/>
  <c r="BE149" i="1"/>
  <c r="BE139" i="1"/>
  <c r="AZ120" i="1"/>
  <c r="BA120" i="1"/>
  <c r="AW120" i="1"/>
  <c r="AY121" i="1" s="1"/>
  <c r="AQ116" i="1"/>
  <c r="BE116" i="1" s="1"/>
  <c r="AQ103" i="1"/>
  <c r="BE103" i="1" s="1"/>
  <c r="AO84" i="1"/>
  <c r="AL84" i="1"/>
  <c r="AN85" i="1" s="1"/>
  <c r="AP84" i="1"/>
  <c r="AQ41" i="1"/>
  <c r="BE41" i="1" s="1"/>
  <c r="AP61" i="1"/>
  <c r="AO61" i="1"/>
  <c r="AQ61" i="1" s="1"/>
  <c r="BE61" i="1" s="1"/>
  <c r="AL61" i="1"/>
  <c r="AL76" i="1"/>
  <c r="AP76" i="1"/>
  <c r="AO76" i="1"/>
  <c r="AQ76" i="1" s="1"/>
  <c r="BE76" i="1" s="1"/>
  <c r="AO167" i="1"/>
  <c r="AL167" i="1"/>
  <c r="AN168" i="1" s="1"/>
  <c r="AP167" i="1"/>
  <c r="AO152" i="1"/>
  <c r="AP152" i="1"/>
  <c r="AL152" i="1"/>
  <c r="AN153" i="1" s="1"/>
  <c r="AO42" i="1"/>
  <c r="AL42" i="1"/>
  <c r="AN43" i="1" s="1"/>
  <c r="AP42" i="1"/>
  <c r="AP32" i="1"/>
  <c r="AL32" i="1"/>
  <c r="AN33" i="1" s="1"/>
  <c r="AO32" i="1"/>
  <c r="AQ32" i="1" s="1"/>
  <c r="BE32" i="1" s="1"/>
  <c r="AQ151" i="1"/>
  <c r="BE151" i="1" s="1"/>
  <c r="AQ163" i="1"/>
  <c r="BE163" i="1" s="1"/>
  <c r="AQ31" i="1"/>
  <c r="BE31" i="1" s="1"/>
  <c r="AQ24" i="1"/>
  <c r="BE24" i="1" s="1"/>
  <c r="AP158" i="1"/>
  <c r="AL158" i="1"/>
  <c r="AN159" i="1" s="1"/>
  <c r="AO158" i="1"/>
  <c r="AQ158" i="1" s="1"/>
  <c r="BE158" i="1" s="1"/>
  <c r="AO144" i="1"/>
  <c r="AP144" i="1"/>
  <c r="AL144" i="1"/>
  <c r="AP94" i="1"/>
  <c r="AL94" i="1"/>
  <c r="AN95" i="1" s="1"/>
  <c r="AO94" i="1"/>
  <c r="AQ94" i="1" s="1"/>
  <c r="BE94" i="1" s="1"/>
  <c r="AP28" i="1"/>
  <c r="AL28" i="1"/>
  <c r="AN29" i="1" s="1"/>
  <c r="AO28" i="1"/>
  <c r="AQ28" i="1" s="1"/>
  <c r="BE28" i="1" s="1"/>
  <c r="AQ75" i="1"/>
  <c r="BE75" i="1" s="1"/>
  <c r="AP141" i="1"/>
  <c r="AL141" i="1"/>
  <c r="AO141" i="1"/>
  <c r="AQ141" i="1" s="1"/>
  <c r="BE141" i="1" s="1"/>
  <c r="BA138" i="1"/>
  <c r="AZ138" i="1"/>
  <c r="BB138" i="1" s="1"/>
  <c r="BE138" i="1" s="1"/>
  <c r="AW138" i="1"/>
  <c r="BA128" i="1"/>
  <c r="AW128" i="1"/>
  <c r="AY129" i="1" s="1"/>
  <c r="AZ128" i="1"/>
  <c r="BB128" i="1" s="1"/>
  <c r="BE128" i="1" s="1"/>
  <c r="AZ124" i="1"/>
  <c r="BA124" i="1"/>
  <c r="AW124" i="1"/>
  <c r="AY125" i="1" s="1"/>
  <c r="AW106" i="1"/>
  <c r="AY107" i="1" s="1"/>
  <c r="BA106" i="1"/>
  <c r="AZ106" i="1"/>
  <c r="BB106" i="1" s="1"/>
  <c r="AL64" i="1"/>
  <c r="AN65" i="1" s="1"/>
  <c r="AO64" i="1"/>
  <c r="AP64" i="1"/>
  <c r="BF22" i="1"/>
  <c r="BC22" i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AR23" i="1"/>
  <c r="BE81" i="1"/>
  <c r="BE157" i="1"/>
  <c r="BB123" i="1"/>
  <c r="BE123" i="1" s="1"/>
  <c r="BB119" i="1"/>
  <c r="BE119" i="1" s="1"/>
  <c r="AQ118" i="1"/>
  <c r="BE118" i="1" s="1"/>
  <c r="BB114" i="1"/>
  <c r="BE114" i="1" s="1"/>
  <c r="BB105" i="1"/>
  <c r="AQ63" i="1"/>
  <c r="BE63" i="1" s="1"/>
  <c r="AQ27" i="1"/>
  <c r="BE27" i="1" s="1"/>
  <c r="BE111" i="1"/>
  <c r="BE51" i="1"/>
  <c r="BE23" i="1"/>
  <c r="AZ56" i="1" l="1"/>
  <c r="BA56" i="1"/>
  <c r="AW56" i="1"/>
  <c r="AZ50" i="1"/>
  <c r="AW50" i="1"/>
  <c r="BA50" i="1"/>
  <c r="AZ121" i="1"/>
  <c r="AW121" i="1"/>
  <c r="BA121" i="1"/>
  <c r="BB55" i="1"/>
  <c r="BE55" i="1" s="1"/>
  <c r="BB49" i="1"/>
  <c r="BB120" i="1"/>
  <c r="BE120" i="1" s="1"/>
  <c r="BA129" i="1"/>
  <c r="AW129" i="1"/>
  <c r="AY130" i="1" s="1"/>
  <c r="AZ129" i="1"/>
  <c r="BB129" i="1" s="1"/>
  <c r="BE129" i="1" s="1"/>
  <c r="AZ125" i="1"/>
  <c r="AW125" i="1"/>
  <c r="BA125" i="1"/>
  <c r="BA107" i="1"/>
  <c r="AZ107" i="1"/>
  <c r="AW107" i="1"/>
  <c r="AY108" i="1" s="1"/>
  <c r="AP85" i="1"/>
  <c r="AO85" i="1"/>
  <c r="AQ85" i="1" s="1"/>
  <c r="BE85" i="1" s="1"/>
  <c r="AL85" i="1"/>
  <c r="AN86" i="1" s="1"/>
  <c r="AQ84" i="1"/>
  <c r="BE84" i="1" s="1"/>
  <c r="AO168" i="1"/>
  <c r="AP168" i="1"/>
  <c r="AL168" i="1"/>
  <c r="AN169" i="1" s="1"/>
  <c r="AO153" i="1"/>
  <c r="AP153" i="1"/>
  <c r="AL153" i="1"/>
  <c r="AP43" i="1"/>
  <c r="AO43" i="1"/>
  <c r="AQ43" i="1" s="1"/>
  <c r="BE43" i="1" s="1"/>
  <c r="AL43" i="1"/>
  <c r="AN44" i="1" s="1"/>
  <c r="AL33" i="1"/>
  <c r="AN34" i="1" s="1"/>
  <c r="AP33" i="1"/>
  <c r="AO33" i="1"/>
  <c r="AQ33" i="1" s="1"/>
  <c r="BE33" i="1" s="1"/>
  <c r="AL159" i="1"/>
  <c r="AP159" i="1"/>
  <c r="AO159" i="1"/>
  <c r="AQ159" i="1" s="1"/>
  <c r="BE159" i="1" s="1"/>
  <c r="AO95" i="1"/>
  <c r="AP95" i="1"/>
  <c r="AL95" i="1"/>
  <c r="AN96" i="1" s="1"/>
  <c r="AO29" i="1"/>
  <c r="AP29" i="1"/>
  <c r="AL29" i="1"/>
  <c r="AR24" i="1"/>
  <c r="AR25" i="1" s="1"/>
  <c r="AR26" i="1" s="1"/>
  <c r="AQ167" i="1"/>
  <c r="BE167" i="1" s="1"/>
  <c r="AQ152" i="1"/>
  <c r="BE152" i="1" s="1"/>
  <c r="AQ42" i="1"/>
  <c r="BE42" i="1" s="1"/>
  <c r="AQ144" i="1"/>
  <c r="BE144" i="1" s="1"/>
  <c r="AO65" i="1"/>
  <c r="AL65" i="1"/>
  <c r="AN66" i="1" s="1"/>
  <c r="AP65" i="1"/>
  <c r="BF23" i="1"/>
  <c r="BF24" i="1" s="1"/>
  <c r="BF25" i="1" s="1"/>
  <c r="BF26" i="1" s="1"/>
  <c r="BF27" i="1" s="1"/>
  <c r="BF28" i="1" s="1"/>
  <c r="AR27" i="1"/>
  <c r="AR28" i="1" s="1"/>
  <c r="BB124" i="1"/>
  <c r="AQ64" i="1"/>
  <c r="BE106" i="1"/>
  <c r="BE105" i="1"/>
  <c r="BB107" i="1" l="1"/>
  <c r="BE107" i="1" s="1"/>
  <c r="BC49" i="1"/>
  <c r="BE49" i="1"/>
  <c r="AZ130" i="1"/>
  <c r="AW130" i="1"/>
  <c r="AY131" i="1" s="1"/>
  <c r="BA130" i="1"/>
  <c r="AW108" i="1"/>
  <c r="AZ108" i="1"/>
  <c r="BA108" i="1"/>
  <c r="BB56" i="1"/>
  <c r="BE56" i="1" s="1"/>
  <c r="BB50" i="1"/>
  <c r="BB121" i="1"/>
  <c r="BE121" i="1" s="1"/>
  <c r="BB125" i="1"/>
  <c r="BE125" i="1" s="1"/>
  <c r="AO86" i="1"/>
  <c r="AL86" i="1"/>
  <c r="AN87" i="1" s="1"/>
  <c r="AP86" i="1"/>
  <c r="AO169" i="1"/>
  <c r="AL169" i="1"/>
  <c r="AN170" i="1" s="1"/>
  <c r="AP169" i="1"/>
  <c r="AP44" i="1"/>
  <c r="AO44" i="1"/>
  <c r="AQ44" i="1" s="1"/>
  <c r="BE44" i="1" s="1"/>
  <c r="AL44" i="1"/>
  <c r="AN45" i="1" s="1"/>
  <c r="AP34" i="1"/>
  <c r="AL34" i="1"/>
  <c r="AN35" i="1" s="1"/>
  <c r="AO34" i="1"/>
  <c r="AQ34" i="1" s="1"/>
  <c r="BE34" i="1" s="1"/>
  <c r="AL96" i="1"/>
  <c r="AN97" i="1" s="1"/>
  <c r="AO96" i="1"/>
  <c r="AP96" i="1"/>
  <c r="AL66" i="1"/>
  <c r="AN67" i="1" s="1"/>
  <c r="AP66" i="1"/>
  <c r="AO66" i="1"/>
  <c r="AQ66" i="1" s="1"/>
  <c r="BE66" i="1" s="1"/>
  <c r="AQ168" i="1"/>
  <c r="BE168" i="1" s="1"/>
  <c r="AQ153" i="1"/>
  <c r="BE153" i="1" s="1"/>
  <c r="AQ95" i="1"/>
  <c r="BE95" i="1" s="1"/>
  <c r="AQ29" i="1"/>
  <c r="AQ65" i="1"/>
  <c r="BE65" i="1" s="1"/>
  <c r="BE124" i="1"/>
  <c r="BE64" i="1"/>
  <c r="AW131" i="1" l="1"/>
  <c r="AY132" i="1" s="1"/>
  <c r="BA131" i="1"/>
  <c r="AZ131" i="1"/>
  <c r="BE50" i="1"/>
  <c r="BC50" i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B130" i="1"/>
  <c r="BE130" i="1" s="1"/>
  <c r="BB108" i="1"/>
  <c r="AO87" i="1"/>
  <c r="AP87" i="1"/>
  <c r="AL87" i="1"/>
  <c r="AN88" i="1" s="1"/>
  <c r="AQ86" i="1"/>
  <c r="BE86" i="1" s="1"/>
  <c r="AL170" i="1"/>
  <c r="AP170" i="1"/>
  <c r="AO170" i="1"/>
  <c r="AL45" i="1"/>
  <c r="AO45" i="1"/>
  <c r="AP45" i="1"/>
  <c r="AL35" i="1"/>
  <c r="AN36" i="1" s="1"/>
  <c r="AO35" i="1"/>
  <c r="AP35" i="1"/>
  <c r="AP97" i="1"/>
  <c r="AO97" i="1"/>
  <c r="AQ97" i="1" s="1"/>
  <c r="BE97" i="1" s="1"/>
  <c r="AL97" i="1"/>
  <c r="AN98" i="1" s="1"/>
  <c r="AP67" i="1"/>
  <c r="AO67" i="1"/>
  <c r="AQ67" i="1" s="1"/>
  <c r="BE67" i="1" s="1"/>
  <c r="AL67" i="1"/>
  <c r="AN68" i="1" s="1"/>
  <c r="AR29" i="1"/>
  <c r="AR30" i="1" s="1"/>
  <c r="AR31" i="1" s="1"/>
  <c r="AR32" i="1" s="1"/>
  <c r="AR33" i="1" s="1"/>
  <c r="AR34" i="1" s="1"/>
  <c r="BE29" i="1"/>
  <c r="BF29" i="1" s="1"/>
  <c r="BF30" i="1" s="1"/>
  <c r="BF31" i="1" s="1"/>
  <c r="BF32" i="1" s="1"/>
  <c r="BF33" i="1" s="1"/>
  <c r="BF34" i="1" s="1"/>
  <c r="AQ169" i="1"/>
  <c r="BE169" i="1" s="1"/>
  <c r="AQ96" i="1"/>
  <c r="BE96" i="1" s="1"/>
  <c r="BB131" i="1" l="1"/>
  <c r="BE131" i="1" s="1"/>
  <c r="AZ132" i="1"/>
  <c r="BA132" i="1"/>
  <c r="AW132" i="1"/>
  <c r="AY133" i="1" s="1"/>
  <c r="BC108" i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E108" i="1"/>
  <c r="AQ170" i="1"/>
  <c r="BE170" i="1" s="1"/>
  <c r="AL88" i="1"/>
  <c r="AN89" i="1" s="1"/>
  <c r="AP88" i="1"/>
  <c r="AO88" i="1"/>
  <c r="AQ87" i="1"/>
  <c r="BE87" i="1" s="1"/>
  <c r="AL36" i="1"/>
  <c r="AN37" i="1" s="1"/>
  <c r="AP36" i="1"/>
  <c r="AO36" i="1"/>
  <c r="AP98" i="1"/>
  <c r="AL98" i="1"/>
  <c r="AN99" i="1" s="1"/>
  <c r="AO98" i="1"/>
  <c r="AQ98" i="1" s="1"/>
  <c r="BE98" i="1" s="1"/>
  <c r="AO68" i="1"/>
  <c r="AL68" i="1"/>
  <c r="AN69" i="1" s="1"/>
  <c r="AP68" i="1"/>
  <c r="AQ45" i="1"/>
  <c r="BE45" i="1" s="1"/>
  <c r="AQ35" i="1"/>
  <c r="BA133" i="1" l="1"/>
  <c r="AW133" i="1"/>
  <c r="AZ133" i="1"/>
  <c r="BB133" i="1" s="1"/>
  <c r="BE133" i="1" s="1"/>
  <c r="BB132" i="1"/>
  <c r="AQ36" i="1"/>
  <c r="BE36" i="1" s="1"/>
  <c r="AL89" i="1"/>
  <c r="AN90" i="1" s="1"/>
  <c r="AP89" i="1"/>
  <c r="AO89" i="1"/>
  <c r="AQ89" i="1" s="1"/>
  <c r="BE89" i="1" s="1"/>
  <c r="AQ88" i="1"/>
  <c r="BE88" i="1" s="1"/>
  <c r="AL37" i="1"/>
  <c r="AN38" i="1" s="1"/>
  <c r="AP37" i="1"/>
  <c r="AO37" i="1"/>
  <c r="AP99" i="1"/>
  <c r="AO99" i="1"/>
  <c r="AQ99" i="1" s="1"/>
  <c r="BE99" i="1" s="1"/>
  <c r="AL99" i="1"/>
  <c r="AN100" i="1" s="1"/>
  <c r="AO69" i="1"/>
  <c r="AL69" i="1"/>
  <c r="AN70" i="1" s="1"/>
  <c r="AP69" i="1"/>
  <c r="AR35" i="1"/>
  <c r="AR36" i="1" s="1"/>
  <c r="BE35" i="1"/>
  <c r="AQ68" i="1"/>
  <c r="BE68" i="1" s="1"/>
  <c r="BB14" i="1" l="1"/>
  <c r="BB15" i="1"/>
  <c r="BB19" i="1"/>
  <c r="BC132" i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32" i="1"/>
  <c r="AP90" i="1"/>
  <c r="AL90" i="1"/>
  <c r="AO90" i="1"/>
  <c r="AQ37" i="1"/>
  <c r="AL38" i="1"/>
  <c r="AN39" i="1" s="1"/>
  <c r="AO38" i="1"/>
  <c r="AP38" i="1"/>
  <c r="AL100" i="1"/>
  <c r="AN101" i="1" s="1"/>
  <c r="AP100" i="1"/>
  <c r="AO100" i="1"/>
  <c r="AQ100" i="1" s="1"/>
  <c r="BE100" i="1" s="1"/>
  <c r="AP70" i="1"/>
  <c r="AL70" i="1"/>
  <c r="AN71" i="1" s="1"/>
  <c r="AO70" i="1"/>
  <c r="AQ70" i="1" s="1"/>
  <c r="BE70" i="1" s="1"/>
  <c r="BF35" i="1"/>
  <c r="BF36" i="1" s="1"/>
  <c r="AQ69" i="1"/>
  <c r="BE69" i="1" s="1"/>
  <c r="BB16" i="1" l="1"/>
  <c r="AT1" i="1" s="1"/>
  <c r="AQ90" i="1"/>
  <c r="BE90" i="1" s="1"/>
  <c r="AR37" i="1"/>
  <c r="BE37" i="1"/>
  <c r="BF37" i="1" s="1"/>
  <c r="AL39" i="1"/>
  <c r="AO39" i="1"/>
  <c r="AP39" i="1"/>
  <c r="AP101" i="1"/>
  <c r="AO101" i="1"/>
  <c r="AQ101" i="1" s="1"/>
  <c r="BE101" i="1" s="1"/>
  <c r="AL101" i="1"/>
  <c r="AL71" i="1"/>
  <c r="AN72" i="1" s="1"/>
  <c r="AP71" i="1"/>
  <c r="AO71" i="1"/>
  <c r="AQ38" i="1"/>
  <c r="AQ71" i="1" l="1"/>
  <c r="BE71" i="1" s="1"/>
  <c r="AO72" i="1"/>
  <c r="AP72" i="1"/>
  <c r="AL72" i="1"/>
  <c r="AN73" i="1" s="1"/>
  <c r="BE38" i="1"/>
  <c r="AR38" i="1"/>
  <c r="AQ39" i="1"/>
  <c r="AO73" i="1" l="1"/>
  <c r="AL73" i="1"/>
  <c r="AP73" i="1"/>
  <c r="BF38" i="1"/>
  <c r="AQ72" i="1"/>
  <c r="BE72" i="1" s="1"/>
  <c r="AR39" i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BE39" i="1"/>
  <c r="BF39" i="1" l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AQ73" i="1"/>
  <c r="AQ15" i="1" l="1"/>
  <c r="AQ19" i="1"/>
  <c r="AR73" i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4" i="1"/>
  <c r="AQ16" i="1" s="1"/>
  <c r="AI1" i="1" s="1"/>
  <c r="BE73" i="1"/>
  <c r="BE14" i="1" l="1"/>
  <c r="BE18" i="1"/>
  <c r="BE15" i="1"/>
  <c r="BF73" i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<sst xmlns="http://schemas.openxmlformats.org/spreadsheetml/2006/main" count="74" uniqueCount="53">
  <si>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</si>
  <si>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Z</t>
  </si>
  <si>
    <t>ZG</t>
  </si>
  <si>
    <t>Z log rtn</t>
  </si>
  <si>
    <t>ZG log rtn</t>
  </si>
  <si>
    <t>Z div</t>
  </si>
  <si>
    <t>Z div cumsum</t>
  </si>
  <si>
    <t>ZG div</t>
  </si>
  <si>
    <t>ZG div cumsum</t>
  </si>
  <si>
    <t>Z div adjustment</t>
  </si>
  <si>
    <t>ZG div adjustment</t>
  </si>
  <si>
    <t>Z*</t>
  </si>
  <si>
    <t>ZG*</t>
  </si>
  <si>
    <t>ZG/Z</t>
  </si>
  <si>
    <t>ZG/Z avg</t>
  </si>
  <si>
    <t>ZG/Z 10 dma</t>
  </si>
  <si>
    <t>ZG/Z 20 dma</t>
  </si>
  <si>
    <t>Z x avg</t>
  </si>
  <si>
    <t>Z x 10 dma</t>
  </si>
  <si>
    <t>Z x 20 dma</t>
  </si>
  <si>
    <t>log diff Z x avg / ZG</t>
  </si>
  <si>
    <t>log diff Z x 10 dma / ZG</t>
  </si>
  <si>
    <t>log diff Z x 20 dma / ZG</t>
  </si>
  <si>
    <t>ZG*/Z*</t>
  </si>
  <si>
    <t>ZG*/Z* avg</t>
  </si>
  <si>
    <t>ZG*/Z* 10 dma</t>
  </si>
  <si>
    <t>ZG*/Z* 20 dma</t>
  </si>
  <si>
    <t>Z* x avg</t>
  </si>
  <si>
    <t>Z* x 10 dma</t>
  </si>
  <si>
    <t>Z* x 20 dma</t>
  </si>
  <si>
    <t>log diff Z* x avg / ZG*</t>
  </si>
  <si>
    <t>log diff Z* x 10 dma / ZG*</t>
  </si>
  <si>
    <t>log diff Z* x 20 dma / ZG*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</si>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</sst>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ZG/Z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1.0029086172027599</c:v>
                </c:pt>
                <c:pt idx="1">
                  <c:v>1.0029086172027599</c:v>
                </c:pt>
                <c:pt idx="2">
                  <c:v>1.0029086172027599</c:v>
                </c:pt>
                <c:pt idx="3">
                  <c:v>1.0029086172027599</c:v>
                </c:pt>
                <c:pt idx="4">
                  <c:v>1.0029086172027599</c:v>
                </c:pt>
                <c:pt idx="5">
                  <c:v>1.0029086172027599</c:v>
                </c:pt>
                <c:pt idx="6">
                  <c:v>1.0029086172027599</c:v>
                </c:pt>
                <c:pt idx="7">
                  <c:v>1.0029086172027599</c:v>
                </c:pt>
                <c:pt idx="8">
                  <c:v>1.0029086172027599</c:v>
                </c:pt>
                <c:pt idx="9">
                  <c:v>1.0029086172027599</c:v>
                </c:pt>
                <c:pt idx="10">
                  <c:v>1.0029086172027599</c:v>
                </c:pt>
                <c:pt idx="11">
                  <c:v>1.0029086172027599</c:v>
                </c:pt>
                <c:pt idx="12">
                  <c:v>1.0029086172027599</c:v>
                </c:pt>
                <c:pt idx="13">
                  <c:v>1.0029086172027599</c:v>
                </c:pt>
                <c:pt idx="14">
                  <c:v>1.0029086172027599</c:v>
                </c:pt>
                <c:pt idx="15">
                  <c:v>1.0029086172027599</c:v>
                </c:pt>
                <c:pt idx="16">
                  <c:v>1.0029086172027599</c:v>
                </c:pt>
                <c:pt idx="17">
                  <c:v>1.0029086172027599</c:v>
                </c:pt>
                <c:pt idx="18">
                  <c:v>1.0029086172027599</c:v>
                </c:pt>
                <c:pt idx="19">
                  <c:v>1.0029086172027599</c:v>
                </c:pt>
                <c:pt idx="20">
                  <c:v>1.0029086172027599</c:v>
                </c:pt>
                <c:pt idx="21">
                  <c:v>1.0029086172027599</c:v>
                </c:pt>
                <c:pt idx="22">
                  <c:v>1.0029086172027599</c:v>
                </c:pt>
                <c:pt idx="23">
                  <c:v>1.0029086172027599</c:v>
                </c:pt>
                <c:pt idx="24">
                  <c:v>1.0029086172027599</c:v>
                </c:pt>
                <c:pt idx="25">
                  <c:v>1.0029086172027599</c:v>
                </c:pt>
                <c:pt idx="26">
                  <c:v>1.0029086172027599</c:v>
                </c:pt>
                <c:pt idx="27">
                  <c:v>1.0029086172027599</c:v>
                </c:pt>
                <c:pt idx="28">
                  <c:v>1.0029086172027599</c:v>
                </c:pt>
                <c:pt idx="29">
                  <c:v>1.0029086172027599</c:v>
                </c:pt>
                <c:pt idx="30">
                  <c:v>1.0029086172027599</c:v>
                </c:pt>
                <c:pt idx="31">
                  <c:v>1.0029086172027599</c:v>
                </c:pt>
                <c:pt idx="32">
                  <c:v>1.0029086172027599</c:v>
                </c:pt>
                <c:pt idx="33">
                  <c:v>1.0029086172027599</c:v>
                </c:pt>
                <c:pt idx="34">
                  <c:v>1.0029086172027599</c:v>
                </c:pt>
                <c:pt idx="35">
                  <c:v>1.0029086172027599</c:v>
                </c:pt>
                <c:pt idx="36">
                  <c:v>1.0029086172027599</c:v>
                </c:pt>
                <c:pt idx="37">
                  <c:v>1.0029086172027599</c:v>
                </c:pt>
                <c:pt idx="38">
                  <c:v>1.0029086172027599</c:v>
                </c:pt>
                <c:pt idx="39">
                  <c:v>1.0029086172027599</c:v>
                </c:pt>
                <c:pt idx="40">
                  <c:v>1.0029086172027599</c:v>
                </c:pt>
                <c:pt idx="41">
                  <c:v>1.0029086172027599</c:v>
                </c:pt>
                <c:pt idx="42">
                  <c:v>1.0029086172027599</c:v>
                </c:pt>
                <c:pt idx="43">
                  <c:v>1.0029086172027599</c:v>
                </c:pt>
                <c:pt idx="44">
                  <c:v>1.0029086172027599</c:v>
                </c:pt>
                <c:pt idx="45">
                  <c:v>1.0029086172027599</c:v>
                </c:pt>
                <c:pt idx="46">
                  <c:v>1.0029086172027599</c:v>
                </c:pt>
                <c:pt idx="47">
                  <c:v>1.0029086172027599</c:v>
                </c:pt>
                <c:pt idx="48">
                  <c:v>1.0029086172027599</c:v>
                </c:pt>
                <c:pt idx="49">
                  <c:v>1.0029086172027599</c:v>
                </c:pt>
                <c:pt idx="50">
                  <c:v>1.0029086172027599</c:v>
                </c:pt>
                <c:pt idx="51">
                  <c:v>1.0029086172027599</c:v>
                </c:pt>
                <c:pt idx="52">
                  <c:v>1.0029086172027599</c:v>
                </c:pt>
                <c:pt idx="53">
                  <c:v>1.0029086172027599</c:v>
                </c:pt>
                <c:pt idx="54">
                  <c:v>1.0029086172027599</c:v>
                </c:pt>
                <c:pt idx="55">
                  <c:v>1.0029086172027599</c:v>
                </c:pt>
                <c:pt idx="56">
                  <c:v>1.0029086172027599</c:v>
                </c:pt>
                <c:pt idx="57">
                  <c:v>1.0029086172027599</c:v>
                </c:pt>
                <c:pt idx="58">
                  <c:v>1.0029086172027599</c:v>
                </c:pt>
                <c:pt idx="59">
                  <c:v>1.0029086172027599</c:v>
                </c:pt>
                <c:pt idx="60">
                  <c:v>1.0029086172027599</c:v>
                </c:pt>
                <c:pt idx="61">
                  <c:v>1.0029086172027599</c:v>
                </c:pt>
                <c:pt idx="62">
                  <c:v>1.0029086172027599</c:v>
                </c:pt>
                <c:pt idx="63">
                  <c:v>1.0029086172027599</c:v>
                </c:pt>
                <c:pt idx="64">
                  <c:v>1.0029086172027599</c:v>
                </c:pt>
                <c:pt idx="65">
                  <c:v>1.0029086172027599</c:v>
                </c:pt>
                <c:pt idx="66">
                  <c:v>1.0029086172027599</c:v>
                </c:pt>
                <c:pt idx="67">
                  <c:v>1.0029086172027599</c:v>
                </c:pt>
                <c:pt idx="68">
                  <c:v>1.0029086172027599</c:v>
                </c:pt>
                <c:pt idx="69">
                  <c:v>1.0029086172027599</c:v>
                </c:pt>
                <c:pt idx="70">
                  <c:v>1.0029086172027599</c:v>
                </c:pt>
                <c:pt idx="71">
                  <c:v>1.0029086172027599</c:v>
                </c:pt>
                <c:pt idx="72">
                  <c:v>1.0029086172027599</c:v>
                </c:pt>
                <c:pt idx="73">
                  <c:v>1.0029086172027599</c:v>
                </c:pt>
                <c:pt idx="74">
                  <c:v>1.0029086172027599</c:v>
                </c:pt>
                <c:pt idx="75">
                  <c:v>1.0029086172027599</c:v>
                </c:pt>
                <c:pt idx="76">
                  <c:v>1.0029086172027599</c:v>
                </c:pt>
                <c:pt idx="77">
                  <c:v>1.0029086172027599</c:v>
                </c:pt>
                <c:pt idx="78">
                  <c:v>1.0029086172027599</c:v>
                </c:pt>
                <c:pt idx="79">
                  <c:v>1.0029086172027599</c:v>
                </c:pt>
                <c:pt idx="80">
                  <c:v>1.0029086172027599</c:v>
                </c:pt>
                <c:pt idx="81">
                  <c:v>1.0029086172027599</c:v>
                </c:pt>
                <c:pt idx="82">
                  <c:v>1.0029086172027599</c:v>
                </c:pt>
                <c:pt idx="83">
                  <c:v>1.0029086172027599</c:v>
                </c:pt>
                <c:pt idx="84">
                  <c:v>1.0029086172027599</c:v>
                </c:pt>
                <c:pt idx="85">
                  <c:v>1.0029086172027599</c:v>
                </c:pt>
                <c:pt idx="86">
                  <c:v>1.0029086172027599</c:v>
                </c:pt>
                <c:pt idx="87">
                  <c:v>1.0029086172027599</c:v>
                </c:pt>
                <c:pt idx="88">
                  <c:v>1.0029086172027599</c:v>
                </c:pt>
                <c:pt idx="89">
                  <c:v>1.0029086172027599</c:v>
                </c:pt>
                <c:pt idx="90">
                  <c:v>1.0029086172027599</c:v>
                </c:pt>
                <c:pt idx="91">
                  <c:v>1.0029086172027599</c:v>
                </c:pt>
                <c:pt idx="92">
                  <c:v>1.0029086172027599</c:v>
                </c:pt>
                <c:pt idx="93">
                  <c:v>1.0029086172027599</c:v>
                </c:pt>
                <c:pt idx="94">
                  <c:v>1.0029086172027599</c:v>
                </c:pt>
                <c:pt idx="95">
                  <c:v>1.0029086172027599</c:v>
                </c:pt>
                <c:pt idx="96">
                  <c:v>1.0029086172027599</c:v>
                </c:pt>
                <c:pt idx="97">
                  <c:v>1.0029086172027599</c:v>
                </c:pt>
                <c:pt idx="98">
                  <c:v>1.0029086172027599</c:v>
                </c:pt>
                <c:pt idx="99">
                  <c:v>1.0029086172027599</c:v>
                </c:pt>
                <c:pt idx="100">
                  <c:v>1.0029086172027599</c:v>
                </c:pt>
                <c:pt idx="101">
                  <c:v>1.0029086172027599</c:v>
                </c:pt>
                <c:pt idx="102">
                  <c:v>1.0029086172027599</c:v>
                </c:pt>
                <c:pt idx="103">
                  <c:v>1.0029086172027599</c:v>
                </c:pt>
                <c:pt idx="104">
                  <c:v>1.0029086172027599</c:v>
                </c:pt>
                <c:pt idx="105">
                  <c:v>1.0029086172027599</c:v>
                </c:pt>
                <c:pt idx="106">
                  <c:v>1.0029086172027599</c:v>
                </c:pt>
                <c:pt idx="107">
                  <c:v>1.0029086172027599</c:v>
                </c:pt>
                <c:pt idx="108">
                  <c:v>1.0029086172027599</c:v>
                </c:pt>
                <c:pt idx="109">
                  <c:v>1.0029086172027599</c:v>
                </c:pt>
                <c:pt idx="110">
                  <c:v>1.0029086172027599</c:v>
                </c:pt>
                <c:pt idx="111">
                  <c:v>1.0029086172027599</c:v>
                </c:pt>
                <c:pt idx="112">
                  <c:v>1.0029086172027599</c:v>
                </c:pt>
                <c:pt idx="113">
                  <c:v>1.0029086172027599</c:v>
                </c:pt>
                <c:pt idx="114">
                  <c:v>1.0029086172027599</c:v>
                </c:pt>
                <c:pt idx="115">
                  <c:v>1.0029086172027599</c:v>
                </c:pt>
                <c:pt idx="116">
                  <c:v>1.0029086172027599</c:v>
                </c:pt>
                <c:pt idx="117">
                  <c:v>1.0029086172027599</c:v>
                </c:pt>
                <c:pt idx="118">
                  <c:v>1.0029086172027599</c:v>
                </c:pt>
                <c:pt idx="119">
                  <c:v>1.0029086172027599</c:v>
                </c:pt>
                <c:pt idx="120">
                  <c:v>1.0029086172027599</c:v>
                </c:pt>
                <c:pt idx="121">
                  <c:v>1.0029086172027599</c:v>
                </c:pt>
                <c:pt idx="122">
                  <c:v>1.0029086172027599</c:v>
                </c:pt>
                <c:pt idx="123">
                  <c:v>1.0029086172027599</c:v>
                </c:pt>
                <c:pt idx="124">
                  <c:v>1.0029086172027599</c:v>
                </c:pt>
                <c:pt idx="125">
                  <c:v>1.0029086172027599</c:v>
                </c:pt>
                <c:pt idx="126">
                  <c:v>1.0029086172027599</c:v>
                </c:pt>
                <c:pt idx="127">
                  <c:v>1.0029086172027599</c:v>
                </c:pt>
                <c:pt idx="128">
                  <c:v>1.0029086172027599</c:v>
                </c:pt>
                <c:pt idx="129">
                  <c:v>1.0029086172027599</c:v>
                </c:pt>
                <c:pt idx="130">
                  <c:v>1.0029086172027599</c:v>
                </c:pt>
                <c:pt idx="131">
                  <c:v>1.0029086172027599</c:v>
                </c:pt>
                <c:pt idx="132">
                  <c:v>1.0029086172027599</c:v>
                </c:pt>
                <c:pt idx="133">
                  <c:v>1.0029086172027599</c:v>
                </c:pt>
                <c:pt idx="134">
                  <c:v>1.0029086172027599</c:v>
                </c:pt>
                <c:pt idx="135">
                  <c:v>1.0029086172027599</c:v>
                </c:pt>
                <c:pt idx="136">
                  <c:v>1.0029086172027599</c:v>
                </c:pt>
                <c:pt idx="137">
                  <c:v>1.0029086172027599</c:v>
                </c:pt>
                <c:pt idx="138">
                  <c:v>1.0029086172027599</c:v>
                </c:pt>
                <c:pt idx="139">
                  <c:v>1.0029086172027599</c:v>
                </c:pt>
                <c:pt idx="140">
                  <c:v>1.0029086172027599</c:v>
                </c:pt>
                <c:pt idx="141">
                  <c:v>1.0029086172027599</c:v>
                </c:pt>
                <c:pt idx="142">
                  <c:v>1.0029086172027599</c:v>
                </c:pt>
                <c:pt idx="143">
                  <c:v>1.0029086172027599</c:v>
                </c:pt>
                <c:pt idx="144">
                  <c:v>1.0029086172027599</c:v>
                </c:pt>
                <c:pt idx="145">
                  <c:v>1.0029086172027599</c:v>
                </c:pt>
                <c:pt idx="146">
                  <c:v>1.0029086172027599</c:v>
                </c:pt>
                <c:pt idx="147">
                  <c:v>1.0029086172027599</c:v>
                </c:pt>
                <c:pt idx="148">
                  <c:v>1.0029086172027599</c:v>
                </c:pt>
                <c:pt idx="149">
                  <c:v>1.0029086172027599</c:v>
                </c:pt>
                <c:pt idx="150">
                  <c:v>1.0029086172027599</c:v>
                </c:pt>
                <c:pt idx="151">
                  <c:v>1.0029086172027599</c:v>
                </c:pt>
                <c:pt idx="152">
                  <c:v>1.0029086172027599</c:v>
                </c:pt>
                <c:pt idx="153">
                  <c:v>1.0029086172027599</c:v>
                </c:pt>
                <c:pt idx="154">
                  <c:v>1.0029086172027599</c:v>
                </c:pt>
                <c:pt idx="155">
                  <c:v>1.0029086172027599</c:v>
                </c:pt>
                <c:pt idx="156">
                  <c:v>1.0029086172027599</c:v>
                </c:pt>
                <c:pt idx="157">
                  <c:v>1.0029086172027599</c:v>
                </c:pt>
                <c:pt idx="158">
                  <c:v>1.0029086172027599</c:v>
                </c:pt>
                <c:pt idx="159">
                  <c:v>1.0029086172027599</c:v>
                </c:pt>
                <c:pt idx="160">
                  <c:v>1.0029086172027599</c:v>
                </c:pt>
                <c:pt idx="161">
                  <c:v>1.0029086172027599</c:v>
                </c:pt>
                <c:pt idx="162">
                  <c:v>1.0029086172027599</c:v>
                </c:pt>
                <c:pt idx="163">
                  <c:v>1.0029086172027599</c:v>
                </c:pt>
                <c:pt idx="164">
                  <c:v>1.0029086172027599</c:v>
                </c:pt>
                <c:pt idx="165">
                  <c:v>1.0029086172027599</c:v>
                </c:pt>
                <c:pt idx="166">
                  <c:v>1.0029086172027599</c:v>
                </c:pt>
                <c:pt idx="167">
                  <c:v>1.0029086172027599</c:v>
                </c:pt>
                <c:pt idx="168">
                  <c:v>1.0029086172027599</c:v>
                </c:pt>
                <c:pt idx="169">
                  <c:v>1.0029086172027599</c:v>
                </c:pt>
                <c:pt idx="170">
                  <c:v>1.0029086172027599</c:v>
                </c:pt>
                <c:pt idx="171">
                  <c:v>1.0029086172027599</c:v>
                </c:pt>
                <c:pt idx="172">
                  <c:v>1.0029086172027599</c:v>
                </c:pt>
                <c:pt idx="173">
                  <c:v>1.0029086172027599</c:v>
                </c:pt>
                <c:pt idx="174">
                  <c:v>1.0029086172027599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C-4EC3-930F-47AA2173D96E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ZG/Z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0.98737245399565599</c:v>
                </c:pt>
                <c:pt idx="10">
                  <c:v>0.98657320398609305</c:v>
                </c:pt>
                <c:pt idx="11">
                  <c:v>0.98581314487513505</c:v>
                </c:pt>
                <c:pt idx="12">
                  <c:v>0.98635619372218497</c:v>
                </c:pt>
                <c:pt idx="13">
                  <c:v>0.98650863458857896</c:v>
                </c:pt>
                <c:pt idx="14">
                  <c:v>0.98755377187151205</c:v>
                </c:pt>
                <c:pt idx="15">
                  <c:v>0.98814136975953604</c:v>
                </c:pt>
                <c:pt idx="16">
                  <c:v>0.98831636316587801</c:v>
                </c:pt>
                <c:pt idx="17">
                  <c:v>0.98834181415475897</c:v>
                </c:pt>
                <c:pt idx="18">
                  <c:v>0.98803099374048398</c:v>
                </c:pt>
                <c:pt idx="19">
                  <c:v>0.98783816143742398</c:v>
                </c:pt>
                <c:pt idx="20">
                  <c:v>0.98787607255116205</c:v>
                </c:pt>
                <c:pt idx="21">
                  <c:v>0.98871356610506</c:v>
                </c:pt>
                <c:pt idx="22">
                  <c:v>0.98943412315756496</c:v>
                </c:pt>
                <c:pt idx="23">
                  <c:v>0.98983026617741598</c:v>
                </c:pt>
                <c:pt idx="24">
                  <c:v>0.98994584258807805</c:v>
                </c:pt>
                <c:pt idx="25">
                  <c:v>0.99104459024838998</c:v>
                </c:pt>
                <c:pt idx="26">
                  <c:v>0.99185045777367997</c:v>
                </c:pt>
                <c:pt idx="27">
                  <c:v>0.99210929993201002</c:v>
                </c:pt>
                <c:pt idx="28">
                  <c:v>0.99327136531214899</c:v>
                </c:pt>
                <c:pt idx="29">
                  <c:v>0.99417951232673096</c:v>
                </c:pt>
                <c:pt idx="30">
                  <c:v>0.99545660377118295</c:v>
                </c:pt>
                <c:pt idx="31">
                  <c:v>0.99573040490860398</c:v>
                </c:pt>
                <c:pt idx="32">
                  <c:v>0.99549621188904203</c:v>
                </c:pt>
                <c:pt idx="33">
                  <c:v>0.99594516005192202</c:v>
                </c:pt>
                <c:pt idx="34">
                  <c:v>0.99675347563560102</c:v>
                </c:pt>
                <c:pt idx="35">
                  <c:v>0.99763140092276503</c:v>
                </c:pt>
                <c:pt idx="36">
                  <c:v>0.99842631075027399</c:v>
                </c:pt>
                <c:pt idx="37">
                  <c:v>0.99937409621335704</c:v>
                </c:pt>
                <c:pt idx="38">
                  <c:v>1.0000513503157</c:v>
                </c:pt>
                <c:pt idx="39">
                  <c:v>1.0007640528925399</c:v>
                </c:pt>
                <c:pt idx="40">
                  <c:v>1.0013597347009899</c:v>
                </c:pt>
                <c:pt idx="41">
                  <c:v>1.0021042141815699</c:v>
                </c:pt>
                <c:pt idx="42">
                  <c:v>1.0028762752365501</c:v>
                </c:pt>
                <c:pt idx="43">
                  <c:v>1.0030949551591899</c:v>
                </c:pt>
                <c:pt idx="44">
                  <c:v>1.00289855747749</c:v>
                </c:pt>
                <c:pt idx="45">
                  <c:v>1.00182994627968</c:v>
                </c:pt>
                <c:pt idx="46">
                  <c:v>1.0003401597607799</c:v>
                </c:pt>
                <c:pt idx="47">
                  <c:v>0.99955216404802505</c:v>
                </c:pt>
                <c:pt idx="48">
                  <c:v>0.997400505755623</c:v>
                </c:pt>
                <c:pt idx="49">
                  <c:v>0.996820562985405</c:v>
                </c:pt>
                <c:pt idx="50">
                  <c:v>0.99578142966681105</c:v>
                </c:pt>
                <c:pt idx="51">
                  <c:v>0.99396005536191101</c:v>
                </c:pt>
                <c:pt idx="52">
                  <c:v>0.99178263155903701</c:v>
                </c:pt>
                <c:pt idx="53">
                  <c:v>0.99069630967834299</c:v>
                </c:pt>
                <c:pt idx="54">
                  <c:v>0.99069397745195498</c:v>
                </c:pt>
                <c:pt idx="55">
                  <c:v>0.99102550105698195</c:v>
                </c:pt>
                <c:pt idx="56">
                  <c:v>0.99179172978136498</c:v>
                </c:pt>
                <c:pt idx="57">
                  <c:v>0.99328840122586204</c:v>
                </c:pt>
                <c:pt idx="58">
                  <c:v>0.99496246899785301</c:v>
                </c:pt>
                <c:pt idx="59">
                  <c:v>0.99478268058390096</c:v>
                </c:pt>
                <c:pt idx="60">
                  <c:v>0.99520481279959805</c:v>
                </c:pt>
                <c:pt idx="61">
                  <c:v>0.99636570533054203</c:v>
                </c:pt>
                <c:pt idx="62">
                  <c:v>0.99789154414273795</c:v>
                </c:pt>
                <c:pt idx="63">
                  <c:v>0.99923132920351998</c:v>
                </c:pt>
                <c:pt idx="64">
                  <c:v>0.99979546091765004</c:v>
                </c:pt>
                <c:pt idx="65">
                  <c:v>1.0005947872310299</c:v>
                </c:pt>
                <c:pt idx="66">
                  <c:v>1.0011027275381701</c:v>
                </c:pt>
                <c:pt idx="67">
                  <c:v>1.0008482933648</c:v>
                </c:pt>
                <c:pt idx="68">
                  <c:v>1.00126824172733</c:v>
                </c:pt>
                <c:pt idx="69">
                  <c:v>1.00192950915947</c:v>
                </c:pt>
                <c:pt idx="70">
                  <c:v>1.00218120496454</c:v>
                </c:pt>
                <c:pt idx="71">
                  <c:v>1.0022759719276799</c:v>
                </c:pt>
                <c:pt idx="72">
                  <c:v>1.00249755219297</c:v>
                </c:pt>
                <c:pt idx="73">
                  <c:v>1.00240938161819</c:v>
                </c:pt>
                <c:pt idx="74">
                  <c:v>1.0021123351390899</c:v>
                </c:pt>
                <c:pt idx="75">
                  <c:v>1.00184199334225</c:v>
                </c:pt>
                <c:pt idx="76">
                  <c:v>1.0017927686314401</c:v>
                </c:pt>
                <c:pt idx="77">
                  <c:v>1.00210167281227</c:v>
                </c:pt>
                <c:pt idx="78">
                  <c:v>1.00197525477389</c:v>
                </c:pt>
                <c:pt idx="79">
                  <c:v>1.0020413609883601</c:v>
                </c:pt>
                <c:pt idx="80">
                  <c:v>1.0018576435865201</c:v>
                </c:pt>
                <c:pt idx="81">
                  <c:v>1.0022852445086801</c:v>
                </c:pt>
                <c:pt idx="82">
                  <c:v>1.00245100780028</c:v>
                </c:pt>
                <c:pt idx="83">
                  <c:v>1.00270010761163</c:v>
                </c:pt>
                <c:pt idx="84">
                  <c:v>1.00345933966023</c:v>
                </c:pt>
                <c:pt idx="85">
                  <c:v>1.00408960229519</c:v>
                </c:pt>
                <c:pt idx="86">
                  <c:v>1.00491377811936</c:v>
                </c:pt>
                <c:pt idx="87">
                  <c:v>1.0056602953688301</c:v>
                </c:pt>
                <c:pt idx="88">
                  <c:v>1.00596023685477</c:v>
                </c:pt>
                <c:pt idx="89">
                  <c:v>1.0061550178010501</c:v>
                </c:pt>
                <c:pt idx="90">
                  <c:v>1.0069712562120401</c:v>
                </c:pt>
                <c:pt idx="91">
                  <c:v>1.0078094954413701</c:v>
                </c:pt>
                <c:pt idx="92">
                  <c:v>1.00838576460812</c:v>
                </c:pt>
                <c:pt idx="93">
                  <c:v>1.0090244320463899</c:v>
                </c:pt>
                <c:pt idx="94">
                  <c:v>1.0094102075784599</c:v>
                </c:pt>
                <c:pt idx="95">
                  <c:v>1.00997039532618</c:v>
                </c:pt>
                <c:pt idx="96">
                  <c:v>1.0105067637196901</c:v>
                </c:pt>
                <c:pt idx="97">
                  <c:v>1.01076173756276</c:v>
                </c:pt>
                <c:pt idx="98">
                  <c:v>1.0115575028906501</c:v>
                </c:pt>
                <c:pt idx="99">
                  <c:v>1.01191525733423</c:v>
                </c:pt>
                <c:pt idx="100">
                  <c:v>1.01202267561051</c:v>
                </c:pt>
                <c:pt idx="101">
                  <c:v>1.01174003483678</c:v>
                </c:pt>
                <c:pt idx="102">
                  <c:v>1.0112020378766899</c:v>
                </c:pt>
                <c:pt idx="103">
                  <c:v>1.0105956864955801</c:v>
                </c:pt>
                <c:pt idx="104">
                  <c:v>1.00965430848</c:v>
                </c:pt>
                <c:pt idx="105">
                  <c:v>1.0085874554726999</c:v>
                </c:pt>
                <c:pt idx="106">
                  <c:v>1.0081681548374499</c:v>
                </c:pt>
                <c:pt idx="107">
                  <c:v>1.0066247011757801</c:v>
                </c:pt>
                <c:pt idx="108">
                  <c:v>1.00638158031307</c:v>
                </c:pt>
                <c:pt idx="109">
                  <c:v>1.0059949558153001</c:v>
                </c:pt>
                <c:pt idx="110">
                  <c:v>1.0060494908523301</c:v>
                </c:pt>
                <c:pt idx="111">
                  <c:v>1.0056141133045</c:v>
                </c:pt>
                <c:pt idx="112">
                  <c:v>1.0060788505279701</c:v>
                </c:pt>
                <c:pt idx="113">
                  <c:v>1.0062531052107999</c:v>
                </c:pt>
                <c:pt idx="114">
                  <c:v>1.0067775822579299</c:v>
                </c:pt>
                <c:pt idx="115">
                  <c:v>1.0077939763486801</c:v>
                </c:pt>
                <c:pt idx="116">
                  <c:v>1.00734761894243</c:v>
                </c:pt>
                <c:pt idx="117">
                  <c:v>1.0076018280377499</c:v>
                </c:pt>
                <c:pt idx="118">
                  <c:v>1.00639891996925</c:v>
                </c:pt>
                <c:pt idx="119">
                  <c:v>1.0049798333504301</c:v>
                </c:pt>
                <c:pt idx="120">
                  <c:v>1.0040058051451899</c:v>
                </c:pt>
                <c:pt idx="121">
                  <c:v>1.00344447869594</c:v>
                </c:pt>
                <c:pt idx="122">
                  <c:v>1.0019797152165599</c:v>
                </c:pt>
                <c:pt idx="123">
                  <c:v>1.0001075285682599</c:v>
                </c:pt>
                <c:pt idx="124">
                  <c:v>0.99932784961846999</c:v>
                </c:pt>
                <c:pt idx="125">
                  <c:v>0.99811407785998196</c:v>
                </c:pt>
                <c:pt idx="126">
                  <c:v>0.99734463402669404</c:v>
                </c:pt>
                <c:pt idx="127">
                  <c:v>0.99671407323582695</c:v>
                </c:pt>
                <c:pt idx="128">
                  <c:v>0.99615724996224697</c:v>
                </c:pt>
                <c:pt idx="129">
                  <c:v>0.99648505962772005</c:v>
                </c:pt>
                <c:pt idx="130">
                  <c:v>0.99561211273385197</c:v>
                </c:pt>
                <c:pt idx="131">
                  <c:v>0.99539192138522903</c:v>
                </c:pt>
                <c:pt idx="132">
                  <c:v>0.99557230143587006</c:v>
                </c:pt>
                <c:pt idx="133">
                  <c:v>0.996428749939125</c:v>
                </c:pt>
                <c:pt idx="134">
                  <c:v>0.99586886667049501</c:v>
                </c:pt>
                <c:pt idx="135">
                  <c:v>0.99532397184113997</c:v>
                </c:pt>
                <c:pt idx="136">
                  <c:v>0.99544154362697601</c:v>
                </c:pt>
                <c:pt idx="137">
                  <c:v>0.99584349535126704</c:v>
                </c:pt>
                <c:pt idx="138">
                  <c:v>0.99646368114213202</c:v>
                </c:pt>
                <c:pt idx="139">
                  <c:v>0.99679384853655595</c:v>
                </c:pt>
                <c:pt idx="140">
                  <c:v>0.99753923724422899</c:v>
                </c:pt>
                <c:pt idx="141">
                  <c:v>0.99814336157716699</c:v>
                </c:pt>
                <c:pt idx="142">
                  <c:v>0.99938004632198696</c:v>
                </c:pt>
                <c:pt idx="143">
                  <c:v>1.0006527336175199</c:v>
                </c:pt>
                <c:pt idx="144">
                  <c:v>1.00309220717823</c:v>
                </c:pt>
                <c:pt idx="145">
                  <c:v>1.00560366049223</c:v>
                </c:pt>
                <c:pt idx="146">
                  <c:v>1.0078279010492801</c:v>
                </c:pt>
                <c:pt idx="147">
                  <c:v>1.0100481544553499</c:v>
                </c:pt>
                <c:pt idx="148">
                  <c:v>1.0111029050093701</c:v>
                </c:pt>
                <c:pt idx="149">
                  <c:v>1.0123745867221601</c:v>
                </c:pt>
                <c:pt idx="150">
                  <c:v>1.0133539848702999</c:v>
                </c:pt>
                <c:pt idx="151">
                  <c:v>1.0133189694574301</c:v>
                </c:pt>
                <c:pt idx="152">
                  <c:v>1.0130693143338101</c:v>
                </c:pt>
                <c:pt idx="153">
                  <c:v>1.0129237404985501</c:v>
                </c:pt>
                <c:pt idx="154">
                  <c:v>1.01216664540168</c:v>
                </c:pt>
                <c:pt idx="155">
                  <c:v>1.01200978615347</c:v>
                </c:pt>
                <c:pt idx="156">
                  <c:v>1.0119963353438799</c:v>
                </c:pt>
                <c:pt idx="157">
                  <c:v>1.0121589811745999</c:v>
                </c:pt>
                <c:pt idx="158">
                  <c:v>1.0135514631336899</c:v>
                </c:pt>
                <c:pt idx="159">
                  <c:v>1.01504822064832</c:v>
                </c:pt>
                <c:pt idx="160">
                  <c:v>1.01652922229775</c:v>
                </c:pt>
                <c:pt idx="161">
                  <c:v>1.0189192879459701</c:v>
                </c:pt>
                <c:pt idx="162">
                  <c:v>1.0211748338379201</c:v>
                </c:pt>
                <c:pt idx="163">
                  <c:v>1.0229084743738199</c:v>
                </c:pt>
                <c:pt idx="164">
                  <c:v>1.0244799417852</c:v>
                </c:pt>
                <c:pt idx="165">
                  <c:v>1.0250747242310201</c:v>
                </c:pt>
                <c:pt idx="166">
                  <c:v>1.02574139868069</c:v>
                </c:pt>
                <c:pt idx="167">
                  <c:v>1.0258773738965199</c:v>
                </c:pt>
                <c:pt idx="168">
                  <c:v>1.0254785129830799</c:v>
                </c:pt>
                <c:pt idx="169">
                  <c:v>1.02508058832142</c:v>
                </c:pt>
                <c:pt idx="170">
                  <c:v>1.02472189587861</c:v>
                </c:pt>
                <c:pt idx="171">
                  <c:v>1.02400456109553</c:v>
                </c:pt>
                <c:pt idx="172">
                  <c:v>1.0230734938566199</c:v>
                </c:pt>
                <c:pt idx="173">
                  <c:v>1.02272297821364</c:v>
                </c:pt>
                <c:pt idx="174">
                  <c:v>1.0220179403113001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C-4EC3-930F-47AA2173D96E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ZG/Z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0.98760530771653998</c:v>
                </c:pt>
                <c:pt idx="20">
                  <c:v>0.98722463826862705</c:v>
                </c:pt>
                <c:pt idx="21">
                  <c:v>0.98726335549009803</c:v>
                </c:pt>
                <c:pt idx="22">
                  <c:v>0.98789515843987497</c:v>
                </c:pt>
                <c:pt idx="23">
                  <c:v>0.98816945038299697</c:v>
                </c:pt>
                <c:pt idx="24">
                  <c:v>0.988749807229795</c:v>
                </c:pt>
                <c:pt idx="25">
                  <c:v>0.98959298000396301</c:v>
                </c:pt>
                <c:pt idx="26">
                  <c:v>0.99008341046977899</c:v>
                </c:pt>
                <c:pt idx="27">
                  <c:v>0.990225557043385</c:v>
                </c:pt>
                <c:pt idx="28">
                  <c:v>0.99065117952631698</c:v>
                </c:pt>
                <c:pt idx="29">
                  <c:v>0.99100883688207797</c:v>
                </c:pt>
                <c:pt idx="30">
                  <c:v>0.991666338161172</c:v>
                </c:pt>
                <c:pt idx="31">
                  <c:v>0.99222198550683205</c:v>
                </c:pt>
                <c:pt idx="32">
                  <c:v>0.99246516752330405</c:v>
                </c:pt>
                <c:pt idx="33">
                  <c:v>0.99288771311466895</c:v>
                </c:pt>
                <c:pt idx="34">
                  <c:v>0.99334965911184003</c:v>
                </c:pt>
                <c:pt idx="35">
                  <c:v>0.99433799558557701</c:v>
                </c:pt>
                <c:pt idx="36">
                  <c:v>0.99513838426197698</c:v>
                </c:pt>
                <c:pt idx="37">
                  <c:v>0.99574169807268298</c:v>
                </c:pt>
                <c:pt idx="38">
                  <c:v>0.99666135781392495</c:v>
                </c:pt>
                <c:pt idx="39">
                  <c:v>0.99747178260963598</c:v>
                </c:pt>
                <c:pt idx="40">
                  <c:v>0.99840816923608999</c:v>
                </c:pt>
                <c:pt idx="41">
                  <c:v>0.99891730954508695</c:v>
                </c:pt>
                <c:pt idx="42">
                  <c:v>0.99918624356279795</c:v>
                </c:pt>
                <c:pt idx="43">
                  <c:v>0.99952005760555995</c:v>
                </c:pt>
                <c:pt idx="44">
                  <c:v>0.99982601655654901</c:v>
                </c:pt>
                <c:pt idx="45">
                  <c:v>0.99973067360122403</c:v>
                </c:pt>
                <c:pt idx="46">
                  <c:v>0.99938323525552697</c:v>
                </c:pt>
                <c:pt idx="47">
                  <c:v>0.99946313013069099</c:v>
                </c:pt>
                <c:pt idx="48">
                  <c:v>0.99872592803566096</c:v>
                </c:pt>
                <c:pt idx="49">
                  <c:v>0.998792307938972</c:v>
                </c:pt>
                <c:pt idx="50">
                  <c:v>0.99857058218390404</c:v>
                </c:pt>
                <c:pt idx="51">
                  <c:v>0.99803213477174102</c:v>
                </c:pt>
                <c:pt idx="52">
                  <c:v>0.997329453397795</c:v>
                </c:pt>
                <c:pt idx="53">
                  <c:v>0.99689563241876999</c:v>
                </c:pt>
                <c:pt idx="54">
                  <c:v>0.99679626746472605</c:v>
                </c:pt>
                <c:pt idx="55">
                  <c:v>0.99642772366833299</c:v>
                </c:pt>
                <c:pt idx="56">
                  <c:v>0.99606594477107202</c:v>
                </c:pt>
                <c:pt idx="57">
                  <c:v>0.99642028263694404</c:v>
                </c:pt>
                <c:pt idx="58">
                  <c:v>0.99618148737673795</c:v>
                </c:pt>
                <c:pt idx="59">
                  <c:v>0.99580162178465303</c:v>
                </c:pt>
                <c:pt idx="60">
                  <c:v>0.99549312123320499</c:v>
                </c:pt>
                <c:pt idx="61">
                  <c:v>0.99516288034622602</c:v>
                </c:pt>
                <c:pt idx="62">
                  <c:v>0.99483708785088698</c:v>
                </c:pt>
                <c:pt idx="63">
                  <c:v>0.99496381944093104</c:v>
                </c:pt>
                <c:pt idx="64">
                  <c:v>0.99524471918480195</c:v>
                </c:pt>
                <c:pt idx="65">
                  <c:v>0.99581014414400904</c:v>
                </c:pt>
                <c:pt idx="66">
                  <c:v>0.99644722865976698</c:v>
                </c:pt>
                <c:pt idx="67">
                  <c:v>0.997068347295333</c:v>
                </c:pt>
                <c:pt idx="68">
                  <c:v>0.99811535536259299</c:v>
                </c:pt>
                <c:pt idx="69">
                  <c:v>0.99835609487168797</c:v>
                </c:pt>
                <c:pt idx="70">
                  <c:v>0.99869300888207202</c:v>
                </c:pt>
                <c:pt idx="71">
                  <c:v>0.99932083862911403</c:v>
                </c:pt>
                <c:pt idx="72">
                  <c:v>1.00019454816785</c:v>
                </c:pt>
                <c:pt idx="73">
                  <c:v>1.0008203554108499</c:v>
                </c:pt>
                <c:pt idx="74">
                  <c:v>1.0009538980283701</c:v>
                </c:pt>
                <c:pt idx="75">
                  <c:v>1.0012183902866401</c:v>
                </c:pt>
                <c:pt idx="76">
                  <c:v>1.0014477480848101</c:v>
                </c:pt>
                <c:pt idx="77">
                  <c:v>1.0014749830885299</c:v>
                </c:pt>
                <c:pt idx="78">
                  <c:v>1.00162174825061</c:v>
                </c:pt>
                <c:pt idx="79">
                  <c:v>1.0019854350739199</c:v>
                </c:pt>
                <c:pt idx="80">
                  <c:v>1.00201942427553</c:v>
                </c:pt>
                <c:pt idx="81">
                  <c:v>1.0022806082181801</c:v>
                </c:pt>
                <c:pt idx="82">
                  <c:v>1.00247427999663</c:v>
                </c:pt>
                <c:pt idx="83">
                  <c:v>1.0025547446149099</c:v>
                </c:pt>
                <c:pt idx="84">
                  <c:v>1.0027858373996601</c:v>
                </c:pt>
                <c:pt idx="85">
                  <c:v>1.0029657978187201</c:v>
                </c:pt>
                <c:pt idx="86">
                  <c:v>1.0033532733754</c:v>
                </c:pt>
                <c:pt idx="87">
                  <c:v>1.00388098409055</c:v>
                </c:pt>
                <c:pt idx="88">
                  <c:v>1.0039677458143299</c:v>
                </c:pt>
                <c:pt idx="89">
                  <c:v>1.0040981893947001</c:v>
                </c:pt>
                <c:pt idx="90">
                  <c:v>1.00441444989928</c:v>
                </c:pt>
                <c:pt idx="91">
                  <c:v>1.00504736997502</c:v>
                </c:pt>
                <c:pt idx="92">
                  <c:v>1.0054183862042001</c:v>
                </c:pt>
                <c:pt idx="93">
                  <c:v>1.0058622698290101</c:v>
                </c:pt>
                <c:pt idx="94">
                  <c:v>1.00643477361935</c:v>
                </c:pt>
                <c:pt idx="95">
                  <c:v>1.0070299988106799</c:v>
                </c:pt>
                <c:pt idx="96">
                  <c:v>1.00771027091953</c:v>
                </c:pt>
                <c:pt idx="97">
                  <c:v>1.00821101646579</c:v>
                </c:pt>
                <c:pt idx="98">
                  <c:v>1.0087588698727099</c:v>
                </c:pt>
                <c:pt idx="99">
                  <c:v>1.0090351375676401</c:v>
                </c:pt>
                <c:pt idx="100">
                  <c:v>1.00949696591128</c:v>
                </c:pt>
                <c:pt idx="101">
                  <c:v>1.00977476513908</c:v>
                </c:pt>
                <c:pt idx="102">
                  <c:v>1.0097939012424</c:v>
                </c:pt>
                <c:pt idx="103">
                  <c:v>1.00981005927098</c:v>
                </c:pt>
                <c:pt idx="104">
                  <c:v>1.0095322580292301</c:v>
                </c:pt>
                <c:pt idx="105">
                  <c:v>1.0092789253994401</c:v>
                </c:pt>
                <c:pt idx="106">
                  <c:v>1.00933745927857</c:v>
                </c:pt>
                <c:pt idx="107">
                  <c:v>1.0086932193692699</c:v>
                </c:pt>
                <c:pt idx="108">
                  <c:v>1.00896954160186</c:v>
                </c:pt>
                <c:pt idx="109">
                  <c:v>1.0089551065747699</c:v>
                </c:pt>
                <c:pt idx="110">
                  <c:v>1.00903608323142</c:v>
                </c:pt>
                <c:pt idx="111">
                  <c:v>1.0086770740706399</c:v>
                </c:pt>
                <c:pt idx="112">
                  <c:v>1.00864044420233</c:v>
                </c:pt>
                <c:pt idx="113">
                  <c:v>1.00842439585319</c:v>
                </c:pt>
                <c:pt idx="114">
                  <c:v>1.0082159453689601</c:v>
                </c:pt>
                <c:pt idx="115">
                  <c:v>1.00819071591069</c:v>
                </c:pt>
                <c:pt idx="116">
                  <c:v>1.0077578868899399</c:v>
                </c:pt>
                <c:pt idx="117">
                  <c:v>1.00711326460676</c:v>
                </c:pt>
                <c:pt idx="118">
                  <c:v>1.0063902501411599</c:v>
                </c:pt>
                <c:pt idx="119">
                  <c:v>1.00548739458287</c:v>
                </c:pt>
                <c:pt idx="120">
                  <c:v>1.0050276479987601</c:v>
                </c:pt>
                <c:pt idx="121">
                  <c:v>1.0045292960002199</c:v>
                </c:pt>
                <c:pt idx="122">
                  <c:v>1.0040292828722699</c:v>
                </c:pt>
                <c:pt idx="123">
                  <c:v>1.0031803168895299</c:v>
                </c:pt>
                <c:pt idx="124">
                  <c:v>1.0030527159381999</c:v>
                </c:pt>
                <c:pt idx="125">
                  <c:v>1.00295402710433</c:v>
                </c:pt>
                <c:pt idx="126">
                  <c:v>1.0023461264845599</c:v>
                </c:pt>
                <c:pt idx="127">
                  <c:v>1.0021579506367899</c:v>
                </c:pt>
                <c:pt idx="128">
                  <c:v>1.0012780849657501</c:v>
                </c:pt>
                <c:pt idx="129">
                  <c:v>1.0007324464890699</c:v>
                </c:pt>
                <c:pt idx="130">
                  <c:v>0.99980895893952404</c:v>
                </c:pt>
                <c:pt idx="131">
                  <c:v>0.99941820004058701</c:v>
                </c:pt>
                <c:pt idx="132">
                  <c:v>0.99877600832621505</c:v>
                </c:pt>
                <c:pt idx="133">
                  <c:v>0.99826813925369196</c:v>
                </c:pt>
                <c:pt idx="134">
                  <c:v>0.99759835814448194</c:v>
                </c:pt>
                <c:pt idx="135">
                  <c:v>0.99671902485056096</c:v>
                </c:pt>
                <c:pt idx="136">
                  <c:v>0.99639308882683597</c:v>
                </c:pt>
                <c:pt idx="137">
                  <c:v>0.99627878429354699</c:v>
                </c:pt>
                <c:pt idx="138">
                  <c:v>0.99631046555218905</c:v>
                </c:pt>
                <c:pt idx="139">
                  <c:v>0.99663945408213805</c:v>
                </c:pt>
                <c:pt idx="140">
                  <c:v>0.99657567498903998</c:v>
                </c:pt>
                <c:pt idx="141">
                  <c:v>0.99676764148119801</c:v>
                </c:pt>
                <c:pt idx="142">
                  <c:v>0.99747617387892895</c:v>
                </c:pt>
                <c:pt idx="143">
                  <c:v>0.99854074177832197</c:v>
                </c:pt>
                <c:pt idx="144">
                  <c:v>0.999480536924366</c:v>
                </c:pt>
                <c:pt idx="145">
                  <c:v>1.0004638161666799</c:v>
                </c:pt>
                <c:pt idx="146">
                  <c:v>1.0016347223381199</c:v>
                </c:pt>
                <c:pt idx="147">
                  <c:v>1.0029458249033101</c:v>
                </c:pt>
                <c:pt idx="148">
                  <c:v>1.00378329307575</c:v>
                </c:pt>
                <c:pt idx="149">
                  <c:v>1.00458421762935</c:v>
                </c:pt>
                <c:pt idx="150">
                  <c:v>1.00544661105726</c:v>
                </c:pt>
                <c:pt idx="151">
                  <c:v>1.0057311655173</c:v>
                </c:pt>
                <c:pt idx="152">
                  <c:v>1.0062246803279</c:v>
                </c:pt>
                <c:pt idx="153">
                  <c:v>1.0067882370580299</c:v>
                </c:pt>
                <c:pt idx="154">
                  <c:v>1.0076294262899499</c:v>
                </c:pt>
                <c:pt idx="155">
                  <c:v>1.0088067233228499</c:v>
                </c:pt>
                <c:pt idx="156">
                  <c:v>1.00991211819658</c:v>
                </c:pt>
                <c:pt idx="157">
                  <c:v>1.01110356781497</c:v>
                </c:pt>
                <c:pt idx="158">
                  <c:v>1.01232718407153</c:v>
                </c:pt>
                <c:pt idx="159">
                  <c:v>1.0137114036852399</c:v>
                </c:pt>
                <c:pt idx="160">
                  <c:v>1.01494160358403</c:v>
                </c:pt>
                <c:pt idx="161">
                  <c:v>1.0161191287017</c:v>
                </c:pt>
                <c:pt idx="162">
                  <c:v>1.01712207408586</c:v>
                </c:pt>
                <c:pt idx="163">
                  <c:v>1.01791610743618</c:v>
                </c:pt>
                <c:pt idx="164">
                  <c:v>1.0183232935934401</c:v>
                </c:pt>
                <c:pt idx="165">
                  <c:v>1.0185422551922401</c:v>
                </c:pt>
                <c:pt idx="166">
                  <c:v>1.0188688670122801</c:v>
                </c:pt>
                <c:pt idx="167">
                  <c:v>1.01901817753556</c:v>
                </c:pt>
                <c:pt idx="168">
                  <c:v>1.01951498805838</c:v>
                </c:pt>
                <c:pt idx="169">
                  <c:v>1.0200644044848699</c:v>
                </c:pt>
                <c:pt idx="170">
                  <c:v>1.0206255590881801</c:v>
                </c:pt>
                <c:pt idx="171">
                  <c:v>1.0214619245207499</c:v>
                </c:pt>
                <c:pt idx="172">
                  <c:v>1.02212416384727</c:v>
                </c:pt>
                <c:pt idx="173">
                  <c:v>1.0228157262937301</c:v>
                </c:pt>
                <c:pt idx="174">
                  <c:v>1.0232489410482499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5C-4EC3-930F-47AA2173D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Z* x 10 dma / ZG*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6.8491185644821E-5</c:v>
                </c:pt>
                <c:pt idx="11">
                  <c:v>-9.9276624443844406E-4</c:v>
                </c:pt>
                <c:pt idx="12">
                  <c:v>-9.1923079766757995E-3</c:v>
                </c:pt>
                <c:pt idx="13">
                  <c:v>-4.3631274614037603E-3</c:v>
                </c:pt>
                <c:pt idx="14">
                  <c:v>-3.8299093638794802E-3</c:v>
                </c:pt>
                <c:pt idx="15">
                  <c:v>4.8775000774612803E-3</c:v>
                </c:pt>
                <c:pt idx="16">
                  <c:v>1.5198858209896501E-3</c:v>
                </c:pt>
                <c:pt idx="17">
                  <c:v>3.2119690491266601E-3</c:v>
                </c:pt>
                <c:pt idx="18">
                  <c:v>2.7365439873910202E-3</c:v>
                </c:pt>
                <c:pt idx="19">
                  <c:v>5.7171211125611699E-4</c:v>
                </c:pt>
                <c:pt idx="20">
                  <c:v>1.56131180411639E-4</c:v>
                </c:pt>
                <c:pt idx="21">
                  <c:v>-8.1177712666271294E-3</c:v>
                </c:pt>
                <c:pt idx="22">
                  <c:v>-1.34707511560078E-2</c:v>
                </c:pt>
                <c:pt idx="23">
                  <c:v>-5.2382490952982298E-3</c:v>
                </c:pt>
                <c:pt idx="24">
                  <c:v>-1.6349186547121499E-3</c:v>
                </c:pt>
                <c:pt idx="25">
                  <c:v>-3.8215245512467702E-3</c:v>
                </c:pt>
                <c:pt idx="26">
                  <c:v>-3.6809757385313701E-3</c:v>
                </c:pt>
                <c:pt idx="27">
                  <c:v>4.1574633200826602E-3</c:v>
                </c:pt>
                <c:pt idx="28">
                  <c:v>-5.17976431793561E-3</c:v>
                </c:pt>
                <c:pt idx="29">
                  <c:v>-3.2931573077401E-3</c:v>
                </c:pt>
                <c:pt idx="30">
                  <c:v>-6.2922448968048402E-3</c:v>
                </c:pt>
                <c:pt idx="31">
                  <c:v>-3.2189321617272001E-3</c:v>
                </c:pt>
                <c:pt idx="32">
                  <c:v>-4.0591727696197098E-3</c:v>
                </c:pt>
                <c:pt idx="33">
                  <c:v>-3.6336789726540701E-3</c:v>
                </c:pt>
                <c:pt idx="34">
                  <c:v>-3.5960116318145899E-3</c:v>
                </c:pt>
                <c:pt idx="35">
                  <c:v>-5.7640829734344297E-3</c:v>
                </c:pt>
                <c:pt idx="36">
                  <c:v>-5.0163297376644303E-3</c:v>
                </c:pt>
                <c:pt idx="37">
                  <c:v>1.21567084362105E-3</c:v>
                </c:pt>
                <c:pt idx="38">
                  <c:v>-4.6520501627431597E-3</c:v>
                </c:pt>
                <c:pt idx="39">
                  <c:v>-3.6166972978254499E-3</c:v>
                </c:pt>
                <c:pt idx="40">
                  <c:v>-5.6274451756008897E-3</c:v>
                </c:pt>
                <c:pt idx="41">
                  <c:v>-4.73346187834365E-3</c:v>
                </c:pt>
                <c:pt idx="42">
                  <c:v>-5.37107501911562E-3</c:v>
                </c:pt>
                <c:pt idx="43">
                  <c:v>1.5660951146275099E-3</c:v>
                </c:pt>
                <c:pt idx="44">
                  <c:v>5.5240744010740502E-3</c:v>
                </c:pt>
                <c:pt idx="45">
                  <c:v>1.1098604032360199E-2</c:v>
                </c:pt>
                <c:pt idx="46">
                  <c:v>1.41533599604599E-2</c:v>
                </c:pt>
                <c:pt idx="47">
                  <c:v>1.1064065282541001E-2</c:v>
                </c:pt>
                <c:pt idx="48">
                  <c:v>1.7189205225663601E-2</c:v>
                </c:pt>
                <c:pt idx="49">
                  <c:v>-4.75972641720659E-4</c:v>
                </c:pt>
                <c:pt idx="50">
                  <c:v>8.03097271880957E-4</c:v>
                </c:pt>
                <c:pt idx="51">
                  <c:v>7.9492169697617295E-3</c:v>
                </c:pt>
                <c:pt idx="52">
                  <c:v>8.3177489561162693E-3</c:v>
                </c:pt>
                <c:pt idx="53">
                  <c:v>1.3509514468510401E-3</c:v>
                </c:pt>
                <c:pt idx="54">
                  <c:v>-6.8899618470185204E-3</c:v>
                </c:pt>
                <c:pt idx="55">
                  <c:v>-4.4823278590979797E-3</c:v>
                </c:pt>
                <c:pt idx="56">
                  <c:v>-4.4173030837582001E-3</c:v>
                </c:pt>
                <c:pt idx="57">
                  <c:v>-1.2532972547881599E-2</c:v>
                </c:pt>
                <c:pt idx="58">
                  <c:v>-5.9921077772203298E-3</c:v>
                </c:pt>
                <c:pt idx="59">
                  <c:v>-1.1200188052621601E-3</c:v>
                </c:pt>
                <c:pt idx="60">
                  <c:v>-5.4726105955136698E-3</c:v>
                </c:pt>
                <c:pt idx="61">
                  <c:v>-4.3126498401611897E-3</c:v>
                </c:pt>
                <c:pt idx="62">
                  <c:v>-4.6256514253160902E-3</c:v>
                </c:pt>
                <c:pt idx="63">
                  <c:v>-5.9448585353245598E-3</c:v>
                </c:pt>
                <c:pt idx="64">
                  <c:v>-3.9509541293133296E-3</c:v>
                </c:pt>
                <c:pt idx="65">
                  <c:v>-3.3374701450368501E-3</c:v>
                </c:pt>
                <c:pt idx="66">
                  <c:v>1.02484421034274E-4</c:v>
                </c:pt>
                <c:pt idx="67">
                  <c:v>-6.5204661364101396E-4</c:v>
                </c:pt>
                <c:pt idx="68">
                  <c:v>-2.6037461882296598E-3</c:v>
                </c:pt>
                <c:pt idx="69">
                  <c:v>-1.41909413964683E-3</c:v>
                </c:pt>
                <c:pt idx="70">
                  <c:v>-8.2717263110189095E-4</c:v>
                </c:pt>
                <c:pt idx="71">
                  <c:v>1.7252119823472499E-3</c:v>
                </c:pt>
                <c:pt idx="72">
                  <c:v>-9.2252612962517595E-4</c:v>
                </c:pt>
                <c:pt idx="73">
                  <c:v>-4.6102069874203399E-4</c:v>
                </c:pt>
                <c:pt idx="74">
                  <c:v>2.1899163046919801E-3</c:v>
                </c:pt>
                <c:pt idx="75">
                  <c:v>1.6757967571126701E-3</c:v>
                </c:pt>
                <c:pt idx="76">
                  <c:v>1.8402989529017299E-3</c:v>
                </c:pt>
                <c:pt idx="77">
                  <c:v>-3.0418862895990398E-3</c:v>
                </c:pt>
                <c:pt idx="78">
                  <c:v>-9.1593962346381202E-5</c:v>
                </c:pt>
                <c:pt idx="79">
                  <c:v>-1.3722971326372299E-3</c:v>
                </c:pt>
                <c:pt idx="80">
                  <c:v>1.11825784234597E-3</c:v>
                </c:pt>
                <c:pt idx="81">
                  <c:v>-2.8626594014762598E-3</c:v>
                </c:pt>
                <c:pt idx="82">
                  <c:v>-2.5642547532211402E-3</c:v>
                </c:pt>
                <c:pt idx="83">
                  <c:v>-2.98801799662958E-3</c:v>
                </c:pt>
                <c:pt idx="84">
                  <c:v>-5.0821107310296803E-3</c:v>
                </c:pt>
                <c:pt idx="85">
                  <c:v>-3.2610689253085201E-3</c:v>
                </c:pt>
                <c:pt idx="86">
                  <c:v>-4.1267178164833603E-3</c:v>
                </c:pt>
                <c:pt idx="87">
                  <c:v>-7.3330244699001002E-3</c:v>
                </c:pt>
                <c:pt idx="88">
                  <c:v>4.6489424994877997E-4</c:v>
                </c:pt>
                <c:pt idx="89">
                  <c:v>6.5751939303568805E-4</c:v>
                </c:pt>
                <c:pt idx="90">
                  <c:v>-2.9066679061662201E-3</c:v>
                </c:pt>
                <c:pt idx="91">
                  <c:v>-6.0798329348399297E-3</c:v>
                </c:pt>
                <c:pt idx="92">
                  <c:v>-2.7861794688602399E-3</c:v>
                </c:pt>
                <c:pt idx="93">
                  <c:v>-3.4171887517664701E-3</c:v>
                </c:pt>
                <c:pt idx="94">
                  <c:v>-2.6151806457189101E-3</c:v>
                </c:pt>
                <c:pt idx="95">
                  <c:v>-2.89719742039424E-3</c:v>
                </c:pt>
                <c:pt idx="96">
                  <c:v>-3.5927003013779598E-3</c:v>
                </c:pt>
                <c:pt idx="97">
                  <c:v>-4.2983844426381802E-3</c:v>
                </c:pt>
                <c:pt idx="98">
                  <c:v>-2.3605718489951599E-3</c:v>
                </c:pt>
                <c:pt idx="99">
                  <c:v>2.6538298675839699E-3</c:v>
                </c:pt>
                <c:pt idx="100">
                  <c:v>1.73806187727592E-3</c:v>
                </c:pt>
                <c:pt idx="101">
                  <c:v>1.7178010639802099E-3</c:v>
                </c:pt>
                <c:pt idx="102">
                  <c:v>6.4439642018783499E-3</c:v>
                </c:pt>
                <c:pt idx="103">
                  <c:v>5.3823757498771604E-3</c:v>
                </c:pt>
                <c:pt idx="104">
                  <c:v>8.2895930386051708E-3</c:v>
                </c:pt>
                <c:pt idx="105">
                  <c:v>7.9390183457521395E-3</c:v>
                </c:pt>
                <c:pt idx="106">
                  <c:v>-8.1762184538199502E-4</c:v>
                </c:pt>
                <c:pt idx="107">
                  <c:v>8.7100191555519908E-3</c:v>
                </c:pt>
                <c:pt idx="108">
                  <c:v>-4.0594240627318196E-3</c:v>
                </c:pt>
                <c:pt idx="109">
                  <c:v>1.3634987526108E-3</c:v>
                </c:pt>
                <c:pt idx="110">
                  <c:v>-4.6694308296084701E-3</c:v>
                </c:pt>
                <c:pt idx="111">
                  <c:v>1.16852017985778E-4</c:v>
                </c:pt>
                <c:pt idx="112">
                  <c:v>-4.2417648959707597E-3</c:v>
                </c:pt>
                <c:pt idx="113">
                  <c:v>-1.4279791319604101E-3</c:v>
                </c:pt>
                <c:pt idx="114">
                  <c:v>-1.2360535903584199E-3</c:v>
                </c:pt>
                <c:pt idx="115">
                  <c:v>-5.0101238794750197E-3</c:v>
                </c:pt>
                <c:pt idx="116">
                  <c:v>2.82710381871464E-3</c:v>
                </c:pt>
                <c:pt idx="117">
                  <c:v>5.35547600754732E-3</c:v>
                </c:pt>
                <c:pt idx="118">
                  <c:v>8.8836959212500698E-3</c:v>
                </c:pt>
                <c:pt idx="119">
                  <c:v>1.56014855998062E-2</c:v>
                </c:pt>
                <c:pt idx="120">
                  <c:v>4.0048565955679901E-3</c:v>
                </c:pt>
                <c:pt idx="121">
                  <c:v>3.67917972097469E-3</c:v>
                </c:pt>
                <c:pt idx="122">
                  <c:v>8.2088028534619498E-3</c:v>
                </c:pt>
                <c:pt idx="123">
                  <c:v>1.32463409324467E-2</c:v>
                </c:pt>
                <c:pt idx="124">
                  <c:v>4.0670005223757301E-4</c:v>
                </c:pt>
                <c:pt idx="125">
                  <c:v>-3.6893228311628799E-4</c:v>
                </c:pt>
                <c:pt idx="126">
                  <c:v>8.6164984933257696E-4</c:v>
                </c:pt>
                <c:pt idx="127">
                  <c:v>1.68893522514946E-3</c:v>
                </c:pt>
                <c:pt idx="128">
                  <c:v>3.6104155507055802E-3</c:v>
                </c:pt>
                <c:pt idx="129">
                  <c:v>2.06979013968101E-3</c:v>
                </c:pt>
                <c:pt idx="130">
                  <c:v>4.2755702349243502E-3</c:v>
                </c:pt>
                <c:pt idx="131">
                  <c:v>-2.5125276015173499E-3</c:v>
                </c:pt>
                <c:pt idx="132">
                  <c:v>-1.65927091854949E-3</c:v>
                </c:pt>
                <c:pt idx="133">
                  <c:v>-1.79319159904587E-3</c:v>
                </c:pt>
                <c:pt idx="134">
                  <c:v>2.3377846940544401E-3</c:v>
                </c:pt>
                <c:pt idx="135">
                  <c:v>1.62926478361499E-3</c:v>
                </c:pt>
                <c:pt idx="136">
                  <c:v>-3.1159027472856902E-3</c:v>
                </c:pt>
                <c:pt idx="137">
                  <c:v>-4.2499494145258497E-3</c:v>
                </c:pt>
                <c:pt idx="138">
                  <c:v>-3.4888057230563498E-3</c:v>
                </c:pt>
                <c:pt idx="139">
                  <c:v>-9.3841827542576499E-4</c:v>
                </c:pt>
                <c:pt idx="140">
                  <c:v>-2.8987533410099798E-3</c:v>
                </c:pt>
                <c:pt idx="141">
                  <c:v>-6.61317895536592E-3</c:v>
                </c:pt>
                <c:pt idx="142">
                  <c:v>-1.1226114115867301E-2</c:v>
                </c:pt>
                <c:pt idx="143">
                  <c:v>-1.0655649278307399E-2</c:v>
                </c:pt>
                <c:pt idx="144">
                  <c:v>-1.7675265067527701E-2</c:v>
                </c:pt>
                <c:pt idx="145">
                  <c:v>-1.60896885012859E-2</c:v>
                </c:pt>
                <c:pt idx="146">
                  <c:v>-1.48737512836799E-2</c:v>
                </c:pt>
                <c:pt idx="147">
                  <c:v>-1.38502242831546E-2</c:v>
                </c:pt>
                <c:pt idx="148">
                  <c:v>1.75038099442209E-4</c:v>
                </c:pt>
                <c:pt idx="149">
                  <c:v>9.76507961166198E-4</c:v>
                </c:pt>
                <c:pt idx="150">
                  <c:v>2.8618330065549699E-3</c:v>
                </c:pt>
                <c:pt idx="151">
                  <c:v>9.4649878283578799E-3</c:v>
                </c:pt>
                <c:pt idx="152">
                  <c:v>6.3396387306956003E-3</c:v>
                </c:pt>
                <c:pt idx="153">
                  <c:v>4.3913862639548898E-3</c:v>
                </c:pt>
                <c:pt idx="154">
                  <c:v>1.9743776915686398E-3</c:v>
                </c:pt>
                <c:pt idx="155">
                  <c:v>-5.5439148080955502E-3</c:v>
                </c:pt>
                <c:pt idx="156">
                  <c:v>-8.3917362744137698E-3</c:v>
                </c:pt>
                <c:pt idx="157">
                  <c:v>-1.13130589896477E-2</c:v>
                </c:pt>
                <c:pt idx="158">
                  <c:v>-1.1431821603672799E-2</c:v>
                </c:pt>
                <c:pt idx="159">
                  <c:v>-1.1313718729188999E-2</c:v>
                </c:pt>
                <c:pt idx="160">
                  <c:v>-9.0650327063521597E-3</c:v>
                </c:pt>
                <c:pt idx="161">
                  <c:v>-1.0937471217281799E-2</c:v>
                </c:pt>
                <c:pt idx="162">
                  <c:v>-1.0302215857799699E-2</c:v>
                </c:pt>
                <c:pt idx="163">
                  <c:v>-4.6815227359304698E-3</c:v>
                </c:pt>
                <c:pt idx="164">
                  <c:v>-3.6417995954214299E-3</c:v>
                </c:pt>
                <c:pt idx="165">
                  <c:v>7.2113597399981898E-4</c:v>
                </c:pt>
                <c:pt idx="166">
                  <c:v>-2.07579891983896E-3</c:v>
                </c:pt>
                <c:pt idx="167">
                  <c:v>8.5002142788777302E-4</c:v>
                </c:pt>
                <c:pt idx="168">
                  <c:v>5.9342551376965003E-3</c:v>
                </c:pt>
                <c:pt idx="169">
                  <c:v>4.2745928016130804E-3</c:v>
                </c:pt>
                <c:pt idx="170">
                  <c:v>4.2780850399662699E-3</c:v>
                </c:pt>
                <c:pt idx="171">
                  <c:v>4.0940996013759503E-3</c:v>
                </c:pt>
                <c:pt idx="172">
                  <c:v>3.7615030626553798E-3</c:v>
                </c:pt>
                <c:pt idx="173">
                  <c:v>5.9833286028043405E-4</c:v>
                </c:pt>
                <c:pt idx="174">
                  <c:v>3.0679587329342502E-3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3-45E8-8201-5BA4DE81B7B8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Z* x 20 dma / ZG*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-7.9617121778216302E-5</c:v>
                </c:pt>
                <c:pt idx="21">
                  <c:v>-8.77741793941458E-3</c:v>
                </c:pt>
                <c:pt idx="22">
                  <c:v>-1.4938593072068599E-2</c:v>
                </c:pt>
                <c:pt idx="23">
                  <c:v>-6.7948588544919503E-3</c:v>
                </c:pt>
                <c:pt idx="24">
                  <c:v>-3.3142072519816799E-3</c:v>
                </c:pt>
                <c:pt idx="25">
                  <c:v>-5.0304376087520796E-3</c:v>
                </c:pt>
                <c:pt idx="26">
                  <c:v>-5.1467769796434597E-3</c:v>
                </c:pt>
                <c:pt idx="27">
                  <c:v>2.3743081902078099E-3</c:v>
                </c:pt>
                <c:pt idx="28">
                  <c:v>-7.0802943409091499E-3</c:v>
                </c:pt>
                <c:pt idx="29">
                  <c:v>-5.9345782806424097E-3</c:v>
                </c:pt>
                <c:pt idx="30">
                  <c:v>-9.4865797235112199E-3</c:v>
                </c:pt>
                <c:pt idx="31">
                  <c:v>-7.0337642756886096E-3</c:v>
                </c:pt>
                <c:pt idx="32">
                  <c:v>-7.5888579484077803E-3</c:v>
                </c:pt>
                <c:pt idx="33">
                  <c:v>-6.6830809840791299E-3</c:v>
                </c:pt>
                <c:pt idx="34">
                  <c:v>-6.6706282947590796E-3</c:v>
                </c:pt>
                <c:pt idx="35">
                  <c:v>-9.1848301532965696E-3</c:v>
                </c:pt>
                <c:pt idx="36">
                  <c:v>-8.3230154165185501E-3</c:v>
                </c:pt>
                <c:pt idx="37">
                  <c:v>-2.0828721910561001E-3</c:v>
                </c:pt>
                <c:pt idx="38">
                  <c:v>-8.2933447327932595E-3</c:v>
                </c:pt>
                <c:pt idx="39">
                  <c:v>-7.0122741829463497E-3</c:v>
                </c:pt>
                <c:pt idx="40">
                  <c:v>-8.9226250571990406E-3</c:v>
                </c:pt>
                <c:pt idx="41">
                  <c:v>-7.6853720498873297E-3</c:v>
                </c:pt>
                <c:pt idx="42">
                  <c:v>-8.5563554303718405E-3</c:v>
                </c:pt>
                <c:pt idx="43">
                  <c:v>-2.1201392737103001E-3</c:v>
                </c:pt>
                <c:pt idx="44">
                  <c:v>1.9538411528904598E-3</c:v>
                </c:pt>
                <c:pt idx="45">
                  <c:v>8.0302406923273006E-3</c:v>
                </c:pt>
                <c:pt idx="46">
                  <c:v>1.2055723318976599E-2</c:v>
                </c:pt>
                <c:pt idx="47">
                  <c:v>1.01070083408861E-2</c:v>
                </c:pt>
                <c:pt idx="48">
                  <c:v>1.7100127450568402E-2</c:v>
                </c:pt>
                <c:pt idx="49">
                  <c:v>8.5202187044114799E-4</c:v>
                </c:pt>
                <c:pt idx="50">
                  <c:v>2.7791775266404399E-3</c:v>
                </c:pt>
                <c:pt idx="51">
                  <c:v>1.0746270166922599E-2</c:v>
                </c:pt>
                <c:pt idx="52">
                  <c:v>1.2406203822779001E-2</c:v>
                </c:pt>
                <c:pt idx="53">
                  <c:v>6.9281496938370197E-3</c:v>
                </c:pt>
                <c:pt idx="54">
                  <c:v>-6.5191799901865601E-4</c:v>
                </c:pt>
                <c:pt idx="55">
                  <c:v>1.6583907723645901E-3</c:v>
                </c:pt>
                <c:pt idx="56">
                  <c:v>1.0190371015781001E-3</c:v>
                </c:pt>
                <c:pt idx="57">
                  <c:v>-8.2326429706842397E-3</c:v>
                </c:pt>
                <c:pt idx="58">
                  <c:v>-2.8440248211521698E-3</c:v>
                </c:pt>
                <c:pt idx="59">
                  <c:v>1.04421574635218E-4</c:v>
                </c:pt>
                <c:pt idx="60">
                  <c:v>-4.4488495937471603E-3</c:v>
                </c:pt>
                <c:pt idx="61">
                  <c:v>-4.0229942066339003E-3</c:v>
                </c:pt>
                <c:pt idx="62">
                  <c:v>-5.8335930428476896E-3</c:v>
                </c:pt>
                <c:pt idx="63">
                  <c:v>-9.0104627876453208E-3</c:v>
                </c:pt>
                <c:pt idx="64">
                  <c:v>-8.2308926095527295E-3</c:v>
                </c:pt>
                <c:pt idx="65">
                  <c:v>-7.8995332762902895E-3</c:v>
                </c:pt>
                <c:pt idx="66">
                  <c:v>-4.69078389101385E-3</c:v>
                </c:pt>
                <c:pt idx="67">
                  <c:v>-5.3132640145906298E-3</c:v>
                </c:pt>
                <c:pt idx="68">
                  <c:v>-6.3876383713147803E-3</c:v>
                </c:pt>
                <c:pt idx="69">
                  <c:v>-4.5729551423742002E-3</c:v>
                </c:pt>
                <c:pt idx="70">
                  <c:v>-4.4000805018622599E-3</c:v>
                </c:pt>
                <c:pt idx="71">
                  <c:v>-1.7614635839021901E-3</c:v>
                </c:pt>
                <c:pt idx="72">
                  <c:v>-3.8753040618353602E-3</c:v>
                </c:pt>
                <c:pt idx="73">
                  <c:v>-2.76092994576562E-3</c:v>
                </c:pt>
                <c:pt idx="74">
                  <c:v>6.0345169582051196E-4</c:v>
                </c:pt>
                <c:pt idx="75">
                  <c:v>5.1913281790626697E-4</c:v>
                </c:pt>
                <c:pt idx="76">
                  <c:v>1.21764865153919E-3</c:v>
                </c:pt>
                <c:pt idx="77">
                  <c:v>-3.3863487215157499E-3</c:v>
                </c:pt>
                <c:pt idx="78">
                  <c:v>-7.1716498038272699E-4</c:v>
                </c:pt>
                <c:pt idx="79">
                  <c:v>-1.7251690189627499E-3</c:v>
                </c:pt>
                <c:pt idx="80">
                  <c:v>1.0624443027573E-3</c:v>
                </c:pt>
                <c:pt idx="81">
                  <c:v>-2.7011917226898801E-3</c:v>
                </c:pt>
                <c:pt idx="82">
                  <c:v>-2.5688804835184002E-3</c:v>
                </c:pt>
                <c:pt idx="83">
                  <c:v>-2.9648029706255E-3</c:v>
                </c:pt>
                <c:pt idx="84">
                  <c:v>-5.2270927983330802E-3</c:v>
                </c:pt>
                <c:pt idx="85">
                  <c:v>-3.9324746872490797E-3</c:v>
                </c:pt>
                <c:pt idx="86">
                  <c:v>-5.2465719010777699E-3</c:v>
                </c:pt>
                <c:pt idx="87">
                  <c:v>-8.8871056931822002E-3</c:v>
                </c:pt>
                <c:pt idx="88">
                  <c:v>-1.3059693411145599E-3</c:v>
                </c:pt>
                <c:pt idx="89">
                  <c:v>-1.3251304434909099E-3</c:v>
                </c:pt>
                <c:pt idx="90">
                  <c:v>-4.9530062646655597E-3</c:v>
                </c:pt>
                <c:pt idx="91">
                  <c:v>-8.6221674877229402E-3</c:v>
                </c:pt>
                <c:pt idx="92">
                  <c:v>-5.5306639352330003E-3</c:v>
                </c:pt>
                <c:pt idx="93">
                  <c:v>-6.3642286119946602E-3</c:v>
                </c:pt>
                <c:pt idx="94">
                  <c:v>-5.7539822573351501E-3</c:v>
                </c:pt>
                <c:pt idx="95">
                  <c:v>-5.8492459634895402E-3</c:v>
                </c:pt>
                <c:pt idx="96">
                  <c:v>-6.5083155952817403E-3</c:v>
                </c:pt>
                <c:pt idx="97">
                  <c:v>-7.0696370303294197E-3</c:v>
                </c:pt>
                <c:pt idx="98">
                  <c:v>-4.8873245740718501E-3</c:v>
                </c:pt>
                <c:pt idx="99">
                  <c:v>-1.16661770035217E-4</c:v>
                </c:pt>
                <c:pt idx="100">
                  <c:v>-1.1122027543563099E-3</c:v>
                </c:pt>
                <c:pt idx="101">
                  <c:v>-7.8102304991484704E-4</c:v>
                </c:pt>
                <c:pt idx="102">
                  <c:v>4.4996100800334298E-3</c:v>
                </c:pt>
                <c:pt idx="103">
                  <c:v>3.9888678908104403E-3</c:v>
                </c:pt>
                <c:pt idx="104">
                  <c:v>7.5119004728048397E-3</c:v>
                </c:pt>
                <c:pt idx="105">
                  <c:v>7.8181276336819604E-3</c:v>
                </c:pt>
                <c:pt idx="106">
                  <c:v>-1.3227423231998699E-4</c:v>
                </c:pt>
                <c:pt idx="107">
                  <c:v>9.8691778353294495E-3</c:v>
                </c:pt>
                <c:pt idx="108">
                  <c:v>-2.00662743070615E-3</c:v>
                </c:pt>
                <c:pt idx="109">
                  <c:v>3.9317487048357103E-3</c:v>
                </c:pt>
                <c:pt idx="110">
                  <c:v>-1.73124100119275E-3</c:v>
                </c:pt>
                <c:pt idx="111">
                  <c:v>3.08108798330467E-3</c:v>
                </c:pt>
                <c:pt idx="112">
                  <c:v>-1.20053317521372E-3</c:v>
                </c:pt>
                <c:pt idx="113">
                  <c:v>1.1149012200370001E-3</c:v>
                </c:pt>
                <c:pt idx="114">
                  <c:v>9.1941941403779601E-4</c:v>
                </c:pt>
                <c:pt idx="115">
                  <c:v>-3.5824633578707501E-3</c:v>
                </c:pt>
                <c:pt idx="116">
                  <c:v>3.2206976477330701E-3</c:v>
                </c:pt>
                <c:pt idx="117">
                  <c:v>5.7626685361675404E-3</c:v>
                </c:pt>
                <c:pt idx="118">
                  <c:v>8.3987008543601593E-3</c:v>
                </c:pt>
                <c:pt idx="119">
                  <c:v>1.5592870859404201E-2</c:v>
                </c:pt>
                <c:pt idx="120">
                  <c:v>4.5097752892553902E-3</c:v>
                </c:pt>
                <c:pt idx="121">
                  <c:v>4.6964280301925298E-3</c:v>
                </c:pt>
                <c:pt idx="122">
                  <c:v>9.2893123934694906E-3</c:v>
                </c:pt>
                <c:pt idx="123">
                  <c:v>1.5289769821194401E-2</c:v>
                </c:pt>
                <c:pt idx="124">
                  <c:v>3.4744476433691399E-3</c:v>
                </c:pt>
                <c:pt idx="125">
                  <c:v>3.3515099548285798E-3</c:v>
                </c:pt>
                <c:pt idx="126">
                  <c:v>5.69902511939033E-3</c:v>
                </c:pt>
                <c:pt idx="127">
                  <c:v>6.6912115629679499E-3</c:v>
                </c:pt>
                <c:pt idx="128">
                  <c:v>9.0573784334277898E-3</c:v>
                </c:pt>
                <c:pt idx="129">
                  <c:v>7.1972114214044402E-3</c:v>
                </c:pt>
                <c:pt idx="130">
                  <c:v>8.5288809049087894E-3</c:v>
                </c:pt>
                <c:pt idx="131">
                  <c:v>1.69395538462783E-3</c:v>
                </c:pt>
                <c:pt idx="132">
                  <c:v>2.3774883495181602E-3</c:v>
                </c:pt>
                <c:pt idx="133">
                  <c:v>1.41959688969213E-3</c:v>
                </c:pt>
                <c:pt idx="134">
                  <c:v>4.18206474071547E-3</c:v>
                </c:pt>
                <c:pt idx="135">
                  <c:v>3.3644243953555499E-3</c:v>
                </c:pt>
                <c:pt idx="136">
                  <c:v>-1.71527711842087E-3</c:v>
                </c:pt>
                <c:pt idx="137">
                  <c:v>-3.2945033581693798E-3</c:v>
                </c:pt>
                <c:pt idx="138">
                  <c:v>-3.0517954514929801E-3</c:v>
                </c:pt>
                <c:pt idx="139">
                  <c:v>-1.09218942957119E-3</c:v>
                </c:pt>
                <c:pt idx="140">
                  <c:v>-3.0536563964809701E-3</c:v>
                </c:pt>
                <c:pt idx="141">
                  <c:v>-7.5795849776771904E-3</c:v>
                </c:pt>
                <c:pt idx="142">
                  <c:v>-1.26053438779403E-2</c:v>
                </c:pt>
                <c:pt idx="143">
                  <c:v>-1.2562519688601399E-2</c:v>
                </c:pt>
                <c:pt idx="144">
                  <c:v>-1.9788109723005098E-2</c:v>
                </c:pt>
                <c:pt idx="145">
                  <c:v>-1.9696722683058498E-2</c:v>
                </c:pt>
                <c:pt idx="146">
                  <c:v>-1.9998061041369E-2</c:v>
                </c:pt>
                <c:pt idx="147">
                  <c:v>-2.0014258635798601E-2</c:v>
                </c:pt>
                <c:pt idx="148">
                  <c:v>-6.88147483222538E-3</c:v>
                </c:pt>
                <c:pt idx="149">
                  <c:v>-6.2890578457709999E-3</c:v>
                </c:pt>
                <c:pt idx="150">
                  <c:v>-4.8630722480960103E-3</c:v>
                </c:pt>
                <c:pt idx="151">
                  <c:v>1.63121339092873E-3</c:v>
                </c:pt>
                <c:pt idx="152">
                  <c:v>-1.17660817249663E-3</c:v>
                </c:pt>
                <c:pt idx="153">
                  <c:v>-2.3878744459851198E-3</c:v>
                </c:pt>
                <c:pt idx="154">
                  <c:v>-4.1012631742713803E-3</c:v>
                </c:pt>
                <c:pt idx="155">
                  <c:v>-1.00366720792293E-2</c:v>
                </c:pt>
                <c:pt idx="156">
                  <c:v>-1.1561806884970501E-2</c:v>
                </c:pt>
                <c:pt idx="157">
                  <c:v>-1.33746932657904E-2</c:v>
                </c:pt>
                <c:pt idx="158">
                  <c:v>-1.24751003970054E-2</c:v>
                </c:pt>
                <c:pt idx="159">
                  <c:v>-1.25223589534045E-2</c:v>
                </c:pt>
                <c:pt idx="160">
                  <c:v>-1.0382899190413899E-2</c:v>
                </c:pt>
                <c:pt idx="161">
                  <c:v>-1.25004954229102E-2</c:v>
                </c:pt>
                <c:pt idx="162">
                  <c:v>-1.30541649006745E-2</c:v>
                </c:pt>
                <c:pt idx="163">
                  <c:v>-8.6581417230771392E-3</c:v>
                </c:pt>
                <c:pt idx="164">
                  <c:v>-8.5343091628866299E-3</c:v>
                </c:pt>
                <c:pt idx="165">
                  <c:v>-5.3065290754623099E-3</c:v>
                </c:pt>
                <c:pt idx="166">
                  <c:v>-8.4688670473364504E-3</c:v>
                </c:pt>
                <c:pt idx="167">
                  <c:v>-5.8725874394308097E-3</c:v>
                </c:pt>
                <c:pt idx="168">
                  <c:v>-7.7437316498431903E-4</c:v>
                </c:pt>
                <c:pt idx="169">
                  <c:v>-1.5577404809221701E-3</c:v>
                </c:pt>
                <c:pt idx="170">
                  <c:v>-6.2738025773788396E-4</c:v>
                </c:pt>
                <c:pt idx="171">
                  <c:v>8.8577451724285001E-5</c:v>
                </c:pt>
                <c:pt idx="172">
                  <c:v>1.2753827548534599E-3</c:v>
                </c:pt>
                <c:pt idx="173">
                  <c:v>-3.3001758443735598E-4</c:v>
                </c:pt>
                <c:pt idx="174">
                  <c:v>3.1586420135283101E-3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63-45E8-8201-5BA4DE81B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ZG*/Z*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1.0029086172027599</c:v>
                </c:pt>
                <c:pt idx="1">
                  <c:v>1.0029086172027599</c:v>
                </c:pt>
                <c:pt idx="2">
                  <c:v>1.0029086172027599</c:v>
                </c:pt>
                <c:pt idx="3">
                  <c:v>1.0029086172027599</c:v>
                </c:pt>
                <c:pt idx="4">
                  <c:v>1.0029086172027599</c:v>
                </c:pt>
                <c:pt idx="5">
                  <c:v>1.0029086172027599</c:v>
                </c:pt>
                <c:pt idx="6">
                  <c:v>1.0029086172027599</c:v>
                </c:pt>
                <c:pt idx="7">
                  <c:v>1.0029086172027599</c:v>
                </c:pt>
                <c:pt idx="8">
                  <c:v>1.0029086172027599</c:v>
                </c:pt>
                <c:pt idx="9">
                  <c:v>1.0029086172027599</c:v>
                </c:pt>
                <c:pt idx="10">
                  <c:v>1.0029086172027599</c:v>
                </c:pt>
                <c:pt idx="11">
                  <c:v>1.0029086172027599</c:v>
                </c:pt>
                <c:pt idx="12">
                  <c:v>1.0029086172027599</c:v>
                </c:pt>
                <c:pt idx="13">
                  <c:v>1.0029086172027599</c:v>
                </c:pt>
                <c:pt idx="14">
                  <c:v>1.0029086172027599</c:v>
                </c:pt>
                <c:pt idx="15">
                  <c:v>1.0029086172027599</c:v>
                </c:pt>
                <c:pt idx="16">
                  <c:v>1.0029086172027599</c:v>
                </c:pt>
                <c:pt idx="17">
                  <c:v>1.0029086172027599</c:v>
                </c:pt>
                <c:pt idx="18">
                  <c:v>1.0029086172027599</c:v>
                </c:pt>
                <c:pt idx="19">
                  <c:v>1.0029086172027599</c:v>
                </c:pt>
                <c:pt idx="20">
                  <c:v>1.0029086172027599</c:v>
                </c:pt>
                <c:pt idx="21">
                  <c:v>1.0029086172027599</c:v>
                </c:pt>
                <c:pt idx="22">
                  <c:v>1.0029086172027599</c:v>
                </c:pt>
                <c:pt idx="23">
                  <c:v>1.0029086172027599</c:v>
                </c:pt>
                <c:pt idx="24">
                  <c:v>1.0029086172027599</c:v>
                </c:pt>
                <c:pt idx="25">
                  <c:v>1.0029086172027599</c:v>
                </c:pt>
                <c:pt idx="26">
                  <c:v>1.0029086172027599</c:v>
                </c:pt>
                <c:pt idx="27">
                  <c:v>1.0029086172027599</c:v>
                </c:pt>
                <c:pt idx="28">
                  <c:v>1.0029086172027599</c:v>
                </c:pt>
                <c:pt idx="29">
                  <c:v>1.0029086172027599</c:v>
                </c:pt>
                <c:pt idx="30">
                  <c:v>1.0029086172027599</c:v>
                </c:pt>
                <c:pt idx="31">
                  <c:v>1.0029086172027599</c:v>
                </c:pt>
                <c:pt idx="32">
                  <c:v>1.0029086172027599</c:v>
                </c:pt>
                <c:pt idx="33">
                  <c:v>1.0029086172027599</c:v>
                </c:pt>
                <c:pt idx="34">
                  <c:v>1.0029086172027599</c:v>
                </c:pt>
                <c:pt idx="35">
                  <c:v>1.0029086172027599</c:v>
                </c:pt>
                <c:pt idx="36">
                  <c:v>1.0029086172027599</c:v>
                </c:pt>
                <c:pt idx="37">
                  <c:v>1.0029086172027599</c:v>
                </c:pt>
                <c:pt idx="38">
                  <c:v>1.0029086172027599</c:v>
                </c:pt>
                <c:pt idx="39">
                  <c:v>1.0029086172027599</c:v>
                </c:pt>
                <c:pt idx="40">
                  <c:v>1.0029086172027599</c:v>
                </c:pt>
                <c:pt idx="41">
                  <c:v>1.0029086172027599</c:v>
                </c:pt>
                <c:pt idx="42">
                  <c:v>1.0029086172027599</c:v>
                </c:pt>
                <c:pt idx="43">
                  <c:v>1.0029086172027599</c:v>
                </c:pt>
                <c:pt idx="44">
                  <c:v>1.0029086172027599</c:v>
                </c:pt>
                <c:pt idx="45">
                  <c:v>1.0029086172027599</c:v>
                </c:pt>
                <c:pt idx="46">
                  <c:v>1.0029086172027599</c:v>
                </c:pt>
                <c:pt idx="47">
                  <c:v>1.0029086172027599</c:v>
                </c:pt>
                <c:pt idx="48">
                  <c:v>1.0029086172027599</c:v>
                </c:pt>
                <c:pt idx="49">
                  <c:v>1.0029086172027599</c:v>
                </c:pt>
                <c:pt idx="50">
                  <c:v>1.0029086172027599</c:v>
                </c:pt>
                <c:pt idx="51">
                  <c:v>1.0029086172027599</c:v>
                </c:pt>
                <c:pt idx="52">
                  <c:v>1.0029086172027599</c:v>
                </c:pt>
                <c:pt idx="53">
                  <c:v>1.0029086172027599</c:v>
                </c:pt>
                <c:pt idx="54">
                  <c:v>1.0029086172027599</c:v>
                </c:pt>
                <c:pt idx="55">
                  <c:v>1.0029086172027599</c:v>
                </c:pt>
                <c:pt idx="56">
                  <c:v>1.0029086172027599</c:v>
                </c:pt>
                <c:pt idx="57">
                  <c:v>1.0029086172027599</c:v>
                </c:pt>
                <c:pt idx="58">
                  <c:v>1.0029086172027599</c:v>
                </c:pt>
                <c:pt idx="59">
                  <c:v>1.0029086172027599</c:v>
                </c:pt>
                <c:pt idx="60">
                  <c:v>1.0029086172027599</c:v>
                </c:pt>
                <c:pt idx="61">
                  <c:v>1.0029086172027599</c:v>
                </c:pt>
                <c:pt idx="62">
                  <c:v>1.0029086172027599</c:v>
                </c:pt>
                <c:pt idx="63">
                  <c:v>1.0029086172027599</c:v>
                </c:pt>
                <c:pt idx="64">
                  <c:v>1.0029086172027599</c:v>
                </c:pt>
                <c:pt idx="65">
                  <c:v>1.0029086172027599</c:v>
                </c:pt>
                <c:pt idx="66">
                  <c:v>1.0029086172027599</c:v>
                </c:pt>
                <c:pt idx="67">
                  <c:v>1.0029086172027599</c:v>
                </c:pt>
                <c:pt idx="68">
                  <c:v>1.0029086172027599</c:v>
                </c:pt>
                <c:pt idx="69">
                  <c:v>1.0029086172027599</c:v>
                </c:pt>
                <c:pt idx="70">
                  <c:v>1.0029086172027599</c:v>
                </c:pt>
                <c:pt idx="71">
                  <c:v>1.0029086172027599</c:v>
                </c:pt>
                <c:pt idx="72">
                  <c:v>1.0029086172027599</c:v>
                </c:pt>
                <c:pt idx="73">
                  <c:v>1.0029086172027599</c:v>
                </c:pt>
                <c:pt idx="74">
                  <c:v>1.0029086172027599</c:v>
                </c:pt>
                <c:pt idx="75">
                  <c:v>1.0029086172027599</c:v>
                </c:pt>
                <c:pt idx="76">
                  <c:v>1.0029086172027599</c:v>
                </c:pt>
                <c:pt idx="77">
                  <c:v>1.0029086172027599</c:v>
                </c:pt>
                <c:pt idx="78">
                  <c:v>1.0029086172027599</c:v>
                </c:pt>
                <c:pt idx="79">
                  <c:v>1.0029086172027599</c:v>
                </c:pt>
                <c:pt idx="80">
                  <c:v>1.0029086172027599</c:v>
                </c:pt>
                <c:pt idx="81">
                  <c:v>1.0029086172027599</c:v>
                </c:pt>
                <c:pt idx="82">
                  <c:v>1.0029086172027599</c:v>
                </c:pt>
                <c:pt idx="83">
                  <c:v>1.0029086172027599</c:v>
                </c:pt>
                <c:pt idx="84">
                  <c:v>1.0029086172027599</c:v>
                </c:pt>
                <c:pt idx="85">
                  <c:v>1.0029086172027599</c:v>
                </c:pt>
                <c:pt idx="86">
                  <c:v>1.0029086172027599</c:v>
                </c:pt>
                <c:pt idx="87">
                  <c:v>1.0029086172027599</c:v>
                </c:pt>
                <c:pt idx="88">
                  <c:v>1.0029086172027599</c:v>
                </c:pt>
                <c:pt idx="89">
                  <c:v>1.0029086172027599</c:v>
                </c:pt>
                <c:pt idx="90">
                  <c:v>1.0029086172027599</c:v>
                </c:pt>
                <c:pt idx="91">
                  <c:v>1.0029086172027599</c:v>
                </c:pt>
                <c:pt idx="92">
                  <c:v>1.0029086172027599</c:v>
                </c:pt>
                <c:pt idx="93">
                  <c:v>1.0029086172027599</c:v>
                </c:pt>
                <c:pt idx="94">
                  <c:v>1.0029086172027599</c:v>
                </c:pt>
                <c:pt idx="95">
                  <c:v>1.0029086172027599</c:v>
                </c:pt>
                <c:pt idx="96">
                  <c:v>1.0029086172027599</c:v>
                </c:pt>
                <c:pt idx="97">
                  <c:v>1.0029086172027599</c:v>
                </c:pt>
                <c:pt idx="98">
                  <c:v>1.0029086172027599</c:v>
                </c:pt>
                <c:pt idx="99">
                  <c:v>1.0029086172027599</c:v>
                </c:pt>
                <c:pt idx="100">
                  <c:v>1.0029086172027599</c:v>
                </c:pt>
                <c:pt idx="101">
                  <c:v>1.0029086172027599</c:v>
                </c:pt>
                <c:pt idx="102">
                  <c:v>1.0029086172027599</c:v>
                </c:pt>
                <c:pt idx="103">
                  <c:v>1.0029086172027599</c:v>
                </c:pt>
                <c:pt idx="104">
                  <c:v>1.0029086172027599</c:v>
                </c:pt>
                <c:pt idx="105">
                  <c:v>1.0029086172027599</c:v>
                </c:pt>
                <c:pt idx="106">
                  <c:v>1.0029086172027599</c:v>
                </c:pt>
                <c:pt idx="107">
                  <c:v>1.0029086172027599</c:v>
                </c:pt>
                <c:pt idx="108">
                  <c:v>1.0029086172027599</c:v>
                </c:pt>
                <c:pt idx="109">
                  <c:v>1.0029086172027599</c:v>
                </c:pt>
                <c:pt idx="110">
                  <c:v>1.0029086172027599</c:v>
                </c:pt>
                <c:pt idx="111">
                  <c:v>1.0029086172027599</c:v>
                </c:pt>
                <c:pt idx="112">
                  <c:v>1.0029086172027599</c:v>
                </c:pt>
                <c:pt idx="113">
                  <c:v>1.0029086172027599</c:v>
                </c:pt>
                <c:pt idx="114">
                  <c:v>1.0029086172027599</c:v>
                </c:pt>
                <c:pt idx="115">
                  <c:v>1.0029086172027599</c:v>
                </c:pt>
                <c:pt idx="116">
                  <c:v>1.0029086172027599</c:v>
                </c:pt>
                <c:pt idx="117">
                  <c:v>1.0029086172027599</c:v>
                </c:pt>
                <c:pt idx="118">
                  <c:v>1.0029086172027599</c:v>
                </c:pt>
                <c:pt idx="119">
                  <c:v>1.0029086172027599</c:v>
                </c:pt>
                <c:pt idx="120">
                  <c:v>1.0029086172027599</c:v>
                </c:pt>
                <c:pt idx="121">
                  <c:v>1.0029086172027599</c:v>
                </c:pt>
                <c:pt idx="122">
                  <c:v>1.0029086172027599</c:v>
                </c:pt>
                <c:pt idx="123">
                  <c:v>1.0029086172027599</c:v>
                </c:pt>
                <c:pt idx="124">
                  <c:v>1.0029086172027599</c:v>
                </c:pt>
                <c:pt idx="125">
                  <c:v>1.0029086172027599</c:v>
                </c:pt>
                <c:pt idx="126">
                  <c:v>1.0029086172027599</c:v>
                </c:pt>
                <c:pt idx="127">
                  <c:v>1.0029086172027599</c:v>
                </c:pt>
                <c:pt idx="128">
                  <c:v>1.0029086172027599</c:v>
                </c:pt>
                <c:pt idx="129">
                  <c:v>1.0029086172027599</c:v>
                </c:pt>
                <c:pt idx="130">
                  <c:v>1.0029086172027599</c:v>
                </c:pt>
                <c:pt idx="131">
                  <c:v>1.0029086172027599</c:v>
                </c:pt>
                <c:pt idx="132">
                  <c:v>1.0029086172027599</c:v>
                </c:pt>
                <c:pt idx="133">
                  <c:v>1.0029086172027599</c:v>
                </c:pt>
                <c:pt idx="134">
                  <c:v>1.0029086172027599</c:v>
                </c:pt>
                <c:pt idx="135">
                  <c:v>1.0029086172027599</c:v>
                </c:pt>
                <c:pt idx="136">
                  <c:v>1.0029086172027599</c:v>
                </c:pt>
                <c:pt idx="137">
                  <c:v>1.0029086172027599</c:v>
                </c:pt>
                <c:pt idx="138">
                  <c:v>1.0029086172027599</c:v>
                </c:pt>
                <c:pt idx="139">
                  <c:v>1.0029086172027599</c:v>
                </c:pt>
                <c:pt idx="140">
                  <c:v>1.0029086172027599</c:v>
                </c:pt>
                <c:pt idx="141">
                  <c:v>1.0029086172027599</c:v>
                </c:pt>
                <c:pt idx="142">
                  <c:v>1.0029086172027599</c:v>
                </c:pt>
                <c:pt idx="143">
                  <c:v>1.0029086172027599</c:v>
                </c:pt>
                <c:pt idx="144">
                  <c:v>1.0029086172027599</c:v>
                </c:pt>
                <c:pt idx="145">
                  <c:v>1.0029086172027599</c:v>
                </c:pt>
                <c:pt idx="146">
                  <c:v>1.0029086172027599</c:v>
                </c:pt>
                <c:pt idx="147">
                  <c:v>1.0029086172027599</c:v>
                </c:pt>
                <c:pt idx="148">
                  <c:v>1.0029086172027599</c:v>
                </c:pt>
                <c:pt idx="149">
                  <c:v>1.0029086172027599</c:v>
                </c:pt>
                <c:pt idx="150">
                  <c:v>1.0029086172027599</c:v>
                </c:pt>
                <c:pt idx="151">
                  <c:v>1.0029086172027599</c:v>
                </c:pt>
                <c:pt idx="152">
                  <c:v>1.0029086172027599</c:v>
                </c:pt>
                <c:pt idx="153">
                  <c:v>1.0029086172027599</c:v>
                </c:pt>
                <c:pt idx="154">
                  <c:v>1.0029086172027599</c:v>
                </c:pt>
                <c:pt idx="155">
                  <c:v>1.0029086172027599</c:v>
                </c:pt>
                <c:pt idx="156">
                  <c:v>1.0029086172027599</c:v>
                </c:pt>
                <c:pt idx="157">
                  <c:v>1.0029086172027599</c:v>
                </c:pt>
                <c:pt idx="158">
                  <c:v>1.0029086172027599</c:v>
                </c:pt>
                <c:pt idx="159">
                  <c:v>1.0029086172027599</c:v>
                </c:pt>
                <c:pt idx="160">
                  <c:v>1.0029086172027599</c:v>
                </c:pt>
                <c:pt idx="161">
                  <c:v>1.0029086172027599</c:v>
                </c:pt>
                <c:pt idx="162">
                  <c:v>1.0029086172027599</c:v>
                </c:pt>
                <c:pt idx="163">
                  <c:v>1.0029086172027599</c:v>
                </c:pt>
                <c:pt idx="164">
                  <c:v>1.0029086172027599</c:v>
                </c:pt>
                <c:pt idx="165">
                  <c:v>1.0029086172027599</c:v>
                </c:pt>
                <c:pt idx="166">
                  <c:v>1.0029086172027599</c:v>
                </c:pt>
                <c:pt idx="167">
                  <c:v>1.0029086172027599</c:v>
                </c:pt>
                <c:pt idx="168">
                  <c:v>1.0029086172027599</c:v>
                </c:pt>
                <c:pt idx="169">
                  <c:v>1.0029086172027599</c:v>
                </c:pt>
                <c:pt idx="170">
                  <c:v>1.0029086172027599</c:v>
                </c:pt>
                <c:pt idx="171">
                  <c:v>1.0029086172027599</c:v>
                </c:pt>
                <c:pt idx="172">
                  <c:v>1.0029086172027599</c:v>
                </c:pt>
                <c:pt idx="173">
                  <c:v>1.0029086172027599</c:v>
                </c:pt>
                <c:pt idx="174">
                  <c:v>1.0029086172027599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53-4FD6-9A4E-873559BAC3FF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ZG*/Z*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0.98737245399565599</c:v>
                </c:pt>
                <c:pt idx="10">
                  <c:v>0.98657320398609305</c:v>
                </c:pt>
                <c:pt idx="11">
                  <c:v>0.98581314487513505</c:v>
                </c:pt>
                <c:pt idx="12">
                  <c:v>0.98635619372218497</c:v>
                </c:pt>
                <c:pt idx="13">
                  <c:v>0.98650863458857896</c:v>
                </c:pt>
                <c:pt idx="14">
                  <c:v>0.98755377187151205</c:v>
                </c:pt>
                <c:pt idx="15">
                  <c:v>0.98814136975953604</c:v>
                </c:pt>
                <c:pt idx="16">
                  <c:v>0.98831636316587801</c:v>
                </c:pt>
                <c:pt idx="17">
                  <c:v>0.98834181415475897</c:v>
                </c:pt>
                <c:pt idx="18">
                  <c:v>0.98803099374048398</c:v>
                </c:pt>
                <c:pt idx="19">
                  <c:v>0.98783816143742398</c:v>
                </c:pt>
                <c:pt idx="20">
                  <c:v>0.98787607255116205</c:v>
                </c:pt>
                <c:pt idx="21">
                  <c:v>0.98871356610506</c:v>
                </c:pt>
                <c:pt idx="22">
                  <c:v>0.98943412315756496</c:v>
                </c:pt>
                <c:pt idx="23">
                  <c:v>0.98983026617741598</c:v>
                </c:pt>
                <c:pt idx="24">
                  <c:v>0.98994584258807805</c:v>
                </c:pt>
                <c:pt idx="25">
                  <c:v>0.99104459024838998</c:v>
                </c:pt>
                <c:pt idx="26">
                  <c:v>0.99185045777367997</c:v>
                </c:pt>
                <c:pt idx="27">
                  <c:v>0.99210929993201002</c:v>
                </c:pt>
                <c:pt idx="28">
                  <c:v>0.99327136531214899</c:v>
                </c:pt>
                <c:pt idx="29">
                  <c:v>0.99417951232673096</c:v>
                </c:pt>
                <c:pt idx="30">
                  <c:v>0.99545660377118295</c:v>
                </c:pt>
                <c:pt idx="31">
                  <c:v>0.99573040490860398</c:v>
                </c:pt>
                <c:pt idx="32">
                  <c:v>0.99549621188904203</c:v>
                </c:pt>
                <c:pt idx="33">
                  <c:v>0.99594516005192202</c:v>
                </c:pt>
                <c:pt idx="34">
                  <c:v>0.99675347563560102</c:v>
                </c:pt>
                <c:pt idx="35">
                  <c:v>0.99763140092276503</c:v>
                </c:pt>
                <c:pt idx="36">
                  <c:v>0.99842631075027399</c:v>
                </c:pt>
                <c:pt idx="37">
                  <c:v>0.99937409621335704</c:v>
                </c:pt>
                <c:pt idx="38">
                  <c:v>1.0000513503157</c:v>
                </c:pt>
                <c:pt idx="39">
                  <c:v>1.0007640528925399</c:v>
                </c:pt>
                <c:pt idx="40">
                  <c:v>1.0013597347009899</c:v>
                </c:pt>
                <c:pt idx="41">
                  <c:v>1.0021042141815699</c:v>
                </c:pt>
                <c:pt idx="42">
                  <c:v>1.0028762752365501</c:v>
                </c:pt>
                <c:pt idx="43">
                  <c:v>1.0030949551591899</c:v>
                </c:pt>
                <c:pt idx="44">
                  <c:v>1.00289855747749</c:v>
                </c:pt>
                <c:pt idx="45">
                  <c:v>1.00182994627968</c:v>
                </c:pt>
                <c:pt idx="46">
                  <c:v>1.0003401597607799</c:v>
                </c:pt>
                <c:pt idx="47">
                  <c:v>0.99955216404802505</c:v>
                </c:pt>
                <c:pt idx="48">
                  <c:v>0.997400505755623</c:v>
                </c:pt>
                <c:pt idx="49">
                  <c:v>0.996820562985405</c:v>
                </c:pt>
                <c:pt idx="50">
                  <c:v>0.99578142966681105</c:v>
                </c:pt>
                <c:pt idx="51">
                  <c:v>0.99396005536191101</c:v>
                </c:pt>
                <c:pt idx="52">
                  <c:v>0.99178263155903701</c:v>
                </c:pt>
                <c:pt idx="53">
                  <c:v>0.99069630967834299</c:v>
                </c:pt>
                <c:pt idx="54">
                  <c:v>0.99069397745195498</c:v>
                </c:pt>
                <c:pt idx="55">
                  <c:v>0.99102550105698195</c:v>
                </c:pt>
                <c:pt idx="56">
                  <c:v>0.99179172978136498</c:v>
                </c:pt>
                <c:pt idx="57">
                  <c:v>0.99328840122586204</c:v>
                </c:pt>
                <c:pt idx="58">
                  <c:v>0.99496246899785301</c:v>
                </c:pt>
                <c:pt idx="59">
                  <c:v>0.99478268058390096</c:v>
                </c:pt>
                <c:pt idx="60">
                  <c:v>0.99520481279959805</c:v>
                </c:pt>
                <c:pt idx="61">
                  <c:v>0.99636570533054203</c:v>
                </c:pt>
                <c:pt idx="62">
                  <c:v>0.99789154414273795</c:v>
                </c:pt>
                <c:pt idx="63">
                  <c:v>0.99923132920351998</c:v>
                </c:pt>
                <c:pt idx="64">
                  <c:v>0.99979546091765004</c:v>
                </c:pt>
                <c:pt idx="65">
                  <c:v>1.0005947872310299</c:v>
                </c:pt>
                <c:pt idx="66">
                  <c:v>1.0011027275381701</c:v>
                </c:pt>
                <c:pt idx="67">
                  <c:v>1.0008482933648</c:v>
                </c:pt>
                <c:pt idx="68">
                  <c:v>1.00126824172733</c:v>
                </c:pt>
                <c:pt idx="69">
                  <c:v>1.00192950915947</c:v>
                </c:pt>
                <c:pt idx="70">
                  <c:v>1.00218120496454</c:v>
                </c:pt>
                <c:pt idx="71">
                  <c:v>1.0022759719276799</c:v>
                </c:pt>
                <c:pt idx="72">
                  <c:v>1.00249755219297</c:v>
                </c:pt>
                <c:pt idx="73">
                  <c:v>1.00240938161819</c:v>
                </c:pt>
                <c:pt idx="74">
                  <c:v>1.0021123351390899</c:v>
                </c:pt>
                <c:pt idx="75">
                  <c:v>1.00184199334225</c:v>
                </c:pt>
                <c:pt idx="76">
                  <c:v>1.0017927686314401</c:v>
                </c:pt>
                <c:pt idx="77">
                  <c:v>1.00210167281227</c:v>
                </c:pt>
                <c:pt idx="78">
                  <c:v>1.00197525477389</c:v>
                </c:pt>
                <c:pt idx="79">
                  <c:v>1.0020413609883601</c:v>
                </c:pt>
                <c:pt idx="80">
                  <c:v>1.0018576435865201</c:v>
                </c:pt>
                <c:pt idx="81">
                  <c:v>1.0022852445086801</c:v>
                </c:pt>
                <c:pt idx="82">
                  <c:v>1.00245100780028</c:v>
                </c:pt>
                <c:pt idx="83">
                  <c:v>1.00270010761163</c:v>
                </c:pt>
                <c:pt idx="84">
                  <c:v>1.00345933966023</c:v>
                </c:pt>
                <c:pt idx="85">
                  <c:v>1.00408960229519</c:v>
                </c:pt>
                <c:pt idx="86">
                  <c:v>1.00491377811936</c:v>
                </c:pt>
                <c:pt idx="87">
                  <c:v>1.0056602953688301</c:v>
                </c:pt>
                <c:pt idx="88">
                  <c:v>1.00596023685477</c:v>
                </c:pt>
                <c:pt idx="89">
                  <c:v>1.0061550178010501</c:v>
                </c:pt>
                <c:pt idx="90">
                  <c:v>1.0069712562120401</c:v>
                </c:pt>
                <c:pt idx="91">
                  <c:v>1.0078094954413701</c:v>
                </c:pt>
                <c:pt idx="92">
                  <c:v>1.00838576460812</c:v>
                </c:pt>
                <c:pt idx="93">
                  <c:v>1.0090244320463899</c:v>
                </c:pt>
                <c:pt idx="94">
                  <c:v>1.0094102075784599</c:v>
                </c:pt>
                <c:pt idx="95">
                  <c:v>1.00997039532618</c:v>
                </c:pt>
                <c:pt idx="96">
                  <c:v>1.0105067637196901</c:v>
                </c:pt>
                <c:pt idx="97">
                  <c:v>1.01076173756276</c:v>
                </c:pt>
                <c:pt idx="98">
                  <c:v>1.0115575028906501</c:v>
                </c:pt>
                <c:pt idx="99">
                  <c:v>1.01191525733423</c:v>
                </c:pt>
                <c:pt idx="100">
                  <c:v>1.01202267561051</c:v>
                </c:pt>
                <c:pt idx="101">
                  <c:v>1.01174003483678</c:v>
                </c:pt>
                <c:pt idx="102">
                  <c:v>1.0112020378766899</c:v>
                </c:pt>
                <c:pt idx="103">
                  <c:v>1.0105956864955801</c:v>
                </c:pt>
                <c:pt idx="104">
                  <c:v>1.00965430848</c:v>
                </c:pt>
                <c:pt idx="105">
                  <c:v>1.0085874554726999</c:v>
                </c:pt>
                <c:pt idx="106">
                  <c:v>1.0081681548374499</c:v>
                </c:pt>
                <c:pt idx="107">
                  <c:v>1.0066247011757801</c:v>
                </c:pt>
                <c:pt idx="108">
                  <c:v>1.00638158031307</c:v>
                </c:pt>
                <c:pt idx="109">
                  <c:v>1.0059949558153001</c:v>
                </c:pt>
                <c:pt idx="110">
                  <c:v>1.0060494908523301</c:v>
                </c:pt>
                <c:pt idx="111">
                  <c:v>1.0056141133045</c:v>
                </c:pt>
                <c:pt idx="112">
                  <c:v>1.0060788505279701</c:v>
                </c:pt>
                <c:pt idx="113">
                  <c:v>1.0062531052107999</c:v>
                </c:pt>
                <c:pt idx="114">
                  <c:v>1.0067775822579299</c:v>
                </c:pt>
                <c:pt idx="115">
                  <c:v>1.0077939763486801</c:v>
                </c:pt>
                <c:pt idx="116">
                  <c:v>1.00734761894243</c:v>
                </c:pt>
                <c:pt idx="117">
                  <c:v>1.0076018280377499</c:v>
                </c:pt>
                <c:pt idx="118">
                  <c:v>1.00639891996925</c:v>
                </c:pt>
                <c:pt idx="119">
                  <c:v>1.0049798333504301</c:v>
                </c:pt>
                <c:pt idx="120">
                  <c:v>1.0040058051451899</c:v>
                </c:pt>
                <c:pt idx="121">
                  <c:v>1.00344447869594</c:v>
                </c:pt>
                <c:pt idx="122">
                  <c:v>1.0019797152165599</c:v>
                </c:pt>
                <c:pt idx="123">
                  <c:v>1.0001075285682599</c:v>
                </c:pt>
                <c:pt idx="124">
                  <c:v>0.99932784961846999</c:v>
                </c:pt>
                <c:pt idx="125">
                  <c:v>0.99811407785998196</c:v>
                </c:pt>
                <c:pt idx="126">
                  <c:v>0.99734463402669404</c:v>
                </c:pt>
                <c:pt idx="127">
                  <c:v>0.99671407323582695</c:v>
                </c:pt>
                <c:pt idx="128">
                  <c:v>0.99615724996224697</c:v>
                </c:pt>
                <c:pt idx="129">
                  <c:v>0.99648505962772005</c:v>
                </c:pt>
                <c:pt idx="130">
                  <c:v>0.99561211273385197</c:v>
                </c:pt>
                <c:pt idx="131">
                  <c:v>0.99539192138522903</c:v>
                </c:pt>
                <c:pt idx="132">
                  <c:v>0.99557230143587006</c:v>
                </c:pt>
                <c:pt idx="133">
                  <c:v>0.996428749939125</c:v>
                </c:pt>
                <c:pt idx="134">
                  <c:v>0.99586886667049501</c:v>
                </c:pt>
                <c:pt idx="135">
                  <c:v>0.99532397184113997</c:v>
                </c:pt>
                <c:pt idx="136">
                  <c:v>0.99544154362697601</c:v>
                </c:pt>
                <c:pt idx="137">
                  <c:v>0.99584349535126704</c:v>
                </c:pt>
                <c:pt idx="138">
                  <c:v>0.99646368114213202</c:v>
                </c:pt>
                <c:pt idx="139">
                  <c:v>0.99679384853655595</c:v>
                </c:pt>
                <c:pt idx="140">
                  <c:v>0.99753923724422899</c:v>
                </c:pt>
                <c:pt idx="141">
                  <c:v>0.99814336157716699</c:v>
                </c:pt>
                <c:pt idx="142">
                  <c:v>0.99938004632198696</c:v>
                </c:pt>
                <c:pt idx="143">
                  <c:v>1.0006527336175199</c:v>
                </c:pt>
                <c:pt idx="144">
                  <c:v>1.00309220717823</c:v>
                </c:pt>
                <c:pt idx="145">
                  <c:v>1.00560366049223</c:v>
                </c:pt>
                <c:pt idx="146">
                  <c:v>1.0078279010492801</c:v>
                </c:pt>
                <c:pt idx="147">
                  <c:v>1.0100481544553499</c:v>
                </c:pt>
                <c:pt idx="148">
                  <c:v>1.0111029050093701</c:v>
                </c:pt>
                <c:pt idx="149">
                  <c:v>1.0123745867221601</c:v>
                </c:pt>
                <c:pt idx="150">
                  <c:v>1.0133539848702999</c:v>
                </c:pt>
                <c:pt idx="151">
                  <c:v>1.0133189694574301</c:v>
                </c:pt>
                <c:pt idx="152">
                  <c:v>1.0130693143338101</c:v>
                </c:pt>
                <c:pt idx="153">
                  <c:v>1.0129237404985501</c:v>
                </c:pt>
                <c:pt idx="154">
                  <c:v>1.01216664540168</c:v>
                </c:pt>
                <c:pt idx="155">
                  <c:v>1.01200978615347</c:v>
                </c:pt>
                <c:pt idx="156">
                  <c:v>1.0119963353438799</c:v>
                </c:pt>
                <c:pt idx="157">
                  <c:v>1.0121589811745999</c:v>
                </c:pt>
                <c:pt idx="158">
                  <c:v>1.0135514631336899</c:v>
                </c:pt>
                <c:pt idx="159">
                  <c:v>1.01504822064832</c:v>
                </c:pt>
                <c:pt idx="160">
                  <c:v>1.01652922229775</c:v>
                </c:pt>
                <c:pt idx="161">
                  <c:v>1.0189192879459701</c:v>
                </c:pt>
                <c:pt idx="162">
                  <c:v>1.0211748338379201</c:v>
                </c:pt>
                <c:pt idx="163">
                  <c:v>1.0229084743738199</c:v>
                </c:pt>
                <c:pt idx="164">
                  <c:v>1.0244799417852</c:v>
                </c:pt>
                <c:pt idx="165">
                  <c:v>1.0250747242310201</c:v>
                </c:pt>
                <c:pt idx="166">
                  <c:v>1.02574139868069</c:v>
                </c:pt>
                <c:pt idx="167">
                  <c:v>1.0258773738965199</c:v>
                </c:pt>
                <c:pt idx="168">
                  <c:v>1.0254785129830799</c:v>
                </c:pt>
                <c:pt idx="169">
                  <c:v>1.02508058832142</c:v>
                </c:pt>
                <c:pt idx="170">
                  <c:v>1.02472189587861</c:v>
                </c:pt>
                <c:pt idx="171">
                  <c:v>1.02400456109553</c:v>
                </c:pt>
                <c:pt idx="172">
                  <c:v>1.0230734938566199</c:v>
                </c:pt>
                <c:pt idx="173">
                  <c:v>1.02272297821364</c:v>
                </c:pt>
                <c:pt idx="174">
                  <c:v>1.0220179403113001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53-4FD6-9A4E-873559BAC3FF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ZG*/Z*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0.98760530771653998</c:v>
                </c:pt>
                <c:pt idx="20">
                  <c:v>0.98722463826862705</c:v>
                </c:pt>
                <c:pt idx="21">
                  <c:v>0.98726335549009803</c:v>
                </c:pt>
                <c:pt idx="22">
                  <c:v>0.98789515843987497</c:v>
                </c:pt>
                <c:pt idx="23">
                  <c:v>0.98816945038299697</c:v>
                </c:pt>
                <c:pt idx="24">
                  <c:v>0.988749807229795</c:v>
                </c:pt>
                <c:pt idx="25">
                  <c:v>0.98959298000396301</c:v>
                </c:pt>
                <c:pt idx="26">
                  <c:v>0.99008341046977899</c:v>
                </c:pt>
                <c:pt idx="27">
                  <c:v>0.990225557043385</c:v>
                </c:pt>
                <c:pt idx="28">
                  <c:v>0.99065117952631698</c:v>
                </c:pt>
                <c:pt idx="29">
                  <c:v>0.99100883688207797</c:v>
                </c:pt>
                <c:pt idx="30">
                  <c:v>0.991666338161172</c:v>
                </c:pt>
                <c:pt idx="31">
                  <c:v>0.99222198550683205</c:v>
                </c:pt>
                <c:pt idx="32">
                  <c:v>0.99246516752330405</c:v>
                </c:pt>
                <c:pt idx="33">
                  <c:v>0.99288771311466895</c:v>
                </c:pt>
                <c:pt idx="34">
                  <c:v>0.99334965911184003</c:v>
                </c:pt>
                <c:pt idx="35">
                  <c:v>0.99433799558557701</c:v>
                </c:pt>
                <c:pt idx="36">
                  <c:v>0.99513838426197698</c:v>
                </c:pt>
                <c:pt idx="37">
                  <c:v>0.99574169807268298</c:v>
                </c:pt>
                <c:pt idx="38">
                  <c:v>0.99666135781392495</c:v>
                </c:pt>
                <c:pt idx="39">
                  <c:v>0.99747178260963598</c:v>
                </c:pt>
                <c:pt idx="40">
                  <c:v>0.99840816923608999</c:v>
                </c:pt>
                <c:pt idx="41">
                  <c:v>0.99891730954508695</c:v>
                </c:pt>
                <c:pt idx="42">
                  <c:v>0.99918624356279795</c:v>
                </c:pt>
                <c:pt idx="43">
                  <c:v>0.99952005760555995</c:v>
                </c:pt>
                <c:pt idx="44">
                  <c:v>0.99982601655654901</c:v>
                </c:pt>
                <c:pt idx="45">
                  <c:v>0.99973067360122403</c:v>
                </c:pt>
                <c:pt idx="46">
                  <c:v>0.99938323525552697</c:v>
                </c:pt>
                <c:pt idx="47">
                  <c:v>0.99946313013069099</c:v>
                </c:pt>
                <c:pt idx="48">
                  <c:v>0.99872592803566096</c:v>
                </c:pt>
                <c:pt idx="49">
                  <c:v>0.998792307938972</c:v>
                </c:pt>
                <c:pt idx="50">
                  <c:v>0.99857058218390404</c:v>
                </c:pt>
                <c:pt idx="51">
                  <c:v>0.99803213477174102</c:v>
                </c:pt>
                <c:pt idx="52">
                  <c:v>0.997329453397795</c:v>
                </c:pt>
                <c:pt idx="53">
                  <c:v>0.99689563241876999</c:v>
                </c:pt>
                <c:pt idx="54">
                  <c:v>0.99679626746472605</c:v>
                </c:pt>
                <c:pt idx="55">
                  <c:v>0.99642772366833299</c:v>
                </c:pt>
                <c:pt idx="56">
                  <c:v>0.99606594477107202</c:v>
                </c:pt>
                <c:pt idx="57">
                  <c:v>0.99642028263694404</c:v>
                </c:pt>
                <c:pt idx="58">
                  <c:v>0.99618148737673795</c:v>
                </c:pt>
                <c:pt idx="59">
                  <c:v>0.99580162178465303</c:v>
                </c:pt>
                <c:pt idx="60">
                  <c:v>0.99549312123320499</c:v>
                </c:pt>
                <c:pt idx="61">
                  <c:v>0.99516288034622602</c:v>
                </c:pt>
                <c:pt idx="62">
                  <c:v>0.99483708785088698</c:v>
                </c:pt>
                <c:pt idx="63">
                  <c:v>0.99496381944093104</c:v>
                </c:pt>
                <c:pt idx="64">
                  <c:v>0.99524471918480195</c:v>
                </c:pt>
                <c:pt idx="65">
                  <c:v>0.99581014414400904</c:v>
                </c:pt>
                <c:pt idx="66">
                  <c:v>0.99644722865976698</c:v>
                </c:pt>
                <c:pt idx="67">
                  <c:v>0.997068347295333</c:v>
                </c:pt>
                <c:pt idx="68">
                  <c:v>0.99811535536259299</c:v>
                </c:pt>
                <c:pt idx="69">
                  <c:v>0.99835609487168797</c:v>
                </c:pt>
                <c:pt idx="70">
                  <c:v>0.99869300888207202</c:v>
                </c:pt>
                <c:pt idx="71">
                  <c:v>0.99932083862911403</c:v>
                </c:pt>
                <c:pt idx="72">
                  <c:v>1.00019454816785</c:v>
                </c:pt>
                <c:pt idx="73">
                  <c:v>1.0008203554108499</c:v>
                </c:pt>
                <c:pt idx="74">
                  <c:v>1.0009538980283701</c:v>
                </c:pt>
                <c:pt idx="75">
                  <c:v>1.0012183902866401</c:v>
                </c:pt>
                <c:pt idx="76">
                  <c:v>1.0014477480848101</c:v>
                </c:pt>
                <c:pt idx="77">
                  <c:v>1.0014749830885299</c:v>
                </c:pt>
                <c:pt idx="78">
                  <c:v>1.00162174825061</c:v>
                </c:pt>
                <c:pt idx="79">
                  <c:v>1.0019854350739199</c:v>
                </c:pt>
                <c:pt idx="80">
                  <c:v>1.00201942427553</c:v>
                </c:pt>
                <c:pt idx="81">
                  <c:v>1.0022806082181801</c:v>
                </c:pt>
                <c:pt idx="82">
                  <c:v>1.00247427999663</c:v>
                </c:pt>
                <c:pt idx="83">
                  <c:v>1.0025547446149099</c:v>
                </c:pt>
                <c:pt idx="84">
                  <c:v>1.0027858373996601</c:v>
                </c:pt>
                <c:pt idx="85">
                  <c:v>1.0029657978187201</c:v>
                </c:pt>
                <c:pt idx="86">
                  <c:v>1.0033532733754</c:v>
                </c:pt>
                <c:pt idx="87">
                  <c:v>1.00388098409055</c:v>
                </c:pt>
                <c:pt idx="88">
                  <c:v>1.0039677458143299</c:v>
                </c:pt>
                <c:pt idx="89">
                  <c:v>1.0040981893947001</c:v>
                </c:pt>
                <c:pt idx="90">
                  <c:v>1.00441444989928</c:v>
                </c:pt>
                <c:pt idx="91">
                  <c:v>1.00504736997502</c:v>
                </c:pt>
                <c:pt idx="92">
                  <c:v>1.0054183862042001</c:v>
                </c:pt>
                <c:pt idx="93">
                  <c:v>1.0058622698290101</c:v>
                </c:pt>
                <c:pt idx="94">
                  <c:v>1.00643477361935</c:v>
                </c:pt>
                <c:pt idx="95">
                  <c:v>1.0070299988106799</c:v>
                </c:pt>
                <c:pt idx="96">
                  <c:v>1.00771027091953</c:v>
                </c:pt>
                <c:pt idx="97">
                  <c:v>1.00821101646579</c:v>
                </c:pt>
                <c:pt idx="98">
                  <c:v>1.0087588698727099</c:v>
                </c:pt>
                <c:pt idx="99">
                  <c:v>1.0090351375676401</c:v>
                </c:pt>
                <c:pt idx="100">
                  <c:v>1.00949696591128</c:v>
                </c:pt>
                <c:pt idx="101">
                  <c:v>1.00977476513908</c:v>
                </c:pt>
                <c:pt idx="102">
                  <c:v>1.0097939012424</c:v>
                </c:pt>
                <c:pt idx="103">
                  <c:v>1.00981005927098</c:v>
                </c:pt>
                <c:pt idx="104">
                  <c:v>1.0095322580292301</c:v>
                </c:pt>
                <c:pt idx="105">
                  <c:v>1.0092789253994401</c:v>
                </c:pt>
                <c:pt idx="106">
                  <c:v>1.00933745927857</c:v>
                </c:pt>
                <c:pt idx="107">
                  <c:v>1.0086932193692699</c:v>
                </c:pt>
                <c:pt idx="108">
                  <c:v>1.00896954160186</c:v>
                </c:pt>
                <c:pt idx="109">
                  <c:v>1.0089551065747699</c:v>
                </c:pt>
                <c:pt idx="110">
                  <c:v>1.00903608323142</c:v>
                </c:pt>
                <c:pt idx="111">
                  <c:v>1.0086770740706399</c:v>
                </c:pt>
                <c:pt idx="112">
                  <c:v>1.00864044420233</c:v>
                </c:pt>
                <c:pt idx="113">
                  <c:v>1.00842439585319</c:v>
                </c:pt>
                <c:pt idx="114">
                  <c:v>1.0082159453689601</c:v>
                </c:pt>
                <c:pt idx="115">
                  <c:v>1.00819071591069</c:v>
                </c:pt>
                <c:pt idx="116">
                  <c:v>1.0077578868899399</c:v>
                </c:pt>
                <c:pt idx="117">
                  <c:v>1.00711326460676</c:v>
                </c:pt>
                <c:pt idx="118">
                  <c:v>1.0063902501411599</c:v>
                </c:pt>
                <c:pt idx="119">
                  <c:v>1.00548739458287</c:v>
                </c:pt>
                <c:pt idx="120">
                  <c:v>1.0050276479987601</c:v>
                </c:pt>
                <c:pt idx="121">
                  <c:v>1.0045292960002199</c:v>
                </c:pt>
                <c:pt idx="122">
                  <c:v>1.0040292828722699</c:v>
                </c:pt>
                <c:pt idx="123">
                  <c:v>1.0031803168895299</c:v>
                </c:pt>
                <c:pt idx="124">
                  <c:v>1.0030527159381999</c:v>
                </c:pt>
                <c:pt idx="125">
                  <c:v>1.00295402710433</c:v>
                </c:pt>
                <c:pt idx="126">
                  <c:v>1.0023461264845599</c:v>
                </c:pt>
                <c:pt idx="127">
                  <c:v>1.0021579506367899</c:v>
                </c:pt>
                <c:pt idx="128">
                  <c:v>1.0012780849657501</c:v>
                </c:pt>
                <c:pt idx="129">
                  <c:v>1.0007324464890699</c:v>
                </c:pt>
                <c:pt idx="130">
                  <c:v>0.99980895893952404</c:v>
                </c:pt>
                <c:pt idx="131">
                  <c:v>0.99941820004058701</c:v>
                </c:pt>
                <c:pt idx="132">
                  <c:v>0.99877600832621505</c:v>
                </c:pt>
                <c:pt idx="133">
                  <c:v>0.99826813925369196</c:v>
                </c:pt>
                <c:pt idx="134">
                  <c:v>0.99759835814448194</c:v>
                </c:pt>
                <c:pt idx="135">
                  <c:v>0.99671902485056096</c:v>
                </c:pt>
                <c:pt idx="136">
                  <c:v>0.99639308882683597</c:v>
                </c:pt>
                <c:pt idx="137">
                  <c:v>0.99627878429354699</c:v>
                </c:pt>
                <c:pt idx="138">
                  <c:v>0.99631046555218905</c:v>
                </c:pt>
                <c:pt idx="139">
                  <c:v>0.99663945408213805</c:v>
                </c:pt>
                <c:pt idx="140">
                  <c:v>0.99657567498903998</c:v>
                </c:pt>
                <c:pt idx="141">
                  <c:v>0.99676764148119801</c:v>
                </c:pt>
                <c:pt idx="142">
                  <c:v>0.99747617387892895</c:v>
                </c:pt>
                <c:pt idx="143">
                  <c:v>0.99854074177832197</c:v>
                </c:pt>
                <c:pt idx="144">
                  <c:v>0.999480536924366</c:v>
                </c:pt>
                <c:pt idx="145">
                  <c:v>1.0004638161666799</c:v>
                </c:pt>
                <c:pt idx="146">
                  <c:v>1.0016347223381199</c:v>
                </c:pt>
                <c:pt idx="147">
                  <c:v>1.0029458249033101</c:v>
                </c:pt>
                <c:pt idx="148">
                  <c:v>1.00378329307575</c:v>
                </c:pt>
                <c:pt idx="149">
                  <c:v>1.00458421762935</c:v>
                </c:pt>
                <c:pt idx="150">
                  <c:v>1.00544661105726</c:v>
                </c:pt>
                <c:pt idx="151">
                  <c:v>1.0057311655173</c:v>
                </c:pt>
                <c:pt idx="152">
                  <c:v>1.0062246803279</c:v>
                </c:pt>
                <c:pt idx="153">
                  <c:v>1.0067882370580299</c:v>
                </c:pt>
                <c:pt idx="154">
                  <c:v>1.0076294262899499</c:v>
                </c:pt>
                <c:pt idx="155">
                  <c:v>1.0088067233228499</c:v>
                </c:pt>
                <c:pt idx="156">
                  <c:v>1.00991211819658</c:v>
                </c:pt>
                <c:pt idx="157">
                  <c:v>1.01110356781497</c:v>
                </c:pt>
                <c:pt idx="158">
                  <c:v>1.01232718407153</c:v>
                </c:pt>
                <c:pt idx="159">
                  <c:v>1.0137114036852399</c:v>
                </c:pt>
                <c:pt idx="160">
                  <c:v>1.01494160358403</c:v>
                </c:pt>
                <c:pt idx="161">
                  <c:v>1.0161191287017</c:v>
                </c:pt>
                <c:pt idx="162">
                  <c:v>1.01712207408586</c:v>
                </c:pt>
                <c:pt idx="163">
                  <c:v>1.01791610743618</c:v>
                </c:pt>
                <c:pt idx="164">
                  <c:v>1.0183232935934401</c:v>
                </c:pt>
                <c:pt idx="165">
                  <c:v>1.0185422551922401</c:v>
                </c:pt>
                <c:pt idx="166">
                  <c:v>1.0188688670122801</c:v>
                </c:pt>
                <c:pt idx="167">
                  <c:v>1.01901817753556</c:v>
                </c:pt>
                <c:pt idx="168">
                  <c:v>1.01951498805838</c:v>
                </c:pt>
                <c:pt idx="169">
                  <c:v>1.0200644044848699</c:v>
                </c:pt>
                <c:pt idx="170">
                  <c:v>1.0206255590881801</c:v>
                </c:pt>
                <c:pt idx="171">
                  <c:v>1.0214619245207499</c:v>
                </c:pt>
                <c:pt idx="172">
                  <c:v>1.02212416384727</c:v>
                </c:pt>
                <c:pt idx="173">
                  <c:v>1.0228157262937301</c:v>
                </c:pt>
                <c:pt idx="174">
                  <c:v>1.0232489410482499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53-4FD6-9A4E-873559BAC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Z x avg / ZG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7.7624586569542903E-3</c:v>
                </c:pt>
                <c:pt idx="2">
                  <c:v>1.3473722197690099E-2</c:v>
                </c:pt>
                <c:pt idx="3">
                  <c:v>1.3818957988453799E-2</c:v>
                </c:pt>
                <c:pt idx="4">
                  <c:v>2.3267580025277901E-2</c:v>
                </c:pt>
                <c:pt idx="5">
                  <c:v>2.6303299697591299E-2</c:v>
                </c:pt>
                <c:pt idx="6">
                  <c:v>1.8128989183055701E-2</c:v>
                </c:pt>
                <c:pt idx="7">
                  <c:v>1.81271717572393E-2</c:v>
                </c:pt>
                <c:pt idx="8">
                  <c:v>1.4219091028913699E-2</c:v>
                </c:pt>
                <c:pt idx="9">
                  <c:v>1.3566424395033199E-2</c:v>
                </c:pt>
                <c:pt idx="10">
                  <c:v>1.5680837605420599E-2</c:v>
                </c:pt>
                <c:pt idx="11">
                  <c:v>1.5429379624484599E-2</c:v>
                </c:pt>
                <c:pt idx="12">
                  <c:v>8.0005379622597496E-3</c:v>
                </c:pt>
                <c:pt idx="13">
                  <c:v>1.22790062743278E-2</c:v>
                </c:pt>
                <c:pt idx="14">
                  <c:v>1.2657686803428899E-2</c:v>
                </c:pt>
                <c:pt idx="15">
                  <c:v>2.0306226598942701E-2</c:v>
                </c:pt>
                <c:pt idx="16">
                  <c:v>1.6353785850299299E-2</c:v>
                </c:pt>
                <c:pt idx="17">
                  <c:v>1.7868791265048901E-2</c:v>
                </c:pt>
                <c:pt idx="18">
                  <c:v>1.7367614670575598E-2</c:v>
                </c:pt>
                <c:pt idx="19">
                  <c:v>1.55173190151332E-2</c:v>
                </c:pt>
                <c:pt idx="20">
                  <c:v>1.529692540544E-2</c:v>
                </c:pt>
                <c:pt idx="21">
                  <c:v>6.98464583574856E-3</c:v>
                </c:pt>
                <c:pt idx="22">
                  <c:v>7.8425322332451399E-4</c:v>
                </c:pt>
                <c:pt idx="23">
                  <c:v>8.2882383100135199E-3</c:v>
                </c:pt>
                <c:pt idx="24">
                  <c:v>1.14912755636211E-2</c:v>
                </c:pt>
                <c:pt idx="25">
                  <c:v>9.1879126153351798E-3</c:v>
                </c:pt>
                <c:pt idx="26">
                  <c:v>8.2191700808848904E-3</c:v>
                </c:pt>
                <c:pt idx="27">
                  <c:v>1.52447899532673E-2</c:v>
                </c:pt>
                <c:pt idx="28">
                  <c:v>5.6466274260266102E-3</c:v>
                </c:pt>
                <c:pt idx="29">
                  <c:v>6.36261206320756E-3</c:v>
                </c:pt>
                <c:pt idx="30">
                  <c:v>2.4496431923410802E-3</c:v>
                </c:pt>
                <c:pt idx="31">
                  <c:v>4.2392120211777601E-3</c:v>
                </c:pt>
                <c:pt idx="32">
                  <c:v>3.12395843062436E-3</c:v>
                </c:pt>
                <c:pt idx="33">
                  <c:v>3.7846771072354199E-3</c:v>
                </c:pt>
                <c:pt idx="34">
                  <c:v>3.3714668306755202E-3</c:v>
                </c:pt>
                <c:pt idx="35">
                  <c:v>3.9211814531975498E-4</c:v>
                </c:pt>
                <c:pt idx="36">
                  <c:v>2.59474267985598E-4</c:v>
                </c:pt>
                <c:pt idx="37">
                  <c:v>5.6949950031395897E-3</c:v>
                </c:pt>
                <c:pt idx="38">
                  <c:v>-1.12155505630241E-3</c:v>
                </c:pt>
                <c:pt idx="39">
                  <c:v>-7.63650934892426E-4</c:v>
                </c:pt>
                <c:pt idx="40">
                  <c:v>-3.4868109680731901E-3</c:v>
                </c:pt>
                <c:pt idx="41">
                  <c:v>-3.1878776170026599E-3</c:v>
                </c:pt>
                <c:pt idx="42">
                  <c:v>-4.5686830825046598E-3</c:v>
                </c:pt>
                <c:pt idx="43">
                  <c:v>1.5983438032446699E-3</c:v>
                </c:pt>
                <c:pt idx="44">
                  <c:v>5.3382941167961001E-3</c:v>
                </c:pt>
                <c:pt idx="45">
                  <c:v>1.11086346329033E-2</c:v>
                </c:pt>
                <c:pt idx="46">
                  <c:v>1.52294813528706E-2</c:v>
                </c:pt>
                <c:pt idx="47">
                  <c:v>1.36283587232262E-2</c:v>
                </c:pt>
                <c:pt idx="48">
                  <c:v>2.0541536846357501E-2</c:v>
                </c:pt>
                <c:pt idx="49">
                  <c:v>5.0313015147577002E-3</c:v>
                </c:pt>
                <c:pt idx="50">
                  <c:v>6.8919947956554203E-3</c:v>
                </c:pt>
                <c:pt idx="51">
                  <c:v>1.5081105935506E-2</c:v>
                </c:pt>
                <c:pt idx="52">
                  <c:v>1.7280403202003299E-2</c:v>
                </c:pt>
                <c:pt idx="53">
                  <c:v>1.2506663927230601E-2</c:v>
                </c:pt>
                <c:pt idx="54">
                  <c:v>5.3616734871421998E-3</c:v>
                </c:pt>
                <c:pt idx="55">
                  <c:v>7.7716616063045196E-3</c:v>
                </c:pt>
                <c:pt idx="56">
                  <c:v>7.5021046088802603E-3</c:v>
                </c:pt>
                <c:pt idx="57">
                  <c:v>-1.3864336306459799E-3</c:v>
                </c:pt>
                <c:pt idx="58">
                  <c:v>3.6465104221389002E-3</c:v>
                </c:pt>
                <c:pt idx="59">
                  <c:v>6.8346386900822896E-3</c:v>
                </c:pt>
                <c:pt idx="60">
                  <c:v>2.6627619170065801E-3</c:v>
                </c:pt>
                <c:pt idx="61">
                  <c:v>3.3984665165462799E-3</c:v>
                </c:pt>
                <c:pt idx="62">
                  <c:v>1.9196586977110999E-3</c:v>
                </c:pt>
                <c:pt idx="63">
                  <c:v>-9.2978139537132701E-4</c:v>
                </c:pt>
                <c:pt idx="64">
                  <c:v>-2.7759239370803699E-4</c:v>
                </c:pt>
                <c:pt idx="65">
                  <c:v>-2.28514781465517E-4</c:v>
                </c:pt>
                <c:pt idx="66">
                  <c:v>2.4122693660665398E-3</c:v>
                </c:pt>
                <c:pt idx="67">
                  <c:v>1.15022876584507E-3</c:v>
                </c:pt>
                <c:pt idx="68">
                  <c:v>-5.4728459531491703E-4</c:v>
                </c:pt>
                <c:pt idx="69">
                  <c:v>2.17863032493792E-4</c:v>
                </c:pt>
                <c:pt idx="70">
                  <c:v>1.4957268140625301E-4</c:v>
                </c:pt>
                <c:pt idx="71">
                  <c:v>2.4507777521092099E-3</c:v>
                </c:pt>
                <c:pt idx="72">
                  <c:v>-2.9151659613890698E-4</c:v>
                </c:pt>
                <c:pt idx="73">
                  <c:v>-5.1063831332033997E-5</c:v>
                </c:pt>
                <c:pt idx="74">
                  <c:v>2.6878279527989902E-3</c:v>
                </c:pt>
                <c:pt idx="75">
                  <c:v>2.4700848213933101E-3</c:v>
                </c:pt>
                <c:pt idx="76">
                  <c:v>2.9043953602506602E-3</c:v>
                </c:pt>
                <c:pt idx="77">
                  <c:v>-1.9286544692008101E-3</c:v>
                </c:pt>
                <c:pt idx="78">
                  <c:v>7.1333401042077496E-4</c:v>
                </c:pt>
                <c:pt idx="79">
                  <c:v>-4.4120829567150899E-4</c:v>
                </c:pt>
                <c:pt idx="80">
                  <c:v>1.98337296035162E-3</c:v>
                </c:pt>
                <c:pt idx="81">
                  <c:v>-1.81418434174374E-3</c:v>
                </c:pt>
                <c:pt idx="82">
                  <c:v>-1.9424967017266301E-3</c:v>
                </c:pt>
                <c:pt idx="83">
                  <c:v>-2.5316316161365501E-3</c:v>
                </c:pt>
                <c:pt idx="84">
                  <c:v>-4.8741842403774603E-3</c:v>
                </c:pt>
                <c:pt idx="85">
                  <c:v>-3.8100434734864401E-3</c:v>
                </c:pt>
                <c:pt idx="86">
                  <c:v>-5.3035850575789698E-3</c:v>
                </c:pt>
                <c:pt idx="87">
                  <c:v>-9.3303740242126898E-3</c:v>
                </c:pt>
                <c:pt idx="88">
                  <c:v>-2.2750464812983499E-3</c:v>
                </c:pt>
                <c:pt idx="89">
                  <c:v>-2.3806301538031299E-3</c:v>
                </c:pt>
                <c:pt idx="90">
                  <c:v>-6.1384255939215303E-3</c:v>
                </c:pt>
                <c:pt idx="91">
                  <c:v>-1.0122506923533701E-2</c:v>
                </c:pt>
                <c:pt idx="92">
                  <c:v>-7.6609432787466897E-3</c:v>
                </c:pt>
                <c:pt idx="93">
                  <c:v>-8.8635928128335904E-3</c:v>
                </c:pt>
                <c:pt idx="94">
                  <c:v>-8.6947404831012806E-3</c:v>
                </c:pt>
                <c:pt idx="95">
                  <c:v>-9.3590094538120398E-3</c:v>
                </c:pt>
                <c:pt idx="96">
                  <c:v>-1.06093238064722E-2</c:v>
                </c:pt>
                <c:pt idx="97">
                  <c:v>-1.1845940360117199E-2</c:v>
                </c:pt>
                <c:pt idx="98">
                  <c:v>-1.01604186860171E-2</c:v>
                </c:pt>
                <c:pt idx="99">
                  <c:v>-5.9329999076890502E-3</c:v>
                </c:pt>
                <c:pt idx="100">
                  <c:v>-7.2023723095237203E-3</c:v>
                </c:pt>
                <c:pt idx="101">
                  <c:v>-7.3287809197782501E-3</c:v>
                </c:pt>
                <c:pt idx="102">
                  <c:v>-2.3232957308231398E-3</c:v>
                </c:pt>
                <c:pt idx="103">
                  <c:v>-2.85298860357132E-3</c:v>
                </c:pt>
                <c:pt idx="104">
                  <c:v>6.5404279314578502E-4</c:v>
                </c:pt>
                <c:pt idx="105">
                  <c:v>1.23541027186255E-3</c:v>
                </c:pt>
                <c:pt idx="106">
                  <c:v>-6.4640195040329002E-3</c:v>
                </c:pt>
                <c:pt idx="107">
                  <c:v>3.4794385043311902E-3</c:v>
                </c:pt>
                <c:pt idx="108">
                  <c:v>-7.7578829784751601E-3</c:v>
                </c:pt>
                <c:pt idx="109">
                  <c:v>-2.09341013308175E-3</c:v>
                </c:pt>
                <c:pt idx="110">
                  <c:v>-7.7420930342367101E-3</c:v>
                </c:pt>
                <c:pt idx="111">
                  <c:v>-3.0100187675108298E-3</c:v>
                </c:pt>
                <c:pt idx="112">
                  <c:v>-6.9357824412604402E-3</c:v>
                </c:pt>
                <c:pt idx="113">
                  <c:v>-4.5840326241868602E-3</c:v>
                </c:pt>
                <c:pt idx="114">
                  <c:v>-4.5652938997592096E-3</c:v>
                </c:pt>
                <c:pt idx="115">
                  <c:v>-8.8604462193358508E-3</c:v>
                </c:pt>
                <c:pt idx="116">
                  <c:v>-2.0322610370534502E-3</c:v>
                </c:pt>
                <c:pt idx="117">
                  <c:v>9.3911467529691898E-4</c:v>
                </c:pt>
                <c:pt idx="118">
                  <c:v>4.2150115373711296E-3</c:v>
                </c:pt>
                <c:pt idx="119">
                  <c:v>1.2127347159095501E-2</c:v>
                </c:pt>
                <c:pt idx="120">
                  <c:v>1.94177696408236E-3</c:v>
                </c:pt>
                <c:pt idx="121">
                  <c:v>2.5857718112749901E-3</c:v>
                </c:pt>
                <c:pt idx="122">
                  <c:v>7.6746381473422496E-3</c:v>
                </c:pt>
                <c:pt idx="123">
                  <c:v>1.41729781297926E-2</c:v>
                </c:pt>
                <c:pt idx="124">
                  <c:v>3.20357262501015E-3</c:v>
                </c:pt>
                <c:pt idx="125">
                  <c:v>3.2078394530053399E-3</c:v>
                </c:pt>
                <c:pt idx="126">
                  <c:v>5.6537479398149999E-3</c:v>
                </c:pt>
                <c:pt idx="127">
                  <c:v>7.2522282963539903E-3</c:v>
                </c:pt>
                <c:pt idx="128">
                  <c:v>9.8061481880961695E-3</c:v>
                </c:pt>
                <c:pt idx="129">
                  <c:v>8.8243378712408796E-3</c:v>
                </c:pt>
                <c:pt idx="130">
                  <c:v>1.0701097884101E-2</c:v>
                </c:pt>
                <c:pt idx="131">
                  <c:v>4.7894100560219198E-3</c:v>
                </c:pt>
                <c:pt idx="132">
                  <c:v>5.8638529804509697E-3</c:v>
                </c:pt>
                <c:pt idx="133">
                  <c:v>5.5487336133408201E-3</c:v>
                </c:pt>
                <c:pt idx="134">
                  <c:v>8.8198222518283895E-3</c:v>
                </c:pt>
                <c:pt idx="135">
                  <c:v>8.6733501787212806E-3</c:v>
                </c:pt>
                <c:pt idx="136">
                  <c:v>4.4754875922918902E-3</c:v>
                </c:pt>
                <c:pt idx="137">
                  <c:v>3.22332376352785E-3</c:v>
                </c:pt>
                <c:pt idx="138">
                  <c:v>3.58075656290328E-3</c:v>
                </c:pt>
                <c:pt idx="139">
                  <c:v>5.5085634986384796E-3</c:v>
                </c:pt>
                <c:pt idx="140">
                  <c:v>3.2169441985506601E-3</c:v>
                </c:pt>
                <c:pt idx="141">
                  <c:v>-1.2449881865608499E-3</c:v>
                </c:pt>
                <c:pt idx="142">
                  <c:v>-6.4633546433493904E-3</c:v>
                </c:pt>
                <c:pt idx="143">
                  <c:v>-7.1311079893013199E-3</c:v>
                </c:pt>
                <c:pt idx="144">
                  <c:v>-1.5423390386865301E-2</c:v>
                </c:pt>
                <c:pt idx="145">
                  <c:v>-1.6272729279488099E-2</c:v>
                </c:pt>
                <c:pt idx="146">
                  <c:v>-1.75573743183348E-2</c:v>
                </c:pt>
                <c:pt idx="147">
                  <c:v>-1.8743250909498299E-2</c:v>
                </c:pt>
                <c:pt idx="148">
                  <c:v>-6.9185739354984503E-3</c:v>
                </c:pt>
                <c:pt idx="149">
                  <c:v>-7.1608169074403004E-3</c:v>
                </c:pt>
                <c:pt idx="150">
                  <c:v>-6.5324189940855803E-3</c:v>
                </c:pt>
                <c:pt idx="151">
                  <c:v>-8.9622315997233998E-4</c:v>
                </c:pt>
                <c:pt idx="152">
                  <c:v>-3.9870176810811002E-3</c:v>
                </c:pt>
                <c:pt idx="153">
                  <c:v>-5.68886611273621E-3</c:v>
                </c:pt>
                <c:pt idx="154">
                  <c:v>-7.9621685305884295E-3</c:v>
                </c:pt>
                <c:pt idx="155">
                  <c:v>-1.47327461258562E-2</c:v>
                </c:pt>
                <c:pt idx="156">
                  <c:v>-1.74255818448068E-2</c:v>
                </c:pt>
                <c:pt idx="157">
                  <c:v>-2.0333613286420801E-2</c:v>
                </c:pt>
                <c:pt idx="158">
                  <c:v>-2.06130807927409E-2</c:v>
                </c:pt>
                <c:pt idx="159">
                  <c:v>-2.1869786625328801E-2</c:v>
                </c:pt>
                <c:pt idx="160">
                  <c:v>-2.1096756739292399E-2</c:v>
                </c:pt>
                <c:pt idx="161">
                  <c:v>-2.4427177486551401E-2</c:v>
                </c:pt>
                <c:pt idx="162">
                  <c:v>-2.6140364482316901E-2</c:v>
                </c:pt>
                <c:pt idx="163">
                  <c:v>-2.2730889741896999E-2</c:v>
                </c:pt>
                <c:pt idx="164">
                  <c:v>-2.3387419336899799E-2</c:v>
                </c:pt>
                <c:pt idx="165">
                  <c:v>-2.05595786303489E-2</c:v>
                </c:pt>
                <c:pt idx="166">
                  <c:v>-2.39369151815664E-2</c:v>
                </c:pt>
                <c:pt idx="167">
                  <c:v>-2.1661250121484999E-2</c:v>
                </c:pt>
                <c:pt idx="168">
                  <c:v>-1.6709570488336101E-2</c:v>
                </c:pt>
                <c:pt idx="169">
                  <c:v>-1.7980357426431101E-2</c:v>
                </c:pt>
                <c:pt idx="170">
                  <c:v>-1.7588751852156598E-2</c:v>
                </c:pt>
                <c:pt idx="171">
                  <c:v>-1.7422759720480602E-2</c:v>
                </c:pt>
                <c:pt idx="172">
                  <c:v>-1.7055082379353E-2</c:v>
                </c:pt>
                <c:pt idx="173">
                  <c:v>-1.9308597670560399E-2</c:v>
                </c:pt>
                <c:pt idx="174">
                  <c:v>-1.6496302670067998E-2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6-4D55-BFE8-0B0A8D4F4137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Z x 10 dma / ZG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6.8491185644821E-5</c:v>
                </c:pt>
                <c:pt idx="11">
                  <c:v>-9.9276624443844406E-4</c:v>
                </c:pt>
                <c:pt idx="12">
                  <c:v>-9.1923079766757995E-3</c:v>
                </c:pt>
                <c:pt idx="13">
                  <c:v>-4.3631274614037603E-3</c:v>
                </c:pt>
                <c:pt idx="14">
                  <c:v>-3.8299093638794802E-3</c:v>
                </c:pt>
                <c:pt idx="15">
                  <c:v>4.8775000774612803E-3</c:v>
                </c:pt>
                <c:pt idx="16">
                  <c:v>1.5198858209896501E-3</c:v>
                </c:pt>
                <c:pt idx="17">
                  <c:v>3.2119690491266601E-3</c:v>
                </c:pt>
                <c:pt idx="18">
                  <c:v>2.7365439873910202E-3</c:v>
                </c:pt>
                <c:pt idx="19">
                  <c:v>5.7171211125611699E-4</c:v>
                </c:pt>
                <c:pt idx="20">
                  <c:v>1.56131180411639E-4</c:v>
                </c:pt>
                <c:pt idx="21">
                  <c:v>-8.1177712666271294E-3</c:v>
                </c:pt>
                <c:pt idx="22">
                  <c:v>-1.34707511560078E-2</c:v>
                </c:pt>
                <c:pt idx="23">
                  <c:v>-5.2382490952982298E-3</c:v>
                </c:pt>
                <c:pt idx="24">
                  <c:v>-1.6349186547121499E-3</c:v>
                </c:pt>
                <c:pt idx="25">
                  <c:v>-3.8215245512467702E-3</c:v>
                </c:pt>
                <c:pt idx="26">
                  <c:v>-3.6809757385313701E-3</c:v>
                </c:pt>
                <c:pt idx="27">
                  <c:v>4.1574633200826602E-3</c:v>
                </c:pt>
                <c:pt idx="28">
                  <c:v>-5.17976431793561E-3</c:v>
                </c:pt>
                <c:pt idx="29">
                  <c:v>-3.2931573077401E-3</c:v>
                </c:pt>
                <c:pt idx="30">
                  <c:v>-6.2922448968048402E-3</c:v>
                </c:pt>
                <c:pt idx="31">
                  <c:v>-3.2189321617272001E-3</c:v>
                </c:pt>
                <c:pt idx="32">
                  <c:v>-4.0591727696197098E-3</c:v>
                </c:pt>
                <c:pt idx="33">
                  <c:v>-3.6336789726540701E-3</c:v>
                </c:pt>
                <c:pt idx="34">
                  <c:v>-3.5960116318145899E-3</c:v>
                </c:pt>
                <c:pt idx="35">
                  <c:v>-5.7640829734344297E-3</c:v>
                </c:pt>
                <c:pt idx="36">
                  <c:v>-5.0163297376644303E-3</c:v>
                </c:pt>
                <c:pt idx="37">
                  <c:v>1.21567084362105E-3</c:v>
                </c:pt>
                <c:pt idx="38">
                  <c:v>-4.6520501627431597E-3</c:v>
                </c:pt>
                <c:pt idx="39">
                  <c:v>-3.6166972978254499E-3</c:v>
                </c:pt>
                <c:pt idx="40">
                  <c:v>-5.6274451756008897E-3</c:v>
                </c:pt>
                <c:pt idx="41">
                  <c:v>-4.73346187834365E-3</c:v>
                </c:pt>
                <c:pt idx="42">
                  <c:v>-5.37107501911562E-3</c:v>
                </c:pt>
                <c:pt idx="43">
                  <c:v>1.5660951146275099E-3</c:v>
                </c:pt>
                <c:pt idx="44">
                  <c:v>5.5240744010740502E-3</c:v>
                </c:pt>
                <c:pt idx="45">
                  <c:v>1.1098604032360199E-2</c:v>
                </c:pt>
                <c:pt idx="46">
                  <c:v>1.41533599604599E-2</c:v>
                </c:pt>
                <c:pt idx="47">
                  <c:v>1.1064065282541001E-2</c:v>
                </c:pt>
                <c:pt idx="48">
                  <c:v>1.7189205225663601E-2</c:v>
                </c:pt>
                <c:pt idx="49">
                  <c:v>-4.75972641720659E-4</c:v>
                </c:pt>
                <c:pt idx="50">
                  <c:v>8.03097271880957E-4</c:v>
                </c:pt>
                <c:pt idx="51">
                  <c:v>7.9492169697617295E-3</c:v>
                </c:pt>
                <c:pt idx="52">
                  <c:v>8.3177489561162693E-3</c:v>
                </c:pt>
                <c:pt idx="53">
                  <c:v>1.3509514468510401E-3</c:v>
                </c:pt>
                <c:pt idx="54">
                  <c:v>-6.8899618470185204E-3</c:v>
                </c:pt>
                <c:pt idx="55">
                  <c:v>-4.4823278590979797E-3</c:v>
                </c:pt>
                <c:pt idx="56">
                  <c:v>-4.4173030837582001E-3</c:v>
                </c:pt>
                <c:pt idx="57">
                  <c:v>-1.2532972547881599E-2</c:v>
                </c:pt>
                <c:pt idx="58">
                  <c:v>-5.9921077772203298E-3</c:v>
                </c:pt>
                <c:pt idx="59">
                  <c:v>-1.1200188052621601E-3</c:v>
                </c:pt>
                <c:pt idx="60">
                  <c:v>-5.4726105955136698E-3</c:v>
                </c:pt>
                <c:pt idx="61">
                  <c:v>-4.3126498401611897E-3</c:v>
                </c:pt>
                <c:pt idx="62">
                  <c:v>-4.6256514253160902E-3</c:v>
                </c:pt>
                <c:pt idx="63">
                  <c:v>-5.9448585353245598E-3</c:v>
                </c:pt>
                <c:pt idx="64">
                  <c:v>-3.9509541293133296E-3</c:v>
                </c:pt>
                <c:pt idx="65">
                  <c:v>-3.3374701450368501E-3</c:v>
                </c:pt>
                <c:pt idx="66">
                  <c:v>1.02484421034274E-4</c:v>
                </c:pt>
                <c:pt idx="67">
                  <c:v>-6.5204661364101396E-4</c:v>
                </c:pt>
                <c:pt idx="68">
                  <c:v>-2.6037461882296598E-3</c:v>
                </c:pt>
                <c:pt idx="69">
                  <c:v>-1.41909413964683E-3</c:v>
                </c:pt>
                <c:pt idx="70">
                  <c:v>-8.2717263110189095E-4</c:v>
                </c:pt>
                <c:pt idx="71">
                  <c:v>1.7252119823472499E-3</c:v>
                </c:pt>
                <c:pt idx="72">
                  <c:v>-9.2252612962517595E-4</c:v>
                </c:pt>
                <c:pt idx="73">
                  <c:v>-4.6102069874203399E-4</c:v>
                </c:pt>
                <c:pt idx="74">
                  <c:v>2.1899163046919801E-3</c:v>
                </c:pt>
                <c:pt idx="75">
                  <c:v>1.6757967571126701E-3</c:v>
                </c:pt>
                <c:pt idx="76">
                  <c:v>1.8402989529017299E-3</c:v>
                </c:pt>
                <c:pt idx="77">
                  <c:v>-3.0418862895990398E-3</c:v>
                </c:pt>
                <c:pt idx="78">
                  <c:v>-9.1593962346381202E-5</c:v>
                </c:pt>
                <c:pt idx="79">
                  <c:v>-1.3722971326372299E-3</c:v>
                </c:pt>
                <c:pt idx="80">
                  <c:v>1.11825784234597E-3</c:v>
                </c:pt>
                <c:pt idx="81">
                  <c:v>-2.8626594014762598E-3</c:v>
                </c:pt>
                <c:pt idx="82">
                  <c:v>-2.5642547532211402E-3</c:v>
                </c:pt>
                <c:pt idx="83">
                  <c:v>-2.98801799662958E-3</c:v>
                </c:pt>
                <c:pt idx="84">
                  <c:v>-5.0821107310296803E-3</c:v>
                </c:pt>
                <c:pt idx="85">
                  <c:v>-3.2610689253085201E-3</c:v>
                </c:pt>
                <c:pt idx="86">
                  <c:v>-4.1267178164833603E-3</c:v>
                </c:pt>
                <c:pt idx="87">
                  <c:v>-7.3330244699001002E-3</c:v>
                </c:pt>
                <c:pt idx="88">
                  <c:v>4.6489424994877997E-4</c:v>
                </c:pt>
                <c:pt idx="89">
                  <c:v>6.5751939303568805E-4</c:v>
                </c:pt>
                <c:pt idx="90">
                  <c:v>-2.9066679061662201E-3</c:v>
                </c:pt>
                <c:pt idx="91">
                  <c:v>-6.0798329348399297E-3</c:v>
                </c:pt>
                <c:pt idx="92">
                  <c:v>-2.7861794688602399E-3</c:v>
                </c:pt>
                <c:pt idx="93">
                  <c:v>-3.4171887517664701E-3</c:v>
                </c:pt>
                <c:pt idx="94">
                  <c:v>-2.6151806457189101E-3</c:v>
                </c:pt>
                <c:pt idx="95">
                  <c:v>-2.89719742039424E-3</c:v>
                </c:pt>
                <c:pt idx="96">
                  <c:v>-3.5927003013779598E-3</c:v>
                </c:pt>
                <c:pt idx="97">
                  <c:v>-4.2983844426381802E-3</c:v>
                </c:pt>
                <c:pt idx="98">
                  <c:v>-2.3605718489951599E-3</c:v>
                </c:pt>
                <c:pt idx="99">
                  <c:v>2.6538298675839699E-3</c:v>
                </c:pt>
                <c:pt idx="100">
                  <c:v>1.73806187727592E-3</c:v>
                </c:pt>
                <c:pt idx="101">
                  <c:v>1.7178010639802099E-3</c:v>
                </c:pt>
                <c:pt idx="102">
                  <c:v>6.4439642018783499E-3</c:v>
                </c:pt>
                <c:pt idx="103">
                  <c:v>5.3823757498771604E-3</c:v>
                </c:pt>
                <c:pt idx="104">
                  <c:v>8.2895930386051708E-3</c:v>
                </c:pt>
                <c:pt idx="105">
                  <c:v>7.9390183457521395E-3</c:v>
                </c:pt>
                <c:pt idx="106">
                  <c:v>-8.1762184538199502E-4</c:v>
                </c:pt>
                <c:pt idx="107">
                  <c:v>8.7100191555519908E-3</c:v>
                </c:pt>
                <c:pt idx="108">
                  <c:v>-4.0594240627318196E-3</c:v>
                </c:pt>
                <c:pt idx="109">
                  <c:v>1.3634987526108E-3</c:v>
                </c:pt>
                <c:pt idx="110">
                  <c:v>-4.6694308296084701E-3</c:v>
                </c:pt>
                <c:pt idx="111">
                  <c:v>1.16852017985778E-4</c:v>
                </c:pt>
                <c:pt idx="112">
                  <c:v>-4.2417648959707597E-3</c:v>
                </c:pt>
                <c:pt idx="113">
                  <c:v>-1.4279791319604101E-3</c:v>
                </c:pt>
                <c:pt idx="114">
                  <c:v>-1.2360535903584199E-3</c:v>
                </c:pt>
                <c:pt idx="115">
                  <c:v>-5.0101238794750197E-3</c:v>
                </c:pt>
                <c:pt idx="116">
                  <c:v>2.82710381871464E-3</c:v>
                </c:pt>
                <c:pt idx="117">
                  <c:v>5.35547600754732E-3</c:v>
                </c:pt>
                <c:pt idx="118">
                  <c:v>8.8836959212500698E-3</c:v>
                </c:pt>
                <c:pt idx="119">
                  <c:v>1.56014855998062E-2</c:v>
                </c:pt>
                <c:pt idx="120">
                  <c:v>4.0048565955679901E-3</c:v>
                </c:pt>
                <c:pt idx="121">
                  <c:v>3.67917972097469E-3</c:v>
                </c:pt>
                <c:pt idx="122">
                  <c:v>8.2088028534619498E-3</c:v>
                </c:pt>
                <c:pt idx="123">
                  <c:v>1.32463409324467E-2</c:v>
                </c:pt>
                <c:pt idx="124">
                  <c:v>4.0670005223757301E-4</c:v>
                </c:pt>
                <c:pt idx="125">
                  <c:v>-3.6893228311628799E-4</c:v>
                </c:pt>
                <c:pt idx="126">
                  <c:v>8.6164984933257696E-4</c:v>
                </c:pt>
                <c:pt idx="127">
                  <c:v>1.68893522514946E-3</c:v>
                </c:pt>
                <c:pt idx="128">
                  <c:v>3.6104155507055802E-3</c:v>
                </c:pt>
                <c:pt idx="129">
                  <c:v>2.06979013968101E-3</c:v>
                </c:pt>
                <c:pt idx="130">
                  <c:v>4.2755702349243502E-3</c:v>
                </c:pt>
                <c:pt idx="131">
                  <c:v>-2.5125276015173499E-3</c:v>
                </c:pt>
                <c:pt idx="132">
                  <c:v>-1.65927091854949E-3</c:v>
                </c:pt>
                <c:pt idx="133">
                  <c:v>-1.79319159904587E-3</c:v>
                </c:pt>
                <c:pt idx="134">
                  <c:v>2.3377846940544401E-3</c:v>
                </c:pt>
                <c:pt idx="135">
                  <c:v>1.62926478361499E-3</c:v>
                </c:pt>
                <c:pt idx="136">
                  <c:v>-3.1159027472856902E-3</c:v>
                </c:pt>
                <c:pt idx="137">
                  <c:v>-4.2499494145258497E-3</c:v>
                </c:pt>
                <c:pt idx="138">
                  <c:v>-3.4888057230563498E-3</c:v>
                </c:pt>
                <c:pt idx="139">
                  <c:v>-9.3841827542576499E-4</c:v>
                </c:pt>
                <c:pt idx="140">
                  <c:v>-2.8987533410099798E-3</c:v>
                </c:pt>
                <c:pt idx="141">
                  <c:v>-6.61317895536592E-3</c:v>
                </c:pt>
                <c:pt idx="142">
                  <c:v>-1.1226114115867301E-2</c:v>
                </c:pt>
                <c:pt idx="143">
                  <c:v>-1.0655649278307399E-2</c:v>
                </c:pt>
                <c:pt idx="144">
                  <c:v>-1.7675265067527701E-2</c:v>
                </c:pt>
                <c:pt idx="145">
                  <c:v>-1.60896885012859E-2</c:v>
                </c:pt>
                <c:pt idx="146">
                  <c:v>-1.48737512836799E-2</c:v>
                </c:pt>
                <c:pt idx="147">
                  <c:v>-1.38502242831546E-2</c:v>
                </c:pt>
                <c:pt idx="148">
                  <c:v>1.75038099442209E-4</c:v>
                </c:pt>
                <c:pt idx="149">
                  <c:v>9.76507961166198E-4</c:v>
                </c:pt>
                <c:pt idx="150">
                  <c:v>2.8618330065549699E-3</c:v>
                </c:pt>
                <c:pt idx="151">
                  <c:v>9.4649878283578799E-3</c:v>
                </c:pt>
                <c:pt idx="152">
                  <c:v>6.3396387306956003E-3</c:v>
                </c:pt>
                <c:pt idx="153">
                  <c:v>4.3913862639548898E-3</c:v>
                </c:pt>
                <c:pt idx="154">
                  <c:v>1.9743776915686398E-3</c:v>
                </c:pt>
                <c:pt idx="155">
                  <c:v>-5.5439148080955502E-3</c:v>
                </c:pt>
                <c:pt idx="156">
                  <c:v>-8.3917362744137698E-3</c:v>
                </c:pt>
                <c:pt idx="157">
                  <c:v>-1.13130589896477E-2</c:v>
                </c:pt>
                <c:pt idx="158">
                  <c:v>-1.1431821603672799E-2</c:v>
                </c:pt>
                <c:pt idx="159">
                  <c:v>-1.1313718729188999E-2</c:v>
                </c:pt>
                <c:pt idx="160">
                  <c:v>-9.0650327063521597E-3</c:v>
                </c:pt>
                <c:pt idx="161">
                  <c:v>-1.0937471217281799E-2</c:v>
                </c:pt>
                <c:pt idx="162">
                  <c:v>-1.0302215857799699E-2</c:v>
                </c:pt>
                <c:pt idx="163">
                  <c:v>-4.6815227359304698E-3</c:v>
                </c:pt>
                <c:pt idx="164">
                  <c:v>-3.6417995954214299E-3</c:v>
                </c:pt>
                <c:pt idx="165">
                  <c:v>7.2113597399981898E-4</c:v>
                </c:pt>
                <c:pt idx="166">
                  <c:v>-2.07579891983896E-3</c:v>
                </c:pt>
                <c:pt idx="167">
                  <c:v>8.5002142788777302E-4</c:v>
                </c:pt>
                <c:pt idx="168">
                  <c:v>5.9342551376965003E-3</c:v>
                </c:pt>
                <c:pt idx="169">
                  <c:v>4.2745928016130804E-3</c:v>
                </c:pt>
                <c:pt idx="170">
                  <c:v>4.2780850399662699E-3</c:v>
                </c:pt>
                <c:pt idx="171">
                  <c:v>4.0940996013759503E-3</c:v>
                </c:pt>
                <c:pt idx="172">
                  <c:v>3.7615030626553798E-3</c:v>
                </c:pt>
                <c:pt idx="173">
                  <c:v>5.9833286028043405E-4</c:v>
                </c:pt>
                <c:pt idx="174">
                  <c:v>3.0679587329342502E-3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6-4D55-BFE8-0B0A8D4F4137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Z x 20 dma / ZG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-7.9617121778216302E-5</c:v>
                </c:pt>
                <c:pt idx="21">
                  <c:v>-8.77741793941458E-3</c:v>
                </c:pt>
                <c:pt idx="22">
                  <c:v>-1.4938593072068599E-2</c:v>
                </c:pt>
                <c:pt idx="23">
                  <c:v>-6.7948588544919503E-3</c:v>
                </c:pt>
                <c:pt idx="24">
                  <c:v>-3.3142072519816799E-3</c:v>
                </c:pt>
                <c:pt idx="25">
                  <c:v>-5.0304376087520796E-3</c:v>
                </c:pt>
                <c:pt idx="26">
                  <c:v>-5.1467769796434597E-3</c:v>
                </c:pt>
                <c:pt idx="27">
                  <c:v>2.3743081902078099E-3</c:v>
                </c:pt>
                <c:pt idx="28">
                  <c:v>-7.0802943409091499E-3</c:v>
                </c:pt>
                <c:pt idx="29">
                  <c:v>-5.9345782806424097E-3</c:v>
                </c:pt>
                <c:pt idx="30">
                  <c:v>-9.4865797235112199E-3</c:v>
                </c:pt>
                <c:pt idx="31">
                  <c:v>-7.0337642756886096E-3</c:v>
                </c:pt>
                <c:pt idx="32">
                  <c:v>-7.5888579484077803E-3</c:v>
                </c:pt>
                <c:pt idx="33">
                  <c:v>-6.6830809840791299E-3</c:v>
                </c:pt>
                <c:pt idx="34">
                  <c:v>-6.6706282947590796E-3</c:v>
                </c:pt>
                <c:pt idx="35">
                  <c:v>-9.1848301532965696E-3</c:v>
                </c:pt>
                <c:pt idx="36">
                  <c:v>-8.3230154165185501E-3</c:v>
                </c:pt>
                <c:pt idx="37">
                  <c:v>-2.0828721910561001E-3</c:v>
                </c:pt>
                <c:pt idx="38">
                  <c:v>-8.2933447327932595E-3</c:v>
                </c:pt>
                <c:pt idx="39">
                  <c:v>-7.0122741829463497E-3</c:v>
                </c:pt>
                <c:pt idx="40">
                  <c:v>-8.9226250571990406E-3</c:v>
                </c:pt>
                <c:pt idx="41">
                  <c:v>-7.6853720498873297E-3</c:v>
                </c:pt>
                <c:pt idx="42">
                  <c:v>-8.5563554303718405E-3</c:v>
                </c:pt>
                <c:pt idx="43">
                  <c:v>-2.1201392737103001E-3</c:v>
                </c:pt>
                <c:pt idx="44">
                  <c:v>1.9538411528904598E-3</c:v>
                </c:pt>
                <c:pt idx="45">
                  <c:v>8.0302406923273006E-3</c:v>
                </c:pt>
                <c:pt idx="46">
                  <c:v>1.2055723318976599E-2</c:v>
                </c:pt>
                <c:pt idx="47">
                  <c:v>1.01070083408861E-2</c:v>
                </c:pt>
                <c:pt idx="48">
                  <c:v>1.7100127450568402E-2</c:v>
                </c:pt>
                <c:pt idx="49">
                  <c:v>8.5202187044114799E-4</c:v>
                </c:pt>
                <c:pt idx="50">
                  <c:v>2.7791775266404399E-3</c:v>
                </c:pt>
                <c:pt idx="51">
                  <c:v>1.0746270166922599E-2</c:v>
                </c:pt>
                <c:pt idx="52">
                  <c:v>1.2406203822779001E-2</c:v>
                </c:pt>
                <c:pt idx="53">
                  <c:v>6.9281496938370197E-3</c:v>
                </c:pt>
                <c:pt idx="54">
                  <c:v>-6.5191799901865601E-4</c:v>
                </c:pt>
                <c:pt idx="55">
                  <c:v>1.6583907723645901E-3</c:v>
                </c:pt>
                <c:pt idx="56">
                  <c:v>1.0190371015781001E-3</c:v>
                </c:pt>
                <c:pt idx="57">
                  <c:v>-8.2326429706842397E-3</c:v>
                </c:pt>
                <c:pt idx="58">
                  <c:v>-2.8440248211521698E-3</c:v>
                </c:pt>
                <c:pt idx="59">
                  <c:v>1.04421574635218E-4</c:v>
                </c:pt>
                <c:pt idx="60">
                  <c:v>-4.4488495937471603E-3</c:v>
                </c:pt>
                <c:pt idx="61">
                  <c:v>-4.0229942066339003E-3</c:v>
                </c:pt>
                <c:pt idx="62">
                  <c:v>-5.8335930428476896E-3</c:v>
                </c:pt>
                <c:pt idx="63">
                  <c:v>-9.0104627876453208E-3</c:v>
                </c:pt>
                <c:pt idx="64">
                  <c:v>-8.2308926095527295E-3</c:v>
                </c:pt>
                <c:pt idx="65">
                  <c:v>-7.8995332762902895E-3</c:v>
                </c:pt>
                <c:pt idx="66">
                  <c:v>-4.69078389101385E-3</c:v>
                </c:pt>
                <c:pt idx="67">
                  <c:v>-5.3132640145906298E-3</c:v>
                </c:pt>
                <c:pt idx="68">
                  <c:v>-6.3876383713147803E-3</c:v>
                </c:pt>
                <c:pt idx="69">
                  <c:v>-4.5729551423742002E-3</c:v>
                </c:pt>
                <c:pt idx="70">
                  <c:v>-4.4000805018622599E-3</c:v>
                </c:pt>
                <c:pt idx="71">
                  <c:v>-1.7614635839021901E-3</c:v>
                </c:pt>
                <c:pt idx="72">
                  <c:v>-3.8753040618353602E-3</c:v>
                </c:pt>
                <c:pt idx="73">
                  <c:v>-2.76092994576562E-3</c:v>
                </c:pt>
                <c:pt idx="74">
                  <c:v>6.0345169582051196E-4</c:v>
                </c:pt>
                <c:pt idx="75">
                  <c:v>5.1913281790626697E-4</c:v>
                </c:pt>
                <c:pt idx="76">
                  <c:v>1.21764865153919E-3</c:v>
                </c:pt>
                <c:pt idx="77">
                  <c:v>-3.3863487215157499E-3</c:v>
                </c:pt>
                <c:pt idx="78">
                  <c:v>-7.1716498038272699E-4</c:v>
                </c:pt>
                <c:pt idx="79">
                  <c:v>-1.7251690189627499E-3</c:v>
                </c:pt>
                <c:pt idx="80">
                  <c:v>1.0624443027573E-3</c:v>
                </c:pt>
                <c:pt idx="81">
                  <c:v>-2.7011917226898801E-3</c:v>
                </c:pt>
                <c:pt idx="82">
                  <c:v>-2.5688804835184002E-3</c:v>
                </c:pt>
                <c:pt idx="83">
                  <c:v>-2.9648029706255E-3</c:v>
                </c:pt>
                <c:pt idx="84">
                  <c:v>-5.2270927983330802E-3</c:v>
                </c:pt>
                <c:pt idx="85">
                  <c:v>-3.9324746872490797E-3</c:v>
                </c:pt>
                <c:pt idx="86">
                  <c:v>-5.2465719010777699E-3</c:v>
                </c:pt>
                <c:pt idx="87">
                  <c:v>-8.8871056931822002E-3</c:v>
                </c:pt>
                <c:pt idx="88">
                  <c:v>-1.3059693411145599E-3</c:v>
                </c:pt>
                <c:pt idx="89">
                  <c:v>-1.3251304434909099E-3</c:v>
                </c:pt>
                <c:pt idx="90">
                  <c:v>-4.9530062646655597E-3</c:v>
                </c:pt>
                <c:pt idx="91">
                  <c:v>-8.6221674877229402E-3</c:v>
                </c:pt>
                <c:pt idx="92">
                  <c:v>-5.5306639352330003E-3</c:v>
                </c:pt>
                <c:pt idx="93">
                  <c:v>-6.3642286119946602E-3</c:v>
                </c:pt>
                <c:pt idx="94">
                  <c:v>-5.7539822573351501E-3</c:v>
                </c:pt>
                <c:pt idx="95">
                  <c:v>-5.8492459634895402E-3</c:v>
                </c:pt>
                <c:pt idx="96">
                  <c:v>-6.5083155952817403E-3</c:v>
                </c:pt>
                <c:pt idx="97">
                  <c:v>-7.0696370303294197E-3</c:v>
                </c:pt>
                <c:pt idx="98">
                  <c:v>-4.8873245740718501E-3</c:v>
                </c:pt>
                <c:pt idx="99">
                  <c:v>-1.16661770035217E-4</c:v>
                </c:pt>
                <c:pt idx="100">
                  <c:v>-1.1122027543563099E-3</c:v>
                </c:pt>
                <c:pt idx="101">
                  <c:v>-7.8102304991484704E-4</c:v>
                </c:pt>
                <c:pt idx="102">
                  <c:v>4.4996100800334298E-3</c:v>
                </c:pt>
                <c:pt idx="103">
                  <c:v>3.9888678908104403E-3</c:v>
                </c:pt>
                <c:pt idx="104">
                  <c:v>7.5119004728048397E-3</c:v>
                </c:pt>
                <c:pt idx="105">
                  <c:v>7.8181276336819604E-3</c:v>
                </c:pt>
                <c:pt idx="106">
                  <c:v>-1.3227423231998699E-4</c:v>
                </c:pt>
                <c:pt idx="107">
                  <c:v>9.8691778353294495E-3</c:v>
                </c:pt>
                <c:pt idx="108">
                  <c:v>-2.00662743070615E-3</c:v>
                </c:pt>
                <c:pt idx="109">
                  <c:v>3.9317487048357103E-3</c:v>
                </c:pt>
                <c:pt idx="110">
                  <c:v>-1.73124100119275E-3</c:v>
                </c:pt>
                <c:pt idx="111">
                  <c:v>3.08108798330467E-3</c:v>
                </c:pt>
                <c:pt idx="112">
                  <c:v>-1.20053317521372E-3</c:v>
                </c:pt>
                <c:pt idx="113">
                  <c:v>1.1149012200370001E-3</c:v>
                </c:pt>
                <c:pt idx="114">
                  <c:v>9.1941941403779601E-4</c:v>
                </c:pt>
                <c:pt idx="115">
                  <c:v>-3.5824633578707501E-3</c:v>
                </c:pt>
                <c:pt idx="116">
                  <c:v>3.2206976477330701E-3</c:v>
                </c:pt>
                <c:pt idx="117">
                  <c:v>5.7626685361675404E-3</c:v>
                </c:pt>
                <c:pt idx="118">
                  <c:v>8.3987008543601593E-3</c:v>
                </c:pt>
                <c:pt idx="119">
                  <c:v>1.5592870859404201E-2</c:v>
                </c:pt>
                <c:pt idx="120">
                  <c:v>4.5097752892553902E-3</c:v>
                </c:pt>
                <c:pt idx="121">
                  <c:v>4.6964280301925298E-3</c:v>
                </c:pt>
                <c:pt idx="122">
                  <c:v>9.2893123934694906E-3</c:v>
                </c:pt>
                <c:pt idx="123">
                  <c:v>1.5289769821194401E-2</c:v>
                </c:pt>
                <c:pt idx="124">
                  <c:v>3.4744476433691399E-3</c:v>
                </c:pt>
                <c:pt idx="125">
                  <c:v>3.3515099548285798E-3</c:v>
                </c:pt>
                <c:pt idx="126">
                  <c:v>5.69902511939033E-3</c:v>
                </c:pt>
                <c:pt idx="127">
                  <c:v>6.6912115629679499E-3</c:v>
                </c:pt>
                <c:pt idx="128">
                  <c:v>9.0573784334277898E-3</c:v>
                </c:pt>
                <c:pt idx="129">
                  <c:v>7.1972114214044402E-3</c:v>
                </c:pt>
                <c:pt idx="130">
                  <c:v>8.5288809049087894E-3</c:v>
                </c:pt>
                <c:pt idx="131">
                  <c:v>1.69395538462783E-3</c:v>
                </c:pt>
                <c:pt idx="132">
                  <c:v>2.3774883495181602E-3</c:v>
                </c:pt>
                <c:pt idx="133">
                  <c:v>1.41959688969213E-3</c:v>
                </c:pt>
                <c:pt idx="134">
                  <c:v>4.18206474071547E-3</c:v>
                </c:pt>
                <c:pt idx="135">
                  <c:v>3.3644243953555499E-3</c:v>
                </c:pt>
                <c:pt idx="136">
                  <c:v>-1.71527711842087E-3</c:v>
                </c:pt>
                <c:pt idx="137">
                  <c:v>-3.2945033581693798E-3</c:v>
                </c:pt>
                <c:pt idx="138">
                  <c:v>-3.0517954514929801E-3</c:v>
                </c:pt>
                <c:pt idx="139">
                  <c:v>-1.09218942957119E-3</c:v>
                </c:pt>
                <c:pt idx="140">
                  <c:v>-3.0536563964809701E-3</c:v>
                </c:pt>
                <c:pt idx="141">
                  <c:v>-7.5795849776771904E-3</c:v>
                </c:pt>
                <c:pt idx="142">
                  <c:v>-1.26053438779403E-2</c:v>
                </c:pt>
                <c:pt idx="143">
                  <c:v>-1.2562519688601399E-2</c:v>
                </c:pt>
                <c:pt idx="144">
                  <c:v>-1.9788109723005098E-2</c:v>
                </c:pt>
                <c:pt idx="145">
                  <c:v>-1.9696722683058498E-2</c:v>
                </c:pt>
                <c:pt idx="146">
                  <c:v>-1.9998061041369E-2</c:v>
                </c:pt>
                <c:pt idx="147">
                  <c:v>-2.0014258635798601E-2</c:v>
                </c:pt>
                <c:pt idx="148">
                  <c:v>-6.88147483222538E-3</c:v>
                </c:pt>
                <c:pt idx="149">
                  <c:v>-6.2890578457709999E-3</c:v>
                </c:pt>
                <c:pt idx="150">
                  <c:v>-4.8630722480960103E-3</c:v>
                </c:pt>
                <c:pt idx="151">
                  <c:v>1.63121339092873E-3</c:v>
                </c:pt>
                <c:pt idx="152">
                  <c:v>-1.17660817249663E-3</c:v>
                </c:pt>
                <c:pt idx="153">
                  <c:v>-2.3878744459851198E-3</c:v>
                </c:pt>
                <c:pt idx="154">
                  <c:v>-4.1012631742713803E-3</c:v>
                </c:pt>
                <c:pt idx="155">
                  <c:v>-1.00366720792293E-2</c:v>
                </c:pt>
                <c:pt idx="156">
                  <c:v>-1.1561806884970501E-2</c:v>
                </c:pt>
                <c:pt idx="157">
                  <c:v>-1.33746932657904E-2</c:v>
                </c:pt>
                <c:pt idx="158">
                  <c:v>-1.24751003970054E-2</c:v>
                </c:pt>
                <c:pt idx="159">
                  <c:v>-1.25223589534045E-2</c:v>
                </c:pt>
                <c:pt idx="160">
                  <c:v>-1.0382899190413899E-2</c:v>
                </c:pt>
                <c:pt idx="161">
                  <c:v>-1.25004954229102E-2</c:v>
                </c:pt>
                <c:pt idx="162">
                  <c:v>-1.30541649006745E-2</c:v>
                </c:pt>
                <c:pt idx="163">
                  <c:v>-8.6581417230771392E-3</c:v>
                </c:pt>
                <c:pt idx="164">
                  <c:v>-8.5343091628866299E-3</c:v>
                </c:pt>
                <c:pt idx="165">
                  <c:v>-5.3065290754623099E-3</c:v>
                </c:pt>
                <c:pt idx="166">
                  <c:v>-8.4688670473364504E-3</c:v>
                </c:pt>
                <c:pt idx="167">
                  <c:v>-5.8725874394308097E-3</c:v>
                </c:pt>
                <c:pt idx="168">
                  <c:v>-7.7437316498431903E-4</c:v>
                </c:pt>
                <c:pt idx="169">
                  <c:v>-1.5577404809221701E-3</c:v>
                </c:pt>
                <c:pt idx="170">
                  <c:v>-6.2738025773788396E-4</c:v>
                </c:pt>
                <c:pt idx="171">
                  <c:v>8.8577451724285001E-5</c:v>
                </c:pt>
                <c:pt idx="172">
                  <c:v>1.2753827548534599E-3</c:v>
                </c:pt>
                <c:pt idx="173">
                  <c:v>-3.3001758443735598E-4</c:v>
                </c:pt>
                <c:pt idx="174">
                  <c:v>3.1586420135283101E-3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6-4D55-BFE8-0B0A8D4F4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7.5039850866890981E-3</c:v>
                </c:pt>
                <c:pt idx="4">
                  <c:v>1.0707022340296796E-2</c:v>
                </c:pt>
                <c:pt idx="5">
                  <c:v>8.4036593920107962E-3</c:v>
                </c:pt>
                <c:pt idx="6">
                  <c:v>7.434916857560505E-3</c:v>
                </c:pt>
                <c:pt idx="7">
                  <c:v>1.4460536729942488E-2</c:v>
                </c:pt>
                <c:pt idx="8">
                  <c:v>1.4460536729942488E-2</c:v>
                </c:pt>
                <c:pt idx="9">
                  <c:v>1.4460536729942488E-2</c:v>
                </c:pt>
                <c:pt idx="10">
                  <c:v>1.4460536729942488E-2</c:v>
                </c:pt>
                <c:pt idx="11">
                  <c:v>1.4460536729942488E-2</c:v>
                </c:pt>
                <c:pt idx="12">
                  <c:v>1.4460536729942488E-2</c:v>
                </c:pt>
                <c:pt idx="13">
                  <c:v>1.4460536729942488E-2</c:v>
                </c:pt>
                <c:pt idx="14">
                  <c:v>1.4460536729942488E-2</c:v>
                </c:pt>
                <c:pt idx="15">
                  <c:v>1.4460536729942488E-2</c:v>
                </c:pt>
                <c:pt idx="16">
                  <c:v>1.4460536729942488E-2</c:v>
                </c:pt>
                <c:pt idx="17">
                  <c:v>1.4460536729942488E-2</c:v>
                </c:pt>
                <c:pt idx="18">
                  <c:v>1.4460536729942488E-2</c:v>
                </c:pt>
                <c:pt idx="19">
                  <c:v>1.4460536729942488E-2</c:v>
                </c:pt>
                <c:pt idx="20">
                  <c:v>1.4460536729942488E-2</c:v>
                </c:pt>
                <c:pt idx="21">
                  <c:v>1.4460536729942488E-2</c:v>
                </c:pt>
                <c:pt idx="22">
                  <c:v>1.4460536729942488E-2</c:v>
                </c:pt>
                <c:pt idx="23">
                  <c:v>1.4460536729942488E-2</c:v>
                </c:pt>
                <c:pt idx="24">
                  <c:v>1.4460536729942488E-2</c:v>
                </c:pt>
                <c:pt idx="25">
                  <c:v>1.4460536729942488E-2</c:v>
                </c:pt>
                <c:pt idx="26">
                  <c:v>1.4460536729942488E-2</c:v>
                </c:pt>
                <c:pt idx="27">
                  <c:v>1.4460536729942488E-2</c:v>
                </c:pt>
                <c:pt idx="28">
                  <c:v>1.4460536729942488E-2</c:v>
                </c:pt>
                <c:pt idx="29">
                  <c:v>1.4460536729942488E-2</c:v>
                </c:pt>
                <c:pt idx="30">
                  <c:v>1.4460536729942488E-2</c:v>
                </c:pt>
                <c:pt idx="31">
                  <c:v>1.4460536729942488E-2</c:v>
                </c:pt>
                <c:pt idx="32">
                  <c:v>1.4460536729942488E-2</c:v>
                </c:pt>
                <c:pt idx="33">
                  <c:v>1.4460536729942488E-2</c:v>
                </c:pt>
                <c:pt idx="34">
                  <c:v>1.4460536729942488E-2</c:v>
                </c:pt>
                <c:pt idx="35">
                  <c:v>1.4460536729942488E-2</c:v>
                </c:pt>
                <c:pt idx="36">
                  <c:v>1.4460536729942488E-2</c:v>
                </c:pt>
                <c:pt idx="37">
                  <c:v>1.4460536729942488E-2</c:v>
                </c:pt>
                <c:pt idx="38">
                  <c:v>1.4460536729942488E-2</c:v>
                </c:pt>
                <c:pt idx="39">
                  <c:v>1.4460536729942488E-2</c:v>
                </c:pt>
                <c:pt idx="40">
                  <c:v>1.4460536729942488E-2</c:v>
                </c:pt>
                <c:pt idx="41">
                  <c:v>1.4460536729942488E-2</c:v>
                </c:pt>
                <c:pt idx="42">
                  <c:v>1.4460536729942488E-2</c:v>
                </c:pt>
                <c:pt idx="43">
                  <c:v>1.4460536729942488E-2</c:v>
                </c:pt>
                <c:pt idx="44">
                  <c:v>1.4460536729942488E-2</c:v>
                </c:pt>
                <c:pt idx="45">
                  <c:v>1.4460536729942488E-2</c:v>
                </c:pt>
                <c:pt idx="46">
                  <c:v>1.4460536729942488E-2</c:v>
                </c:pt>
                <c:pt idx="47">
                  <c:v>1.4460536729942488E-2</c:v>
                </c:pt>
                <c:pt idx="48">
                  <c:v>1.4460536729942488E-2</c:v>
                </c:pt>
                <c:pt idx="49">
                  <c:v>1.4460536729942488E-2</c:v>
                </c:pt>
                <c:pt idx="50">
                  <c:v>1.4460536729942488E-2</c:v>
                </c:pt>
                <c:pt idx="51">
                  <c:v>1.4460536729942488E-2</c:v>
                </c:pt>
                <c:pt idx="52">
                  <c:v>1.4460536729942488E-2</c:v>
                </c:pt>
                <c:pt idx="53">
                  <c:v>1.4460536729942488E-2</c:v>
                </c:pt>
                <c:pt idx="54">
                  <c:v>1.4460536729942488E-2</c:v>
                </c:pt>
                <c:pt idx="55">
                  <c:v>1.4460536729942488E-2</c:v>
                </c:pt>
                <c:pt idx="56">
                  <c:v>1.4460536729942488E-2</c:v>
                </c:pt>
                <c:pt idx="57">
                  <c:v>1.4460536729942488E-2</c:v>
                </c:pt>
                <c:pt idx="58">
                  <c:v>1.4460536729942488E-2</c:v>
                </c:pt>
                <c:pt idx="59">
                  <c:v>1.4460536729942488E-2</c:v>
                </c:pt>
                <c:pt idx="60">
                  <c:v>1.4460536729942488E-2</c:v>
                </c:pt>
                <c:pt idx="61">
                  <c:v>1.4460536729942488E-2</c:v>
                </c:pt>
                <c:pt idx="62">
                  <c:v>1.4460536729942488E-2</c:v>
                </c:pt>
                <c:pt idx="63">
                  <c:v>1.4460536729942488E-2</c:v>
                </c:pt>
                <c:pt idx="64">
                  <c:v>1.4460536729942488E-2</c:v>
                </c:pt>
                <c:pt idx="65">
                  <c:v>1.4460536729942488E-2</c:v>
                </c:pt>
                <c:pt idx="66">
                  <c:v>1.4460536729942488E-2</c:v>
                </c:pt>
                <c:pt idx="67">
                  <c:v>1.4460536729942488E-2</c:v>
                </c:pt>
                <c:pt idx="68">
                  <c:v>1.4460536729942488E-2</c:v>
                </c:pt>
                <c:pt idx="69">
                  <c:v>1.4460536729942488E-2</c:v>
                </c:pt>
                <c:pt idx="70">
                  <c:v>1.4460536729942488E-2</c:v>
                </c:pt>
                <c:pt idx="71">
                  <c:v>1.4460536729942488E-2</c:v>
                </c:pt>
                <c:pt idx="72">
                  <c:v>1.4460536729942488E-2</c:v>
                </c:pt>
                <c:pt idx="73">
                  <c:v>1.4460536729942488E-2</c:v>
                </c:pt>
                <c:pt idx="74">
                  <c:v>1.4460536729942488E-2</c:v>
                </c:pt>
                <c:pt idx="75">
                  <c:v>1.4460536729942488E-2</c:v>
                </c:pt>
                <c:pt idx="76">
                  <c:v>1.4460536729942488E-2</c:v>
                </c:pt>
                <c:pt idx="77">
                  <c:v>1.4460536729942488E-2</c:v>
                </c:pt>
                <c:pt idx="78">
                  <c:v>1.4460536729942488E-2</c:v>
                </c:pt>
                <c:pt idx="79">
                  <c:v>1.4460536729942488E-2</c:v>
                </c:pt>
                <c:pt idx="80">
                  <c:v>1.4460536729942488E-2</c:v>
                </c:pt>
                <c:pt idx="81">
                  <c:v>1.4460536729942488E-2</c:v>
                </c:pt>
                <c:pt idx="82">
                  <c:v>1.4460536729942488E-2</c:v>
                </c:pt>
                <c:pt idx="83">
                  <c:v>1.4460536729942488E-2</c:v>
                </c:pt>
                <c:pt idx="84">
                  <c:v>1.4460536729942488E-2</c:v>
                </c:pt>
                <c:pt idx="85">
                  <c:v>1.4460536729942488E-2</c:v>
                </c:pt>
                <c:pt idx="86">
                  <c:v>1.4460536729942488E-2</c:v>
                </c:pt>
                <c:pt idx="87">
                  <c:v>1.4460536729942488E-2</c:v>
                </c:pt>
                <c:pt idx="88">
                  <c:v>1.4460536729942488E-2</c:v>
                </c:pt>
                <c:pt idx="89">
                  <c:v>1.4460536729942488E-2</c:v>
                </c:pt>
                <c:pt idx="90">
                  <c:v>1.4460536729942488E-2</c:v>
                </c:pt>
                <c:pt idx="91">
                  <c:v>1.4460536729942488E-2</c:v>
                </c:pt>
                <c:pt idx="92">
                  <c:v>1.4460536729942488E-2</c:v>
                </c:pt>
                <c:pt idx="93">
                  <c:v>1.4460536729942488E-2</c:v>
                </c:pt>
                <c:pt idx="94">
                  <c:v>1.4460536729942488E-2</c:v>
                </c:pt>
                <c:pt idx="95">
                  <c:v>1.4460536729942488E-2</c:v>
                </c:pt>
                <c:pt idx="96">
                  <c:v>1.4460536729942488E-2</c:v>
                </c:pt>
                <c:pt idx="97">
                  <c:v>1.4460536729942488E-2</c:v>
                </c:pt>
                <c:pt idx="98">
                  <c:v>1.4460536729942488E-2</c:v>
                </c:pt>
                <c:pt idx="99">
                  <c:v>1.4460536729942488E-2</c:v>
                </c:pt>
                <c:pt idx="100">
                  <c:v>1.4460536729942488E-2</c:v>
                </c:pt>
                <c:pt idx="101">
                  <c:v>1.4460536729942488E-2</c:v>
                </c:pt>
                <c:pt idx="102">
                  <c:v>1.4460536729942488E-2</c:v>
                </c:pt>
                <c:pt idx="103">
                  <c:v>1.4460536729942488E-2</c:v>
                </c:pt>
                <c:pt idx="104">
                  <c:v>1.4460536729942488E-2</c:v>
                </c:pt>
                <c:pt idx="105">
                  <c:v>1.4460536729942488E-2</c:v>
                </c:pt>
                <c:pt idx="106">
                  <c:v>1.4460536729942488E-2</c:v>
                </c:pt>
                <c:pt idx="107">
                  <c:v>1.4460536729942488E-2</c:v>
                </c:pt>
                <c:pt idx="108">
                  <c:v>1.4460536729942488E-2</c:v>
                </c:pt>
                <c:pt idx="109">
                  <c:v>1.4460536729942488E-2</c:v>
                </c:pt>
                <c:pt idx="110">
                  <c:v>1.4460536729942488E-2</c:v>
                </c:pt>
                <c:pt idx="111">
                  <c:v>1.4460536729942488E-2</c:v>
                </c:pt>
                <c:pt idx="112">
                  <c:v>1.4460536729942488E-2</c:v>
                </c:pt>
                <c:pt idx="113">
                  <c:v>1.4460536729942488E-2</c:v>
                </c:pt>
                <c:pt idx="114">
                  <c:v>1.4460536729942488E-2</c:v>
                </c:pt>
                <c:pt idx="115">
                  <c:v>1.4460536729942488E-2</c:v>
                </c:pt>
                <c:pt idx="116">
                  <c:v>1.4460536729942488E-2</c:v>
                </c:pt>
                <c:pt idx="117">
                  <c:v>1.4460536729942488E-2</c:v>
                </c:pt>
                <c:pt idx="118">
                  <c:v>1.4460536729942488E-2</c:v>
                </c:pt>
                <c:pt idx="119">
                  <c:v>1.4460536729942488E-2</c:v>
                </c:pt>
                <c:pt idx="120">
                  <c:v>1.4460536729942488E-2</c:v>
                </c:pt>
                <c:pt idx="121">
                  <c:v>1.4460536729942488E-2</c:v>
                </c:pt>
                <c:pt idx="122">
                  <c:v>1.4460536729942488E-2</c:v>
                </c:pt>
                <c:pt idx="123">
                  <c:v>1.3792783383990658E-2</c:v>
                </c:pt>
                <c:pt idx="124">
                  <c:v>5.5005009864265587E-3</c:v>
                </c:pt>
                <c:pt idx="125">
                  <c:v>4.6511620938037585E-3</c:v>
                </c:pt>
                <c:pt idx="126">
                  <c:v>3.3665170549569568E-3</c:v>
                </c:pt>
                <c:pt idx="127">
                  <c:v>2.1806404637934569E-3</c:v>
                </c:pt>
                <c:pt idx="128">
                  <c:v>1.4005317437793357E-2</c:v>
                </c:pt>
                <c:pt idx="129">
                  <c:v>1.3763074465851597E-2</c:v>
                </c:pt>
                <c:pt idx="130">
                  <c:v>1.4391472379206047E-2</c:v>
                </c:pt>
                <c:pt idx="131">
                  <c:v>2.0027668213319305E-2</c:v>
                </c:pt>
                <c:pt idx="132">
                  <c:v>2.0027668213319305E-2</c:v>
                </c:pt>
                <c:pt idx="133">
                  <c:v>2.0027668213319305E-2</c:v>
                </c:pt>
                <c:pt idx="134">
                  <c:v>2.0027668213319305E-2</c:v>
                </c:pt>
                <c:pt idx="135">
                  <c:v>2.0027668213319305E-2</c:v>
                </c:pt>
                <c:pt idx="136">
                  <c:v>2.0027668213319305E-2</c:v>
                </c:pt>
                <c:pt idx="137">
                  <c:v>2.0027668213319305E-2</c:v>
                </c:pt>
                <c:pt idx="138">
                  <c:v>1.9748200706999407E-2</c:v>
                </c:pt>
                <c:pt idx="139">
                  <c:v>1.8491494874411506E-2</c:v>
                </c:pt>
                <c:pt idx="140">
                  <c:v>1.9264524760448008E-2</c:v>
                </c:pt>
                <c:pt idx="141">
                  <c:v>1.5934104013188909E-2</c:v>
                </c:pt>
                <c:pt idx="142">
                  <c:v>1.4220917017423507E-2</c:v>
                </c:pt>
                <c:pt idx="143">
                  <c:v>1.7630391757843207E-2</c:v>
                </c:pt>
                <c:pt idx="144">
                  <c:v>1.6973862162840556E-2</c:v>
                </c:pt>
                <c:pt idx="145">
                  <c:v>1.9801702869391456E-2</c:v>
                </c:pt>
                <c:pt idx="146">
                  <c:v>1.6424366318174056E-2</c:v>
                </c:pt>
                <c:pt idx="147">
                  <c:v>1.8700031378255457E-2</c:v>
                </c:pt>
                <c:pt idx="148">
                  <c:v>2.3651711011404456E-2</c:v>
                </c:pt>
                <c:pt idx="149">
                  <c:v>2.3651711011404456E-2</c:v>
                </c:pt>
                <c:pt idx="150">
                  <c:v>2.3651711011404456E-2</c:v>
                </c:pt>
                <c:pt idx="151">
                  <c:v>2.3651711011404456E-2</c:v>
                </c:pt>
                <c:pt idx="152">
                  <c:v>2.3651711011404456E-2</c:v>
                </c:pt>
                <c:pt idx="153">
                  <c:v>2.3651711011404456E-2</c:v>
                </c:pt>
                <c:pt idx="154">
                  <c:v>2.3651711011404456E-2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2-4A7A-B759-A41303E36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1.551023533159974E-2</c:v>
                </c:pt>
                <c:pt idx="30">
                  <c:v>1.551023533159974E-2</c:v>
                </c:pt>
                <c:pt idx="31">
                  <c:v>1.551023533159974E-2</c:v>
                </c:pt>
                <c:pt idx="32">
                  <c:v>1.551023533159974E-2</c:v>
                </c:pt>
                <c:pt idx="33">
                  <c:v>1.551023533159974E-2</c:v>
                </c:pt>
                <c:pt idx="34">
                  <c:v>1.551023533159974E-2</c:v>
                </c:pt>
                <c:pt idx="35">
                  <c:v>1.551023533159974E-2</c:v>
                </c:pt>
                <c:pt idx="36">
                  <c:v>1.551023533159974E-2</c:v>
                </c:pt>
                <c:pt idx="37">
                  <c:v>1.551023533159974E-2</c:v>
                </c:pt>
                <c:pt idx="38">
                  <c:v>1.551023533159974E-2</c:v>
                </c:pt>
                <c:pt idx="39">
                  <c:v>1.551023533159974E-2</c:v>
                </c:pt>
                <c:pt idx="40">
                  <c:v>1.551023533159974E-2</c:v>
                </c:pt>
                <c:pt idx="41">
                  <c:v>1.551023533159974E-2</c:v>
                </c:pt>
                <c:pt idx="42">
                  <c:v>1.551023533159974E-2</c:v>
                </c:pt>
                <c:pt idx="43">
                  <c:v>1.551023533159974E-2</c:v>
                </c:pt>
                <c:pt idx="44">
                  <c:v>1.551023533159974E-2</c:v>
                </c:pt>
                <c:pt idx="45">
                  <c:v>1.551023533159974E-2</c:v>
                </c:pt>
                <c:pt idx="46">
                  <c:v>1.551023533159974E-2</c:v>
                </c:pt>
                <c:pt idx="47">
                  <c:v>1.551023533159974E-2</c:v>
                </c:pt>
                <c:pt idx="48">
                  <c:v>1.551023533159974E-2</c:v>
                </c:pt>
                <c:pt idx="49">
                  <c:v>1.551023533159974E-2</c:v>
                </c:pt>
                <c:pt idx="50">
                  <c:v>1.551023533159974E-2</c:v>
                </c:pt>
                <c:pt idx="51">
                  <c:v>1.551023533159974E-2</c:v>
                </c:pt>
                <c:pt idx="52">
                  <c:v>1.551023533159974E-2</c:v>
                </c:pt>
                <c:pt idx="53">
                  <c:v>1.551023533159974E-2</c:v>
                </c:pt>
                <c:pt idx="54">
                  <c:v>1.551023533159974E-2</c:v>
                </c:pt>
                <c:pt idx="55">
                  <c:v>1.551023533159974E-2</c:v>
                </c:pt>
                <c:pt idx="56">
                  <c:v>1.551023533159974E-2</c:v>
                </c:pt>
                <c:pt idx="57">
                  <c:v>1.551023533159974E-2</c:v>
                </c:pt>
                <c:pt idx="58">
                  <c:v>1.551023533159974E-2</c:v>
                </c:pt>
                <c:pt idx="59">
                  <c:v>1.551023533159974E-2</c:v>
                </c:pt>
                <c:pt idx="60">
                  <c:v>1.551023533159974E-2</c:v>
                </c:pt>
                <c:pt idx="61">
                  <c:v>1.551023533159974E-2</c:v>
                </c:pt>
                <c:pt idx="62">
                  <c:v>1.551023533159974E-2</c:v>
                </c:pt>
                <c:pt idx="63">
                  <c:v>1.551023533159974E-2</c:v>
                </c:pt>
                <c:pt idx="64">
                  <c:v>1.551023533159974E-2</c:v>
                </c:pt>
                <c:pt idx="65">
                  <c:v>1.551023533159974E-2</c:v>
                </c:pt>
                <c:pt idx="66">
                  <c:v>1.551023533159974E-2</c:v>
                </c:pt>
                <c:pt idx="67">
                  <c:v>1.551023533159974E-2</c:v>
                </c:pt>
                <c:pt idx="68">
                  <c:v>1.551023533159974E-2</c:v>
                </c:pt>
                <c:pt idx="69">
                  <c:v>1.551023533159974E-2</c:v>
                </c:pt>
                <c:pt idx="70">
                  <c:v>1.551023533159974E-2</c:v>
                </c:pt>
                <c:pt idx="71">
                  <c:v>1.551023533159974E-2</c:v>
                </c:pt>
                <c:pt idx="72">
                  <c:v>1.551023533159974E-2</c:v>
                </c:pt>
                <c:pt idx="73">
                  <c:v>1.551023533159974E-2</c:v>
                </c:pt>
                <c:pt idx="74">
                  <c:v>1.551023533159974E-2</c:v>
                </c:pt>
                <c:pt idx="75">
                  <c:v>1.551023533159974E-2</c:v>
                </c:pt>
                <c:pt idx="76">
                  <c:v>1.551023533159974E-2</c:v>
                </c:pt>
                <c:pt idx="77">
                  <c:v>1.551023533159974E-2</c:v>
                </c:pt>
                <c:pt idx="78">
                  <c:v>1.551023533159974E-2</c:v>
                </c:pt>
                <c:pt idx="79">
                  <c:v>1.551023533159974E-2</c:v>
                </c:pt>
                <c:pt idx="80">
                  <c:v>1.551023533159974E-2</c:v>
                </c:pt>
                <c:pt idx="81">
                  <c:v>1.551023533159974E-2</c:v>
                </c:pt>
                <c:pt idx="82">
                  <c:v>1.551023533159974E-2</c:v>
                </c:pt>
                <c:pt idx="83">
                  <c:v>1.551023533159974E-2</c:v>
                </c:pt>
                <c:pt idx="84">
                  <c:v>1.551023533159974E-2</c:v>
                </c:pt>
                <c:pt idx="85">
                  <c:v>1.551023533159974E-2</c:v>
                </c:pt>
                <c:pt idx="86">
                  <c:v>1.551023533159974E-2</c:v>
                </c:pt>
                <c:pt idx="87">
                  <c:v>1.551023533159974E-2</c:v>
                </c:pt>
                <c:pt idx="88">
                  <c:v>1.551023533159974E-2</c:v>
                </c:pt>
                <c:pt idx="89">
                  <c:v>1.551023533159974E-2</c:v>
                </c:pt>
                <c:pt idx="90">
                  <c:v>1.551023533159974E-2</c:v>
                </c:pt>
                <c:pt idx="91">
                  <c:v>1.551023533159974E-2</c:v>
                </c:pt>
                <c:pt idx="92">
                  <c:v>1.551023533159974E-2</c:v>
                </c:pt>
                <c:pt idx="93">
                  <c:v>1.551023533159974E-2</c:v>
                </c:pt>
                <c:pt idx="94">
                  <c:v>1.551023533159974E-2</c:v>
                </c:pt>
                <c:pt idx="95">
                  <c:v>1.551023533159974E-2</c:v>
                </c:pt>
                <c:pt idx="96">
                  <c:v>1.551023533159974E-2</c:v>
                </c:pt>
                <c:pt idx="97">
                  <c:v>1.551023533159974E-2</c:v>
                </c:pt>
                <c:pt idx="98">
                  <c:v>1.551023533159974E-2</c:v>
                </c:pt>
                <c:pt idx="99">
                  <c:v>1.551023533159974E-2</c:v>
                </c:pt>
                <c:pt idx="100">
                  <c:v>2.5695805526613047E-2</c:v>
                </c:pt>
                <c:pt idx="101">
                  <c:v>2.5695805526613047E-2</c:v>
                </c:pt>
                <c:pt idx="102">
                  <c:v>2.5695805526613047E-2</c:v>
                </c:pt>
                <c:pt idx="103">
                  <c:v>2.5695805526613047E-2</c:v>
                </c:pt>
                <c:pt idx="104">
                  <c:v>3.6665211031395549E-2</c:v>
                </c:pt>
                <c:pt idx="105">
                  <c:v>3.6665211031395549E-2</c:v>
                </c:pt>
                <c:pt idx="106">
                  <c:v>3.6665211031395549E-2</c:v>
                </c:pt>
                <c:pt idx="107">
                  <c:v>3.6665211031395549E-2</c:v>
                </c:pt>
                <c:pt idx="108">
                  <c:v>3.6665211031395549E-2</c:v>
                </c:pt>
                <c:pt idx="109">
                  <c:v>3.6665211031395549E-2</c:v>
                </c:pt>
                <c:pt idx="110">
                  <c:v>3.6665211031395549E-2</c:v>
                </c:pt>
                <c:pt idx="111">
                  <c:v>3.6665211031395549E-2</c:v>
                </c:pt>
                <c:pt idx="112">
                  <c:v>3.6665211031395549E-2</c:v>
                </c:pt>
                <c:pt idx="113">
                  <c:v>3.6665211031395549E-2</c:v>
                </c:pt>
                <c:pt idx="114">
                  <c:v>3.6665211031395549E-2</c:v>
                </c:pt>
                <c:pt idx="115">
                  <c:v>3.6665211031395549E-2</c:v>
                </c:pt>
                <c:pt idx="116">
                  <c:v>3.6665211031395549E-2</c:v>
                </c:pt>
                <c:pt idx="117">
                  <c:v>3.6665211031395549E-2</c:v>
                </c:pt>
                <c:pt idx="118">
                  <c:v>3.6665211031395549E-2</c:v>
                </c:pt>
                <c:pt idx="119">
                  <c:v>3.6665211031395549E-2</c:v>
                </c:pt>
                <c:pt idx="120">
                  <c:v>3.6665211031395549E-2</c:v>
                </c:pt>
                <c:pt idx="121">
                  <c:v>3.6665211031395549E-2</c:v>
                </c:pt>
                <c:pt idx="122">
                  <c:v>3.6665211031395549E-2</c:v>
                </c:pt>
                <c:pt idx="123">
                  <c:v>3.6665211031395549E-2</c:v>
                </c:pt>
                <c:pt idx="124">
                  <c:v>3.6665211031395549E-2</c:v>
                </c:pt>
                <c:pt idx="125">
                  <c:v>3.6665211031395549E-2</c:v>
                </c:pt>
                <c:pt idx="126">
                  <c:v>3.6665211031395549E-2</c:v>
                </c:pt>
                <c:pt idx="127">
                  <c:v>3.6665211031395549E-2</c:v>
                </c:pt>
                <c:pt idx="128">
                  <c:v>3.6665211031395549E-2</c:v>
                </c:pt>
                <c:pt idx="129">
                  <c:v>3.6665211031395549E-2</c:v>
                </c:pt>
                <c:pt idx="130">
                  <c:v>3.6665211031395549E-2</c:v>
                </c:pt>
                <c:pt idx="131">
                  <c:v>3.6665211031395549E-2</c:v>
                </c:pt>
                <c:pt idx="132">
                  <c:v>3.6665211031395549E-2</c:v>
                </c:pt>
                <c:pt idx="133">
                  <c:v>3.6665211031395549E-2</c:v>
                </c:pt>
                <c:pt idx="134">
                  <c:v>3.6665211031395549E-2</c:v>
                </c:pt>
                <c:pt idx="135">
                  <c:v>3.6665211031395549E-2</c:v>
                </c:pt>
                <c:pt idx="136">
                  <c:v>3.6665211031395549E-2</c:v>
                </c:pt>
                <c:pt idx="137">
                  <c:v>3.6665211031395549E-2</c:v>
                </c:pt>
                <c:pt idx="138">
                  <c:v>3.6665211031395549E-2</c:v>
                </c:pt>
                <c:pt idx="139">
                  <c:v>3.6665211031395549E-2</c:v>
                </c:pt>
                <c:pt idx="140">
                  <c:v>3.6665211031395549E-2</c:v>
                </c:pt>
                <c:pt idx="141">
                  <c:v>3.6665211031395549E-2</c:v>
                </c:pt>
                <c:pt idx="142">
                  <c:v>3.6665211031395549E-2</c:v>
                </c:pt>
                <c:pt idx="143">
                  <c:v>3.6665211031395549E-2</c:v>
                </c:pt>
                <c:pt idx="144">
                  <c:v>3.6665211031395549E-2</c:v>
                </c:pt>
                <c:pt idx="145">
                  <c:v>3.6665211031395549E-2</c:v>
                </c:pt>
                <c:pt idx="146">
                  <c:v>3.6665211031395549E-2</c:v>
                </c:pt>
                <c:pt idx="147">
                  <c:v>3.6665211031395549E-2</c:v>
                </c:pt>
                <c:pt idx="148">
                  <c:v>3.6665211031395549E-2</c:v>
                </c:pt>
                <c:pt idx="149">
                  <c:v>3.6665211031395549E-2</c:v>
                </c:pt>
                <c:pt idx="150">
                  <c:v>3.6665211031395549E-2</c:v>
                </c:pt>
                <c:pt idx="151">
                  <c:v>3.6665211031395549E-2</c:v>
                </c:pt>
                <c:pt idx="152">
                  <c:v>3.6665211031395549E-2</c:v>
                </c:pt>
                <c:pt idx="153">
                  <c:v>3.6665211031395549E-2</c:v>
                </c:pt>
                <c:pt idx="154">
                  <c:v>3.6665211031395549E-2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4-4B9A-92D9-EA6E35A8E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7.5039850866890981E-3</c:v>
                </c:pt>
                <c:pt idx="4">
                  <c:v>1.0707022340296796E-2</c:v>
                </c:pt>
                <c:pt idx="5">
                  <c:v>8.4036593920107962E-3</c:v>
                </c:pt>
                <c:pt idx="6">
                  <c:v>7.434916857560505E-3</c:v>
                </c:pt>
                <c:pt idx="7">
                  <c:v>1.4460536729942488E-2</c:v>
                </c:pt>
                <c:pt idx="8">
                  <c:v>1.4460536729942488E-2</c:v>
                </c:pt>
                <c:pt idx="9">
                  <c:v>1.4460536729942488E-2</c:v>
                </c:pt>
                <c:pt idx="10">
                  <c:v>1.4460536729942488E-2</c:v>
                </c:pt>
                <c:pt idx="11">
                  <c:v>1.4460536729942488E-2</c:v>
                </c:pt>
                <c:pt idx="12">
                  <c:v>1.4460536729942488E-2</c:v>
                </c:pt>
                <c:pt idx="13">
                  <c:v>1.4460536729942488E-2</c:v>
                </c:pt>
                <c:pt idx="14">
                  <c:v>1.4460536729942488E-2</c:v>
                </c:pt>
                <c:pt idx="15">
                  <c:v>1.4460536729942488E-2</c:v>
                </c:pt>
                <c:pt idx="16">
                  <c:v>1.4460536729942488E-2</c:v>
                </c:pt>
                <c:pt idx="17">
                  <c:v>1.4460536729942488E-2</c:v>
                </c:pt>
                <c:pt idx="18">
                  <c:v>1.4460536729942488E-2</c:v>
                </c:pt>
                <c:pt idx="19">
                  <c:v>1.4460536729942488E-2</c:v>
                </c:pt>
                <c:pt idx="20">
                  <c:v>1.4460536729942488E-2</c:v>
                </c:pt>
                <c:pt idx="21">
                  <c:v>1.4460536729942488E-2</c:v>
                </c:pt>
                <c:pt idx="22">
                  <c:v>1.4460536729942488E-2</c:v>
                </c:pt>
                <c:pt idx="23">
                  <c:v>1.4460536729942488E-2</c:v>
                </c:pt>
                <c:pt idx="24">
                  <c:v>1.4460536729942488E-2</c:v>
                </c:pt>
                <c:pt idx="25">
                  <c:v>1.4460536729942488E-2</c:v>
                </c:pt>
                <c:pt idx="26">
                  <c:v>1.4460536729942488E-2</c:v>
                </c:pt>
                <c:pt idx="27">
                  <c:v>1.4460536729942488E-2</c:v>
                </c:pt>
                <c:pt idx="28">
                  <c:v>1.4460536729942488E-2</c:v>
                </c:pt>
                <c:pt idx="29">
                  <c:v>2.9970772061542229E-2</c:v>
                </c:pt>
                <c:pt idx="30">
                  <c:v>2.9970772061542229E-2</c:v>
                </c:pt>
                <c:pt idx="31">
                  <c:v>2.9970772061542229E-2</c:v>
                </c:pt>
                <c:pt idx="32">
                  <c:v>2.9970772061542229E-2</c:v>
                </c:pt>
                <c:pt idx="33">
                  <c:v>2.9970772061542229E-2</c:v>
                </c:pt>
                <c:pt idx="34">
                  <c:v>2.9970772061542229E-2</c:v>
                </c:pt>
                <c:pt idx="35">
                  <c:v>2.9970772061542229E-2</c:v>
                </c:pt>
                <c:pt idx="36">
                  <c:v>2.9970772061542229E-2</c:v>
                </c:pt>
                <c:pt idx="37">
                  <c:v>2.9970772061542229E-2</c:v>
                </c:pt>
                <c:pt idx="38">
                  <c:v>2.9970772061542229E-2</c:v>
                </c:pt>
                <c:pt idx="39">
                  <c:v>2.9970772061542229E-2</c:v>
                </c:pt>
                <c:pt idx="40">
                  <c:v>2.9970772061542229E-2</c:v>
                </c:pt>
                <c:pt idx="41">
                  <c:v>2.9970772061542229E-2</c:v>
                </c:pt>
                <c:pt idx="42">
                  <c:v>2.9970772061542229E-2</c:v>
                </c:pt>
                <c:pt idx="43">
                  <c:v>2.9970772061542229E-2</c:v>
                </c:pt>
                <c:pt idx="44">
                  <c:v>2.9970772061542229E-2</c:v>
                </c:pt>
                <c:pt idx="45">
                  <c:v>2.9970772061542229E-2</c:v>
                </c:pt>
                <c:pt idx="46">
                  <c:v>2.9970772061542229E-2</c:v>
                </c:pt>
                <c:pt idx="47">
                  <c:v>2.9970772061542229E-2</c:v>
                </c:pt>
                <c:pt idx="48">
                  <c:v>2.9970772061542229E-2</c:v>
                </c:pt>
                <c:pt idx="49">
                  <c:v>2.9970772061542229E-2</c:v>
                </c:pt>
                <c:pt idx="50">
                  <c:v>2.9970772061542229E-2</c:v>
                </c:pt>
                <c:pt idx="51">
                  <c:v>2.9970772061542229E-2</c:v>
                </c:pt>
                <c:pt idx="52">
                  <c:v>2.9970772061542229E-2</c:v>
                </c:pt>
                <c:pt idx="53">
                  <c:v>2.9970772061542229E-2</c:v>
                </c:pt>
                <c:pt idx="54">
                  <c:v>2.9970772061542229E-2</c:v>
                </c:pt>
                <c:pt idx="55">
                  <c:v>2.9970772061542229E-2</c:v>
                </c:pt>
                <c:pt idx="56">
                  <c:v>2.9970772061542229E-2</c:v>
                </c:pt>
                <c:pt idx="57">
                  <c:v>2.9970772061542229E-2</c:v>
                </c:pt>
                <c:pt idx="58">
                  <c:v>2.9970772061542229E-2</c:v>
                </c:pt>
                <c:pt idx="59">
                  <c:v>2.9970772061542229E-2</c:v>
                </c:pt>
                <c:pt idx="60">
                  <c:v>2.9970772061542229E-2</c:v>
                </c:pt>
                <c:pt idx="61">
                  <c:v>2.9970772061542229E-2</c:v>
                </c:pt>
                <c:pt idx="62">
                  <c:v>2.9970772061542229E-2</c:v>
                </c:pt>
                <c:pt idx="63">
                  <c:v>2.9970772061542229E-2</c:v>
                </c:pt>
                <c:pt idx="64">
                  <c:v>2.9970772061542229E-2</c:v>
                </c:pt>
                <c:pt idx="65">
                  <c:v>2.9970772061542229E-2</c:v>
                </c:pt>
                <c:pt idx="66">
                  <c:v>2.9970772061542229E-2</c:v>
                </c:pt>
                <c:pt idx="67">
                  <c:v>2.9970772061542229E-2</c:v>
                </c:pt>
                <c:pt idx="68">
                  <c:v>2.9970772061542229E-2</c:v>
                </c:pt>
                <c:pt idx="69">
                  <c:v>2.9970772061542229E-2</c:v>
                </c:pt>
                <c:pt idx="70">
                  <c:v>2.9970772061542229E-2</c:v>
                </c:pt>
                <c:pt idx="71">
                  <c:v>2.9970772061542229E-2</c:v>
                </c:pt>
                <c:pt idx="72">
                  <c:v>2.9970772061542229E-2</c:v>
                </c:pt>
                <c:pt idx="73">
                  <c:v>2.9970772061542229E-2</c:v>
                </c:pt>
                <c:pt idx="74">
                  <c:v>2.9970772061542229E-2</c:v>
                </c:pt>
                <c:pt idx="75">
                  <c:v>2.9970772061542229E-2</c:v>
                </c:pt>
                <c:pt idx="76">
                  <c:v>2.9970772061542229E-2</c:v>
                </c:pt>
                <c:pt idx="77">
                  <c:v>2.9970772061542229E-2</c:v>
                </c:pt>
                <c:pt idx="78">
                  <c:v>2.9970772061542229E-2</c:v>
                </c:pt>
                <c:pt idx="79">
                  <c:v>2.9970772061542229E-2</c:v>
                </c:pt>
                <c:pt idx="80">
                  <c:v>2.9970772061542229E-2</c:v>
                </c:pt>
                <c:pt idx="81">
                  <c:v>2.9970772061542229E-2</c:v>
                </c:pt>
                <c:pt idx="82">
                  <c:v>2.9970772061542229E-2</c:v>
                </c:pt>
                <c:pt idx="83">
                  <c:v>2.9970772061542229E-2</c:v>
                </c:pt>
                <c:pt idx="84">
                  <c:v>2.9970772061542229E-2</c:v>
                </c:pt>
                <c:pt idx="85">
                  <c:v>2.9970772061542229E-2</c:v>
                </c:pt>
                <c:pt idx="86">
                  <c:v>2.9970772061542229E-2</c:v>
                </c:pt>
                <c:pt idx="87">
                  <c:v>2.9970772061542229E-2</c:v>
                </c:pt>
                <c:pt idx="88">
                  <c:v>2.9970772061542229E-2</c:v>
                </c:pt>
                <c:pt idx="89">
                  <c:v>2.9970772061542229E-2</c:v>
                </c:pt>
                <c:pt idx="90">
                  <c:v>2.9970772061542229E-2</c:v>
                </c:pt>
                <c:pt idx="91">
                  <c:v>2.9970772061542229E-2</c:v>
                </c:pt>
                <c:pt idx="92">
                  <c:v>2.9970772061542229E-2</c:v>
                </c:pt>
                <c:pt idx="93">
                  <c:v>2.9970772061542229E-2</c:v>
                </c:pt>
                <c:pt idx="94">
                  <c:v>2.9970772061542229E-2</c:v>
                </c:pt>
                <c:pt idx="95">
                  <c:v>2.9970772061542229E-2</c:v>
                </c:pt>
                <c:pt idx="96">
                  <c:v>2.9970772061542229E-2</c:v>
                </c:pt>
                <c:pt idx="97">
                  <c:v>2.9970772061542229E-2</c:v>
                </c:pt>
                <c:pt idx="98">
                  <c:v>2.9970772061542229E-2</c:v>
                </c:pt>
                <c:pt idx="99">
                  <c:v>2.9970772061542229E-2</c:v>
                </c:pt>
                <c:pt idx="100">
                  <c:v>4.0156342256555538E-2</c:v>
                </c:pt>
                <c:pt idx="101">
                  <c:v>4.0156342256555538E-2</c:v>
                </c:pt>
                <c:pt idx="102">
                  <c:v>4.0156342256555538E-2</c:v>
                </c:pt>
                <c:pt idx="103">
                  <c:v>4.0156342256555538E-2</c:v>
                </c:pt>
                <c:pt idx="104">
                  <c:v>5.112574776133804E-2</c:v>
                </c:pt>
                <c:pt idx="105">
                  <c:v>5.112574776133804E-2</c:v>
                </c:pt>
                <c:pt idx="106">
                  <c:v>5.112574776133804E-2</c:v>
                </c:pt>
                <c:pt idx="107">
                  <c:v>5.112574776133804E-2</c:v>
                </c:pt>
                <c:pt idx="108">
                  <c:v>5.112574776133804E-2</c:v>
                </c:pt>
                <c:pt idx="109">
                  <c:v>5.112574776133804E-2</c:v>
                </c:pt>
                <c:pt idx="110">
                  <c:v>5.112574776133804E-2</c:v>
                </c:pt>
                <c:pt idx="111">
                  <c:v>5.112574776133804E-2</c:v>
                </c:pt>
                <c:pt idx="112">
                  <c:v>5.112574776133804E-2</c:v>
                </c:pt>
                <c:pt idx="113">
                  <c:v>5.112574776133804E-2</c:v>
                </c:pt>
                <c:pt idx="114">
                  <c:v>5.112574776133804E-2</c:v>
                </c:pt>
                <c:pt idx="115">
                  <c:v>5.112574776133804E-2</c:v>
                </c:pt>
                <c:pt idx="116">
                  <c:v>5.112574776133804E-2</c:v>
                </c:pt>
                <c:pt idx="117">
                  <c:v>5.112574776133804E-2</c:v>
                </c:pt>
                <c:pt idx="118">
                  <c:v>5.112574776133804E-2</c:v>
                </c:pt>
                <c:pt idx="119">
                  <c:v>5.112574776133804E-2</c:v>
                </c:pt>
                <c:pt idx="120">
                  <c:v>5.112574776133804E-2</c:v>
                </c:pt>
                <c:pt idx="121">
                  <c:v>5.112574776133804E-2</c:v>
                </c:pt>
                <c:pt idx="122">
                  <c:v>5.112574776133804E-2</c:v>
                </c:pt>
                <c:pt idx="123">
                  <c:v>5.0457994415386211E-2</c:v>
                </c:pt>
                <c:pt idx="124">
                  <c:v>4.2165712017822113E-2</c:v>
                </c:pt>
                <c:pt idx="125">
                  <c:v>4.1316373125199313E-2</c:v>
                </c:pt>
                <c:pt idx="126">
                  <c:v>4.0031728086352511E-2</c:v>
                </c:pt>
                <c:pt idx="127">
                  <c:v>3.8845851495189009E-2</c:v>
                </c:pt>
                <c:pt idx="128">
                  <c:v>5.0670528469188909E-2</c:v>
                </c:pt>
                <c:pt idx="129">
                  <c:v>5.0428285497247149E-2</c:v>
                </c:pt>
                <c:pt idx="130">
                  <c:v>5.10566834106016E-2</c:v>
                </c:pt>
                <c:pt idx="131">
                  <c:v>5.6692879244714861E-2</c:v>
                </c:pt>
                <c:pt idx="132">
                  <c:v>5.6692879244714861E-2</c:v>
                </c:pt>
                <c:pt idx="133">
                  <c:v>5.6692879244714861E-2</c:v>
                </c:pt>
                <c:pt idx="134">
                  <c:v>5.6692879244714861E-2</c:v>
                </c:pt>
                <c:pt idx="135">
                  <c:v>5.6692879244714861E-2</c:v>
                </c:pt>
                <c:pt idx="136">
                  <c:v>5.6692879244714861E-2</c:v>
                </c:pt>
                <c:pt idx="137">
                  <c:v>5.6692879244714861E-2</c:v>
                </c:pt>
                <c:pt idx="138">
                  <c:v>5.6413411738394967E-2</c:v>
                </c:pt>
                <c:pt idx="139">
                  <c:v>5.5156705905807069E-2</c:v>
                </c:pt>
                <c:pt idx="140">
                  <c:v>5.5929735791843571E-2</c:v>
                </c:pt>
                <c:pt idx="141">
                  <c:v>5.2599315044584469E-2</c:v>
                </c:pt>
                <c:pt idx="142">
                  <c:v>5.0886128048819063E-2</c:v>
                </c:pt>
                <c:pt idx="143">
                  <c:v>5.4295602789238763E-2</c:v>
                </c:pt>
                <c:pt idx="144">
                  <c:v>5.3639073194236116E-2</c:v>
                </c:pt>
                <c:pt idx="145">
                  <c:v>5.6466913900787015E-2</c:v>
                </c:pt>
                <c:pt idx="146">
                  <c:v>5.3089577349569615E-2</c:v>
                </c:pt>
                <c:pt idx="147">
                  <c:v>5.5365242409651017E-2</c:v>
                </c:pt>
                <c:pt idx="148">
                  <c:v>6.0316922042800016E-2</c:v>
                </c:pt>
                <c:pt idx="149">
                  <c:v>6.0316922042800016E-2</c:v>
                </c:pt>
                <c:pt idx="150">
                  <c:v>6.0316922042800016E-2</c:v>
                </c:pt>
                <c:pt idx="151">
                  <c:v>6.0316922042800016E-2</c:v>
                </c:pt>
                <c:pt idx="152">
                  <c:v>6.0316922042800016E-2</c:v>
                </c:pt>
                <c:pt idx="153">
                  <c:v>6.0316922042800016E-2</c:v>
                </c:pt>
                <c:pt idx="154">
                  <c:v>6.0316922042800016E-2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4-4304-A6A6-A8012C280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C172E-FA42-448C-B384-991E87E3D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DA97AE-6EBE-43A5-8A59-F711481CA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5605BA-BD2B-41D7-8FEF-794799F575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657DCF-30BF-4A4D-81A5-EAB7357C7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E5BDDF-C223-45C0-ACEB-ED4D38711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726871-5129-4F52-B2CE-B54F1FBDA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03444D-5E3D-41D3-BE76-630090609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UA_UAA_0.xlsx" TargetMode="External"/><Relationship Id="rId1" Type="http://schemas.openxmlformats.org/officeDocument/2006/relationships/externalLinkPath" Target="UA_UAA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UAA/UA avg</v>
          </cell>
          <cell r="P1" t="str">
            <v>UAA/UA 10 dma</v>
          </cell>
          <cell r="Q1" t="str">
            <v>UAA/UA 20 dma</v>
          </cell>
          <cell r="U1" t="str">
            <v>log diff UA x avg / UAA</v>
          </cell>
          <cell r="V1" t="str">
            <v>log diff UA x 10 dma / UAA</v>
          </cell>
          <cell r="W1" t="str">
            <v>log diff UA x 20 dma / UAA</v>
          </cell>
          <cell r="Y1" t="str">
            <v>UAA*/UA* avg</v>
          </cell>
          <cell r="Z1" t="str">
            <v>UAA*/UA* 10 dma</v>
          </cell>
          <cell r="AA1" t="str">
            <v>UAA*/UA* 20 dma</v>
          </cell>
          <cell r="AF1" t="str">
            <v>log diff UA* x 10 dma / UAA*</v>
          </cell>
          <cell r="AG1" t="str">
            <v>log diff UA* x 20 dma / UAA*</v>
          </cell>
        </row>
        <row r="2">
          <cell r="O2">
            <v>1.0269470164915</v>
          </cell>
          <cell r="Y2">
            <v>1.0269470164915</v>
          </cell>
        </row>
        <row r="3">
          <cell r="O3">
            <v>1.0269470164915</v>
          </cell>
          <cell r="U3">
            <v>-2.25688969057866E-2</v>
          </cell>
          <cell r="Y3">
            <v>1.0269470164915</v>
          </cell>
        </row>
        <row r="4">
          <cell r="O4">
            <v>1.0269470164915</v>
          </cell>
          <cell r="U4">
            <v>-2.0180775140098899E-2</v>
          </cell>
          <cell r="Y4">
            <v>1.0269470164915</v>
          </cell>
        </row>
        <row r="5">
          <cell r="O5">
            <v>1.0269470164915</v>
          </cell>
          <cell r="U5">
            <v>-1.44502108179704E-2</v>
          </cell>
          <cell r="Y5">
            <v>1.0269470164915</v>
          </cell>
        </row>
        <row r="6">
          <cell r="O6">
            <v>1.0269470164915</v>
          </cell>
          <cell r="U6">
            <v>-7.3112126233846999E-3</v>
          </cell>
          <cell r="Y6">
            <v>1.0269470164915</v>
          </cell>
        </row>
        <row r="7">
          <cell r="O7">
            <v>1.0269470164915</v>
          </cell>
          <cell r="U7">
            <v>-5.8449367008569604E-3</v>
          </cell>
          <cell r="Y7">
            <v>1.0269470164915</v>
          </cell>
        </row>
        <row r="8">
          <cell r="O8">
            <v>1.0269470164915</v>
          </cell>
          <cell r="U8">
            <v>-7.9899945444822998E-3</v>
          </cell>
          <cell r="Y8">
            <v>1.0269470164915</v>
          </cell>
        </row>
        <row r="9">
          <cell r="O9">
            <v>1.0269470164915</v>
          </cell>
          <cell r="U9">
            <v>-2.3447718071554998E-3</v>
          </cell>
          <cell r="Y9">
            <v>1.0269470164915</v>
          </cell>
        </row>
        <row r="10">
          <cell r="O10">
            <v>1.0269470164915</v>
          </cell>
          <cell r="U10">
            <v>-8.5009807589733494E-3</v>
          </cell>
          <cell r="Y10">
            <v>1.0269470164915</v>
          </cell>
        </row>
        <row r="11">
          <cell r="O11">
            <v>1.0269470164915</v>
          </cell>
          <cell r="P11">
            <v>1.0383521716648301</v>
          </cell>
          <cell r="U11">
            <v>-5.1583592622834896E-3</v>
          </cell>
          <cell r="Y11">
            <v>1.0269470164915</v>
          </cell>
          <cell r="Z11">
            <v>1.0383521716648301</v>
          </cell>
        </row>
        <row r="12">
          <cell r="O12">
            <v>1.0269470164915</v>
          </cell>
          <cell r="P12">
            <v>1.0355946434915899</v>
          </cell>
          <cell r="U12">
            <v>1.08969045062502E-2</v>
          </cell>
          <cell r="V12">
            <v>2.1941571716058501E-2</v>
          </cell>
          <cell r="Y12">
            <v>1.0269470164915</v>
          </cell>
          <cell r="Z12">
            <v>1.0355946434915899</v>
          </cell>
          <cell r="AF12">
            <v>2.1941571716058501E-2</v>
          </cell>
        </row>
        <row r="13">
          <cell r="O13">
            <v>1.0269470164915</v>
          </cell>
          <cell r="P13">
            <v>1.0325097026293799</v>
          </cell>
          <cell r="U13">
            <v>7.2405708724207199E-3</v>
          </cell>
          <cell r="V13">
            <v>1.5626028330031301E-2</v>
          </cell>
          <cell r="Y13">
            <v>1.0269470164915</v>
          </cell>
          <cell r="Z13">
            <v>1.0325097026293799</v>
          </cell>
          <cell r="AF13">
            <v>1.5626028330031301E-2</v>
          </cell>
        </row>
        <row r="14">
          <cell r="O14">
            <v>1.0269470164915</v>
          </cell>
          <cell r="P14">
            <v>1.0291993215137001</v>
          </cell>
          <cell r="U14">
            <v>1.1920149304503001E-2</v>
          </cell>
          <cell r="V14">
            <v>1.7322253280844802E-2</v>
          </cell>
          <cell r="Y14">
            <v>1.0269470164915</v>
          </cell>
          <cell r="Z14">
            <v>1.0291993215137001</v>
          </cell>
          <cell r="AF14">
            <v>1.7322253280844802E-2</v>
          </cell>
        </row>
        <row r="15">
          <cell r="O15">
            <v>1.0269470164915</v>
          </cell>
          <cell r="P15">
            <v>1.02809931707103</v>
          </cell>
          <cell r="U15">
            <v>-3.8363475784111401E-3</v>
          </cell>
          <cell r="V15">
            <v>-1.6455444420590899E-3</v>
          </cell>
          <cell r="Y15">
            <v>1.0269470164915</v>
          </cell>
          <cell r="Z15">
            <v>1.02809931707103</v>
          </cell>
          <cell r="AF15">
            <v>-1.6455444420590899E-3</v>
          </cell>
        </row>
        <row r="16">
          <cell r="O16">
            <v>1.0269470164915</v>
          </cell>
          <cell r="P16">
            <v>1.0269054695503499</v>
          </cell>
          <cell r="U16">
            <v>4.2964220930839002E-3</v>
          </cell>
          <cell r="V16">
            <v>5.4178573439355397E-3</v>
          </cell>
          <cell r="Y16">
            <v>1.0269470164915</v>
          </cell>
          <cell r="Z16">
            <v>1.0269054695503499</v>
          </cell>
          <cell r="AF16">
            <v>5.4178573439355397E-3</v>
          </cell>
        </row>
        <row r="17">
          <cell r="O17">
            <v>1.0269470164915</v>
          </cell>
          <cell r="P17">
            <v>1.02538010280759</v>
          </cell>
          <cell r="U17">
            <v>9.0320268389179406E-3</v>
          </cell>
          <cell r="V17">
            <v>8.9915692681434203E-3</v>
          </cell>
          <cell r="Y17">
            <v>1.0269470164915</v>
          </cell>
          <cell r="Z17">
            <v>1.02538010280759</v>
          </cell>
          <cell r="AF17">
            <v>8.9915692681434203E-3</v>
          </cell>
        </row>
        <row r="18">
          <cell r="O18">
            <v>1.0269470164915</v>
          </cell>
          <cell r="P18">
            <v>1.0237939514388299</v>
          </cell>
          <cell r="U18">
            <v>7.45099884159936E-3</v>
          </cell>
          <cell r="V18">
            <v>5.9240356458898696E-3</v>
          </cell>
          <cell r="Y18">
            <v>1.0269470164915</v>
          </cell>
          <cell r="Z18">
            <v>1.0237939514388299</v>
          </cell>
          <cell r="AF18">
            <v>5.9240356458898696E-3</v>
          </cell>
        </row>
        <row r="19">
          <cell r="O19">
            <v>1.0269470164915</v>
          </cell>
          <cell r="P19">
            <v>1.0223631883447299</v>
          </cell>
          <cell r="U19">
            <v>1.1652301943430299E-2</v>
          </cell>
          <cell r="V19">
            <v>8.5772499631187396E-3</v>
          </cell>
          <cell r="Y19">
            <v>1.0269470164915</v>
          </cell>
          <cell r="Z19">
            <v>1.0223631883447299</v>
          </cell>
          <cell r="AF19">
            <v>8.5772499631187396E-3</v>
          </cell>
        </row>
        <row r="20">
          <cell r="O20">
            <v>1.0269470164915</v>
          </cell>
          <cell r="P20">
            <v>1.0208153685422701</v>
          </cell>
          <cell r="U20">
            <v>6.5562800191807597E-3</v>
          </cell>
          <cell r="V20">
            <v>2.0827398196860002E-3</v>
          </cell>
          <cell r="Y20">
            <v>1.0269470164915</v>
          </cell>
          <cell r="Z20">
            <v>1.0208153685422701</v>
          </cell>
          <cell r="AF20">
            <v>2.0827398196860002E-3</v>
          </cell>
        </row>
        <row r="21">
          <cell r="O21">
            <v>1.0269470164915</v>
          </cell>
          <cell r="P21">
            <v>1.01923700854865</v>
          </cell>
          <cell r="Q21">
            <v>1.0287945901067399</v>
          </cell>
          <cell r="U21">
            <v>1.0250106206407299E-2</v>
          </cell>
          <cell r="V21">
            <v>4.2614560393257599E-3</v>
          </cell>
          <cell r="Y21">
            <v>1.0269470164915</v>
          </cell>
          <cell r="Z21">
            <v>1.01923700854865</v>
          </cell>
          <cell r="AA21">
            <v>1.0287945901067399</v>
          </cell>
          <cell r="AF21">
            <v>4.2614560393257599E-3</v>
          </cell>
        </row>
        <row r="22">
          <cell r="O22">
            <v>1.0269470164915</v>
          </cell>
          <cell r="P22">
            <v>1.0194704677469399</v>
          </cell>
          <cell r="Q22">
            <v>1.02753255561926</v>
          </cell>
          <cell r="U22">
            <v>8.60130121622334E-3</v>
          </cell>
          <cell r="V22">
            <v>1.0652787107865E-3</v>
          </cell>
          <cell r="W22">
            <v>1.0398778201417901E-2</v>
          </cell>
          <cell r="Y22">
            <v>1.0269470164915</v>
          </cell>
          <cell r="Z22">
            <v>1.0194704677469399</v>
          </cell>
          <cell r="AA22">
            <v>1.02753255561926</v>
          </cell>
          <cell r="AF22">
            <v>1.0652787107865E-3</v>
          </cell>
          <cell r="AG22">
            <v>1.0398778201417901E-2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1.0269470164915</v>
          </cell>
          <cell r="P23">
            <v>1.01931110242657</v>
          </cell>
          <cell r="Q23">
            <v>1.0259104025279699</v>
          </cell>
          <cell r="U23">
            <v>8.8049066190804496E-3</v>
          </cell>
          <cell r="V23">
            <v>1.4979107906214499E-3</v>
          </cell>
          <cell r="W23">
            <v>9.3749187540920192E-3</v>
          </cell>
          <cell r="Y23">
            <v>1.0269470164915</v>
          </cell>
          <cell r="Z23">
            <v>1.01931110242657</v>
          </cell>
          <cell r="AA23">
            <v>1.0259104025279699</v>
          </cell>
          <cell r="AF23">
            <v>1.4979107906214499E-3</v>
          </cell>
          <cell r="AG23">
            <v>9.3749187540920192E-3</v>
          </cell>
          <cell r="AR23">
            <v>0</v>
          </cell>
          <cell r="BC23">
            <v>-2.0360540285709917E-4</v>
          </cell>
          <cell r="BF23">
            <v>-2.0360540285709917E-4</v>
          </cell>
        </row>
        <row r="24">
          <cell r="O24">
            <v>1.0269470164915</v>
          </cell>
          <cell r="P24">
            <v>1.0193693682245499</v>
          </cell>
          <cell r="Q24">
            <v>1.0242843448691199</v>
          </cell>
          <cell r="U24">
            <v>1.1346141409179699E-2</v>
          </cell>
          <cell r="V24">
            <v>3.8828116967736799E-3</v>
          </cell>
          <cell r="W24">
            <v>1.0336218321458099E-2</v>
          </cell>
          <cell r="Y24">
            <v>1.0269470164915</v>
          </cell>
          <cell r="Z24">
            <v>1.0193693682245499</v>
          </cell>
          <cell r="AA24">
            <v>1.0242843448691199</v>
          </cell>
          <cell r="AF24">
            <v>3.8828116967736799E-3</v>
          </cell>
          <cell r="AG24">
            <v>1.0336218321458099E-2</v>
          </cell>
          <cell r="AR24">
            <v>0</v>
          </cell>
          <cell r="BC24">
            <v>-2.7448401929563038E-3</v>
          </cell>
          <cell r="BF24">
            <v>-2.7448401929563038E-3</v>
          </cell>
        </row>
        <row r="25">
          <cell r="O25">
            <v>1.0269470164915</v>
          </cell>
          <cell r="P25">
            <v>1.0183937584684499</v>
          </cell>
          <cell r="Q25">
            <v>1.02324653776974</v>
          </cell>
          <cell r="U25">
            <v>5.6724403906159501E-3</v>
          </cell>
          <cell r="V25">
            <v>-1.7337290175331E-3</v>
          </cell>
          <cell r="W25">
            <v>3.0762699457890599E-3</v>
          </cell>
          <cell r="Y25">
            <v>1.0269470164915</v>
          </cell>
          <cell r="Z25">
            <v>1.0183937584684499</v>
          </cell>
          <cell r="AA25">
            <v>1.02324653776974</v>
          </cell>
          <cell r="AF25">
            <v>-1.7337290175331E-3</v>
          </cell>
          <cell r="AG25">
            <v>3.0762699457890599E-3</v>
          </cell>
          <cell r="AR25">
            <v>0</v>
          </cell>
          <cell r="BC25">
            <v>2.9288608256073014E-3</v>
          </cell>
          <cell r="BF25">
            <v>2.9288608256073014E-3</v>
          </cell>
        </row>
        <row r="26">
          <cell r="O26">
            <v>1.0269470164915</v>
          </cell>
          <cell r="P26">
            <v>1.0191366053314199</v>
          </cell>
          <cell r="Q26">
            <v>1.0230210374408899</v>
          </cell>
          <cell r="U26">
            <v>-2.9420085127205499E-3</v>
          </cell>
          <cell r="V26">
            <v>-1.1305708085058E-2</v>
          </cell>
          <cell r="W26">
            <v>-6.55189474279377E-3</v>
          </cell>
          <cell r="Y26">
            <v>1.0269470164915</v>
          </cell>
          <cell r="Z26">
            <v>1.0191366053314199</v>
          </cell>
          <cell r="AA26">
            <v>1.0230210374408899</v>
          </cell>
          <cell r="AF26">
            <v>-1.1305708085058E-2</v>
          </cell>
          <cell r="AG26">
            <v>-6.55189474279377E-3</v>
          </cell>
          <cell r="AR26">
            <v>0</v>
          </cell>
          <cell r="BC26">
            <v>1.1543309728944287E-2</v>
          </cell>
          <cell r="BF26">
            <v>1.1543309728944287E-2</v>
          </cell>
        </row>
        <row r="27">
          <cell r="O27">
            <v>1.0269470164915</v>
          </cell>
          <cell r="P27">
            <v>1.0199762348349199</v>
          </cell>
          <cell r="Q27">
            <v>1.0226781688212601</v>
          </cell>
          <cell r="U27">
            <v>8.1571636368149103E-4</v>
          </cell>
          <cell r="V27">
            <v>-6.81881920787724E-3</v>
          </cell>
          <cell r="W27">
            <v>-3.0145714722220399E-3</v>
          </cell>
          <cell r="Y27">
            <v>1.0269470164915</v>
          </cell>
          <cell r="Z27">
            <v>1.0199762348349199</v>
          </cell>
          <cell r="AA27">
            <v>1.0226781688212601</v>
          </cell>
          <cell r="AF27">
            <v>-6.81881920787724E-3</v>
          </cell>
          <cell r="AG27">
            <v>-3.0145714722220399E-3</v>
          </cell>
          <cell r="AR27">
            <v>3.7577248764019966E-3</v>
          </cell>
          <cell r="BC27">
            <v>1.1543309728944287E-2</v>
          </cell>
          <cell r="BF27">
            <v>1.5301034605346283E-2</v>
          </cell>
        </row>
        <row r="28">
          <cell r="O28">
            <v>1.0269470164915</v>
          </cell>
          <cell r="P28">
            <v>1.0216988384454</v>
          </cell>
          <cell r="Q28">
            <v>1.0227463949421101</v>
          </cell>
          <cell r="U28">
            <v>-9.3072698572803092E-3</v>
          </cell>
          <cell r="V28">
            <v>-1.61182810662737E-2</v>
          </cell>
          <cell r="W28">
            <v>-1.3472766918266099E-2</v>
          </cell>
          <cell r="Y28">
            <v>1.0269470164915</v>
          </cell>
          <cell r="Z28">
            <v>1.0216988384454</v>
          </cell>
          <cell r="AA28">
            <v>1.0227463949421101</v>
          </cell>
          <cell r="AF28">
            <v>-1.61182810662737E-2</v>
          </cell>
          <cell r="AG28">
            <v>-1.3472766918266099E-2</v>
          </cell>
          <cell r="AR28">
            <v>-6.3652613445590034E-3</v>
          </cell>
          <cell r="BC28">
            <v>1.1543309728944287E-2</v>
          </cell>
          <cell r="BF28">
            <v>5.1780483843852834E-3</v>
          </cell>
        </row>
        <row r="29">
          <cell r="O29">
            <v>1.0269470164915</v>
          </cell>
          <cell r="P29">
            <v>1.02360122913039</v>
          </cell>
          <cell r="Q29">
            <v>1.02298220873756</v>
          </cell>
          <cell r="U29">
            <v>-6.9160728375459403E-3</v>
          </cell>
          <cell r="V29">
            <v>-1.20396421594602E-2</v>
          </cell>
          <cell r="W29">
            <v>-1.1014858935838199E-2</v>
          </cell>
          <cell r="Y29">
            <v>1.0269470164915</v>
          </cell>
          <cell r="Z29">
            <v>1.02360122913039</v>
          </cell>
          <cell r="AA29">
            <v>1.02298220873756</v>
          </cell>
          <cell r="AF29">
            <v>-1.20396421594602E-2</v>
          </cell>
          <cell r="AG29">
            <v>-1.1014858935838199E-2</v>
          </cell>
          <cell r="AR29">
            <v>-3.9740643248247012E-3</v>
          </cell>
          <cell r="BC29">
            <v>1.1543309728944287E-2</v>
          </cell>
          <cell r="BF29">
            <v>7.5692454041195855E-3</v>
          </cell>
        </row>
        <row r="30">
          <cell r="O30">
            <v>1.0269470164915</v>
          </cell>
          <cell r="P30">
            <v>1.0245058780481</v>
          </cell>
          <cell r="Q30">
            <v>1.02266062329518</v>
          </cell>
          <cell r="U30">
            <v>-2.2716931875780598E-3</v>
          </cell>
          <cell r="V30">
            <v>-5.5350061453839404E-3</v>
          </cell>
          <cell r="W30">
            <v>-6.1399366849924997E-3</v>
          </cell>
          <cell r="Y30">
            <v>1.0269470164915</v>
          </cell>
          <cell r="Z30">
            <v>1.0245058780481</v>
          </cell>
          <cell r="AA30">
            <v>1.02266062329518</v>
          </cell>
          <cell r="AF30">
            <v>-5.5350061453839404E-3</v>
          </cell>
          <cell r="AG30">
            <v>-6.1399366849924997E-3</v>
          </cell>
          <cell r="AR30">
            <v>6.7031532514309853E-4</v>
          </cell>
          <cell r="BC30">
            <v>1.1543309728944287E-2</v>
          </cell>
          <cell r="BF30">
            <v>1.2213625054087386E-2</v>
          </cell>
        </row>
        <row r="31">
          <cell r="O31">
            <v>1.0269470164915</v>
          </cell>
          <cell r="P31">
            <v>1.0260148160951299</v>
          </cell>
          <cell r="Q31">
            <v>1.0226259123218899</v>
          </cell>
          <cell r="U31">
            <v>-4.4856079082260698E-3</v>
          </cell>
          <cell r="V31">
            <v>-6.8655208003163496E-3</v>
          </cell>
          <cell r="W31">
            <v>-8.6682615656053091E-3</v>
          </cell>
          <cell r="Y31">
            <v>1.0269470164915</v>
          </cell>
          <cell r="Z31">
            <v>1.0260148160951299</v>
          </cell>
          <cell r="AA31">
            <v>1.0226259123218899</v>
          </cell>
          <cell r="AF31">
            <v>-6.8655208003163496E-3</v>
          </cell>
          <cell r="AG31">
            <v>-8.6682615656053091E-3</v>
          </cell>
          <cell r="AR31">
            <v>-1.5435993955049991E-3</v>
          </cell>
          <cell r="BC31">
            <v>1.1543309728944287E-2</v>
          </cell>
          <cell r="BF31">
            <v>9.9997103334392885E-3</v>
          </cell>
        </row>
        <row r="32">
          <cell r="O32">
            <v>1.0269470164915</v>
          </cell>
          <cell r="P32">
            <v>1.02658690248149</v>
          </cell>
          <cell r="Q32">
            <v>1.0230286851142101</v>
          </cell>
          <cell r="U32">
            <v>2.9981570354766199E-3</v>
          </cell>
          <cell r="V32">
            <v>2.0900052660270101E-3</v>
          </cell>
          <cell r="W32">
            <v>-1.21843902820548E-3</v>
          </cell>
          <cell r="Y32">
            <v>1.0269470164915</v>
          </cell>
          <cell r="Z32">
            <v>1.02658690248149</v>
          </cell>
          <cell r="AA32">
            <v>1.0230286851142101</v>
          </cell>
          <cell r="AF32">
            <v>2.0900052660270101E-3</v>
          </cell>
          <cell r="AG32">
            <v>-1.21843902820548E-3</v>
          </cell>
          <cell r="AR32">
            <v>5.9401655481976902E-3</v>
          </cell>
          <cell r="BC32">
            <v>1.1543309728944287E-2</v>
          </cell>
          <cell r="BF32">
            <v>1.7483475277141978E-2</v>
          </cell>
        </row>
        <row r="33">
          <cell r="O33">
            <v>1.0269470164915</v>
          </cell>
          <cell r="P33">
            <v>1.0278068657500301</v>
          </cell>
          <cell r="Q33">
            <v>1.0235589840882999</v>
          </cell>
          <cell r="U33">
            <v>-3.1084220924528301E-3</v>
          </cell>
          <cell r="V33">
            <v>-3.4591482337417898E-3</v>
          </cell>
          <cell r="W33">
            <v>-6.9312343785271797E-3</v>
          </cell>
          <cell r="Y33">
            <v>1.0269470164915</v>
          </cell>
          <cell r="Z33">
            <v>1.0278068657500301</v>
          </cell>
          <cell r="AA33">
            <v>1.0235589840882999</v>
          </cell>
          <cell r="AF33">
            <v>-3.4591482337417898E-3</v>
          </cell>
          <cell r="AG33">
            <v>-6.9312343785271797E-3</v>
          </cell>
          <cell r="AR33">
            <v>5.9401655481976902E-3</v>
          </cell>
          <cell r="BC33">
            <v>1.1543309728944287E-2</v>
          </cell>
          <cell r="BF33">
            <v>1.7483475277141978E-2</v>
          </cell>
        </row>
        <row r="34">
          <cell r="O34">
            <v>1.0269470164915</v>
          </cell>
          <cell r="P34">
            <v>1.0292080171059601</v>
          </cell>
          <cell r="Q34">
            <v>1.0242886926652499</v>
          </cell>
          <cell r="U34">
            <v>-2.3590509938131899E-3</v>
          </cell>
          <cell r="V34">
            <v>-1.52211444763699E-3</v>
          </cell>
          <cell r="W34">
            <v>-5.6636357991538197E-3</v>
          </cell>
          <cell r="Y34">
            <v>1.0269470164915</v>
          </cell>
          <cell r="Z34">
            <v>1.0292080171059601</v>
          </cell>
          <cell r="AA34">
            <v>1.0242886926652499</v>
          </cell>
          <cell r="AF34">
            <v>-1.52211444763699E-3</v>
          </cell>
          <cell r="AG34">
            <v>-5.6636357991538197E-3</v>
          </cell>
          <cell r="AR34">
            <v>6.6895366468372923E-3</v>
          </cell>
          <cell r="BC34">
            <v>1.1543309728944287E-2</v>
          </cell>
          <cell r="BF34">
            <v>1.823284637578158E-2</v>
          </cell>
        </row>
        <row r="35">
          <cell r="O35">
            <v>1.0269470164915</v>
          </cell>
          <cell r="P35">
            <v>1.0303936883535401</v>
          </cell>
          <cell r="Q35">
            <v>1.0243937234109901</v>
          </cell>
          <cell r="U35">
            <v>-5.8719370923645499E-3</v>
          </cell>
          <cell r="V35">
            <v>-3.6726851013098101E-3</v>
          </cell>
          <cell r="W35">
            <v>-8.4638628302161206E-3</v>
          </cell>
          <cell r="Y35">
            <v>1.0269470164915</v>
          </cell>
          <cell r="Z35">
            <v>1.0303936883535401</v>
          </cell>
          <cell r="AA35">
            <v>1.0243937234109901</v>
          </cell>
          <cell r="AF35">
            <v>-3.6726851013098101E-3</v>
          </cell>
          <cell r="AG35">
            <v>-8.4638628302161206E-3</v>
          </cell>
          <cell r="AR35">
            <v>3.1766505482860976E-3</v>
          </cell>
          <cell r="BC35">
            <v>1.1543309728944287E-2</v>
          </cell>
          <cell r="BF35">
            <v>1.4719960277230385E-2</v>
          </cell>
        </row>
        <row r="36">
          <cell r="O36">
            <v>1.0269470164915</v>
          </cell>
          <cell r="P36">
            <v>1.0296782923438099</v>
          </cell>
          <cell r="Q36">
            <v>1.02440744883762</v>
          </cell>
          <cell r="U36">
            <v>4.0280017452101E-3</v>
          </cell>
          <cell r="V36">
            <v>7.3786136088193899E-3</v>
          </cell>
          <cell r="W36">
            <v>1.53861092932258E-3</v>
          </cell>
          <cell r="Y36">
            <v>1.0269470164915</v>
          </cell>
          <cell r="Z36">
            <v>1.0296782923438099</v>
          </cell>
          <cell r="AA36">
            <v>1.02440744883762</v>
          </cell>
          <cell r="AF36">
            <v>7.3786136088193899E-3</v>
          </cell>
          <cell r="AG36">
            <v>1.53861092932258E-3</v>
          </cell>
          <cell r="AR36">
            <v>1.3076589385860694E-2</v>
          </cell>
          <cell r="BC36">
            <v>1.1543309728944287E-2</v>
          </cell>
          <cell r="BF36">
            <v>2.4619899114804982E-2</v>
          </cell>
        </row>
        <row r="37">
          <cell r="O37">
            <v>1.0269470164915</v>
          </cell>
          <cell r="P37">
            <v>1.02985247217496</v>
          </cell>
          <cell r="Q37">
            <v>1.0249143535049401</v>
          </cell>
          <cell r="U37">
            <v>-8.8032229309416201E-4</v>
          </cell>
          <cell r="V37">
            <v>1.77575457835037E-3</v>
          </cell>
          <cell r="W37">
            <v>-3.3563146135013001E-3</v>
          </cell>
          <cell r="Y37">
            <v>1.0269470164915</v>
          </cell>
          <cell r="Z37">
            <v>1.02985247217496</v>
          </cell>
          <cell r="AA37">
            <v>1.0249143535049401</v>
          </cell>
          <cell r="AF37">
            <v>1.77575457835037E-3</v>
          </cell>
          <cell r="AG37">
            <v>-3.3563146135013001E-3</v>
          </cell>
          <cell r="AR37">
            <v>1.3076589385860694E-2</v>
          </cell>
          <cell r="BC37">
            <v>1.1543309728944287E-2</v>
          </cell>
          <cell r="BF37">
            <v>2.4619899114804982E-2</v>
          </cell>
        </row>
        <row r="38">
          <cell r="O38">
            <v>1.0269470164915</v>
          </cell>
          <cell r="P38">
            <v>1.02932250141473</v>
          </cell>
          <cell r="Q38">
            <v>1.02551066993006</v>
          </cell>
          <cell r="U38">
            <v>-4.1813196144568701E-3</v>
          </cell>
          <cell r="V38">
            <v>-1.3560975818242599E-3</v>
          </cell>
          <cell r="W38">
            <v>-6.1626071236595302E-3</v>
          </cell>
          <cell r="Y38">
            <v>1.0269470164915</v>
          </cell>
          <cell r="Z38">
            <v>1.02932250141473</v>
          </cell>
          <cell r="AA38">
            <v>1.02551066993006</v>
          </cell>
          <cell r="AF38">
            <v>-1.3560975818242599E-3</v>
          </cell>
          <cell r="AG38">
            <v>-6.1626071236595302E-3</v>
          </cell>
          <cell r="AR38">
            <v>1.3076589385860694E-2</v>
          </cell>
          <cell r="BC38">
            <v>1.1543309728944287E-2</v>
          </cell>
          <cell r="BF38">
            <v>2.4619899114804982E-2</v>
          </cell>
        </row>
        <row r="39">
          <cell r="O39">
            <v>1.0269470164915</v>
          </cell>
          <cell r="P39">
            <v>1.0291671265276501</v>
          </cell>
          <cell r="Q39">
            <v>1.0263841778290199</v>
          </cell>
          <cell r="U39">
            <v>-5.4123920338769596E-3</v>
          </cell>
          <cell r="V39">
            <v>-3.1019108841056999E-3</v>
          </cell>
          <cell r="W39">
            <v>-6.8120279975538997E-3</v>
          </cell>
          <cell r="Y39">
            <v>1.0269470164915</v>
          </cell>
          <cell r="Z39">
            <v>1.0291671265276501</v>
          </cell>
          <cell r="AA39">
            <v>1.0263841778290199</v>
          </cell>
          <cell r="AF39">
            <v>-3.1019108841056999E-3</v>
          </cell>
          <cell r="AG39">
            <v>-6.8120279975538997E-3</v>
          </cell>
          <cell r="AR39">
            <v>1.1845516966440473E-2</v>
          </cell>
          <cell r="BC39">
            <v>1.1543309728944287E-2</v>
          </cell>
          <cell r="BF39">
            <v>2.3388826695384762E-2</v>
          </cell>
        </row>
        <row r="40">
          <cell r="O40">
            <v>1.0269470164915</v>
          </cell>
          <cell r="P40">
            <v>1.02886680798343</v>
          </cell>
          <cell r="Q40">
            <v>1.02668634301577</v>
          </cell>
          <cell r="U40">
            <v>6.5031804368103599E-4</v>
          </cell>
          <cell r="V40">
            <v>2.8098391057566801E-3</v>
          </cell>
          <cell r="W40">
            <v>1.02097982412753E-4</v>
          </cell>
          <cell r="Y40">
            <v>1.0269470164915</v>
          </cell>
          <cell r="Z40">
            <v>1.02886680798343</v>
          </cell>
          <cell r="AA40">
            <v>1.02668634301577</v>
          </cell>
          <cell r="AF40">
            <v>2.8098391057566801E-3</v>
          </cell>
          <cell r="AG40">
            <v>1.02097982412753E-4</v>
          </cell>
          <cell r="AR40">
            <v>1.7908227043998571E-2</v>
          </cell>
          <cell r="BC40">
            <v>1.1543309728944287E-2</v>
          </cell>
          <cell r="BF40">
            <v>2.9451536772942859E-2</v>
          </cell>
        </row>
        <row r="41">
          <cell r="O41">
            <v>1.0269470164915</v>
          </cell>
          <cell r="P41">
            <v>1.0279735069296101</v>
          </cell>
          <cell r="Q41">
            <v>1.0269941615123701</v>
          </cell>
          <cell r="U41">
            <v>4.2117827901047697E-3</v>
          </cell>
          <cell r="V41">
            <v>6.0794539061613598E-3</v>
          </cell>
          <cell r="W41">
            <v>3.9579171466310702E-3</v>
          </cell>
          <cell r="Y41">
            <v>1.0269470164915</v>
          </cell>
          <cell r="Z41">
            <v>1.0279735069296101</v>
          </cell>
          <cell r="AA41">
            <v>1.0269941615123701</v>
          </cell>
          <cell r="AF41">
            <v>6.0794539061613598E-3</v>
          </cell>
          <cell r="AG41">
            <v>3.9579171466310702E-3</v>
          </cell>
          <cell r="AR41">
            <v>1.7908227043998571E-2</v>
          </cell>
          <cell r="BC41">
            <v>1.1543309728944287E-2</v>
          </cell>
          <cell r="BF41">
            <v>2.9451536772942859E-2</v>
          </cell>
        </row>
        <row r="42">
          <cell r="O42">
            <v>1.0269470164915</v>
          </cell>
          <cell r="P42">
            <v>1.02773831936944</v>
          </cell>
          <cell r="Q42">
            <v>1.0271626109254599</v>
          </cell>
          <cell r="U42">
            <v>5.2978384008447897E-3</v>
          </cell>
          <cell r="V42">
            <v>6.2968945801870997E-3</v>
          </cell>
          <cell r="W42">
            <v>5.3437452859921297E-3</v>
          </cell>
          <cell r="Y42">
            <v>1.0269470164915</v>
          </cell>
          <cell r="Z42">
            <v>1.02773831936944</v>
          </cell>
          <cell r="AA42">
            <v>1.0271626109254599</v>
          </cell>
          <cell r="AF42">
            <v>6.2968945801870997E-3</v>
          </cell>
          <cell r="AG42">
            <v>5.3437452859921297E-3</v>
          </cell>
          <cell r="AR42">
            <v>1.7908227043998571E-2</v>
          </cell>
          <cell r="BC42">
            <v>1.1543309728944287E-2</v>
          </cell>
          <cell r="BF42">
            <v>2.9451536772942859E-2</v>
          </cell>
        </row>
        <row r="43">
          <cell r="O43">
            <v>1.0269470164915</v>
          </cell>
          <cell r="P43">
            <v>1.02651494736967</v>
          </cell>
          <cell r="Q43">
            <v>1.0271609065598499</v>
          </cell>
          <cell r="U43">
            <v>8.8383935938463505E-3</v>
          </cell>
          <cell r="V43">
            <v>9.6086360278049496E-3</v>
          </cell>
          <cell r="W43">
            <v>9.0483088114913599E-3</v>
          </cell>
          <cell r="Y43">
            <v>1.0269470164915</v>
          </cell>
          <cell r="Z43">
            <v>1.02651494736967</v>
          </cell>
          <cell r="AA43">
            <v>1.0271609065598499</v>
          </cell>
          <cell r="AF43">
            <v>9.6086360278049496E-3</v>
          </cell>
          <cell r="AG43">
            <v>9.0483088114913599E-3</v>
          </cell>
          <cell r="AR43">
            <v>1.7908227043998571E-2</v>
          </cell>
          <cell r="BC43">
            <v>8.0027545359427892E-3</v>
          </cell>
          <cell r="BF43">
            <v>2.5910981579941362E-2</v>
          </cell>
        </row>
        <row r="44">
          <cell r="O44">
            <v>1.0269470164915</v>
          </cell>
          <cell r="P44">
            <v>1.02617311755078</v>
          </cell>
          <cell r="Q44">
            <v>1.0276905673283701</v>
          </cell>
          <cell r="U44">
            <v>9.6723416439910899E-4</v>
          </cell>
          <cell r="V44">
            <v>5.4641397312155495E-4</v>
          </cell>
          <cell r="W44">
            <v>1.17549008583673E-3</v>
          </cell>
          <cell r="Y44">
            <v>1.0269470164915</v>
          </cell>
          <cell r="Z44">
            <v>1.02617311755078</v>
          </cell>
          <cell r="AA44">
            <v>1.0276905673283701</v>
          </cell>
          <cell r="AF44">
            <v>5.4641397312155495E-4</v>
          </cell>
          <cell r="AG44">
            <v>1.17549008583673E-3</v>
          </cell>
          <cell r="AR44">
            <v>1.7908227043998571E-2</v>
          </cell>
          <cell r="BC44">
            <v>1.587391396538999E-2</v>
          </cell>
          <cell r="BF44">
            <v>3.3782141009388561E-2</v>
          </cell>
        </row>
        <row r="45">
          <cell r="O45">
            <v>1.0269470164915</v>
          </cell>
          <cell r="P45">
            <v>1.02568173748948</v>
          </cell>
          <cell r="Q45">
            <v>1.0280377129215099</v>
          </cell>
          <cell r="U45">
            <v>-1.1037385295403299E-3</v>
          </cell>
          <cell r="V45">
            <v>-1.85761451034081E-3</v>
          </cell>
          <cell r="W45">
            <v>-3.7996040420729599E-4</v>
          </cell>
          <cell r="Y45">
            <v>1.0269470164915</v>
          </cell>
          <cell r="Z45">
            <v>1.02568173748948</v>
          </cell>
          <cell r="AA45">
            <v>1.0280377129215099</v>
          </cell>
          <cell r="AF45">
            <v>-1.85761451034081E-3</v>
          </cell>
          <cell r="AG45">
            <v>-3.7996040420729599E-4</v>
          </cell>
          <cell r="AR45">
            <v>1.7908227043998571E-2</v>
          </cell>
          <cell r="BC45">
            <v>1.587391396538999E-2</v>
          </cell>
          <cell r="BF45">
            <v>3.3782141009388561E-2</v>
          </cell>
        </row>
        <row r="46">
          <cell r="O46">
            <v>1.0269470164915</v>
          </cell>
          <cell r="P46">
            <v>1.02691423529166</v>
          </cell>
          <cell r="Q46">
            <v>1.02829626381773</v>
          </cell>
          <cell r="U46">
            <v>-7.9499861998794299E-3</v>
          </cell>
          <cell r="V46">
            <v>-9.1828240034236997E-3</v>
          </cell>
          <cell r="W46">
            <v>-6.88847317078923E-3</v>
          </cell>
          <cell r="Y46">
            <v>1.0269470164915</v>
          </cell>
          <cell r="Z46">
            <v>1.02691423529166</v>
          </cell>
          <cell r="AA46">
            <v>1.02829626381773</v>
          </cell>
          <cell r="AF46">
            <v>-9.1828240034236997E-3</v>
          </cell>
          <cell r="AG46">
            <v>-6.88847317078923E-3</v>
          </cell>
          <cell r="AR46">
            <v>1.7908227043998571E-2</v>
          </cell>
          <cell r="BC46">
            <v>1.587391396538999E-2</v>
          </cell>
          <cell r="BF46">
            <v>3.3782141009388561E-2</v>
          </cell>
        </row>
        <row r="47">
          <cell r="O47">
            <v>1.0269470164915</v>
          </cell>
          <cell r="P47">
            <v>1.0273748390166599</v>
          </cell>
          <cell r="Q47">
            <v>1.0286136555958101</v>
          </cell>
          <cell r="U47">
            <v>-5.3515399834483902E-3</v>
          </cell>
          <cell r="V47">
            <v>-5.3834615164319302E-3</v>
          </cell>
          <cell r="W47">
            <v>-4.0385591475622703E-3</v>
          </cell>
          <cell r="Y47">
            <v>1.0269470164915</v>
          </cell>
          <cell r="Z47">
            <v>1.0273748390166599</v>
          </cell>
          <cell r="AA47">
            <v>1.0286136555958101</v>
          </cell>
          <cell r="AF47">
            <v>-5.3834615164319302E-3</v>
          </cell>
          <cell r="AG47">
            <v>-4.0385591475622703E-3</v>
          </cell>
          <cell r="AR47">
            <v>2.0506673260429573E-2</v>
          </cell>
          <cell r="BC47">
            <v>1.587391396538999E-2</v>
          </cell>
          <cell r="BF47">
            <v>3.6380587225819563E-2</v>
          </cell>
        </row>
        <row r="48">
          <cell r="O48">
            <v>1.0269470164915</v>
          </cell>
          <cell r="P48">
            <v>1.02774190250873</v>
          </cell>
          <cell r="Q48">
            <v>1.02853220196173</v>
          </cell>
          <cell r="U48">
            <v>-7.7344034887777899E-3</v>
          </cell>
          <cell r="V48">
            <v>-7.3178937483969501E-3</v>
          </cell>
          <cell r="W48">
            <v>-6.1128123655828301E-3</v>
          </cell>
          <cell r="Y48">
            <v>1.0269470164915</v>
          </cell>
          <cell r="Z48">
            <v>1.02774190250873</v>
          </cell>
          <cell r="AA48">
            <v>1.02853220196173</v>
          </cell>
          <cell r="AF48">
            <v>-7.3178937483969501E-3</v>
          </cell>
          <cell r="AG48">
            <v>-6.1128123655828301E-3</v>
          </cell>
          <cell r="AR48">
            <v>1.8123809755100275E-2</v>
          </cell>
          <cell r="BC48">
            <v>1.587391396538999E-2</v>
          </cell>
          <cell r="BF48">
            <v>3.3997723720490265E-2</v>
          </cell>
        </row>
        <row r="49">
          <cell r="O49">
            <v>1.0269470164915</v>
          </cell>
          <cell r="P49">
            <v>1.02846443278649</v>
          </cell>
          <cell r="Q49">
            <v>1.0288157796570701</v>
          </cell>
          <cell r="U49">
            <v>-1.23857557044613E-2</v>
          </cell>
          <cell r="V49">
            <v>-1.1612026845039701E-2</v>
          </cell>
          <cell r="W49">
            <v>-1.08433554989438E-2</v>
          </cell>
          <cell r="Y49">
            <v>1.0269470164915</v>
          </cell>
          <cell r="Z49">
            <v>1.02846443278649</v>
          </cell>
          <cell r="AA49">
            <v>1.0288157796570701</v>
          </cell>
          <cell r="AF49">
            <v>-1.1612026845039701E-2</v>
          </cell>
          <cell r="AG49">
            <v>-1.08433554989438E-2</v>
          </cell>
          <cell r="AR49">
            <v>1.3472457539416706E-2</v>
          </cell>
          <cell r="BC49">
            <v>1.587391396538999E-2</v>
          </cell>
          <cell r="BF49">
            <v>2.9346371504806696E-2</v>
          </cell>
        </row>
        <row r="50">
          <cell r="O50">
            <v>1.0269470164915</v>
          </cell>
          <cell r="P50">
            <v>1.02934526557386</v>
          </cell>
          <cell r="Q50">
            <v>1.02910603677864</v>
          </cell>
          <cell r="U50">
            <v>-7.89583701887254E-3</v>
          </cell>
          <cell r="V50">
            <v>-6.41932819510313E-3</v>
          </cell>
          <cell r="W50">
            <v>-6.0777637627364104E-3</v>
          </cell>
          <cell r="Y50">
            <v>1.0269470164915</v>
          </cell>
          <cell r="Z50">
            <v>1.02934526557386</v>
          </cell>
          <cell r="AA50">
            <v>1.02910603677864</v>
          </cell>
          <cell r="AF50">
            <v>-6.41932819510313E-3</v>
          </cell>
          <cell r="AG50">
            <v>-6.0777637627364104E-3</v>
          </cell>
          <cell r="AR50">
            <v>1.7962376225005454E-2</v>
          </cell>
          <cell r="BC50">
            <v>1.587391396538999E-2</v>
          </cell>
          <cell r="BF50">
            <v>3.3836290190395447E-2</v>
          </cell>
        </row>
        <row r="51">
          <cell r="O51">
            <v>1.0269470164915</v>
          </cell>
          <cell r="P51">
            <v>1.0296669963391301</v>
          </cell>
          <cell r="Q51">
            <v>1.0288202516343701</v>
          </cell>
          <cell r="U51">
            <v>1.07061284420143E-3</v>
          </cell>
          <cell r="V51">
            <v>3.4032094217219598E-3</v>
          </cell>
          <cell r="W51">
            <v>3.1707737104502299E-3</v>
          </cell>
          <cell r="Y51">
            <v>1.0269470164915</v>
          </cell>
          <cell r="Z51">
            <v>1.0296669963391301</v>
          </cell>
          <cell r="AA51">
            <v>1.0288202516343701</v>
          </cell>
          <cell r="AF51">
            <v>3.4032094217219598E-3</v>
          </cell>
          <cell r="AG51">
            <v>3.1707737104502299E-3</v>
          </cell>
          <cell r="AR51">
            <v>2.6928826088079352E-2</v>
          </cell>
          <cell r="BC51">
            <v>1.587391396538999E-2</v>
          </cell>
          <cell r="BF51">
            <v>4.2802740053469346E-2</v>
          </cell>
        </row>
        <row r="52">
          <cell r="O52">
            <v>1.0269470164915</v>
          </cell>
          <cell r="P52">
            <v>1.0303109686263801</v>
          </cell>
          <cell r="Q52">
            <v>1.02902464399791</v>
          </cell>
          <cell r="U52">
            <v>-9.8642871793770399E-4</v>
          </cell>
          <cell r="V52">
            <v>1.65867767202618E-3</v>
          </cell>
          <cell r="W52">
            <v>8.3599125183895704E-4</v>
          </cell>
          <cell r="Y52">
            <v>1.0269470164915</v>
          </cell>
          <cell r="Z52">
            <v>1.0303109686263801</v>
          </cell>
          <cell r="AA52">
            <v>1.02902464399791</v>
          </cell>
          <cell r="AF52">
            <v>1.65867767202618E-3</v>
          </cell>
          <cell r="AG52">
            <v>8.3599125183895704E-4</v>
          </cell>
          <cell r="AR52">
            <v>2.6928826088079352E-2</v>
          </cell>
          <cell r="BC52">
            <v>1.587391396538999E-2</v>
          </cell>
          <cell r="BF52">
            <v>4.2802740053469346E-2</v>
          </cell>
        </row>
        <row r="53">
          <cell r="O53">
            <v>1.0269470164915</v>
          </cell>
          <cell r="P53">
            <v>1.0315502268805601</v>
          </cell>
          <cell r="Q53">
            <v>1.02903258712512</v>
          </cell>
          <cell r="U53">
            <v>-3.2626240973842599E-3</v>
          </cell>
          <cell r="V53">
            <v>7.7048135732548802E-6</v>
          </cell>
          <cell r="W53">
            <v>-1.24155712108054E-3</v>
          </cell>
          <cell r="Y53">
            <v>1.0269470164915</v>
          </cell>
          <cell r="Z53">
            <v>1.0315502268805601</v>
          </cell>
          <cell r="AA53">
            <v>1.02903258712512</v>
          </cell>
          <cell r="AF53">
            <v>7.7048135732548802E-6</v>
          </cell>
          <cell r="AG53">
            <v>-1.24155712108054E-3</v>
          </cell>
          <cell r="AR53">
            <v>2.6928826088079352E-2</v>
          </cell>
          <cell r="BC53">
            <v>1.587391396538999E-2</v>
          </cell>
          <cell r="BF53">
            <v>4.2802740053469346E-2</v>
          </cell>
        </row>
        <row r="54">
          <cell r="O54">
            <v>1.0269470164915</v>
          </cell>
          <cell r="P54">
            <v>1.0318167598951899</v>
          </cell>
          <cell r="Q54">
            <v>1.02899493872298</v>
          </cell>
          <cell r="U54">
            <v>-1.62730075665358E-3</v>
          </cell>
          <cell r="V54">
            <v>2.8451055842596299E-3</v>
          </cell>
          <cell r="W54">
            <v>4.0148527341491401E-4</v>
          </cell>
          <cell r="Y54">
            <v>1.0269470164915</v>
          </cell>
          <cell r="Z54">
            <v>1.0318167598951899</v>
          </cell>
          <cell r="AA54">
            <v>1.02899493872298</v>
          </cell>
          <cell r="AF54">
            <v>2.8451055842596299E-3</v>
          </cell>
          <cell r="AG54">
            <v>4.0148527341491401E-4</v>
          </cell>
          <cell r="AR54">
            <v>2.6928826088079352E-2</v>
          </cell>
          <cell r="BC54">
            <v>1.587391396538999E-2</v>
          </cell>
          <cell r="BF54">
            <v>4.2802740053469346E-2</v>
          </cell>
        </row>
        <row r="55">
          <cell r="O55">
            <v>1.0269470164915</v>
          </cell>
          <cell r="P55">
            <v>1.03146048644985</v>
          </cell>
          <cell r="Q55">
            <v>1.0285711119696701</v>
          </cell>
          <cell r="U55">
            <v>2.36770147645048E-3</v>
          </cell>
          <cell r="V55">
            <v>7.0984554771017601E-3</v>
          </cell>
          <cell r="W55">
            <v>4.3599006274168102E-3</v>
          </cell>
          <cell r="Y55">
            <v>1.0269470164915</v>
          </cell>
          <cell r="Z55">
            <v>1.03146048644985</v>
          </cell>
          <cell r="AA55">
            <v>1.0285711119696701</v>
          </cell>
          <cell r="AF55">
            <v>7.0984554771017601E-3</v>
          </cell>
          <cell r="AG55">
            <v>4.3599006274168102E-3</v>
          </cell>
          <cell r="AR55">
            <v>2.6928826088079352E-2</v>
          </cell>
          <cell r="BC55">
            <v>1.587391396538999E-2</v>
          </cell>
          <cell r="BF55">
            <v>4.2802740053469346E-2</v>
          </cell>
        </row>
        <row r="56">
          <cell r="O56">
            <v>1.0269470164915</v>
          </cell>
          <cell r="P56">
            <v>1.0311340289161399</v>
          </cell>
          <cell r="Q56">
            <v>1.0290241321039</v>
          </cell>
          <cell r="U56">
            <v>-4.7912616888713903E-3</v>
          </cell>
          <cell r="V56">
            <v>-4.0585482904260402E-4</v>
          </cell>
          <cell r="W56">
            <v>-3.21103158178123E-3</v>
          </cell>
          <cell r="Y56">
            <v>1.0269470164915</v>
          </cell>
          <cell r="Z56">
            <v>1.0311340289161399</v>
          </cell>
          <cell r="AA56">
            <v>1.0290241321039</v>
          </cell>
          <cell r="AF56">
            <v>-4.0585482904260402E-4</v>
          </cell>
          <cell r="AG56">
            <v>-3.21103158178123E-3</v>
          </cell>
          <cell r="AR56">
            <v>2.6928826088079352E-2</v>
          </cell>
          <cell r="BC56">
            <v>1.587391396538999E-2</v>
          </cell>
          <cell r="BF56">
            <v>4.2802740053469346E-2</v>
          </cell>
        </row>
        <row r="57">
          <cell r="O57">
            <v>1.0269470164915</v>
          </cell>
          <cell r="P57">
            <v>1.03026116065847</v>
          </cell>
          <cell r="Q57">
            <v>1.0288179998375699</v>
          </cell>
          <cell r="U57">
            <v>3.1386780172471202E-3</v>
          </cell>
          <cell r="V57">
            <v>7.2075344993724902E-3</v>
          </cell>
          <cell r="W57">
            <v>5.1592475378860296E-3</v>
          </cell>
          <cell r="Y57">
            <v>1.0269470164915</v>
          </cell>
          <cell r="Z57">
            <v>1.03026116065847</v>
          </cell>
          <cell r="AA57">
            <v>1.0288179998375699</v>
          </cell>
          <cell r="AF57">
            <v>7.2075344993724902E-3</v>
          </cell>
          <cell r="AG57">
            <v>5.1592475378860296E-3</v>
          </cell>
          <cell r="AR57">
            <v>2.6928826088079352E-2</v>
          </cell>
          <cell r="BC57">
            <v>1.587391396538999E-2</v>
          </cell>
          <cell r="BF57">
            <v>4.2802740053469346E-2</v>
          </cell>
        </row>
        <row r="58">
          <cell r="O58">
            <v>1.0269470164915</v>
          </cell>
          <cell r="P58">
            <v>1.02899131938863</v>
          </cell>
          <cell r="Q58">
            <v>1.02836661094868</v>
          </cell>
          <cell r="U58">
            <v>4.6114323335213403E-3</v>
          </cell>
          <cell r="V58">
            <v>7.8334174207282097E-3</v>
          </cell>
          <cell r="W58">
            <v>6.4316635834827203E-3</v>
          </cell>
          <cell r="Y58">
            <v>1.0269470164915</v>
          </cell>
          <cell r="Z58">
            <v>1.02899131938863</v>
          </cell>
          <cell r="AA58">
            <v>1.02836661094868</v>
          </cell>
          <cell r="AF58">
            <v>7.8334174207282097E-3</v>
          </cell>
          <cell r="AG58">
            <v>6.4316635834827203E-3</v>
          </cell>
          <cell r="AR58">
            <v>2.6928826088079352E-2</v>
          </cell>
          <cell r="BC58">
            <v>1.4401159649115571E-2</v>
          </cell>
          <cell r="BF58">
            <v>4.132998573719493E-2</v>
          </cell>
        </row>
        <row r="59">
          <cell r="O59">
            <v>1.0269470164915</v>
          </cell>
          <cell r="P59">
            <v>1.0272737010349799</v>
          </cell>
          <cell r="Q59">
            <v>1.02786906691074</v>
          </cell>
          <cell r="U59">
            <v>4.2718160966013297E-3</v>
          </cell>
          <cell r="V59">
            <v>6.2604978923450601E-3</v>
          </cell>
          <cell r="W59">
            <v>5.6532059380026102E-3</v>
          </cell>
          <cell r="Y59">
            <v>1.0269470164915</v>
          </cell>
          <cell r="Z59">
            <v>1.0272737010349799</v>
          </cell>
          <cell r="AA59">
            <v>1.02786906691074</v>
          </cell>
          <cell r="AF59">
            <v>6.2604978923450601E-3</v>
          </cell>
          <cell r="AG59">
            <v>5.6532059380026102E-3</v>
          </cell>
          <cell r="AR59">
            <v>2.6928826088079352E-2</v>
          </cell>
          <cell r="BC59">
            <v>1.4740775886035571E-2</v>
          </cell>
          <cell r="BF59">
            <v>4.1669601974114928E-2</v>
          </cell>
        </row>
        <row r="60">
          <cell r="O60">
            <v>1.0269470164915</v>
          </cell>
          <cell r="P60">
            <v>1.02571874793286</v>
          </cell>
          <cell r="Q60">
            <v>1.02753200675336</v>
          </cell>
          <cell r="U60">
            <v>7.2405708724207199E-3</v>
          </cell>
          <cell r="V60">
            <v>7.5586326497594E-3</v>
          </cell>
          <cell r="W60">
            <v>8.1380239229101505E-3</v>
          </cell>
          <cell r="Y60">
            <v>1.0269470164915</v>
          </cell>
          <cell r="Z60">
            <v>1.02571874793286</v>
          </cell>
          <cell r="AA60">
            <v>1.02753200675336</v>
          </cell>
          <cell r="AF60">
            <v>7.5586326497594E-3</v>
          </cell>
          <cell r="AG60">
            <v>8.1380239229101505E-3</v>
          </cell>
          <cell r="AR60">
            <v>2.6928826088079352E-2</v>
          </cell>
          <cell r="BC60">
            <v>1.1772021110216269E-2</v>
          </cell>
          <cell r="BF60">
            <v>3.8700847198295626E-2</v>
          </cell>
        </row>
        <row r="61">
          <cell r="O61">
            <v>1.0269470164915</v>
          </cell>
          <cell r="P61">
            <v>1.0254847474596001</v>
          </cell>
          <cell r="Q61">
            <v>1.0275758718993699</v>
          </cell>
          <cell r="U61">
            <v>3.3542623714487201E-3</v>
          </cell>
          <cell r="V61">
            <v>2.1575076668861599E-3</v>
          </cell>
          <cell r="W61">
            <v>3.92374034717872E-3</v>
          </cell>
          <cell r="Y61">
            <v>1.0269470164915</v>
          </cell>
          <cell r="Z61">
            <v>1.0254847474596001</v>
          </cell>
          <cell r="AA61">
            <v>1.0275758718993699</v>
          </cell>
          <cell r="AF61">
            <v>2.1575076668861599E-3</v>
          </cell>
          <cell r="AG61">
            <v>3.92374034717872E-3</v>
          </cell>
          <cell r="AR61">
            <v>2.6928826088079352E-2</v>
          </cell>
          <cell r="BC61">
            <v>1.5658329611188369E-2</v>
          </cell>
          <cell r="BF61">
            <v>4.2587155699267729E-2</v>
          </cell>
        </row>
        <row r="62">
          <cell r="O62">
            <v>1.0269470164915</v>
          </cell>
          <cell r="P62">
            <v>1.02476123368813</v>
          </cell>
          <cell r="Q62">
            <v>1.0275361011572499</v>
          </cell>
          <cell r="U62">
            <v>6.0767992191939103E-3</v>
          </cell>
          <cell r="V62">
            <v>4.6518853146297803E-3</v>
          </cell>
          <cell r="W62">
            <v>6.6889660936144601E-3</v>
          </cell>
          <cell r="Y62">
            <v>1.0269470164915</v>
          </cell>
          <cell r="Z62">
            <v>1.02476123368813</v>
          </cell>
          <cell r="AA62">
            <v>1.0275361011572499</v>
          </cell>
          <cell r="AF62">
            <v>4.6518853146297803E-3</v>
          </cell>
          <cell r="AG62">
            <v>6.6889660936144601E-3</v>
          </cell>
          <cell r="AR62">
            <v>2.6928826088079352E-2</v>
          </cell>
          <cell r="BC62">
            <v>1.2935792763443268E-2</v>
          </cell>
          <cell r="BF62">
            <v>3.9864618851522628E-2</v>
          </cell>
        </row>
        <row r="63">
          <cell r="O63">
            <v>1.0269470164915</v>
          </cell>
          <cell r="P63">
            <v>1.0244095020863999</v>
          </cell>
          <cell r="Q63">
            <v>1.0279798644834801</v>
          </cell>
          <cell r="U63">
            <v>1.5708198414115401E-4</v>
          </cell>
          <cell r="V63">
            <v>-1.9736143564443301E-3</v>
          </cell>
          <cell r="W63">
            <v>7.3054464911617603E-4</v>
          </cell>
          <cell r="Y63">
            <v>1.0269470164915</v>
          </cell>
          <cell r="Z63">
            <v>1.0244095020863999</v>
          </cell>
          <cell r="AA63">
            <v>1.0279798644834801</v>
          </cell>
          <cell r="AF63">
            <v>-1.9736143564443301E-3</v>
          </cell>
          <cell r="AG63">
            <v>7.3054464911617603E-4</v>
          </cell>
          <cell r="AR63">
            <v>2.6928826088079352E-2</v>
          </cell>
          <cell r="BC63">
            <v>1.8855509998495869E-2</v>
          </cell>
          <cell r="BF63">
            <v>4.5784336086575228E-2</v>
          </cell>
        </row>
        <row r="64">
          <cell r="O64">
            <v>1.0269470164915</v>
          </cell>
          <cell r="P64">
            <v>1.02372936740626</v>
          </cell>
          <cell r="Q64">
            <v>1.0277730636507201</v>
          </cell>
          <cell r="U64">
            <v>5.0067673851223599E-3</v>
          </cell>
          <cell r="V64">
            <v>2.5327793909468901E-3</v>
          </cell>
          <cell r="W64">
            <v>6.0120080956471596E-3</v>
          </cell>
          <cell r="Y64">
            <v>1.0269470164915</v>
          </cell>
          <cell r="Z64">
            <v>1.02372936740626</v>
          </cell>
          <cell r="AA64">
            <v>1.0277730636507201</v>
          </cell>
          <cell r="AF64">
            <v>2.5327793909468901E-3</v>
          </cell>
          <cell r="AG64">
            <v>6.0120080956471596E-3</v>
          </cell>
          <cell r="AR64">
            <v>2.6928826088079352E-2</v>
          </cell>
          <cell r="BC64">
            <v>1.8855509998495869E-2</v>
          </cell>
          <cell r="BF64">
            <v>4.5784336086575228E-2</v>
          </cell>
        </row>
        <row r="65">
          <cell r="O65">
            <v>1.0269470164915</v>
          </cell>
          <cell r="P65">
            <v>1.0235305614560399</v>
          </cell>
          <cell r="Q65">
            <v>1.02749552395295</v>
          </cell>
          <cell r="U65">
            <v>4.3100686606310796E-3</v>
          </cell>
          <cell r="V65">
            <v>1.1719316526700499E-3</v>
          </cell>
          <cell r="W65">
            <v>5.1141170677203697E-3</v>
          </cell>
          <cell r="Y65">
            <v>1.0269470164915</v>
          </cell>
          <cell r="Z65">
            <v>1.0235305614560399</v>
          </cell>
          <cell r="AA65">
            <v>1.02749552395295</v>
          </cell>
          <cell r="AF65">
            <v>1.1719316526700499E-3</v>
          </cell>
          <cell r="AG65">
            <v>5.1141170677203697E-3</v>
          </cell>
          <cell r="AR65">
            <v>2.6928826088079352E-2</v>
          </cell>
          <cell r="BC65">
            <v>1.9552208722987074E-2</v>
          </cell>
          <cell r="BF65">
            <v>4.6481034811066434E-2</v>
          </cell>
        </row>
        <row r="66">
          <cell r="O66">
            <v>1.0269470164915</v>
          </cell>
          <cell r="P66">
            <v>1.0224259753262901</v>
          </cell>
          <cell r="Q66">
            <v>1.0267800021212099</v>
          </cell>
          <cell r="U66">
            <v>5.9710518495610402E-3</v>
          </cell>
          <cell r="V66">
            <v>2.6386982225583299E-3</v>
          </cell>
          <cell r="W66">
            <v>6.5050239258623299E-3</v>
          </cell>
          <cell r="Y66">
            <v>1.0269470164915</v>
          </cell>
          <cell r="Z66">
            <v>1.0224259753262901</v>
          </cell>
          <cell r="AA66">
            <v>1.0267800021212099</v>
          </cell>
          <cell r="AF66">
            <v>2.6386982225583299E-3</v>
          </cell>
          <cell r="AG66">
            <v>6.5050239258623299E-3</v>
          </cell>
          <cell r="AR66">
            <v>2.6928826088079352E-2</v>
          </cell>
          <cell r="BC66">
            <v>1.7891225534057104E-2</v>
          </cell>
          <cell r="BF66">
            <v>4.4820051622136467E-2</v>
          </cell>
        </row>
        <row r="67">
          <cell r="O67">
            <v>1.0269470164915</v>
          </cell>
          <cell r="P67">
            <v>1.02209738698569</v>
          </cell>
          <cell r="Q67">
            <v>1.0261792738220801</v>
          </cell>
          <cell r="U67">
            <v>6.3535607649438299E-3</v>
          </cell>
          <cell r="V67">
            <v>1.9414322578629199E-3</v>
          </cell>
          <cell r="W67">
            <v>6.1909156138193703E-3</v>
          </cell>
          <cell r="Y67">
            <v>1.0269470164915</v>
          </cell>
          <cell r="Z67">
            <v>1.02209738698569</v>
          </cell>
          <cell r="AA67">
            <v>1.0261792738220801</v>
          </cell>
          <cell r="AF67">
            <v>1.9414322578629199E-3</v>
          </cell>
          <cell r="AG67">
            <v>6.1909156138193703E-3</v>
          </cell>
          <cell r="AR67">
            <v>2.6928826088079352E-2</v>
          </cell>
          <cell r="BC67">
            <v>1.7508716618674102E-2</v>
          </cell>
          <cell r="BF67">
            <v>4.4437542706753465E-2</v>
          </cell>
        </row>
        <row r="68">
          <cell r="O68">
            <v>1.0269470164915</v>
          </cell>
          <cell r="P68">
            <v>1.02232614515563</v>
          </cell>
          <cell r="Q68">
            <v>1.02565873227213</v>
          </cell>
          <cell r="U68">
            <v>2.3760809317021798E-3</v>
          </cell>
          <cell r="V68">
            <v>-2.3574802862845099E-3</v>
          </cell>
          <cell r="W68">
            <v>1.6282041850758701E-3</v>
          </cell>
          <cell r="Y68">
            <v>1.0269470164915</v>
          </cell>
          <cell r="Z68">
            <v>1.02232614515563</v>
          </cell>
          <cell r="AA68">
            <v>1.02565873227213</v>
          </cell>
          <cell r="AF68">
            <v>-2.3574802862845099E-3</v>
          </cell>
          <cell r="AG68">
            <v>1.6282041850758701E-3</v>
          </cell>
          <cell r="AR68">
            <v>2.6928826088079352E-2</v>
          </cell>
          <cell r="BC68">
            <v>2.1486196451915702E-2</v>
          </cell>
          <cell r="BF68">
            <v>4.8415022539995065E-2</v>
          </cell>
        </row>
        <row r="69">
          <cell r="O69">
            <v>1.0269470164915</v>
          </cell>
          <cell r="P69">
            <v>1.02206920071118</v>
          </cell>
          <cell r="Q69">
            <v>1.0246714508730801</v>
          </cell>
          <cell r="U69">
            <v>6.7877117561169799E-3</v>
          </cell>
          <cell r="V69">
            <v>2.2779379943915399E-3</v>
          </cell>
          <cell r="W69">
            <v>5.53244450441684E-3</v>
          </cell>
          <cell r="Y69">
            <v>1.0269470164915</v>
          </cell>
          <cell r="Z69">
            <v>1.02206920071118</v>
          </cell>
          <cell r="AA69">
            <v>1.0246714508730801</v>
          </cell>
          <cell r="AF69">
            <v>2.2779379943915399E-3</v>
          </cell>
          <cell r="AG69">
            <v>5.53244450441684E-3</v>
          </cell>
          <cell r="AR69">
            <v>2.6928826088079352E-2</v>
          </cell>
          <cell r="BC69">
            <v>2.1486196451915702E-2</v>
          </cell>
          <cell r="BF69">
            <v>4.8415022539995065E-2</v>
          </cell>
        </row>
        <row r="70">
          <cell r="O70">
            <v>1.0269470164915</v>
          </cell>
          <cell r="P70">
            <v>1.0226195555061799</v>
          </cell>
          <cell r="Q70">
            <v>1.0241691517195199</v>
          </cell>
          <cell r="U70">
            <v>1.8570090206036999E-3</v>
          </cell>
          <cell r="V70">
            <v>-2.9041294747744598E-3</v>
          </cell>
          <cell r="W70">
            <v>-3.6130455745605398E-4</v>
          </cell>
          <cell r="Y70">
            <v>1.0269470164915</v>
          </cell>
          <cell r="Z70">
            <v>1.0226195555061799</v>
          </cell>
          <cell r="AA70">
            <v>1.0241691517195199</v>
          </cell>
          <cell r="AF70">
            <v>-2.9041294747744598E-3</v>
          </cell>
          <cell r="AG70">
            <v>-3.6130455745605398E-4</v>
          </cell>
          <cell r="AR70">
            <v>2.6928826088079352E-2</v>
          </cell>
          <cell r="BC70">
            <v>2.6416899187429004E-2</v>
          </cell>
          <cell r="BF70">
            <v>5.3345725275508363E-2</v>
          </cell>
        </row>
        <row r="71">
          <cell r="O71">
            <v>1.0269470164915</v>
          </cell>
          <cell r="P71">
            <v>1.02303747140465</v>
          </cell>
          <cell r="Q71">
            <v>1.0242611094321299</v>
          </cell>
          <cell r="U71">
            <v>-7.2059534177392403E-4</v>
          </cell>
          <cell r="V71">
            <v>-4.9434075939887596E-3</v>
          </cell>
          <cell r="W71">
            <v>-3.42923419256387E-3</v>
          </cell>
          <cell r="Y71">
            <v>1.0269470164915</v>
          </cell>
          <cell r="Z71">
            <v>1.02303747140465</v>
          </cell>
          <cell r="AA71">
            <v>1.0242611094321299</v>
          </cell>
          <cell r="AF71">
            <v>-4.9434075939887596E-3</v>
          </cell>
          <cell r="AG71">
            <v>-3.42923419256387E-3</v>
          </cell>
          <cell r="AR71">
            <v>2.6928826088079352E-2</v>
          </cell>
          <cell r="BC71">
            <v>2.6416899187429004E-2</v>
          </cell>
          <cell r="BF71">
            <v>5.3345725275508363E-2</v>
          </cell>
        </row>
        <row r="72">
          <cell r="O72">
            <v>1.0269470164915</v>
          </cell>
          <cell r="P72">
            <v>1.02389176181284</v>
          </cell>
          <cell r="Q72">
            <v>1.02432649775048</v>
          </cell>
          <cell r="U72">
            <v>-2.2578152853615298E-3</v>
          </cell>
          <cell r="V72">
            <v>-6.07203909993362E-3</v>
          </cell>
          <cell r="W72">
            <v>-4.8766705448685397E-3</v>
          </cell>
          <cell r="Y72">
            <v>1.0269470164915</v>
          </cell>
          <cell r="Z72">
            <v>1.02389176181284</v>
          </cell>
          <cell r="AA72">
            <v>1.02432649775048</v>
          </cell>
          <cell r="AF72">
            <v>-6.07203909993362E-3</v>
          </cell>
          <cell r="AG72">
            <v>-4.8766705448685397E-3</v>
          </cell>
          <cell r="AR72">
            <v>2.6928826088079352E-2</v>
          </cell>
          <cell r="BC72">
            <v>2.6416899187429004E-2</v>
          </cell>
          <cell r="BF72">
            <v>5.3345725275508363E-2</v>
          </cell>
        </row>
        <row r="73">
          <cell r="O73">
            <v>1.0269470164915</v>
          </cell>
          <cell r="P73">
            <v>1.02417371670006</v>
          </cell>
          <cell r="Q73">
            <v>1.0242916093932299</v>
          </cell>
          <cell r="U73">
            <v>-2.58515008163467E-3</v>
          </cell>
          <cell r="V73">
            <v>-5.5646694580399302E-3</v>
          </cell>
          <cell r="W73">
            <v>-5.1401678775646296E-3</v>
          </cell>
          <cell r="Y73">
            <v>1.0269470164915</v>
          </cell>
          <cell r="Z73">
            <v>1.02417371670006</v>
          </cell>
          <cell r="AA73">
            <v>1.0242916093932299</v>
          </cell>
          <cell r="AF73">
            <v>-5.5646694580399302E-3</v>
          </cell>
          <cell r="AG73">
            <v>-5.1401678775646296E-3</v>
          </cell>
          <cell r="AR73">
            <v>2.6928826088079352E-2</v>
          </cell>
          <cell r="BC73">
            <v>2.6416899187429004E-2</v>
          </cell>
          <cell r="BF73">
            <v>5.3345725275508363E-2</v>
          </cell>
        </row>
        <row r="74">
          <cell r="O74">
            <v>1.0269470164915</v>
          </cell>
          <cell r="P74">
            <v>1.0250077715341099</v>
          </cell>
          <cell r="Q74">
            <v>1.0243685694701901</v>
          </cell>
          <cell r="U74">
            <v>-3.12255826621492E-3</v>
          </cell>
          <cell r="V74">
            <v>-5.8267398744118798E-3</v>
          </cell>
          <cell r="W74">
            <v>-5.7116364437634201E-3</v>
          </cell>
          <cell r="Y74">
            <v>1.0269470164915</v>
          </cell>
          <cell r="Z74">
            <v>1.0250077715341099</v>
          </cell>
          <cell r="AA74">
            <v>1.0243685694701901</v>
          </cell>
          <cell r="AF74">
            <v>-5.8267398744118798E-3</v>
          </cell>
          <cell r="AG74">
            <v>-5.7116364437634201E-3</v>
          </cell>
          <cell r="AR74">
            <v>2.6391417903499054E-2</v>
          </cell>
          <cell r="BC74">
            <v>2.6416899187429004E-2</v>
          </cell>
          <cell r="BF74">
            <v>5.2808317090928064E-2</v>
          </cell>
        </row>
        <row r="75">
          <cell r="O75">
            <v>1.0269470164915</v>
          </cell>
          <cell r="P75">
            <v>1.0252353587602101</v>
          </cell>
          <cell r="Q75">
            <v>1.02438296010813</v>
          </cell>
          <cell r="U75">
            <v>2.0868159963829099E-3</v>
          </cell>
          <cell r="V75">
            <v>1.96671490220547E-4</v>
          </cell>
          <cell r="W75">
            <v>-4.2713007503085302E-4</v>
          </cell>
          <cell r="Y75">
            <v>1.0269470164915</v>
          </cell>
          <cell r="Z75">
            <v>1.0252353587602101</v>
          </cell>
          <cell r="AA75">
            <v>1.02438296010813</v>
          </cell>
          <cell r="AF75">
            <v>1.96671490220547E-4</v>
          </cell>
          <cell r="AG75">
            <v>-4.2713007503085302E-4</v>
          </cell>
          <cell r="AR75">
            <v>3.1600792166097055E-2</v>
          </cell>
          <cell r="BC75">
            <v>2.6416899187429004E-2</v>
          </cell>
          <cell r="BF75">
            <v>5.8017691353526066E-2</v>
          </cell>
        </row>
        <row r="76">
          <cell r="O76">
            <v>1.0269470164915</v>
          </cell>
          <cell r="P76">
            <v>1.0265314417095199</v>
          </cell>
          <cell r="Q76">
            <v>1.0244787085178999</v>
          </cell>
          <cell r="U76">
            <v>-6.6453483838618899E-3</v>
          </cell>
          <cell r="V76">
            <v>-8.3134829013862196E-3</v>
          </cell>
          <cell r="W76">
            <v>-9.1452462530096802E-3</v>
          </cell>
          <cell r="Y76">
            <v>1.0269470164915</v>
          </cell>
          <cell r="Z76">
            <v>1.0265314417095199</v>
          </cell>
          <cell r="AA76">
            <v>1.0244787085178999</v>
          </cell>
          <cell r="AF76">
            <v>-8.3134829013862196E-3</v>
          </cell>
          <cell r="AG76">
            <v>-9.1452462530096802E-3</v>
          </cell>
          <cell r="AR76">
            <v>3.1600792166097055E-2</v>
          </cell>
          <cell r="BC76">
            <v>2.6416899187429004E-2</v>
          </cell>
          <cell r="BF76">
            <v>5.8017691353526066E-2</v>
          </cell>
        </row>
        <row r="77">
          <cell r="O77">
            <v>1.0269470164915</v>
          </cell>
          <cell r="P77">
            <v>1.02792413723756</v>
          </cell>
          <cell r="Q77">
            <v>1.02501076211162</v>
          </cell>
          <cell r="U77">
            <v>-7.2020959229653304E-3</v>
          </cell>
          <cell r="V77">
            <v>-7.60684795335188E-3</v>
          </cell>
          <cell r="W77">
            <v>-9.6085288097639207E-3</v>
          </cell>
          <cell r="Y77">
            <v>1.0269470164915</v>
          </cell>
          <cell r="Z77">
            <v>1.02792413723756</v>
          </cell>
          <cell r="AA77">
            <v>1.02501076211162</v>
          </cell>
          <cell r="AF77">
            <v>-7.60684795335188E-3</v>
          </cell>
          <cell r="AG77">
            <v>-9.6085288097639207E-3</v>
          </cell>
          <cell r="AR77">
            <v>3.1044044626993561E-2</v>
          </cell>
          <cell r="BC77">
            <v>2.6416899187429004E-2</v>
          </cell>
          <cell r="BF77">
            <v>5.7460943814422571E-2</v>
          </cell>
        </row>
        <row r="78">
          <cell r="O78">
            <v>1.0269470164915</v>
          </cell>
          <cell r="P78">
            <v>1.02854262372747</v>
          </cell>
          <cell r="Q78">
            <v>1.0254343844415501</v>
          </cell>
          <cell r="U78">
            <v>-3.6426716078968601E-3</v>
          </cell>
          <cell r="V78">
            <v>-2.6916428118281001E-3</v>
          </cell>
          <cell r="W78">
            <v>-5.5298985038410098E-3</v>
          </cell>
          <cell r="Y78">
            <v>1.0269470164915</v>
          </cell>
          <cell r="Z78">
            <v>1.02854262372747</v>
          </cell>
          <cell r="AA78">
            <v>1.0254343844415501</v>
          </cell>
          <cell r="AF78">
            <v>-2.6916428118281001E-3</v>
          </cell>
          <cell r="AG78">
            <v>-5.5298985038410098E-3</v>
          </cell>
          <cell r="AR78">
            <v>3.4603468942061982E-2</v>
          </cell>
          <cell r="BC78">
            <v>2.6416899187429004E-2</v>
          </cell>
          <cell r="BF78">
            <v>6.1020368129490993E-2</v>
          </cell>
        </row>
        <row r="79">
          <cell r="O79">
            <v>1.0269470164915</v>
          </cell>
          <cell r="P79">
            <v>1.03004846679926</v>
          </cell>
          <cell r="Q79">
            <v>1.0260588337552199</v>
          </cell>
          <cell r="U79">
            <v>-7.8675408713911304E-3</v>
          </cell>
          <cell r="V79">
            <v>-6.3150080585313304E-3</v>
          </cell>
          <cell r="W79">
            <v>-9.3415674077333907E-3</v>
          </cell>
          <cell r="Y79">
            <v>1.0269470164915</v>
          </cell>
          <cell r="Z79">
            <v>1.03004846679926</v>
          </cell>
          <cell r="AA79">
            <v>1.0260588337552199</v>
          </cell>
          <cell r="AF79">
            <v>-6.3150080585313304E-3</v>
          </cell>
          <cell r="AG79">
            <v>-9.3415674077333907E-3</v>
          </cell>
          <cell r="AR79">
            <v>3.037859967856768E-2</v>
          </cell>
          <cell r="BC79">
            <v>2.6416899187429004E-2</v>
          </cell>
          <cell r="BF79">
            <v>5.6795498865996691E-2</v>
          </cell>
        </row>
        <row r="80">
          <cell r="O80">
            <v>1.0269470164915</v>
          </cell>
          <cell r="P80">
            <v>1.03109268027332</v>
          </cell>
          <cell r="Q80">
            <v>1.02685611788975</v>
          </cell>
          <cell r="U80">
            <v>-8.2784865985270507E-3</v>
          </cell>
          <cell r="V80">
            <v>-5.2629693714254903E-3</v>
          </cell>
          <cell r="W80">
            <v>-9.1437377049359697E-3</v>
          </cell>
          <cell r="Y80">
            <v>1.0269470164915</v>
          </cell>
          <cell r="Z80">
            <v>1.03109268027332</v>
          </cell>
          <cell r="AA80">
            <v>1.02685611788975</v>
          </cell>
          <cell r="AF80">
            <v>-5.2629693714254903E-3</v>
          </cell>
          <cell r="AG80">
            <v>-9.1437377049359697E-3</v>
          </cell>
          <cell r="AR80">
            <v>2.9967653951431784E-2</v>
          </cell>
          <cell r="BC80">
            <v>2.6416899187429004E-2</v>
          </cell>
          <cell r="BF80">
            <v>5.6384553138860795E-2</v>
          </cell>
        </row>
        <row r="81">
          <cell r="O81">
            <v>1.0269470164915</v>
          </cell>
          <cell r="P81">
            <v>1.03171651929076</v>
          </cell>
          <cell r="Q81">
            <v>1.0273769953477101</v>
          </cell>
          <cell r="U81">
            <v>-6.7725646168246096E-3</v>
          </cell>
          <cell r="V81">
            <v>-2.74380910190376E-3</v>
          </cell>
          <cell r="W81">
            <v>-6.8610819632905296E-3</v>
          </cell>
          <cell r="Y81">
            <v>1.0269470164915</v>
          </cell>
          <cell r="Z81">
            <v>1.03171651929076</v>
          </cell>
          <cell r="AA81">
            <v>1.0273769953477101</v>
          </cell>
          <cell r="AF81">
            <v>-2.74380910190376E-3</v>
          </cell>
          <cell r="AG81">
            <v>-6.8610819632905296E-3</v>
          </cell>
          <cell r="AR81">
            <v>3.1473575933134192E-2</v>
          </cell>
          <cell r="BC81">
            <v>2.6416899187429004E-2</v>
          </cell>
          <cell r="BF81">
            <v>5.7890475120563202E-2</v>
          </cell>
        </row>
        <row r="82">
          <cell r="O82">
            <v>1.0269470164915</v>
          </cell>
          <cell r="P82">
            <v>1.03231317995535</v>
          </cell>
          <cell r="Q82">
            <v>1.0281024708841</v>
          </cell>
          <cell r="U82">
            <v>-8.0380177877413302E-3</v>
          </cell>
          <cell r="V82">
            <v>-3.4044181247683499E-3</v>
          </cell>
          <cell r="W82">
            <v>-7.6194091748785697E-3</v>
          </cell>
          <cell r="Y82">
            <v>1.0269470164915</v>
          </cell>
          <cell r="Z82">
            <v>1.03231317995535</v>
          </cell>
          <cell r="AA82">
            <v>1.0281024708841</v>
          </cell>
          <cell r="AF82">
            <v>-3.4044181247683499E-3</v>
          </cell>
          <cell r="AG82">
            <v>-7.6194091748785697E-3</v>
          </cell>
          <cell r="AR82">
            <v>3.0208122762217592E-2</v>
          </cell>
          <cell r="BC82">
            <v>2.6416899187429004E-2</v>
          </cell>
          <cell r="BF82">
            <v>5.6625021949646602E-2</v>
          </cell>
        </row>
        <row r="83">
          <cell r="O83">
            <v>1.0269470164915</v>
          </cell>
          <cell r="P83">
            <v>1.03297703584714</v>
          </cell>
          <cell r="Q83">
            <v>1.0285753762736001</v>
          </cell>
          <cell r="U83">
            <v>-9.0121265886454194E-3</v>
          </cell>
          <cell r="V83">
            <v>-3.8003756699699401E-3</v>
          </cell>
          <cell r="W83">
            <v>-7.8876237273271897E-3</v>
          </cell>
          <cell r="Y83">
            <v>1.0269470164915</v>
          </cell>
          <cell r="Z83">
            <v>1.03297703584714</v>
          </cell>
          <cell r="AA83">
            <v>1.0285753762736001</v>
          </cell>
          <cell r="AF83">
            <v>-3.8003756699699401E-3</v>
          </cell>
          <cell r="AG83">
            <v>-7.8876237273271897E-3</v>
          </cell>
          <cell r="AR83">
            <v>2.923401396131339E-2</v>
          </cell>
          <cell r="BC83">
            <v>2.6416899187429004E-2</v>
          </cell>
          <cell r="BF83">
            <v>5.5650913148742404E-2</v>
          </cell>
        </row>
        <row r="84">
          <cell r="O84">
            <v>1.0269470164915</v>
          </cell>
          <cell r="P84">
            <v>1.0332452350808601</v>
          </cell>
          <cell r="Q84">
            <v>1.0291265033074899</v>
          </cell>
          <cell r="U84">
            <v>-5.7226499382466902E-3</v>
          </cell>
          <cell r="V84">
            <v>1.31970354982034E-4</v>
          </cell>
          <cell r="W84">
            <v>-4.1382739874300497E-3</v>
          </cell>
          <cell r="Y84">
            <v>1.0269470164915</v>
          </cell>
          <cell r="Z84">
            <v>1.0332452350808601</v>
          </cell>
          <cell r="AA84">
            <v>1.0291265033074899</v>
          </cell>
          <cell r="AF84">
            <v>1.31970354982034E-4</v>
          </cell>
          <cell r="AG84">
            <v>-4.1382739874300497E-3</v>
          </cell>
          <cell r="AR84">
            <v>3.2523490611712093E-2</v>
          </cell>
          <cell r="BC84">
            <v>2.6416899187429004E-2</v>
          </cell>
          <cell r="BF84">
            <v>5.8940389799141103E-2</v>
          </cell>
        </row>
        <row r="85">
          <cell r="O85">
            <v>1.0269470164915</v>
          </cell>
          <cell r="P85">
            <v>1.0336410954672699</v>
          </cell>
          <cell r="Q85">
            <v>1.0294382271137399</v>
          </cell>
          <cell r="U85">
            <v>-1.7685255077721201E-3</v>
          </cell>
          <cell r="V85">
            <v>4.3456982550313999E-3</v>
          </cell>
          <cell r="W85">
            <v>3.5152283809181302E-4</v>
          </cell>
          <cell r="Y85">
            <v>1.0269470164915</v>
          </cell>
          <cell r="Z85">
            <v>1.0336410954672699</v>
          </cell>
          <cell r="AA85">
            <v>1.0294382271137399</v>
          </cell>
          <cell r="AF85">
            <v>4.3456982550313999E-3</v>
          </cell>
          <cell r="AG85">
            <v>3.5152283809181302E-4</v>
          </cell>
          <cell r="AR85">
            <v>3.6477615042186787E-2</v>
          </cell>
          <cell r="BC85">
            <v>2.6416899187429004E-2</v>
          </cell>
          <cell r="BF85">
            <v>6.2894514229615797E-2</v>
          </cell>
        </row>
        <row r="86">
          <cell r="O86">
            <v>1.0269470164915</v>
          </cell>
          <cell r="P86">
            <v>1.03338667918463</v>
          </cell>
          <cell r="Q86">
            <v>1.0299590604470701</v>
          </cell>
          <cell r="U86">
            <v>-4.18131961445676E-3</v>
          </cell>
          <cell r="V86">
            <v>2.3159541355722902E-3</v>
          </cell>
          <cell r="W86">
            <v>-1.7584157848354999E-3</v>
          </cell>
          <cell r="Y86">
            <v>1.0269470164915</v>
          </cell>
          <cell r="Z86">
            <v>1.03338667918463</v>
          </cell>
          <cell r="AA86">
            <v>1.0299590604470701</v>
          </cell>
          <cell r="AF86">
            <v>2.3159541355722902E-3</v>
          </cell>
          <cell r="AG86">
            <v>-1.7584157848354999E-3</v>
          </cell>
          <cell r="AR86">
            <v>3.6477615042186787E-2</v>
          </cell>
          <cell r="BC86">
            <v>2.6416899187429004E-2</v>
          </cell>
          <cell r="BF86">
            <v>6.2894514229615797E-2</v>
          </cell>
        </row>
        <row r="87">
          <cell r="O87">
            <v>1.0269470164915</v>
          </cell>
          <cell r="P87">
            <v>1.03330969064126</v>
          </cell>
          <cell r="Q87">
            <v>1.0306169139394099</v>
          </cell>
          <cell r="U87">
            <v>-6.4575149939036401E-3</v>
          </cell>
          <cell r="V87">
            <v>-2.06407538344854E-4</v>
          </cell>
          <cell r="W87">
            <v>-3.5287997333520601E-3</v>
          </cell>
          <cell r="Y87">
            <v>1.0269470164915</v>
          </cell>
          <cell r="Z87">
            <v>1.03330969064126</v>
          </cell>
          <cell r="AA87">
            <v>1.0306169139394099</v>
          </cell>
          <cell r="AF87">
            <v>-2.06407538344854E-4</v>
          </cell>
          <cell r="AG87">
            <v>-3.5287997333520601E-3</v>
          </cell>
          <cell r="AR87">
            <v>3.6477615042186787E-2</v>
          </cell>
          <cell r="BC87">
            <v>2.6416899187429004E-2</v>
          </cell>
          <cell r="BF87">
            <v>6.2894514229615797E-2</v>
          </cell>
        </row>
        <row r="88">
          <cell r="O88">
            <v>1.0269470164915</v>
          </cell>
          <cell r="P88">
            <v>1.0329733427302501</v>
          </cell>
          <cell r="Q88">
            <v>1.03075798322886</v>
          </cell>
          <cell r="U88">
            <v>-3.7402258605858302E-4</v>
          </cell>
          <cell r="V88">
            <v>5.8025808983013499E-3</v>
          </cell>
          <cell r="W88">
            <v>3.1932068791250901E-3</v>
          </cell>
          <cell r="Y88">
            <v>1.0269470164915</v>
          </cell>
          <cell r="Z88">
            <v>1.0329733427302501</v>
          </cell>
          <cell r="AA88">
            <v>1.03075798322886</v>
          </cell>
          <cell r="AF88">
            <v>5.8025808983013499E-3</v>
          </cell>
          <cell r="AG88">
            <v>3.1932068791250901E-3</v>
          </cell>
          <cell r="AR88">
            <v>3.6477615042186787E-2</v>
          </cell>
          <cell r="BC88">
            <v>2.6416899187429004E-2</v>
          </cell>
          <cell r="BF88">
            <v>6.2894514229615797E-2</v>
          </cell>
        </row>
        <row r="89">
          <cell r="O89">
            <v>1.0269470164915</v>
          </cell>
          <cell r="P89">
            <v>1.0323474996584701</v>
          </cell>
          <cell r="Q89">
            <v>1.03119798322886</v>
          </cell>
          <cell r="U89">
            <v>-1.80273544892108E-3</v>
          </cell>
          <cell r="V89">
            <v>4.0483096210830504E-3</v>
          </cell>
          <cell r="W89">
            <v>1.9013631416856999E-3</v>
          </cell>
          <cell r="Y89">
            <v>1.0269470164915</v>
          </cell>
          <cell r="Z89">
            <v>1.0323474996584701</v>
          </cell>
          <cell r="AA89">
            <v>1.03119798322886</v>
          </cell>
          <cell r="AF89">
            <v>4.0483096210830504E-3</v>
          </cell>
          <cell r="AG89">
            <v>1.9013631416856999E-3</v>
          </cell>
          <cell r="AR89">
            <v>3.6477615042186787E-2</v>
          </cell>
          <cell r="BC89">
            <v>2.6416899187429004E-2</v>
          </cell>
          <cell r="BF89">
            <v>6.2894514229615797E-2</v>
          </cell>
        </row>
        <row r="90">
          <cell r="O90">
            <v>1.0269470164915</v>
          </cell>
          <cell r="P90">
            <v>1.0318603370514901</v>
          </cell>
          <cell r="Q90">
            <v>1.03147650866241</v>
          </cell>
          <cell r="U90">
            <v>-3.5626991183907802E-3</v>
          </cell>
          <cell r="V90">
            <v>1.68229668498388E-3</v>
          </cell>
          <cell r="W90">
            <v>5.6817871855890803E-4</v>
          </cell>
          <cell r="Y90">
            <v>1.0269470164915</v>
          </cell>
          <cell r="Z90">
            <v>1.0318603370514901</v>
          </cell>
          <cell r="AA90">
            <v>1.03147650866241</v>
          </cell>
          <cell r="AF90">
            <v>1.68229668498388E-3</v>
          </cell>
          <cell r="AG90">
            <v>5.6817871855890803E-4</v>
          </cell>
          <cell r="AR90">
            <v>3.6477615042186787E-2</v>
          </cell>
          <cell r="BC90">
            <v>2.6416899187429004E-2</v>
          </cell>
          <cell r="BF90">
            <v>6.2894514229615797E-2</v>
          </cell>
        </row>
        <row r="91">
          <cell r="O91">
            <v>1.0269470164915</v>
          </cell>
          <cell r="P91">
            <v>1.0311208296168499</v>
          </cell>
          <cell r="Q91">
            <v>1.0314186744538001</v>
          </cell>
          <cell r="U91">
            <v>4.0556005722987E-4</v>
          </cell>
          <cell r="V91">
            <v>5.1785465916160496E-3</v>
          </cell>
          <cell r="W91">
            <v>4.8065003168578499E-3</v>
          </cell>
          <cell r="Y91">
            <v>1.0269470164915</v>
          </cell>
          <cell r="Z91">
            <v>1.0311208296168499</v>
          </cell>
          <cell r="AA91">
            <v>1.0314186744538001</v>
          </cell>
          <cell r="AF91">
            <v>5.1785465916160496E-3</v>
          </cell>
          <cell r="AG91">
            <v>4.8065003168578499E-3</v>
          </cell>
          <cell r="AR91">
            <v>3.6477615042186787E-2</v>
          </cell>
          <cell r="BC91">
            <v>2.6416899187429004E-2</v>
          </cell>
          <cell r="BF91">
            <v>6.2894514229615797E-2</v>
          </cell>
        </row>
        <row r="92">
          <cell r="O92">
            <v>1.0269470164915</v>
          </cell>
          <cell r="P92">
            <v>1.0300021493032001</v>
          </cell>
          <cell r="Q92">
            <v>1.0311576646292799</v>
          </cell>
          <cell r="U92">
            <v>2.8268446001108302E-3</v>
          </cell>
          <cell r="V92">
            <v>6.8829002402541898E-3</v>
          </cell>
          <cell r="W92">
            <v>7.1717139463059101E-3</v>
          </cell>
          <cell r="Y92">
            <v>1.0269470164915</v>
          </cell>
          <cell r="Z92">
            <v>1.0300021493032001</v>
          </cell>
          <cell r="AA92">
            <v>1.0311576646292799</v>
          </cell>
          <cell r="AF92">
            <v>6.8829002402541898E-3</v>
          </cell>
          <cell r="AG92">
            <v>7.1717139463059101E-3</v>
          </cell>
          <cell r="AR92">
            <v>3.6477615042186787E-2</v>
          </cell>
          <cell r="BC92">
            <v>2.6416899187429004E-2</v>
          </cell>
          <cell r="BF92">
            <v>6.2894514229615797E-2</v>
          </cell>
        </row>
        <row r="93">
          <cell r="O93">
            <v>1.0269470164915</v>
          </cell>
          <cell r="P93">
            <v>1.0292003477407901</v>
          </cell>
          <cell r="Q93">
            <v>1.0310886917939599</v>
          </cell>
          <cell r="U93">
            <v>-1.24445994114718E-3</v>
          </cell>
          <cell r="V93">
            <v>1.7260899480671301E-3</v>
          </cell>
          <cell r="W93">
            <v>2.84731833542313E-3</v>
          </cell>
          <cell r="Y93">
            <v>1.0269470164915</v>
          </cell>
          <cell r="Z93">
            <v>1.0292003477407901</v>
          </cell>
          <cell r="AA93">
            <v>1.0310886917939599</v>
          </cell>
          <cell r="AF93">
            <v>1.7260899480671301E-3</v>
          </cell>
          <cell r="AG93">
            <v>2.84731833542313E-3</v>
          </cell>
          <cell r="AR93">
            <v>3.6477615042186787E-2</v>
          </cell>
          <cell r="BC93">
            <v>3.0488203728687043E-2</v>
          </cell>
          <cell r="BF93">
            <v>6.6965818770873833E-2</v>
          </cell>
        </row>
        <row r="94">
          <cell r="O94">
            <v>1.0269470164915</v>
          </cell>
          <cell r="P94">
            <v>1.02852148591204</v>
          </cell>
          <cell r="Q94">
            <v>1.03088336049645</v>
          </cell>
          <cell r="U94">
            <v>8.7180976430773296E-4</v>
          </cell>
          <cell r="V94">
            <v>3.0636100122516702E-3</v>
          </cell>
          <cell r="W94">
            <v>4.8966970652919301E-3</v>
          </cell>
          <cell r="Y94">
            <v>1.0269470164915</v>
          </cell>
          <cell r="Z94">
            <v>1.02852148591204</v>
          </cell>
          <cell r="AA94">
            <v>1.03088336049645</v>
          </cell>
          <cell r="AF94">
            <v>3.0636100122516702E-3</v>
          </cell>
          <cell r="AG94">
            <v>4.8966970652919301E-3</v>
          </cell>
          <cell r="AR94">
            <v>3.6477615042186787E-2</v>
          </cell>
          <cell r="BC94">
            <v>3.0488203728687043E-2</v>
          </cell>
          <cell r="BF94">
            <v>6.6965818770873833E-2</v>
          </cell>
        </row>
        <row r="95">
          <cell r="O95">
            <v>1.0269470164915</v>
          </cell>
          <cell r="P95">
            <v>1.0274705631799099</v>
          </cell>
          <cell r="Q95">
            <v>1.0305558293235899</v>
          </cell>
          <cell r="U95">
            <v>8.4993934032577302E-3</v>
          </cell>
          <cell r="V95">
            <v>1.00313747755161E-2</v>
          </cell>
          <cell r="W95">
            <v>1.23251205866583E-2</v>
          </cell>
          <cell r="Y95">
            <v>1.0269470164915</v>
          </cell>
          <cell r="Z95">
            <v>1.0274705631799099</v>
          </cell>
          <cell r="AA95">
            <v>1.0305558293235899</v>
          </cell>
          <cell r="AF95">
            <v>1.00313747755161E-2</v>
          </cell>
          <cell r="AG95">
            <v>1.23251205866583E-2</v>
          </cell>
          <cell r="AR95">
            <v>3.6477615042186787E-2</v>
          </cell>
          <cell r="BC95">
            <v>3.0488203728687043E-2</v>
          </cell>
          <cell r="BF95">
            <v>6.6965818770873833E-2</v>
          </cell>
        </row>
        <row r="96">
          <cell r="O96">
            <v>1.0269470164915</v>
          </cell>
          <cell r="P96">
            <v>1.02673600142693</v>
          </cell>
          <cell r="Q96">
            <v>1.0300613403057799</v>
          </cell>
          <cell r="U96">
            <v>2.9671932888608102E-3</v>
          </cell>
          <cell r="V96">
            <v>3.4768722411121799E-3</v>
          </cell>
          <cell r="W96">
            <v>6.4751510447395898E-3</v>
          </cell>
          <cell r="Y96">
            <v>1.0269470164915</v>
          </cell>
          <cell r="Z96">
            <v>1.02673600142693</v>
          </cell>
          <cell r="AA96">
            <v>1.0300613403057799</v>
          </cell>
          <cell r="AF96">
            <v>3.4768722411121799E-3</v>
          </cell>
          <cell r="AG96">
            <v>6.4751510447395898E-3</v>
          </cell>
          <cell r="AR96">
            <v>3.6477615042186787E-2</v>
          </cell>
          <cell r="BC96">
            <v>3.6020403843083845E-2</v>
          </cell>
          <cell r="BF96">
            <v>7.2498018885270632E-2</v>
          </cell>
        </row>
        <row r="97">
          <cell r="O97">
            <v>1.0269470164915</v>
          </cell>
          <cell r="P97">
            <v>1.02576168731162</v>
          </cell>
          <cell r="Q97">
            <v>1.02953568897644</v>
          </cell>
          <cell r="U97">
            <v>3.0136084882996998E-3</v>
          </cell>
          <cell r="V97">
            <v>2.8081093304684599E-3</v>
          </cell>
          <cell r="W97">
            <v>6.0416235992318598E-3</v>
          </cell>
          <cell r="Y97">
            <v>1.0269470164915</v>
          </cell>
          <cell r="Z97">
            <v>1.02576168731162</v>
          </cell>
          <cell r="AA97">
            <v>1.02953568897644</v>
          </cell>
          <cell r="AF97">
            <v>2.8081093304684599E-3</v>
          </cell>
          <cell r="AG97">
            <v>6.0416235992318598E-3</v>
          </cell>
          <cell r="AR97">
            <v>3.6477615042186787E-2</v>
          </cell>
          <cell r="BC97">
            <v>3.5973988643644865E-2</v>
          </cell>
          <cell r="BF97">
            <v>7.2451603685831659E-2</v>
          </cell>
        </row>
        <row r="98">
          <cell r="O98">
            <v>1.0269470164915</v>
          </cell>
          <cell r="P98">
            <v>1.0251398927167601</v>
          </cell>
          <cell r="Q98">
            <v>1.0290566177235001</v>
          </cell>
          <cell r="U98">
            <v>5.6968914640191702E-3</v>
          </cell>
          <cell r="V98">
            <v>4.5419986051986501E-3</v>
          </cell>
          <cell r="W98">
            <v>8.2144656165699798E-3</v>
          </cell>
          <cell r="Y98">
            <v>1.0269470164915</v>
          </cell>
          <cell r="Z98">
            <v>1.0251398927167601</v>
          </cell>
          <cell r="AA98">
            <v>1.0290566177235001</v>
          </cell>
          <cell r="AF98">
            <v>4.5419986051986501E-3</v>
          </cell>
          <cell r="AG98">
            <v>8.2144656165699798E-3</v>
          </cell>
          <cell r="AR98">
            <v>3.6477615042186787E-2</v>
          </cell>
          <cell r="BC98">
            <v>3.3290705667925261E-2</v>
          </cell>
          <cell r="BF98">
            <v>6.9768320710112047E-2</v>
          </cell>
        </row>
        <row r="99">
          <cell r="O99">
            <v>1.0269470164915</v>
          </cell>
          <cell r="P99">
            <v>1.0241117445686101</v>
          </cell>
          <cell r="Q99">
            <v>1.0282296221135401</v>
          </cell>
          <cell r="U99">
            <v>8.2412003841003702E-3</v>
          </cell>
          <cell r="V99">
            <v>6.4799453088110297E-3</v>
          </cell>
          <cell r="W99">
            <v>1.02933387531566E-2</v>
          </cell>
          <cell r="Y99">
            <v>1.0269470164915</v>
          </cell>
          <cell r="Z99">
            <v>1.0241117445686101</v>
          </cell>
          <cell r="AA99">
            <v>1.0282296221135401</v>
          </cell>
          <cell r="AF99">
            <v>6.4799453088110297E-3</v>
          </cell>
          <cell r="AG99">
            <v>1.02933387531566E-2</v>
          </cell>
          <cell r="AR99">
            <v>3.6477615042186787E-2</v>
          </cell>
          <cell r="BC99">
            <v>3.0746396747844157E-2</v>
          </cell>
          <cell r="BF99">
            <v>6.7224011790030944E-2</v>
          </cell>
        </row>
        <row r="100">
          <cell r="O100">
            <v>1.0269470164915</v>
          </cell>
          <cell r="P100">
            <v>1.02340133382203</v>
          </cell>
          <cell r="Q100">
            <v>1.02763083543676</v>
          </cell>
          <cell r="U100">
            <v>3.3542623714487201E-3</v>
          </cell>
          <cell r="V100">
            <v>5.8956953799370999E-4</v>
          </cell>
          <cell r="W100">
            <v>4.6024332239790796E-3</v>
          </cell>
          <cell r="Y100">
            <v>1.0269470164915</v>
          </cell>
          <cell r="Z100">
            <v>1.02340133382203</v>
          </cell>
          <cell r="AA100">
            <v>1.02763083543676</v>
          </cell>
          <cell r="AF100">
            <v>5.8956953799370999E-4</v>
          </cell>
          <cell r="AG100">
            <v>4.6024332239790796E-3</v>
          </cell>
          <cell r="AR100">
            <v>3.6477615042186787E-2</v>
          </cell>
          <cell r="BC100">
            <v>3.5633334760495655E-2</v>
          </cell>
          <cell r="BF100">
            <v>7.2110949802682442E-2</v>
          </cell>
        </row>
        <row r="101">
          <cell r="O101">
            <v>1.0269470164915</v>
          </cell>
          <cell r="P101">
            <v>1.0232305421010901</v>
          </cell>
          <cell r="Q101">
            <v>1.02717568585897</v>
          </cell>
          <cell r="U101">
            <v>2.0707218779780498E-3</v>
          </cell>
          <cell r="V101">
            <v>-1.3878964620652201E-3</v>
          </cell>
          <cell r="W101">
            <v>2.7363758660874601E-3</v>
          </cell>
          <cell r="Y101">
            <v>1.0269470164915</v>
          </cell>
          <cell r="Z101">
            <v>1.0232305421010901</v>
          </cell>
          <cell r="AA101">
            <v>1.02717568585897</v>
          </cell>
          <cell r="AF101">
            <v>-1.3878964620652201E-3</v>
          </cell>
          <cell r="AG101">
            <v>2.7363758660874601E-3</v>
          </cell>
          <cell r="AR101">
            <v>3.6477615042186787E-2</v>
          </cell>
          <cell r="BC101">
            <v>3.6916875253966253E-2</v>
          </cell>
          <cell r="BF101">
            <v>7.3394490296153039E-2</v>
          </cell>
        </row>
        <row r="102">
          <cell r="O102">
            <v>1.0269470164915</v>
          </cell>
          <cell r="P102">
            <v>1.0233942256325299</v>
          </cell>
          <cell r="Q102">
            <v>1.02669818746787</v>
          </cell>
          <cell r="U102">
            <v>1.2297237650743199E-3</v>
          </cell>
          <cell r="V102">
            <v>-2.3957948596260701E-3</v>
          </cell>
          <cell r="W102">
            <v>1.45236807755983E-3</v>
          </cell>
          <cell r="Y102">
            <v>1.0269470164915</v>
          </cell>
          <cell r="Z102">
            <v>1.0233942256325299</v>
          </cell>
          <cell r="AA102">
            <v>1.02669818746787</v>
          </cell>
          <cell r="AF102">
            <v>-2.3957948596260701E-3</v>
          </cell>
          <cell r="AG102">
            <v>1.45236807755983E-3</v>
          </cell>
          <cell r="AR102">
            <v>3.6477615042186787E-2</v>
          </cell>
          <cell r="BC102">
            <v>3.6916875253966253E-2</v>
          </cell>
          <cell r="BF102">
            <v>7.3394490296153039E-2</v>
          </cell>
        </row>
        <row r="103">
          <cell r="O103">
            <v>1.0269470164915</v>
          </cell>
          <cell r="P103">
            <v>1.0230149259646899</v>
          </cell>
          <cell r="Q103">
            <v>1.02610763685274</v>
          </cell>
          <cell r="U103">
            <v>2.45123593893981E-3</v>
          </cell>
          <cell r="V103">
            <v>-1.01432807720127E-3</v>
          </cell>
          <cell r="W103">
            <v>2.20890681181475E-3</v>
          </cell>
          <cell r="Y103">
            <v>1.0269470164915</v>
          </cell>
          <cell r="Z103">
            <v>1.0230149259646899</v>
          </cell>
          <cell r="AA103">
            <v>1.02610763685274</v>
          </cell>
          <cell r="AF103">
            <v>-1.01432807720127E-3</v>
          </cell>
          <cell r="AG103">
            <v>2.20890681181475E-3</v>
          </cell>
          <cell r="AR103">
            <v>3.6477615042186787E-2</v>
          </cell>
          <cell r="BC103">
            <v>3.6916875253966253E-2</v>
          </cell>
          <cell r="BF103">
            <v>7.3394490296153039E-2</v>
          </cell>
        </row>
        <row r="104">
          <cell r="O104">
            <v>1.0269470164915</v>
          </cell>
          <cell r="P104">
            <v>1.0237679244990701</v>
          </cell>
          <cell r="Q104">
            <v>1.0261447052055499</v>
          </cell>
          <cell r="U104">
            <v>-6.4401866241850696E-3</v>
          </cell>
          <cell r="V104">
            <v>-1.0276448427614699E-2</v>
          </cell>
          <cell r="W104">
            <v>-7.25787521729334E-3</v>
          </cell>
          <cell r="Y104">
            <v>1.0269470164915</v>
          </cell>
          <cell r="Z104">
            <v>1.0237679244990701</v>
          </cell>
          <cell r="AA104">
            <v>1.0261447052055499</v>
          </cell>
          <cell r="AF104">
            <v>-1.0276448427614699E-2</v>
          </cell>
          <cell r="AG104">
            <v>-7.25787521729334E-3</v>
          </cell>
          <cell r="AR104">
            <v>3.6477615042186787E-2</v>
          </cell>
          <cell r="BC104">
            <v>3.6916875253966253E-2</v>
          </cell>
          <cell r="BF104">
            <v>7.3394490296153039E-2</v>
          </cell>
        </row>
        <row r="105">
          <cell r="O105">
            <v>1.0269470164915</v>
          </cell>
          <cell r="P105">
            <v>1.0247832757806501</v>
          </cell>
          <cell r="Q105">
            <v>1.02612691948028</v>
          </cell>
          <cell r="U105">
            <v>-1.4226971753771699E-3</v>
          </cell>
          <cell r="V105">
            <v>-4.5231715276046096E-3</v>
          </cell>
          <cell r="W105">
            <v>-2.2042612120050202E-3</v>
          </cell>
          <cell r="Y105">
            <v>1.0269470164915</v>
          </cell>
          <cell r="Z105">
            <v>1.0247832757806501</v>
          </cell>
          <cell r="AA105">
            <v>1.02612691948028</v>
          </cell>
          <cell r="AF105">
            <v>-4.5231715276046096E-3</v>
          </cell>
          <cell r="AG105">
            <v>-2.2042612120050202E-3</v>
          </cell>
          <cell r="AR105">
            <v>4.1495104490994687E-2</v>
          </cell>
          <cell r="BC105">
            <v>3.6916875253966253E-2</v>
          </cell>
          <cell r="BF105">
            <v>7.8411979744960947E-2</v>
          </cell>
        </row>
        <row r="106">
          <cell r="O106">
            <v>1.0269470164915</v>
          </cell>
          <cell r="P106">
            <v>1.0252230262128801</v>
          </cell>
          <cell r="Q106">
            <v>1.0259795138198999</v>
          </cell>
          <cell r="U106">
            <v>-1.3184490647798199E-3</v>
          </cell>
          <cell r="V106">
            <v>-3.4276361457060201E-3</v>
          </cell>
          <cell r="W106">
            <v>-2.1173458219499301E-3</v>
          </cell>
          <cell r="Y106">
            <v>1.0269470164915</v>
          </cell>
          <cell r="Z106">
            <v>1.0252230262128801</v>
          </cell>
          <cell r="AA106">
            <v>1.0259795138198999</v>
          </cell>
          <cell r="AF106">
            <v>-3.4276361457060201E-3</v>
          </cell>
          <cell r="AG106">
            <v>-2.1173458219499301E-3</v>
          </cell>
          <cell r="AR106">
            <v>4.1495104490994687E-2</v>
          </cell>
          <cell r="BC106">
            <v>3.6916875253966253E-2</v>
          </cell>
          <cell r="BF106">
            <v>7.8411979744960947E-2</v>
          </cell>
        </row>
        <row r="107">
          <cell r="O107">
            <v>1.0269470164915</v>
          </cell>
          <cell r="P107">
            <v>1.0259796693485199</v>
          </cell>
          <cell r="Q107">
            <v>1.02587067833007</v>
          </cell>
          <cell r="U107">
            <v>-4.34934448253263E-3</v>
          </cell>
          <cell r="V107">
            <v>-6.0295080638231397E-3</v>
          </cell>
          <cell r="W107">
            <v>-5.2919040227227404E-3</v>
          </cell>
          <cell r="Y107">
            <v>1.0269470164915</v>
          </cell>
          <cell r="Z107">
            <v>1.0259796693485199</v>
          </cell>
          <cell r="AA107">
            <v>1.02587067833007</v>
          </cell>
          <cell r="AF107">
            <v>-6.0295080638231397E-3</v>
          </cell>
          <cell r="AG107">
            <v>-5.2919040227227404E-3</v>
          </cell>
          <cell r="AR107">
            <v>4.1495104490994687E-2</v>
          </cell>
          <cell r="BC107">
            <v>3.6916875253966253E-2</v>
          </cell>
          <cell r="BF107">
            <v>7.8411979744960947E-2</v>
          </cell>
        </row>
        <row r="108">
          <cell r="O108">
            <v>1.0269470164915</v>
          </cell>
          <cell r="P108">
            <v>1.0270223338405899</v>
          </cell>
          <cell r="Q108">
            <v>1.02608111327868</v>
          </cell>
          <cell r="U108">
            <v>-4.4623842892884498E-3</v>
          </cell>
          <cell r="V108">
            <v>-5.4047922391168698E-3</v>
          </cell>
          <cell r="W108">
            <v>-5.5110290498831902E-3</v>
          </cell>
          <cell r="Y108">
            <v>1.0269470164915</v>
          </cell>
          <cell r="Z108">
            <v>1.0270223338405899</v>
          </cell>
          <cell r="AA108">
            <v>1.02608111327868</v>
          </cell>
          <cell r="AF108">
            <v>-5.4047922391168698E-3</v>
          </cell>
          <cell r="AG108">
            <v>-5.5110290498831902E-3</v>
          </cell>
          <cell r="AR108">
            <v>4.138206468423887E-2</v>
          </cell>
          <cell r="BC108">
            <v>3.6916875253966253E-2</v>
          </cell>
          <cell r="BF108">
            <v>7.8298939938205123E-2</v>
          </cell>
        </row>
        <row r="109">
          <cell r="O109">
            <v>1.0269470164915</v>
          </cell>
          <cell r="P109">
            <v>1.0282613910796501</v>
          </cell>
          <cell r="Q109">
            <v>1.02618656782413</v>
          </cell>
          <cell r="U109">
            <v>-3.8506864489385902E-3</v>
          </cell>
          <cell r="V109">
            <v>-3.7773481110365201E-3</v>
          </cell>
          <cell r="W109">
            <v>-4.6942241010673397E-3</v>
          </cell>
          <cell r="Y109">
            <v>1.0269470164915</v>
          </cell>
          <cell r="Z109">
            <v>1.0282613910796501</v>
          </cell>
          <cell r="AA109">
            <v>1.02618656782413</v>
          </cell>
          <cell r="AF109">
            <v>-3.7773481110365201E-3</v>
          </cell>
          <cell r="AG109">
            <v>-4.6942241010673397E-3</v>
          </cell>
          <cell r="AR109">
            <v>4.1993762524588571E-2</v>
          </cell>
          <cell r="BC109">
            <v>3.6916875253966253E-2</v>
          </cell>
          <cell r="BF109">
            <v>7.8910637778554824E-2</v>
          </cell>
        </row>
        <row r="110">
          <cell r="O110">
            <v>1.0269470164915</v>
          </cell>
          <cell r="P110">
            <v>1.0289408803667399</v>
          </cell>
          <cell r="Q110">
            <v>1.02617110709438</v>
          </cell>
          <cell r="U110">
            <v>-3.2626240973842599E-3</v>
          </cell>
          <cell r="V110">
            <v>-1.9835569599557699E-3</v>
          </cell>
          <cell r="W110">
            <v>-4.0033929474524096E-3</v>
          </cell>
          <cell r="Y110">
            <v>1.0269470164915</v>
          </cell>
          <cell r="Z110">
            <v>1.0289408803667399</v>
          </cell>
          <cell r="AA110">
            <v>1.02617110709438</v>
          </cell>
          <cell r="AF110">
            <v>-1.9835569599557699E-3</v>
          </cell>
          <cell r="AG110">
            <v>-4.0033929474524096E-3</v>
          </cell>
          <cell r="AR110">
            <v>4.2581824876142871E-2</v>
          </cell>
          <cell r="BC110">
            <v>3.6916875253966253E-2</v>
          </cell>
          <cell r="BF110">
            <v>7.9498700130109123E-2</v>
          </cell>
        </row>
        <row r="111">
          <cell r="O111">
            <v>1.0269470164915</v>
          </cell>
          <cell r="P111">
            <v>1.0295327519120101</v>
          </cell>
          <cell r="Q111">
            <v>1.0263816470065501</v>
          </cell>
          <cell r="U111">
            <v>-3.68802025396423E-3</v>
          </cell>
          <cell r="V111">
            <v>-1.7483575871357899E-3</v>
          </cell>
          <cell r="W111">
            <v>-4.4438554152660204E-3</v>
          </cell>
          <cell r="Y111">
            <v>1.0269470164915</v>
          </cell>
          <cell r="Z111">
            <v>1.0295327519120101</v>
          </cell>
          <cell r="AA111">
            <v>1.0263816470065501</v>
          </cell>
          <cell r="AF111">
            <v>-1.7483575871357899E-3</v>
          </cell>
          <cell r="AG111">
            <v>-4.4438554152660204E-3</v>
          </cell>
          <cell r="AR111">
            <v>4.2156428719562974E-2</v>
          </cell>
          <cell r="BC111">
            <v>3.6916875253966253E-2</v>
          </cell>
          <cell r="BF111">
            <v>7.9073303973529227E-2</v>
          </cell>
        </row>
        <row r="112">
          <cell r="O112">
            <v>1.0269470164915</v>
          </cell>
          <cell r="P112">
            <v>1.03005173732051</v>
          </cell>
          <cell r="Q112">
            <v>1.02672298147652</v>
          </cell>
          <cell r="U112">
            <v>-3.8174091324183002E-3</v>
          </cell>
          <cell r="V112">
            <v>-1.3026877888035299E-3</v>
          </cell>
          <cell r="W112">
            <v>-4.3680949620062597E-3</v>
          </cell>
          <cell r="Y112">
            <v>1.0269470164915</v>
          </cell>
          <cell r="Z112">
            <v>1.03005173732051</v>
          </cell>
          <cell r="AA112">
            <v>1.02672298147652</v>
          </cell>
          <cell r="AF112">
            <v>-1.3026877888035299E-3</v>
          </cell>
          <cell r="AG112">
            <v>-4.3680949620062597E-3</v>
          </cell>
          <cell r="AR112">
            <v>4.2027039841108775E-2</v>
          </cell>
          <cell r="BC112">
            <v>3.6916875253966253E-2</v>
          </cell>
          <cell r="BF112">
            <v>7.8943915095075035E-2</v>
          </cell>
        </row>
        <row r="113">
          <cell r="O113">
            <v>1.0269470164915</v>
          </cell>
          <cell r="P113">
            <v>1.03049961280578</v>
          </cell>
          <cell r="Q113">
            <v>1.02675726938523</v>
          </cell>
          <cell r="U113">
            <v>-1.9111710799177401E-3</v>
          </cell>
          <cell r="V113">
            <v>1.1075212560886199E-3</v>
          </cell>
          <cell r="W113">
            <v>-2.1293512316376498E-3</v>
          </cell>
          <cell r="Y113">
            <v>1.0269470164915</v>
          </cell>
          <cell r="Z113">
            <v>1.03049961280578</v>
          </cell>
          <cell r="AA113">
            <v>1.02675726938523</v>
          </cell>
          <cell r="AF113">
            <v>1.1075212560886199E-3</v>
          </cell>
          <cell r="AG113">
            <v>-2.1293512316376498E-3</v>
          </cell>
          <cell r="AR113">
            <v>4.3933277893609485E-2</v>
          </cell>
          <cell r="BC113">
            <v>3.6916875253966253E-2</v>
          </cell>
          <cell r="BF113">
            <v>8.0850153147575737E-2</v>
          </cell>
        </row>
        <row r="114">
          <cell r="O114">
            <v>1.0269470164915</v>
          </cell>
          <cell r="P114">
            <v>1.0300473867565401</v>
          </cell>
          <cell r="Q114">
            <v>1.0269076556278001</v>
          </cell>
          <cell r="U114">
            <v>-2.0552590246677598E-3</v>
          </cell>
          <cell r="V114">
            <v>1.3981475370225299E-3</v>
          </cell>
          <cell r="W114">
            <v>-2.2400442521356401E-3</v>
          </cell>
          <cell r="Y114">
            <v>1.0269470164915</v>
          </cell>
          <cell r="Z114">
            <v>1.0300473867565401</v>
          </cell>
          <cell r="AA114">
            <v>1.0269076556278001</v>
          </cell>
          <cell r="AF114">
            <v>1.3981475370225299E-3</v>
          </cell>
          <cell r="AG114">
            <v>-2.2400442521356401E-3</v>
          </cell>
          <cell r="AR114">
            <v>4.3933277893609485E-2</v>
          </cell>
          <cell r="BC114">
            <v>3.6916875253966253E-2</v>
          </cell>
          <cell r="BF114">
            <v>8.0850153147575737E-2</v>
          </cell>
        </row>
        <row r="115">
          <cell r="O115">
            <v>1.0269470164915</v>
          </cell>
          <cell r="P115">
            <v>1.03038668967976</v>
          </cell>
          <cell r="Q115">
            <v>1.0275849827301999</v>
          </cell>
          <cell r="U115">
            <v>-4.7165655727472696E-3</v>
          </cell>
          <cell r="V115">
            <v>-1.7020968820185701E-3</v>
          </cell>
          <cell r="W115">
            <v>-4.7548943447266803E-3</v>
          </cell>
          <cell r="Y115">
            <v>1.0269470164915</v>
          </cell>
          <cell r="Z115">
            <v>1.03038668967976</v>
          </cell>
          <cell r="AA115">
            <v>1.0275849827301999</v>
          </cell>
          <cell r="AF115">
            <v>-1.7020968820185701E-3</v>
          </cell>
          <cell r="AG115">
            <v>-4.7548943447266803E-3</v>
          </cell>
          <cell r="AR115">
            <v>4.3933277893609485E-2</v>
          </cell>
          <cell r="BC115">
            <v>3.6916875253966253E-2</v>
          </cell>
          <cell r="BF115">
            <v>8.0850153147575737E-2</v>
          </cell>
        </row>
        <row r="116">
          <cell r="O116">
            <v>1.0269470164915</v>
          </cell>
          <cell r="P116">
            <v>1.0306306420493401</v>
          </cell>
          <cell r="Q116">
            <v>1.0279268341311101</v>
          </cell>
          <cell r="U116">
            <v>-3.68802025396423E-3</v>
          </cell>
          <cell r="V116">
            <v>-3.4420064619093699E-4</v>
          </cell>
          <cell r="W116">
            <v>-3.0669870849024E-3</v>
          </cell>
          <cell r="Y116">
            <v>1.0269470164915</v>
          </cell>
          <cell r="Z116">
            <v>1.0306306420493401</v>
          </cell>
          <cell r="AA116">
            <v>1.0279268341311101</v>
          </cell>
          <cell r="AF116">
            <v>-3.4420064619093699E-4</v>
          </cell>
          <cell r="AG116">
            <v>-3.0669870849024E-3</v>
          </cell>
          <cell r="AR116">
            <v>4.3933277893609485E-2</v>
          </cell>
          <cell r="BC116">
            <v>3.6916875253966253E-2</v>
          </cell>
          <cell r="BF116">
            <v>8.0850153147575737E-2</v>
          </cell>
        </row>
        <row r="117">
          <cell r="O117">
            <v>1.0269470164915</v>
          </cell>
          <cell r="P117">
            <v>1.0307251103032899</v>
          </cell>
          <cell r="Q117">
            <v>1.0283523898258999</v>
          </cell>
          <cell r="U117">
            <v>-5.2648271889210998E-3</v>
          </cell>
          <cell r="V117">
            <v>-1.6842775285049901E-3</v>
          </cell>
          <cell r="W117">
            <v>-4.3111747653709499E-3</v>
          </cell>
          <cell r="Y117">
            <v>1.0269470164915</v>
          </cell>
          <cell r="Z117">
            <v>1.0307251103032899</v>
          </cell>
          <cell r="AA117">
            <v>1.0283523898258999</v>
          </cell>
          <cell r="AF117">
            <v>-1.6842775285049901E-3</v>
          </cell>
          <cell r="AG117">
            <v>-4.3111747653709499E-3</v>
          </cell>
          <cell r="AR117">
            <v>4.3933277893609485E-2</v>
          </cell>
          <cell r="BC117">
            <v>3.6916875253966253E-2</v>
          </cell>
          <cell r="BF117">
            <v>8.0850153147575737E-2</v>
          </cell>
        </row>
        <row r="118">
          <cell r="O118">
            <v>1.0269470164915</v>
          </cell>
          <cell r="P118">
            <v>1.0307124826915599</v>
          </cell>
          <cell r="Q118">
            <v>1.02886740826608</v>
          </cell>
          <cell r="U118">
            <v>-4.3399616390618198E-3</v>
          </cell>
          <cell r="V118">
            <v>-6.6775554922873098E-4</v>
          </cell>
          <cell r="W118">
            <v>-2.9724007385794398E-3</v>
          </cell>
          <cell r="Y118">
            <v>1.0269470164915</v>
          </cell>
          <cell r="Z118">
            <v>1.0307124826915599</v>
          </cell>
          <cell r="AA118">
            <v>1.02886740826608</v>
          </cell>
          <cell r="AF118">
            <v>-6.6775554922873098E-4</v>
          </cell>
          <cell r="AG118">
            <v>-2.9724007385794398E-3</v>
          </cell>
          <cell r="AR118">
            <v>4.3933277893609485E-2</v>
          </cell>
          <cell r="BC118">
            <v>3.6916875253966253E-2</v>
          </cell>
          <cell r="BF118">
            <v>8.0850153147575737E-2</v>
          </cell>
        </row>
        <row r="119">
          <cell r="O119">
            <v>1.0269470164915</v>
          </cell>
          <cell r="P119">
            <v>1.03065187663095</v>
          </cell>
          <cell r="Q119">
            <v>1.0294566338553</v>
          </cell>
          <cell r="U119">
            <v>-3.2626240973842599E-3</v>
          </cell>
          <cell r="V119">
            <v>3.9733072491241801E-4</v>
          </cell>
          <cell r="W119">
            <v>-1.39436954092088E-3</v>
          </cell>
          <cell r="Y119">
            <v>1.0269470164915</v>
          </cell>
          <cell r="Z119">
            <v>1.03065187663095</v>
          </cell>
          <cell r="AA119">
            <v>1.0294566338553</v>
          </cell>
          <cell r="AF119">
            <v>3.9733072491241801E-4</v>
          </cell>
          <cell r="AG119">
            <v>-1.39436954092088E-3</v>
          </cell>
          <cell r="AR119">
            <v>4.3933277893609485E-2</v>
          </cell>
          <cell r="BC119">
            <v>3.6916875253966253E-2</v>
          </cell>
          <cell r="BF119">
            <v>8.0850153147575737E-2</v>
          </cell>
        </row>
        <row r="120">
          <cell r="O120">
            <v>1.0269470164915</v>
          </cell>
          <cell r="P120">
            <v>1.0306827980904401</v>
          </cell>
          <cell r="Q120">
            <v>1.02981183922859</v>
          </cell>
          <cell r="U120">
            <v>-3.5626991183907802E-3</v>
          </cell>
          <cell r="V120">
            <v>3.84538134502371E-5</v>
          </cell>
          <cell r="W120">
            <v>-1.1219150736028599E-3</v>
          </cell>
          <cell r="Y120">
            <v>1.0269470164915</v>
          </cell>
          <cell r="Z120">
            <v>1.0306827980904401</v>
          </cell>
          <cell r="AA120">
            <v>1.02981183922859</v>
          </cell>
          <cell r="AF120">
            <v>3.84538134502371E-5</v>
          </cell>
          <cell r="AG120">
            <v>-1.1219150736028599E-3</v>
          </cell>
          <cell r="AR120">
            <v>4.3933277893609485E-2</v>
          </cell>
          <cell r="BC120">
            <v>3.6916875253966253E-2</v>
          </cell>
          <cell r="BF120">
            <v>8.0850153147575737E-2</v>
          </cell>
        </row>
        <row r="121">
          <cell r="O121">
            <v>1.0269470164915</v>
          </cell>
          <cell r="P121">
            <v>1.03083446349323</v>
          </cell>
          <cell r="Q121">
            <v>1.0301836077026201</v>
          </cell>
          <cell r="U121">
            <v>-5.1583592622835997E-3</v>
          </cell>
          <cell r="V121">
            <v>-1.5272049338967101E-3</v>
          </cell>
          <cell r="W121">
            <v>-2.3725931217136102E-3</v>
          </cell>
          <cell r="Y121">
            <v>1.0269470164915</v>
          </cell>
          <cell r="Z121">
            <v>1.03083446349323</v>
          </cell>
          <cell r="AA121">
            <v>1.0301836077026201</v>
          </cell>
          <cell r="AF121">
            <v>-1.5272049338967101E-3</v>
          </cell>
          <cell r="AG121">
            <v>-2.3725931217136102E-3</v>
          </cell>
          <cell r="AR121">
            <v>4.3933277893609485E-2</v>
          </cell>
          <cell r="BC121">
            <v>3.6916875253966253E-2</v>
          </cell>
          <cell r="BF121">
            <v>8.0850153147575737E-2</v>
          </cell>
        </row>
        <row r="122">
          <cell r="O122">
            <v>1.0269470164915</v>
          </cell>
          <cell r="P122">
            <v>1.03187921633901</v>
          </cell>
          <cell r="Q122">
            <v>1.03096547682976</v>
          </cell>
          <cell r="U122">
            <v>-1.3901022302440001E-2</v>
          </cell>
          <cell r="V122">
            <v>-1.01227283833369E-2</v>
          </cell>
          <cell r="W122">
            <v>-1.07543150941377E-2</v>
          </cell>
          <cell r="Y122">
            <v>1.0269470164915</v>
          </cell>
          <cell r="Z122">
            <v>1.03187921633901</v>
          </cell>
          <cell r="AA122">
            <v>1.03096547682976</v>
          </cell>
          <cell r="AF122">
            <v>-1.01227283833369E-2</v>
          </cell>
          <cell r="AG122">
            <v>-1.07543150941377E-2</v>
          </cell>
          <cell r="AR122">
            <v>4.3933277893609485E-2</v>
          </cell>
          <cell r="BC122">
            <v>3.6916875253966253E-2</v>
          </cell>
          <cell r="BF122">
            <v>8.0850153147575737E-2</v>
          </cell>
        </row>
        <row r="123">
          <cell r="O123">
            <v>1.0269470164915</v>
          </cell>
          <cell r="P123">
            <v>1.03249976556205</v>
          </cell>
          <cell r="Q123">
            <v>1.0314996891839101</v>
          </cell>
          <cell r="U123">
            <v>-7.9241796816675002E-3</v>
          </cell>
          <cell r="V123">
            <v>-3.1328969553092098E-3</v>
          </cell>
          <cell r="W123">
            <v>-4.0187993909503198E-3</v>
          </cell>
          <cell r="Y123">
            <v>1.0269470164915</v>
          </cell>
          <cell r="Z123">
            <v>1.03249976556205</v>
          </cell>
          <cell r="AA123">
            <v>1.0314996891839101</v>
          </cell>
          <cell r="AF123">
            <v>-3.1328969553092098E-3</v>
          </cell>
          <cell r="AG123">
            <v>-4.0187993909503198E-3</v>
          </cell>
          <cell r="AR123">
            <v>4.9910120514382185E-2</v>
          </cell>
          <cell r="BC123">
            <v>3.6916875253966253E-2</v>
          </cell>
          <cell r="BF123">
            <v>8.6826995768348444E-2</v>
          </cell>
        </row>
        <row r="124">
          <cell r="O124">
            <v>1.0269470164915</v>
          </cell>
          <cell r="P124">
            <v>1.0323269016271199</v>
          </cell>
          <cell r="Q124">
            <v>1.0311871441918301</v>
          </cell>
          <cell r="U124">
            <v>-3.7402258605858302E-4</v>
          </cell>
          <cell r="V124">
            <v>5.01845715612369E-3</v>
          </cell>
          <cell r="W124">
            <v>4.0493905664037997E-3</v>
          </cell>
          <cell r="Y124">
            <v>1.0269470164915</v>
          </cell>
          <cell r="Z124">
            <v>1.0323269016271199</v>
          </cell>
          <cell r="AA124">
            <v>1.0311871441918301</v>
          </cell>
          <cell r="AF124">
            <v>5.01845715612369E-3</v>
          </cell>
          <cell r="AG124">
            <v>4.0493905664037997E-3</v>
          </cell>
          <cell r="AR124">
            <v>5.7460277609991187E-2</v>
          </cell>
          <cell r="BC124">
            <v>3.6916875253966253E-2</v>
          </cell>
          <cell r="BF124">
            <v>9.4377152863957453E-2</v>
          </cell>
        </row>
        <row r="125">
          <cell r="O125">
            <v>1.0269470164915</v>
          </cell>
          <cell r="P125">
            <v>1.0321200855441299</v>
          </cell>
          <cell r="Q125">
            <v>1.0312533876119501</v>
          </cell>
          <cell r="U125">
            <v>-2.7101378954857199E-3</v>
          </cell>
          <cell r="V125">
            <v>2.5149050946705501E-3</v>
          </cell>
          <cell r="W125">
            <v>1.4102287746741899E-3</v>
          </cell>
          <cell r="Y125">
            <v>1.0269470164915</v>
          </cell>
          <cell r="Z125">
            <v>1.0321200855441299</v>
          </cell>
          <cell r="AA125">
            <v>1.0312533876119501</v>
          </cell>
          <cell r="AF125">
            <v>2.5149050946705501E-3</v>
          </cell>
          <cell r="AG125">
            <v>1.4102287746741899E-3</v>
          </cell>
          <cell r="AR125">
            <v>5.7460277609991187E-2</v>
          </cell>
          <cell r="BC125">
            <v>3.6916875253966253E-2</v>
          </cell>
          <cell r="BF125">
            <v>9.4377152863957453E-2</v>
          </cell>
        </row>
        <row r="126">
          <cell r="O126">
            <v>1.0269470164915</v>
          </cell>
          <cell r="P126">
            <v>1.0313607593101199</v>
          </cell>
          <cell r="Q126">
            <v>1.0309957006797299</v>
          </cell>
          <cell r="U126">
            <v>3.7060452187090902E-3</v>
          </cell>
          <cell r="V126">
            <v>8.7307284176294103E-3</v>
          </cell>
          <cell r="W126">
            <v>7.8906497848159306E-3</v>
          </cell>
          <cell r="Y126">
            <v>1.0269470164915</v>
          </cell>
          <cell r="Z126">
            <v>1.0313607593101199</v>
          </cell>
          <cell r="AA126">
            <v>1.0309957006797299</v>
          </cell>
          <cell r="AF126">
            <v>8.7307284176294103E-3</v>
          </cell>
          <cell r="AG126">
            <v>7.8906497848159306E-3</v>
          </cell>
          <cell r="AR126">
            <v>5.7460277609991187E-2</v>
          </cell>
          <cell r="BC126">
            <v>3.6916875253966253E-2</v>
          </cell>
          <cell r="BF126">
            <v>9.4377152863957453E-2</v>
          </cell>
        </row>
        <row r="127">
          <cell r="O127">
            <v>1.0269470164915</v>
          </cell>
          <cell r="P127">
            <v>1.0306842029997001</v>
          </cell>
          <cell r="Q127">
            <v>1.0307046566514899</v>
          </cell>
          <cell r="U127">
            <v>1.3101823792184E-3</v>
          </cell>
          <cell r="V127">
            <v>5.5988991937864904E-3</v>
          </cell>
          <cell r="W127">
            <v>5.24487830429875E-3</v>
          </cell>
          <cell r="Y127">
            <v>1.0269470164915</v>
          </cell>
          <cell r="Z127">
            <v>1.0306842029997001</v>
          </cell>
          <cell r="AA127">
            <v>1.0307046566514899</v>
          </cell>
          <cell r="AF127">
            <v>5.5988991937864904E-3</v>
          </cell>
          <cell r="AG127">
            <v>5.24487830429875E-3</v>
          </cell>
          <cell r="AR127">
            <v>5.7460277609991187E-2</v>
          </cell>
          <cell r="BC127">
            <v>3.931273809345695E-2</v>
          </cell>
          <cell r="BF127">
            <v>9.6773015703448151E-2</v>
          </cell>
        </row>
        <row r="128">
          <cell r="O128">
            <v>1.0269470164915</v>
          </cell>
          <cell r="P128">
            <v>1.03013036076903</v>
          </cell>
          <cell r="Q128">
            <v>1.0304214217302901</v>
          </cell>
          <cell r="U128">
            <v>1.04424662460033E-3</v>
          </cell>
          <cell r="V128">
            <v>4.67676403802662E-3</v>
          </cell>
          <cell r="W128">
            <v>4.69660857312869E-3</v>
          </cell>
          <cell r="Y128">
            <v>1.0269470164915</v>
          </cell>
          <cell r="Z128">
            <v>1.03013036076903</v>
          </cell>
          <cell r="AA128">
            <v>1.0304214217302901</v>
          </cell>
          <cell r="AF128">
            <v>4.67676403802662E-3</v>
          </cell>
          <cell r="AG128">
            <v>4.69660857312869E-3</v>
          </cell>
          <cell r="AR128">
            <v>5.7460277609991187E-2</v>
          </cell>
          <cell r="BC128">
            <v>3.9578673848075049E-2</v>
          </cell>
          <cell r="BF128">
            <v>9.703895145806625E-2</v>
          </cell>
        </row>
        <row r="129">
          <cell r="O129">
            <v>1.0269470164915</v>
          </cell>
          <cell r="P129">
            <v>1.0294734754602499</v>
          </cell>
          <cell r="Q129">
            <v>1.0300626760456</v>
          </cell>
          <cell r="U129">
            <v>3.1334386982536698E-3</v>
          </cell>
          <cell r="V129">
            <v>6.2284577324076299E-3</v>
          </cell>
          <cell r="W129">
            <v>6.5109655205344199E-3</v>
          </cell>
          <cell r="Y129">
            <v>1.0269470164915</v>
          </cell>
          <cell r="Z129">
            <v>1.0294734754602499</v>
          </cell>
          <cell r="AA129">
            <v>1.0300626760456</v>
          </cell>
          <cell r="AF129">
            <v>6.2284577324076299E-3</v>
          </cell>
          <cell r="AG129">
            <v>6.5109655205344199E-3</v>
          </cell>
          <cell r="AR129">
            <v>5.7460277609991187E-2</v>
          </cell>
          <cell r="BC129">
            <v>3.748948177442165E-2</v>
          </cell>
          <cell r="BF129">
            <v>9.4949759384412857E-2</v>
          </cell>
        </row>
        <row r="130">
          <cell r="O130">
            <v>1.0269470164915</v>
          </cell>
          <cell r="P130">
            <v>1.02858279360611</v>
          </cell>
          <cell r="Q130">
            <v>1.02963279584828</v>
          </cell>
          <cell r="U130">
            <v>5.1171213455621202E-3</v>
          </cell>
          <cell r="V130">
            <v>7.5742649596937496E-3</v>
          </cell>
          <cell r="W130">
            <v>8.1464332132044799E-3</v>
          </cell>
          <cell r="Y130">
            <v>1.0269470164915</v>
          </cell>
          <cell r="Z130">
            <v>1.02858279360611</v>
          </cell>
          <cell r="AA130">
            <v>1.02963279584828</v>
          </cell>
          <cell r="AF130">
            <v>7.5742649596937496E-3</v>
          </cell>
          <cell r="AG130">
            <v>8.1464332132044799E-3</v>
          </cell>
          <cell r="AR130">
            <v>5.7460277609991187E-2</v>
          </cell>
          <cell r="BC130">
            <v>3.5505799127113449E-2</v>
          </cell>
          <cell r="BF130">
            <v>9.2966076737104664E-2</v>
          </cell>
        </row>
        <row r="131">
          <cell r="O131">
            <v>1.0269470164915</v>
          </cell>
          <cell r="P131">
            <v>1.0280801339018499</v>
          </cell>
          <cell r="Q131">
            <v>1.0294572986975401</v>
          </cell>
          <cell r="U131">
            <v>-2.7694865471295302E-4</v>
          </cell>
          <cell r="V131">
            <v>1.3146385379234299E-3</v>
          </cell>
          <cell r="W131">
            <v>2.3349420849712301E-3</v>
          </cell>
          <cell r="Y131">
            <v>1.0269470164915</v>
          </cell>
          <cell r="Z131">
            <v>1.0280801339018499</v>
          </cell>
          <cell r="AA131">
            <v>1.0294572986975401</v>
          </cell>
          <cell r="AF131">
            <v>1.3146385379234299E-3</v>
          </cell>
          <cell r="AG131">
            <v>2.3349420849712301E-3</v>
          </cell>
          <cell r="AR131">
            <v>5.7460277609991187E-2</v>
          </cell>
          <cell r="BC131">
            <v>4.089986912738855E-2</v>
          </cell>
          <cell r="BF131">
            <v>9.8360146737379764E-2</v>
          </cell>
        </row>
        <row r="132">
          <cell r="O132">
            <v>1.0269470164915</v>
          </cell>
          <cell r="P132">
            <v>1.02606590552261</v>
          </cell>
          <cell r="Q132">
            <v>1.02897256093081</v>
          </cell>
          <cell r="U132">
            <v>5.6314880314533699E-3</v>
          </cell>
          <cell r="V132">
            <v>6.7342642404854703E-3</v>
          </cell>
          <cell r="W132">
            <v>8.07291789463121E-3</v>
          </cell>
          <cell r="Y132">
            <v>1.0269470164915</v>
          </cell>
          <cell r="Z132">
            <v>1.02606590552261</v>
          </cell>
          <cell r="AA132">
            <v>1.02897256093081</v>
          </cell>
          <cell r="AF132">
            <v>6.7342642404854703E-3</v>
          </cell>
          <cell r="AG132">
            <v>8.07291789463121E-3</v>
          </cell>
          <cell r="AR132">
            <v>5.7460277609991187E-2</v>
          </cell>
          <cell r="BC132">
            <v>4.089986912738855E-2</v>
          </cell>
          <cell r="BF132">
            <v>9.8360146737379764E-2</v>
          </cell>
        </row>
        <row r="133">
          <cell r="O133">
            <v>1.0269470164915</v>
          </cell>
          <cell r="P133">
            <v>1.0247180329127299</v>
          </cell>
          <cell r="Q133">
            <v>1.0286088992373901</v>
          </cell>
          <cell r="U133">
            <v>5.1827937015108596E-3</v>
          </cell>
          <cell r="V133">
            <v>4.3244347369473402E-3</v>
          </cell>
          <cell r="W133">
            <v>7.1532453835066899E-3</v>
          </cell>
          <cell r="Y133">
            <v>1.0269470164915</v>
          </cell>
          <cell r="Z133">
            <v>1.0247180329127299</v>
          </cell>
          <cell r="AA133">
            <v>1.0286088992373901</v>
          </cell>
          <cell r="AF133">
            <v>4.3244347369473402E-3</v>
          </cell>
          <cell r="AG133">
            <v>7.1532453835066899E-3</v>
          </cell>
          <cell r="AR133">
            <v>5.7460277609991187E-2</v>
          </cell>
          <cell r="BC133">
            <v>4.1348563457330845E-2</v>
          </cell>
          <cell r="BF133">
            <v>9.8808841067322059E-2</v>
          </cell>
        </row>
        <row r="134">
          <cell r="O134">
            <v>1.0269470164915</v>
          </cell>
          <cell r="P134">
            <v>1.02422371991182</v>
          </cell>
          <cell r="Q134">
            <v>1.02827531076947</v>
          </cell>
          <cell r="U134">
            <v>4.4492131750832904E-3</v>
          </cell>
          <cell r="V134">
            <v>2.2763590277701099E-3</v>
          </cell>
          <cell r="W134">
            <v>6.06618024006432E-3</v>
          </cell>
          <cell r="Y134">
            <v>1.0269470164915</v>
          </cell>
          <cell r="Z134">
            <v>1.02422371991182</v>
          </cell>
          <cell r="AA134">
            <v>1.02827531076947</v>
          </cell>
          <cell r="AF134">
            <v>2.2763590277701099E-3</v>
          </cell>
          <cell r="AG134">
            <v>6.06618024006432E-3</v>
          </cell>
          <cell r="AR134">
            <v>5.7460277609991187E-2</v>
          </cell>
          <cell r="BC134">
            <v>4.2082143983758542E-2</v>
          </cell>
          <cell r="BF134">
            <v>9.9542421593749764E-2</v>
          </cell>
        </row>
        <row r="135">
          <cell r="O135">
            <v>1.0269470164915</v>
          </cell>
          <cell r="P135">
            <v>1.0235070235575401</v>
          </cell>
          <cell r="Q135">
            <v>1.02781355455084</v>
          </cell>
          <cell r="U135">
            <v>4.2742107297495998E-3</v>
          </cell>
          <cell r="V135">
            <v>1.6188509086459901E-3</v>
          </cell>
          <cell r="W135">
            <v>5.5668148877485299E-3</v>
          </cell>
          <cell r="Y135">
            <v>1.0269470164915</v>
          </cell>
          <cell r="Z135">
            <v>1.0235070235575401</v>
          </cell>
          <cell r="AA135">
            <v>1.02781355455084</v>
          </cell>
          <cell r="AF135">
            <v>1.6188509086459901E-3</v>
          </cell>
          <cell r="AG135">
            <v>5.5668148877485299E-3</v>
          </cell>
          <cell r="AR135">
            <v>5.7460277609991187E-2</v>
          </cell>
          <cell r="BC135">
            <v>4.2257146429092542E-2</v>
          </cell>
          <cell r="BF135">
            <v>9.9717424039083763E-2</v>
          </cell>
        </row>
        <row r="136">
          <cell r="O136">
            <v>1.0269470164915</v>
          </cell>
          <cell r="P136">
            <v>1.0232526483031701</v>
          </cell>
          <cell r="Q136">
            <v>1.0273067038066399</v>
          </cell>
          <cell r="U136">
            <v>6.1953425312235603E-3</v>
          </cell>
          <cell r="V136">
            <v>2.83999186823465E-3</v>
          </cell>
          <cell r="W136">
            <v>7.0387868944450501E-3</v>
          </cell>
          <cell r="Y136">
            <v>1.0269470164915</v>
          </cell>
          <cell r="Z136">
            <v>1.0232526483031701</v>
          </cell>
          <cell r="AA136">
            <v>1.0273067038066399</v>
          </cell>
          <cell r="AF136">
            <v>2.83999186823465E-3</v>
          </cell>
          <cell r="AG136">
            <v>7.0387868944450501E-3</v>
          </cell>
          <cell r="AR136">
            <v>5.7460277609991187E-2</v>
          </cell>
          <cell r="BC136">
            <v>4.033601462761844E-2</v>
          </cell>
          <cell r="BF136">
            <v>9.7796292237609661E-2</v>
          </cell>
        </row>
        <row r="137">
          <cell r="O137">
            <v>1.0269470164915</v>
          </cell>
          <cell r="P137">
            <v>1.0227961941555801</v>
          </cell>
          <cell r="Q137">
            <v>1.0267401985776401</v>
          </cell>
          <cell r="U137">
            <v>5.7707112699067198E-3</v>
          </cell>
          <cell r="V137">
            <v>2.1667967338041402E-3</v>
          </cell>
          <cell r="W137">
            <v>6.1208990926332396E-3</v>
          </cell>
          <cell r="Y137">
            <v>1.0269470164915</v>
          </cell>
          <cell r="Z137">
            <v>1.0227961941555801</v>
          </cell>
          <cell r="AA137">
            <v>1.0267401985776401</v>
          </cell>
          <cell r="AF137">
            <v>2.1667967338041402E-3</v>
          </cell>
          <cell r="AG137">
            <v>6.1208990926332396E-3</v>
          </cell>
          <cell r="AR137">
            <v>5.7460277609991187E-2</v>
          </cell>
          <cell r="BC137">
            <v>4.0760645888935437E-2</v>
          </cell>
          <cell r="BF137">
            <v>9.8220923498926666E-2</v>
          </cell>
        </row>
        <row r="138">
          <cell r="O138">
            <v>1.0269470164915</v>
          </cell>
          <cell r="P138">
            <v>1.02242781521292</v>
          </cell>
          <cell r="Q138">
            <v>1.02627908799098</v>
          </cell>
          <cell r="U138">
            <v>4.6415841479092003E-3</v>
          </cell>
          <cell r="V138">
            <v>5.9148851809433798E-4</v>
          </cell>
          <cell r="W138">
            <v>4.4401728394677202E-3</v>
          </cell>
          <cell r="Y138">
            <v>1.0269470164915</v>
          </cell>
          <cell r="Z138">
            <v>1.02242781521292</v>
          </cell>
          <cell r="AA138">
            <v>1.02627908799098</v>
          </cell>
          <cell r="AF138">
            <v>5.9148851809433798E-4</v>
          </cell>
          <cell r="AG138">
            <v>4.4401728394677202E-3</v>
          </cell>
          <cell r="AR138">
            <v>5.7460277609991187E-2</v>
          </cell>
          <cell r="BC138">
            <v>4.1889773010932836E-2</v>
          </cell>
          <cell r="BF138">
            <v>9.9350050620924071E-2</v>
          </cell>
        </row>
        <row r="139">
          <cell r="O139">
            <v>1.0269470164915</v>
          </cell>
          <cell r="P139">
            <v>1.0225967703727601</v>
          </cell>
          <cell r="Q139">
            <v>1.0260351229164999</v>
          </cell>
          <cell r="U139">
            <v>1.4844179212205001E-3</v>
          </cell>
          <cell r="V139">
            <v>-2.9259110570722001E-3</v>
          </cell>
          <cell r="W139">
            <v>8.3380421372296701E-4</v>
          </cell>
          <cell r="Y139">
            <v>1.0269470164915</v>
          </cell>
          <cell r="Z139">
            <v>1.0225967703727601</v>
          </cell>
          <cell r="AA139">
            <v>1.0260351229164999</v>
          </cell>
          <cell r="AF139">
            <v>-2.9259110570722001E-3</v>
          </cell>
          <cell r="AG139">
            <v>8.3380421372296701E-4</v>
          </cell>
          <cell r="AR139">
            <v>5.7460277609991187E-2</v>
          </cell>
          <cell r="BC139">
            <v>4.5046939237621639E-2</v>
          </cell>
          <cell r="BF139">
            <v>0.10250721684761287</v>
          </cell>
        </row>
        <row r="140">
          <cell r="O140">
            <v>1.0269470164915</v>
          </cell>
          <cell r="P140">
            <v>1.0227024037613801</v>
          </cell>
          <cell r="Q140">
            <v>1.0256425986837501</v>
          </cell>
          <cell r="U140">
            <v>4.0837626424969596E-3</v>
          </cell>
          <cell r="V140">
            <v>-1.6133100179318801E-4</v>
          </cell>
          <cell r="W140">
            <v>3.1954026149419801E-3</v>
          </cell>
          <cell r="Y140">
            <v>1.0269470164915</v>
          </cell>
          <cell r="Z140">
            <v>1.0227024037613801</v>
          </cell>
          <cell r="AA140">
            <v>1.0256425986837501</v>
          </cell>
          <cell r="AF140">
            <v>-1.6133100179318801E-4</v>
          </cell>
          <cell r="AG140">
            <v>3.1954026149419801E-3</v>
          </cell>
          <cell r="AR140">
            <v>5.7460277609991187E-2</v>
          </cell>
          <cell r="BC140">
            <v>4.5046939237621639E-2</v>
          </cell>
          <cell r="BF140">
            <v>0.10250721684761287</v>
          </cell>
        </row>
        <row r="141">
          <cell r="O141">
            <v>1.0269470164915</v>
          </cell>
          <cell r="P141">
            <v>1.02245739112481</v>
          </cell>
          <cell r="Q141">
            <v>1.0252687625133301</v>
          </cell>
          <cell r="U141">
            <v>2.1110749675171199E-3</v>
          </cell>
          <cell r="V141">
            <v>-2.0307248505690399E-3</v>
          </cell>
          <cell r="W141">
            <v>8.4007761499130902E-4</v>
          </cell>
          <cell r="Y141">
            <v>1.0269470164915</v>
          </cell>
          <cell r="Z141">
            <v>1.02245739112481</v>
          </cell>
          <cell r="AA141">
            <v>1.0252687625133301</v>
          </cell>
          <cell r="AF141">
            <v>-2.0307248505690399E-3</v>
          </cell>
          <cell r="AG141">
            <v>8.4007761499130902E-4</v>
          </cell>
          <cell r="AR141">
            <v>5.7460277609991187E-2</v>
          </cell>
          <cell r="BC141">
            <v>4.5046939237621639E-2</v>
          </cell>
          <cell r="BF141">
            <v>0.10250721684761287</v>
          </cell>
        </row>
        <row r="142">
          <cell r="O142">
            <v>1.0269470164915</v>
          </cell>
          <cell r="P142">
            <v>1.0225038902635999</v>
          </cell>
          <cell r="Q142">
            <v>1.0242848978931101</v>
          </cell>
          <cell r="U142">
            <v>5.1762445484803002E-3</v>
          </cell>
          <cell r="V142">
            <v>7.9484229116157405E-4</v>
          </cell>
          <cell r="W142">
            <v>3.5406910463069E-3</v>
          </cell>
          <cell r="Y142">
            <v>1.0269470164915</v>
          </cell>
          <cell r="Z142">
            <v>1.0225038902635999</v>
          </cell>
          <cell r="AA142">
            <v>1.0242848978931101</v>
          </cell>
          <cell r="AF142">
            <v>7.9484229116157405E-4</v>
          </cell>
          <cell r="AG142">
            <v>3.5406910463069E-3</v>
          </cell>
          <cell r="AR142">
            <v>5.7460277609991187E-2</v>
          </cell>
          <cell r="BC142">
            <v>4.5046939237621639E-2</v>
          </cell>
          <cell r="BF142">
            <v>0.10250721684761287</v>
          </cell>
        </row>
        <row r="143">
          <cell r="O143">
            <v>1.0269470164915</v>
          </cell>
          <cell r="P143">
            <v>1.0227790815781099</v>
          </cell>
          <cell r="Q143">
            <v>1.0237485572454199</v>
          </cell>
          <cell r="U143">
            <v>2.4927874732363201E-3</v>
          </cell>
          <cell r="V143">
            <v>-1.84313799269779E-3</v>
          </cell>
          <cell r="W143">
            <v>-1.02843059177735E-4</v>
          </cell>
          <cell r="Y143">
            <v>1.0269470164915</v>
          </cell>
          <cell r="Z143">
            <v>1.0227790815781099</v>
          </cell>
          <cell r="AA143">
            <v>1.0237485572454199</v>
          </cell>
          <cell r="AF143">
            <v>-1.84313799269779E-3</v>
          </cell>
          <cell r="AG143">
            <v>-1.02843059177735E-4</v>
          </cell>
          <cell r="AR143">
            <v>5.7460277609991187E-2</v>
          </cell>
          <cell r="BC143">
            <v>4.5046939237621639E-2</v>
          </cell>
          <cell r="BF143">
            <v>0.10250721684761287</v>
          </cell>
        </row>
        <row r="144">
          <cell r="O144">
            <v>1.0269470164915</v>
          </cell>
          <cell r="P144">
            <v>1.0227110426123001</v>
          </cell>
          <cell r="Q144">
            <v>1.02346738126206</v>
          </cell>
          <cell r="U144">
            <v>5.1149253267245599E-3</v>
          </cell>
          <cell r="V144">
            <v>1.04809838648034E-3</v>
          </cell>
          <cell r="W144">
            <v>1.9955331744965E-3</v>
          </cell>
          <cell r="Y144">
            <v>1.0269470164915</v>
          </cell>
          <cell r="Z144">
            <v>1.0227110426123001</v>
          </cell>
          <cell r="AA144">
            <v>1.02346738126206</v>
          </cell>
          <cell r="AF144">
            <v>1.04809838648034E-3</v>
          </cell>
          <cell r="AG144">
            <v>1.9955331744965E-3</v>
          </cell>
          <cell r="AR144">
            <v>5.7460277609991187E-2</v>
          </cell>
          <cell r="BC144">
            <v>4.5046939237621639E-2</v>
          </cell>
          <cell r="BF144">
            <v>0.10250721684761287</v>
          </cell>
        </row>
        <row r="145">
          <cell r="O145">
            <v>1.0269470164915</v>
          </cell>
          <cell r="P145">
            <v>1.0226998520174699</v>
          </cell>
          <cell r="Q145">
            <v>1.0231034377874999</v>
          </cell>
          <cell r="U145">
            <v>4.3836530181524096E-3</v>
          </cell>
          <cell r="V145">
            <v>2.5030024624733899E-4</v>
          </cell>
          <cell r="W145">
            <v>9.8956977951835008E-4</v>
          </cell>
          <cell r="Y145">
            <v>1.0269470164915</v>
          </cell>
          <cell r="Z145">
            <v>1.0226998520174699</v>
          </cell>
          <cell r="AA145">
            <v>1.0231034377874999</v>
          </cell>
          <cell r="AF145">
            <v>2.5030024624733899E-4</v>
          </cell>
          <cell r="AG145">
            <v>9.8956977951835008E-4</v>
          </cell>
          <cell r="AR145">
            <v>5.7460277609991187E-2</v>
          </cell>
          <cell r="BC145">
            <v>4.5046939237621639E-2</v>
          </cell>
          <cell r="BF145">
            <v>0.10250721684761287</v>
          </cell>
        </row>
        <row r="146">
          <cell r="O146">
            <v>1.0269470164915</v>
          </cell>
          <cell r="P146">
            <v>1.02310474373592</v>
          </cell>
          <cell r="Q146">
            <v>1.0231786960195399</v>
          </cell>
          <cell r="U146">
            <v>2.2360151005325298E-3</v>
          </cell>
          <cell r="V146">
            <v>-1.9082798198301501E-3</v>
          </cell>
          <cell r="W146">
            <v>-1.5137298870150299E-3</v>
          </cell>
          <cell r="Y146">
            <v>1.0269470164915</v>
          </cell>
          <cell r="Z146">
            <v>1.02310474373592</v>
          </cell>
          <cell r="AA146">
            <v>1.0231786960195399</v>
          </cell>
          <cell r="AF146">
            <v>-1.9082798198301501E-3</v>
          </cell>
          <cell r="AG146">
            <v>-1.5137298870150299E-3</v>
          </cell>
          <cell r="AR146">
            <v>5.7460277609991187E-2</v>
          </cell>
          <cell r="BC146">
            <v>4.5046939237621639E-2</v>
          </cell>
          <cell r="BF146">
            <v>0.10250721684761287</v>
          </cell>
        </row>
        <row r="147">
          <cell r="O147">
            <v>1.0269470164915</v>
          </cell>
          <cell r="P147">
            <v>1.0232634003585599</v>
          </cell>
          <cell r="Q147">
            <v>1.0230297972570701</v>
          </cell>
          <cell r="U147">
            <v>4.2180412977637404E-3</v>
          </cell>
          <cell r="V147">
            <v>4.6957276725054101E-4</v>
          </cell>
          <cell r="W147">
            <v>5.4185237643804502E-4</v>
          </cell>
          <cell r="Y147">
            <v>1.0269470164915</v>
          </cell>
          <cell r="Z147">
            <v>1.0232634003585599</v>
          </cell>
          <cell r="AA147">
            <v>1.0230297972570701</v>
          </cell>
          <cell r="AF147">
            <v>4.6957276725054101E-4</v>
          </cell>
          <cell r="AG147">
            <v>5.4185237643804502E-4</v>
          </cell>
          <cell r="AR147">
            <v>5.7460277609991187E-2</v>
          </cell>
          <cell r="BC147">
            <v>4.5046939237621639E-2</v>
          </cell>
          <cell r="BF147">
            <v>0.10250721684761287</v>
          </cell>
        </row>
        <row r="148">
          <cell r="O148">
            <v>1.0269470164915</v>
          </cell>
          <cell r="P148">
            <v>1.02313381251415</v>
          </cell>
          <cell r="Q148">
            <v>1.0227808138635399</v>
          </cell>
          <cell r="U148">
            <v>5.9101338147580802E-3</v>
          </cell>
          <cell r="V148">
            <v>2.3167269464590798E-3</v>
          </cell>
          <cell r="W148">
            <v>2.0884086362794201E-3</v>
          </cell>
          <cell r="Y148">
            <v>1.0269470164915</v>
          </cell>
          <cell r="Z148">
            <v>1.02313381251415</v>
          </cell>
          <cell r="AA148">
            <v>1.0227808138635399</v>
          </cell>
          <cell r="AF148">
            <v>2.3167269464590798E-3</v>
          </cell>
          <cell r="AG148">
            <v>2.0884086362794201E-3</v>
          </cell>
          <cell r="AR148">
            <v>5.7460277609991187E-2</v>
          </cell>
          <cell r="BC148">
            <v>4.5046939237621639E-2</v>
          </cell>
          <cell r="BF148">
            <v>0.10250721684761287</v>
          </cell>
        </row>
        <row r="149">
          <cell r="O149">
            <v>1.0269470164915</v>
          </cell>
          <cell r="P149">
            <v>1.02286072858892</v>
          </cell>
          <cell r="Q149">
            <v>1.0227287494808399</v>
          </cell>
          <cell r="U149">
            <v>4.1511028610191E-3</v>
          </cell>
          <cell r="V149">
            <v>4.3104624576983301E-4</v>
          </cell>
          <cell r="W149">
            <v>8.5969623738877107E-5</v>
          </cell>
          <cell r="Y149">
            <v>1.0269470164915</v>
          </cell>
          <cell r="Z149">
            <v>1.02286072858892</v>
          </cell>
          <cell r="AA149">
            <v>1.0227287494808399</v>
          </cell>
          <cell r="AF149">
            <v>4.3104624576983301E-4</v>
          </cell>
          <cell r="AG149">
            <v>8.5969623738877107E-5</v>
          </cell>
          <cell r="AR149">
            <v>5.7460277609991187E-2</v>
          </cell>
          <cell r="BC149">
            <v>4.5046939237621639E-2</v>
          </cell>
          <cell r="BF149">
            <v>0.10250721684761287</v>
          </cell>
        </row>
        <row r="150">
          <cell r="O150">
            <v>1.0269470164915</v>
          </cell>
          <cell r="P150">
            <v>1.0226579177959001</v>
          </cell>
          <cell r="Q150">
            <v>1.02268016077864</v>
          </cell>
          <cell r="U150">
            <v>6.0687033314999004E-3</v>
          </cell>
          <cell r="V150">
            <v>2.08170179399961E-3</v>
          </cell>
          <cell r="W150">
            <v>1.9526640670463401E-3</v>
          </cell>
          <cell r="Y150">
            <v>1.0269470164915</v>
          </cell>
          <cell r="Z150">
            <v>1.0226579177959001</v>
          </cell>
          <cell r="AA150">
            <v>1.02268016077864</v>
          </cell>
          <cell r="AF150">
            <v>2.08170179399961E-3</v>
          </cell>
          <cell r="AG150">
            <v>1.9526640670463401E-3</v>
          </cell>
          <cell r="AR150">
            <v>5.7460277609991187E-2</v>
          </cell>
          <cell r="BC150">
            <v>4.5046939237621639E-2</v>
          </cell>
          <cell r="BF150">
            <v>0.10250721684761287</v>
          </cell>
        </row>
        <row r="151">
          <cell r="O151">
            <v>1.0269470164915</v>
          </cell>
          <cell r="P151">
            <v>1.0232151968385701</v>
          </cell>
          <cell r="Q151">
            <v>1.02283629398169</v>
          </cell>
          <cell r="U151">
            <v>-3.3122211215732E-3</v>
          </cell>
          <cell r="V151">
            <v>-7.4975203319323997E-3</v>
          </cell>
          <cell r="W151">
            <v>-7.4757703992708998E-3</v>
          </cell>
          <cell r="Y151">
            <v>1.0269470164915</v>
          </cell>
          <cell r="Z151">
            <v>1.0232151968385701</v>
          </cell>
          <cell r="AA151">
            <v>1.02283629398169</v>
          </cell>
          <cell r="AF151">
            <v>-7.4975203319323997E-3</v>
          </cell>
          <cell r="AG151">
            <v>-7.4757703992708998E-3</v>
          </cell>
          <cell r="AR151">
            <v>5.7460277609991187E-2</v>
          </cell>
          <cell r="BC151">
            <v>4.5046939237621639E-2</v>
          </cell>
          <cell r="BF151">
            <v>0.10250721684761287</v>
          </cell>
        </row>
        <row r="152">
          <cell r="O152">
            <v>1.0269470164915</v>
          </cell>
          <cell r="P152">
            <v>1.02439576509661</v>
          </cell>
          <cell r="Q152">
            <v>1.0234498276801001</v>
          </cell>
          <cell r="U152">
            <v>-6.3130620546483496E-3</v>
          </cell>
          <cell r="V152">
            <v>-9.9535776687360803E-3</v>
          </cell>
          <cell r="W152">
            <v>-1.03239523762259E-2</v>
          </cell>
          <cell r="Y152">
            <v>1.0269470164915</v>
          </cell>
          <cell r="Z152">
            <v>1.02439576509661</v>
          </cell>
          <cell r="AA152">
            <v>1.0234498276801001</v>
          </cell>
          <cell r="AF152">
            <v>-9.9535776687360803E-3</v>
          </cell>
          <cell r="AG152">
            <v>-1.03239523762259E-2</v>
          </cell>
          <cell r="AR152">
            <v>5.4459436676915884E-2</v>
          </cell>
          <cell r="BC152">
            <v>4.5046939237621639E-2</v>
          </cell>
          <cell r="BF152">
            <v>9.9506375914537565E-2</v>
          </cell>
        </row>
        <row r="153">
          <cell r="O153">
            <v>1.0269470164915</v>
          </cell>
          <cell r="P153">
            <v>1.0246490483986701</v>
          </cell>
          <cell r="Q153">
            <v>1.02371406498839</v>
          </cell>
          <cell r="U153">
            <v>2.3311667575023301E-5</v>
          </cell>
          <cell r="V153">
            <v>-2.46408608301762E-3</v>
          </cell>
          <cell r="W153">
            <v>-3.3879228089097801E-3</v>
          </cell>
          <cell r="Y153">
            <v>1.0269470164915</v>
          </cell>
          <cell r="Z153">
            <v>1.0246490483986701</v>
          </cell>
          <cell r="AA153">
            <v>1.02371406498839</v>
          </cell>
          <cell r="AF153">
            <v>-2.46408608301762E-3</v>
          </cell>
          <cell r="AG153">
            <v>-3.3879228089097801E-3</v>
          </cell>
          <cell r="AR153">
            <v>6.079581039913938E-2</v>
          </cell>
          <cell r="BC153">
            <v>4.5046939237621639E-2</v>
          </cell>
          <cell r="BF153">
            <v>0.10584274963676106</v>
          </cell>
        </row>
        <row r="154">
          <cell r="O154">
            <v>1.0269470164915</v>
          </cell>
          <cell r="P154">
            <v>1.02521265639433</v>
          </cell>
          <cell r="Q154">
            <v>1.02396184950331</v>
          </cell>
          <cell r="U154">
            <v>-3.86248645905202E-4</v>
          </cell>
          <cell r="V154">
            <v>-2.6264255434589301E-3</v>
          </cell>
          <cell r="W154">
            <v>-3.5393334835649398E-3</v>
          </cell>
          <cell r="Y154">
            <v>1.0269470164915</v>
          </cell>
          <cell r="Z154">
            <v>1.02521265639433</v>
          </cell>
          <cell r="AA154">
            <v>1.02396184950331</v>
          </cell>
          <cell r="AF154">
            <v>-2.6264255434589301E-3</v>
          </cell>
          <cell r="AG154">
            <v>-3.5393334835649398E-3</v>
          </cell>
          <cell r="AR154">
            <v>6.0386250085659079E-2</v>
          </cell>
          <cell r="BC154">
            <v>4.5046939237621639E-2</v>
          </cell>
          <cell r="BF154">
            <v>0.10543318932328076</v>
          </cell>
        </row>
        <row r="155">
          <cell r="O155">
            <v>1.0269470164915</v>
          </cell>
          <cell r="P155">
            <v>1.0250663840535099</v>
          </cell>
          <cell r="Q155">
            <v>1.0238831180354899</v>
          </cell>
          <cell r="U155">
            <v>5.8152764773324898E-3</v>
          </cell>
          <cell r="V155">
            <v>4.1249981495634297E-3</v>
          </cell>
          <cell r="W155">
            <v>2.9042070039022E-3</v>
          </cell>
          <cell r="Y155">
            <v>1.0269470164915</v>
          </cell>
          <cell r="Z155">
            <v>1.0250663840535099</v>
          </cell>
          <cell r="AA155">
            <v>1.0238831180354899</v>
          </cell>
          <cell r="AF155">
            <v>4.1249981495634297E-3</v>
          </cell>
          <cell r="AG155">
            <v>2.9042070039022E-3</v>
          </cell>
          <cell r="AR155">
            <v>6.6587775208896777E-2</v>
          </cell>
          <cell r="BC155">
            <v>4.5046939237621639E-2</v>
          </cell>
          <cell r="BF155">
            <v>0.11163471444651846</v>
          </cell>
        </row>
        <row r="156">
          <cell r="O156">
            <v>1.0269470164915</v>
          </cell>
          <cell r="P156">
            <v>1.02469629086986</v>
          </cell>
          <cell r="Q156">
            <v>1.0239005173028899</v>
          </cell>
          <cell r="U156">
            <v>5.8544405731183902E-3</v>
          </cell>
          <cell r="V156">
            <v>4.0214769442980802E-3</v>
          </cell>
          <cell r="W156">
            <v>2.8664790799206399E-3</v>
          </cell>
          <cell r="Y156">
            <v>1.0269470164915</v>
          </cell>
          <cell r="Z156">
            <v>1.02469629086986</v>
          </cell>
          <cell r="AA156">
            <v>1.0239005173028899</v>
          </cell>
          <cell r="AF156">
            <v>4.0214769442980802E-3</v>
          </cell>
          <cell r="AG156">
            <v>2.8664790799206399E-3</v>
          </cell>
          <cell r="AR156">
            <v>6.6587775208896777E-2</v>
          </cell>
          <cell r="BC156">
            <v>4.5046939237621639E-2</v>
          </cell>
          <cell r="BF156">
            <v>0.11163471444651846</v>
          </cell>
        </row>
        <row r="157">
          <cell r="O157">
            <v>1.0269470164915</v>
          </cell>
          <cell r="P157">
            <v>1.02436062970455</v>
          </cell>
          <cell r="Q157">
            <v>1.0238120150315599</v>
          </cell>
          <cell r="U157">
            <v>7.5057903598862103E-3</v>
          </cell>
          <cell r="V157">
            <v>5.3117184015973803E-3</v>
          </cell>
          <cell r="W157">
            <v>4.5348221340428601E-3</v>
          </cell>
          <cell r="Y157">
            <v>1.0269470164915</v>
          </cell>
          <cell r="Z157">
            <v>1.02436062970455</v>
          </cell>
          <cell r="AA157">
            <v>1.0238120150315599</v>
          </cell>
          <cell r="AF157">
            <v>5.3117184015973803E-3</v>
          </cell>
          <cell r="AG157">
            <v>4.5348221340428601E-3</v>
          </cell>
          <cell r="AR157">
            <v>6.6587775208896777E-2</v>
          </cell>
          <cell r="BC157">
            <v>4.5046939237621639E-2</v>
          </cell>
          <cell r="BF157">
            <v>0.11163471444651846</v>
          </cell>
        </row>
        <row r="158">
          <cell r="O158">
            <v>1.0269470164915</v>
          </cell>
          <cell r="P158">
            <v>1.0249026564131101</v>
          </cell>
          <cell r="Q158">
            <v>1.0240182344636299</v>
          </cell>
          <cell r="U158">
            <v>6.14852649036242E-4</v>
          </cell>
          <cell r="V158">
            <v>-1.9068443400099E-3</v>
          </cell>
          <cell r="W158">
            <v>-2.4425557093853498E-3</v>
          </cell>
          <cell r="Y158">
            <v>1.0269470164915</v>
          </cell>
          <cell r="Z158">
            <v>1.0249026564131101</v>
          </cell>
          <cell r="AA158">
            <v>1.0240182344636299</v>
          </cell>
          <cell r="AF158">
            <v>-1.9068443400099E-3</v>
          </cell>
          <cell r="AG158">
            <v>-2.4425557093853498E-3</v>
          </cell>
          <cell r="AR158">
            <v>6.6587775208896777E-2</v>
          </cell>
          <cell r="BC158">
            <v>4.5046939237621639E-2</v>
          </cell>
          <cell r="BF158">
            <v>0.11163471444651846</v>
          </cell>
        </row>
        <row r="159">
          <cell r="O159">
            <v>1.0269470164915</v>
          </cell>
          <cell r="P159">
            <v>1.0249725487435399</v>
          </cell>
          <cell r="Q159">
            <v>1.02391663866623</v>
          </cell>
          <cell r="U159">
            <v>3.4679216314425299E-3</v>
          </cell>
          <cell r="V159">
            <v>1.4752213065871299E-3</v>
          </cell>
          <cell r="W159">
            <v>6.11916131313187E-4</v>
          </cell>
          <cell r="Y159">
            <v>1.0269470164915</v>
          </cell>
          <cell r="Z159">
            <v>1.0249725487435399</v>
          </cell>
          <cell r="AA159">
            <v>1.02391663866623</v>
          </cell>
          <cell r="AF159">
            <v>1.4752213065871299E-3</v>
          </cell>
          <cell r="AG159">
            <v>6.11916131313187E-4</v>
          </cell>
          <cell r="AR159">
            <v>6.6587775208896777E-2</v>
          </cell>
          <cell r="BC159">
            <v>4.5046939237621639E-2</v>
          </cell>
          <cell r="BF159">
            <v>0.11163471444651846</v>
          </cell>
        </row>
        <row r="160">
          <cell r="O160">
            <v>1.0269470164915</v>
          </cell>
          <cell r="P160">
            <v>1.0258118048714999</v>
          </cell>
          <cell r="Q160">
            <v>1.0242348613337</v>
          </cell>
          <cell r="U160">
            <v>-2.1197668301345001E-3</v>
          </cell>
          <cell r="V160">
            <v>-4.0442753643151596E-3</v>
          </cell>
          <cell r="W160">
            <v>-5.0749901313957299E-3</v>
          </cell>
          <cell r="Y160">
            <v>1.0269470164915</v>
          </cell>
          <cell r="Z160">
            <v>1.0258118048714999</v>
          </cell>
          <cell r="AA160">
            <v>1.0242348613337</v>
          </cell>
          <cell r="AF160">
            <v>-4.0442753643151596E-3</v>
          </cell>
          <cell r="AG160">
            <v>-5.0749901313957299E-3</v>
          </cell>
          <cell r="AR160">
            <v>6.6587775208896777E-2</v>
          </cell>
          <cell r="BC160">
            <v>4.5046939237621639E-2</v>
          </cell>
          <cell r="BF160">
            <v>0.11163471444651846</v>
          </cell>
        </row>
        <row r="161">
          <cell r="O161">
            <v>1.0269470164915</v>
          </cell>
          <cell r="P161">
            <v>1.0256389871378899</v>
          </cell>
          <cell r="Q161">
            <v>1.0244270919882299</v>
          </cell>
          <cell r="U161">
            <v>-1.63354753565806E-3</v>
          </cell>
          <cell r="V161">
            <v>-2.73958271515821E-3</v>
          </cell>
          <cell r="W161">
            <v>-4.2780294976847901E-3</v>
          </cell>
          <cell r="Y161">
            <v>1.0269470164915</v>
          </cell>
          <cell r="Z161">
            <v>1.0256389871378899</v>
          </cell>
          <cell r="AA161">
            <v>1.0244270919882299</v>
          </cell>
          <cell r="AF161">
            <v>-2.73958271515821E-3</v>
          </cell>
          <cell r="AG161">
            <v>-4.2780294976847901E-3</v>
          </cell>
          <cell r="AR161">
            <v>6.7073994503373174E-2</v>
          </cell>
          <cell r="BC161">
            <v>4.5046939237621639E-2</v>
          </cell>
          <cell r="BF161">
            <v>0.11212093374099485</v>
          </cell>
        </row>
        <row r="162">
          <cell r="O162">
            <v>1.0269470164915</v>
          </cell>
          <cell r="P162">
            <v>1.0249707809601001</v>
          </cell>
          <cell r="Q162">
            <v>1.0246832730283499</v>
          </cell>
          <cell r="U162">
            <v>1.7370860835514801E-4</v>
          </cell>
          <cell r="V162">
            <v>-1.10081000218007E-3</v>
          </cell>
          <cell r="W162">
            <v>-2.2831087613918799E-3</v>
          </cell>
          <cell r="Y162">
            <v>1.0269470164915</v>
          </cell>
          <cell r="Z162">
            <v>1.0249707809601001</v>
          </cell>
          <cell r="AA162">
            <v>1.0246832730283499</v>
          </cell>
          <cell r="AF162">
            <v>-1.10081000218007E-3</v>
          </cell>
          <cell r="AG162">
            <v>-2.2831087613918799E-3</v>
          </cell>
          <cell r="AR162">
            <v>6.8881250647386358E-2</v>
          </cell>
          <cell r="BC162">
            <v>4.5046939237621639E-2</v>
          </cell>
          <cell r="BF162">
            <v>0.11392818988500804</v>
          </cell>
        </row>
        <row r="163">
          <cell r="O163">
            <v>1.0269470164915</v>
          </cell>
          <cell r="P163">
            <v>1.02467847326779</v>
          </cell>
          <cell r="Q163">
            <v>1.0246637608332301</v>
          </cell>
          <cell r="U163">
            <v>2.8738124349807501E-3</v>
          </cell>
          <cell r="V163">
            <v>9.47579186351519E-4</v>
          </cell>
          <cell r="W163">
            <v>6.67036298569045E-4</v>
          </cell>
          <cell r="Y163">
            <v>1.0269470164915</v>
          </cell>
          <cell r="Z163">
            <v>1.02467847326779</v>
          </cell>
          <cell r="AA163">
            <v>1.0246637608332301</v>
          </cell>
          <cell r="AF163">
            <v>9.47579186351519E-4</v>
          </cell>
          <cell r="AG163">
            <v>6.67036298569045E-4</v>
          </cell>
          <cell r="AR163">
            <v>6.8881250647386358E-2</v>
          </cell>
          <cell r="BC163">
            <v>4.5046939237621639E-2</v>
          </cell>
          <cell r="BF163">
            <v>0.11392818988500804</v>
          </cell>
        </row>
        <row r="164">
          <cell r="O164">
            <v>1.0269470164915</v>
          </cell>
          <cell r="P164">
            <v>1.02453373970205</v>
          </cell>
          <cell r="Q164">
            <v>1.02487319804819</v>
          </cell>
          <cell r="U164">
            <v>1.0235580802895701E-3</v>
          </cell>
          <cell r="V164">
            <v>-1.1879022077332399E-3</v>
          </cell>
          <cell r="W164">
            <v>-1.2022604094179201E-3</v>
          </cell>
          <cell r="Y164">
            <v>1.0269470164915</v>
          </cell>
          <cell r="Z164">
            <v>1.02453373970205</v>
          </cell>
          <cell r="AA164">
            <v>1.02487319804819</v>
          </cell>
          <cell r="AF164">
            <v>-1.1879022077332399E-3</v>
          </cell>
          <cell r="AG164">
            <v>-1.2022604094179201E-3</v>
          </cell>
          <cell r="AR164">
            <v>6.8881250647386358E-2</v>
          </cell>
          <cell r="BC164">
            <v>4.5046939237621639E-2</v>
          </cell>
          <cell r="BF164">
            <v>0.11392818988500804</v>
          </cell>
        </row>
        <row r="165">
          <cell r="O165">
            <v>1.0269470164915</v>
          </cell>
          <cell r="P165">
            <v>1.02465224499631</v>
          </cell>
          <cell r="Q165">
            <v>1.0248593145249101</v>
          </cell>
          <cell r="U165">
            <v>4.6552621860409399E-3</v>
          </cell>
          <cell r="V165">
            <v>2.3025441355846799E-3</v>
          </cell>
          <cell r="W165">
            <v>2.6338188502255402E-3</v>
          </cell>
          <cell r="Y165">
            <v>1.0269470164915</v>
          </cell>
          <cell r="Z165">
            <v>1.02465224499631</v>
          </cell>
          <cell r="AA165">
            <v>1.0248593145249101</v>
          </cell>
          <cell r="AF165">
            <v>2.3025441355846799E-3</v>
          </cell>
          <cell r="AG165">
            <v>2.6338188502255402E-3</v>
          </cell>
          <cell r="AR165">
            <v>6.8881250647386358E-2</v>
          </cell>
          <cell r="BC165">
            <v>4.5046939237621639E-2</v>
          </cell>
          <cell r="BF165">
            <v>0.11392818988500804</v>
          </cell>
        </row>
        <row r="166">
          <cell r="O166">
            <v>1.0269470164915</v>
          </cell>
          <cell r="P166">
            <v>1.0253910149982399</v>
          </cell>
          <cell r="Q166">
            <v>1.0250436529340501</v>
          </cell>
          <cell r="U166">
            <v>-1.3555913382625299E-3</v>
          </cell>
          <cell r="V166">
            <v>-3.5926485406752701E-3</v>
          </cell>
          <cell r="W166">
            <v>-3.3905813424273301E-3</v>
          </cell>
          <cell r="Y166">
            <v>1.0269470164915</v>
          </cell>
          <cell r="Z166">
            <v>1.0253910149982399</v>
          </cell>
          <cell r="AA166">
            <v>1.0250436529340501</v>
          </cell>
          <cell r="AF166">
            <v>-3.5926485406752701E-3</v>
          </cell>
          <cell r="AG166">
            <v>-3.3905813424273301E-3</v>
          </cell>
          <cell r="AR166">
            <v>6.8881250647386358E-2</v>
          </cell>
          <cell r="BC166">
            <v>4.5046939237621639E-2</v>
          </cell>
          <cell r="BF166">
            <v>0.11392818988500804</v>
          </cell>
        </row>
        <row r="167">
          <cell r="O167">
            <v>1.0269470164915</v>
          </cell>
          <cell r="P167">
            <v>1.0256954700471499</v>
          </cell>
          <cell r="Q167">
            <v>1.0250280498758499</v>
          </cell>
          <cell r="U167">
            <v>4.5232450236182197E-3</v>
          </cell>
          <cell r="V167">
            <v>3.0069238645121401E-3</v>
          </cell>
          <cell r="W167">
            <v>2.6681058831880102E-3</v>
          </cell>
          <cell r="Y167">
            <v>1.0269470164915</v>
          </cell>
          <cell r="Z167">
            <v>1.0256954700471499</v>
          </cell>
          <cell r="AA167">
            <v>1.0250280498758499</v>
          </cell>
          <cell r="AF167">
            <v>3.0069238645121401E-3</v>
          </cell>
          <cell r="AG167">
            <v>2.6681058831880102E-3</v>
          </cell>
          <cell r="AR167">
            <v>6.8881250647386358E-2</v>
          </cell>
          <cell r="BC167">
            <v>4.5046939237621639E-2</v>
          </cell>
          <cell r="BF167">
            <v>0.11392818988500804</v>
          </cell>
        </row>
        <row r="168">
          <cell r="O168">
            <v>1.0269470164915</v>
          </cell>
          <cell r="P168">
            <v>1.02556389109979</v>
          </cell>
          <cell r="Q168">
            <v>1.02523327375645</v>
          </cell>
          <cell r="U168">
            <v>1.8977264619252699E-3</v>
          </cell>
          <cell r="V168">
            <v>6.78277281029654E-4</v>
          </cell>
          <cell r="W168">
            <v>2.7365358108533E-5</v>
          </cell>
          <cell r="Y168">
            <v>1.0269470164915</v>
          </cell>
          <cell r="Z168">
            <v>1.02556389109979</v>
          </cell>
          <cell r="AA168">
            <v>1.02523327375645</v>
          </cell>
          <cell r="AF168">
            <v>6.78277281029654E-4</v>
          </cell>
          <cell r="AG168">
            <v>2.7365358108533E-5</v>
          </cell>
          <cell r="AR168">
            <v>6.8881250647386358E-2</v>
          </cell>
          <cell r="BC168">
            <v>4.5046939237621639E-2</v>
          </cell>
          <cell r="BF168">
            <v>0.11392818988500804</v>
          </cell>
        </row>
        <row r="169">
          <cell r="O169">
            <v>1.0269470164915</v>
          </cell>
          <cell r="P169">
            <v>1.0256103956979301</v>
          </cell>
          <cell r="Q169">
            <v>1.02529147222073</v>
          </cell>
          <cell r="U169">
            <v>3.0136084882996998E-3</v>
          </cell>
          <cell r="V169">
            <v>1.6658684144618199E-3</v>
          </cell>
          <cell r="W169">
            <v>1.3434402856679099E-3</v>
          </cell>
          <cell r="Y169">
            <v>1.0269470164915</v>
          </cell>
          <cell r="Z169">
            <v>1.0256103956979301</v>
          </cell>
          <cell r="AA169">
            <v>1.02529147222073</v>
          </cell>
          <cell r="AF169">
            <v>1.6658684144618199E-3</v>
          </cell>
          <cell r="AG169">
            <v>1.3434402856679099E-3</v>
          </cell>
          <cell r="AR169">
            <v>6.8881250647386358E-2</v>
          </cell>
          <cell r="BC169">
            <v>4.5046939237621639E-2</v>
          </cell>
          <cell r="BF169">
            <v>0.11392818988500804</v>
          </cell>
        </row>
        <row r="170">
          <cell r="O170">
            <v>1.0269470164915</v>
          </cell>
          <cell r="P170">
            <v>1.02446248022106</v>
          </cell>
          <cell r="Q170">
            <v>1.0251371425462801</v>
          </cell>
          <cell r="U170">
            <v>9.0971816047794897E-3</v>
          </cell>
          <cell r="V170">
            <v>7.7947858963126199E-3</v>
          </cell>
          <cell r="W170">
            <v>7.4837778615008798E-3</v>
          </cell>
          <cell r="Y170">
            <v>1.0269470164915</v>
          </cell>
          <cell r="Z170">
            <v>1.02446248022106</v>
          </cell>
          <cell r="AA170">
            <v>1.0251371425462801</v>
          </cell>
          <cell r="AF170">
            <v>7.7947858963126199E-3</v>
          </cell>
          <cell r="AG170">
            <v>7.4837778615008798E-3</v>
          </cell>
          <cell r="AR170">
            <v>6.8881250647386358E-2</v>
          </cell>
          <cell r="BC170">
            <v>4.5046939237621639E-2</v>
          </cell>
          <cell r="BF170">
            <v>0.11392818988500804</v>
          </cell>
        </row>
        <row r="171">
          <cell r="O171">
            <v>1.0269470164915</v>
          </cell>
          <cell r="P171">
            <v>1.0241389473012099</v>
          </cell>
          <cell r="Q171">
            <v>1.02488896721955</v>
          </cell>
          <cell r="U171">
            <v>1.5167015001809399E-3</v>
          </cell>
          <cell r="V171">
            <v>-9.0557205294517797E-4</v>
          </cell>
          <cell r="W171">
            <v>-2.4723630571604202E-4</v>
          </cell>
          <cell r="Y171">
            <v>1.0269470164915</v>
          </cell>
          <cell r="Z171">
            <v>1.0241389473012099</v>
          </cell>
          <cell r="AA171">
            <v>1.02488896721955</v>
          </cell>
          <cell r="AF171">
            <v>-9.0557205294517797E-4</v>
          </cell>
          <cell r="AG171">
            <v>-2.4723630571604202E-4</v>
          </cell>
          <cell r="AR171">
            <v>6.8881250647386358E-2</v>
          </cell>
          <cell r="BC171">
            <v>5.2627419342220226E-2</v>
          </cell>
          <cell r="BF171">
            <v>0.12150866998960663</v>
          </cell>
        </row>
        <row r="172">
          <cell r="O172">
            <v>1.0269470164915</v>
          </cell>
          <cell r="P172">
            <v>1.0236843052786899</v>
          </cell>
          <cell r="Q172">
            <v>1.0243275431193899</v>
          </cell>
          <cell r="U172">
            <v>4.6114323335215597E-3</v>
          </cell>
          <cell r="V172">
            <v>1.8733014172296399E-3</v>
          </cell>
          <cell r="W172">
            <v>2.6053753402068901E-3</v>
          </cell>
          <cell r="Y172">
            <v>1.0269470164915</v>
          </cell>
          <cell r="Z172">
            <v>1.0236843052786899</v>
          </cell>
          <cell r="AA172">
            <v>1.0243275431193899</v>
          </cell>
          <cell r="AF172">
            <v>1.8733014172296399E-3</v>
          </cell>
          <cell r="AG172">
            <v>2.6053753402068901E-3</v>
          </cell>
          <cell r="AR172">
            <v>6.8881250647386358E-2</v>
          </cell>
          <cell r="BC172">
            <v>5.2627419342220226E-2</v>
          </cell>
          <cell r="BF172">
            <v>0.12150866998960663</v>
          </cell>
        </row>
        <row r="173">
          <cell r="O173">
            <v>1.0269470164915</v>
          </cell>
          <cell r="P173">
            <v>1.0233676386120201</v>
          </cell>
          <cell r="Q173">
            <v>1.0240230559399099</v>
          </cell>
          <cell r="U173">
            <v>5.9710518495608199E-3</v>
          </cell>
          <cell r="V173">
            <v>2.7888962554396299E-3</v>
          </cell>
          <cell r="W173">
            <v>3.4170545957900198E-3</v>
          </cell>
          <cell r="Y173">
            <v>1.0269470164915</v>
          </cell>
          <cell r="Z173">
            <v>1.0233676386120201</v>
          </cell>
          <cell r="AA173">
            <v>1.0240230559399099</v>
          </cell>
          <cell r="AF173">
            <v>2.7888962554396299E-3</v>
          </cell>
          <cell r="AG173">
            <v>3.4170545957900198E-3</v>
          </cell>
          <cell r="AR173">
            <v>6.8881250647386358E-2</v>
          </cell>
          <cell r="BC173">
            <v>5.2627419342220226E-2</v>
          </cell>
          <cell r="BF173">
            <v>0.12150866998960663</v>
          </cell>
        </row>
        <row r="174">
          <cell r="O174">
            <v>1.0269470164915</v>
          </cell>
          <cell r="P174">
            <v>1.0234639475909799</v>
          </cell>
          <cell r="Q174">
            <v>1.0239988436465199</v>
          </cell>
          <cell r="U174">
            <v>8.5219672299632494E-5</v>
          </cell>
          <cell r="V174">
            <v>-3.4063239372429601E-3</v>
          </cell>
          <cell r="W174">
            <v>-2.7660774498333902E-3</v>
          </cell>
          <cell r="Y174">
            <v>1.0269470164915</v>
          </cell>
          <cell r="Z174">
            <v>1.0234639475909799</v>
          </cell>
          <cell r="AA174">
            <v>1.0239988436465199</v>
          </cell>
          <cell r="AF174">
            <v>-3.4063239372429601E-3</v>
          </cell>
          <cell r="AG174">
            <v>-2.7660774498333902E-3</v>
          </cell>
          <cell r="AR174">
            <v>6.8881250647386358E-2</v>
          </cell>
          <cell r="BC174">
            <v>5.2627419342220226E-2</v>
          </cell>
          <cell r="BF174">
            <v>0.12150866998960663</v>
          </cell>
        </row>
        <row r="175">
          <cell r="O175">
            <v>1.0269470164915</v>
          </cell>
          <cell r="P175">
            <v>1.02365101527474</v>
          </cell>
          <cell r="Q175">
            <v>1.02415163013553</v>
          </cell>
          <cell r="U175">
            <v>2.8268446001108302E-3</v>
          </cell>
          <cell r="V175">
            <v>-5.7059358358212901E-4</v>
          </cell>
          <cell r="W175">
            <v>-4.8097086950091398E-5</v>
          </cell>
          <cell r="Y175">
            <v>1.0269470164915</v>
          </cell>
          <cell r="Z175">
            <v>1.02365101527474</v>
          </cell>
          <cell r="AA175">
            <v>1.02415163013553</v>
          </cell>
          <cell r="AF175">
            <v>-5.7059358358212901E-4</v>
          </cell>
          <cell r="AG175">
            <v>-4.8097086950091398E-5</v>
          </cell>
          <cell r="AR175">
            <v>6.8881250647386358E-2</v>
          </cell>
          <cell r="BC175">
            <v>5.2627419342220226E-2</v>
          </cell>
          <cell r="BF175">
            <v>0.12150866998960663</v>
          </cell>
        </row>
        <row r="176">
          <cell r="O176">
            <v>1.0269470164915</v>
          </cell>
          <cell r="P176">
            <v>1.02326099903093</v>
          </cell>
          <cell r="Q176">
            <v>1.0243260070145901</v>
          </cell>
          <cell r="U176">
            <v>2.4442967470781301E-3</v>
          </cell>
          <cell r="V176">
            <v>-7.7037917101813701E-4</v>
          </cell>
          <cell r="W176">
            <v>-2.8145034588707E-4</v>
          </cell>
          <cell r="Y176">
            <v>1.0269470164915</v>
          </cell>
          <cell r="Z176">
            <v>1.02326099903093</v>
          </cell>
          <cell r="AA176">
            <v>1.0243260070145901</v>
          </cell>
          <cell r="AF176">
            <v>-7.7037917101813701E-4</v>
          </cell>
          <cell r="AG176">
            <v>-2.8145034588707E-4</v>
          </cell>
          <cell r="AR176">
            <v>6.8881250647386358E-2</v>
          </cell>
          <cell r="BC176">
            <v>5.2627419342220226E-2</v>
          </cell>
          <cell r="BF176">
            <v>0.12150866998960663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FE48-2A2E-413E-8AAA-A3EF8DC1851C}">
  <dimension ref="A1:DZ179"/>
  <sheetViews>
    <sheetView tabSelected="1" topLeftCell="BO1" workbookViewId="0">
      <selection activeCell="BO1" sqref="A1:XFD1048576"/>
    </sheetView>
  </sheetViews>
  <sheetFormatPr defaultRowHeight="15" x14ac:dyDescent="0.25"/>
  <cols>
    <col min="1" max="1" width="9.42578125" bestFit="1" customWidth="1"/>
    <col min="2" max="3" width="10" style="33" bestFit="1" customWidth="1"/>
    <col min="4" max="4" width="12.28515625" style="15" bestFit="1" customWidth="1"/>
    <col min="5" max="5" width="11.7109375" style="15" bestFit="1" customWidth="1"/>
    <col min="6" max="6" width="10.7109375" style="33" bestFit="1" customWidth="1"/>
    <col min="7" max="7" width="19.140625" style="33" bestFit="1" customWidth="1"/>
    <col min="8" max="8" width="10.140625" style="33" bestFit="1" customWidth="1"/>
    <col min="9" max="9" width="18.5703125" style="33" bestFit="1" customWidth="1"/>
    <col min="10" max="10" width="21.85546875" style="33" bestFit="1" customWidth="1"/>
    <col min="11" max="11" width="21.140625" style="33" bestFit="1" customWidth="1"/>
    <col min="12" max="13" width="10" style="33" bestFit="1" customWidth="1"/>
    <col min="14" max="14" width="12.85546875" style="34" bestFit="1" customWidth="1"/>
    <col min="15" max="15" width="16.42578125" style="34" bestFit="1" customWidth="1"/>
    <col min="16" max="17" width="19.85546875" style="34" bestFit="1" customWidth="1"/>
    <col min="18" max="18" width="12.42578125" style="33" bestFit="1" customWidth="1"/>
    <col min="19" max="20" width="15.85546875" style="33" bestFit="1" customWidth="1"/>
    <col min="21" max="21" width="24.28515625" style="15" bestFit="1" customWidth="1"/>
    <col min="22" max="23" width="27.7109375" style="15" bestFit="1" customWidth="1"/>
    <col min="24" max="24" width="15" style="34" bestFit="1" customWidth="1"/>
    <col min="25" max="25" width="18.5703125" style="34" bestFit="1" customWidth="1"/>
    <col min="26" max="27" width="22" style="34" bestFit="1" customWidth="1"/>
    <col min="28" max="28" width="13.5703125" style="33" bestFit="1" customWidth="1"/>
    <col min="29" max="30" width="16.85546875" style="33" bestFit="1" customWidth="1"/>
    <col min="31" max="31" width="26.42578125" style="15" bestFit="1" customWidth="1"/>
    <col min="32" max="33" width="29.85546875" style="15" bestFit="1" customWidth="1"/>
    <col min="34" max="34" width="1.7109375" style="9" customWidth="1"/>
    <col min="35" max="35" width="7.7109375" style="15" bestFit="1" customWidth="1"/>
    <col min="36" max="36" width="6.2851562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2.28515625" style="15" bestFit="1" customWidth="1"/>
    <col min="42" max="42" width="11.7109375" style="15" bestFit="1" customWidth="1"/>
    <col min="43" max="43" width="7.5703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2.28515625" style="15" bestFit="1" customWidth="1"/>
    <col min="53" max="53" width="11.7109375" style="15" bestFit="1" customWidth="1"/>
    <col min="54" max="54" width="7.5703125" style="15" bestFit="1" customWidth="1"/>
    <col min="55" max="55" width="8.7109375" style="15" bestFit="1" customWidth="1"/>
    <col min="56" max="56" width="1.7109375" style="9" customWidth="1"/>
    <col min="57" max="57" width="7.57031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1.4313871083693814</v>
      </c>
      <c r="AJ1" s="4">
        <v>0</v>
      </c>
      <c r="AK1" s="4">
        <f t="shared" ref="AK1:AQ1" si="0">AJ1-$AK12</f>
        <v>-2.5000000000000001E-3</v>
      </c>
      <c r="AL1" s="4">
        <f t="shared" si="0"/>
        <v>-5.0000000000000001E-3</v>
      </c>
      <c r="AM1" s="4">
        <f t="shared" si="0"/>
        <v>-7.4999999999999997E-3</v>
      </c>
      <c r="AN1" s="4">
        <f t="shared" si="0"/>
        <v>-0.01</v>
      </c>
      <c r="AO1" s="4">
        <f t="shared" si="0"/>
        <v>-1.2500000000000001E-2</v>
      </c>
      <c r="AP1" s="4">
        <f t="shared" si="0"/>
        <v>-1.5000000000000001E-2</v>
      </c>
      <c r="AQ1" s="4">
        <f t="shared" si="0"/>
        <v>-1.7500000000000002E-2</v>
      </c>
      <c r="AR1" s="5" t="s">
        <v>33</v>
      </c>
      <c r="AS1" s="2"/>
      <c r="AT1" s="3">
        <f>BB16</f>
        <v>2.1823075873251603</v>
      </c>
      <c r="AU1" s="4">
        <v>0</v>
      </c>
      <c r="AV1" s="6">
        <f>AU1+$AV12</f>
        <v>2.5000000000000001E-3</v>
      </c>
      <c r="AW1" s="6">
        <f t="shared" ref="AW1:BB1" si="1">AV1+$AV12</f>
        <v>5.0000000000000001E-3</v>
      </c>
      <c r="AX1" s="6">
        <f t="shared" si="1"/>
        <v>7.4999999999999997E-3</v>
      </c>
      <c r="AY1" s="6">
        <f t="shared" si="1"/>
        <v>0.01</v>
      </c>
      <c r="AZ1" s="6">
        <f t="shared" si="1"/>
        <v>1.2500000000000001E-2</v>
      </c>
      <c r="BA1" s="6">
        <f t="shared" si="1"/>
        <v>1.5000000000000001E-2</v>
      </c>
      <c r="BB1" s="6">
        <f t="shared" si="1"/>
        <v>1.7500000000000002E-2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65.92</v>
      </c>
      <c r="C2" s="33">
        <v>65.61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65.92</v>
      </c>
      <c r="M2" s="33">
        <v>65.61</v>
      </c>
      <c r="N2" s="34">
        <v>0.99529733009708699</v>
      </c>
      <c r="O2" s="34">
        <v>1.0029086172027599</v>
      </c>
      <c r="X2" s="34">
        <v>0.99529733009708699</v>
      </c>
      <c r="Y2" s="34">
        <v>1.0029086172027599</v>
      </c>
      <c r="AI2" s="4">
        <v>0</v>
      </c>
      <c r="AJ2" s="10">
        <f t="dataTable" ref="AJ2:AQ9" dt2D="1" dtr="1" r1="AI21" r2="AI22"/>
        <v>0.95224126007063514</v>
      </c>
      <c r="AK2" s="10">
        <v>0.49862445716302051</v>
      </c>
      <c r="AL2" s="10">
        <v>0.71572141931293076</v>
      </c>
      <c r="AM2" s="10">
        <v>1.1841099396519321</v>
      </c>
      <c r="AN2" s="10">
        <v>1.0271739097929748</v>
      </c>
      <c r="AO2" s="10">
        <v>1.3850723999302108</v>
      </c>
      <c r="AP2" s="10">
        <v>1.3978555587006658</v>
      </c>
      <c r="AQ2" s="10">
        <v>1.3978555587006658</v>
      </c>
      <c r="AR2"/>
      <c r="AT2" s="4">
        <v>0</v>
      </c>
      <c r="AU2" s="10">
        <f t="dataTable" ref="AU2:BB9" dt2D="1" dtr="1" r1="AT21" r2="AT22"/>
        <v>1.9818253203787108</v>
      </c>
      <c r="AV2" s="11">
        <v>0.90352887241231816</v>
      </c>
      <c r="AW2" s="11">
        <v>0.79159381825776198</v>
      </c>
      <c r="AX2" s="11">
        <v>0.92263555691328469</v>
      </c>
      <c r="AY2" s="11">
        <v>0.78003935241886713</v>
      </c>
      <c r="AZ2" s="11">
        <v>1.0504471815709726</v>
      </c>
      <c r="BA2" s="11">
        <v>1.0504471815709726</v>
      </c>
      <c r="BB2" s="11" t="e">
        <v>#DIV/0!</v>
      </c>
      <c r="BC2"/>
    </row>
    <row r="3" spans="1:130" x14ac:dyDescent="0.25">
      <c r="A3" s="1">
        <v>46027</v>
      </c>
      <c r="B3" s="33">
        <v>66.03</v>
      </c>
      <c r="C3" s="33">
        <v>65.709999999999994</v>
      </c>
      <c r="D3" s="15">
        <v>1.6672986052637001E-3</v>
      </c>
      <c r="E3" s="15">
        <v>1.5229975529903301E-3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66.03</v>
      </c>
      <c r="M3" s="33">
        <v>65.709999999999994</v>
      </c>
      <c r="N3" s="34">
        <v>0.99515371800696595</v>
      </c>
      <c r="O3" s="34">
        <v>1.0029086172027599</v>
      </c>
      <c r="R3" s="33">
        <v>66.222055993898607</v>
      </c>
      <c r="U3" s="15">
        <v>7.7624586569542903E-3</v>
      </c>
      <c r="X3" s="34">
        <v>0.99515371800696595</v>
      </c>
      <c r="Y3" s="34">
        <v>1.0029086172027599</v>
      </c>
      <c r="AB3" s="33">
        <v>66.222055993898607</v>
      </c>
      <c r="AE3" s="15">
        <v>7.7624586569542903E-3</v>
      </c>
      <c r="AI3" s="4">
        <f t="shared" ref="AI3:AI9" si="2">AI2-AK$12</f>
        <v>-2.5000000000000001E-3</v>
      </c>
      <c r="AJ3" s="10">
        <v>0.95224126007063514</v>
      </c>
      <c r="AK3" s="10">
        <v>0.852714568681608</v>
      </c>
      <c r="AL3" s="10">
        <v>1.1267957587516273</v>
      </c>
      <c r="AM3" s="10">
        <v>1.6517408760691878</v>
      </c>
      <c r="AN3" s="10">
        <v>1.0717100345540516</v>
      </c>
      <c r="AO3" s="11">
        <v>1.4313871083693814</v>
      </c>
      <c r="AP3" s="10">
        <v>1.3978555587006658</v>
      </c>
      <c r="AQ3" s="10">
        <v>1.3978555587006658</v>
      </c>
      <c r="AR3"/>
      <c r="AT3" s="4">
        <f>AT2+AV$12</f>
        <v>2.5000000000000001E-3</v>
      </c>
      <c r="AU3" s="10">
        <v>1.9818253203787108</v>
      </c>
      <c r="AV3" s="11">
        <v>1.1321307056139494</v>
      </c>
      <c r="AW3" s="11">
        <v>1.2258576287948948</v>
      </c>
      <c r="AX3" s="11">
        <v>1.366774540516317</v>
      </c>
      <c r="AY3" s="11">
        <v>1.2982847379158393</v>
      </c>
      <c r="AZ3" s="11">
        <v>1.2013229895704707</v>
      </c>
      <c r="BA3" s="11">
        <v>1.2013229895704707</v>
      </c>
      <c r="BB3" s="11" t="e">
        <v>#DIV/0!</v>
      </c>
      <c r="BC3"/>
    </row>
    <row r="4" spans="1:130" x14ac:dyDescent="0.25">
      <c r="A4" s="1">
        <v>46028</v>
      </c>
      <c r="B4" s="33">
        <v>66.58</v>
      </c>
      <c r="C4" s="33">
        <v>65.88</v>
      </c>
      <c r="D4" s="15">
        <v>8.2950479403988697E-3</v>
      </c>
      <c r="E4" s="15">
        <v>2.5837843996632001E-3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66.58</v>
      </c>
      <c r="M4" s="33">
        <v>65.88</v>
      </c>
      <c r="N4" s="34">
        <v>0.98948633223190097</v>
      </c>
      <c r="O4" s="34">
        <v>1.0029086172027599</v>
      </c>
      <c r="R4" s="33">
        <v>66.773655733360101</v>
      </c>
      <c r="U4" s="15">
        <v>1.3473722197690099E-2</v>
      </c>
      <c r="X4" s="34">
        <v>0.98948633223190097</v>
      </c>
      <c r="Y4" s="34">
        <v>1.0029086172027599</v>
      </c>
      <c r="AB4" s="33">
        <v>66.773655733360101</v>
      </c>
      <c r="AE4" s="15">
        <v>1.3473722197690099E-2</v>
      </c>
      <c r="AG4"/>
      <c r="AI4" s="4">
        <f t="shared" si="2"/>
        <v>-5.0000000000000001E-3</v>
      </c>
      <c r="AJ4" s="10">
        <v>0.95224126007063514</v>
      </c>
      <c r="AK4" s="11">
        <v>0.852714568681608</v>
      </c>
      <c r="AL4" s="11">
        <v>0.69710571671845667</v>
      </c>
      <c r="AM4" s="11">
        <v>0.94641899788665573</v>
      </c>
      <c r="AN4" s="10">
        <v>0.57035356078230404</v>
      </c>
      <c r="AO4" s="11">
        <v>0.96074988967539254</v>
      </c>
      <c r="AP4" s="11">
        <v>0.943158742220775</v>
      </c>
      <c r="AQ4" s="11">
        <v>0.943158742220775</v>
      </c>
      <c r="AR4"/>
      <c r="AT4" s="4">
        <f t="shared" ref="AT4:AT9" si="3">AT3+AV$12</f>
        <v>5.0000000000000001E-3</v>
      </c>
      <c r="AU4" s="10">
        <v>1.9818253203787108</v>
      </c>
      <c r="AV4" s="11">
        <v>1.1321307056139494</v>
      </c>
      <c r="AW4" s="11">
        <v>1.5860335337034979</v>
      </c>
      <c r="AX4" s="11">
        <v>1.9163520517486026</v>
      </c>
      <c r="AY4" s="11">
        <v>2.1623457567735374</v>
      </c>
      <c r="AZ4" s="11">
        <v>2.1823075873251603</v>
      </c>
      <c r="BA4" s="11">
        <v>2.1823075873251603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68.17</v>
      </c>
      <c r="C5" s="33">
        <v>67.430000000000007</v>
      </c>
      <c r="D5" s="15">
        <v>2.36003532278149E-2</v>
      </c>
      <c r="E5" s="15">
        <v>2.32551174370512E-2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68.17</v>
      </c>
      <c r="M5" s="33">
        <v>67.430000000000007</v>
      </c>
      <c r="N5" s="34">
        <v>0.98914478509608295</v>
      </c>
      <c r="O5" s="34">
        <v>1.0029086172027599</v>
      </c>
      <c r="R5" s="33">
        <v>68.368280434712503</v>
      </c>
      <c r="U5" s="15">
        <v>1.3818957988453799E-2</v>
      </c>
      <c r="X5" s="34">
        <v>0.98914478509608295</v>
      </c>
      <c r="Y5" s="34">
        <v>1.0029086172027599</v>
      </c>
      <c r="AB5" s="33">
        <v>68.368280434712503</v>
      </c>
      <c r="AE5" s="15">
        <v>1.3818957988453799E-2</v>
      </c>
      <c r="AG5" s="29"/>
      <c r="AI5" s="4">
        <f t="shared" si="2"/>
        <v>-7.4999999999999997E-3</v>
      </c>
      <c r="AJ5" s="10">
        <v>0.95224126007063514</v>
      </c>
      <c r="AK5" s="11">
        <v>0.852714568681608</v>
      </c>
      <c r="AL5" s="11">
        <v>0.69710571671845667</v>
      </c>
      <c r="AM5" s="11">
        <v>1.2549520511751082</v>
      </c>
      <c r="AN5" s="11">
        <v>8.6660630259650762E-2</v>
      </c>
      <c r="AO5" s="11">
        <v>0.49640178832038806</v>
      </c>
      <c r="AP5" s="10">
        <v>0.90348716445574306</v>
      </c>
      <c r="AQ5" s="11">
        <v>0.90348716445574306</v>
      </c>
      <c r="AR5"/>
      <c r="AT5" s="4">
        <f t="shared" si="3"/>
        <v>7.4999999999999997E-3</v>
      </c>
      <c r="AU5" s="10">
        <v>1.9818253203787108</v>
      </c>
      <c r="AV5" s="11">
        <v>1.1321307056139494</v>
      </c>
      <c r="AW5" s="11">
        <v>1.5860335337034979</v>
      </c>
      <c r="AX5" s="11">
        <v>1.7457651432888155</v>
      </c>
      <c r="AY5" s="11">
        <v>1.8639130901928924</v>
      </c>
      <c r="AZ5" s="11">
        <v>2.1823075873251603</v>
      </c>
      <c r="BA5" s="11">
        <v>2.1823075873251603</v>
      </c>
      <c r="BB5" s="11" t="e">
        <v>#DIV/0!</v>
      </c>
      <c r="BC5"/>
    </row>
    <row r="6" spans="1:130" x14ac:dyDescent="0.25">
      <c r="A6" s="1">
        <v>46030</v>
      </c>
      <c r="B6" s="33">
        <v>69.95</v>
      </c>
      <c r="C6" s="33">
        <v>68.540000000000006</v>
      </c>
      <c r="D6" s="15">
        <v>2.57761157367963E-2</v>
      </c>
      <c r="E6" s="15">
        <v>1.63274936999722E-2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69.95</v>
      </c>
      <c r="M6" s="33">
        <v>68.540000000000006</v>
      </c>
      <c r="N6" s="34">
        <v>0.97984274481772704</v>
      </c>
      <c r="O6" s="34">
        <v>1.0029086172027599</v>
      </c>
      <c r="R6" s="33">
        <v>70.1534577733334</v>
      </c>
      <c r="U6" s="15">
        <v>2.3267580025277901E-2</v>
      </c>
      <c r="X6" s="34">
        <v>0.97984274481772704</v>
      </c>
      <c r="Y6" s="34">
        <v>1.0029086172027599</v>
      </c>
      <c r="AB6" s="33">
        <v>70.1534577733334</v>
      </c>
      <c r="AE6" s="15">
        <v>2.3267580025277901E-2</v>
      </c>
      <c r="AG6" s="29"/>
      <c r="AI6" s="4">
        <f t="shared" si="2"/>
        <v>-0.01</v>
      </c>
      <c r="AJ6" s="10">
        <v>0.95224126007063514</v>
      </c>
      <c r="AK6" s="11">
        <v>0.852714568681608</v>
      </c>
      <c r="AL6" s="11">
        <v>0.69710571671845667</v>
      </c>
      <c r="AM6" s="11">
        <v>1.2549520511751082</v>
      </c>
      <c r="AN6" s="11">
        <v>-6.8231561070783417E-2</v>
      </c>
      <c r="AO6" s="11">
        <v>0.34310469374460212</v>
      </c>
      <c r="AP6" s="11">
        <v>0.90348716445574306</v>
      </c>
      <c r="AQ6" s="11">
        <v>0.90348716445574306</v>
      </c>
      <c r="AR6"/>
      <c r="AT6" s="4">
        <f t="shared" si="3"/>
        <v>0.01</v>
      </c>
      <c r="AU6" s="10">
        <v>1.9818253203787108</v>
      </c>
      <c r="AV6" s="11">
        <v>1.1321307056139494</v>
      </c>
      <c r="AW6" s="11">
        <v>1.5860335337034979</v>
      </c>
      <c r="AX6" s="11">
        <v>1.7457651432888155</v>
      </c>
      <c r="AY6" s="11">
        <v>1.8639130901928924</v>
      </c>
      <c r="AZ6" s="11">
        <v>2.1823075873251603</v>
      </c>
      <c r="BA6" s="11">
        <v>2.1823075873251603</v>
      </c>
      <c r="BB6" s="11" t="e">
        <v>#DIV/0!</v>
      </c>
      <c r="BC6"/>
    </row>
    <row r="7" spans="1:130" x14ac:dyDescent="0.25">
      <c r="A7" s="1">
        <v>46031</v>
      </c>
      <c r="B7" s="33">
        <v>68.75</v>
      </c>
      <c r="C7" s="33">
        <v>67.16</v>
      </c>
      <c r="D7" s="15">
        <v>-1.7303964564809499E-2</v>
      </c>
      <c r="E7" s="15">
        <v>-2.0339684237122801E-2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68.75</v>
      </c>
      <c r="M7" s="33">
        <v>67.16</v>
      </c>
      <c r="N7" s="34">
        <v>0.976872727272727</v>
      </c>
      <c r="O7" s="34">
        <v>1.0029086172027599</v>
      </c>
      <c r="R7" s="33">
        <v>68.949967432690102</v>
      </c>
      <c r="U7" s="15">
        <v>2.6303299697591299E-2</v>
      </c>
      <c r="X7" s="34">
        <v>0.976872727272727</v>
      </c>
      <c r="Y7" s="34">
        <v>1.0029086172027599</v>
      </c>
      <c r="AB7" s="33">
        <v>68.949967432690102</v>
      </c>
      <c r="AE7" s="15">
        <v>2.6303299697591299E-2</v>
      </c>
      <c r="AG7"/>
      <c r="AI7" s="4">
        <f t="shared" si="2"/>
        <v>-1.2500000000000001E-2</v>
      </c>
      <c r="AJ7" s="10">
        <v>0.95224126007063514</v>
      </c>
      <c r="AK7" s="11">
        <v>0.852714568681608</v>
      </c>
      <c r="AL7" s="11">
        <v>0.69710571671845667</v>
      </c>
      <c r="AM7" s="11">
        <v>1.2549520511751082</v>
      </c>
      <c r="AN7" s="11">
        <v>-6.8231561070783417E-2</v>
      </c>
      <c r="AO7" s="11">
        <v>0.69699109960314531</v>
      </c>
      <c r="AP7" s="11">
        <v>0.90348716445574306</v>
      </c>
      <c r="AQ7" s="11">
        <v>0.90348716445574306</v>
      </c>
      <c r="AR7"/>
      <c r="AT7" s="4">
        <f t="shared" si="3"/>
        <v>1.2500000000000001E-2</v>
      </c>
      <c r="AU7" s="10">
        <v>1.9818253203787108</v>
      </c>
      <c r="AV7" s="11">
        <v>1.1321307056139494</v>
      </c>
      <c r="AW7" s="11">
        <v>1.5860335337034979</v>
      </c>
      <c r="AX7" s="11">
        <v>1.7457651432888155</v>
      </c>
      <c r="AY7" s="11">
        <v>1.8639130901928924</v>
      </c>
      <c r="AZ7" s="11">
        <v>2.1823075873251603</v>
      </c>
      <c r="BA7" s="11">
        <v>2.1823075873251603</v>
      </c>
      <c r="BB7" s="11" t="e">
        <v>#DIV/0!</v>
      </c>
      <c r="BC7"/>
    </row>
    <row r="8" spans="1:130" x14ac:dyDescent="0.25">
      <c r="A8" s="1">
        <v>46034</v>
      </c>
      <c r="B8" s="33">
        <v>68.17</v>
      </c>
      <c r="C8" s="33">
        <v>67.14</v>
      </c>
      <c r="D8" s="15">
        <v>-8.4721511719867103E-3</v>
      </c>
      <c r="E8" s="15">
        <v>-2.9784065745115299E-4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68.17</v>
      </c>
      <c r="M8" s="33">
        <v>67.14</v>
      </c>
      <c r="N8" s="34">
        <v>0.98489071439049403</v>
      </c>
      <c r="O8" s="34">
        <v>1.0029086172027599</v>
      </c>
      <c r="R8" s="33">
        <v>68.368280434712503</v>
      </c>
      <c r="U8" s="15">
        <v>1.8128989183055701E-2</v>
      </c>
      <c r="X8" s="34">
        <v>0.98489071439049403</v>
      </c>
      <c r="Y8" s="34">
        <v>1.0029086172027599</v>
      </c>
      <c r="AB8" s="33">
        <v>68.368280434712503</v>
      </c>
      <c r="AE8" s="15">
        <v>1.8128989183055701E-2</v>
      </c>
      <c r="AG8"/>
      <c r="AI8" s="4">
        <f t="shared" si="2"/>
        <v>-1.5000000000000001E-2</v>
      </c>
      <c r="AJ8" s="10">
        <v>0.95224126007063514</v>
      </c>
      <c r="AK8" s="11">
        <v>0.852714568681608</v>
      </c>
      <c r="AL8" s="11">
        <v>0.69710571671845667</v>
      </c>
      <c r="AM8" s="11">
        <v>1.2549520511751082</v>
      </c>
      <c r="AN8" s="11">
        <v>-6.8231561070783417E-2</v>
      </c>
      <c r="AO8" s="11">
        <v>0.69699109960314531</v>
      </c>
      <c r="AP8" s="11">
        <v>0.90348716445574306</v>
      </c>
      <c r="AQ8" s="11">
        <v>0.90348716445574306</v>
      </c>
      <c r="AR8"/>
      <c r="AT8" s="4">
        <f t="shared" si="3"/>
        <v>1.5000000000000001E-2</v>
      </c>
      <c r="AU8" s="10">
        <v>1.9818253203787108</v>
      </c>
      <c r="AV8" s="11">
        <v>1.1321307056139494</v>
      </c>
      <c r="AW8" s="11">
        <v>1.5860335337034979</v>
      </c>
      <c r="AX8" s="11">
        <v>1.7457651432888155</v>
      </c>
      <c r="AY8" s="11">
        <v>1.8639130901928924</v>
      </c>
      <c r="AZ8" s="11">
        <v>2.1823075873251603</v>
      </c>
      <c r="BA8" s="11">
        <v>2.1823075873251603</v>
      </c>
      <c r="BB8" s="11" t="e">
        <v>#DIV/0!</v>
      </c>
      <c r="BC8"/>
    </row>
    <row r="9" spans="1:130" x14ac:dyDescent="0.25">
      <c r="A9" s="1">
        <v>46035</v>
      </c>
      <c r="B9" s="33">
        <v>68.84</v>
      </c>
      <c r="C9" s="33">
        <v>67.8</v>
      </c>
      <c r="D9" s="15">
        <v>9.7803859686447798E-3</v>
      </c>
      <c r="E9" s="15">
        <v>9.7822033944608804E-3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68.84</v>
      </c>
      <c r="M9" s="33">
        <v>67.8</v>
      </c>
      <c r="N9" s="34">
        <v>0.98489250435793096</v>
      </c>
      <c r="O9" s="34">
        <v>1.0029086172027599</v>
      </c>
      <c r="R9" s="33">
        <v>69.040229208238301</v>
      </c>
      <c r="U9" s="15">
        <v>1.81271717572393E-2</v>
      </c>
      <c r="X9" s="34">
        <v>0.98489250435793096</v>
      </c>
      <c r="Y9" s="34">
        <v>1.0029086172027599</v>
      </c>
      <c r="AB9" s="33">
        <v>69.040229208238301</v>
      </c>
      <c r="AE9" s="15">
        <v>1.81271717572393E-2</v>
      </c>
      <c r="AF9"/>
      <c r="AI9" s="4">
        <f t="shared" si="2"/>
        <v>-1.7500000000000002E-2</v>
      </c>
      <c r="AJ9" s="10">
        <v>0.95224126007063514</v>
      </c>
      <c r="AK9" s="11">
        <v>0.852714568681608</v>
      </c>
      <c r="AL9" s="11">
        <v>0.69710571671845667</v>
      </c>
      <c r="AM9" s="11">
        <v>1.2549520511751082</v>
      </c>
      <c r="AN9" s="11">
        <v>-6.8231561070783417E-2</v>
      </c>
      <c r="AO9" s="11">
        <v>0.69699109960314531</v>
      </c>
      <c r="AP9" s="11">
        <v>0.90348716445574306</v>
      </c>
      <c r="AQ9" s="11">
        <v>0.90348716445574306</v>
      </c>
      <c r="AR9"/>
      <c r="AT9" s="4">
        <f t="shared" si="3"/>
        <v>1.7500000000000002E-2</v>
      </c>
      <c r="AU9" s="10">
        <v>1.9818253203787108</v>
      </c>
      <c r="AV9" s="10">
        <v>1.1321307056139494</v>
      </c>
      <c r="AW9" s="10">
        <v>1.5860335337034979</v>
      </c>
      <c r="AX9" s="10">
        <v>1.7457651432888155</v>
      </c>
      <c r="AY9" s="10">
        <v>1.8639130901928924</v>
      </c>
      <c r="AZ9" s="10">
        <v>2.1823075873251603</v>
      </c>
      <c r="BA9" s="10">
        <v>2.1823075873251603</v>
      </c>
      <c r="BB9" s="10" t="e">
        <v>#DIV/0!</v>
      </c>
      <c r="BC9"/>
    </row>
    <row r="10" spans="1:130" x14ac:dyDescent="0.25">
      <c r="A10" s="1">
        <v>46036</v>
      </c>
      <c r="B10" s="33">
        <v>67.55</v>
      </c>
      <c r="C10" s="33">
        <v>66.790000000000006</v>
      </c>
      <c r="D10" s="15">
        <v>-1.8916906937130901E-2</v>
      </c>
      <c r="E10" s="15">
        <v>-1.5008826208805099E-2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67.55</v>
      </c>
      <c r="M10" s="33">
        <v>66.790000000000006</v>
      </c>
      <c r="N10" s="34">
        <v>0.98874907475943696</v>
      </c>
      <c r="O10" s="34">
        <v>1.0029086172027599</v>
      </c>
      <c r="R10" s="33">
        <v>67.746477092046803</v>
      </c>
      <c r="U10" s="15">
        <v>1.4219091028913699E-2</v>
      </c>
      <c r="X10" s="34">
        <v>0.98874907475943696</v>
      </c>
      <c r="Y10" s="34">
        <v>1.0029086172027599</v>
      </c>
      <c r="AB10" s="33">
        <v>67.746477092046803</v>
      </c>
      <c r="AE10" s="15">
        <v>1.4219091028913699E-2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67.89</v>
      </c>
      <c r="C11" s="33">
        <v>67.17</v>
      </c>
      <c r="D11" s="15">
        <v>5.0206839073478103E-3</v>
      </c>
      <c r="E11" s="15">
        <v>5.67335054122839E-3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67.89</v>
      </c>
      <c r="M11" s="33">
        <v>67.17</v>
      </c>
      <c r="N11" s="34">
        <v>0.98939460892620401</v>
      </c>
      <c r="O11" s="34">
        <v>1.0029086172027599</v>
      </c>
      <c r="P11" s="34">
        <v>0.98737245399565599</v>
      </c>
      <c r="R11" s="33">
        <v>68.087466021895693</v>
      </c>
      <c r="U11" s="15">
        <v>1.3566424395033199E-2</v>
      </c>
      <c r="X11" s="34">
        <v>0.98939460892620401</v>
      </c>
      <c r="Y11" s="34">
        <v>1.0029086172027599</v>
      </c>
      <c r="Z11" s="34">
        <v>0.98737245399565599</v>
      </c>
      <c r="AB11" s="33">
        <v>68.087466021895693</v>
      </c>
      <c r="AE11" s="15">
        <v>1.3566424395033199E-2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68.53</v>
      </c>
      <c r="C12" s="33">
        <v>67.66</v>
      </c>
      <c r="D12" s="15">
        <v>9.3828572841766402E-3</v>
      </c>
      <c r="E12" s="15">
        <v>7.2684440737892601E-3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68.53</v>
      </c>
      <c r="M12" s="33">
        <v>67.66</v>
      </c>
      <c r="N12" s="34">
        <v>0.98730483000145897</v>
      </c>
      <c r="O12" s="34">
        <v>1.0029086172027599</v>
      </c>
      <c r="P12" s="34">
        <v>0.98657320398609305</v>
      </c>
      <c r="R12" s="33">
        <v>68.729327536905501</v>
      </c>
      <c r="S12" s="33">
        <v>67.664634272322303</v>
      </c>
      <c r="U12" s="15">
        <v>1.5680837605420599E-2</v>
      </c>
      <c r="V12" s="15">
        <v>6.8491185644821E-5</v>
      </c>
      <c r="X12" s="34">
        <v>0.98730483000145897</v>
      </c>
      <c r="Y12" s="34">
        <v>1.0029086172027599</v>
      </c>
      <c r="Z12" s="34">
        <v>0.98657320398609305</v>
      </c>
      <c r="AB12" s="33">
        <v>68.729327536905501</v>
      </c>
      <c r="AC12" s="33">
        <v>67.664634272322303</v>
      </c>
      <c r="AE12" s="15">
        <v>1.5680837605420599E-2</v>
      </c>
      <c r="AF12" s="15">
        <v>6.8491185644821E-5</v>
      </c>
      <c r="AK12" s="17">
        <v>2.5000000000000001E-3</v>
      </c>
      <c r="AL12" s="18" t="s">
        <v>37</v>
      </c>
      <c r="AM12" s="19" t="s">
        <v>38</v>
      </c>
      <c r="AV12" s="17">
        <v>2.5000000000000001E-3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65.88</v>
      </c>
      <c r="C13" s="33">
        <v>65.06</v>
      </c>
      <c r="D13" s="15">
        <v>-3.94367002882927E-2</v>
      </c>
      <c r="E13" s="15">
        <v>-3.9185242307356899E-2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65.88</v>
      </c>
      <c r="M13" s="33">
        <v>65.06</v>
      </c>
      <c r="N13" s="34">
        <v>0.98755312689738906</v>
      </c>
      <c r="O13" s="34">
        <v>1.0029086172027599</v>
      </c>
      <c r="P13" s="34">
        <v>0.98581314487513505</v>
      </c>
      <c r="R13" s="33">
        <v>66.071619701318099</v>
      </c>
      <c r="S13" s="33">
        <v>64.995442678603794</v>
      </c>
      <c r="U13" s="15">
        <v>1.5429379624484599E-2</v>
      </c>
      <c r="V13" s="15">
        <v>-9.9276624443844406E-4</v>
      </c>
      <c r="X13" s="34">
        <v>0.98755312689738906</v>
      </c>
      <c r="Y13" s="34">
        <v>1.0029086172027599</v>
      </c>
      <c r="Z13" s="34">
        <v>0.98581314487513505</v>
      </c>
      <c r="AB13" s="33">
        <v>66.071619701318099</v>
      </c>
      <c r="AC13" s="33">
        <v>64.995442678603794</v>
      </c>
      <c r="AE13" s="15">
        <v>1.5429379624484599E-2</v>
      </c>
      <c r="AF13" s="15">
        <v>-9.9276624443844406E-4</v>
      </c>
    </row>
    <row r="14" spans="1:130" x14ac:dyDescent="0.25">
      <c r="A14" s="1">
        <v>46043</v>
      </c>
      <c r="B14" s="33">
        <v>64.92</v>
      </c>
      <c r="C14" s="33">
        <v>64.59</v>
      </c>
      <c r="D14" s="15">
        <v>-1.46791626630489E-2</v>
      </c>
      <c r="E14" s="15">
        <v>-7.2503210008239899E-3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64.92</v>
      </c>
      <c r="M14" s="33">
        <v>64.59</v>
      </c>
      <c r="N14" s="34">
        <v>0.99491682070240295</v>
      </c>
      <c r="O14" s="34">
        <v>1.0029086172027599</v>
      </c>
      <c r="P14" s="34">
        <v>0.98635619372218497</v>
      </c>
      <c r="R14" s="33">
        <v>65.108827428803494</v>
      </c>
      <c r="S14" s="33">
        <v>63.998989365293703</v>
      </c>
      <c r="U14" s="15">
        <v>8.0005379622597496E-3</v>
      </c>
      <c r="V14" s="15">
        <v>-9.1923079766757995E-3</v>
      </c>
      <c r="X14" s="34">
        <v>0.99491682070240295</v>
      </c>
      <c r="Y14" s="34">
        <v>1.0029086172027599</v>
      </c>
      <c r="Z14" s="34">
        <v>0.98635619372218497</v>
      </c>
      <c r="AB14" s="33">
        <v>65.108827428803494</v>
      </c>
      <c r="AC14" s="33">
        <v>63.998989365293703</v>
      </c>
      <c r="AE14" s="15">
        <v>8.0005379622597496E-3</v>
      </c>
      <c r="AF14" s="15">
        <v>-9.1923079766757995E-3</v>
      </c>
      <c r="AQ14" s="20">
        <f>AVERAGE(AQ22:AQ176)</f>
        <v>1.5259168394454487E-4</v>
      </c>
      <c r="AR14" s="21" t="s">
        <v>41</v>
      </c>
      <c r="BB14" s="20">
        <f>AVERAGE(BB22:BB176)</f>
        <v>2.365497485896487E-4</v>
      </c>
      <c r="BC14" s="21" t="s">
        <v>41</v>
      </c>
      <c r="BD14" s="22"/>
      <c r="BE14" s="20">
        <f>AVERAGE(BE22:BE176)</f>
        <v>3.8914143253419365E-4</v>
      </c>
      <c r="BF14" s="21" t="s">
        <v>41</v>
      </c>
    </row>
    <row r="15" spans="1:130" x14ac:dyDescent="0.25">
      <c r="A15" s="1">
        <v>46044</v>
      </c>
      <c r="B15" s="33">
        <v>68.59</v>
      </c>
      <c r="C15" s="33">
        <v>67.95</v>
      </c>
      <c r="D15" s="15">
        <v>5.4991008864839402E-2</v>
      </c>
      <c r="E15" s="15">
        <v>5.0712540552771301E-2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68.59</v>
      </c>
      <c r="M15" s="33">
        <v>67.95</v>
      </c>
      <c r="N15" s="34">
        <v>0.99066919376002305</v>
      </c>
      <c r="O15" s="34">
        <v>1.0029086172027599</v>
      </c>
      <c r="P15" s="34">
        <v>0.98650863458857896</v>
      </c>
      <c r="R15" s="33">
        <v>68.789502053937596</v>
      </c>
      <c r="S15" s="33">
        <v>67.654171327404697</v>
      </c>
      <c r="U15" s="15">
        <v>1.22790062743278E-2</v>
      </c>
      <c r="V15" s="15">
        <v>-4.3631274614037603E-3</v>
      </c>
      <c r="X15" s="34">
        <v>0.99066919376002305</v>
      </c>
      <c r="Y15" s="34">
        <v>1.0029086172027599</v>
      </c>
      <c r="Z15" s="34">
        <v>0.98650863458857896</v>
      </c>
      <c r="AB15" s="33">
        <v>68.789502053937596</v>
      </c>
      <c r="AC15" s="33">
        <v>67.654171327404697</v>
      </c>
      <c r="AE15" s="15">
        <v>1.22790062743278E-2</v>
      </c>
      <c r="AF15" s="15">
        <v>-4.3631274614037603E-3</v>
      </c>
      <c r="AQ15" s="20">
        <f>STDEV(AQ22:AQ176)</f>
        <v>1.6922870640371172E-3</v>
      </c>
      <c r="AR15" s="21" t="s">
        <v>42</v>
      </c>
      <c r="BB15" s="20">
        <f>STDEV(BB22:BB176)</f>
        <v>1.7207064973737219E-3</v>
      </c>
      <c r="BC15" s="21" t="s">
        <v>42</v>
      </c>
      <c r="BD15" s="22"/>
      <c r="BE15" s="20">
        <f>STDEV(BE22:BE176)</f>
        <v>2.3983341166773416E-3</v>
      </c>
      <c r="BF15" s="21" t="s">
        <v>42</v>
      </c>
    </row>
    <row r="16" spans="1:130" x14ac:dyDescent="0.25">
      <c r="A16" s="1">
        <v>46045</v>
      </c>
      <c r="B16" s="33">
        <v>68</v>
      </c>
      <c r="C16" s="33">
        <v>67.34</v>
      </c>
      <c r="D16" s="15">
        <v>-8.6390463351233293E-3</v>
      </c>
      <c r="E16" s="15">
        <v>-9.0177268642242497E-3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68</v>
      </c>
      <c r="M16" s="33">
        <v>67.34</v>
      </c>
      <c r="N16" s="34">
        <v>0.99029411764705799</v>
      </c>
      <c r="O16" s="34">
        <v>1.0029086172027599</v>
      </c>
      <c r="P16" s="34">
        <v>0.98755377187151205</v>
      </c>
      <c r="R16" s="33">
        <v>68.197785969788001</v>
      </c>
      <c r="S16" s="33">
        <v>67.082587152023393</v>
      </c>
      <c r="U16" s="15">
        <v>1.2657686803428899E-2</v>
      </c>
      <c r="V16" s="15">
        <v>-3.8299093638794802E-3</v>
      </c>
      <c r="X16" s="34">
        <v>0.99029411764705799</v>
      </c>
      <c r="Y16" s="34">
        <v>1.0029086172027599</v>
      </c>
      <c r="Z16" s="34">
        <v>0.98755377187151205</v>
      </c>
      <c r="AB16" s="33">
        <v>68.197785969788001</v>
      </c>
      <c r="AC16" s="33">
        <v>67.082587152023393</v>
      </c>
      <c r="AE16" s="15">
        <v>1.2657686803428899E-2</v>
      </c>
      <c r="AF16" s="15">
        <v>-3.8299093638794802E-3</v>
      </c>
      <c r="AQ16" s="23">
        <f>SQRT(252)*AQ14/AQ15</f>
        <v>1.4313871083693814</v>
      </c>
      <c r="AR16" s="21" t="s">
        <v>43</v>
      </c>
      <c r="BB16" s="23">
        <f>SQRT(252)*BB14/BB15</f>
        <v>2.1823075873251603</v>
      </c>
      <c r="BC16" s="21" t="s">
        <v>43</v>
      </c>
      <c r="BD16" s="22"/>
      <c r="BE16" s="23">
        <f>SQRT(252)*BE14/BE15</f>
        <v>2.575716489602208</v>
      </c>
      <c r="BF16" s="21" t="s">
        <v>43</v>
      </c>
    </row>
    <row r="17" spans="1:124" x14ac:dyDescent="0.25">
      <c r="A17" s="1">
        <v>46048</v>
      </c>
      <c r="B17" s="33">
        <v>69.56</v>
      </c>
      <c r="C17" s="33">
        <v>68.36</v>
      </c>
      <c r="D17" s="15">
        <v>2.2681984309975499E-2</v>
      </c>
      <c r="E17" s="15">
        <v>1.5033444514461499E-2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69.56</v>
      </c>
      <c r="M17" s="33">
        <v>68.36</v>
      </c>
      <c r="N17" s="34">
        <v>0.98274870615296095</v>
      </c>
      <c r="O17" s="34">
        <v>1.0029086172027599</v>
      </c>
      <c r="P17" s="34">
        <v>0.98814136975953604</v>
      </c>
      <c r="R17" s="33">
        <v>69.762323412624298</v>
      </c>
      <c r="S17" s="33">
        <v>68.694240371382406</v>
      </c>
      <c r="U17" s="15">
        <v>2.0306226598942701E-2</v>
      </c>
      <c r="V17" s="15">
        <v>4.8775000774612803E-3</v>
      </c>
      <c r="X17" s="34">
        <v>0.98274870615296095</v>
      </c>
      <c r="Y17" s="34">
        <v>1.0029086172027599</v>
      </c>
      <c r="Z17" s="34">
        <v>0.98814136975953604</v>
      </c>
      <c r="AB17" s="33">
        <v>69.762323412624298</v>
      </c>
      <c r="AC17" s="33">
        <v>68.694240371382406</v>
      </c>
      <c r="AE17" s="15">
        <v>2.0306226598942701E-2</v>
      </c>
      <c r="AF17" s="15">
        <v>4.8775000774612803E-3</v>
      </c>
    </row>
    <row r="18" spans="1:124" x14ac:dyDescent="0.25">
      <c r="A18" s="1">
        <v>46049</v>
      </c>
      <c r="B18" s="33">
        <v>66.62</v>
      </c>
      <c r="C18" s="33">
        <v>65.73</v>
      </c>
      <c r="D18" s="15">
        <v>-4.3184856720548601E-2</v>
      </c>
      <c r="E18" s="15">
        <v>-3.9232415971905202E-2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66.62</v>
      </c>
      <c r="M18" s="33">
        <v>65.73</v>
      </c>
      <c r="N18" s="34">
        <v>0.98664064845391697</v>
      </c>
      <c r="O18" s="34">
        <v>1.0029086172027599</v>
      </c>
      <c r="P18" s="34">
        <v>0.98831636316587801</v>
      </c>
      <c r="R18" s="33">
        <v>66.813772078048203</v>
      </c>
      <c r="S18" s="33">
        <v>65.829978053380302</v>
      </c>
      <c r="U18" s="15">
        <v>1.6353785850299299E-2</v>
      </c>
      <c r="V18" s="15">
        <v>1.5198858209896501E-3</v>
      </c>
      <c r="X18" s="34">
        <v>0.98664064845391697</v>
      </c>
      <c r="Y18" s="34">
        <v>1.0029086172027599</v>
      </c>
      <c r="Z18" s="34">
        <v>0.98831636316587801</v>
      </c>
      <c r="AB18" s="33">
        <v>66.813772078048203</v>
      </c>
      <c r="AC18" s="33">
        <v>65.829978053380302</v>
      </c>
      <c r="AE18" s="15">
        <v>1.6353785850299299E-2</v>
      </c>
      <c r="AF18" s="15">
        <v>1.5198858209896501E-3</v>
      </c>
      <c r="BE18" s="24">
        <f>SUM(BE22:BE176)</f>
        <v>6.0316922042800016E-2</v>
      </c>
      <c r="BF18" s="20">
        <f>BF176</f>
        <v>6.0316922042800016E-2</v>
      </c>
    </row>
    <row r="19" spans="1:124" x14ac:dyDescent="0.25">
      <c r="A19" s="1">
        <v>46050</v>
      </c>
      <c r="B19" s="33">
        <v>65.98</v>
      </c>
      <c r="C19" s="33">
        <v>65</v>
      </c>
      <c r="D19" s="15">
        <v>-9.6531669650981901E-3</v>
      </c>
      <c r="E19" s="15">
        <v>-1.11681723798478E-2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65.98</v>
      </c>
      <c r="M19" s="33">
        <v>65</v>
      </c>
      <c r="N19" s="34">
        <v>0.985147014246741</v>
      </c>
      <c r="O19" s="34">
        <v>1.0029086172027599</v>
      </c>
      <c r="P19" s="34">
        <v>0.98834181415475897</v>
      </c>
      <c r="R19" s="33">
        <v>66.171910563038395</v>
      </c>
      <c r="S19" s="33">
        <v>65.209113641684596</v>
      </c>
      <c r="U19" s="15">
        <v>1.7868791265048901E-2</v>
      </c>
      <c r="V19" s="15">
        <v>3.2119690491266601E-3</v>
      </c>
      <c r="X19" s="34">
        <v>0.985147014246741</v>
      </c>
      <c r="Y19" s="34">
        <v>1.0029086172027599</v>
      </c>
      <c r="Z19" s="34">
        <v>0.98834181415475897</v>
      </c>
      <c r="AB19" s="33">
        <v>66.171910563038395</v>
      </c>
      <c r="AC19" s="33">
        <v>65.209113641684596</v>
      </c>
      <c r="AE19" s="15">
        <v>1.7868791265048901E-2</v>
      </c>
      <c r="AF19" s="15">
        <v>3.2119690491266601E-3</v>
      </c>
      <c r="AI19" s="12"/>
      <c r="AJ19"/>
      <c r="AK19"/>
      <c r="AL19"/>
      <c r="AM19"/>
      <c r="AN19"/>
      <c r="AO19"/>
      <c r="AP19"/>
      <c r="AQ19" s="24">
        <f>SUM(AQ22:AQ176)</f>
        <v>2.3651711011404456E-2</v>
      </c>
      <c r="AR19" s="24">
        <f>AR176</f>
        <v>2.3651711011404456E-2</v>
      </c>
      <c r="AU19"/>
      <c r="AV19"/>
      <c r="AW19"/>
      <c r="AX19"/>
      <c r="AY19"/>
      <c r="AZ19"/>
      <c r="BA19"/>
      <c r="BB19" s="24">
        <f>SUM(BB22:BB176)</f>
        <v>3.6665211031395549E-2</v>
      </c>
      <c r="BC19" s="24">
        <f>BC176</f>
        <v>3.6665211031395549E-2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66.16</v>
      </c>
      <c r="C20" s="33">
        <v>65.209999999999994</v>
      </c>
      <c r="D20" s="15">
        <v>2.7243849150003201E-3</v>
      </c>
      <c r="E20" s="15">
        <v>3.2255615094737098E-3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66.16</v>
      </c>
      <c r="M20" s="33">
        <v>65.209999999999994</v>
      </c>
      <c r="N20" s="34">
        <v>0.98564087061668604</v>
      </c>
      <c r="O20" s="34">
        <v>1.0029086172027599</v>
      </c>
      <c r="P20" s="34">
        <v>0.98803099374048398</v>
      </c>
      <c r="R20" s="33">
        <v>66.352434114134894</v>
      </c>
      <c r="S20" s="33">
        <v>65.3886944244788</v>
      </c>
      <c r="U20" s="15">
        <v>1.7367614670575598E-2</v>
      </c>
      <c r="V20" s="15">
        <v>2.7365439873910202E-3</v>
      </c>
      <c r="X20" s="34">
        <v>0.98564087061668604</v>
      </c>
      <c r="Y20" s="34">
        <v>1.0029086172027599</v>
      </c>
      <c r="Z20" s="34">
        <v>0.98803099374048398</v>
      </c>
      <c r="AB20" s="33">
        <v>66.352434114134894</v>
      </c>
      <c r="AC20" s="33">
        <v>65.3886944244788</v>
      </c>
      <c r="AE20" s="15">
        <v>1.7367614670575598E-2</v>
      </c>
      <c r="AF20" s="15">
        <v>2.7365439873910202E-3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Z log rtn</v>
      </c>
      <c r="AP20" s="7" t="str">
        <f>E1</f>
        <v>ZG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Z log rtn</v>
      </c>
      <c r="BA20" s="24" t="str">
        <f>E1</f>
        <v>ZG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63.03</v>
      </c>
      <c r="C21" s="33">
        <v>62.24</v>
      </c>
      <c r="D21" s="15">
        <v>-4.8465247190416998E-2</v>
      </c>
      <c r="E21" s="15">
        <v>-4.6614951534974601E-2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63.03</v>
      </c>
      <c r="M21" s="33">
        <v>62.24</v>
      </c>
      <c r="N21" s="34">
        <v>0.98746628589560503</v>
      </c>
      <c r="O21" s="34">
        <v>1.0029086172027599</v>
      </c>
      <c r="P21" s="34">
        <v>0.98783816143742398</v>
      </c>
      <c r="Q21" s="34">
        <v>0.98760530771653998</v>
      </c>
      <c r="R21" s="33">
        <v>63.213330142290303</v>
      </c>
      <c r="S21" s="33">
        <v>62.275593535462697</v>
      </c>
      <c r="U21" s="15">
        <v>1.55173190151332E-2</v>
      </c>
      <c r="V21" s="15">
        <v>5.7171211125611699E-4</v>
      </c>
      <c r="X21" s="34">
        <v>0.98746628589560503</v>
      </c>
      <c r="Y21" s="34">
        <v>1.0029086172027599</v>
      </c>
      <c r="Z21" s="34">
        <v>0.98783816143742398</v>
      </c>
      <c r="AA21" s="34">
        <v>0.98760530771653998</v>
      </c>
      <c r="AB21" s="33">
        <v>63.213330142290303</v>
      </c>
      <c r="AC21" s="33">
        <v>62.275593535462697</v>
      </c>
      <c r="AE21" s="15">
        <v>1.55173190151332E-2</v>
      </c>
      <c r="AF21" s="15">
        <v>5.7171211125611699E-4</v>
      </c>
      <c r="AI21" s="26">
        <v>-1.2500000000000001E-2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1.2500000000000001E-2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62.52</v>
      </c>
      <c r="C22" s="33">
        <v>61.75</v>
      </c>
      <c r="D22" s="15">
        <v>-8.1242979717428693E-3</v>
      </c>
      <c r="E22" s="15">
        <v>-7.9039043620496192E-3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62.52</v>
      </c>
      <c r="M22" s="33">
        <v>61.75</v>
      </c>
      <c r="N22" s="34">
        <v>0.98768394113883495</v>
      </c>
      <c r="O22" s="34">
        <v>1.0029086172027599</v>
      </c>
      <c r="P22" s="34">
        <v>0.98787607255116205</v>
      </c>
      <c r="Q22" s="34">
        <v>0.98722463826862705</v>
      </c>
      <c r="R22" s="33">
        <v>62.701846747516903</v>
      </c>
      <c r="S22" s="33">
        <v>61.759641853067698</v>
      </c>
      <c r="T22" s="33">
        <v>61.745083838438099</v>
      </c>
      <c r="U22" s="15">
        <v>1.529692540544E-2</v>
      </c>
      <c r="V22" s="15">
        <v>1.56131180411639E-4</v>
      </c>
      <c r="W22" s="15">
        <v>-7.9617121778216302E-5</v>
      </c>
      <c r="X22" s="34">
        <v>0.98768394113883495</v>
      </c>
      <c r="Y22" s="34">
        <v>1.0029086172027599</v>
      </c>
      <c r="Z22" s="34">
        <v>0.98787607255116205</v>
      </c>
      <c r="AA22" s="34">
        <v>0.98722463826862705</v>
      </c>
      <c r="AB22" s="33">
        <v>62.701846747516903</v>
      </c>
      <c r="AC22" s="33">
        <v>61.759641853067698</v>
      </c>
      <c r="AD22" s="33">
        <v>61.745083838438099</v>
      </c>
      <c r="AE22" s="15">
        <v>1.529692540544E-2</v>
      </c>
      <c r="AF22" s="15">
        <v>1.56131180411639E-4</v>
      </c>
      <c r="AG22" s="15">
        <v>-7.9617121778216302E-5</v>
      </c>
      <c r="AI22" s="26">
        <v>-2.5000000000000001E-3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5.0000000000000001E-3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58.94</v>
      </c>
      <c r="C23" s="33">
        <v>58.7</v>
      </c>
      <c r="D23" s="15">
        <v>-5.8966528243727202E-2</v>
      </c>
      <c r="E23" s="15">
        <v>-5.0654248674035798E-2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58.94</v>
      </c>
      <c r="M23" s="33">
        <v>58.7</v>
      </c>
      <c r="N23" s="34">
        <v>0.99592806243637599</v>
      </c>
      <c r="O23" s="34">
        <v>1.0029086172027599</v>
      </c>
      <c r="P23" s="34">
        <v>0.98871356610506</v>
      </c>
      <c r="Q23" s="34">
        <v>0.98726335549009803</v>
      </c>
      <c r="R23" s="33">
        <v>59.111433897930901</v>
      </c>
      <c r="S23" s="33">
        <v>58.225415716165401</v>
      </c>
      <c r="T23" s="33">
        <v>58.187020179552903</v>
      </c>
      <c r="U23" s="15">
        <v>6.98464583574856E-3</v>
      </c>
      <c r="V23" s="15">
        <v>-8.1177712666271294E-3</v>
      </c>
      <c r="W23" s="15">
        <v>-8.77741793941458E-3</v>
      </c>
      <c r="X23" s="34">
        <v>0.99592806243637599</v>
      </c>
      <c r="Y23" s="34">
        <v>1.0029086172027599</v>
      </c>
      <c r="Z23" s="34">
        <v>0.98871356610506</v>
      </c>
      <c r="AA23" s="34">
        <v>0.98726335549009803</v>
      </c>
      <c r="AB23" s="33">
        <v>59.111433897930901</v>
      </c>
      <c r="AC23" s="33">
        <v>58.225415716165401</v>
      </c>
      <c r="AD23" s="33">
        <v>58.187020179552903</v>
      </c>
      <c r="AE23" s="15">
        <v>6.98464583574856E-3</v>
      </c>
      <c r="AF23" s="15">
        <v>-8.1177712666271294E-3</v>
      </c>
      <c r="AG23" s="15">
        <v>-8.77741793941458E-3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56.54</v>
      </c>
      <c r="C24" s="33">
        <v>56.66</v>
      </c>
      <c r="D24" s="15">
        <v>-4.1571625044104298E-2</v>
      </c>
      <c r="E24" s="15">
        <v>-3.5371232431680402E-2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56.54</v>
      </c>
      <c r="M24" s="33">
        <v>56.66</v>
      </c>
      <c r="N24" s="34">
        <v>1.00212239122744</v>
      </c>
      <c r="O24" s="34">
        <v>1.0029086172027599</v>
      </c>
      <c r="P24" s="34">
        <v>0.98943412315756496</v>
      </c>
      <c r="Q24" s="34">
        <v>0.98789515843987497</v>
      </c>
      <c r="R24" s="33">
        <v>56.704453216644303</v>
      </c>
      <c r="S24" s="33">
        <v>55.901865027580101</v>
      </c>
      <c r="T24" s="33">
        <v>55.819870119410098</v>
      </c>
      <c r="U24" s="15">
        <v>7.8425322332451399E-4</v>
      </c>
      <c r="V24" s="15">
        <v>-1.34707511560078E-2</v>
      </c>
      <c r="W24" s="15">
        <v>-1.4938593072068599E-2</v>
      </c>
      <c r="X24" s="34">
        <v>1.00212239122744</v>
      </c>
      <c r="Y24" s="34">
        <v>1.0029086172027599</v>
      </c>
      <c r="Z24" s="34">
        <v>0.98943412315756496</v>
      </c>
      <c r="AA24" s="34">
        <v>0.98789515843987497</v>
      </c>
      <c r="AB24" s="33">
        <v>56.704453216644303</v>
      </c>
      <c r="AC24" s="33">
        <v>55.901865027580101</v>
      </c>
      <c r="AD24" s="33">
        <v>55.819870119410098</v>
      </c>
      <c r="AE24" s="15">
        <v>7.8425322332451399E-4</v>
      </c>
      <c r="AF24" s="15">
        <v>-1.34707511560078E-2</v>
      </c>
      <c r="AG24" s="15">
        <v>-1.4938593072068599E-2</v>
      </c>
      <c r="AI24" s="12"/>
      <c r="AJ24">
        <f t="shared" si="6"/>
        <v>1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54.01</v>
      </c>
      <c r="C25" s="33">
        <v>53.72</v>
      </c>
      <c r="D25" s="15">
        <v>-4.5779137660644502E-2</v>
      </c>
      <c r="E25" s="15">
        <v>-5.32831227473336E-2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54.01</v>
      </c>
      <c r="M25" s="33">
        <v>53.72</v>
      </c>
      <c r="N25" s="34">
        <v>0.99463062395852597</v>
      </c>
      <c r="O25" s="34">
        <v>1.0029086172027599</v>
      </c>
      <c r="P25" s="34">
        <v>0.98983026617741598</v>
      </c>
      <c r="Q25" s="34">
        <v>0.98816945038299697</v>
      </c>
      <c r="R25" s="33">
        <v>54.167094415121298</v>
      </c>
      <c r="S25" s="33">
        <v>53.439336991740099</v>
      </c>
      <c r="T25" s="33">
        <v>53.356217507337597</v>
      </c>
      <c r="U25" s="15">
        <v>8.2882383100135199E-3</v>
      </c>
      <c r="V25" s="15">
        <v>-5.2382490952982298E-3</v>
      </c>
      <c r="W25" s="15">
        <v>-6.7948588544919503E-3</v>
      </c>
      <c r="X25" s="34">
        <v>0.99463062395852597</v>
      </c>
      <c r="Y25" s="34">
        <v>1.0029086172027599</v>
      </c>
      <c r="Z25" s="34">
        <v>0.98983026617741598</v>
      </c>
      <c r="AA25" s="34">
        <v>0.98816945038299697</v>
      </c>
      <c r="AB25" s="33">
        <v>54.167094415121298</v>
      </c>
      <c r="AC25" s="33">
        <v>53.439336991740099</v>
      </c>
      <c r="AD25" s="33">
        <v>53.356217507337597</v>
      </c>
      <c r="AE25" s="15">
        <v>8.2882383100135199E-3</v>
      </c>
      <c r="AF25" s="15">
        <v>-5.2382490952982298E-3</v>
      </c>
      <c r="AG25" s="15">
        <v>-6.7948588544919503E-3</v>
      </c>
      <c r="AI25" s="12"/>
      <c r="AJ25">
        <f t="shared" si="6"/>
        <v>0</v>
      </c>
      <c r="AK25">
        <f t="shared" si="7"/>
        <v>0</v>
      </c>
      <c r="AL25">
        <f t="shared" si="14"/>
        <v>1</v>
      </c>
      <c r="AM25">
        <f t="shared" si="4"/>
        <v>1</v>
      </c>
      <c r="AN25">
        <f t="shared" si="15"/>
        <v>1</v>
      </c>
      <c r="AO25" s="28">
        <f t="shared" si="8"/>
        <v>-4.5779137660644502E-2</v>
      </c>
      <c r="AP25" s="28">
        <f t="shared" si="9"/>
        <v>5.32831227473336E-2</v>
      </c>
      <c r="AQ25" s="28">
        <f t="shared" si="16"/>
        <v>7.5039850866890981E-3</v>
      </c>
      <c r="AR25" s="29">
        <f t="shared" si="17"/>
        <v>7.5039850866890981E-3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7.5039850866890981E-3</v>
      </c>
      <c r="BF25" s="29">
        <f t="shared" si="23"/>
        <v>7.5039850866890981E-3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54.97</v>
      </c>
      <c r="C26" s="33">
        <v>54.5</v>
      </c>
      <c r="D26" s="15">
        <v>1.7618367267769199E-2</v>
      </c>
      <c r="E26" s="15">
        <v>1.4415330014161501E-2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54.97</v>
      </c>
      <c r="M26" s="33">
        <v>54.5</v>
      </c>
      <c r="N26" s="34">
        <v>0.99144988175368298</v>
      </c>
      <c r="O26" s="34">
        <v>1.0029086172027599</v>
      </c>
      <c r="P26" s="34">
        <v>0.98994584258807805</v>
      </c>
      <c r="Q26" s="34">
        <v>0.988749807229795</v>
      </c>
      <c r="R26" s="33">
        <v>55.129886687636002</v>
      </c>
      <c r="S26" s="33">
        <v>54.410969731772497</v>
      </c>
      <c r="T26" s="33">
        <v>54.319674687553302</v>
      </c>
      <c r="U26" s="15">
        <v>1.14912755636211E-2</v>
      </c>
      <c r="V26" s="15">
        <v>-1.6349186547121499E-3</v>
      </c>
      <c r="W26" s="15">
        <v>-3.3142072519816799E-3</v>
      </c>
      <c r="X26" s="34">
        <v>0.99144988175368298</v>
      </c>
      <c r="Y26" s="34">
        <v>1.0029086172027599</v>
      </c>
      <c r="Z26" s="34">
        <v>0.98994584258807805</v>
      </c>
      <c r="AA26" s="34">
        <v>0.988749807229795</v>
      </c>
      <c r="AB26" s="33">
        <v>55.129886687636002</v>
      </c>
      <c r="AC26" s="33">
        <v>54.410969731772497</v>
      </c>
      <c r="AD26" s="33">
        <v>54.319674687553302</v>
      </c>
      <c r="AE26" s="15">
        <v>1.14912755636211E-2</v>
      </c>
      <c r="AF26" s="15">
        <v>-1.6349186547121499E-3</v>
      </c>
      <c r="AG26" s="15">
        <v>-3.3142072519816799E-3</v>
      </c>
      <c r="AI26" s="12"/>
      <c r="AJ26">
        <f t="shared" si="6"/>
        <v>0</v>
      </c>
      <c r="AK26">
        <f t="shared" si="7"/>
        <v>0</v>
      </c>
      <c r="AL26">
        <f t="shared" si="14"/>
        <v>1</v>
      </c>
      <c r="AM26">
        <f t="shared" si="4"/>
        <v>1</v>
      </c>
      <c r="AN26">
        <f t="shared" si="15"/>
        <v>1</v>
      </c>
      <c r="AO26" s="28">
        <f t="shared" si="8"/>
        <v>1.7618367267769199E-2</v>
      </c>
      <c r="AP26" s="28">
        <f t="shared" si="9"/>
        <v>-1.4415330014161501E-2</v>
      </c>
      <c r="AQ26" s="28">
        <f t="shared" si="16"/>
        <v>3.2030372536076979E-3</v>
      </c>
      <c r="AR26" s="29">
        <f t="shared" si="17"/>
        <v>1.0707022340296796E-2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3.2030372536076979E-3</v>
      </c>
      <c r="BF26" s="29">
        <f t="shared" si="23"/>
        <v>1.0707022340296796E-2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54.28</v>
      </c>
      <c r="C27" s="33">
        <v>53.94</v>
      </c>
      <c r="D27" s="15">
        <v>-1.26317469059005E-2</v>
      </c>
      <c r="E27" s="15">
        <v>-1.03283839576145E-2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54.28</v>
      </c>
      <c r="M27" s="33">
        <v>53.94</v>
      </c>
      <c r="N27" s="34">
        <v>0.993736182756079</v>
      </c>
      <c r="O27" s="34">
        <v>1.0029086172027599</v>
      </c>
      <c r="P27" s="34">
        <v>0.99104459024838998</v>
      </c>
      <c r="Q27" s="34">
        <v>0.98959298000396301</v>
      </c>
      <c r="R27" s="33">
        <v>54.437879741766103</v>
      </c>
      <c r="S27" s="33">
        <v>53.734260335680801</v>
      </c>
      <c r="T27" s="33">
        <v>53.669339536433299</v>
      </c>
      <c r="U27" s="15">
        <v>9.1879126153351798E-3</v>
      </c>
      <c r="V27" s="15">
        <v>-3.8215245512467702E-3</v>
      </c>
      <c r="W27" s="15">
        <v>-5.0304376087520796E-3</v>
      </c>
      <c r="X27" s="34">
        <v>0.993736182756079</v>
      </c>
      <c r="Y27" s="34">
        <v>1.0029086172027599</v>
      </c>
      <c r="Z27" s="34">
        <v>0.99104459024838998</v>
      </c>
      <c r="AA27" s="34">
        <v>0.98959298000396301</v>
      </c>
      <c r="AB27" s="33">
        <v>54.437879741766103</v>
      </c>
      <c r="AC27" s="33">
        <v>53.734260335680801</v>
      </c>
      <c r="AD27" s="33">
        <v>53.669339536433299</v>
      </c>
      <c r="AE27" s="15">
        <v>9.1879126153351798E-3</v>
      </c>
      <c r="AF27" s="15">
        <v>-3.8215245512467702E-3</v>
      </c>
      <c r="AG27" s="15">
        <v>-5.0304376087520796E-3</v>
      </c>
      <c r="AI27" s="12"/>
      <c r="AJ27">
        <f t="shared" si="6"/>
        <v>0</v>
      </c>
      <c r="AK27">
        <f t="shared" si="7"/>
        <v>0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-1.26317469059005E-2</v>
      </c>
      <c r="AP27" s="28">
        <f t="shared" si="9"/>
        <v>1.03283839576145E-2</v>
      </c>
      <c r="AQ27" s="28">
        <f t="shared" si="16"/>
        <v>-2.3033629482859998E-3</v>
      </c>
      <c r="AR27" s="29">
        <f t="shared" si="17"/>
        <v>8.4036593920107962E-3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-2.3033629482859998E-3</v>
      </c>
      <c r="BF27" s="29">
        <f t="shared" si="23"/>
        <v>8.4036593920107962E-3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54.71</v>
      </c>
      <c r="C28" s="33">
        <v>54.42</v>
      </c>
      <c r="D28" s="15">
        <v>7.8906731090661996E-3</v>
      </c>
      <c r="E28" s="15">
        <v>8.8594156435164908E-3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54.71</v>
      </c>
      <c r="M28" s="33">
        <v>54.42</v>
      </c>
      <c r="N28" s="34">
        <v>0.99469932370681702</v>
      </c>
      <c r="O28" s="34">
        <v>1.0029086172027599</v>
      </c>
      <c r="P28" s="34">
        <v>0.99185045777367997</v>
      </c>
      <c r="Q28" s="34">
        <v>0.99008341046977899</v>
      </c>
      <c r="R28" s="33">
        <v>54.8691304471633</v>
      </c>
      <c r="S28" s="33">
        <v>54.220049532489398</v>
      </c>
      <c r="T28" s="33">
        <v>54.140631936016803</v>
      </c>
      <c r="U28" s="15">
        <v>8.2191700808848904E-3</v>
      </c>
      <c r="V28" s="15">
        <v>-3.6809757385313701E-3</v>
      </c>
      <c r="W28" s="15">
        <v>-5.1467769796434597E-3</v>
      </c>
      <c r="X28" s="34">
        <v>0.99469932370681702</v>
      </c>
      <c r="Y28" s="34">
        <v>1.0029086172027599</v>
      </c>
      <c r="Z28" s="34">
        <v>0.99185045777367997</v>
      </c>
      <c r="AA28" s="34">
        <v>0.99008341046977899</v>
      </c>
      <c r="AB28" s="33">
        <v>54.8691304471633</v>
      </c>
      <c r="AC28" s="33">
        <v>54.220049532489398</v>
      </c>
      <c r="AD28" s="33">
        <v>54.140631936016803</v>
      </c>
      <c r="AE28" s="15">
        <v>8.2191700808848904E-3</v>
      </c>
      <c r="AF28" s="15">
        <v>-3.6809757385313701E-3</v>
      </c>
      <c r="AG28" s="15">
        <v>-5.1467769796434597E-3</v>
      </c>
      <c r="AI28" s="12"/>
      <c r="AJ28">
        <f t="shared" si="6"/>
        <v>0</v>
      </c>
      <c r="AK28">
        <f t="shared" si="7"/>
        <v>0</v>
      </c>
      <c r="AL28">
        <f t="shared" si="14"/>
        <v>1</v>
      </c>
      <c r="AM28">
        <f t="shared" si="4"/>
        <v>1</v>
      </c>
      <c r="AN28">
        <f t="shared" si="15"/>
        <v>1</v>
      </c>
      <c r="AO28" s="28">
        <f t="shared" si="8"/>
        <v>7.8906731090661996E-3</v>
      </c>
      <c r="AP28" s="28">
        <f t="shared" si="9"/>
        <v>-8.8594156435164908E-3</v>
      </c>
      <c r="AQ28" s="28">
        <f t="shared" si="16"/>
        <v>-9.6874253445029118E-4</v>
      </c>
      <c r="AR28" s="29">
        <f t="shared" si="17"/>
        <v>7.434916857560505E-3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-9.6874253445029118E-4</v>
      </c>
      <c r="BF28" s="29">
        <f t="shared" si="23"/>
        <v>7.434916857560505E-3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45.66</v>
      </c>
      <c r="C29" s="33">
        <v>45.1</v>
      </c>
      <c r="D29" s="15">
        <v>-0.18082386697408501</v>
      </c>
      <c r="E29" s="15">
        <v>-0.18784948684646699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45.66</v>
      </c>
      <c r="M29" s="33">
        <v>45.1</v>
      </c>
      <c r="N29" s="34">
        <v>0.98773543583004797</v>
      </c>
      <c r="O29" s="34">
        <v>1.0029086172027599</v>
      </c>
      <c r="P29" s="34">
        <v>0.99210929993201002</v>
      </c>
      <c r="Q29" s="34">
        <v>0.990225557043385</v>
      </c>
      <c r="R29" s="33">
        <v>45.792807461478198</v>
      </c>
      <c r="S29" s="33">
        <v>45.287891901946203</v>
      </c>
      <c r="T29" s="33">
        <v>45.207208522050102</v>
      </c>
      <c r="U29" s="15">
        <v>1.52447899532673E-2</v>
      </c>
      <c r="V29" s="15">
        <v>4.1574633200826602E-3</v>
      </c>
      <c r="W29" s="15">
        <v>2.3743081902078099E-3</v>
      </c>
      <c r="X29" s="34">
        <v>0.98773543583004797</v>
      </c>
      <c r="Y29" s="34">
        <v>1.0029086172027599</v>
      </c>
      <c r="Z29" s="34">
        <v>0.99210929993201002</v>
      </c>
      <c r="AA29" s="34">
        <v>0.990225557043385</v>
      </c>
      <c r="AB29" s="33">
        <v>45.792807461478198</v>
      </c>
      <c r="AC29" s="33">
        <v>45.287891901946203</v>
      </c>
      <c r="AD29" s="33">
        <v>45.207208522050102</v>
      </c>
      <c r="AE29" s="15">
        <v>1.52447899532673E-2</v>
      </c>
      <c r="AF29" s="15">
        <v>4.1574633200826602E-3</v>
      </c>
      <c r="AG29" s="15">
        <v>2.3743081902078099E-3</v>
      </c>
      <c r="AI29" s="12"/>
      <c r="AJ29">
        <f t="shared" si="6"/>
        <v>0</v>
      </c>
      <c r="AK29">
        <f t="shared" si="7"/>
        <v>1</v>
      </c>
      <c r="AL29">
        <f t="shared" si="14"/>
        <v>1</v>
      </c>
      <c r="AM29">
        <f t="shared" si="4"/>
        <v>1</v>
      </c>
      <c r="AN29">
        <f t="shared" si="15"/>
        <v>1</v>
      </c>
      <c r="AO29" s="28">
        <f t="shared" si="8"/>
        <v>-0.18082386697408501</v>
      </c>
      <c r="AP29" s="28">
        <f t="shared" si="9"/>
        <v>0.18784948684646699</v>
      </c>
      <c r="AQ29" s="28">
        <f t="shared" si="16"/>
        <v>7.0256198723819829E-3</v>
      </c>
      <c r="AR29" s="29">
        <f t="shared" si="17"/>
        <v>1.4460536729942488E-2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7.0256198723819829E-3</v>
      </c>
      <c r="BF29" s="29">
        <f t="shared" si="23"/>
        <v>1.4460536729942488E-2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43.82</v>
      </c>
      <c r="C30" s="33">
        <v>43.7</v>
      </c>
      <c r="D30" s="15">
        <v>-4.1132306934328802E-2</v>
      </c>
      <c r="E30" s="15">
        <v>-3.1534144407088099E-2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43.82</v>
      </c>
      <c r="M30" s="33">
        <v>43.7</v>
      </c>
      <c r="N30" s="34">
        <v>0.99726152441807403</v>
      </c>
      <c r="O30" s="34">
        <v>1.0029086172027599</v>
      </c>
      <c r="P30" s="34">
        <v>0.99327136531214899</v>
      </c>
      <c r="Q30" s="34">
        <v>0.99065117952631698</v>
      </c>
      <c r="R30" s="33">
        <v>43.947455605825098</v>
      </c>
      <c r="S30" s="33">
        <v>43.474229523020703</v>
      </c>
      <c r="T30" s="33">
        <v>43.391683909641102</v>
      </c>
      <c r="U30" s="15">
        <v>5.6466274260266102E-3</v>
      </c>
      <c r="V30" s="15">
        <v>-5.17976431793561E-3</v>
      </c>
      <c r="W30" s="15">
        <v>-7.0802943409091499E-3</v>
      </c>
      <c r="X30" s="34">
        <v>0.99726152441807403</v>
      </c>
      <c r="Y30" s="34">
        <v>1.0029086172027599</v>
      </c>
      <c r="Z30" s="34">
        <v>0.99327136531214899</v>
      </c>
      <c r="AA30" s="34">
        <v>0.99065117952631698</v>
      </c>
      <c r="AB30" s="33">
        <v>43.947455605825098</v>
      </c>
      <c r="AC30" s="33">
        <v>43.474229523020703</v>
      </c>
      <c r="AD30" s="33">
        <v>43.391683909641102</v>
      </c>
      <c r="AE30" s="15">
        <v>5.6466274260266102E-3</v>
      </c>
      <c r="AF30" s="15">
        <v>-5.17976431793561E-3</v>
      </c>
      <c r="AG30" s="15">
        <v>-7.0802943409091499E-3</v>
      </c>
      <c r="AI30" s="12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1.4460536729942488E-2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1.4460536729942488E-2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43.45</v>
      </c>
      <c r="C31" s="33">
        <v>43.3</v>
      </c>
      <c r="D31" s="15">
        <v>-8.47948245591937E-3</v>
      </c>
      <c r="E31" s="15">
        <v>-9.1954670931003804E-3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43.45</v>
      </c>
      <c r="M31" s="33">
        <v>43.3</v>
      </c>
      <c r="N31" s="34">
        <v>0.99654775604142598</v>
      </c>
      <c r="O31" s="34">
        <v>1.0029086172027599</v>
      </c>
      <c r="P31" s="34">
        <v>0.99417951232673096</v>
      </c>
      <c r="Q31" s="34">
        <v>0.99100883688207797</v>
      </c>
      <c r="R31" s="33">
        <v>43.576379417460103</v>
      </c>
      <c r="S31" s="33">
        <v>43.157640822812901</v>
      </c>
      <c r="T31" s="33">
        <v>43.043793750418402</v>
      </c>
      <c r="U31" s="15">
        <v>6.36261206320756E-3</v>
      </c>
      <c r="V31" s="15">
        <v>-3.2931573077401E-3</v>
      </c>
      <c r="W31" s="15">
        <v>-5.9345782806424097E-3</v>
      </c>
      <c r="X31" s="34">
        <v>0.99654775604142598</v>
      </c>
      <c r="Y31" s="34">
        <v>1.0029086172027599</v>
      </c>
      <c r="Z31" s="34">
        <v>0.99417951232673096</v>
      </c>
      <c r="AA31" s="34">
        <v>0.99100883688207797</v>
      </c>
      <c r="AB31" s="33">
        <v>43.576379417460103</v>
      </c>
      <c r="AC31" s="33">
        <v>43.157640822812901</v>
      </c>
      <c r="AD31" s="33">
        <v>43.043793750418402</v>
      </c>
      <c r="AE31" s="15">
        <v>6.36261206320756E-3</v>
      </c>
      <c r="AF31" s="15">
        <v>-3.2931573077401E-3</v>
      </c>
      <c r="AG31" s="15">
        <v>-5.9345782806424097E-3</v>
      </c>
      <c r="AI31" s="12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1.4460536729942488E-2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1.4460536729942488E-2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43.97</v>
      </c>
      <c r="C32" s="33">
        <v>43.99</v>
      </c>
      <c r="D32" s="15">
        <v>1.1896731481317599E-2</v>
      </c>
      <c r="E32" s="15">
        <v>1.5809700352184299E-2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43.97</v>
      </c>
      <c r="M32" s="33">
        <v>43.99</v>
      </c>
      <c r="N32" s="34">
        <v>1.0004548555833499</v>
      </c>
      <c r="O32" s="34">
        <v>1.0029086172027599</v>
      </c>
      <c r="P32" s="34">
        <v>0.99545660377118295</v>
      </c>
      <c r="Q32" s="34">
        <v>0.991666338161172</v>
      </c>
      <c r="R32" s="33">
        <v>44.097891898405599</v>
      </c>
      <c r="S32" s="33">
        <v>43.714073157006297</v>
      </c>
      <c r="T32" s="33">
        <v>43.5746585577049</v>
      </c>
      <c r="U32" s="15">
        <v>2.4496431923410802E-3</v>
      </c>
      <c r="V32" s="15">
        <v>-6.2922448968048402E-3</v>
      </c>
      <c r="W32" s="15">
        <v>-9.4865797235112199E-3</v>
      </c>
      <c r="X32" s="34">
        <v>1.0004548555833499</v>
      </c>
      <c r="Y32" s="34">
        <v>1.0029086172027599</v>
      </c>
      <c r="Z32" s="34">
        <v>0.99545660377118295</v>
      </c>
      <c r="AA32" s="34">
        <v>0.991666338161172</v>
      </c>
      <c r="AB32" s="33">
        <v>44.097891898405599</v>
      </c>
      <c r="AC32" s="33">
        <v>43.714073157006297</v>
      </c>
      <c r="AD32" s="33">
        <v>43.5746585577049</v>
      </c>
      <c r="AE32" s="15">
        <v>2.4496431923410802E-3</v>
      </c>
      <c r="AF32" s="15">
        <v>-6.2922448968048402E-3</v>
      </c>
      <c r="AG32" s="15">
        <v>-9.4865797235112199E-3</v>
      </c>
      <c r="AI32" s="12"/>
      <c r="AJ32">
        <f t="shared" si="6"/>
        <v>0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1.4460536729942488E-2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1.4460536729942488E-2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44.98</v>
      </c>
      <c r="C33" s="33">
        <v>44.92</v>
      </c>
      <c r="D33" s="15">
        <v>2.2710363338450699E-2</v>
      </c>
      <c r="E33" s="15">
        <v>2.0920794509613899E-2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44.98</v>
      </c>
      <c r="M33" s="33">
        <v>44.92</v>
      </c>
      <c r="N33" s="34">
        <v>0.99866607381058203</v>
      </c>
      <c r="O33" s="34">
        <v>1.0029086172027599</v>
      </c>
      <c r="P33" s="34">
        <v>0.99573040490860398</v>
      </c>
      <c r="Q33" s="34">
        <v>0.99222198550683205</v>
      </c>
      <c r="R33" s="33">
        <v>45.110829601780303</v>
      </c>
      <c r="S33" s="33">
        <v>44.7756380376278</v>
      </c>
      <c r="T33" s="33">
        <v>44.605151890489502</v>
      </c>
      <c r="U33" s="15">
        <v>4.2392120211777601E-3</v>
      </c>
      <c r="V33" s="15">
        <v>-3.2189321617272001E-3</v>
      </c>
      <c r="W33" s="15">
        <v>-7.0337642756886096E-3</v>
      </c>
      <c r="X33" s="34">
        <v>0.99866607381058203</v>
      </c>
      <c r="Y33" s="34">
        <v>1.0029086172027599</v>
      </c>
      <c r="Z33" s="34">
        <v>0.99573040490860398</v>
      </c>
      <c r="AA33" s="34">
        <v>0.99222198550683205</v>
      </c>
      <c r="AB33" s="33">
        <v>45.110829601780303</v>
      </c>
      <c r="AC33" s="33">
        <v>44.7756380376278</v>
      </c>
      <c r="AD33" s="33">
        <v>44.605151890489502</v>
      </c>
      <c r="AE33" s="15">
        <v>4.2392120211777601E-3</v>
      </c>
      <c r="AF33" s="15">
        <v>-3.2189321617272001E-3</v>
      </c>
      <c r="AG33" s="15">
        <v>-7.0337642756886096E-3</v>
      </c>
      <c r="AI33" s="12"/>
      <c r="AJ33">
        <f t="shared" si="6"/>
        <v>0</v>
      </c>
      <c r="AK33">
        <f t="shared" si="7"/>
        <v>0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1.4460536729942488E-2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1.4460536729942488E-2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45.55</v>
      </c>
      <c r="C34" s="33">
        <v>45.54</v>
      </c>
      <c r="D34" s="15">
        <v>1.2592677174797701E-2</v>
      </c>
      <c r="E34" s="15">
        <v>1.3707930765351E-2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45.55</v>
      </c>
      <c r="M34" s="33">
        <v>45.54</v>
      </c>
      <c r="N34" s="34">
        <v>0.99978046103183305</v>
      </c>
      <c r="O34" s="34">
        <v>1.0029086172027599</v>
      </c>
      <c r="P34" s="34">
        <v>0.99549621188904203</v>
      </c>
      <c r="Q34" s="34">
        <v>0.99246516752330405</v>
      </c>
      <c r="R34" s="33">
        <v>45.682487513585897</v>
      </c>
      <c r="S34" s="33">
        <v>45.355519943586899</v>
      </c>
      <c r="T34" s="33">
        <v>45.195711439836202</v>
      </c>
      <c r="U34" s="15">
        <v>3.12395843062436E-3</v>
      </c>
      <c r="V34" s="15">
        <v>-4.0591727696197098E-3</v>
      </c>
      <c r="W34" s="15">
        <v>-7.5888579484077803E-3</v>
      </c>
      <c r="X34" s="34">
        <v>0.99978046103183305</v>
      </c>
      <c r="Y34" s="34">
        <v>1.0029086172027599</v>
      </c>
      <c r="Z34" s="34">
        <v>0.99549621188904203</v>
      </c>
      <c r="AA34" s="34">
        <v>0.99246516752330405</v>
      </c>
      <c r="AB34" s="33">
        <v>45.682487513585897</v>
      </c>
      <c r="AC34" s="33">
        <v>45.355519943586899</v>
      </c>
      <c r="AD34" s="33">
        <v>45.195711439836202</v>
      </c>
      <c r="AE34" s="15">
        <v>3.12395843062436E-3</v>
      </c>
      <c r="AF34" s="15">
        <v>-4.0591727696197098E-3</v>
      </c>
      <c r="AG34" s="15">
        <v>-7.5888579484077803E-3</v>
      </c>
      <c r="AI34" s="12"/>
      <c r="AJ34">
        <f t="shared" si="6"/>
        <v>0</v>
      </c>
      <c r="AK34">
        <f t="shared" si="7"/>
        <v>0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1.4460536729942488E-2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1.4460536729942488E-2</v>
      </c>
      <c r="BH34" s="29"/>
    </row>
    <row r="35" spans="1:124" x14ac:dyDescent="0.25">
      <c r="A35" s="1">
        <v>46073</v>
      </c>
      <c r="B35" s="33">
        <v>45.46</v>
      </c>
      <c r="C35" s="33">
        <v>45.42</v>
      </c>
      <c r="D35" s="15">
        <v>-1.9778052815701201E-3</v>
      </c>
      <c r="E35" s="15">
        <v>-2.6385239581810599E-3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45.46</v>
      </c>
      <c r="M35" s="33">
        <v>45.42</v>
      </c>
      <c r="N35" s="34">
        <v>0.999120105587329</v>
      </c>
      <c r="O35" s="34">
        <v>1.0029086172027599</v>
      </c>
      <c r="P35" s="34">
        <v>0.99594516005192202</v>
      </c>
      <c r="Q35" s="34">
        <v>0.99288771311466895</v>
      </c>
      <c r="R35" s="33">
        <v>45.592225738037698</v>
      </c>
      <c r="S35" s="33">
        <v>45.255257792475803</v>
      </c>
      <c r="T35" s="33">
        <v>45.117466515609401</v>
      </c>
      <c r="U35" s="15">
        <v>3.7846771072354199E-3</v>
      </c>
      <c r="V35" s="15">
        <v>-3.6336789726540701E-3</v>
      </c>
      <c r="W35" s="15">
        <v>-6.6830809840791299E-3</v>
      </c>
      <c r="X35" s="34">
        <v>0.999120105587329</v>
      </c>
      <c r="Y35" s="34">
        <v>1.0029086172027599</v>
      </c>
      <c r="Z35" s="34">
        <v>0.99594516005192202</v>
      </c>
      <c r="AA35" s="34">
        <v>0.99288771311466895</v>
      </c>
      <c r="AB35" s="33">
        <v>45.592225738037698</v>
      </c>
      <c r="AC35" s="33">
        <v>45.255257792475803</v>
      </c>
      <c r="AD35" s="33">
        <v>45.117466515609401</v>
      </c>
      <c r="AE35" s="15">
        <v>3.7846771072354199E-3</v>
      </c>
      <c r="AF35" s="15">
        <v>-3.6336789726540701E-3</v>
      </c>
      <c r="AG35" s="15">
        <v>-6.6830809840791299E-3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1.4460536729942488E-2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1.4460536729942488E-2</v>
      </c>
      <c r="BH35" s="29"/>
    </row>
    <row r="36" spans="1:124" x14ac:dyDescent="0.25">
      <c r="A36" s="1">
        <v>46076</v>
      </c>
      <c r="B36" s="33">
        <v>42.83</v>
      </c>
      <c r="C36" s="33">
        <v>42.81</v>
      </c>
      <c r="D36" s="15">
        <v>-5.9594026797117602E-2</v>
      </c>
      <c r="E36" s="15">
        <v>-5.9180816520557601E-2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42.83</v>
      </c>
      <c r="M36" s="33">
        <v>42.81</v>
      </c>
      <c r="N36" s="34">
        <v>0.99953303759047396</v>
      </c>
      <c r="O36" s="34">
        <v>1.0029086172027599</v>
      </c>
      <c r="P36" s="34">
        <v>0.99675347563560102</v>
      </c>
      <c r="Q36" s="34">
        <v>0.99334965911184003</v>
      </c>
      <c r="R36" s="33">
        <v>42.954576074794403</v>
      </c>
      <c r="S36" s="33">
        <v>42.656331205023797</v>
      </c>
      <c r="T36" s="33">
        <v>42.525380752701203</v>
      </c>
      <c r="U36" s="15">
        <v>3.3714668306755202E-3</v>
      </c>
      <c r="V36" s="15">
        <v>-3.5960116318145899E-3</v>
      </c>
      <c r="W36" s="15">
        <v>-6.6706282947590796E-3</v>
      </c>
      <c r="X36" s="34">
        <v>0.99953303759047396</v>
      </c>
      <c r="Y36" s="34">
        <v>1.0029086172027599</v>
      </c>
      <c r="Z36" s="34">
        <v>0.99675347563560102</v>
      </c>
      <c r="AA36" s="34">
        <v>0.99334965911184003</v>
      </c>
      <c r="AB36" s="33">
        <v>42.954576074794403</v>
      </c>
      <c r="AC36" s="33">
        <v>42.656331205023797</v>
      </c>
      <c r="AD36" s="33">
        <v>42.525380752701203</v>
      </c>
      <c r="AE36" s="15">
        <v>3.3714668306755202E-3</v>
      </c>
      <c r="AF36" s="15">
        <v>-3.5960116318145899E-3</v>
      </c>
      <c r="AG36" s="15">
        <v>-6.6706282947590796E-3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1.4460536729942488E-2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1.4460536729942488E-2</v>
      </c>
      <c r="BH36" s="29"/>
    </row>
    <row r="37" spans="1:124" x14ac:dyDescent="0.25">
      <c r="A37" s="1">
        <v>46077</v>
      </c>
      <c r="B37" s="33">
        <v>43.73</v>
      </c>
      <c r="C37" s="33">
        <v>43.84</v>
      </c>
      <c r="D37" s="15">
        <v>2.07955737975495E-2</v>
      </c>
      <c r="E37" s="15">
        <v>2.37749224829054E-2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43.73</v>
      </c>
      <c r="M37" s="33">
        <v>43.84</v>
      </c>
      <c r="N37" s="34">
        <v>1.0025154356277099</v>
      </c>
      <c r="O37" s="34">
        <v>1.0029086172027599</v>
      </c>
      <c r="P37" s="34">
        <v>0.99763140092276503</v>
      </c>
      <c r="Q37" s="34">
        <v>0.99433799558557701</v>
      </c>
      <c r="R37" s="33">
        <v>43.857193830276898</v>
      </c>
      <c r="S37" s="33">
        <v>43.588029489544802</v>
      </c>
      <c r="T37" s="33">
        <v>43.439180592960703</v>
      </c>
      <c r="U37" s="15">
        <v>3.9211814531975498E-4</v>
      </c>
      <c r="V37" s="15">
        <v>-5.7640829734344297E-3</v>
      </c>
      <c r="W37" s="15">
        <v>-9.1848301532965696E-3</v>
      </c>
      <c r="X37" s="34">
        <v>1.0025154356277099</v>
      </c>
      <c r="Y37" s="34">
        <v>1.0029086172027599</v>
      </c>
      <c r="Z37" s="34">
        <v>0.99763140092276503</v>
      </c>
      <c r="AA37" s="34">
        <v>0.99433799558557701</v>
      </c>
      <c r="AB37" s="33">
        <v>43.857193830276898</v>
      </c>
      <c r="AC37" s="33">
        <v>43.588029489544802</v>
      </c>
      <c r="AD37" s="33">
        <v>43.439180592960703</v>
      </c>
      <c r="AE37" s="15">
        <v>3.9211814531975498E-4</v>
      </c>
      <c r="AF37" s="15">
        <v>-5.7640829734344297E-3</v>
      </c>
      <c r="AG37" s="15">
        <v>-9.1848301532965696E-3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1.4460536729942488E-2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1.4460536729942488E-2</v>
      </c>
      <c r="BH37" s="29"/>
    </row>
    <row r="38" spans="1:124" x14ac:dyDescent="0.25">
      <c r="A38" s="1">
        <v>46078</v>
      </c>
      <c r="B38" s="33">
        <v>45.31</v>
      </c>
      <c r="C38" s="33">
        <v>45.43</v>
      </c>
      <c r="D38" s="15">
        <v>3.5493393254217603E-2</v>
      </c>
      <c r="E38" s="15">
        <v>3.5626037131551699E-2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45.31</v>
      </c>
      <c r="M38" s="33">
        <v>45.43</v>
      </c>
      <c r="N38" s="34">
        <v>1.0026484219819001</v>
      </c>
      <c r="O38" s="34">
        <v>1.0029086172027599</v>
      </c>
      <c r="P38" s="34">
        <v>0.99842631075027399</v>
      </c>
      <c r="Q38" s="34">
        <v>0.99513838426197698</v>
      </c>
      <c r="R38" s="33">
        <v>45.441789445457303</v>
      </c>
      <c r="S38" s="33">
        <v>45.202678775810497</v>
      </c>
      <c r="T38" s="33">
        <v>45.0534545799825</v>
      </c>
      <c r="U38" s="15">
        <v>2.59474267985598E-4</v>
      </c>
      <c r="V38" s="15">
        <v>-5.0163297376644303E-3</v>
      </c>
      <c r="W38" s="15">
        <v>-8.3230154165185501E-3</v>
      </c>
      <c r="X38" s="34">
        <v>1.0026484219819001</v>
      </c>
      <c r="Y38" s="34">
        <v>1.0029086172027599</v>
      </c>
      <c r="Z38" s="34">
        <v>0.99842631075027399</v>
      </c>
      <c r="AA38" s="34">
        <v>0.99513838426197698</v>
      </c>
      <c r="AB38" s="33">
        <v>45.441789445457303</v>
      </c>
      <c r="AC38" s="33">
        <v>45.202678775810497</v>
      </c>
      <c r="AD38" s="33">
        <v>45.0534545799825</v>
      </c>
      <c r="AE38" s="15">
        <v>2.59474267985598E-4</v>
      </c>
      <c r="AF38" s="15">
        <v>-5.0163297376644303E-3</v>
      </c>
      <c r="AG38" s="15">
        <v>-8.3230154165185501E-3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1.4460536729942488E-2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1.4460536729942488E-2</v>
      </c>
      <c r="BH38" s="29"/>
    </row>
    <row r="39" spans="1:124" x14ac:dyDescent="0.25">
      <c r="A39" s="1">
        <v>46079</v>
      </c>
      <c r="B39" s="33">
        <v>46.65</v>
      </c>
      <c r="C39" s="33">
        <v>46.52</v>
      </c>
      <c r="D39" s="15">
        <v>2.91451686143058E-2</v>
      </c>
      <c r="E39" s="15">
        <v>2.37096478791518E-2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46.65</v>
      </c>
      <c r="M39" s="33">
        <v>46.52</v>
      </c>
      <c r="N39" s="34">
        <v>0.99721329046087903</v>
      </c>
      <c r="O39" s="34">
        <v>1.0029086172027599</v>
      </c>
      <c r="P39" s="34">
        <v>0.99937409621335704</v>
      </c>
      <c r="Q39" s="34">
        <v>0.99574169807268298</v>
      </c>
      <c r="R39" s="33">
        <v>46.785686992509</v>
      </c>
      <c r="S39" s="33">
        <v>46.576587396500202</v>
      </c>
      <c r="T39" s="33">
        <v>46.423205625821197</v>
      </c>
      <c r="U39" s="15">
        <v>5.6949950031395897E-3</v>
      </c>
      <c r="V39" s="15">
        <v>1.21567084362105E-3</v>
      </c>
      <c r="W39" s="15">
        <v>-2.0828721910561001E-3</v>
      </c>
      <c r="X39" s="34">
        <v>0.99721329046087903</v>
      </c>
      <c r="Y39" s="34">
        <v>1.0029086172027599</v>
      </c>
      <c r="Z39" s="34">
        <v>0.99937409621335704</v>
      </c>
      <c r="AA39" s="34">
        <v>0.99574169807268298</v>
      </c>
      <c r="AB39" s="33">
        <v>46.785686992509</v>
      </c>
      <c r="AC39" s="33">
        <v>46.576587396500202</v>
      </c>
      <c r="AD39" s="33">
        <v>46.423205625821197</v>
      </c>
      <c r="AE39" s="15">
        <v>5.6949950031395897E-3</v>
      </c>
      <c r="AF39" s="15">
        <v>1.21567084362105E-3</v>
      </c>
      <c r="AG39" s="15">
        <v>-2.0828721910561001E-3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1.4460536729942488E-2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1.4460536729942488E-2</v>
      </c>
      <c r="BH39" s="29"/>
    </row>
    <row r="40" spans="1:124" x14ac:dyDescent="0.25">
      <c r="A40" s="1">
        <v>46080</v>
      </c>
      <c r="B40" s="33">
        <v>44.62</v>
      </c>
      <c r="C40" s="33">
        <v>44.8</v>
      </c>
      <c r="D40" s="15">
        <v>-4.4490738288966401E-2</v>
      </c>
      <c r="E40" s="15">
        <v>-3.7674188229524203E-2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44.62</v>
      </c>
      <c r="M40" s="33">
        <v>44.8</v>
      </c>
      <c r="N40" s="34">
        <v>1.0040340654415001</v>
      </c>
      <c r="O40" s="34">
        <v>1.0029086172027599</v>
      </c>
      <c r="P40" s="34">
        <v>1.0000513503157</v>
      </c>
      <c r="Q40" s="34">
        <v>0.99666135781392495</v>
      </c>
      <c r="R40" s="33">
        <v>44.749782499587297</v>
      </c>
      <c r="S40" s="33">
        <v>44.592072173039902</v>
      </c>
      <c r="T40" s="33">
        <v>44.429994568003103</v>
      </c>
      <c r="U40" s="15">
        <v>-1.12155505630241E-3</v>
      </c>
      <c r="V40" s="15">
        <v>-4.6520501627431597E-3</v>
      </c>
      <c r="W40" s="15">
        <v>-8.2933447327932595E-3</v>
      </c>
      <c r="X40" s="34">
        <v>1.0040340654415001</v>
      </c>
      <c r="Y40" s="34">
        <v>1.0029086172027599</v>
      </c>
      <c r="Z40" s="34">
        <v>1.0000513503157</v>
      </c>
      <c r="AA40" s="34">
        <v>0.99666135781392495</v>
      </c>
      <c r="AB40" s="33">
        <v>44.749782499587297</v>
      </c>
      <c r="AC40" s="33">
        <v>44.592072173039902</v>
      </c>
      <c r="AD40" s="33">
        <v>44.429994568003103</v>
      </c>
      <c r="AE40" s="15">
        <v>-1.12155505630241E-3</v>
      </c>
      <c r="AF40" s="15">
        <v>-4.6520501627431597E-3</v>
      </c>
      <c r="AG40" s="15">
        <v>-8.2933447327932595E-3</v>
      </c>
      <c r="AI40" s="12"/>
      <c r="AJ40">
        <f t="shared" si="6"/>
        <v>0</v>
      </c>
      <c r="AK40">
        <f t="shared" si="7"/>
        <v>0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1.4460536729942488E-2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1.4460536729942488E-2</v>
      </c>
      <c r="BH40" s="29"/>
    </row>
    <row r="41" spans="1:124" x14ac:dyDescent="0.25">
      <c r="A41" s="1">
        <v>46083</v>
      </c>
      <c r="B41" s="33">
        <v>43.54</v>
      </c>
      <c r="C41" s="33">
        <v>43.7</v>
      </c>
      <c r="D41" s="15">
        <v>-2.4502133197984999E-2</v>
      </c>
      <c r="E41" s="15">
        <v>-2.48600373193948E-2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43.54</v>
      </c>
      <c r="M41" s="33">
        <v>43.7</v>
      </c>
      <c r="N41" s="34">
        <v>1.0036747818098299</v>
      </c>
      <c r="O41" s="34">
        <v>1.0029086172027599</v>
      </c>
      <c r="P41" s="34">
        <v>1.0007640528925399</v>
      </c>
      <c r="Q41" s="34">
        <v>0.99747178260963598</v>
      </c>
      <c r="R41" s="33">
        <v>43.666641193008402</v>
      </c>
      <c r="S41" s="33">
        <v>43.542235792745501</v>
      </c>
      <c r="T41" s="33">
        <v>43.394635519218198</v>
      </c>
      <c r="U41" s="15">
        <v>-7.63650934892426E-4</v>
      </c>
      <c r="V41" s="15">
        <v>-3.6166972978254499E-3</v>
      </c>
      <c r="W41" s="15">
        <v>-7.0122741829463497E-3</v>
      </c>
      <c r="X41" s="34">
        <v>1.0036747818098299</v>
      </c>
      <c r="Y41" s="34">
        <v>1.0029086172027599</v>
      </c>
      <c r="Z41" s="34">
        <v>1.0007640528925399</v>
      </c>
      <c r="AA41" s="34">
        <v>0.99747178260963598</v>
      </c>
      <c r="AB41" s="33">
        <v>43.666641193008402</v>
      </c>
      <c r="AC41" s="33">
        <v>43.542235792745501</v>
      </c>
      <c r="AD41" s="33">
        <v>43.394635519218198</v>
      </c>
      <c r="AE41" s="15">
        <v>-7.63650934892426E-4</v>
      </c>
      <c r="AF41" s="15">
        <v>-3.6166972978254499E-3</v>
      </c>
      <c r="AG41" s="15">
        <v>-7.0122741829463497E-3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1.4460536729942488E-2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1.4460536729942488E-2</v>
      </c>
      <c r="BH41" s="29"/>
    </row>
    <row r="42" spans="1:124" x14ac:dyDescent="0.25">
      <c r="A42" s="1">
        <v>46084</v>
      </c>
      <c r="B42" s="33">
        <v>45.23</v>
      </c>
      <c r="C42" s="33">
        <v>45.52</v>
      </c>
      <c r="D42" s="15">
        <v>3.8080527683350303E-2</v>
      </c>
      <c r="E42" s="15">
        <v>4.0803687716531097E-2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45.23</v>
      </c>
      <c r="M42" s="33">
        <v>45.52</v>
      </c>
      <c r="N42" s="34">
        <v>1.0064116736679101</v>
      </c>
      <c r="O42" s="34">
        <v>1.0029086172027599</v>
      </c>
      <c r="P42" s="34">
        <v>1.0013597347009899</v>
      </c>
      <c r="Q42" s="34">
        <v>0.99840816923608999</v>
      </c>
      <c r="R42" s="33">
        <v>45.361556756081001</v>
      </c>
      <c r="S42" s="33">
        <v>45.264558112329603</v>
      </c>
      <c r="T42" s="33">
        <v>45.115648727433801</v>
      </c>
      <c r="U42" s="15">
        <v>-3.4868109680731901E-3</v>
      </c>
      <c r="V42" s="15">
        <v>-5.6274451756008897E-3</v>
      </c>
      <c r="W42" s="15">
        <v>-8.9226250571990406E-3</v>
      </c>
      <c r="X42" s="34">
        <v>1.0064116736679101</v>
      </c>
      <c r="Y42" s="34">
        <v>1.0029086172027599</v>
      </c>
      <c r="Z42" s="34">
        <v>1.0013597347009899</v>
      </c>
      <c r="AA42" s="34">
        <v>0.99840816923608999</v>
      </c>
      <c r="AB42" s="33">
        <v>45.361556756081001</v>
      </c>
      <c r="AC42" s="33">
        <v>45.264558112329603</v>
      </c>
      <c r="AD42" s="33">
        <v>45.115648727433801</v>
      </c>
      <c r="AE42" s="15">
        <v>-3.4868109680731901E-3</v>
      </c>
      <c r="AF42" s="15">
        <v>-5.6274451756008897E-3</v>
      </c>
      <c r="AG42" s="15">
        <v>-8.9226250571990406E-3</v>
      </c>
      <c r="AI42" s="12"/>
      <c r="AJ42">
        <f t="shared" si="6"/>
        <v>0</v>
      </c>
      <c r="AK42">
        <f t="shared" si="7"/>
        <v>0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1.4460536729942488E-2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1.4460536729942488E-2</v>
      </c>
      <c r="BH42" s="29"/>
    </row>
    <row r="43" spans="1:124" x14ac:dyDescent="0.25">
      <c r="A43" s="1">
        <v>46085</v>
      </c>
      <c r="B43" s="33">
        <v>45.82</v>
      </c>
      <c r="C43" s="33">
        <v>46.1</v>
      </c>
      <c r="D43" s="15">
        <v>1.29600935355976E-2</v>
      </c>
      <c r="E43" s="15">
        <v>1.26611601845274E-2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45.82</v>
      </c>
      <c r="M43" s="33">
        <v>46.1</v>
      </c>
      <c r="N43" s="34">
        <v>1.00611086861632</v>
      </c>
      <c r="O43" s="34">
        <v>1.0029086172027599</v>
      </c>
      <c r="P43" s="34">
        <v>1.0021042141815699</v>
      </c>
      <c r="Q43" s="34">
        <v>0.99891730954508695</v>
      </c>
      <c r="R43" s="33">
        <v>45.953272840230703</v>
      </c>
      <c r="S43" s="33">
        <v>45.882303043999599</v>
      </c>
      <c r="T43" s="33">
        <v>45.747062314397603</v>
      </c>
      <c r="U43" s="15">
        <v>-3.1878776170026599E-3</v>
      </c>
      <c r="V43" s="15">
        <v>-4.73346187834365E-3</v>
      </c>
      <c r="W43" s="15">
        <v>-7.6853720498873297E-3</v>
      </c>
      <c r="X43" s="34">
        <v>1.00611086861632</v>
      </c>
      <c r="Y43" s="34">
        <v>1.0029086172027599</v>
      </c>
      <c r="Z43" s="34">
        <v>1.0021042141815699</v>
      </c>
      <c r="AA43" s="34">
        <v>0.99891730954508695</v>
      </c>
      <c r="AB43" s="33">
        <v>45.953272840230703</v>
      </c>
      <c r="AC43" s="33">
        <v>45.882303043999599</v>
      </c>
      <c r="AD43" s="33">
        <v>45.747062314397603</v>
      </c>
      <c r="AE43" s="15">
        <v>-3.1878776170026599E-3</v>
      </c>
      <c r="AF43" s="15">
        <v>-4.73346187834365E-3</v>
      </c>
      <c r="AG43" s="15">
        <v>-7.6853720498873297E-3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1.4460536729942488E-2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1.4460536729942488E-2</v>
      </c>
      <c r="BH43" s="29"/>
    </row>
    <row r="44" spans="1:124" x14ac:dyDescent="0.25">
      <c r="A44" s="1">
        <v>46086</v>
      </c>
      <c r="B44" s="33">
        <v>46.66</v>
      </c>
      <c r="C44" s="33">
        <v>47.01</v>
      </c>
      <c r="D44" s="15">
        <v>1.8166589567934301E-2</v>
      </c>
      <c r="E44" s="15">
        <v>1.95473950334362E-2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46.66</v>
      </c>
      <c r="M44" s="33">
        <v>47.01</v>
      </c>
      <c r="N44" s="34">
        <v>1.0075010715816499</v>
      </c>
      <c r="O44" s="34">
        <v>1.0029086172027599</v>
      </c>
      <c r="P44" s="34">
        <v>1.0028762752365501</v>
      </c>
      <c r="Q44" s="34">
        <v>0.99918624356279795</v>
      </c>
      <c r="R44" s="33">
        <v>46.795716078680996</v>
      </c>
      <c r="S44" s="33">
        <v>46.758182633712103</v>
      </c>
      <c r="T44" s="33">
        <v>46.6094816633737</v>
      </c>
      <c r="U44" s="15">
        <v>-4.5686830825046598E-3</v>
      </c>
      <c r="V44" s="15">
        <v>-5.37107501911562E-3</v>
      </c>
      <c r="W44" s="15">
        <v>-8.5563554303718405E-3</v>
      </c>
      <c r="X44" s="34">
        <v>1.0075010715816499</v>
      </c>
      <c r="Y44" s="34">
        <v>1.0029086172027599</v>
      </c>
      <c r="Z44" s="34">
        <v>1.0028762752365501</v>
      </c>
      <c r="AA44" s="34">
        <v>0.99918624356279795</v>
      </c>
      <c r="AB44" s="33">
        <v>46.795716078680996</v>
      </c>
      <c r="AC44" s="33">
        <v>46.758182633712103</v>
      </c>
      <c r="AD44" s="33">
        <v>46.6094816633737</v>
      </c>
      <c r="AE44" s="15">
        <v>-4.5686830825046598E-3</v>
      </c>
      <c r="AF44" s="15">
        <v>-5.37107501911562E-3</v>
      </c>
      <c r="AG44" s="15">
        <v>-8.5563554303718405E-3</v>
      </c>
      <c r="AI44" s="12"/>
      <c r="AJ44">
        <f t="shared" si="6"/>
        <v>0</v>
      </c>
      <c r="AK44">
        <f t="shared" si="7"/>
        <v>0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1.4460536729942488E-2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1.4460536729942488E-2</v>
      </c>
      <c r="BH44" s="29"/>
    </row>
    <row r="45" spans="1:124" x14ac:dyDescent="0.25">
      <c r="A45" s="1">
        <v>46087</v>
      </c>
      <c r="B45" s="33">
        <v>45.91</v>
      </c>
      <c r="C45" s="33">
        <v>45.97</v>
      </c>
      <c r="D45" s="15">
        <v>-1.6204308332153201E-2</v>
      </c>
      <c r="E45" s="15">
        <v>-2.23713352179024E-2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45.91</v>
      </c>
      <c r="M45" s="33">
        <v>45.97</v>
      </c>
      <c r="N45" s="34">
        <v>1.0013069048137599</v>
      </c>
      <c r="O45" s="34">
        <v>1.0029086172027599</v>
      </c>
      <c r="P45" s="34">
        <v>1.0030949551591899</v>
      </c>
      <c r="Q45" s="34">
        <v>0.99952005760555995</v>
      </c>
      <c r="R45" s="33">
        <v>46.043534615778903</v>
      </c>
      <c r="S45" s="33">
        <v>46.042049796110099</v>
      </c>
      <c r="T45" s="33">
        <v>45.872640441968002</v>
      </c>
      <c r="U45" s="15">
        <v>1.5983438032446699E-3</v>
      </c>
      <c r="V45" s="15">
        <v>1.5660951146275099E-3</v>
      </c>
      <c r="W45" s="15">
        <v>-2.1201392737103001E-3</v>
      </c>
      <c r="X45" s="34">
        <v>1.0013069048137599</v>
      </c>
      <c r="Y45" s="34">
        <v>1.0029086172027599</v>
      </c>
      <c r="Z45" s="34">
        <v>1.0030949551591899</v>
      </c>
      <c r="AA45" s="34">
        <v>0.99952005760555995</v>
      </c>
      <c r="AB45" s="33">
        <v>46.043534615778903</v>
      </c>
      <c r="AC45" s="33">
        <v>46.042049796110099</v>
      </c>
      <c r="AD45" s="33">
        <v>45.872640441968002</v>
      </c>
      <c r="AE45" s="15">
        <v>1.5983438032446699E-3</v>
      </c>
      <c r="AF45" s="15">
        <v>1.5660951146275099E-3</v>
      </c>
      <c r="AG45" s="15">
        <v>-2.1201392737103001E-3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1.4460536729942488E-2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1.4460536729942488E-2</v>
      </c>
      <c r="BH45" s="29"/>
    </row>
    <row r="46" spans="1:124" x14ac:dyDescent="0.25">
      <c r="A46" s="1">
        <v>46090</v>
      </c>
      <c r="B46" s="33">
        <v>45.25</v>
      </c>
      <c r="C46" s="33">
        <v>45.14</v>
      </c>
      <c r="D46" s="15">
        <v>-1.44802881151955E-2</v>
      </c>
      <c r="E46" s="15">
        <v>-1.8220238428746899E-2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45.25</v>
      </c>
      <c r="M46" s="33">
        <v>45.14</v>
      </c>
      <c r="N46" s="34">
        <v>0.99756906077347995</v>
      </c>
      <c r="O46" s="34">
        <v>1.0029086172027599</v>
      </c>
      <c r="P46" s="34">
        <v>1.00289855747749</v>
      </c>
      <c r="Q46" s="34">
        <v>0.99982601655654901</v>
      </c>
      <c r="R46" s="33">
        <v>45.381614928425101</v>
      </c>
      <c r="S46" s="33">
        <v>45.390046720953599</v>
      </c>
      <c r="T46" s="33">
        <v>45.228282606651497</v>
      </c>
      <c r="U46" s="15">
        <v>5.3382941167961001E-3</v>
      </c>
      <c r="V46" s="15">
        <v>5.5240744010740502E-3</v>
      </c>
      <c r="W46" s="15">
        <v>1.9538411528904598E-3</v>
      </c>
      <c r="X46" s="34">
        <v>0.99756906077347995</v>
      </c>
      <c r="Y46" s="34">
        <v>1.0029086172027599</v>
      </c>
      <c r="Z46" s="34">
        <v>1.00289855747749</v>
      </c>
      <c r="AA46" s="34">
        <v>0.99982601655654901</v>
      </c>
      <c r="AB46" s="33">
        <v>45.381614928425101</v>
      </c>
      <c r="AC46" s="33">
        <v>45.390046720953599</v>
      </c>
      <c r="AD46" s="33">
        <v>45.228282606651497</v>
      </c>
      <c r="AE46" s="15">
        <v>5.3382941167961001E-3</v>
      </c>
      <c r="AF46" s="15">
        <v>5.5240744010740502E-3</v>
      </c>
      <c r="AG46" s="15">
        <v>1.9538411528904598E-3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1.4460536729942488E-2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1.4460536729942488E-2</v>
      </c>
      <c r="BH46" s="29"/>
    </row>
    <row r="47" spans="1:124" x14ac:dyDescent="0.25">
      <c r="A47" s="1">
        <v>46091</v>
      </c>
      <c r="B47" s="33">
        <v>44.06</v>
      </c>
      <c r="C47" s="33">
        <v>43.7</v>
      </c>
      <c r="D47" s="15">
        <v>-2.66503287717379E-2</v>
      </c>
      <c r="E47" s="15">
        <v>-3.2420669287844997E-2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44.06</v>
      </c>
      <c r="M47" s="33">
        <v>43.7</v>
      </c>
      <c r="N47" s="34">
        <v>0.991829323649568</v>
      </c>
      <c r="O47" s="34">
        <v>1.0029086172027599</v>
      </c>
      <c r="P47" s="34">
        <v>1.00182994627968</v>
      </c>
      <c r="Q47" s="34">
        <v>0.99973067360122403</v>
      </c>
      <c r="R47" s="33">
        <v>44.188153673953799</v>
      </c>
      <c r="S47" s="33">
        <v>44.187710442458503</v>
      </c>
      <c r="T47" s="33">
        <v>44.0523342894815</v>
      </c>
      <c r="U47" s="15">
        <v>1.11086346329033E-2</v>
      </c>
      <c r="V47" s="15">
        <v>1.1098604032360199E-2</v>
      </c>
      <c r="W47" s="15">
        <v>8.0302406923273006E-3</v>
      </c>
      <c r="X47" s="34">
        <v>0.991829323649568</v>
      </c>
      <c r="Y47" s="34">
        <v>1.0029086172027599</v>
      </c>
      <c r="Z47" s="34">
        <v>1.00182994627968</v>
      </c>
      <c r="AA47" s="34">
        <v>0.99973067360122403</v>
      </c>
      <c r="AB47" s="33">
        <v>44.188153673953799</v>
      </c>
      <c r="AC47" s="33">
        <v>44.187710442458503</v>
      </c>
      <c r="AD47" s="33">
        <v>44.0523342894815</v>
      </c>
      <c r="AE47" s="15">
        <v>1.11086346329033E-2</v>
      </c>
      <c r="AF47" s="15">
        <v>1.1098604032360199E-2</v>
      </c>
      <c r="AG47" s="15">
        <v>8.0302406923273006E-3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1.4460536729942488E-2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1.4460536729942488E-2</v>
      </c>
      <c r="BH47" s="29"/>
    </row>
    <row r="48" spans="1:124" x14ac:dyDescent="0.25">
      <c r="A48" s="1">
        <v>46092</v>
      </c>
      <c r="B48" s="33">
        <v>44.9</v>
      </c>
      <c r="C48" s="33">
        <v>44.35</v>
      </c>
      <c r="D48" s="15">
        <v>1.8885453374011499E-2</v>
      </c>
      <c r="E48" s="15">
        <v>1.4764606654044001E-2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44.9</v>
      </c>
      <c r="M48" s="33">
        <v>44.35</v>
      </c>
      <c r="N48" s="34">
        <v>0.98775055679287305</v>
      </c>
      <c r="O48" s="34">
        <v>1.0029086172027599</v>
      </c>
      <c r="P48" s="34">
        <v>1.0003401597607799</v>
      </c>
      <c r="Q48" s="34">
        <v>0.99938323525552697</v>
      </c>
      <c r="R48" s="33">
        <v>45.0305969124041</v>
      </c>
      <c r="S48" s="33">
        <v>44.982164587957698</v>
      </c>
      <c r="T48" s="33">
        <v>44.887907244694901</v>
      </c>
      <c r="U48" s="15">
        <v>1.52294813528706E-2</v>
      </c>
      <c r="V48" s="15">
        <v>1.41533599604599E-2</v>
      </c>
      <c r="W48" s="15">
        <v>1.2055723318976599E-2</v>
      </c>
      <c r="X48" s="34">
        <v>0.98775055679287305</v>
      </c>
      <c r="Y48" s="34">
        <v>1.0029086172027599</v>
      </c>
      <c r="Z48" s="34">
        <v>1.0003401597607799</v>
      </c>
      <c r="AA48" s="34">
        <v>0.99938323525552697</v>
      </c>
      <c r="AB48" s="33">
        <v>45.0305969124041</v>
      </c>
      <c r="AC48" s="33">
        <v>44.982164587957698</v>
      </c>
      <c r="AD48" s="33">
        <v>44.887907244694901</v>
      </c>
      <c r="AE48" s="15">
        <v>1.52294813528706E-2</v>
      </c>
      <c r="AF48" s="15">
        <v>1.41533599604599E-2</v>
      </c>
      <c r="AG48" s="15">
        <v>1.2055723318976599E-2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1.4460536729942488E-2</v>
      </c>
      <c r="AT48" s="12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1.4460536729942488E-2</v>
      </c>
      <c r="BH48" s="29"/>
    </row>
    <row r="49" spans="1:60" x14ac:dyDescent="0.25">
      <c r="A49" s="1">
        <v>46093</v>
      </c>
      <c r="B49" s="33">
        <v>41.25</v>
      </c>
      <c r="C49" s="33">
        <v>40.81</v>
      </c>
      <c r="D49" s="15">
        <v>-8.4786681967518596E-2</v>
      </c>
      <c r="E49" s="15">
        <v>-8.3185559337874096E-2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41.25</v>
      </c>
      <c r="M49" s="33">
        <v>40.81</v>
      </c>
      <c r="N49" s="34">
        <v>0.98933333333333295</v>
      </c>
      <c r="O49" s="34">
        <v>1.0029086172027599</v>
      </c>
      <c r="P49" s="34">
        <v>0.99955216404802505</v>
      </c>
      <c r="Q49" s="34">
        <v>0.99946313013069099</v>
      </c>
      <c r="R49" s="33">
        <v>41.369980459613998</v>
      </c>
      <c r="S49" s="33">
        <v>41.264031590132099</v>
      </c>
      <c r="T49" s="33">
        <v>41.224558454290403</v>
      </c>
      <c r="U49" s="15">
        <v>1.36283587232262E-2</v>
      </c>
      <c r="V49" s="15">
        <v>1.1064065282541001E-2</v>
      </c>
      <c r="W49" s="15">
        <v>1.01070083408861E-2</v>
      </c>
      <c r="X49" s="34">
        <v>0.98933333333333295</v>
      </c>
      <c r="Y49" s="34">
        <v>1.0029086172027599</v>
      </c>
      <c r="Z49" s="34">
        <v>0.99955216404802505</v>
      </c>
      <c r="AA49" s="34">
        <v>0.99946313013069099</v>
      </c>
      <c r="AB49" s="33">
        <v>41.369980459613998</v>
      </c>
      <c r="AC49" s="33">
        <v>41.264031590132099</v>
      </c>
      <c r="AD49" s="33">
        <v>41.224558454290403</v>
      </c>
      <c r="AE49" s="15">
        <v>1.36283587232262E-2</v>
      </c>
      <c r="AF49" s="15">
        <v>1.1064065282541001E-2</v>
      </c>
      <c r="AG49" s="15">
        <v>1.01070083408861E-2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1.4460536729942488E-2</v>
      </c>
      <c r="AT49" s="12"/>
      <c r="AU49">
        <f t="shared" si="10"/>
        <v>0</v>
      </c>
      <c r="AV49">
        <f t="shared" si="11"/>
        <v>0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1.4460536729942488E-2</v>
      </c>
      <c r="BH49" s="29"/>
    </row>
    <row r="50" spans="1:60" x14ac:dyDescent="0.25">
      <c r="A50" s="1">
        <v>46094</v>
      </c>
      <c r="B50" s="33">
        <v>42.9</v>
      </c>
      <c r="C50" s="33">
        <v>42.15</v>
      </c>
      <c r="D50" s="15">
        <v>3.9220713153281302E-2</v>
      </c>
      <c r="E50" s="15">
        <v>3.2307535030149999E-2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42.9</v>
      </c>
      <c r="M50" s="33">
        <v>42.15</v>
      </c>
      <c r="N50" s="34">
        <v>0.98251748251748205</v>
      </c>
      <c r="O50" s="34">
        <v>1.0029086172027599</v>
      </c>
      <c r="P50" s="34">
        <v>0.997400505755623</v>
      </c>
      <c r="Q50" s="34">
        <v>0.99872592803566096</v>
      </c>
      <c r="R50" s="33">
        <v>43.024779677998602</v>
      </c>
      <c r="S50" s="33">
        <v>42.8807878376603</v>
      </c>
      <c r="T50" s="33">
        <v>42.876968282606597</v>
      </c>
      <c r="U50" s="15">
        <v>2.0541536846357501E-2</v>
      </c>
      <c r="V50" s="15">
        <v>1.7189205225663601E-2</v>
      </c>
      <c r="W50" s="15">
        <v>1.7100127450568402E-2</v>
      </c>
      <c r="X50" s="34">
        <v>0.98251748251748205</v>
      </c>
      <c r="Y50" s="34">
        <v>1.0029086172027599</v>
      </c>
      <c r="Z50" s="34">
        <v>0.997400505755623</v>
      </c>
      <c r="AA50" s="34">
        <v>0.99872592803566096</v>
      </c>
      <c r="AB50" s="33">
        <v>43.024779677998602</v>
      </c>
      <c r="AC50" s="33">
        <v>42.8807878376603</v>
      </c>
      <c r="AD50" s="33">
        <v>42.876968282606597</v>
      </c>
      <c r="AE50" s="15">
        <v>2.0541536846357501E-2</v>
      </c>
      <c r="AF50" s="15">
        <v>1.7189205225663601E-2</v>
      </c>
      <c r="AG50" s="15">
        <v>1.7100127450568402E-2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1.4460536729942488E-2</v>
      </c>
      <c r="AT50" s="12"/>
      <c r="AU50">
        <f t="shared" si="10"/>
        <v>1</v>
      </c>
      <c r="AV50">
        <f t="shared" si="11"/>
        <v>0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1.4460536729942488E-2</v>
      </c>
      <c r="BH50" s="29"/>
    </row>
    <row r="51" spans="1:60" x14ac:dyDescent="0.25">
      <c r="A51" s="1">
        <v>46097</v>
      </c>
      <c r="B51" s="33">
        <v>42.36</v>
      </c>
      <c r="C51" s="33">
        <v>42.27</v>
      </c>
      <c r="D51" s="15">
        <v>-1.26673052007655E-2</v>
      </c>
      <c r="E51" s="15">
        <v>2.8429301308342402E-3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42.36</v>
      </c>
      <c r="M51" s="33">
        <v>42.27</v>
      </c>
      <c r="N51" s="34">
        <v>0.99787535410764805</v>
      </c>
      <c r="O51" s="34">
        <v>1.0029086172027599</v>
      </c>
      <c r="P51" s="34">
        <v>0.996820562985405</v>
      </c>
      <c r="Q51" s="34">
        <v>0.998792307938972</v>
      </c>
      <c r="R51" s="33">
        <v>42.483209024709097</v>
      </c>
      <c r="S51" s="33">
        <v>42.249885423808202</v>
      </c>
      <c r="T51" s="33">
        <v>42.306030311590597</v>
      </c>
      <c r="U51" s="15">
        <v>5.0313015147577002E-3</v>
      </c>
      <c r="V51" s="15">
        <v>-4.75972641720659E-4</v>
      </c>
      <c r="W51" s="15">
        <v>8.5202187044114799E-4</v>
      </c>
      <c r="X51" s="34">
        <v>0.99787535410764805</v>
      </c>
      <c r="Y51" s="34">
        <v>1.0029086172027599</v>
      </c>
      <c r="Z51" s="34">
        <v>0.996820562985405</v>
      </c>
      <c r="AA51" s="34">
        <v>0.998792307938972</v>
      </c>
      <c r="AB51" s="33">
        <v>42.483209024709097</v>
      </c>
      <c r="AC51" s="33">
        <v>42.249885423808202</v>
      </c>
      <c r="AD51" s="33">
        <v>42.306030311590597</v>
      </c>
      <c r="AE51" s="15">
        <v>5.0313015147577002E-3</v>
      </c>
      <c r="AF51" s="15">
        <v>-4.75972641720659E-4</v>
      </c>
      <c r="AG51" s="15">
        <v>8.5202187044114799E-4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1.4460536729942488E-2</v>
      </c>
      <c r="AT51" s="12"/>
      <c r="AU51">
        <f t="shared" si="10"/>
        <v>0</v>
      </c>
      <c r="AV51">
        <f t="shared" si="11"/>
        <v>1</v>
      </c>
      <c r="AW51">
        <f t="shared" si="18"/>
        <v>1</v>
      </c>
      <c r="AX51">
        <f t="shared" si="5"/>
        <v>1</v>
      </c>
      <c r="AY51">
        <f t="shared" si="19"/>
        <v>1</v>
      </c>
      <c r="AZ51" s="28">
        <f t="shared" si="12"/>
        <v>1.26673052007655E-2</v>
      </c>
      <c r="BA51" s="28">
        <f t="shared" si="13"/>
        <v>2.8429301308342402E-3</v>
      </c>
      <c r="BB51" s="28">
        <f t="shared" si="20"/>
        <v>1.551023533159974E-2</v>
      </c>
      <c r="BC51" s="29">
        <f t="shared" si="21"/>
        <v>1.551023533159974E-2</v>
      </c>
      <c r="BE51" s="29">
        <f t="shared" si="22"/>
        <v>1.551023533159974E-2</v>
      </c>
      <c r="BF51" s="29">
        <f t="shared" si="23"/>
        <v>2.9970772061542229E-2</v>
      </c>
      <c r="BH51" s="29"/>
    </row>
    <row r="52" spans="1:60" x14ac:dyDescent="0.25">
      <c r="A52" s="1">
        <v>46098</v>
      </c>
      <c r="B52" s="33">
        <v>45.23</v>
      </c>
      <c r="C52" s="33">
        <v>45.05</v>
      </c>
      <c r="D52" s="15">
        <v>6.5556062756546005E-2</v>
      </c>
      <c r="E52" s="15">
        <v>6.3695369475648203E-2</v>
      </c>
      <c r="F52" s="33">
        <v>0</v>
      </c>
      <c r="G52" s="33">
        <v>0</v>
      </c>
      <c r="H52" s="33">
        <v>0</v>
      </c>
      <c r="I52" s="33">
        <v>0</v>
      </c>
      <c r="J52" s="33">
        <v>0</v>
      </c>
      <c r="K52" s="33">
        <v>0</v>
      </c>
      <c r="L52" s="33">
        <v>45.23</v>
      </c>
      <c r="M52" s="33">
        <v>45.05</v>
      </c>
      <c r="N52" s="34">
        <v>0.99602034048198096</v>
      </c>
      <c r="O52" s="34">
        <v>1.0029086172027599</v>
      </c>
      <c r="P52" s="34">
        <v>0.99578142966681105</v>
      </c>
      <c r="Q52" s="34">
        <v>0.99857058218390404</v>
      </c>
      <c r="R52" s="33">
        <v>45.361556756081001</v>
      </c>
      <c r="S52" s="33">
        <v>45.086194063829801</v>
      </c>
      <c r="T52" s="33">
        <v>45.175376088079702</v>
      </c>
      <c r="U52" s="15">
        <v>6.8919947956554203E-3</v>
      </c>
      <c r="V52" s="15">
        <v>8.03097271880957E-4</v>
      </c>
      <c r="W52" s="15">
        <v>2.7791775266404399E-3</v>
      </c>
      <c r="X52" s="34">
        <v>0.99602034048198096</v>
      </c>
      <c r="Y52" s="34">
        <v>1.0029086172027599</v>
      </c>
      <c r="Z52" s="34">
        <v>0.99578142966681105</v>
      </c>
      <c r="AA52" s="34">
        <v>0.99857058218390404</v>
      </c>
      <c r="AB52" s="33">
        <v>45.361556756081001</v>
      </c>
      <c r="AC52" s="33">
        <v>45.086194063829801</v>
      </c>
      <c r="AD52" s="33">
        <v>45.175376088079702</v>
      </c>
      <c r="AE52" s="15">
        <v>6.8919947956554203E-3</v>
      </c>
      <c r="AF52" s="15">
        <v>8.03097271880957E-4</v>
      </c>
      <c r="AG52" s="15">
        <v>2.7791775266404399E-3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1.4460536729942488E-2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1.551023533159974E-2</v>
      </c>
      <c r="BE52" s="29">
        <f t="shared" si="22"/>
        <v>0</v>
      </c>
      <c r="BF52" s="29">
        <f t="shared" si="23"/>
        <v>2.9970772061542229E-2</v>
      </c>
      <c r="BH52" s="29"/>
    </row>
    <row r="53" spans="1:60" x14ac:dyDescent="0.25">
      <c r="A53" s="1">
        <v>46099</v>
      </c>
      <c r="B53" s="33">
        <v>46.27</v>
      </c>
      <c r="C53" s="33">
        <v>45.71</v>
      </c>
      <c r="D53" s="15">
        <v>2.27332194291564E-2</v>
      </c>
      <c r="E53" s="15">
        <v>1.45441082893061E-2</v>
      </c>
      <c r="F53" s="33">
        <v>0</v>
      </c>
      <c r="G53" s="33">
        <v>0</v>
      </c>
      <c r="H53" s="33">
        <v>0</v>
      </c>
      <c r="I53" s="33">
        <v>0</v>
      </c>
      <c r="J53" s="33">
        <v>0</v>
      </c>
      <c r="K53" s="33">
        <v>0</v>
      </c>
      <c r="L53" s="33">
        <v>46.27</v>
      </c>
      <c r="M53" s="33">
        <v>45.71</v>
      </c>
      <c r="N53" s="34">
        <v>0.98789712556732201</v>
      </c>
      <c r="O53" s="34">
        <v>1.0029086172027599</v>
      </c>
      <c r="P53" s="34">
        <v>0.99396005536191101</v>
      </c>
      <c r="Q53" s="34">
        <v>0.99803213477174102</v>
      </c>
      <c r="R53" s="33">
        <v>46.404581717971901</v>
      </c>
      <c r="S53" s="33">
        <v>46.074806750683301</v>
      </c>
      <c r="T53" s="33">
        <v>46.203860837649202</v>
      </c>
      <c r="U53" s="15">
        <v>1.5081105935506E-2</v>
      </c>
      <c r="V53" s="15">
        <v>7.9492169697617295E-3</v>
      </c>
      <c r="W53" s="15">
        <v>1.0746270166922599E-2</v>
      </c>
      <c r="X53" s="34">
        <v>0.98789712556732201</v>
      </c>
      <c r="Y53" s="34">
        <v>1.0029086172027599</v>
      </c>
      <c r="Z53" s="34">
        <v>0.99396005536191101</v>
      </c>
      <c r="AA53" s="34">
        <v>0.99803213477174102</v>
      </c>
      <c r="AB53" s="33">
        <v>46.404581717971901</v>
      </c>
      <c r="AC53" s="33">
        <v>46.074806750683301</v>
      </c>
      <c r="AD53" s="33">
        <v>46.203860837649202</v>
      </c>
      <c r="AE53" s="15">
        <v>1.5081105935506E-2</v>
      </c>
      <c r="AF53" s="15">
        <v>7.9492169697617295E-3</v>
      </c>
      <c r="AG53" s="15">
        <v>1.0746270166922599E-2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1.4460536729942488E-2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1.551023533159974E-2</v>
      </c>
      <c r="BE53" s="29">
        <f t="shared" si="22"/>
        <v>0</v>
      </c>
      <c r="BF53" s="29">
        <f t="shared" si="23"/>
        <v>2.9970772061542229E-2</v>
      </c>
      <c r="BH53" s="29"/>
    </row>
    <row r="54" spans="1:60" x14ac:dyDescent="0.25">
      <c r="A54" s="1">
        <v>46100</v>
      </c>
      <c r="B54" s="33">
        <v>45.54</v>
      </c>
      <c r="C54" s="33">
        <v>44.89</v>
      </c>
      <c r="D54" s="15">
        <v>-1.59027422833148E-2</v>
      </c>
      <c r="E54" s="15">
        <v>-1.81020395498122E-2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3">
        <v>0</v>
      </c>
      <c r="L54" s="33">
        <v>45.54</v>
      </c>
      <c r="M54" s="33">
        <v>44.89</v>
      </c>
      <c r="N54" s="34">
        <v>0.98572683355292001</v>
      </c>
      <c r="O54" s="34">
        <v>1.0029086172027599</v>
      </c>
      <c r="P54" s="34">
        <v>0.99178263155903701</v>
      </c>
      <c r="Q54" s="34">
        <v>0.997329453397795</v>
      </c>
      <c r="R54" s="33">
        <v>45.6724584274139</v>
      </c>
      <c r="S54" s="33">
        <v>45.264940921181399</v>
      </c>
      <c r="T54" s="33">
        <v>45.450383417505101</v>
      </c>
      <c r="U54" s="15">
        <v>1.7280403202003299E-2</v>
      </c>
      <c r="V54" s="15">
        <v>8.3177489561162693E-3</v>
      </c>
      <c r="W54" s="15">
        <v>1.2406203822779001E-2</v>
      </c>
      <c r="X54" s="34">
        <v>0.98572683355292001</v>
      </c>
      <c r="Y54" s="34">
        <v>1.0029086172027599</v>
      </c>
      <c r="Z54" s="34">
        <v>0.99178263155903701</v>
      </c>
      <c r="AA54" s="34">
        <v>0.997329453397795</v>
      </c>
      <c r="AB54" s="33">
        <v>45.6724584274139</v>
      </c>
      <c r="AC54" s="33">
        <v>45.264940921181399</v>
      </c>
      <c r="AD54" s="33">
        <v>45.450383417505101</v>
      </c>
      <c r="AE54" s="15">
        <v>1.7280403202003299E-2</v>
      </c>
      <c r="AF54" s="15">
        <v>8.3177489561162693E-3</v>
      </c>
      <c r="AG54" s="15">
        <v>1.2406203822779001E-2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1.4460536729942488E-2</v>
      </c>
      <c r="AT54" s="12"/>
      <c r="AU54">
        <f t="shared" si="10"/>
        <v>0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1.551023533159974E-2</v>
      </c>
      <c r="BE54" s="29">
        <f t="shared" si="22"/>
        <v>0</v>
      </c>
      <c r="BF54" s="29">
        <f t="shared" si="23"/>
        <v>2.9970772061542229E-2</v>
      </c>
      <c r="BH54" s="29"/>
    </row>
    <row r="55" spans="1:60" x14ac:dyDescent="0.25">
      <c r="A55" s="1">
        <v>46101</v>
      </c>
      <c r="B55" s="33">
        <v>43.95</v>
      </c>
      <c r="C55" s="33">
        <v>43.53</v>
      </c>
      <c r="D55" s="15">
        <v>-3.5538436504407397E-2</v>
      </c>
      <c r="E55" s="15">
        <v>-3.0764697229634499E-2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43.95</v>
      </c>
      <c r="M55" s="33">
        <v>43.53</v>
      </c>
      <c r="N55" s="34">
        <v>0.99044368600682497</v>
      </c>
      <c r="O55" s="34">
        <v>1.0029086172027599</v>
      </c>
      <c r="P55" s="34">
        <v>0.99069630967834299</v>
      </c>
      <c r="Q55" s="34">
        <v>0.99689563241876999</v>
      </c>
      <c r="R55" s="33">
        <v>44.077833726061499</v>
      </c>
      <c r="S55" s="33">
        <v>43.588846657019701</v>
      </c>
      <c r="T55" s="33">
        <v>43.832629476833098</v>
      </c>
      <c r="U55" s="15">
        <v>1.2506663927230601E-2</v>
      </c>
      <c r="V55" s="15">
        <v>1.3509514468510401E-3</v>
      </c>
      <c r="W55" s="15">
        <v>6.9281496938370197E-3</v>
      </c>
      <c r="X55" s="34">
        <v>0.99044368600682497</v>
      </c>
      <c r="Y55" s="34">
        <v>1.0029086172027599</v>
      </c>
      <c r="Z55" s="34">
        <v>0.99069630967834299</v>
      </c>
      <c r="AA55" s="34">
        <v>0.99689563241876999</v>
      </c>
      <c r="AB55" s="33">
        <v>44.077833726061499</v>
      </c>
      <c r="AC55" s="33">
        <v>43.588846657019701</v>
      </c>
      <c r="AD55" s="33">
        <v>43.832629476833098</v>
      </c>
      <c r="AE55" s="15">
        <v>1.2506663927230601E-2</v>
      </c>
      <c r="AF55" s="15">
        <v>1.3509514468510401E-3</v>
      </c>
      <c r="AG55" s="15">
        <v>6.9281496938370197E-3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1.4460536729942488E-2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1.551023533159974E-2</v>
      </c>
      <c r="BE55" s="29">
        <f t="shared" si="22"/>
        <v>0</v>
      </c>
      <c r="BF55" s="29">
        <f t="shared" si="23"/>
        <v>2.9970772061542229E-2</v>
      </c>
      <c r="BH55" s="29"/>
    </row>
    <row r="56" spans="1:60" x14ac:dyDescent="0.25">
      <c r="A56" s="1">
        <v>46104</v>
      </c>
      <c r="B56" s="33">
        <v>44.82</v>
      </c>
      <c r="C56" s="33">
        <v>44.71</v>
      </c>
      <c r="D56" s="15">
        <v>1.96018442415948E-2</v>
      </c>
      <c r="E56" s="15">
        <v>2.6746834681683099E-2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44.82</v>
      </c>
      <c r="M56" s="33">
        <v>44.71</v>
      </c>
      <c r="N56" s="34">
        <v>0.99754573850959305</v>
      </c>
      <c r="O56" s="34">
        <v>1.0029086172027599</v>
      </c>
      <c r="P56" s="34">
        <v>0.99069397745195498</v>
      </c>
      <c r="Q56" s="34">
        <v>0.99679626746472605</v>
      </c>
      <c r="R56" s="33">
        <v>44.950364223027897</v>
      </c>
      <c r="S56" s="33">
        <v>44.403008599783298</v>
      </c>
      <c r="T56" s="33">
        <v>44.680862245009202</v>
      </c>
      <c r="U56" s="15">
        <v>5.3616734871421998E-3</v>
      </c>
      <c r="V56" s="15">
        <v>-6.8899618470185204E-3</v>
      </c>
      <c r="W56" s="15">
        <v>-6.5191799901865601E-4</v>
      </c>
      <c r="X56" s="34">
        <v>0.99754573850959305</v>
      </c>
      <c r="Y56" s="34">
        <v>1.0029086172027599</v>
      </c>
      <c r="Z56" s="34">
        <v>0.99069397745195498</v>
      </c>
      <c r="AA56" s="34">
        <v>0.99679626746472605</v>
      </c>
      <c r="AB56" s="33">
        <v>44.950364223027897</v>
      </c>
      <c r="AC56" s="33">
        <v>44.403008599783298</v>
      </c>
      <c r="AD56" s="33">
        <v>44.680862245009202</v>
      </c>
      <c r="AE56" s="15">
        <v>5.3616734871421998E-3</v>
      </c>
      <c r="AF56" s="15">
        <v>-6.8899618470185204E-3</v>
      </c>
      <c r="AG56" s="15">
        <v>-6.5191799901865601E-4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1.4460536729942488E-2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1.551023533159974E-2</v>
      </c>
      <c r="BE56" s="29">
        <f t="shared" si="22"/>
        <v>0</v>
      </c>
      <c r="BF56" s="29">
        <f t="shared" si="23"/>
        <v>2.9970772061542229E-2</v>
      </c>
      <c r="BH56" s="29"/>
    </row>
    <row r="57" spans="1:60" x14ac:dyDescent="0.25">
      <c r="A57" s="1">
        <v>46105</v>
      </c>
      <c r="B57" s="33">
        <v>45.31</v>
      </c>
      <c r="C57" s="33">
        <v>45.09</v>
      </c>
      <c r="D57" s="15">
        <v>1.0873290306265901E-2</v>
      </c>
      <c r="E57" s="15">
        <v>8.4633021871035399E-3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45.31</v>
      </c>
      <c r="M57" s="33">
        <v>45.09</v>
      </c>
      <c r="N57" s="34">
        <v>0.99514455969984505</v>
      </c>
      <c r="O57" s="34">
        <v>1.0029086172027599</v>
      </c>
      <c r="P57" s="34">
        <v>0.99102550105698195</v>
      </c>
      <c r="Q57" s="34">
        <v>0.99642772366833299</v>
      </c>
      <c r="R57" s="33">
        <v>45.441789445457303</v>
      </c>
      <c r="S57" s="33">
        <v>44.888344118348002</v>
      </c>
      <c r="T57" s="33">
        <v>45.1648388788267</v>
      </c>
      <c r="U57" s="15">
        <v>7.7716616063045196E-3</v>
      </c>
      <c r="V57" s="15">
        <v>-4.4823278590979797E-3</v>
      </c>
      <c r="W57" s="15">
        <v>1.6583907723645901E-3</v>
      </c>
      <c r="X57" s="34">
        <v>0.99514455969984505</v>
      </c>
      <c r="Y57" s="34">
        <v>1.0029086172027599</v>
      </c>
      <c r="Z57" s="34">
        <v>0.99102550105698195</v>
      </c>
      <c r="AA57" s="34">
        <v>0.99642772366833299</v>
      </c>
      <c r="AB57" s="33">
        <v>45.441789445457303</v>
      </c>
      <c r="AC57" s="33">
        <v>44.888344118348002</v>
      </c>
      <c r="AD57" s="33">
        <v>45.1648388788267</v>
      </c>
      <c r="AE57" s="15">
        <v>7.7716616063045196E-3</v>
      </c>
      <c r="AF57" s="15">
        <v>-4.4823278590979797E-3</v>
      </c>
      <c r="AG57" s="15">
        <v>1.6583907723645901E-3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1.4460536729942488E-2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1.551023533159974E-2</v>
      </c>
      <c r="BE57" s="29">
        <f t="shared" si="22"/>
        <v>0</v>
      </c>
      <c r="BF57" s="29">
        <f t="shared" si="23"/>
        <v>2.9970772061542229E-2</v>
      </c>
      <c r="BH57" s="29"/>
    </row>
    <row r="58" spans="1:60" x14ac:dyDescent="0.25">
      <c r="A58" s="1">
        <v>46106</v>
      </c>
      <c r="B58" s="33">
        <v>43.6</v>
      </c>
      <c r="C58" s="33">
        <v>43.4</v>
      </c>
      <c r="D58" s="15">
        <v>-3.84706083240582E-2</v>
      </c>
      <c r="E58" s="15">
        <v>-3.8201051326633699E-2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3">
        <v>43.6</v>
      </c>
      <c r="M58" s="33">
        <v>43.4</v>
      </c>
      <c r="N58" s="34">
        <v>0.99541284403669705</v>
      </c>
      <c r="O58" s="34">
        <v>1.0029086172027599</v>
      </c>
      <c r="P58" s="34">
        <v>0.99179172978136498</v>
      </c>
      <c r="Q58" s="34">
        <v>0.99606594477107202</v>
      </c>
      <c r="R58" s="33">
        <v>43.726815710040498</v>
      </c>
      <c r="S58" s="33">
        <v>43.208711846084398</v>
      </c>
      <c r="T58" s="33">
        <v>43.444248751939298</v>
      </c>
      <c r="U58" s="15">
        <v>7.5021046088802603E-3</v>
      </c>
      <c r="V58" s="15">
        <v>-4.4173030837582001E-3</v>
      </c>
      <c r="W58" s="15">
        <v>1.0190371015781001E-3</v>
      </c>
      <c r="X58" s="34">
        <v>0.99541284403669705</v>
      </c>
      <c r="Y58" s="34">
        <v>1.0029086172027599</v>
      </c>
      <c r="Z58" s="34">
        <v>0.99179172978136498</v>
      </c>
      <c r="AA58" s="34">
        <v>0.99606594477107202</v>
      </c>
      <c r="AB58" s="33">
        <v>43.726815710040498</v>
      </c>
      <c r="AC58" s="33">
        <v>43.208711846084398</v>
      </c>
      <c r="AD58" s="33">
        <v>43.444248751939298</v>
      </c>
      <c r="AE58" s="15">
        <v>7.5021046088802603E-3</v>
      </c>
      <c r="AF58" s="15">
        <v>-4.4173030837582001E-3</v>
      </c>
      <c r="AG58" s="15">
        <v>1.0190371015781001E-3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1.4460536729942488E-2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1.551023533159974E-2</v>
      </c>
      <c r="BE58" s="29">
        <f t="shared" si="22"/>
        <v>0</v>
      </c>
      <c r="BF58" s="29">
        <f t="shared" si="23"/>
        <v>2.9970772061542229E-2</v>
      </c>
      <c r="BH58" s="29"/>
    </row>
    <row r="59" spans="1:60" x14ac:dyDescent="0.25">
      <c r="A59" s="1">
        <v>46107</v>
      </c>
      <c r="B59" s="33">
        <v>41.86</v>
      </c>
      <c r="C59" s="33">
        <v>42.04</v>
      </c>
      <c r="D59" s="15">
        <v>-4.0726433337134903E-2</v>
      </c>
      <c r="E59" s="15">
        <v>-3.1837895097608697E-2</v>
      </c>
      <c r="F59" s="33">
        <v>0</v>
      </c>
      <c r="G59" s="33">
        <v>0</v>
      </c>
      <c r="H59" s="33">
        <v>0</v>
      </c>
      <c r="I59" s="33">
        <v>0</v>
      </c>
      <c r="J59" s="33">
        <v>0</v>
      </c>
      <c r="K59" s="33">
        <v>0</v>
      </c>
      <c r="L59" s="33">
        <v>41.86</v>
      </c>
      <c r="M59" s="33">
        <v>42.04</v>
      </c>
      <c r="N59" s="34">
        <v>1.0043000477783</v>
      </c>
      <c r="O59" s="34">
        <v>1.0029086172027599</v>
      </c>
      <c r="P59" s="34">
        <v>0.99328840122586204</v>
      </c>
      <c r="Q59" s="34">
        <v>0.99642028263694404</v>
      </c>
      <c r="R59" s="33">
        <v>41.981754716107702</v>
      </c>
      <c r="S59" s="33">
        <v>41.516401808647899</v>
      </c>
      <c r="T59" s="33">
        <v>41.695320448117101</v>
      </c>
      <c r="U59" s="15">
        <v>-1.3864336306459799E-3</v>
      </c>
      <c r="V59" s="15">
        <v>-1.2532972547881599E-2</v>
      </c>
      <c r="W59" s="15">
        <v>-8.2326429706842397E-3</v>
      </c>
      <c r="X59" s="34">
        <v>1.0043000477783</v>
      </c>
      <c r="Y59" s="34">
        <v>1.0029086172027599</v>
      </c>
      <c r="Z59" s="34">
        <v>0.99328840122586204</v>
      </c>
      <c r="AA59" s="34">
        <v>0.99642028263694404</v>
      </c>
      <c r="AB59" s="33">
        <v>41.981754716107702</v>
      </c>
      <c r="AC59" s="33">
        <v>41.516401808647899</v>
      </c>
      <c r="AD59" s="33">
        <v>41.695320448117101</v>
      </c>
      <c r="AE59" s="15">
        <v>-1.3864336306459799E-3</v>
      </c>
      <c r="AF59" s="15">
        <v>-1.2532972547881599E-2</v>
      </c>
      <c r="AG59" s="15">
        <v>-8.2326429706842397E-3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1.4460536729942488E-2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1.551023533159974E-2</v>
      </c>
      <c r="BE59" s="29">
        <f t="shared" si="22"/>
        <v>0</v>
      </c>
      <c r="BF59" s="29">
        <f t="shared" si="23"/>
        <v>2.9970772061542229E-2</v>
      </c>
      <c r="BH59" s="29"/>
    </row>
    <row r="60" spans="1:60" x14ac:dyDescent="0.25">
      <c r="A60" s="1">
        <v>46108</v>
      </c>
      <c r="B60" s="33">
        <v>40.44</v>
      </c>
      <c r="C60" s="33">
        <v>40.409999999999997</v>
      </c>
      <c r="D60" s="15">
        <v>-3.4511322865582998E-2</v>
      </c>
      <c r="E60" s="15">
        <v>-3.9544266918368001E-2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40.44</v>
      </c>
      <c r="M60" s="33">
        <v>40.409999999999997</v>
      </c>
      <c r="N60" s="34">
        <v>0.999258160237388</v>
      </c>
      <c r="O60" s="34">
        <v>1.0029086172027599</v>
      </c>
      <c r="P60" s="34">
        <v>0.99496246899785301</v>
      </c>
      <c r="Q60" s="34">
        <v>0.99618148737673795</v>
      </c>
      <c r="R60" s="33">
        <v>40.557624479679802</v>
      </c>
      <c r="S60" s="33">
        <v>40.168582945573803</v>
      </c>
      <c r="T60" s="33">
        <v>40.295236229837997</v>
      </c>
      <c r="U60" s="15">
        <v>3.6465104221389002E-3</v>
      </c>
      <c r="V60" s="15">
        <v>-5.9921077772203298E-3</v>
      </c>
      <c r="W60" s="15">
        <v>-2.8440248211521698E-3</v>
      </c>
      <c r="X60" s="34">
        <v>0.999258160237388</v>
      </c>
      <c r="Y60" s="34">
        <v>1.0029086172027599</v>
      </c>
      <c r="Z60" s="34">
        <v>0.99496246899785301</v>
      </c>
      <c r="AA60" s="34">
        <v>0.99618148737673795</v>
      </c>
      <c r="AB60" s="33">
        <v>40.557624479679802</v>
      </c>
      <c r="AC60" s="33">
        <v>40.168582945573803</v>
      </c>
      <c r="AD60" s="33">
        <v>40.295236229837997</v>
      </c>
      <c r="AE60" s="15">
        <v>3.6465104221389002E-3</v>
      </c>
      <c r="AF60" s="15">
        <v>-5.9921077772203298E-3</v>
      </c>
      <c r="AG60" s="15">
        <v>-2.8440248211521698E-3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1.4460536729942488E-2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1.551023533159974E-2</v>
      </c>
      <c r="BE60" s="29">
        <f t="shared" si="22"/>
        <v>0</v>
      </c>
      <c r="BF60" s="29">
        <f t="shared" si="23"/>
        <v>2.9970772061542229E-2</v>
      </c>
      <c r="BH60" s="29"/>
    </row>
    <row r="61" spans="1:60" x14ac:dyDescent="0.25">
      <c r="A61" s="1">
        <v>46111</v>
      </c>
      <c r="B61" s="33">
        <v>40.79</v>
      </c>
      <c r="C61" s="33">
        <v>40.630000000000003</v>
      </c>
      <c r="D61" s="15">
        <v>8.6175591771964401E-3</v>
      </c>
      <c r="E61" s="15">
        <v>5.4294309092533096E-3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40.79</v>
      </c>
      <c r="M61" s="33">
        <v>40.630000000000003</v>
      </c>
      <c r="N61" s="34">
        <v>0.99607746996812896</v>
      </c>
      <c r="O61" s="34">
        <v>1.0029086172027599</v>
      </c>
      <c r="P61" s="34">
        <v>0.99478268058390096</v>
      </c>
      <c r="Q61" s="34">
        <v>0.99580162178465303</v>
      </c>
      <c r="R61" s="33">
        <v>40.908642495700803</v>
      </c>
      <c r="S61" s="33">
        <v>40.584519110422399</v>
      </c>
      <c r="T61" s="33">
        <v>40.634242870097097</v>
      </c>
      <c r="U61" s="15">
        <v>6.8346386900822896E-3</v>
      </c>
      <c r="V61" s="15">
        <v>-1.1200188052621601E-3</v>
      </c>
      <c r="W61" s="15">
        <v>1.04421574635218E-4</v>
      </c>
      <c r="X61" s="34">
        <v>0.99607746996812896</v>
      </c>
      <c r="Y61" s="34">
        <v>1.0029086172027599</v>
      </c>
      <c r="Z61" s="34">
        <v>0.99478268058390096</v>
      </c>
      <c r="AA61" s="34">
        <v>0.99580162178465303</v>
      </c>
      <c r="AB61" s="33">
        <v>40.908642495700803</v>
      </c>
      <c r="AC61" s="33">
        <v>40.584519110422399</v>
      </c>
      <c r="AD61" s="33">
        <v>40.634242870097097</v>
      </c>
      <c r="AE61" s="15">
        <v>6.8346386900822896E-3</v>
      </c>
      <c r="AF61" s="15">
        <v>-1.1200188052621601E-3</v>
      </c>
      <c r="AG61" s="15">
        <v>1.04421574635218E-4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1.4460536729942488E-2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1.551023533159974E-2</v>
      </c>
      <c r="BE61" s="29">
        <f t="shared" si="22"/>
        <v>0</v>
      </c>
      <c r="BF61" s="29">
        <f t="shared" si="23"/>
        <v>2.9970772061542229E-2</v>
      </c>
      <c r="BH61" s="29"/>
    </row>
    <row r="62" spans="1:60" x14ac:dyDescent="0.25">
      <c r="A62" s="1">
        <v>46112</v>
      </c>
      <c r="B62" s="33">
        <v>41.38</v>
      </c>
      <c r="C62" s="33">
        <v>41.39</v>
      </c>
      <c r="D62" s="15">
        <v>1.436071898793E-2</v>
      </c>
      <c r="E62" s="15">
        <v>1.8532595761005601E-2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41.38</v>
      </c>
      <c r="M62" s="33">
        <v>41.39</v>
      </c>
      <c r="N62" s="34">
        <v>1.0002416626389501</v>
      </c>
      <c r="O62" s="34">
        <v>1.0029086172027599</v>
      </c>
      <c r="P62" s="34">
        <v>0.99520481279959805</v>
      </c>
      <c r="Q62" s="34">
        <v>0.99549312123320499</v>
      </c>
      <c r="R62" s="33">
        <v>41.500358579850399</v>
      </c>
      <c r="S62" s="33">
        <v>41.164107322561797</v>
      </c>
      <c r="T62" s="33">
        <v>41.206271109448899</v>
      </c>
      <c r="U62" s="15">
        <v>2.6627619170065801E-3</v>
      </c>
      <c r="V62" s="15">
        <v>-5.4726105955136698E-3</v>
      </c>
      <c r="W62" s="15">
        <v>-4.4488495937471603E-3</v>
      </c>
      <c r="X62" s="34">
        <v>1.0002416626389501</v>
      </c>
      <c r="Y62" s="34">
        <v>1.0029086172027599</v>
      </c>
      <c r="Z62" s="34">
        <v>0.99520481279959805</v>
      </c>
      <c r="AA62" s="34">
        <v>0.99549312123320499</v>
      </c>
      <c r="AB62" s="33">
        <v>41.500358579850399</v>
      </c>
      <c r="AC62" s="33">
        <v>41.164107322561797</v>
      </c>
      <c r="AD62" s="33">
        <v>41.206271109448899</v>
      </c>
      <c r="AE62" s="15">
        <v>2.6627619170065801E-3</v>
      </c>
      <c r="AF62" s="15">
        <v>-5.4726105955136698E-3</v>
      </c>
      <c r="AG62" s="15">
        <v>-4.4488495937471603E-3</v>
      </c>
      <c r="AI62" s="12"/>
      <c r="AJ62">
        <f t="shared" si="6"/>
        <v>0</v>
      </c>
      <c r="AK62">
        <f t="shared" si="7"/>
        <v>0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1.4460536729942488E-2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1.551023533159974E-2</v>
      </c>
      <c r="BE62" s="29">
        <f t="shared" si="22"/>
        <v>0</v>
      </c>
      <c r="BF62" s="29">
        <f t="shared" si="23"/>
        <v>2.9970772061542229E-2</v>
      </c>
      <c r="BH62" s="29"/>
    </row>
    <row r="63" spans="1:60" x14ac:dyDescent="0.25">
      <c r="A63" s="1">
        <v>46113</v>
      </c>
      <c r="B63" s="33">
        <v>40.49</v>
      </c>
      <c r="C63" s="33">
        <v>40.47</v>
      </c>
      <c r="D63" s="15">
        <v>-2.1742642273327201E-2</v>
      </c>
      <c r="E63" s="15">
        <v>-2.2478346872866799E-2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40.49</v>
      </c>
      <c r="M63" s="33">
        <v>40.47</v>
      </c>
      <c r="N63" s="34">
        <v>0.99950605087675903</v>
      </c>
      <c r="O63" s="34">
        <v>1.0029086172027599</v>
      </c>
      <c r="P63" s="34">
        <v>0.99636570533054203</v>
      </c>
      <c r="Q63" s="34">
        <v>0.99516288034622602</v>
      </c>
      <c r="R63" s="33">
        <v>40.607769910539901</v>
      </c>
      <c r="S63" s="33">
        <v>40.295842870255697</v>
      </c>
      <c r="T63" s="33">
        <v>40.307516478732403</v>
      </c>
      <c r="U63" s="15">
        <v>3.3984665165462799E-3</v>
      </c>
      <c r="V63" s="15">
        <v>-4.3126498401611897E-3</v>
      </c>
      <c r="W63" s="15">
        <v>-4.0229942066339003E-3</v>
      </c>
      <c r="X63" s="34">
        <v>0.99950605087675903</v>
      </c>
      <c r="Y63" s="34">
        <v>1.0029086172027599</v>
      </c>
      <c r="Z63" s="34">
        <v>0.99636570533054203</v>
      </c>
      <c r="AA63" s="34">
        <v>0.99516288034622602</v>
      </c>
      <c r="AB63" s="33">
        <v>40.607769910539901</v>
      </c>
      <c r="AC63" s="33">
        <v>40.295842870255697</v>
      </c>
      <c r="AD63" s="33">
        <v>40.307516478732403</v>
      </c>
      <c r="AE63" s="15">
        <v>3.3984665165462799E-3</v>
      </c>
      <c r="AF63" s="15">
        <v>-4.3126498401611897E-3</v>
      </c>
      <c r="AG63" s="15">
        <v>-4.0229942066339003E-3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1.4460536729942488E-2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1.551023533159974E-2</v>
      </c>
      <c r="BE63" s="29">
        <f t="shared" si="22"/>
        <v>0</v>
      </c>
      <c r="BF63" s="29">
        <f t="shared" si="23"/>
        <v>2.9970772061542229E-2</v>
      </c>
      <c r="BH63" s="29"/>
    </row>
    <row r="64" spans="1:60" x14ac:dyDescent="0.25">
      <c r="A64" s="1">
        <v>46114</v>
      </c>
      <c r="B64" s="33">
        <v>40.6</v>
      </c>
      <c r="C64" s="33">
        <v>40.64</v>
      </c>
      <c r="D64" s="15">
        <v>2.7130365636172799E-3</v>
      </c>
      <c r="E64" s="15">
        <v>4.1918443824522696E-3</v>
      </c>
      <c r="F64" s="33">
        <v>0</v>
      </c>
      <c r="G64" s="33">
        <v>0</v>
      </c>
      <c r="H64" s="33">
        <v>0</v>
      </c>
      <c r="I64" s="33">
        <v>0</v>
      </c>
      <c r="J64" s="33">
        <v>0</v>
      </c>
      <c r="K64" s="33">
        <v>0</v>
      </c>
      <c r="L64" s="33">
        <v>40.6</v>
      </c>
      <c r="M64" s="33">
        <v>40.64</v>
      </c>
      <c r="N64" s="34">
        <v>1.00098522167487</v>
      </c>
      <c r="O64" s="34">
        <v>1.0029086172027599</v>
      </c>
      <c r="P64" s="34">
        <v>0.99789154414273795</v>
      </c>
      <c r="Q64" s="34">
        <v>0.99483708785088698</v>
      </c>
      <c r="R64" s="33">
        <v>40.718089858432201</v>
      </c>
      <c r="S64" s="33">
        <v>40.452447636419997</v>
      </c>
      <c r="T64" s="33">
        <v>40.403612942056803</v>
      </c>
      <c r="U64" s="15">
        <v>1.9196586977110999E-3</v>
      </c>
      <c r="V64" s="15">
        <v>-4.6256514253160902E-3</v>
      </c>
      <c r="W64" s="15">
        <v>-5.8335930428476896E-3</v>
      </c>
      <c r="X64" s="34">
        <v>1.00098522167487</v>
      </c>
      <c r="Y64" s="34">
        <v>1.0029086172027599</v>
      </c>
      <c r="Z64" s="34">
        <v>0.99789154414273795</v>
      </c>
      <c r="AA64" s="34">
        <v>0.99483708785088698</v>
      </c>
      <c r="AB64" s="33">
        <v>40.718089858432201</v>
      </c>
      <c r="AC64" s="33">
        <v>40.452447636419997</v>
      </c>
      <c r="AD64" s="33">
        <v>40.403612942056803</v>
      </c>
      <c r="AE64" s="15">
        <v>1.9196586977110999E-3</v>
      </c>
      <c r="AF64" s="15">
        <v>-4.6256514253160902E-3</v>
      </c>
      <c r="AG64" s="15">
        <v>-5.8335930428476896E-3</v>
      </c>
      <c r="AI64" s="12"/>
      <c r="AJ64">
        <f t="shared" si="6"/>
        <v>0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1.4460536729942488E-2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1.551023533159974E-2</v>
      </c>
      <c r="BE64" s="29">
        <f t="shared" si="22"/>
        <v>0</v>
      </c>
      <c r="BF64" s="29">
        <f t="shared" si="23"/>
        <v>2.9970772061542229E-2</v>
      </c>
      <c r="BH64" s="29"/>
    </row>
    <row r="65" spans="1:60" x14ac:dyDescent="0.25">
      <c r="A65" s="1">
        <v>46118</v>
      </c>
      <c r="B65" s="33">
        <v>41.65</v>
      </c>
      <c r="C65" s="33">
        <v>41.81</v>
      </c>
      <c r="D65" s="15">
        <v>2.5533302005164599E-2</v>
      </c>
      <c r="E65" s="15">
        <v>2.8382742098247302E-2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41.65</v>
      </c>
      <c r="M65" s="33">
        <v>41.81</v>
      </c>
      <c r="N65" s="34">
        <v>1.00384153661464</v>
      </c>
      <c r="O65" s="34">
        <v>1.0029086172027599</v>
      </c>
      <c r="P65" s="34">
        <v>0.99923132920351998</v>
      </c>
      <c r="Q65" s="34">
        <v>0.99496381944093104</v>
      </c>
      <c r="R65" s="33">
        <v>41.771143906495098</v>
      </c>
      <c r="S65" s="33">
        <v>41.562182813545</v>
      </c>
      <c r="T65" s="33">
        <v>41.434964708989398</v>
      </c>
      <c r="U65" s="15">
        <v>-9.2978139537132701E-4</v>
      </c>
      <c r="V65" s="15">
        <v>-5.9448585353245598E-3</v>
      </c>
      <c r="W65" s="15">
        <v>-9.0104627876453208E-3</v>
      </c>
      <c r="X65" s="34">
        <v>1.00384153661464</v>
      </c>
      <c r="Y65" s="34">
        <v>1.0029086172027599</v>
      </c>
      <c r="Z65" s="34">
        <v>0.99923132920351998</v>
      </c>
      <c r="AA65" s="34">
        <v>0.99496381944093104</v>
      </c>
      <c r="AB65" s="33">
        <v>41.771143906495098</v>
      </c>
      <c r="AC65" s="33">
        <v>41.562182813545</v>
      </c>
      <c r="AD65" s="33">
        <v>41.434964708989398</v>
      </c>
      <c r="AE65" s="15">
        <v>-9.2978139537132701E-4</v>
      </c>
      <c r="AF65" s="15">
        <v>-5.9448585353245598E-3</v>
      </c>
      <c r="AG65" s="15">
        <v>-9.0104627876453208E-3</v>
      </c>
      <c r="AI65" s="12"/>
      <c r="AJ65">
        <f t="shared" si="6"/>
        <v>0</v>
      </c>
      <c r="AK65">
        <f t="shared" si="7"/>
        <v>0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1.4460536729942488E-2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1.551023533159974E-2</v>
      </c>
      <c r="BE65" s="29">
        <f t="shared" si="22"/>
        <v>0</v>
      </c>
      <c r="BF65" s="29">
        <f t="shared" si="23"/>
        <v>2.9970772061542229E-2</v>
      </c>
      <c r="BH65" s="29"/>
    </row>
    <row r="66" spans="1:60" x14ac:dyDescent="0.25">
      <c r="A66" s="1">
        <v>46119</v>
      </c>
      <c r="B66" s="33">
        <v>40.79</v>
      </c>
      <c r="C66" s="33">
        <v>40.92</v>
      </c>
      <c r="D66" s="15">
        <v>-2.0864415283384601E-2</v>
      </c>
      <c r="E66" s="15">
        <v>-2.15166042850478E-2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40.79</v>
      </c>
      <c r="M66" s="33">
        <v>40.92</v>
      </c>
      <c r="N66" s="34">
        <v>1.0031870556508899</v>
      </c>
      <c r="O66" s="34">
        <v>1.0029086172027599</v>
      </c>
      <c r="P66" s="34">
        <v>0.99979546091765004</v>
      </c>
      <c r="Q66" s="34">
        <v>0.99524471918480195</v>
      </c>
      <c r="R66" s="33">
        <v>40.908642495700803</v>
      </c>
      <c r="S66" s="33">
        <v>40.758645918211499</v>
      </c>
      <c r="T66" s="33">
        <v>40.584574194995596</v>
      </c>
      <c r="U66" s="15">
        <v>-2.7759239370803699E-4</v>
      </c>
      <c r="V66" s="15">
        <v>-3.9509541293133296E-3</v>
      </c>
      <c r="W66" s="15">
        <v>-8.2308926095527295E-3</v>
      </c>
      <c r="X66" s="34">
        <v>1.0031870556508899</v>
      </c>
      <c r="Y66" s="34">
        <v>1.0029086172027599</v>
      </c>
      <c r="Z66" s="34">
        <v>0.99979546091765004</v>
      </c>
      <c r="AA66" s="34">
        <v>0.99524471918480195</v>
      </c>
      <c r="AB66" s="33">
        <v>40.908642495700803</v>
      </c>
      <c r="AC66" s="33">
        <v>40.758645918211499</v>
      </c>
      <c r="AD66" s="33">
        <v>40.584574194995596</v>
      </c>
      <c r="AE66" s="15">
        <v>-2.7759239370803699E-4</v>
      </c>
      <c r="AF66" s="15">
        <v>-3.9509541293133296E-3</v>
      </c>
      <c r="AG66" s="15">
        <v>-8.2308926095527295E-3</v>
      </c>
      <c r="AI66" s="12"/>
      <c r="AJ66">
        <f t="shared" si="6"/>
        <v>0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1.4460536729942488E-2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1.551023533159974E-2</v>
      </c>
      <c r="BE66" s="29">
        <f t="shared" si="22"/>
        <v>0</v>
      </c>
      <c r="BF66" s="29">
        <f t="shared" si="23"/>
        <v>2.9970772061542229E-2</v>
      </c>
      <c r="BH66" s="29"/>
    </row>
    <row r="67" spans="1:60" x14ac:dyDescent="0.25">
      <c r="A67" s="1">
        <v>46120</v>
      </c>
      <c r="B67" s="33">
        <v>41.43</v>
      </c>
      <c r="C67" s="33">
        <v>41.56</v>
      </c>
      <c r="D67" s="15">
        <v>1.55683027598432E-2</v>
      </c>
      <c r="E67" s="15">
        <v>1.5519225147600801E-2</v>
      </c>
      <c r="F67" s="33">
        <v>0</v>
      </c>
      <c r="G67" s="33">
        <v>0</v>
      </c>
      <c r="H67" s="33">
        <v>0</v>
      </c>
      <c r="I67" s="33">
        <v>0</v>
      </c>
      <c r="J67" s="33">
        <v>0</v>
      </c>
      <c r="K67" s="33">
        <v>0</v>
      </c>
      <c r="L67" s="33">
        <v>41.43</v>
      </c>
      <c r="M67" s="33">
        <v>41.56</v>
      </c>
      <c r="N67" s="34">
        <v>1.00313782283369</v>
      </c>
      <c r="O67" s="34">
        <v>1.0029086172027599</v>
      </c>
      <c r="P67" s="34">
        <v>1.0005947872310299</v>
      </c>
      <c r="Q67" s="34">
        <v>0.99581014414400904</v>
      </c>
      <c r="R67" s="33">
        <v>41.550504010710497</v>
      </c>
      <c r="S67" s="33">
        <v>41.421525945818203</v>
      </c>
      <c r="T67" s="33">
        <v>41.232988715826302</v>
      </c>
      <c r="U67" s="15">
        <v>-2.28514781465517E-4</v>
      </c>
      <c r="V67" s="15">
        <v>-3.3374701450368501E-3</v>
      </c>
      <c r="W67" s="15">
        <v>-7.8995332762902895E-3</v>
      </c>
      <c r="X67" s="34">
        <v>1.00313782283369</v>
      </c>
      <c r="Y67" s="34">
        <v>1.0029086172027599</v>
      </c>
      <c r="Z67" s="34">
        <v>1.0005947872310299</v>
      </c>
      <c r="AA67" s="34">
        <v>0.99581014414400904</v>
      </c>
      <c r="AB67" s="33">
        <v>41.550504010710497</v>
      </c>
      <c r="AC67" s="33">
        <v>41.421525945818203</v>
      </c>
      <c r="AD67" s="33">
        <v>41.232988715826302</v>
      </c>
      <c r="AE67" s="15">
        <v>-2.28514781465517E-4</v>
      </c>
      <c r="AF67" s="15">
        <v>-3.3374701450368501E-3</v>
      </c>
      <c r="AG67" s="15">
        <v>-7.8995332762902895E-3</v>
      </c>
      <c r="AI67" s="12"/>
      <c r="AJ67">
        <f t="shared" si="6"/>
        <v>0</v>
      </c>
      <c r="AK67">
        <f t="shared" si="7"/>
        <v>0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1.4460536729942488E-2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1.551023533159974E-2</v>
      </c>
      <c r="BE67" s="29">
        <f t="shared" si="22"/>
        <v>0</v>
      </c>
      <c r="BF67" s="29">
        <f t="shared" si="23"/>
        <v>2.9970772061542229E-2</v>
      </c>
      <c r="BH67" s="29"/>
    </row>
    <row r="68" spans="1:60" x14ac:dyDescent="0.25">
      <c r="A68" s="1">
        <v>46121</v>
      </c>
      <c r="B68" s="33">
        <v>40.630000000000003</v>
      </c>
      <c r="C68" s="33">
        <v>40.65</v>
      </c>
      <c r="D68" s="15">
        <v>-1.9498546089674999E-2</v>
      </c>
      <c r="E68" s="15">
        <v>-2.21393302372071E-2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40.630000000000003</v>
      </c>
      <c r="M68" s="33">
        <v>40.65</v>
      </c>
      <c r="N68" s="34">
        <v>1.00049224710804</v>
      </c>
      <c r="O68" s="34">
        <v>1.0029086172027599</v>
      </c>
      <c r="P68" s="34">
        <v>1.0011027275381701</v>
      </c>
      <c r="Q68" s="34">
        <v>0.99644722865976698</v>
      </c>
      <c r="R68" s="33">
        <v>40.748177116948298</v>
      </c>
      <c r="S68" s="33">
        <v>40.654166205196901</v>
      </c>
      <c r="T68" s="33">
        <v>40.459766156571</v>
      </c>
      <c r="U68" s="15">
        <v>2.4122693660665398E-3</v>
      </c>
      <c r="V68" s="15">
        <v>1.02484421034274E-4</v>
      </c>
      <c r="W68" s="15">
        <v>-4.69078389101385E-3</v>
      </c>
      <c r="X68" s="34">
        <v>1.00049224710804</v>
      </c>
      <c r="Y68" s="34">
        <v>1.0029086172027599</v>
      </c>
      <c r="Z68" s="34">
        <v>1.0011027275381701</v>
      </c>
      <c r="AA68" s="34">
        <v>0.99644722865976698</v>
      </c>
      <c r="AB68" s="33">
        <v>40.748177116948298</v>
      </c>
      <c r="AC68" s="33">
        <v>40.654166205196901</v>
      </c>
      <c r="AD68" s="33">
        <v>40.459766156571</v>
      </c>
      <c r="AE68" s="15">
        <v>2.4122693660665398E-3</v>
      </c>
      <c r="AF68" s="15">
        <v>1.02484421034274E-4</v>
      </c>
      <c r="AG68" s="15">
        <v>-4.69078389101385E-3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1.4460536729942488E-2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1.551023533159974E-2</v>
      </c>
      <c r="BE68" s="29">
        <f t="shared" si="22"/>
        <v>0</v>
      </c>
      <c r="BF68" s="29">
        <f t="shared" si="23"/>
        <v>2.9970772061542229E-2</v>
      </c>
      <c r="BH68" s="29"/>
    </row>
    <row r="69" spans="1:60" x14ac:dyDescent="0.25">
      <c r="A69" s="1">
        <v>46122</v>
      </c>
      <c r="B69" s="33">
        <v>39.869999999999997</v>
      </c>
      <c r="C69" s="33">
        <v>39.94</v>
      </c>
      <c r="D69" s="15">
        <v>-1.8882548606371799E-2</v>
      </c>
      <c r="E69" s="15">
        <v>-1.76205080061504E-2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39.869999999999997</v>
      </c>
      <c r="M69" s="33">
        <v>39.94</v>
      </c>
      <c r="N69" s="34">
        <v>1.00175570604464</v>
      </c>
      <c r="O69" s="34">
        <v>1.0029086172027599</v>
      </c>
      <c r="P69" s="34">
        <v>1.0008482933648</v>
      </c>
      <c r="Q69" s="34">
        <v>0.997068347295333</v>
      </c>
      <c r="R69" s="33">
        <v>39.9859665678742</v>
      </c>
      <c r="S69" s="33">
        <v>39.913965746946801</v>
      </c>
      <c r="T69" s="33">
        <v>39.728351006664901</v>
      </c>
      <c r="U69" s="15">
        <v>1.15022876584507E-3</v>
      </c>
      <c r="V69" s="15">
        <v>-6.5204661364101396E-4</v>
      </c>
      <c r="W69" s="15">
        <v>-5.3132640145906298E-3</v>
      </c>
      <c r="X69" s="34">
        <v>1.00175570604464</v>
      </c>
      <c r="Y69" s="34">
        <v>1.0029086172027599</v>
      </c>
      <c r="Z69" s="34">
        <v>1.0008482933648</v>
      </c>
      <c r="AA69" s="34">
        <v>0.997068347295333</v>
      </c>
      <c r="AB69" s="33">
        <v>39.9859665678742</v>
      </c>
      <c r="AC69" s="33">
        <v>39.913965746946801</v>
      </c>
      <c r="AD69" s="33">
        <v>39.728351006664901</v>
      </c>
      <c r="AE69" s="15">
        <v>1.15022876584507E-3</v>
      </c>
      <c r="AF69" s="15">
        <v>-6.5204661364101396E-4</v>
      </c>
      <c r="AG69" s="15">
        <v>-5.3132640145906298E-3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1.4460536729942488E-2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1.551023533159974E-2</v>
      </c>
      <c r="BE69" s="29">
        <f t="shared" si="22"/>
        <v>0</v>
      </c>
      <c r="BF69" s="29">
        <f t="shared" si="23"/>
        <v>2.9970772061542229E-2</v>
      </c>
      <c r="BH69" s="29"/>
    </row>
    <row r="70" spans="1:60" x14ac:dyDescent="0.25">
      <c r="A70" s="1">
        <v>46125</v>
      </c>
      <c r="B70" s="33">
        <v>40.49</v>
      </c>
      <c r="C70" s="33">
        <v>40.630000000000003</v>
      </c>
      <c r="D70" s="15">
        <v>1.5430868650806199E-2</v>
      </c>
      <c r="E70" s="15">
        <v>1.7128382011966301E-2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40.49</v>
      </c>
      <c r="M70" s="33">
        <v>40.630000000000003</v>
      </c>
      <c r="N70" s="34">
        <v>1.0034576438626801</v>
      </c>
      <c r="O70" s="34">
        <v>1.0029086172027599</v>
      </c>
      <c r="P70" s="34">
        <v>1.00126824172733</v>
      </c>
      <c r="Q70" s="34">
        <v>0.99811535536259299</v>
      </c>
      <c r="R70" s="33">
        <v>40.607769910539901</v>
      </c>
      <c r="S70" s="33">
        <v>40.5243473983409</v>
      </c>
      <c r="T70" s="33">
        <v>40.371297381988001</v>
      </c>
      <c r="U70" s="15">
        <v>-5.4728459531491703E-4</v>
      </c>
      <c r="V70" s="15">
        <v>-2.6037461882296598E-3</v>
      </c>
      <c r="W70" s="15">
        <v>-6.3876383713147803E-3</v>
      </c>
      <c r="X70" s="34">
        <v>1.0034576438626801</v>
      </c>
      <c r="Y70" s="34">
        <v>1.0029086172027599</v>
      </c>
      <c r="Z70" s="34">
        <v>1.00126824172733</v>
      </c>
      <c r="AA70" s="34">
        <v>0.99811535536259299</v>
      </c>
      <c r="AB70" s="33">
        <v>40.607769910539901</v>
      </c>
      <c r="AC70" s="33">
        <v>40.5243473983409</v>
      </c>
      <c r="AD70" s="33">
        <v>40.371297381988001</v>
      </c>
      <c r="AE70" s="15">
        <v>-5.4728459531491703E-4</v>
      </c>
      <c r="AF70" s="15">
        <v>-2.6037461882296598E-3</v>
      </c>
      <c r="AG70" s="15">
        <v>-6.3876383713147803E-3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1.4460536729942488E-2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1.551023533159974E-2</v>
      </c>
      <c r="BE70" s="29">
        <f t="shared" si="22"/>
        <v>0</v>
      </c>
      <c r="BF70" s="29">
        <f t="shared" si="23"/>
        <v>2.9970772061542229E-2</v>
      </c>
      <c r="BH70" s="29"/>
    </row>
    <row r="71" spans="1:60" x14ac:dyDescent="0.25">
      <c r="A71" s="1">
        <v>46126</v>
      </c>
      <c r="B71" s="33">
        <v>40.89</v>
      </c>
      <c r="C71" s="33">
        <v>41</v>
      </c>
      <c r="D71" s="15">
        <v>9.8305043324810604E-3</v>
      </c>
      <c r="E71" s="15">
        <v>9.0653567046724698E-3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40.89</v>
      </c>
      <c r="M71" s="33">
        <v>41</v>
      </c>
      <c r="N71" s="34">
        <v>1.0026901442895499</v>
      </c>
      <c r="O71" s="34">
        <v>1.0029086172027599</v>
      </c>
      <c r="P71" s="34">
        <v>1.00192950915947</v>
      </c>
      <c r="Q71" s="34">
        <v>0.99835609487168797</v>
      </c>
      <c r="R71" s="33">
        <v>41.008933357421</v>
      </c>
      <c r="S71" s="33">
        <v>40.941858404230601</v>
      </c>
      <c r="T71" s="33">
        <v>40.812936880776398</v>
      </c>
      <c r="U71" s="15">
        <v>2.17863032493792E-4</v>
      </c>
      <c r="V71" s="15">
        <v>-1.41909413964683E-3</v>
      </c>
      <c r="W71" s="15">
        <v>-4.5729551423742002E-3</v>
      </c>
      <c r="X71" s="34">
        <v>1.0026901442895499</v>
      </c>
      <c r="Y71" s="34">
        <v>1.0029086172027599</v>
      </c>
      <c r="Z71" s="34">
        <v>1.00192950915947</v>
      </c>
      <c r="AA71" s="34">
        <v>0.99835609487168797</v>
      </c>
      <c r="AB71" s="33">
        <v>41.008933357421</v>
      </c>
      <c r="AC71" s="33">
        <v>40.941858404230601</v>
      </c>
      <c r="AD71" s="33">
        <v>40.812936880776398</v>
      </c>
      <c r="AE71" s="15">
        <v>2.17863032493792E-4</v>
      </c>
      <c r="AF71" s="15">
        <v>-1.41909413964683E-3</v>
      </c>
      <c r="AG71" s="15">
        <v>-4.5729551423742002E-3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1.4460536729942488E-2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1.551023533159974E-2</v>
      </c>
      <c r="BE71" s="29">
        <f t="shared" si="22"/>
        <v>0</v>
      </c>
      <c r="BF71" s="29">
        <f t="shared" si="23"/>
        <v>2.9970772061542229E-2</v>
      </c>
      <c r="BH71" s="29"/>
    </row>
    <row r="72" spans="1:60" x14ac:dyDescent="0.25">
      <c r="A72" s="1">
        <v>46127</v>
      </c>
      <c r="B72" s="33">
        <v>43.5</v>
      </c>
      <c r="C72" s="33">
        <v>43.62</v>
      </c>
      <c r="D72" s="15">
        <v>6.1875403718087398E-2</v>
      </c>
      <c r="E72" s="15">
        <v>6.1943694069175E-2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43.5</v>
      </c>
      <c r="M72" s="33">
        <v>43.62</v>
      </c>
      <c r="N72" s="34">
        <v>1.0027586206896499</v>
      </c>
      <c r="O72" s="34">
        <v>1.0029086172027599</v>
      </c>
      <c r="P72" s="34">
        <v>1.00218120496454</v>
      </c>
      <c r="Q72" s="34">
        <v>0.99869300888207202</v>
      </c>
      <c r="R72" s="33">
        <v>43.626524848320301</v>
      </c>
      <c r="S72" s="33">
        <v>43.583933648437203</v>
      </c>
      <c r="T72" s="33">
        <v>43.428490126918398</v>
      </c>
      <c r="U72" s="15">
        <v>1.4957268140625301E-4</v>
      </c>
      <c r="V72" s="15">
        <v>-8.2717263110189095E-4</v>
      </c>
      <c r="W72" s="15">
        <v>-4.4000805018622599E-3</v>
      </c>
      <c r="X72" s="34">
        <v>1.0027586206896499</v>
      </c>
      <c r="Y72" s="34">
        <v>1.0029086172027599</v>
      </c>
      <c r="Z72" s="34">
        <v>1.00218120496454</v>
      </c>
      <c r="AA72" s="34">
        <v>0.99869300888207202</v>
      </c>
      <c r="AB72" s="33">
        <v>43.626524848320301</v>
      </c>
      <c r="AC72" s="33">
        <v>43.583933648437203</v>
      </c>
      <c r="AD72" s="33">
        <v>43.428490126918398</v>
      </c>
      <c r="AE72" s="15">
        <v>1.4957268140625301E-4</v>
      </c>
      <c r="AF72" s="15">
        <v>-8.2717263110189095E-4</v>
      </c>
      <c r="AG72" s="15">
        <v>-4.4000805018622599E-3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1.4460536729942488E-2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1.551023533159974E-2</v>
      </c>
      <c r="BE72" s="29">
        <f t="shared" si="22"/>
        <v>0</v>
      </c>
      <c r="BF72" s="29">
        <f t="shared" si="23"/>
        <v>2.9970772061542229E-2</v>
      </c>
      <c r="BH72" s="29"/>
    </row>
    <row r="73" spans="1:60" x14ac:dyDescent="0.25">
      <c r="A73" s="1">
        <v>46128</v>
      </c>
      <c r="B73" s="33">
        <v>44.08</v>
      </c>
      <c r="C73" s="33">
        <v>44.1</v>
      </c>
      <c r="D73" s="15">
        <v>1.3245226750020499E-2</v>
      </c>
      <c r="E73" s="15">
        <v>1.0944021679317399E-2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44.08</v>
      </c>
      <c r="M73" s="33">
        <v>44.1</v>
      </c>
      <c r="N73" s="34">
        <v>1.0004537205081601</v>
      </c>
      <c r="O73" s="34">
        <v>1.0029086172027599</v>
      </c>
      <c r="P73" s="34">
        <v>1.0022759719276799</v>
      </c>
      <c r="Q73" s="34">
        <v>0.99932083862911403</v>
      </c>
      <c r="R73" s="33">
        <v>44.2082118462979</v>
      </c>
      <c r="S73" s="33">
        <v>44.176147514837098</v>
      </c>
      <c r="T73" s="33">
        <v>44.022387831521698</v>
      </c>
      <c r="U73" s="15">
        <v>2.4507777521092099E-3</v>
      </c>
      <c r="V73" s="15">
        <v>1.7252119823472499E-3</v>
      </c>
      <c r="W73" s="15">
        <v>-1.7614635839021901E-3</v>
      </c>
      <c r="X73" s="34">
        <v>1.0004537205081601</v>
      </c>
      <c r="Y73" s="34">
        <v>1.0029086172027599</v>
      </c>
      <c r="Z73" s="34">
        <v>1.0022759719276799</v>
      </c>
      <c r="AA73" s="34">
        <v>0.99932083862911403</v>
      </c>
      <c r="AB73" s="33">
        <v>44.2082118462979</v>
      </c>
      <c r="AC73" s="33">
        <v>44.176147514837098</v>
      </c>
      <c r="AD73" s="33">
        <v>44.022387831521698</v>
      </c>
      <c r="AE73" s="15">
        <v>2.4507777521092099E-3</v>
      </c>
      <c r="AF73" s="15">
        <v>1.7252119823472499E-3</v>
      </c>
      <c r="AG73" s="15">
        <v>-1.7614635839021901E-3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1.4460536729942488E-2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1.551023533159974E-2</v>
      </c>
      <c r="BE73" s="29">
        <f t="shared" si="22"/>
        <v>0</v>
      </c>
      <c r="BF73" s="29">
        <f t="shared" si="23"/>
        <v>2.9970772061542229E-2</v>
      </c>
      <c r="BH73" s="29"/>
    </row>
    <row r="74" spans="1:60" x14ac:dyDescent="0.25">
      <c r="A74" s="1">
        <v>46129</v>
      </c>
      <c r="B74" s="33">
        <v>46.86</v>
      </c>
      <c r="C74" s="33">
        <v>47.01</v>
      </c>
      <c r="D74" s="15">
        <v>6.1158268234990501E-2</v>
      </c>
      <c r="E74" s="15">
        <v>6.3900562583238604E-2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46.86</v>
      </c>
      <c r="M74" s="33">
        <v>47.01</v>
      </c>
      <c r="N74" s="34">
        <v>1.00320102432778</v>
      </c>
      <c r="O74" s="34">
        <v>1.0029086172027599</v>
      </c>
      <c r="P74" s="34">
        <v>1.00249755219297</v>
      </c>
      <c r="Q74" s="34">
        <v>1.00019454816785</v>
      </c>
      <c r="R74" s="33">
        <v>46.996297802121497</v>
      </c>
      <c r="S74" s="33">
        <v>46.966652044531401</v>
      </c>
      <c r="T74" s="33">
        <v>46.828174498160301</v>
      </c>
      <c r="U74" s="15">
        <v>-2.9151659613890698E-4</v>
      </c>
      <c r="V74" s="15">
        <v>-9.2252612962517595E-4</v>
      </c>
      <c r="W74" s="15">
        <v>-3.8753040618353602E-3</v>
      </c>
      <c r="X74" s="34">
        <v>1.00320102432778</v>
      </c>
      <c r="Y74" s="34">
        <v>1.0029086172027599</v>
      </c>
      <c r="Z74" s="34">
        <v>1.00249755219297</v>
      </c>
      <c r="AA74" s="34">
        <v>1.00019454816785</v>
      </c>
      <c r="AB74" s="33">
        <v>46.996297802121497</v>
      </c>
      <c r="AC74" s="33">
        <v>46.966652044531401</v>
      </c>
      <c r="AD74" s="33">
        <v>46.828174498160301</v>
      </c>
      <c r="AE74" s="15">
        <v>-2.9151659613890698E-4</v>
      </c>
      <c r="AF74" s="15">
        <v>-9.2252612962517595E-4</v>
      </c>
      <c r="AG74" s="15">
        <v>-3.8753040618353602E-3</v>
      </c>
      <c r="AI74" s="12"/>
      <c r="AJ74">
        <f t="shared" si="6"/>
        <v>0</v>
      </c>
      <c r="AK74">
        <f t="shared" si="7"/>
        <v>0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1.4460536729942488E-2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1.551023533159974E-2</v>
      </c>
      <c r="BE74" s="29">
        <f t="shared" si="22"/>
        <v>0</v>
      </c>
      <c r="BF74" s="29">
        <f t="shared" si="23"/>
        <v>2.9970772061542229E-2</v>
      </c>
      <c r="BH74" s="29"/>
    </row>
    <row r="75" spans="1:60" x14ac:dyDescent="0.25">
      <c r="A75" s="1">
        <v>46132</v>
      </c>
      <c r="B75" s="33">
        <v>47.3</v>
      </c>
      <c r="C75" s="33">
        <v>47.44</v>
      </c>
      <c r="D75" s="15">
        <v>9.3458624182375903E-3</v>
      </c>
      <c r="E75" s="15">
        <v>9.1054096534309101E-3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47.3</v>
      </c>
      <c r="M75" s="33">
        <v>47.44</v>
      </c>
      <c r="N75" s="34">
        <v>1.0029598308668</v>
      </c>
      <c r="O75" s="34">
        <v>1.0029086172027599</v>
      </c>
      <c r="P75" s="34">
        <v>1.00240938161819</v>
      </c>
      <c r="Q75" s="34">
        <v>1.0008203554108499</v>
      </c>
      <c r="R75" s="33">
        <v>47.437577593690797</v>
      </c>
      <c r="S75" s="33">
        <v>47.418134218727801</v>
      </c>
      <c r="T75" s="33">
        <v>47.309202128339599</v>
      </c>
      <c r="U75" s="15">
        <v>-5.1063831332033997E-5</v>
      </c>
      <c r="V75" s="15">
        <v>-4.6102069874203399E-4</v>
      </c>
      <c r="W75" s="15">
        <v>-2.76092994576562E-3</v>
      </c>
      <c r="X75" s="34">
        <v>1.0029598308668</v>
      </c>
      <c r="Y75" s="34">
        <v>1.0029086172027599</v>
      </c>
      <c r="Z75" s="34">
        <v>1.00240938161819</v>
      </c>
      <c r="AA75" s="34">
        <v>1.0008203554108499</v>
      </c>
      <c r="AB75" s="33">
        <v>47.437577593690797</v>
      </c>
      <c r="AC75" s="33">
        <v>47.418134218727801</v>
      </c>
      <c r="AD75" s="33">
        <v>47.309202128339599</v>
      </c>
      <c r="AE75" s="15">
        <v>-5.1063831332033997E-5</v>
      </c>
      <c r="AF75" s="15">
        <v>-4.6102069874203399E-4</v>
      </c>
      <c r="AG75" s="15">
        <v>-2.76092994576562E-3</v>
      </c>
      <c r="AI75" s="12"/>
      <c r="AJ75">
        <f t="shared" si="6"/>
        <v>0</v>
      </c>
      <c r="AK75">
        <f t="shared" si="7"/>
        <v>0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1.4460536729942488E-2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1.551023533159974E-2</v>
      </c>
      <c r="BE75" s="29">
        <f t="shared" si="22"/>
        <v>0</v>
      </c>
      <c r="BF75" s="29">
        <f t="shared" si="23"/>
        <v>2.9970772061542229E-2</v>
      </c>
      <c r="BH75" s="29"/>
    </row>
    <row r="76" spans="1:60" x14ac:dyDescent="0.25">
      <c r="A76" s="1">
        <v>46133</v>
      </c>
      <c r="B76" s="33">
        <v>46.17</v>
      </c>
      <c r="C76" s="33">
        <v>46.18</v>
      </c>
      <c r="D76" s="15">
        <v>-2.4180058978989599E-2</v>
      </c>
      <c r="E76" s="15">
        <v>-2.6918950763120598E-2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46.17</v>
      </c>
      <c r="M76" s="33">
        <v>46.18</v>
      </c>
      <c r="N76" s="34">
        <v>1.0002165908598599</v>
      </c>
      <c r="O76" s="34">
        <v>1.0029086172027599</v>
      </c>
      <c r="P76" s="34">
        <v>1.0021123351390899</v>
      </c>
      <c r="Q76" s="34">
        <v>1.0009538980283701</v>
      </c>
      <c r="R76" s="33">
        <v>46.304290856251598</v>
      </c>
      <c r="S76" s="33">
        <v>46.281241149312002</v>
      </c>
      <c r="T76" s="33">
        <v>46.207875809319198</v>
      </c>
      <c r="U76" s="15">
        <v>2.6878279527989902E-3</v>
      </c>
      <c r="V76" s="15">
        <v>2.1899163046919801E-3</v>
      </c>
      <c r="W76" s="15">
        <v>6.0345169582051196E-4</v>
      </c>
      <c r="X76" s="34">
        <v>1.0002165908598599</v>
      </c>
      <c r="Y76" s="34">
        <v>1.0029086172027599</v>
      </c>
      <c r="Z76" s="34">
        <v>1.0021123351390899</v>
      </c>
      <c r="AA76" s="34">
        <v>1.0009538980283701</v>
      </c>
      <c r="AB76" s="33">
        <v>46.304290856251598</v>
      </c>
      <c r="AC76" s="33">
        <v>46.281241149312002</v>
      </c>
      <c r="AD76" s="33">
        <v>46.207875809319198</v>
      </c>
      <c r="AE76" s="15">
        <v>2.6878279527989902E-3</v>
      </c>
      <c r="AF76" s="15">
        <v>2.1899163046919801E-3</v>
      </c>
      <c r="AG76" s="15">
        <v>6.0345169582051196E-4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1.4460536729942488E-2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1.551023533159974E-2</v>
      </c>
      <c r="BE76" s="29">
        <f t="shared" si="22"/>
        <v>0</v>
      </c>
      <c r="BF76" s="29">
        <f t="shared" si="23"/>
        <v>2.9970772061542229E-2</v>
      </c>
      <c r="BH76" s="29"/>
    </row>
    <row r="77" spans="1:60" x14ac:dyDescent="0.25">
      <c r="A77" s="1">
        <v>46134</v>
      </c>
      <c r="B77" s="33">
        <v>46.04</v>
      </c>
      <c r="C77" s="33">
        <v>46.06</v>
      </c>
      <c r="D77" s="15">
        <v>-2.8196526652157399E-3</v>
      </c>
      <c r="E77" s="15">
        <v>-2.6019095338101301E-3</v>
      </c>
      <c r="F77" s="33">
        <v>0</v>
      </c>
      <c r="G77" s="33">
        <v>0</v>
      </c>
      <c r="H77" s="33">
        <v>0</v>
      </c>
      <c r="I77" s="33">
        <v>0</v>
      </c>
      <c r="J77" s="33">
        <v>0</v>
      </c>
      <c r="K77" s="33">
        <v>0</v>
      </c>
      <c r="L77" s="33">
        <v>46.04</v>
      </c>
      <c r="M77" s="33">
        <v>46.06</v>
      </c>
      <c r="N77" s="34">
        <v>1.00043440486533</v>
      </c>
      <c r="O77" s="34">
        <v>1.0029086172027599</v>
      </c>
      <c r="P77" s="34">
        <v>1.00184199334225</v>
      </c>
      <c r="Q77" s="34">
        <v>1.0012183902866401</v>
      </c>
      <c r="R77" s="33">
        <v>46.173912736015303</v>
      </c>
      <c r="S77" s="33">
        <v>46.137251909803702</v>
      </c>
      <c r="T77" s="33">
        <v>46.083917465226101</v>
      </c>
      <c r="U77" s="15">
        <v>2.4700848213933101E-3</v>
      </c>
      <c r="V77" s="15">
        <v>1.6757967571126701E-3</v>
      </c>
      <c r="W77" s="15">
        <v>5.1913281790626697E-4</v>
      </c>
      <c r="X77" s="34">
        <v>1.00043440486533</v>
      </c>
      <c r="Y77" s="34">
        <v>1.0029086172027599</v>
      </c>
      <c r="Z77" s="34">
        <v>1.00184199334225</v>
      </c>
      <c r="AA77" s="34">
        <v>1.0012183902866401</v>
      </c>
      <c r="AB77" s="33">
        <v>46.173912736015303</v>
      </c>
      <c r="AC77" s="33">
        <v>46.137251909803702</v>
      </c>
      <c r="AD77" s="33">
        <v>46.083917465226101</v>
      </c>
      <c r="AE77" s="15">
        <v>2.4700848213933101E-3</v>
      </c>
      <c r="AF77" s="15">
        <v>1.6757967571126701E-3</v>
      </c>
      <c r="AG77" s="15">
        <v>5.1913281790626697E-4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1.4460536729942488E-2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1.551023533159974E-2</v>
      </c>
      <c r="BE77" s="29">
        <f t="shared" si="22"/>
        <v>0</v>
      </c>
      <c r="BF77" s="29">
        <f t="shared" si="23"/>
        <v>2.9970772061542229E-2</v>
      </c>
      <c r="BH77" s="29"/>
    </row>
    <row r="78" spans="1:60" x14ac:dyDescent="0.25">
      <c r="A78" s="1">
        <v>46135</v>
      </c>
      <c r="B78" s="33">
        <v>44.5</v>
      </c>
      <c r="C78" s="33">
        <v>44.5</v>
      </c>
      <c r="D78" s="15">
        <v>-3.4021394681487301E-2</v>
      </c>
      <c r="E78" s="15">
        <v>-3.4455705220344697E-2</v>
      </c>
      <c r="F78" s="33">
        <v>0</v>
      </c>
      <c r="G78" s="33">
        <v>0</v>
      </c>
      <c r="H78" s="33">
        <v>0</v>
      </c>
      <c r="I78" s="33">
        <v>0</v>
      </c>
      <c r="J78" s="33">
        <v>0</v>
      </c>
      <c r="K78" s="33">
        <v>0</v>
      </c>
      <c r="L78" s="33">
        <v>44.5</v>
      </c>
      <c r="M78" s="33">
        <v>44.5</v>
      </c>
      <c r="N78" s="34">
        <v>1</v>
      </c>
      <c r="O78" s="34">
        <v>1.0029086172027599</v>
      </c>
      <c r="P78" s="34">
        <v>1.0017927686314401</v>
      </c>
      <c r="Q78" s="34">
        <v>1.0014477480848101</v>
      </c>
      <c r="R78" s="33">
        <v>44.629433465523</v>
      </c>
      <c r="S78" s="33">
        <v>44.581968703730297</v>
      </c>
      <c r="T78" s="33">
        <v>44.554218367755702</v>
      </c>
      <c r="U78" s="15">
        <v>2.9043953602506602E-3</v>
      </c>
      <c r="V78" s="15">
        <v>1.8402989529017299E-3</v>
      </c>
      <c r="W78" s="15">
        <v>1.21764865153919E-3</v>
      </c>
      <c r="X78" s="34">
        <v>1</v>
      </c>
      <c r="Y78" s="34">
        <v>1.0029086172027599</v>
      </c>
      <c r="Z78" s="34">
        <v>1.0017927686314401</v>
      </c>
      <c r="AA78" s="34">
        <v>1.0014477480848101</v>
      </c>
      <c r="AB78" s="33">
        <v>44.629433465523</v>
      </c>
      <c r="AC78" s="33">
        <v>44.581968703730297</v>
      </c>
      <c r="AD78" s="33">
        <v>44.554218367755702</v>
      </c>
      <c r="AE78" s="15">
        <v>2.9043953602506602E-3</v>
      </c>
      <c r="AF78" s="15">
        <v>1.8402989529017299E-3</v>
      </c>
      <c r="AG78" s="15">
        <v>1.21764865153919E-3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1.4460536729942488E-2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1.551023533159974E-2</v>
      </c>
      <c r="BE78" s="29">
        <f t="shared" si="22"/>
        <v>0</v>
      </c>
      <c r="BF78" s="29">
        <f t="shared" si="23"/>
        <v>2.9970772061542229E-2</v>
      </c>
      <c r="BH78" s="29"/>
    </row>
    <row r="79" spans="1:60" x14ac:dyDescent="0.25">
      <c r="A79" s="1">
        <v>46136</v>
      </c>
      <c r="B79" s="33">
        <v>45.41</v>
      </c>
      <c r="C79" s="33">
        <v>45.63</v>
      </c>
      <c r="D79" s="15">
        <v>2.0243155937665101E-2</v>
      </c>
      <c r="E79" s="15">
        <v>2.50762057671166E-2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45.41</v>
      </c>
      <c r="M79" s="33">
        <v>45.63</v>
      </c>
      <c r="N79" s="34">
        <v>1.0048447478528899</v>
      </c>
      <c r="O79" s="34">
        <v>1.0029086172027599</v>
      </c>
      <c r="P79" s="34">
        <v>1.00210167281227</v>
      </c>
      <c r="Q79" s="34">
        <v>1.0014749830885299</v>
      </c>
      <c r="R79" s="33">
        <v>45.5420803071775</v>
      </c>
      <c r="S79" s="33">
        <v>45.491409623554098</v>
      </c>
      <c r="T79" s="33">
        <v>45.475742240531197</v>
      </c>
      <c r="U79" s="15">
        <v>-1.9286544692008101E-3</v>
      </c>
      <c r="V79" s="15">
        <v>-3.0418862895990398E-3</v>
      </c>
      <c r="W79" s="15">
        <v>-3.3863487215157499E-3</v>
      </c>
      <c r="X79" s="34">
        <v>1.0048447478528899</v>
      </c>
      <c r="Y79" s="34">
        <v>1.0029086172027599</v>
      </c>
      <c r="Z79" s="34">
        <v>1.00210167281227</v>
      </c>
      <c r="AA79" s="34">
        <v>1.0014749830885299</v>
      </c>
      <c r="AB79" s="33">
        <v>45.5420803071775</v>
      </c>
      <c r="AC79" s="33">
        <v>45.491409623554098</v>
      </c>
      <c r="AD79" s="33">
        <v>45.475742240531197</v>
      </c>
      <c r="AE79" s="15">
        <v>-1.9286544692008101E-3</v>
      </c>
      <c r="AF79" s="15">
        <v>-3.0418862895990398E-3</v>
      </c>
      <c r="AG79" s="15">
        <v>-3.3863487215157499E-3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1.4460536729942488E-2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1.551023533159974E-2</v>
      </c>
      <c r="BE79" s="29">
        <f t="shared" si="22"/>
        <v>0</v>
      </c>
      <c r="BF79" s="29">
        <f t="shared" si="23"/>
        <v>2.9970772061542229E-2</v>
      </c>
      <c r="BH79" s="29"/>
    </row>
    <row r="80" spans="1:60" x14ac:dyDescent="0.25">
      <c r="A80" s="1">
        <v>46139</v>
      </c>
      <c r="B80" s="33">
        <v>45.59</v>
      </c>
      <c r="C80" s="33">
        <v>45.69</v>
      </c>
      <c r="D80" s="15">
        <v>3.9560491154904901E-3</v>
      </c>
      <c r="E80" s="15">
        <v>1.31406063586881E-3</v>
      </c>
      <c r="F80" s="33">
        <v>0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45.59</v>
      </c>
      <c r="M80" s="33">
        <v>45.69</v>
      </c>
      <c r="N80" s="34">
        <v>1.0021934634788301</v>
      </c>
      <c r="O80" s="34">
        <v>1.0029086172027599</v>
      </c>
      <c r="P80" s="34">
        <v>1.00197525477389</v>
      </c>
      <c r="Q80" s="34">
        <v>1.00162174825061</v>
      </c>
      <c r="R80" s="33">
        <v>45.722603858273999</v>
      </c>
      <c r="S80" s="33">
        <v>45.6858152635116</v>
      </c>
      <c r="T80" s="33">
        <v>45.657244479006501</v>
      </c>
      <c r="U80" s="15">
        <v>7.1333401042077496E-4</v>
      </c>
      <c r="V80" s="15">
        <v>-9.1593962346381202E-5</v>
      </c>
      <c r="W80" s="15">
        <v>-7.1716498038272699E-4</v>
      </c>
      <c r="X80" s="34">
        <v>1.0021934634788301</v>
      </c>
      <c r="Y80" s="34">
        <v>1.0029086172027599</v>
      </c>
      <c r="Z80" s="34">
        <v>1.00197525477389</v>
      </c>
      <c r="AA80" s="34">
        <v>1.00162174825061</v>
      </c>
      <c r="AB80" s="33">
        <v>45.722603858273999</v>
      </c>
      <c r="AC80" s="33">
        <v>45.6858152635116</v>
      </c>
      <c r="AD80" s="33">
        <v>45.657244479006501</v>
      </c>
      <c r="AE80" s="15">
        <v>7.1333401042077496E-4</v>
      </c>
      <c r="AF80" s="15">
        <v>-9.1593962346381202E-5</v>
      </c>
      <c r="AG80" s="15">
        <v>-7.1716498038272699E-4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1.4460536729942488E-2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1.551023533159974E-2</v>
      </c>
      <c r="BE80" s="29">
        <f t="shared" si="22"/>
        <v>0</v>
      </c>
      <c r="BF80" s="29">
        <f t="shared" si="23"/>
        <v>2.9970772061542229E-2</v>
      </c>
      <c r="BH80" s="29"/>
    </row>
    <row r="81" spans="1:60" x14ac:dyDescent="0.25">
      <c r="A81" s="1">
        <v>46140</v>
      </c>
      <c r="B81" s="33">
        <v>44.76</v>
      </c>
      <c r="C81" s="33">
        <v>44.91</v>
      </c>
      <c r="D81" s="15">
        <v>-1.83735107816256E-2</v>
      </c>
      <c r="E81" s="15">
        <v>-1.7218968475533499E-2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44.76</v>
      </c>
      <c r="M81" s="33">
        <v>44.91</v>
      </c>
      <c r="N81" s="34">
        <v>1.00335120643431</v>
      </c>
      <c r="O81" s="34">
        <v>1.0029086172027599</v>
      </c>
      <c r="P81" s="34">
        <v>1.0020413609883601</v>
      </c>
      <c r="Q81" s="34">
        <v>1.0019854350739199</v>
      </c>
      <c r="R81" s="33">
        <v>44.890189705995702</v>
      </c>
      <c r="S81" s="33">
        <v>44.848412403679298</v>
      </c>
      <c r="T81" s="33">
        <v>44.832589451697302</v>
      </c>
      <c r="U81" s="15">
        <v>-4.4120829567150899E-4</v>
      </c>
      <c r="V81" s="15">
        <v>-1.3722971326372299E-3</v>
      </c>
      <c r="W81" s="15">
        <v>-1.7251690189627499E-3</v>
      </c>
      <c r="X81" s="34">
        <v>1.00335120643431</v>
      </c>
      <c r="Y81" s="34">
        <v>1.0029086172027599</v>
      </c>
      <c r="Z81" s="34">
        <v>1.0020413609883601</v>
      </c>
      <c r="AA81" s="34">
        <v>1.0019854350739199</v>
      </c>
      <c r="AB81" s="33">
        <v>44.890189705995702</v>
      </c>
      <c r="AC81" s="33">
        <v>44.848412403679298</v>
      </c>
      <c r="AD81" s="33">
        <v>44.832589451697302</v>
      </c>
      <c r="AE81" s="15">
        <v>-4.4120829567150899E-4</v>
      </c>
      <c r="AF81" s="15">
        <v>-1.3722971326372299E-3</v>
      </c>
      <c r="AG81" s="15">
        <v>-1.7251690189627499E-3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1.4460536729942488E-2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1.551023533159974E-2</v>
      </c>
      <c r="BE81" s="29">
        <f t="shared" si="22"/>
        <v>0</v>
      </c>
      <c r="BF81" s="29">
        <f t="shared" si="23"/>
        <v>2.9970772061542229E-2</v>
      </c>
      <c r="BH81" s="29"/>
    </row>
    <row r="82" spans="1:60" x14ac:dyDescent="0.25">
      <c r="A82" s="1">
        <v>46141</v>
      </c>
      <c r="B82" s="33">
        <v>43.41</v>
      </c>
      <c r="C82" s="33">
        <v>43.45</v>
      </c>
      <c r="D82" s="15">
        <v>-3.0625054132222301E-2</v>
      </c>
      <c r="E82" s="15">
        <v>-3.3049635388245402E-2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43.41</v>
      </c>
      <c r="M82" s="33">
        <v>43.45</v>
      </c>
      <c r="N82" s="34">
        <v>1.0009214466712699</v>
      </c>
      <c r="O82" s="34">
        <v>1.0029086172027599</v>
      </c>
      <c r="P82" s="34">
        <v>1.0018576435865201</v>
      </c>
      <c r="Q82" s="34">
        <v>1.00201942427553</v>
      </c>
      <c r="R82" s="33">
        <v>43.536263072772002</v>
      </c>
      <c r="S82" s="33">
        <v>43.498615480504903</v>
      </c>
      <c r="T82" s="33">
        <v>43.496187736558902</v>
      </c>
      <c r="U82" s="15">
        <v>1.98337296035162E-3</v>
      </c>
      <c r="V82" s="15">
        <v>1.11825784234597E-3</v>
      </c>
      <c r="W82" s="15">
        <v>1.0624443027573E-3</v>
      </c>
      <c r="X82" s="34">
        <v>1.0009214466712699</v>
      </c>
      <c r="Y82" s="34">
        <v>1.0029086172027599</v>
      </c>
      <c r="Z82" s="34">
        <v>1.0018576435865201</v>
      </c>
      <c r="AA82" s="34">
        <v>1.00201942427553</v>
      </c>
      <c r="AB82" s="33">
        <v>43.536263072772002</v>
      </c>
      <c r="AC82" s="33">
        <v>43.498615480504903</v>
      </c>
      <c r="AD82" s="33">
        <v>43.496187736558902</v>
      </c>
      <c r="AE82" s="15">
        <v>1.98337296035162E-3</v>
      </c>
      <c r="AF82" s="15">
        <v>1.11825784234597E-3</v>
      </c>
      <c r="AG82" s="15">
        <v>1.0624443027573E-3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1.4460536729942488E-2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1.551023533159974E-2</v>
      </c>
      <c r="BE82" s="29">
        <f t="shared" si="22"/>
        <v>0</v>
      </c>
      <c r="BF82" s="29">
        <f t="shared" si="23"/>
        <v>2.9970772061542229E-2</v>
      </c>
      <c r="BH82" s="29"/>
    </row>
    <row r="83" spans="1:60" x14ac:dyDescent="0.25">
      <c r="A83" s="1">
        <v>46142</v>
      </c>
      <c r="B83" s="33">
        <v>44.4</v>
      </c>
      <c r="C83" s="33">
        <v>44.61</v>
      </c>
      <c r="D83" s="15">
        <v>2.25496401266768E-2</v>
      </c>
      <c r="E83" s="15">
        <v>2.6347197428772302E-2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44.4</v>
      </c>
      <c r="M83" s="33">
        <v>44.61</v>
      </c>
      <c r="N83" s="34">
        <v>1.00472972972972</v>
      </c>
      <c r="O83" s="34">
        <v>1.0029086172027599</v>
      </c>
      <c r="P83" s="34">
        <v>1.0022852445086801</v>
      </c>
      <c r="Q83" s="34">
        <v>1.0022806082181801</v>
      </c>
      <c r="R83" s="33">
        <v>44.529142603802697</v>
      </c>
      <c r="S83" s="33">
        <v>44.482479375241802</v>
      </c>
      <c r="T83" s="33">
        <v>44.4896624378338</v>
      </c>
      <c r="U83" s="15">
        <v>-1.81418434174374E-3</v>
      </c>
      <c r="V83" s="15">
        <v>-2.8626594014762598E-3</v>
      </c>
      <c r="W83" s="15">
        <v>-2.7011917226898801E-3</v>
      </c>
      <c r="X83" s="34">
        <v>1.00472972972972</v>
      </c>
      <c r="Y83" s="34">
        <v>1.0029086172027599</v>
      </c>
      <c r="Z83" s="34">
        <v>1.0022852445086801</v>
      </c>
      <c r="AA83" s="34">
        <v>1.0022806082181801</v>
      </c>
      <c r="AB83" s="33">
        <v>44.529142603802697</v>
      </c>
      <c r="AC83" s="33">
        <v>44.482479375241802</v>
      </c>
      <c r="AD83" s="33">
        <v>44.4896624378338</v>
      </c>
      <c r="AE83" s="15">
        <v>-1.81418434174374E-3</v>
      </c>
      <c r="AF83" s="15">
        <v>-2.8626594014762598E-3</v>
      </c>
      <c r="AG83" s="15">
        <v>-2.7011917226898801E-3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1.4460536729942488E-2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1.551023533159974E-2</v>
      </c>
      <c r="BE83" s="29">
        <f t="shared" si="22"/>
        <v>0</v>
      </c>
      <c r="BF83" s="29">
        <f t="shared" si="23"/>
        <v>2.9970772061542229E-2</v>
      </c>
      <c r="BH83" s="29"/>
    </row>
    <row r="84" spans="1:60" x14ac:dyDescent="0.25">
      <c r="A84" s="1">
        <v>46143</v>
      </c>
      <c r="B84" s="33">
        <v>45.28</v>
      </c>
      <c r="C84" s="33">
        <v>45.5</v>
      </c>
      <c r="D84" s="15">
        <v>1.9625964456748399E-2</v>
      </c>
      <c r="E84" s="15">
        <v>1.9754276816731201E-2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45.28</v>
      </c>
      <c r="M84" s="33">
        <v>45.5</v>
      </c>
      <c r="N84" s="34">
        <v>1.0048586572438101</v>
      </c>
      <c r="O84" s="34">
        <v>1.0029086172027599</v>
      </c>
      <c r="P84" s="34">
        <v>1.00245100780028</v>
      </c>
      <c r="Q84" s="34">
        <v>1.00247427999663</v>
      </c>
      <c r="R84" s="33">
        <v>45.411702186941199</v>
      </c>
      <c r="S84" s="33">
        <v>45.383475871353198</v>
      </c>
      <c r="T84" s="33">
        <v>45.383265940119401</v>
      </c>
      <c r="U84" s="15">
        <v>-1.9424967017266301E-3</v>
      </c>
      <c r="V84" s="15">
        <v>-2.5642547532211402E-3</v>
      </c>
      <c r="W84" s="15">
        <v>-2.5688804835184002E-3</v>
      </c>
      <c r="X84" s="34">
        <v>1.0048586572438101</v>
      </c>
      <c r="Y84" s="34">
        <v>1.0029086172027599</v>
      </c>
      <c r="Z84" s="34">
        <v>1.00245100780028</v>
      </c>
      <c r="AA84" s="34">
        <v>1.00247427999663</v>
      </c>
      <c r="AB84" s="33">
        <v>45.411702186941199</v>
      </c>
      <c r="AC84" s="33">
        <v>45.383475871353198</v>
      </c>
      <c r="AD84" s="33">
        <v>45.383265940119401</v>
      </c>
      <c r="AE84" s="15">
        <v>-1.9424967017266301E-3</v>
      </c>
      <c r="AF84" s="15">
        <v>-2.5642547532211402E-3</v>
      </c>
      <c r="AG84" s="15">
        <v>-2.5688804835184002E-3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1.4460536729942488E-2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1.551023533159974E-2</v>
      </c>
      <c r="BE84" s="29">
        <f t="shared" si="22"/>
        <v>0</v>
      </c>
      <c r="BF84" s="29">
        <f t="shared" si="23"/>
        <v>2.9970772061542229E-2</v>
      </c>
      <c r="BH84" s="29"/>
    </row>
    <row r="85" spans="1:60" x14ac:dyDescent="0.25">
      <c r="A85" s="1">
        <v>46146</v>
      </c>
      <c r="B85" s="33">
        <v>44.03</v>
      </c>
      <c r="C85" s="33">
        <v>44.27</v>
      </c>
      <c r="D85" s="15">
        <v>-2.7994214127265001E-2</v>
      </c>
      <c r="E85" s="15">
        <v>-2.7405079212855E-2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44.03</v>
      </c>
      <c r="M85" s="33">
        <v>44.27</v>
      </c>
      <c r="N85" s="34">
        <v>1.00545082898024</v>
      </c>
      <c r="O85" s="34">
        <v>1.0029086172027599</v>
      </c>
      <c r="P85" s="34">
        <v>1.00270010761163</v>
      </c>
      <c r="Q85" s="34">
        <v>1.0025547446149099</v>
      </c>
      <c r="R85" s="33">
        <v>44.158066415437702</v>
      </c>
      <c r="S85" s="33">
        <v>44.137917873446597</v>
      </c>
      <c r="T85" s="33">
        <v>44.138942548251698</v>
      </c>
      <c r="U85" s="15">
        <v>-2.5316316161365501E-3</v>
      </c>
      <c r="V85" s="15">
        <v>-2.98801799662958E-3</v>
      </c>
      <c r="W85" s="15">
        <v>-2.9648029706255E-3</v>
      </c>
      <c r="X85" s="34">
        <v>1.00545082898024</v>
      </c>
      <c r="Y85" s="34">
        <v>1.0029086172027599</v>
      </c>
      <c r="Z85" s="34">
        <v>1.00270010761163</v>
      </c>
      <c r="AA85" s="34">
        <v>1.0025547446149099</v>
      </c>
      <c r="AB85" s="33">
        <v>44.158066415437702</v>
      </c>
      <c r="AC85" s="33">
        <v>44.137917873446597</v>
      </c>
      <c r="AD85" s="33">
        <v>44.138942548251698</v>
      </c>
      <c r="AE85" s="15">
        <v>-2.5316316161365501E-3</v>
      </c>
      <c r="AF85" s="15">
        <v>-2.98801799662958E-3</v>
      </c>
      <c r="AG85" s="15">
        <v>-2.9648029706255E-3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1.4460536729942488E-2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1.551023533159974E-2</v>
      </c>
      <c r="BE85" s="29">
        <f t="shared" si="22"/>
        <v>0</v>
      </c>
      <c r="BF85" s="29">
        <f t="shared" si="23"/>
        <v>2.9970772061542229E-2</v>
      </c>
      <c r="BH85" s="29"/>
    </row>
    <row r="86" spans="1:60" x14ac:dyDescent="0.25">
      <c r="A86" s="1">
        <v>46147</v>
      </c>
      <c r="B86" s="33">
        <v>43.54</v>
      </c>
      <c r="C86" s="33">
        <v>43.88</v>
      </c>
      <c r="D86" s="15">
        <v>-1.1191163961261101E-2</v>
      </c>
      <c r="E86" s="15">
        <v>-8.8486113370201801E-3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43.54</v>
      </c>
      <c r="M86" s="33">
        <v>43.88</v>
      </c>
      <c r="N86" s="34">
        <v>1.0078089113458799</v>
      </c>
      <c r="O86" s="34">
        <v>1.0029086172027599</v>
      </c>
      <c r="P86" s="34">
        <v>1.00345933966023</v>
      </c>
      <c r="Q86" s="34">
        <v>1.0027858373996601</v>
      </c>
      <c r="R86" s="33">
        <v>43.666641193008402</v>
      </c>
      <c r="S86" s="33">
        <v>43.657562685410397</v>
      </c>
      <c r="T86" s="33">
        <v>43.651233580533201</v>
      </c>
      <c r="U86" s="15">
        <v>-4.8741842403774603E-3</v>
      </c>
      <c r="V86" s="15">
        <v>-5.0821107310296803E-3</v>
      </c>
      <c r="W86" s="15">
        <v>-5.2270927983330802E-3</v>
      </c>
      <c r="X86" s="34">
        <v>1.0078089113458799</v>
      </c>
      <c r="Y86" s="34">
        <v>1.0029086172027599</v>
      </c>
      <c r="Z86" s="34">
        <v>1.00345933966023</v>
      </c>
      <c r="AA86" s="34">
        <v>1.0027858373996601</v>
      </c>
      <c r="AB86" s="33">
        <v>43.666641193008402</v>
      </c>
      <c r="AC86" s="33">
        <v>43.657562685410397</v>
      </c>
      <c r="AD86" s="33">
        <v>43.651233580533201</v>
      </c>
      <c r="AE86" s="15">
        <v>-4.8741842403774603E-3</v>
      </c>
      <c r="AF86" s="15">
        <v>-5.0821107310296803E-3</v>
      </c>
      <c r="AG86" s="15">
        <v>-5.2270927983330802E-3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1.4460536729942488E-2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1.551023533159974E-2</v>
      </c>
      <c r="BE86" s="29">
        <f t="shared" si="22"/>
        <v>0</v>
      </c>
      <c r="BF86" s="29">
        <f t="shared" si="23"/>
        <v>2.9970772061542229E-2</v>
      </c>
      <c r="BH86" s="29"/>
    </row>
    <row r="87" spans="1:60" x14ac:dyDescent="0.25">
      <c r="A87" s="1">
        <v>46148</v>
      </c>
      <c r="B87" s="33">
        <v>44.53</v>
      </c>
      <c r="C87" s="33">
        <v>44.83</v>
      </c>
      <c r="D87" s="15">
        <v>2.2483063527209701E-2</v>
      </c>
      <c r="E87" s="15">
        <v>2.14189227603186E-2</v>
      </c>
      <c r="F87" s="33">
        <v>0</v>
      </c>
      <c r="G87" s="33">
        <v>0</v>
      </c>
      <c r="H87" s="33">
        <v>0</v>
      </c>
      <c r="I87" s="33">
        <v>0</v>
      </c>
      <c r="J87" s="33">
        <v>0</v>
      </c>
      <c r="K87" s="33">
        <v>0</v>
      </c>
      <c r="L87" s="33">
        <v>44.53</v>
      </c>
      <c r="M87" s="33">
        <v>44.83</v>
      </c>
      <c r="N87" s="34">
        <v>1.00673703121491</v>
      </c>
      <c r="O87" s="34">
        <v>1.0029086172027599</v>
      </c>
      <c r="P87" s="34">
        <v>1.00408960229519</v>
      </c>
      <c r="Q87" s="34">
        <v>1.0029657978187201</v>
      </c>
      <c r="R87" s="33">
        <v>44.659520724039098</v>
      </c>
      <c r="S87" s="33">
        <v>44.684044395070103</v>
      </c>
      <c r="T87" s="33">
        <v>44.6540533394069</v>
      </c>
      <c r="U87" s="15">
        <v>-3.8100434734864401E-3</v>
      </c>
      <c r="V87" s="15">
        <v>-3.2610689253085201E-3</v>
      </c>
      <c r="W87" s="15">
        <v>-3.9324746872490797E-3</v>
      </c>
      <c r="X87" s="34">
        <v>1.00673703121491</v>
      </c>
      <c r="Y87" s="34">
        <v>1.0029086172027599</v>
      </c>
      <c r="Z87" s="34">
        <v>1.00408960229519</v>
      </c>
      <c r="AA87" s="34">
        <v>1.0029657978187201</v>
      </c>
      <c r="AB87" s="33">
        <v>44.659520724039098</v>
      </c>
      <c r="AC87" s="33">
        <v>44.684044395070103</v>
      </c>
      <c r="AD87" s="33">
        <v>44.6540533394069</v>
      </c>
      <c r="AE87" s="15">
        <v>-3.8100434734864401E-3</v>
      </c>
      <c r="AF87" s="15">
        <v>-3.2610689253085201E-3</v>
      </c>
      <c r="AG87" s="15">
        <v>-3.9324746872490797E-3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1.4460536729942488E-2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1.551023533159974E-2</v>
      </c>
      <c r="BE87" s="29">
        <f t="shared" ref="BE87:BE150" si="42">AQ87+BB87</f>
        <v>0</v>
      </c>
      <c r="BF87" s="29">
        <f t="shared" ref="BF87:BF150" si="43">BF86+BE87</f>
        <v>2.9970772061542229E-2</v>
      </c>
      <c r="BH87" s="29"/>
    </row>
    <row r="88" spans="1:60" x14ac:dyDescent="0.25">
      <c r="A88" s="1">
        <v>46149</v>
      </c>
      <c r="B88" s="33">
        <v>43.68</v>
      </c>
      <c r="C88" s="33">
        <v>44.04</v>
      </c>
      <c r="D88" s="15">
        <v>-1.92727878969613E-2</v>
      </c>
      <c r="E88" s="15">
        <v>-1.7779246312868899E-2</v>
      </c>
      <c r="F88" s="33">
        <v>0</v>
      </c>
      <c r="G88" s="33">
        <v>0</v>
      </c>
      <c r="H88" s="33">
        <v>0</v>
      </c>
      <c r="I88" s="33">
        <v>0</v>
      </c>
      <c r="J88" s="33">
        <v>0</v>
      </c>
      <c r="K88" s="33">
        <v>0</v>
      </c>
      <c r="L88" s="33">
        <v>43.68</v>
      </c>
      <c r="M88" s="33">
        <v>44.04</v>
      </c>
      <c r="N88" s="34">
        <v>1.00824175824175</v>
      </c>
      <c r="O88" s="34">
        <v>1.0029086172027599</v>
      </c>
      <c r="P88" s="34">
        <v>1.00491377811936</v>
      </c>
      <c r="Q88" s="34">
        <v>1.0033532733754</v>
      </c>
      <c r="R88" s="33">
        <v>43.807048399416701</v>
      </c>
      <c r="S88" s="33">
        <v>43.8586338282539</v>
      </c>
      <c r="T88" s="33">
        <v>43.809546048721799</v>
      </c>
      <c r="U88" s="15">
        <v>-5.3035850575789698E-3</v>
      </c>
      <c r="V88" s="15">
        <v>-4.1267178164833603E-3</v>
      </c>
      <c r="W88" s="15">
        <v>-5.2465719010777699E-3</v>
      </c>
      <c r="X88" s="34">
        <v>1.00824175824175</v>
      </c>
      <c r="Y88" s="34">
        <v>1.0029086172027599</v>
      </c>
      <c r="Z88" s="34">
        <v>1.00491377811936</v>
      </c>
      <c r="AA88" s="34">
        <v>1.0033532733754</v>
      </c>
      <c r="AB88" s="33">
        <v>43.807048399416701</v>
      </c>
      <c r="AC88" s="33">
        <v>43.8586338282539</v>
      </c>
      <c r="AD88" s="33">
        <v>43.809546048721799</v>
      </c>
      <c r="AE88" s="15">
        <v>-5.3035850575789698E-3</v>
      </c>
      <c r="AF88" s="15">
        <v>-4.1267178164833603E-3</v>
      </c>
      <c r="AG88" s="15">
        <v>-5.2465719010777699E-3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1.4460536729942488E-2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1.551023533159974E-2</v>
      </c>
      <c r="BE88" s="29">
        <f t="shared" si="42"/>
        <v>0</v>
      </c>
      <c r="BF88" s="29">
        <f t="shared" si="43"/>
        <v>2.9970772061542229E-2</v>
      </c>
      <c r="BH88" s="29"/>
    </row>
    <row r="89" spans="1:60" x14ac:dyDescent="0.25">
      <c r="A89" s="1">
        <v>46150</v>
      </c>
      <c r="B89" s="33">
        <v>41.43</v>
      </c>
      <c r="C89" s="33">
        <v>41.94</v>
      </c>
      <c r="D89" s="15">
        <v>-5.2885075347339203E-2</v>
      </c>
      <c r="E89" s="15">
        <v>-4.8858286380705301E-2</v>
      </c>
      <c r="F89" s="33">
        <v>0</v>
      </c>
      <c r="G89" s="33">
        <v>0</v>
      </c>
      <c r="H89" s="33">
        <v>0</v>
      </c>
      <c r="I89" s="33">
        <v>0</v>
      </c>
      <c r="J89" s="33">
        <v>0</v>
      </c>
      <c r="K89" s="33">
        <v>0</v>
      </c>
      <c r="L89" s="33">
        <v>41.43</v>
      </c>
      <c r="M89" s="33">
        <v>41.94</v>
      </c>
      <c r="N89" s="34">
        <v>1.0123099203475701</v>
      </c>
      <c r="O89" s="34">
        <v>1.0029086172027599</v>
      </c>
      <c r="P89" s="34">
        <v>1.0056602953688301</v>
      </c>
      <c r="Q89" s="34">
        <v>1.00388098409055</v>
      </c>
      <c r="R89" s="33">
        <v>41.550504010710497</v>
      </c>
      <c r="S89" s="33">
        <v>41.633577827485297</v>
      </c>
      <c r="T89" s="33">
        <v>41.5689261159431</v>
      </c>
      <c r="U89" s="15">
        <v>-9.3303740242126898E-3</v>
      </c>
      <c r="V89" s="15">
        <v>-7.3330244699001002E-3</v>
      </c>
      <c r="W89" s="15">
        <v>-8.8871056931822002E-3</v>
      </c>
      <c r="X89" s="34">
        <v>1.0123099203475701</v>
      </c>
      <c r="Y89" s="34">
        <v>1.0029086172027599</v>
      </c>
      <c r="Z89" s="34">
        <v>1.0056602953688301</v>
      </c>
      <c r="AA89" s="34">
        <v>1.00388098409055</v>
      </c>
      <c r="AB89" s="33">
        <v>41.550504010710497</v>
      </c>
      <c r="AC89" s="33">
        <v>41.633577827485297</v>
      </c>
      <c r="AD89" s="33">
        <v>41.5689261159431</v>
      </c>
      <c r="AE89" s="15">
        <v>-9.3303740242126898E-3</v>
      </c>
      <c r="AF89" s="15">
        <v>-7.3330244699001002E-3</v>
      </c>
      <c r="AG89" s="15">
        <v>-8.8871056931822002E-3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1.4460536729942488E-2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1.551023533159974E-2</v>
      </c>
      <c r="BE89" s="29">
        <f t="shared" si="42"/>
        <v>0</v>
      </c>
      <c r="BF89" s="29">
        <f t="shared" si="43"/>
        <v>2.9970772061542229E-2</v>
      </c>
      <c r="BH89" s="29"/>
    </row>
    <row r="90" spans="1:60" x14ac:dyDescent="0.25">
      <c r="A90" s="1">
        <v>46153</v>
      </c>
      <c r="B90" s="33">
        <v>40.44</v>
      </c>
      <c r="C90" s="33">
        <v>40.65</v>
      </c>
      <c r="D90" s="15">
        <v>-2.4185861937039699E-2</v>
      </c>
      <c r="E90" s="15">
        <v>-3.1241189479954301E-2</v>
      </c>
      <c r="F90" s="33">
        <v>0</v>
      </c>
      <c r="G90" s="33">
        <v>0</v>
      </c>
      <c r="H90" s="33">
        <v>0</v>
      </c>
      <c r="I90" s="33">
        <v>0</v>
      </c>
      <c r="J90" s="33">
        <v>0</v>
      </c>
      <c r="K90" s="33">
        <v>0</v>
      </c>
      <c r="L90" s="33">
        <v>40.44</v>
      </c>
      <c r="M90" s="33">
        <v>40.65</v>
      </c>
      <c r="N90" s="34">
        <v>1.00519287833827</v>
      </c>
      <c r="O90" s="34">
        <v>1.0029086172027599</v>
      </c>
      <c r="P90" s="34">
        <v>1.00596023685477</v>
      </c>
      <c r="Q90" s="34">
        <v>1.0039677458143299</v>
      </c>
      <c r="R90" s="33">
        <v>40.557624479679802</v>
      </c>
      <c r="S90" s="33">
        <v>40.668902344715598</v>
      </c>
      <c r="T90" s="33">
        <v>40.596946996622002</v>
      </c>
      <c r="U90" s="15">
        <v>-2.2750464812983499E-3</v>
      </c>
      <c r="V90" s="15">
        <v>4.6489424994877997E-4</v>
      </c>
      <c r="W90" s="15">
        <v>-1.3059693411145599E-3</v>
      </c>
      <c r="X90" s="34">
        <v>1.00519287833827</v>
      </c>
      <c r="Y90" s="34">
        <v>1.0029086172027599</v>
      </c>
      <c r="Z90" s="34">
        <v>1.00596023685477</v>
      </c>
      <c r="AA90" s="34">
        <v>1.0039677458143299</v>
      </c>
      <c r="AB90" s="33">
        <v>40.557624479679802</v>
      </c>
      <c r="AC90" s="33">
        <v>40.668902344715598</v>
      </c>
      <c r="AD90" s="33">
        <v>40.596946996622002</v>
      </c>
      <c r="AE90" s="15">
        <v>-2.2750464812983499E-3</v>
      </c>
      <c r="AF90" s="15">
        <v>4.6489424994877997E-4</v>
      </c>
      <c r="AG90" s="15">
        <v>-1.3059693411145599E-3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1.4460536729942488E-2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1.551023533159974E-2</v>
      </c>
      <c r="BE90" s="29">
        <f t="shared" si="42"/>
        <v>0</v>
      </c>
      <c r="BF90" s="29">
        <f t="shared" si="43"/>
        <v>2.9970772061542229E-2</v>
      </c>
      <c r="BH90" s="29"/>
    </row>
    <row r="91" spans="1:60" x14ac:dyDescent="0.25">
      <c r="A91" s="1">
        <v>46154</v>
      </c>
      <c r="B91" s="33">
        <v>39.630000000000003</v>
      </c>
      <c r="C91" s="33">
        <v>39.840000000000003</v>
      </c>
      <c r="D91" s="15">
        <v>-2.0232986949926899E-2</v>
      </c>
      <c r="E91" s="15">
        <v>-2.01274032774219E-2</v>
      </c>
      <c r="F91" s="33">
        <v>0</v>
      </c>
      <c r="G91" s="33">
        <v>0</v>
      </c>
      <c r="H91" s="33">
        <v>0</v>
      </c>
      <c r="I91" s="33">
        <v>0</v>
      </c>
      <c r="J91" s="33">
        <v>0</v>
      </c>
      <c r="K91" s="33">
        <v>0</v>
      </c>
      <c r="L91" s="33">
        <v>39.630000000000003</v>
      </c>
      <c r="M91" s="33">
        <v>39.840000000000003</v>
      </c>
      <c r="N91" s="34">
        <v>1.0052990158970401</v>
      </c>
      <c r="O91" s="34">
        <v>1.0029086172027599</v>
      </c>
      <c r="P91" s="34">
        <v>1.0061550178010501</v>
      </c>
      <c r="Q91" s="34">
        <v>1.0040981893947001</v>
      </c>
      <c r="R91" s="33">
        <v>39.745268499745599</v>
      </c>
      <c r="S91" s="33">
        <v>39.866204186554803</v>
      </c>
      <c r="T91" s="33">
        <v>39.787241766622003</v>
      </c>
      <c r="U91" s="15">
        <v>-2.3806301538031299E-3</v>
      </c>
      <c r="V91" s="15">
        <v>6.5751939303568805E-4</v>
      </c>
      <c r="W91" s="15">
        <v>-1.3251304434909099E-3</v>
      </c>
      <c r="X91" s="34">
        <v>1.0052990158970401</v>
      </c>
      <c r="Y91" s="34">
        <v>1.0029086172027599</v>
      </c>
      <c r="Z91" s="34">
        <v>1.0061550178010501</v>
      </c>
      <c r="AA91" s="34">
        <v>1.0040981893947001</v>
      </c>
      <c r="AB91" s="33">
        <v>39.745268499745599</v>
      </c>
      <c r="AC91" s="33">
        <v>39.866204186554803</v>
      </c>
      <c r="AD91" s="33">
        <v>39.787241766622003</v>
      </c>
      <c r="AE91" s="15">
        <v>-2.3806301538031299E-3</v>
      </c>
      <c r="AF91" s="15">
        <v>6.5751939303568805E-4</v>
      </c>
      <c r="AG91" s="15">
        <v>-1.3251304434909099E-3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1.4460536729942488E-2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1.551023533159974E-2</v>
      </c>
      <c r="BE91" s="29">
        <f t="shared" si="42"/>
        <v>0</v>
      </c>
      <c r="BF91" s="29">
        <f t="shared" si="43"/>
        <v>2.9970772061542229E-2</v>
      </c>
      <c r="BH91" s="29"/>
    </row>
    <row r="92" spans="1:60" x14ac:dyDescent="0.25">
      <c r="A92" s="1">
        <v>46155</v>
      </c>
      <c r="B92" s="33">
        <v>38.53</v>
      </c>
      <c r="C92" s="33">
        <v>38.880000000000003</v>
      </c>
      <c r="D92" s="15">
        <v>-2.8149248564277401E-2</v>
      </c>
      <c r="E92" s="15">
        <v>-2.43914531241591E-2</v>
      </c>
      <c r="F92" s="33">
        <v>0</v>
      </c>
      <c r="G92" s="33">
        <v>0</v>
      </c>
      <c r="H92" s="33">
        <v>0</v>
      </c>
      <c r="I92" s="33">
        <v>0</v>
      </c>
      <c r="J92" s="33">
        <v>0</v>
      </c>
      <c r="K92" s="33">
        <v>0</v>
      </c>
      <c r="L92" s="33">
        <v>38.53</v>
      </c>
      <c r="M92" s="33">
        <v>38.880000000000003</v>
      </c>
      <c r="N92" s="34">
        <v>1.0090838307812</v>
      </c>
      <c r="O92" s="34">
        <v>1.0029086172027599</v>
      </c>
      <c r="P92" s="34">
        <v>1.0069712562120401</v>
      </c>
      <c r="Q92" s="34">
        <v>1.00441444989928</v>
      </c>
      <c r="R92" s="33">
        <v>38.642069020822497</v>
      </c>
      <c r="S92" s="33">
        <v>38.767152835874498</v>
      </c>
      <c r="T92" s="33">
        <v>38.687903237378102</v>
      </c>
      <c r="U92" s="15">
        <v>-6.1384255939215303E-3</v>
      </c>
      <c r="V92" s="15">
        <v>-2.9066679061662201E-3</v>
      </c>
      <c r="W92" s="15">
        <v>-4.9530062646655597E-3</v>
      </c>
      <c r="X92" s="34">
        <v>1.0090838307812</v>
      </c>
      <c r="Y92" s="34">
        <v>1.0029086172027599</v>
      </c>
      <c r="Z92" s="34">
        <v>1.0069712562120401</v>
      </c>
      <c r="AA92" s="34">
        <v>1.00441444989928</v>
      </c>
      <c r="AB92" s="33">
        <v>38.642069020822497</v>
      </c>
      <c r="AC92" s="33">
        <v>38.767152835874498</v>
      </c>
      <c r="AD92" s="33">
        <v>38.687903237378102</v>
      </c>
      <c r="AE92" s="15">
        <v>-6.1384255939215303E-3</v>
      </c>
      <c r="AF92" s="15">
        <v>-2.9066679061662201E-3</v>
      </c>
      <c r="AG92" s="15">
        <v>-4.9530062646655597E-3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1.4460536729942488E-2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1.551023533159974E-2</v>
      </c>
      <c r="BE92" s="29">
        <f t="shared" si="42"/>
        <v>0</v>
      </c>
      <c r="BF92" s="29">
        <f t="shared" si="43"/>
        <v>2.9970772061542229E-2</v>
      </c>
      <c r="BH92" s="29"/>
    </row>
    <row r="93" spans="1:60" x14ac:dyDescent="0.25">
      <c r="A93" s="1">
        <v>46156</v>
      </c>
      <c r="B93" s="33">
        <v>37.369999999999997</v>
      </c>
      <c r="C93" s="33">
        <v>37.86</v>
      </c>
      <c r="D93" s="15">
        <v>-3.0568915140673801E-2</v>
      </c>
      <c r="E93" s="15">
        <v>-2.6584833811061599E-2</v>
      </c>
      <c r="F93" s="33">
        <v>0</v>
      </c>
      <c r="G93" s="33">
        <v>0</v>
      </c>
      <c r="H93" s="33">
        <v>0</v>
      </c>
      <c r="I93" s="33">
        <v>0</v>
      </c>
      <c r="J93" s="33">
        <v>0</v>
      </c>
      <c r="K93" s="33">
        <v>0</v>
      </c>
      <c r="L93" s="33">
        <v>37.369999999999997</v>
      </c>
      <c r="M93" s="33">
        <v>37.86</v>
      </c>
      <c r="N93" s="34">
        <v>1.0131121220230099</v>
      </c>
      <c r="O93" s="34">
        <v>1.0029086172027599</v>
      </c>
      <c r="P93" s="34">
        <v>1.0078094954413701</v>
      </c>
      <c r="Q93" s="34">
        <v>1.00504736997502</v>
      </c>
      <c r="R93" s="33">
        <v>37.478695024867299</v>
      </c>
      <c r="S93" s="33">
        <v>37.630515844644101</v>
      </c>
      <c r="T93" s="33">
        <v>37.534967992736298</v>
      </c>
      <c r="U93" s="15">
        <v>-1.0122506923533701E-2</v>
      </c>
      <c r="V93" s="15">
        <v>-6.0798329348399297E-3</v>
      </c>
      <c r="W93" s="15">
        <v>-8.6221674877229402E-3</v>
      </c>
      <c r="X93" s="34">
        <v>1.0131121220230099</v>
      </c>
      <c r="Y93" s="34">
        <v>1.0029086172027599</v>
      </c>
      <c r="Z93" s="34">
        <v>1.0078094954413701</v>
      </c>
      <c r="AA93" s="34">
        <v>1.00504736997502</v>
      </c>
      <c r="AB93" s="33">
        <v>37.478695024867299</v>
      </c>
      <c r="AC93" s="33">
        <v>37.630515844644101</v>
      </c>
      <c r="AD93" s="33">
        <v>37.534967992736298</v>
      </c>
      <c r="AE93" s="15">
        <v>-1.0122506923533701E-2</v>
      </c>
      <c r="AF93" s="15">
        <v>-6.0798329348399297E-3</v>
      </c>
      <c r="AG93" s="15">
        <v>-8.6221674877229402E-3</v>
      </c>
      <c r="AI93" s="12"/>
      <c r="AJ93">
        <f t="shared" si="26"/>
        <v>0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1.4460536729942488E-2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1.551023533159974E-2</v>
      </c>
      <c r="BE93" s="29">
        <f t="shared" si="42"/>
        <v>0</v>
      </c>
      <c r="BF93" s="29">
        <f t="shared" si="43"/>
        <v>2.9970772061542229E-2</v>
      </c>
      <c r="BH93" s="29"/>
    </row>
    <row r="94" spans="1:60" x14ac:dyDescent="0.25">
      <c r="A94" s="1">
        <v>46157</v>
      </c>
      <c r="B94" s="33">
        <v>37.659999999999997</v>
      </c>
      <c r="C94" s="33">
        <v>38.06</v>
      </c>
      <c r="D94" s="15">
        <v>7.73027973161381E-3</v>
      </c>
      <c r="E94" s="15">
        <v>5.2687160868267798E-3</v>
      </c>
      <c r="F94" s="33">
        <v>0</v>
      </c>
      <c r="G94" s="33">
        <v>0</v>
      </c>
      <c r="H94" s="33">
        <v>0</v>
      </c>
      <c r="I94" s="33">
        <v>0</v>
      </c>
      <c r="J94" s="33">
        <v>0</v>
      </c>
      <c r="K94" s="33">
        <v>0</v>
      </c>
      <c r="L94" s="33">
        <v>37.659999999999997</v>
      </c>
      <c r="M94" s="33">
        <v>38.06</v>
      </c>
      <c r="N94" s="34">
        <v>1.0106213489113101</v>
      </c>
      <c r="O94" s="34">
        <v>1.0029086172027599</v>
      </c>
      <c r="P94" s="34">
        <v>1.00838576460812</v>
      </c>
      <c r="Q94" s="34">
        <v>1.0054183862042001</v>
      </c>
      <c r="R94" s="33">
        <v>37.769538523856099</v>
      </c>
      <c r="S94" s="33">
        <v>37.954105598322101</v>
      </c>
      <c r="T94" s="33">
        <v>37.850083953259499</v>
      </c>
      <c r="U94" s="15">
        <v>-7.6609432787466897E-3</v>
      </c>
      <c r="V94" s="15">
        <v>-2.7861794688602399E-3</v>
      </c>
      <c r="W94" s="15">
        <v>-5.5306639352330003E-3</v>
      </c>
      <c r="X94" s="34">
        <v>1.0106213489113101</v>
      </c>
      <c r="Y94" s="34">
        <v>1.0029086172027599</v>
      </c>
      <c r="Z94" s="34">
        <v>1.00838576460812</v>
      </c>
      <c r="AA94" s="34">
        <v>1.0054183862042001</v>
      </c>
      <c r="AB94" s="33">
        <v>37.769538523856099</v>
      </c>
      <c r="AC94" s="33">
        <v>37.954105598322101</v>
      </c>
      <c r="AD94" s="33">
        <v>37.850083953259499</v>
      </c>
      <c r="AE94" s="15">
        <v>-7.6609432787466897E-3</v>
      </c>
      <c r="AF94" s="15">
        <v>-2.7861794688602399E-3</v>
      </c>
      <c r="AG94" s="15">
        <v>-5.5306639352330003E-3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1.4460536729942488E-2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1.551023533159974E-2</v>
      </c>
      <c r="BE94" s="29">
        <f t="shared" si="42"/>
        <v>0</v>
      </c>
      <c r="BF94" s="29">
        <f t="shared" si="43"/>
        <v>2.9970772061542229E-2</v>
      </c>
      <c r="BH94" s="29"/>
    </row>
    <row r="95" spans="1:60" x14ac:dyDescent="0.25">
      <c r="A95" s="1">
        <v>46160</v>
      </c>
      <c r="B95" s="33">
        <v>37.17</v>
      </c>
      <c r="C95" s="33">
        <v>37.61</v>
      </c>
      <c r="D95" s="15">
        <v>-1.3096538919845401E-2</v>
      </c>
      <c r="E95" s="15">
        <v>-1.18938893857584E-2</v>
      </c>
      <c r="F95" s="33">
        <v>0</v>
      </c>
      <c r="G95" s="33">
        <v>0</v>
      </c>
      <c r="H95" s="33">
        <v>0</v>
      </c>
      <c r="I95" s="33">
        <v>0</v>
      </c>
      <c r="J95" s="33">
        <v>0</v>
      </c>
      <c r="K95" s="33">
        <v>0</v>
      </c>
      <c r="L95" s="33">
        <v>37.17</v>
      </c>
      <c r="M95" s="33">
        <v>37.61</v>
      </c>
      <c r="N95" s="34">
        <v>1.0118375033629201</v>
      </c>
      <c r="O95" s="34">
        <v>1.0029086172027599</v>
      </c>
      <c r="P95" s="34">
        <v>1.0090244320463899</v>
      </c>
      <c r="Q95" s="34">
        <v>1.0058622698290101</v>
      </c>
      <c r="R95" s="33">
        <v>37.2781133014267</v>
      </c>
      <c r="S95" s="33">
        <v>37.481698870483903</v>
      </c>
      <c r="T95" s="33">
        <v>37.3714014152103</v>
      </c>
      <c r="U95" s="15">
        <v>-8.8635928128335904E-3</v>
      </c>
      <c r="V95" s="15">
        <v>-3.4171887517664701E-3</v>
      </c>
      <c r="W95" s="15">
        <v>-6.3642286119946602E-3</v>
      </c>
      <c r="X95" s="34">
        <v>1.0118375033629201</v>
      </c>
      <c r="Y95" s="34">
        <v>1.0029086172027599</v>
      </c>
      <c r="Z95" s="34">
        <v>1.0090244320463899</v>
      </c>
      <c r="AA95" s="34">
        <v>1.0058622698290101</v>
      </c>
      <c r="AB95" s="33">
        <v>37.2781133014267</v>
      </c>
      <c r="AC95" s="33">
        <v>37.481698870483903</v>
      </c>
      <c r="AD95" s="33">
        <v>37.3714014152103</v>
      </c>
      <c r="AE95" s="15">
        <v>-8.8635928128335904E-3</v>
      </c>
      <c r="AF95" s="15">
        <v>-3.4171887517664701E-3</v>
      </c>
      <c r="AG95" s="15">
        <v>-6.3642286119946602E-3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1.4460536729942488E-2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1.551023533159974E-2</v>
      </c>
      <c r="BE95" s="29">
        <f t="shared" si="42"/>
        <v>0</v>
      </c>
      <c r="BF95" s="29">
        <f t="shared" si="43"/>
        <v>2.9970772061542229E-2</v>
      </c>
      <c r="BH95" s="29"/>
    </row>
    <row r="96" spans="1:60" x14ac:dyDescent="0.25">
      <c r="A96" s="1">
        <v>46161</v>
      </c>
      <c r="B96" s="33">
        <v>36</v>
      </c>
      <c r="C96" s="33">
        <v>36.42</v>
      </c>
      <c r="D96" s="15">
        <v>-3.1983045853050701E-2</v>
      </c>
      <c r="E96" s="15">
        <v>-3.2151898182783099E-2</v>
      </c>
      <c r="F96" s="33">
        <v>0</v>
      </c>
      <c r="G96" s="33">
        <v>0</v>
      </c>
      <c r="H96" s="33">
        <v>0</v>
      </c>
      <c r="I96" s="33">
        <v>0</v>
      </c>
      <c r="J96" s="33">
        <v>0</v>
      </c>
      <c r="K96" s="33">
        <v>0</v>
      </c>
      <c r="L96" s="33">
        <v>36</v>
      </c>
      <c r="M96" s="33">
        <v>36.42</v>
      </c>
      <c r="N96" s="34">
        <v>1.0116666666666601</v>
      </c>
      <c r="O96" s="34">
        <v>1.0029086172027599</v>
      </c>
      <c r="P96" s="34">
        <v>1.0094102075784599</v>
      </c>
      <c r="Q96" s="34">
        <v>1.00643477361935</v>
      </c>
      <c r="R96" s="33">
        <v>36.104710219299498</v>
      </c>
      <c r="S96" s="33">
        <v>36.324879553670101</v>
      </c>
      <c r="T96" s="33">
        <v>36.211041713844402</v>
      </c>
      <c r="U96" s="15">
        <v>-8.6947404831012806E-3</v>
      </c>
      <c r="V96" s="15">
        <v>-2.6151806457189101E-3</v>
      </c>
      <c r="W96" s="15">
        <v>-5.7539822573351501E-3</v>
      </c>
      <c r="X96" s="34">
        <v>1.0116666666666601</v>
      </c>
      <c r="Y96" s="34">
        <v>1.0029086172027599</v>
      </c>
      <c r="Z96" s="34">
        <v>1.0094102075784599</v>
      </c>
      <c r="AA96" s="34">
        <v>1.00643477361935</v>
      </c>
      <c r="AB96" s="33">
        <v>36.104710219299498</v>
      </c>
      <c r="AC96" s="33">
        <v>36.324879553670101</v>
      </c>
      <c r="AD96" s="33">
        <v>36.211041713844402</v>
      </c>
      <c r="AE96" s="15">
        <v>-8.6947404831012806E-3</v>
      </c>
      <c r="AF96" s="15">
        <v>-2.6151806457189101E-3</v>
      </c>
      <c r="AG96" s="15">
        <v>-5.7539822573351501E-3</v>
      </c>
      <c r="AI96" s="12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1.4460536729942488E-2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1.551023533159974E-2</v>
      </c>
      <c r="BE96" s="29">
        <f t="shared" si="42"/>
        <v>0</v>
      </c>
      <c r="BF96" s="29">
        <f t="shared" si="43"/>
        <v>2.9970772061542229E-2</v>
      </c>
      <c r="BH96" s="29"/>
    </row>
    <row r="97" spans="1:60" x14ac:dyDescent="0.25">
      <c r="A97" s="1">
        <v>46162</v>
      </c>
      <c r="B97" s="33">
        <v>36.47</v>
      </c>
      <c r="C97" s="33">
        <v>36.92</v>
      </c>
      <c r="D97" s="15">
        <v>1.2971066364478799E-2</v>
      </c>
      <c r="E97" s="15">
        <v>1.36353353351895E-2</v>
      </c>
      <c r="F97" s="33">
        <v>0</v>
      </c>
      <c r="G97" s="33">
        <v>0</v>
      </c>
      <c r="H97" s="33">
        <v>0</v>
      </c>
      <c r="I97" s="33">
        <v>0</v>
      </c>
      <c r="J97" s="33">
        <v>0</v>
      </c>
      <c r="K97" s="33">
        <v>0</v>
      </c>
      <c r="L97" s="33">
        <v>36.47</v>
      </c>
      <c r="M97" s="33">
        <v>36.92</v>
      </c>
      <c r="N97" s="34">
        <v>1.01233890869207</v>
      </c>
      <c r="O97" s="34">
        <v>1.0029086172027599</v>
      </c>
      <c r="P97" s="34">
        <v>1.00997039532618</v>
      </c>
      <c r="Q97" s="34">
        <v>1.0070299988106799</v>
      </c>
      <c r="R97" s="33">
        <v>36.576077269384797</v>
      </c>
      <c r="S97" s="33">
        <v>36.813190270386798</v>
      </c>
      <c r="T97" s="33">
        <v>36.704676193897697</v>
      </c>
      <c r="U97" s="15">
        <v>-9.3590094538120398E-3</v>
      </c>
      <c r="V97" s="15">
        <v>-2.89719742039424E-3</v>
      </c>
      <c r="W97" s="15">
        <v>-5.8492459634895402E-3</v>
      </c>
      <c r="X97" s="34">
        <v>1.01233890869207</v>
      </c>
      <c r="Y97" s="34">
        <v>1.0029086172027599</v>
      </c>
      <c r="Z97" s="34">
        <v>1.00997039532618</v>
      </c>
      <c r="AA97" s="34">
        <v>1.0070299988106799</v>
      </c>
      <c r="AB97" s="33">
        <v>36.576077269384797</v>
      </c>
      <c r="AC97" s="33">
        <v>36.813190270386798</v>
      </c>
      <c r="AD97" s="33">
        <v>36.704676193897697</v>
      </c>
      <c r="AE97" s="15">
        <v>-9.3590094538120398E-3</v>
      </c>
      <c r="AF97" s="15">
        <v>-2.89719742039424E-3</v>
      </c>
      <c r="AG97" s="15">
        <v>-5.8492459634895402E-3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1.4460536729942488E-2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1.551023533159974E-2</v>
      </c>
      <c r="BE97" s="29">
        <f t="shared" si="42"/>
        <v>0</v>
      </c>
      <c r="BF97" s="29">
        <f t="shared" si="43"/>
        <v>2.9970772061542229E-2</v>
      </c>
      <c r="BH97" s="29"/>
    </row>
    <row r="98" spans="1:60" x14ac:dyDescent="0.25">
      <c r="A98" s="1">
        <v>46163</v>
      </c>
      <c r="B98" s="33">
        <v>36.75</v>
      </c>
      <c r="C98" s="33">
        <v>37.25</v>
      </c>
      <c r="D98" s="15">
        <v>7.6482208382568102E-3</v>
      </c>
      <c r="E98" s="15">
        <v>8.8985351909171406E-3</v>
      </c>
      <c r="F98" s="33">
        <v>0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36.75</v>
      </c>
      <c r="M98" s="33">
        <v>37.25</v>
      </c>
      <c r="N98" s="34">
        <v>1.0136054421768701</v>
      </c>
      <c r="O98" s="34">
        <v>1.0029086172027599</v>
      </c>
      <c r="P98" s="34">
        <v>1.0105067637196901</v>
      </c>
      <c r="Q98" s="34">
        <v>1.00771027091953</v>
      </c>
      <c r="R98" s="33">
        <v>36.856891682201599</v>
      </c>
      <c r="S98" s="33">
        <v>37.116412028237299</v>
      </c>
      <c r="T98" s="33">
        <v>37.008352456292798</v>
      </c>
      <c r="U98" s="15">
        <v>-1.06093238064722E-2</v>
      </c>
      <c r="V98" s="15">
        <v>-3.5927003013779598E-3</v>
      </c>
      <c r="W98" s="15">
        <v>-6.5083155952817403E-3</v>
      </c>
      <c r="X98" s="34">
        <v>1.0136054421768701</v>
      </c>
      <c r="Y98" s="34">
        <v>1.0029086172027599</v>
      </c>
      <c r="Z98" s="34">
        <v>1.0105067637196901</v>
      </c>
      <c r="AA98" s="34">
        <v>1.00771027091953</v>
      </c>
      <c r="AB98" s="33">
        <v>36.856891682201599</v>
      </c>
      <c r="AC98" s="33">
        <v>37.116412028237299</v>
      </c>
      <c r="AD98" s="33">
        <v>37.008352456292798</v>
      </c>
      <c r="AE98" s="15">
        <v>-1.06093238064722E-2</v>
      </c>
      <c r="AF98" s="15">
        <v>-3.5927003013779598E-3</v>
      </c>
      <c r="AG98" s="15">
        <v>-6.5083155952817403E-3</v>
      </c>
      <c r="AI98" s="12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1.4460536729942488E-2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1.551023533159974E-2</v>
      </c>
      <c r="BE98" s="29">
        <f t="shared" si="42"/>
        <v>0</v>
      </c>
      <c r="BF98" s="29">
        <f t="shared" si="43"/>
        <v>2.9970772061542229E-2</v>
      </c>
      <c r="BH98" s="29"/>
    </row>
    <row r="99" spans="1:60" x14ac:dyDescent="0.25">
      <c r="A99" s="1">
        <v>46164</v>
      </c>
      <c r="B99" s="33">
        <v>36.340000000000003</v>
      </c>
      <c r="C99" s="33">
        <v>36.880000000000003</v>
      </c>
      <c r="D99" s="15">
        <v>-1.12191626908204E-2</v>
      </c>
      <c r="E99" s="15">
        <v>-9.9825461371754205E-3</v>
      </c>
      <c r="F99" s="33">
        <v>0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36.340000000000003</v>
      </c>
      <c r="M99" s="33">
        <v>36.880000000000003</v>
      </c>
      <c r="N99" s="34">
        <v>1.0148596587781999</v>
      </c>
      <c r="O99" s="34">
        <v>1.0029086172027599</v>
      </c>
      <c r="P99" s="34">
        <v>1.01076173756276</v>
      </c>
      <c r="Q99" s="34">
        <v>1.00821101646579</v>
      </c>
      <c r="R99" s="33">
        <v>36.445699149148503</v>
      </c>
      <c r="S99" s="33">
        <v>36.721815793573803</v>
      </c>
      <c r="T99" s="33">
        <v>36.6201912452158</v>
      </c>
      <c r="U99" s="15">
        <v>-1.1845940360117199E-2</v>
      </c>
      <c r="V99" s="15">
        <v>-4.2983844426381802E-3</v>
      </c>
      <c r="W99" s="15">
        <v>-7.0696370303294197E-3</v>
      </c>
      <c r="X99" s="34">
        <v>1.0148596587781999</v>
      </c>
      <c r="Y99" s="34">
        <v>1.0029086172027599</v>
      </c>
      <c r="Z99" s="34">
        <v>1.01076173756276</v>
      </c>
      <c r="AA99" s="34">
        <v>1.00821101646579</v>
      </c>
      <c r="AB99" s="33">
        <v>36.445699149148503</v>
      </c>
      <c r="AC99" s="33">
        <v>36.721815793573803</v>
      </c>
      <c r="AD99" s="33">
        <v>36.6201912452158</v>
      </c>
      <c r="AE99" s="15">
        <v>-1.1845940360117199E-2</v>
      </c>
      <c r="AF99" s="15">
        <v>-4.2983844426381802E-3</v>
      </c>
      <c r="AG99" s="15">
        <v>-7.0696370303294197E-3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1.4460536729942488E-2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1.551023533159974E-2</v>
      </c>
      <c r="BE99" s="29">
        <f t="shared" si="42"/>
        <v>0</v>
      </c>
      <c r="BF99" s="29">
        <f t="shared" si="43"/>
        <v>2.9970772061542229E-2</v>
      </c>
      <c r="BH99" s="29"/>
    </row>
    <row r="100" spans="1:60" x14ac:dyDescent="0.25">
      <c r="A100" s="1">
        <v>46168</v>
      </c>
      <c r="B100" s="33">
        <v>35.74</v>
      </c>
      <c r="C100" s="33">
        <v>36.21</v>
      </c>
      <c r="D100" s="15">
        <v>-1.6648553236743201E-2</v>
      </c>
      <c r="E100" s="15">
        <v>-1.8334074910843198E-2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35.74</v>
      </c>
      <c r="M100" s="33">
        <v>36.21</v>
      </c>
      <c r="N100" s="34">
        <v>1.01315053161723</v>
      </c>
      <c r="O100" s="34">
        <v>1.0029086172027599</v>
      </c>
      <c r="P100" s="34">
        <v>1.0115575028906501</v>
      </c>
      <c r="Q100" s="34">
        <v>1.0087588698727099</v>
      </c>
      <c r="R100" s="33">
        <v>35.843953978826796</v>
      </c>
      <c r="S100" s="33">
        <v>36.124624500492999</v>
      </c>
      <c r="T100" s="33">
        <v>36.033461728487602</v>
      </c>
      <c r="U100" s="15">
        <v>-1.01604186860171E-2</v>
      </c>
      <c r="V100" s="15">
        <v>-2.3605718489951599E-3</v>
      </c>
      <c r="W100" s="15">
        <v>-4.8873245740718501E-3</v>
      </c>
      <c r="X100" s="34">
        <v>1.01315053161723</v>
      </c>
      <c r="Y100" s="34">
        <v>1.0029086172027599</v>
      </c>
      <c r="Z100" s="34">
        <v>1.0115575028906501</v>
      </c>
      <c r="AA100" s="34">
        <v>1.0087588698727099</v>
      </c>
      <c r="AB100" s="33">
        <v>35.843953978826796</v>
      </c>
      <c r="AC100" s="33">
        <v>36.124624500492999</v>
      </c>
      <c r="AD100" s="33">
        <v>36.033461728487602</v>
      </c>
      <c r="AE100" s="15">
        <v>-1.01604186860171E-2</v>
      </c>
      <c r="AF100" s="15">
        <v>-2.3605718489951599E-3</v>
      </c>
      <c r="AG100" s="15">
        <v>-4.8873245740718501E-3</v>
      </c>
      <c r="AI100" s="12"/>
      <c r="AJ100">
        <f t="shared" si="26"/>
        <v>0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1.4460536729942488E-2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1.551023533159974E-2</v>
      </c>
      <c r="BE100" s="29">
        <f t="shared" si="42"/>
        <v>0</v>
      </c>
      <c r="BF100" s="29">
        <f t="shared" si="43"/>
        <v>2.9970772061542229E-2</v>
      </c>
      <c r="BH100" s="29"/>
    </row>
    <row r="101" spans="1:60" x14ac:dyDescent="0.25">
      <c r="A101" s="1">
        <v>46169</v>
      </c>
      <c r="B101" s="33">
        <v>36.049999999999997</v>
      </c>
      <c r="C101" s="33">
        <v>36.369999999999997</v>
      </c>
      <c r="D101" s="15">
        <v>8.63635399967593E-3</v>
      </c>
      <c r="E101" s="15">
        <v>4.4089352213477996E-3</v>
      </c>
      <c r="F101" s="33">
        <v>0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36.049999999999997</v>
      </c>
      <c r="M101" s="33">
        <v>36.369999999999997</v>
      </c>
      <c r="N101" s="34">
        <v>1.00887656033287</v>
      </c>
      <c r="O101" s="34">
        <v>1.0029086172027599</v>
      </c>
      <c r="P101" s="34">
        <v>1.01191525733423</v>
      </c>
      <c r="Q101" s="34">
        <v>1.0090351375676401</v>
      </c>
      <c r="R101" s="33">
        <v>36.154855650159597</v>
      </c>
      <c r="S101" s="33">
        <v>36.466647979208098</v>
      </c>
      <c r="T101" s="33">
        <v>36.365757258911401</v>
      </c>
      <c r="U101" s="15">
        <v>-5.9329999076890502E-3</v>
      </c>
      <c r="V101" s="15">
        <v>2.6538298675839699E-3</v>
      </c>
      <c r="W101" s="15">
        <v>-1.16661770035217E-4</v>
      </c>
      <c r="X101" s="34">
        <v>1.00887656033287</v>
      </c>
      <c r="Y101" s="34">
        <v>1.0029086172027599</v>
      </c>
      <c r="Z101" s="34">
        <v>1.01191525733423</v>
      </c>
      <c r="AA101" s="34">
        <v>1.0090351375676401</v>
      </c>
      <c r="AB101" s="33">
        <v>36.154855650159597</v>
      </c>
      <c r="AC101" s="33">
        <v>36.466647979208098</v>
      </c>
      <c r="AD101" s="33">
        <v>36.365757258911401</v>
      </c>
      <c r="AE101" s="15">
        <v>-5.9329999076890502E-3</v>
      </c>
      <c r="AF101" s="15">
        <v>2.6538298675839699E-3</v>
      </c>
      <c r="AG101" s="15">
        <v>-1.16661770035217E-4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1.4460536729942488E-2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1.551023533159974E-2</v>
      </c>
      <c r="BE101" s="29">
        <f t="shared" si="42"/>
        <v>0</v>
      </c>
      <c r="BF101" s="29">
        <f t="shared" si="43"/>
        <v>2.9970772061542229E-2</v>
      </c>
      <c r="BH101" s="29"/>
    </row>
    <row r="102" spans="1:60" x14ac:dyDescent="0.25">
      <c r="A102" s="1">
        <v>46170</v>
      </c>
      <c r="B102" s="33">
        <v>35.44</v>
      </c>
      <c r="C102" s="33">
        <v>35.799999999999997</v>
      </c>
      <c r="D102" s="15">
        <v>-1.7065737994077901E-2</v>
      </c>
      <c r="E102" s="15">
        <v>-1.5796365592243001E-2</v>
      </c>
      <c r="F102" s="33">
        <v>0</v>
      </c>
      <c r="G102" s="33">
        <v>0</v>
      </c>
      <c r="H102" s="33">
        <v>0</v>
      </c>
      <c r="I102" s="33">
        <v>0</v>
      </c>
      <c r="J102" s="33">
        <v>0</v>
      </c>
      <c r="K102" s="33">
        <v>0</v>
      </c>
      <c r="L102" s="33">
        <v>35.44</v>
      </c>
      <c r="M102" s="33">
        <v>35.799999999999997</v>
      </c>
      <c r="N102" s="34">
        <v>1.01015801354401</v>
      </c>
      <c r="O102" s="34">
        <v>1.0029086172027599</v>
      </c>
      <c r="P102" s="34">
        <v>1.01202267561051</v>
      </c>
      <c r="Q102" s="34">
        <v>1.00949696591128</v>
      </c>
      <c r="R102" s="33">
        <v>35.543081393666</v>
      </c>
      <c r="S102" s="33">
        <v>35.862276719925397</v>
      </c>
      <c r="T102" s="33">
        <v>35.760205275397297</v>
      </c>
      <c r="U102" s="15">
        <v>-7.2023723095237203E-3</v>
      </c>
      <c r="V102" s="15">
        <v>1.73806187727592E-3</v>
      </c>
      <c r="W102" s="15">
        <v>-1.1122027543563099E-3</v>
      </c>
      <c r="X102" s="34">
        <v>1.01015801354401</v>
      </c>
      <c r="Y102" s="34">
        <v>1.0029086172027599</v>
      </c>
      <c r="Z102" s="34">
        <v>1.01202267561051</v>
      </c>
      <c r="AA102" s="34">
        <v>1.00949696591128</v>
      </c>
      <c r="AB102" s="33">
        <v>35.543081393666</v>
      </c>
      <c r="AC102" s="33">
        <v>35.862276719925397</v>
      </c>
      <c r="AD102" s="33">
        <v>35.760205275397297</v>
      </c>
      <c r="AE102" s="15">
        <v>-7.2023723095237203E-3</v>
      </c>
      <c r="AF102" s="15">
        <v>1.73806187727592E-3</v>
      </c>
      <c r="AG102" s="15">
        <v>-1.1122027543563099E-3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1.4460536729942488E-2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1.551023533159974E-2</v>
      </c>
      <c r="BE102" s="29">
        <f t="shared" si="42"/>
        <v>0</v>
      </c>
      <c r="BF102" s="29">
        <f t="shared" si="43"/>
        <v>2.9970772061542229E-2</v>
      </c>
      <c r="BH102" s="29"/>
    </row>
    <row r="103" spans="1:60" x14ac:dyDescent="0.25">
      <c r="A103" s="1">
        <v>46171</v>
      </c>
      <c r="B103" s="33">
        <v>35</v>
      </c>
      <c r="C103" s="33">
        <v>35.36</v>
      </c>
      <c r="D103" s="15">
        <v>-1.24930642474664E-2</v>
      </c>
      <c r="E103" s="15">
        <v>-1.23666556372118E-2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35</v>
      </c>
      <c r="M103" s="33">
        <v>35.36</v>
      </c>
      <c r="N103" s="34">
        <v>1.01028571428571</v>
      </c>
      <c r="O103" s="34">
        <v>1.0029086172027599</v>
      </c>
      <c r="P103" s="34">
        <v>1.01174003483678</v>
      </c>
      <c r="Q103" s="34">
        <v>1.00977476513908</v>
      </c>
      <c r="R103" s="33">
        <v>35.1018016020967</v>
      </c>
      <c r="S103" s="33">
        <v>35.420793646368097</v>
      </c>
      <c r="T103" s="33">
        <v>35.3323938068948</v>
      </c>
      <c r="U103" s="15">
        <v>-7.3287809197782501E-3</v>
      </c>
      <c r="V103" s="15">
        <v>1.7178010639802099E-3</v>
      </c>
      <c r="W103" s="15">
        <v>-7.8102304991484704E-4</v>
      </c>
      <c r="X103" s="34">
        <v>1.01028571428571</v>
      </c>
      <c r="Y103" s="34">
        <v>1.0029086172027599</v>
      </c>
      <c r="Z103" s="34">
        <v>1.01174003483678</v>
      </c>
      <c r="AA103" s="34">
        <v>1.00977476513908</v>
      </c>
      <c r="AB103" s="33">
        <v>35.1018016020967</v>
      </c>
      <c r="AC103" s="33">
        <v>35.420793646368097</v>
      </c>
      <c r="AD103" s="33">
        <v>35.3323938068948</v>
      </c>
      <c r="AE103" s="15">
        <v>-7.3287809197782501E-3</v>
      </c>
      <c r="AF103" s="15">
        <v>1.7178010639802099E-3</v>
      </c>
      <c r="AG103" s="15">
        <v>-7.8102304991484704E-4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1.4460536729942488E-2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1.551023533159974E-2</v>
      </c>
      <c r="BE103" s="29">
        <f t="shared" si="42"/>
        <v>0</v>
      </c>
      <c r="BF103" s="29">
        <f t="shared" si="43"/>
        <v>2.9970772061542229E-2</v>
      </c>
      <c r="BH103" s="29"/>
    </row>
    <row r="104" spans="1:60" x14ac:dyDescent="0.25">
      <c r="A104" s="1">
        <v>46174</v>
      </c>
      <c r="B104" s="33">
        <v>36.25</v>
      </c>
      <c r="C104" s="33">
        <v>36.44</v>
      </c>
      <c r="D104" s="15">
        <v>3.5091319811270102E-2</v>
      </c>
      <c r="E104" s="15">
        <v>3.0085834622314699E-2</v>
      </c>
      <c r="F104" s="33">
        <v>0</v>
      </c>
      <c r="G104" s="33">
        <v>0</v>
      </c>
      <c r="H104" s="33">
        <v>0</v>
      </c>
      <c r="I104" s="33">
        <v>0</v>
      </c>
      <c r="J104" s="33">
        <v>0</v>
      </c>
      <c r="K104" s="33">
        <v>0</v>
      </c>
      <c r="L104" s="33">
        <v>36.25</v>
      </c>
      <c r="M104" s="33">
        <v>36.44</v>
      </c>
      <c r="N104" s="34">
        <v>1.0052413793103401</v>
      </c>
      <c r="O104" s="34">
        <v>1.0029086172027599</v>
      </c>
      <c r="P104" s="34">
        <v>1.0112020378766899</v>
      </c>
      <c r="Q104" s="34">
        <v>1.0097939012424</v>
      </c>
      <c r="R104" s="33">
        <v>36.355437373600203</v>
      </c>
      <c r="S104" s="33">
        <v>36.675576262833602</v>
      </c>
      <c r="T104" s="33">
        <v>36.604335236291703</v>
      </c>
      <c r="U104" s="15">
        <v>-2.3232957308231398E-3</v>
      </c>
      <c r="V104" s="15">
        <v>6.4439642018783499E-3</v>
      </c>
      <c r="W104" s="15">
        <v>4.4996100800334298E-3</v>
      </c>
      <c r="X104" s="34">
        <v>1.0052413793103401</v>
      </c>
      <c r="Y104" s="34">
        <v>1.0029086172027599</v>
      </c>
      <c r="Z104" s="34">
        <v>1.0112020378766899</v>
      </c>
      <c r="AA104" s="34">
        <v>1.0097939012424</v>
      </c>
      <c r="AB104" s="33">
        <v>36.355437373600203</v>
      </c>
      <c r="AC104" s="33">
        <v>36.675576262833602</v>
      </c>
      <c r="AD104" s="33">
        <v>36.604335236291703</v>
      </c>
      <c r="AE104" s="15">
        <v>-2.3232957308231398E-3</v>
      </c>
      <c r="AF104" s="15">
        <v>6.4439642018783499E-3</v>
      </c>
      <c r="AG104" s="15">
        <v>4.4996100800334298E-3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1.4460536729942488E-2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1.551023533159974E-2</v>
      </c>
      <c r="BE104" s="29">
        <f t="shared" si="42"/>
        <v>0</v>
      </c>
      <c r="BF104" s="29">
        <f t="shared" si="43"/>
        <v>2.9970772061542229E-2</v>
      </c>
      <c r="BH104" s="29"/>
    </row>
    <row r="105" spans="1:60" x14ac:dyDescent="0.25">
      <c r="A105" s="1">
        <v>46175</v>
      </c>
      <c r="B105" s="33">
        <v>36.369999999999997</v>
      </c>
      <c r="C105" s="33">
        <v>36.58</v>
      </c>
      <c r="D105" s="15">
        <v>3.3048776982138599E-3</v>
      </c>
      <c r="E105" s="15">
        <v>3.8345705709621199E-3</v>
      </c>
      <c r="F105" s="33">
        <v>0</v>
      </c>
      <c r="G105" s="33">
        <v>0</v>
      </c>
      <c r="H105" s="33">
        <v>0</v>
      </c>
      <c r="I105" s="33">
        <v>0</v>
      </c>
      <c r="J105" s="33">
        <v>0</v>
      </c>
      <c r="K105" s="33">
        <v>0</v>
      </c>
      <c r="L105" s="33">
        <v>36.369999999999997</v>
      </c>
      <c r="M105" s="33">
        <v>36.58</v>
      </c>
      <c r="N105" s="34">
        <v>1.0057739895518201</v>
      </c>
      <c r="O105" s="34">
        <v>1.0029086172027599</v>
      </c>
      <c r="P105" s="34">
        <v>1.0105956864955801</v>
      </c>
      <c r="Q105" s="34">
        <v>1.00981005927098</v>
      </c>
      <c r="R105" s="33">
        <v>36.475786407664501</v>
      </c>
      <c r="S105" s="33">
        <v>36.777418117575301</v>
      </c>
      <c r="T105" s="33">
        <v>36.726204188186301</v>
      </c>
      <c r="U105" s="15">
        <v>-2.85298860357132E-3</v>
      </c>
      <c r="V105" s="15">
        <v>5.3823757498771604E-3</v>
      </c>
      <c r="W105" s="15">
        <v>3.9888678908104403E-3</v>
      </c>
      <c r="X105" s="34">
        <v>1.0057739895518201</v>
      </c>
      <c r="Y105" s="34">
        <v>1.0029086172027599</v>
      </c>
      <c r="Z105" s="34">
        <v>1.0105956864955801</v>
      </c>
      <c r="AA105" s="34">
        <v>1.00981005927098</v>
      </c>
      <c r="AB105" s="33">
        <v>36.475786407664501</v>
      </c>
      <c r="AC105" s="33">
        <v>36.777418117575301</v>
      </c>
      <c r="AD105" s="33">
        <v>36.726204188186301</v>
      </c>
      <c r="AE105" s="15">
        <v>-2.85298860357132E-3</v>
      </c>
      <c r="AF105" s="15">
        <v>5.3823757498771604E-3</v>
      </c>
      <c r="AG105" s="15">
        <v>3.9888678908104403E-3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1.4460536729942488E-2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1.551023533159974E-2</v>
      </c>
      <c r="BE105" s="29">
        <f t="shared" si="42"/>
        <v>0</v>
      </c>
      <c r="BF105" s="29">
        <f t="shared" si="43"/>
        <v>2.9970772061542229E-2</v>
      </c>
      <c r="BH105" s="29"/>
    </row>
    <row r="106" spans="1:60" x14ac:dyDescent="0.25">
      <c r="A106" s="1">
        <v>46176</v>
      </c>
      <c r="B106" s="33">
        <v>35.51</v>
      </c>
      <c r="C106" s="33">
        <v>35.590000000000003</v>
      </c>
      <c r="D106" s="15">
        <v>-2.3929912043901099E-2</v>
      </c>
      <c r="E106" s="15">
        <v>-2.7436943440618099E-2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35.51</v>
      </c>
      <c r="M106" s="33">
        <v>35.590000000000003</v>
      </c>
      <c r="N106" s="34">
        <v>1.00225288651084</v>
      </c>
      <c r="O106" s="34">
        <v>1.0029086172027599</v>
      </c>
      <c r="P106" s="34">
        <v>1.00965430848</v>
      </c>
      <c r="Q106" s="34">
        <v>1.0095322580292301</v>
      </c>
      <c r="R106" s="33">
        <v>35.613284996870199</v>
      </c>
      <c r="S106" s="33">
        <v>35.886252827458101</v>
      </c>
      <c r="T106" s="33">
        <v>35.858355204712701</v>
      </c>
      <c r="U106" s="15">
        <v>6.5404279314578502E-4</v>
      </c>
      <c r="V106" s="15">
        <v>8.2895930386051708E-3</v>
      </c>
      <c r="W106" s="15">
        <v>7.5119004728048397E-3</v>
      </c>
      <c r="X106" s="34">
        <v>1.00225288651084</v>
      </c>
      <c r="Y106" s="34">
        <v>1.0029086172027599</v>
      </c>
      <c r="Z106" s="34">
        <v>1.00965430848</v>
      </c>
      <c r="AA106" s="34">
        <v>1.0095322580292301</v>
      </c>
      <c r="AB106" s="33">
        <v>35.613284996870199</v>
      </c>
      <c r="AC106" s="33">
        <v>35.886252827458101</v>
      </c>
      <c r="AD106" s="33">
        <v>35.858355204712701</v>
      </c>
      <c r="AE106" s="15">
        <v>6.5404279314578502E-4</v>
      </c>
      <c r="AF106" s="15">
        <v>8.2895930386051708E-3</v>
      </c>
      <c r="AG106" s="15">
        <v>7.5119004728048397E-3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1.4460536729942488E-2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1.551023533159974E-2</v>
      </c>
      <c r="BE106" s="29">
        <f t="shared" si="42"/>
        <v>0</v>
      </c>
      <c r="BF106" s="29">
        <f t="shared" si="43"/>
        <v>2.9970772061542229E-2</v>
      </c>
      <c r="BH106" s="29"/>
    </row>
    <row r="107" spans="1:60" x14ac:dyDescent="0.25">
      <c r="A107" s="1">
        <v>46177</v>
      </c>
      <c r="B107" s="33">
        <v>35.92</v>
      </c>
      <c r="C107" s="33">
        <v>35.979999999999997</v>
      </c>
      <c r="D107" s="15">
        <v>1.14798964790024E-2</v>
      </c>
      <c r="E107" s="15">
        <v>1.0898529000285401E-2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35.92</v>
      </c>
      <c r="M107" s="33">
        <v>35.979999999999997</v>
      </c>
      <c r="N107" s="34">
        <v>1.0016703786191501</v>
      </c>
      <c r="O107" s="34">
        <v>1.0029086172027599</v>
      </c>
      <c r="P107" s="34">
        <v>1.0085874554726999</v>
      </c>
      <c r="Q107" s="34">
        <v>1.0092789253994401</v>
      </c>
      <c r="R107" s="33">
        <v>36.024477529923303</v>
      </c>
      <c r="S107" s="33">
        <v>36.2667827606016</v>
      </c>
      <c r="T107" s="33">
        <v>36.262398708410103</v>
      </c>
      <c r="U107" s="15">
        <v>1.23541027186255E-3</v>
      </c>
      <c r="V107" s="15">
        <v>7.9390183457521395E-3</v>
      </c>
      <c r="W107" s="15">
        <v>7.8181276336819604E-3</v>
      </c>
      <c r="X107" s="34">
        <v>1.0016703786191501</v>
      </c>
      <c r="Y107" s="34">
        <v>1.0029086172027599</v>
      </c>
      <c r="Z107" s="34">
        <v>1.0085874554726999</v>
      </c>
      <c r="AA107" s="34">
        <v>1.0092789253994401</v>
      </c>
      <c r="AB107" s="33">
        <v>36.024477529923303</v>
      </c>
      <c r="AC107" s="33">
        <v>36.2667827606016</v>
      </c>
      <c r="AD107" s="33">
        <v>36.262398708410103</v>
      </c>
      <c r="AE107" s="15">
        <v>1.23541027186255E-3</v>
      </c>
      <c r="AF107" s="15">
        <v>7.9390183457521395E-3</v>
      </c>
      <c r="AG107" s="15">
        <v>7.8181276336819604E-3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1.4460536729942488E-2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1.551023533159974E-2</v>
      </c>
      <c r="BE107" s="29">
        <f t="shared" si="42"/>
        <v>0</v>
      </c>
      <c r="BF107" s="29">
        <f t="shared" si="43"/>
        <v>2.9970772061542229E-2</v>
      </c>
      <c r="BH107" s="29"/>
    </row>
    <row r="108" spans="1:60" x14ac:dyDescent="0.25">
      <c r="A108" s="1">
        <v>46178</v>
      </c>
      <c r="B108" s="33">
        <v>35.06</v>
      </c>
      <c r="C108" s="33">
        <v>35.39</v>
      </c>
      <c r="D108" s="15">
        <v>-2.4233363940910399E-2</v>
      </c>
      <c r="E108" s="15">
        <v>-1.6533934165014901E-2</v>
      </c>
      <c r="F108" s="33">
        <v>0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35.06</v>
      </c>
      <c r="M108" s="33">
        <v>35.39</v>
      </c>
      <c r="N108" s="34">
        <v>1.0094124358243</v>
      </c>
      <c r="O108" s="34">
        <v>1.0029086172027599</v>
      </c>
      <c r="P108" s="34">
        <v>1.0081681548374499</v>
      </c>
      <c r="Q108" s="34">
        <v>1.00933745927857</v>
      </c>
      <c r="R108" s="33">
        <v>35.161976119128902</v>
      </c>
      <c r="S108" s="33">
        <v>35.361076188873099</v>
      </c>
      <c r="T108" s="33">
        <v>35.385319124504598</v>
      </c>
      <c r="U108" s="15">
        <v>-6.4640195040329002E-3</v>
      </c>
      <c r="V108" s="15">
        <v>-8.1762184538199502E-4</v>
      </c>
      <c r="W108" s="15">
        <v>-1.3227423231998699E-4</v>
      </c>
      <c r="X108" s="34">
        <v>1.0094124358243</v>
      </c>
      <c r="Y108" s="34">
        <v>1.0029086172027599</v>
      </c>
      <c r="Z108" s="34">
        <v>1.0081681548374499</v>
      </c>
      <c r="AA108" s="34">
        <v>1.00933745927857</v>
      </c>
      <c r="AB108" s="33">
        <v>35.161976119128902</v>
      </c>
      <c r="AC108" s="33">
        <v>35.361076188873099</v>
      </c>
      <c r="AD108" s="33">
        <v>35.385319124504598</v>
      </c>
      <c r="AE108" s="15">
        <v>-6.4640195040329002E-3</v>
      </c>
      <c r="AF108" s="15">
        <v>-8.1762184538199502E-4</v>
      </c>
      <c r="AG108" s="15">
        <v>-1.3227423231998699E-4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1.4460536729942488E-2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1.551023533159974E-2</v>
      </c>
      <c r="BE108" s="29">
        <f t="shared" si="42"/>
        <v>0</v>
      </c>
      <c r="BF108" s="29">
        <f t="shared" si="43"/>
        <v>2.9970772061542229E-2</v>
      </c>
      <c r="BH108" s="29"/>
    </row>
    <row r="109" spans="1:60" x14ac:dyDescent="0.25">
      <c r="A109" s="1">
        <v>46181</v>
      </c>
      <c r="B109" s="33">
        <v>34.79</v>
      </c>
      <c r="C109" s="33">
        <v>34.770000000000003</v>
      </c>
      <c r="D109" s="15">
        <v>-7.7308903292379102E-3</v>
      </c>
      <c r="E109" s="15">
        <v>-1.76743483376018E-2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34.79</v>
      </c>
      <c r="M109" s="33">
        <v>34.770000000000003</v>
      </c>
      <c r="N109" s="34">
        <v>0.99942512216154</v>
      </c>
      <c r="O109" s="34">
        <v>1.0029086172027599</v>
      </c>
      <c r="P109" s="34">
        <v>1.0066247011757801</v>
      </c>
      <c r="Q109" s="34">
        <v>1.0086932193692699</v>
      </c>
      <c r="R109" s="33">
        <v>34.891190792484203</v>
      </c>
      <c r="S109" s="33">
        <v>35.074170106794902</v>
      </c>
      <c r="T109" s="33">
        <v>35.114850208301597</v>
      </c>
      <c r="U109" s="15">
        <v>3.4794385043311902E-3</v>
      </c>
      <c r="V109" s="15">
        <v>8.7100191555519908E-3</v>
      </c>
      <c r="W109" s="15">
        <v>9.8691778353294495E-3</v>
      </c>
      <c r="X109" s="34">
        <v>0.99942512216154</v>
      </c>
      <c r="Y109" s="34">
        <v>1.0029086172027599</v>
      </c>
      <c r="Z109" s="34">
        <v>1.0066247011757801</v>
      </c>
      <c r="AA109" s="34">
        <v>1.0086932193692699</v>
      </c>
      <c r="AB109" s="33">
        <v>34.891190792484203</v>
      </c>
      <c r="AC109" s="33">
        <v>35.074170106794902</v>
      </c>
      <c r="AD109" s="33">
        <v>35.114850208301597</v>
      </c>
      <c r="AE109" s="15">
        <v>3.4794385043311902E-3</v>
      </c>
      <c r="AF109" s="15">
        <v>8.7100191555519908E-3</v>
      </c>
      <c r="AG109" s="15">
        <v>9.8691778353294495E-3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1.4460536729942488E-2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1.551023533159974E-2</v>
      </c>
      <c r="BE109" s="29">
        <f t="shared" si="42"/>
        <v>0</v>
      </c>
      <c r="BF109" s="29">
        <f t="shared" si="43"/>
        <v>2.9970772061542229E-2</v>
      </c>
      <c r="BH109" s="29"/>
    </row>
    <row r="110" spans="1:60" x14ac:dyDescent="0.25">
      <c r="A110" s="1">
        <v>46182</v>
      </c>
      <c r="B110" s="33">
        <v>35.450000000000003</v>
      </c>
      <c r="C110" s="33">
        <v>35.83</v>
      </c>
      <c r="D110" s="15">
        <v>1.87932638142859E-2</v>
      </c>
      <c r="E110" s="15">
        <v>3.0030585297092301E-2</v>
      </c>
      <c r="F110" s="33">
        <v>0</v>
      </c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35.450000000000003</v>
      </c>
      <c r="M110" s="33">
        <v>35.83</v>
      </c>
      <c r="N110" s="34">
        <v>1.0107193229901199</v>
      </c>
      <c r="O110" s="34">
        <v>1.0029086172027599</v>
      </c>
      <c r="P110" s="34">
        <v>1.00638158031307</v>
      </c>
      <c r="Q110" s="34">
        <v>1.00896954160186</v>
      </c>
      <c r="R110" s="33">
        <v>35.553110479837997</v>
      </c>
      <c r="S110" s="33">
        <v>35.684845656681503</v>
      </c>
      <c r="T110" s="33">
        <v>35.758174626640702</v>
      </c>
      <c r="U110" s="15">
        <v>-7.7578829784751601E-3</v>
      </c>
      <c r="V110" s="15">
        <v>-4.0594240627318196E-3</v>
      </c>
      <c r="W110" s="15">
        <v>-2.00662743070615E-3</v>
      </c>
      <c r="X110" s="34">
        <v>1.0107193229901199</v>
      </c>
      <c r="Y110" s="34">
        <v>1.0029086172027599</v>
      </c>
      <c r="Z110" s="34">
        <v>1.00638158031307</v>
      </c>
      <c r="AA110" s="34">
        <v>1.00896954160186</v>
      </c>
      <c r="AB110" s="33">
        <v>35.553110479837997</v>
      </c>
      <c r="AC110" s="33">
        <v>35.684845656681503</v>
      </c>
      <c r="AD110" s="33">
        <v>35.758174626640702</v>
      </c>
      <c r="AE110" s="15">
        <v>-7.7578829784751601E-3</v>
      </c>
      <c r="AF110" s="15">
        <v>-4.0594240627318196E-3</v>
      </c>
      <c r="AG110" s="15">
        <v>-2.00662743070615E-3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1.4460536729942488E-2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1.551023533159974E-2</v>
      </c>
      <c r="BE110" s="29">
        <f t="shared" si="42"/>
        <v>0</v>
      </c>
      <c r="BF110" s="29">
        <f t="shared" si="43"/>
        <v>2.9970772061542229E-2</v>
      </c>
      <c r="BH110" s="29"/>
    </row>
    <row r="111" spans="1:60" x14ac:dyDescent="0.25">
      <c r="A111" s="1">
        <v>46183</v>
      </c>
      <c r="B111" s="33">
        <v>33.93</v>
      </c>
      <c r="C111" s="33">
        <v>34.1</v>
      </c>
      <c r="D111" s="15">
        <v>-4.3823674181997799E-2</v>
      </c>
      <c r="E111" s="15">
        <v>-4.9488147027391197E-2</v>
      </c>
      <c r="F111" s="33">
        <v>0</v>
      </c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33.93</v>
      </c>
      <c r="M111" s="33">
        <v>34.1</v>
      </c>
      <c r="N111" s="34">
        <v>1.00501031535514</v>
      </c>
      <c r="O111" s="34">
        <v>1.0029086172027599</v>
      </c>
      <c r="P111" s="34">
        <v>1.0059949558153001</v>
      </c>
      <c r="Q111" s="34">
        <v>1.0089551065747699</v>
      </c>
      <c r="R111" s="33">
        <v>34.028689381689802</v>
      </c>
      <c r="S111" s="33">
        <v>34.146527020022603</v>
      </c>
      <c r="T111" s="33">
        <v>34.234336546551198</v>
      </c>
      <c r="U111" s="15">
        <v>-2.09341013308175E-3</v>
      </c>
      <c r="V111" s="15">
        <v>1.3634987526108E-3</v>
      </c>
      <c r="W111" s="15">
        <v>3.9317487048357103E-3</v>
      </c>
      <c r="X111" s="34">
        <v>1.00501031535514</v>
      </c>
      <c r="Y111" s="34">
        <v>1.0029086172027599</v>
      </c>
      <c r="Z111" s="34">
        <v>1.0059949558153001</v>
      </c>
      <c r="AA111" s="34">
        <v>1.0089551065747699</v>
      </c>
      <c r="AB111" s="33">
        <v>34.028689381689802</v>
      </c>
      <c r="AC111" s="33">
        <v>34.146527020022603</v>
      </c>
      <c r="AD111" s="33">
        <v>34.234336546551198</v>
      </c>
      <c r="AE111" s="15">
        <v>-2.09341013308175E-3</v>
      </c>
      <c r="AF111" s="15">
        <v>1.3634987526108E-3</v>
      </c>
      <c r="AG111" s="15">
        <v>3.9317487048357103E-3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1.4460536729942488E-2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1.551023533159974E-2</v>
      </c>
      <c r="BE111" s="29">
        <f t="shared" si="42"/>
        <v>0</v>
      </c>
      <c r="BF111" s="29">
        <f t="shared" si="43"/>
        <v>2.9970772061542229E-2</v>
      </c>
      <c r="BH111" s="29"/>
    </row>
    <row r="112" spans="1:60" x14ac:dyDescent="0.25">
      <c r="A112" s="1">
        <v>46184</v>
      </c>
      <c r="B112" s="33">
        <v>32.700000000000003</v>
      </c>
      <c r="C112" s="33">
        <v>33.049999999999997</v>
      </c>
      <c r="D112" s="15">
        <v>-3.6924500892930902E-2</v>
      </c>
      <c r="E112" s="15">
        <v>-3.1275817991775902E-2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32.700000000000003</v>
      </c>
      <c r="M112" s="33">
        <v>33.049999999999997</v>
      </c>
      <c r="N112" s="34">
        <v>1.0107033639143701</v>
      </c>
      <c r="O112" s="34">
        <v>1.0029086172027599</v>
      </c>
      <c r="P112" s="34">
        <v>1.0060494908523301</v>
      </c>
      <c r="Q112" s="34">
        <v>1.00903608323142</v>
      </c>
      <c r="R112" s="33">
        <v>32.795111782530398</v>
      </c>
      <c r="S112" s="33">
        <v>32.896035055160297</v>
      </c>
      <c r="T112" s="33">
        <v>32.992831984994901</v>
      </c>
      <c r="U112" s="15">
        <v>-7.7420930342367101E-3</v>
      </c>
      <c r="V112" s="15">
        <v>-4.6694308296084701E-3</v>
      </c>
      <c r="W112" s="15">
        <v>-1.73124100119275E-3</v>
      </c>
      <c r="X112" s="34">
        <v>1.0107033639143701</v>
      </c>
      <c r="Y112" s="34">
        <v>1.0029086172027599</v>
      </c>
      <c r="Z112" s="34">
        <v>1.0060494908523301</v>
      </c>
      <c r="AA112" s="34">
        <v>1.00903608323142</v>
      </c>
      <c r="AB112" s="33">
        <v>32.795111782530398</v>
      </c>
      <c r="AC112" s="33">
        <v>32.896035055160297</v>
      </c>
      <c r="AD112" s="33">
        <v>32.992831984994901</v>
      </c>
      <c r="AE112" s="15">
        <v>-7.7420930342367101E-3</v>
      </c>
      <c r="AF112" s="15">
        <v>-4.6694308296084701E-3</v>
      </c>
      <c r="AG112" s="15">
        <v>-1.73124100119275E-3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1.4460536729942488E-2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1.551023533159974E-2</v>
      </c>
      <c r="BE112" s="29">
        <f t="shared" si="42"/>
        <v>0</v>
      </c>
      <c r="BF112" s="29">
        <f t="shared" si="43"/>
        <v>2.9970772061542229E-2</v>
      </c>
      <c r="BH112" s="29"/>
    </row>
    <row r="113" spans="1:60" x14ac:dyDescent="0.25">
      <c r="A113" s="1">
        <v>46185</v>
      </c>
      <c r="B113" s="33">
        <v>32.03</v>
      </c>
      <c r="C113" s="33">
        <v>32.22</v>
      </c>
      <c r="D113" s="15">
        <v>-2.0702114282140902E-2</v>
      </c>
      <c r="E113" s="15">
        <v>-2.5434188548866799E-2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32.03</v>
      </c>
      <c r="M113" s="33">
        <v>32.22</v>
      </c>
      <c r="N113" s="34">
        <v>1.00593193880736</v>
      </c>
      <c r="O113" s="34">
        <v>1.0029086172027599</v>
      </c>
      <c r="P113" s="34">
        <v>1.0056141133045</v>
      </c>
      <c r="Q113" s="34">
        <v>1.0086770740706399</v>
      </c>
      <c r="R113" s="33">
        <v>32.1231630090045</v>
      </c>
      <c r="S113" s="33">
        <v>32.2237651920003</v>
      </c>
      <c r="T113" s="33">
        <v>32.319425745902599</v>
      </c>
      <c r="U113" s="15">
        <v>-3.0100187675108298E-3</v>
      </c>
      <c r="V113" s="15">
        <v>1.16852017985778E-4</v>
      </c>
      <c r="W113" s="15">
        <v>3.08108798330467E-3</v>
      </c>
      <c r="X113" s="34">
        <v>1.00593193880736</v>
      </c>
      <c r="Y113" s="34">
        <v>1.0029086172027599</v>
      </c>
      <c r="Z113" s="34">
        <v>1.0056141133045</v>
      </c>
      <c r="AA113" s="34">
        <v>1.0086770740706399</v>
      </c>
      <c r="AB113" s="33">
        <v>32.1231630090045</v>
      </c>
      <c r="AC113" s="33">
        <v>32.2237651920003</v>
      </c>
      <c r="AD113" s="33">
        <v>32.319425745902599</v>
      </c>
      <c r="AE113" s="15">
        <v>-3.0100187675108298E-3</v>
      </c>
      <c r="AF113" s="15">
        <v>1.16852017985778E-4</v>
      </c>
      <c r="AG113" s="15">
        <v>3.08108798330467E-3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1.4460536729942488E-2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1.551023533159974E-2</v>
      </c>
      <c r="BE113" s="29">
        <f t="shared" si="42"/>
        <v>0</v>
      </c>
      <c r="BF113" s="29">
        <f t="shared" si="43"/>
        <v>2.9970772061542229E-2</v>
      </c>
      <c r="BH113" s="29"/>
    </row>
    <row r="114" spans="1:60" x14ac:dyDescent="0.25">
      <c r="A114" s="1">
        <v>46188</v>
      </c>
      <c r="B114" s="33">
        <v>32.36</v>
      </c>
      <c r="C114" s="33">
        <v>32.68</v>
      </c>
      <c r="D114" s="15">
        <v>1.0250128569224101E-2</v>
      </c>
      <c r="E114" s="15">
        <v>1.4175892242973699E-2</v>
      </c>
      <c r="F114" s="33">
        <v>0</v>
      </c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32.36</v>
      </c>
      <c r="M114" s="33">
        <v>32.68</v>
      </c>
      <c r="N114" s="34">
        <v>1.00988875154511</v>
      </c>
      <c r="O114" s="34">
        <v>1.0029086172027599</v>
      </c>
      <c r="P114" s="34">
        <v>1.0060788505279701</v>
      </c>
      <c r="Q114" s="34">
        <v>1.00864044420233</v>
      </c>
      <c r="R114" s="33">
        <v>32.454122852681401</v>
      </c>
      <c r="S114" s="33">
        <v>32.541672706533603</v>
      </c>
      <c r="T114" s="33">
        <v>32.640790116926098</v>
      </c>
      <c r="U114" s="15">
        <v>-6.9357824412604402E-3</v>
      </c>
      <c r="V114" s="15">
        <v>-4.2417648959707597E-3</v>
      </c>
      <c r="W114" s="15">
        <v>-1.20053317521372E-3</v>
      </c>
      <c r="X114" s="34">
        <v>1.00988875154511</v>
      </c>
      <c r="Y114" s="34">
        <v>1.0029086172027599</v>
      </c>
      <c r="Z114" s="34">
        <v>1.0060788505279701</v>
      </c>
      <c r="AA114" s="34">
        <v>1.00864044420233</v>
      </c>
      <c r="AB114" s="33">
        <v>32.454122852681401</v>
      </c>
      <c r="AC114" s="33">
        <v>32.541672706533603</v>
      </c>
      <c r="AD114" s="33">
        <v>32.640790116926098</v>
      </c>
      <c r="AE114" s="15">
        <v>-6.9357824412604402E-3</v>
      </c>
      <c r="AF114" s="15">
        <v>-4.2417648959707597E-3</v>
      </c>
      <c r="AG114" s="15">
        <v>-1.20053317521372E-3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1.4460536729942488E-2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1.551023533159974E-2</v>
      </c>
      <c r="BE114" s="29">
        <f t="shared" si="42"/>
        <v>0</v>
      </c>
      <c r="BF114" s="29">
        <f t="shared" si="43"/>
        <v>2.9970772061542229E-2</v>
      </c>
      <c r="BH114" s="29"/>
    </row>
    <row r="115" spans="1:60" x14ac:dyDescent="0.25">
      <c r="A115" s="1">
        <v>46189</v>
      </c>
      <c r="B115" s="33">
        <v>33.26</v>
      </c>
      <c r="C115" s="33">
        <v>33.51</v>
      </c>
      <c r="D115" s="15">
        <v>2.7432381574490499E-2</v>
      </c>
      <c r="E115" s="15">
        <v>2.5080631757416701E-2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33.26</v>
      </c>
      <c r="M115" s="33">
        <v>33.51</v>
      </c>
      <c r="N115" s="34">
        <v>1.00751653638003</v>
      </c>
      <c r="O115" s="34">
        <v>1.0029086172027599</v>
      </c>
      <c r="P115" s="34">
        <v>1.0062531052107999</v>
      </c>
      <c r="Q115" s="34">
        <v>1.00842439585319</v>
      </c>
      <c r="R115" s="33">
        <v>33.356740608163904</v>
      </c>
      <c r="S115" s="33">
        <v>33.4621825685606</v>
      </c>
      <c r="T115" s="33">
        <v>33.547381174169701</v>
      </c>
      <c r="U115" s="15">
        <v>-4.5840326241868602E-3</v>
      </c>
      <c r="V115" s="15">
        <v>-1.4279791319604101E-3</v>
      </c>
      <c r="W115" s="15">
        <v>1.1149012200370001E-3</v>
      </c>
      <c r="X115" s="34">
        <v>1.00751653638003</v>
      </c>
      <c r="Y115" s="34">
        <v>1.0029086172027599</v>
      </c>
      <c r="Z115" s="34">
        <v>1.0062531052107999</v>
      </c>
      <c r="AA115" s="34">
        <v>1.00842439585319</v>
      </c>
      <c r="AB115" s="33">
        <v>33.356740608163904</v>
      </c>
      <c r="AC115" s="33">
        <v>33.4621825685606</v>
      </c>
      <c r="AD115" s="33">
        <v>33.547381174169701</v>
      </c>
      <c r="AE115" s="15">
        <v>-4.5840326241868602E-3</v>
      </c>
      <c r="AF115" s="15">
        <v>-1.4279791319604101E-3</v>
      </c>
      <c r="AG115" s="15">
        <v>1.1149012200370001E-3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1.4460536729942488E-2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1.551023533159974E-2</v>
      </c>
      <c r="BE115" s="29">
        <f t="shared" si="42"/>
        <v>0</v>
      </c>
      <c r="BF115" s="29">
        <f t="shared" si="43"/>
        <v>2.9970772061542229E-2</v>
      </c>
      <c r="BH115" s="29"/>
    </row>
    <row r="116" spans="1:60" x14ac:dyDescent="0.25">
      <c r="A116" s="1">
        <v>46190</v>
      </c>
      <c r="B116" s="33">
        <v>32.01</v>
      </c>
      <c r="C116" s="33">
        <v>32.25</v>
      </c>
      <c r="D116" s="15">
        <v>-3.8307119783009901E-2</v>
      </c>
      <c r="E116" s="15">
        <v>-3.8325858507437402E-2</v>
      </c>
      <c r="F116" s="33">
        <v>0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32.01</v>
      </c>
      <c r="M116" s="33">
        <v>32.25</v>
      </c>
      <c r="N116" s="34">
        <v>1.0074976569821901</v>
      </c>
      <c r="O116" s="34">
        <v>1.0029086172027599</v>
      </c>
      <c r="P116" s="34">
        <v>1.0067775822579299</v>
      </c>
      <c r="Q116" s="34">
        <v>1.0082159453689601</v>
      </c>
      <c r="R116" s="33">
        <v>32.103104836660499</v>
      </c>
      <c r="S116" s="33">
        <v>32.210161897797697</v>
      </c>
      <c r="T116" s="33">
        <v>32.279664911260603</v>
      </c>
      <c r="U116" s="15">
        <v>-4.5652938997592096E-3</v>
      </c>
      <c r="V116" s="15">
        <v>-1.2360535903584199E-3</v>
      </c>
      <c r="W116" s="15">
        <v>9.1941941403779601E-4</v>
      </c>
      <c r="X116" s="34">
        <v>1.0074976569821901</v>
      </c>
      <c r="Y116" s="34">
        <v>1.0029086172027599</v>
      </c>
      <c r="Z116" s="34">
        <v>1.0067775822579299</v>
      </c>
      <c r="AA116" s="34">
        <v>1.0082159453689601</v>
      </c>
      <c r="AB116" s="33">
        <v>32.103104836660499</v>
      </c>
      <c r="AC116" s="33">
        <v>32.210161897797697</v>
      </c>
      <c r="AD116" s="33">
        <v>32.279664911260603</v>
      </c>
      <c r="AE116" s="15">
        <v>-4.5652938997592096E-3</v>
      </c>
      <c r="AF116" s="15">
        <v>-1.2360535903584199E-3</v>
      </c>
      <c r="AG116" s="15">
        <v>9.1941941403779601E-4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1.4460536729942488E-2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1.551023533159974E-2</v>
      </c>
      <c r="BE116" s="29">
        <f t="shared" si="42"/>
        <v>0</v>
      </c>
      <c r="BF116" s="29">
        <f t="shared" si="43"/>
        <v>2.9970772061542229E-2</v>
      </c>
      <c r="BH116" s="29"/>
    </row>
    <row r="117" spans="1:60" x14ac:dyDescent="0.25">
      <c r="A117" s="1">
        <v>46191</v>
      </c>
      <c r="B117" s="33">
        <v>32.11</v>
      </c>
      <c r="C117" s="33">
        <v>32.49</v>
      </c>
      <c r="D117" s="15">
        <v>3.1191541196509001E-3</v>
      </c>
      <c r="E117" s="15">
        <v>7.4143064392274598E-3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32.11</v>
      </c>
      <c r="M117" s="33">
        <v>32.49</v>
      </c>
      <c r="N117" s="34">
        <v>1.01183431952662</v>
      </c>
      <c r="O117" s="34">
        <v>1.0029086172027599</v>
      </c>
      <c r="P117" s="34">
        <v>1.0077939763486801</v>
      </c>
      <c r="Q117" s="34">
        <v>1.00819071591069</v>
      </c>
      <c r="R117" s="33">
        <v>32.203395698380703</v>
      </c>
      <c r="S117" s="33">
        <v>32.327628166302297</v>
      </c>
      <c r="T117" s="33">
        <v>32.373814005797499</v>
      </c>
      <c r="U117" s="15">
        <v>-8.8604462193358508E-3</v>
      </c>
      <c r="V117" s="15">
        <v>-5.0101238794750197E-3</v>
      </c>
      <c r="W117" s="15">
        <v>-3.5824633578707501E-3</v>
      </c>
      <c r="X117" s="34">
        <v>1.01183431952662</v>
      </c>
      <c r="Y117" s="34">
        <v>1.0029086172027599</v>
      </c>
      <c r="Z117" s="34">
        <v>1.0077939763486801</v>
      </c>
      <c r="AA117" s="34">
        <v>1.00819071591069</v>
      </c>
      <c r="AB117" s="33">
        <v>32.203395698380703</v>
      </c>
      <c r="AC117" s="33">
        <v>32.327628166302297</v>
      </c>
      <c r="AD117" s="33">
        <v>32.373814005797499</v>
      </c>
      <c r="AE117" s="15">
        <v>-8.8604462193358508E-3</v>
      </c>
      <c r="AF117" s="15">
        <v>-5.0101238794750197E-3</v>
      </c>
      <c r="AG117" s="15">
        <v>-3.5824633578707501E-3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1.4460536729942488E-2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1.551023533159974E-2</v>
      </c>
      <c r="BE117" s="29">
        <f t="shared" si="42"/>
        <v>0</v>
      </c>
      <c r="BF117" s="29">
        <f t="shared" si="43"/>
        <v>2.9970772061542229E-2</v>
      </c>
      <c r="BH117" s="29"/>
    </row>
    <row r="118" spans="1:60" x14ac:dyDescent="0.25">
      <c r="A118" s="1">
        <v>46195</v>
      </c>
      <c r="B118" s="33">
        <v>30.31</v>
      </c>
      <c r="C118" s="33">
        <v>30.46</v>
      </c>
      <c r="D118" s="15">
        <v>-5.7689817031710701E-2</v>
      </c>
      <c r="E118" s="15">
        <v>-6.4518002213993203E-2</v>
      </c>
      <c r="F118" s="33">
        <v>0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30.31</v>
      </c>
      <c r="M118" s="33">
        <v>30.46</v>
      </c>
      <c r="N118" s="34">
        <v>1.0049488617617901</v>
      </c>
      <c r="O118" s="34">
        <v>1.0029086172027599</v>
      </c>
      <c r="P118" s="34">
        <v>1.00734761894243</v>
      </c>
      <c r="Q118" s="34">
        <v>1.0077578868899399</v>
      </c>
      <c r="R118" s="33">
        <v>30.398160187415801</v>
      </c>
      <c r="S118" s="33">
        <v>30.5462354231285</v>
      </c>
      <c r="T118" s="33">
        <v>30.558260599253099</v>
      </c>
      <c r="U118" s="15">
        <v>-2.0322610370534502E-3</v>
      </c>
      <c r="V118" s="15">
        <v>2.82710381871464E-3</v>
      </c>
      <c r="W118" s="15">
        <v>3.2206976477330701E-3</v>
      </c>
      <c r="X118" s="34">
        <v>1.0049488617617901</v>
      </c>
      <c r="Y118" s="34">
        <v>1.0029086172027599</v>
      </c>
      <c r="Z118" s="34">
        <v>1.00734761894243</v>
      </c>
      <c r="AA118" s="34">
        <v>1.0077578868899399</v>
      </c>
      <c r="AB118" s="33">
        <v>30.398160187415801</v>
      </c>
      <c r="AC118" s="33">
        <v>30.5462354231285</v>
      </c>
      <c r="AD118" s="33">
        <v>30.558260599253099</v>
      </c>
      <c r="AE118" s="15">
        <v>-2.0322610370534502E-3</v>
      </c>
      <c r="AF118" s="15">
        <v>2.82710381871464E-3</v>
      </c>
      <c r="AG118" s="15">
        <v>3.2206976477330701E-3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1.4460536729942488E-2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1.551023533159974E-2</v>
      </c>
      <c r="BE118" s="29">
        <f t="shared" si="42"/>
        <v>0</v>
      </c>
      <c r="BF118" s="29">
        <f t="shared" si="43"/>
        <v>2.9970772061542229E-2</v>
      </c>
      <c r="BH118" s="29"/>
    </row>
    <row r="119" spans="1:60" x14ac:dyDescent="0.25">
      <c r="A119" s="1">
        <v>46196</v>
      </c>
      <c r="B119" s="33">
        <v>30.5</v>
      </c>
      <c r="C119" s="33">
        <v>30.56</v>
      </c>
      <c r="D119" s="15">
        <v>6.2489925436542996E-3</v>
      </c>
      <c r="E119" s="15">
        <v>3.2776168313038501E-3</v>
      </c>
      <c r="F119" s="33">
        <v>0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30.5</v>
      </c>
      <c r="M119" s="33">
        <v>30.56</v>
      </c>
      <c r="N119" s="34">
        <v>1.0019672131147499</v>
      </c>
      <c r="O119" s="34">
        <v>1.0029086172027599</v>
      </c>
      <c r="P119" s="34">
        <v>1.0076018280377499</v>
      </c>
      <c r="Q119" s="34">
        <v>1.00711326460676</v>
      </c>
      <c r="R119" s="33">
        <v>30.588712824684301</v>
      </c>
      <c r="S119" s="33">
        <v>30.724102377744099</v>
      </c>
      <c r="T119" s="33">
        <v>30.736615550143199</v>
      </c>
      <c r="U119" s="15">
        <v>9.3911467529691898E-4</v>
      </c>
      <c r="V119" s="15">
        <v>5.35547600754732E-3</v>
      </c>
      <c r="W119" s="15">
        <v>5.7626685361675404E-3</v>
      </c>
      <c r="X119" s="34">
        <v>1.0019672131147499</v>
      </c>
      <c r="Y119" s="34">
        <v>1.0029086172027599</v>
      </c>
      <c r="Z119" s="34">
        <v>1.0076018280377499</v>
      </c>
      <c r="AA119" s="34">
        <v>1.00711326460676</v>
      </c>
      <c r="AB119" s="33">
        <v>30.588712824684301</v>
      </c>
      <c r="AC119" s="33">
        <v>30.724102377744099</v>
      </c>
      <c r="AD119" s="33">
        <v>30.736615550143199</v>
      </c>
      <c r="AE119" s="15">
        <v>9.3911467529691898E-4</v>
      </c>
      <c r="AF119" s="15">
        <v>5.35547600754732E-3</v>
      </c>
      <c r="AG119" s="15">
        <v>5.7626685361675404E-3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1.4460536729942488E-2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1.551023533159974E-2</v>
      </c>
      <c r="BE119" s="29">
        <f t="shared" si="42"/>
        <v>0</v>
      </c>
      <c r="BF119" s="29">
        <f t="shared" si="43"/>
        <v>2.9970772061542229E-2</v>
      </c>
      <c r="BH119" s="29"/>
    </row>
    <row r="120" spans="1:60" x14ac:dyDescent="0.25">
      <c r="A120" s="1">
        <v>46197</v>
      </c>
      <c r="B120" s="33">
        <v>30.54</v>
      </c>
      <c r="C120" s="33">
        <v>30.5</v>
      </c>
      <c r="D120" s="15">
        <v>1.3106161771203699E-3</v>
      </c>
      <c r="E120" s="15">
        <v>-1.9652806849537502E-3</v>
      </c>
      <c r="F120" s="33">
        <v>0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30.54</v>
      </c>
      <c r="M120" s="33">
        <v>30.5</v>
      </c>
      <c r="N120" s="34">
        <v>0.998690242305173</v>
      </c>
      <c r="O120" s="34">
        <v>1.0029086172027599</v>
      </c>
      <c r="P120" s="34">
        <v>1.00639891996925</v>
      </c>
      <c r="Q120" s="34">
        <v>1.0063902501411599</v>
      </c>
      <c r="R120" s="33">
        <v>30.628829169372398</v>
      </c>
      <c r="S120" s="33">
        <v>30.772159828272901</v>
      </c>
      <c r="T120" s="33">
        <v>30.7572391010907</v>
      </c>
      <c r="U120" s="15">
        <v>4.2150115373711296E-3</v>
      </c>
      <c r="V120" s="15">
        <v>8.8836959212500698E-3</v>
      </c>
      <c r="W120" s="15">
        <v>8.3987008543601593E-3</v>
      </c>
      <c r="X120" s="34">
        <v>0.998690242305173</v>
      </c>
      <c r="Y120" s="34">
        <v>1.0029086172027599</v>
      </c>
      <c r="Z120" s="34">
        <v>1.00639891996925</v>
      </c>
      <c r="AA120" s="34">
        <v>1.0063902501411599</v>
      </c>
      <c r="AB120" s="33">
        <v>30.628829169372398</v>
      </c>
      <c r="AC120" s="33">
        <v>30.772159828272901</v>
      </c>
      <c r="AD120" s="33">
        <v>30.7572391010907</v>
      </c>
      <c r="AE120" s="15">
        <v>4.2150115373711296E-3</v>
      </c>
      <c r="AF120" s="15">
        <v>8.8836959212500698E-3</v>
      </c>
      <c r="AG120" s="15">
        <v>8.3987008543601593E-3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1.4460536729942488E-2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1.551023533159974E-2</v>
      </c>
      <c r="BE120" s="29">
        <f t="shared" si="42"/>
        <v>0</v>
      </c>
      <c r="BF120" s="29">
        <f t="shared" si="43"/>
        <v>2.9970772061542229E-2</v>
      </c>
      <c r="BH120" s="29"/>
    </row>
    <row r="121" spans="1:60" x14ac:dyDescent="0.25">
      <c r="A121" s="1">
        <v>46198</v>
      </c>
      <c r="B121" s="33">
        <v>29.41</v>
      </c>
      <c r="C121" s="33">
        <v>29.14</v>
      </c>
      <c r="D121" s="15">
        <v>-3.7702547224582703E-2</v>
      </c>
      <c r="E121" s="15">
        <v>-4.5614882846306999E-2</v>
      </c>
      <c r="F121" s="33">
        <v>0</v>
      </c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29.41</v>
      </c>
      <c r="M121" s="33">
        <v>29.14</v>
      </c>
      <c r="N121" s="34">
        <v>0.99081944916694997</v>
      </c>
      <c r="O121" s="34">
        <v>1.0029086172027599</v>
      </c>
      <c r="P121" s="34">
        <v>1.0049798333504301</v>
      </c>
      <c r="Q121" s="34">
        <v>1.00548739458287</v>
      </c>
      <c r="R121" s="33">
        <v>29.495542431933298</v>
      </c>
      <c r="S121" s="33">
        <v>29.598192236295802</v>
      </c>
      <c r="T121" s="33">
        <v>29.597937256651601</v>
      </c>
      <c r="U121" s="15">
        <v>1.2127347159095501E-2</v>
      </c>
      <c r="V121" s="15">
        <v>1.56014855998062E-2</v>
      </c>
      <c r="W121" s="15">
        <v>1.5592870859404201E-2</v>
      </c>
      <c r="X121" s="34">
        <v>0.99081944916694997</v>
      </c>
      <c r="Y121" s="34">
        <v>1.0029086172027599</v>
      </c>
      <c r="Z121" s="34">
        <v>1.0049798333504301</v>
      </c>
      <c r="AA121" s="34">
        <v>1.00548739458287</v>
      </c>
      <c r="AB121" s="33">
        <v>29.495542431933298</v>
      </c>
      <c r="AC121" s="33">
        <v>29.598192236295802</v>
      </c>
      <c r="AD121" s="33">
        <v>29.597937256651601</v>
      </c>
      <c r="AE121" s="15">
        <v>1.2127347159095501E-2</v>
      </c>
      <c r="AF121" s="15">
        <v>1.56014855998062E-2</v>
      </c>
      <c r="AG121" s="15">
        <v>1.5592870859404201E-2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1.4460536729942488E-2</v>
      </c>
      <c r="AT121" s="12"/>
      <c r="AU121">
        <f t="shared" si="30"/>
        <v>1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1.551023533159974E-2</v>
      </c>
      <c r="BE121" s="29">
        <f t="shared" si="42"/>
        <v>0</v>
      </c>
      <c r="BF121" s="29">
        <f t="shared" si="43"/>
        <v>2.9970772061542229E-2</v>
      </c>
      <c r="BH121" s="29"/>
    </row>
    <row r="122" spans="1:60" x14ac:dyDescent="0.25">
      <c r="A122" s="1">
        <v>46199</v>
      </c>
      <c r="B122" s="33">
        <v>31.15</v>
      </c>
      <c r="C122" s="33">
        <v>31.18</v>
      </c>
      <c r="D122" s="15">
        <v>5.7479492667558398E-2</v>
      </c>
      <c r="E122" s="15">
        <v>6.7665062862571707E-2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31.15</v>
      </c>
      <c r="M122" s="33">
        <v>31.18</v>
      </c>
      <c r="N122" s="34">
        <v>1.0009630818619499</v>
      </c>
      <c r="O122" s="34">
        <v>1.0029086172027599</v>
      </c>
      <c r="P122" s="34">
        <v>1.0040058051451899</v>
      </c>
      <c r="Q122" s="34">
        <v>1.0050276479987601</v>
      </c>
      <c r="R122" s="33">
        <v>31.240603425866102</v>
      </c>
      <c r="S122" s="33">
        <v>31.305121808866101</v>
      </c>
      <c r="T122" s="33">
        <v>31.320932341256398</v>
      </c>
      <c r="U122" s="15">
        <v>1.94177696408236E-3</v>
      </c>
      <c r="V122" s="15">
        <v>4.0048565955679901E-3</v>
      </c>
      <c r="W122" s="15">
        <v>4.5097752892553902E-3</v>
      </c>
      <c r="X122" s="34">
        <v>1.0009630818619499</v>
      </c>
      <c r="Y122" s="34">
        <v>1.0029086172027599</v>
      </c>
      <c r="Z122" s="34">
        <v>1.0040058051451899</v>
      </c>
      <c r="AA122" s="34">
        <v>1.0050276479987601</v>
      </c>
      <c r="AB122" s="33">
        <v>31.240603425866102</v>
      </c>
      <c r="AC122" s="33">
        <v>31.305121808866101</v>
      </c>
      <c r="AD122" s="33">
        <v>31.320932341256398</v>
      </c>
      <c r="AE122" s="15">
        <v>1.94177696408236E-3</v>
      </c>
      <c r="AF122" s="15">
        <v>4.0048565955679901E-3</v>
      </c>
      <c r="AG122" s="15">
        <v>4.5097752892553902E-3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1.4460536729942488E-2</v>
      </c>
      <c r="AT122" s="12"/>
      <c r="AU122">
        <f t="shared" si="30"/>
        <v>0</v>
      </c>
      <c r="AV122">
        <f t="shared" si="31"/>
        <v>1</v>
      </c>
      <c r="AW122">
        <f t="shared" si="38"/>
        <v>1</v>
      </c>
      <c r="AX122">
        <f t="shared" si="25"/>
        <v>1</v>
      </c>
      <c r="AY122">
        <f t="shared" si="39"/>
        <v>1</v>
      </c>
      <c r="AZ122" s="28">
        <f t="shared" si="32"/>
        <v>-5.7479492667558398E-2</v>
      </c>
      <c r="BA122" s="28">
        <f t="shared" si="33"/>
        <v>6.7665062862571707E-2</v>
      </c>
      <c r="BB122" s="28">
        <f t="shared" si="40"/>
        <v>1.0185570195013309E-2</v>
      </c>
      <c r="BC122" s="29">
        <f t="shared" si="41"/>
        <v>2.5695805526613047E-2</v>
      </c>
      <c r="BE122" s="29">
        <f t="shared" si="42"/>
        <v>1.0185570195013309E-2</v>
      </c>
      <c r="BF122" s="29">
        <f t="shared" si="43"/>
        <v>4.0156342256555538E-2</v>
      </c>
      <c r="BH122" s="29"/>
    </row>
    <row r="123" spans="1:60" x14ac:dyDescent="0.25">
      <c r="A123" s="1">
        <v>46202</v>
      </c>
      <c r="B123" s="33">
        <v>31.38</v>
      </c>
      <c r="C123" s="33">
        <v>31.39</v>
      </c>
      <c r="D123" s="15">
        <v>7.3565020714244297E-3</v>
      </c>
      <c r="E123" s="15">
        <v>6.7125072242318201E-3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31.38</v>
      </c>
      <c r="M123" s="33">
        <v>31.39</v>
      </c>
      <c r="N123" s="34">
        <v>1.00031867431485</v>
      </c>
      <c r="O123" s="34">
        <v>1.0029086172027599</v>
      </c>
      <c r="P123" s="34">
        <v>1.00344447869594</v>
      </c>
      <c r="Q123" s="34">
        <v>1.0045292960002199</v>
      </c>
      <c r="R123" s="33">
        <v>31.471272407822699</v>
      </c>
      <c r="S123" s="33">
        <v>31.505702165456199</v>
      </c>
      <c r="T123" s="33">
        <v>31.537767594201298</v>
      </c>
      <c r="U123" s="15">
        <v>2.5857718112749901E-3</v>
      </c>
      <c r="V123" s="15">
        <v>3.67917972097469E-3</v>
      </c>
      <c r="W123" s="15">
        <v>4.6964280301925298E-3</v>
      </c>
      <c r="X123" s="34">
        <v>1.00031867431485</v>
      </c>
      <c r="Y123" s="34">
        <v>1.0029086172027599</v>
      </c>
      <c r="Z123" s="34">
        <v>1.00344447869594</v>
      </c>
      <c r="AA123" s="34">
        <v>1.0045292960002199</v>
      </c>
      <c r="AB123" s="33">
        <v>31.471272407822699</v>
      </c>
      <c r="AC123" s="33">
        <v>31.505702165456199</v>
      </c>
      <c r="AD123" s="33">
        <v>31.537767594201298</v>
      </c>
      <c r="AE123" s="15">
        <v>2.5857718112749901E-3</v>
      </c>
      <c r="AF123" s="15">
        <v>3.67917972097469E-3</v>
      </c>
      <c r="AG123" s="15">
        <v>4.6964280301925298E-3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1.4460536729942488E-2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2.5695805526613047E-2</v>
      </c>
      <c r="BE123" s="29">
        <f t="shared" si="42"/>
        <v>0</v>
      </c>
      <c r="BF123" s="29">
        <f t="shared" si="43"/>
        <v>4.0156342256555538E-2</v>
      </c>
      <c r="BH123" s="29"/>
    </row>
    <row r="124" spans="1:60" x14ac:dyDescent="0.25">
      <c r="A124" s="1">
        <v>46203</v>
      </c>
      <c r="B124" s="33">
        <v>31.52</v>
      </c>
      <c r="C124" s="33">
        <v>31.37</v>
      </c>
      <c r="D124" s="15">
        <v>4.4515176847918E-3</v>
      </c>
      <c r="E124" s="15">
        <v>-6.37348651275439E-4</v>
      </c>
      <c r="F124" s="33">
        <v>0</v>
      </c>
      <c r="G124" s="33">
        <v>0</v>
      </c>
      <c r="H124" s="33">
        <v>0</v>
      </c>
      <c r="I124" s="33">
        <v>0</v>
      </c>
      <c r="J124" s="33">
        <v>0</v>
      </c>
      <c r="K124" s="33">
        <v>0</v>
      </c>
      <c r="L124" s="33">
        <v>31.52</v>
      </c>
      <c r="M124" s="33">
        <v>31.37</v>
      </c>
      <c r="N124" s="34">
        <v>0.99524111675126903</v>
      </c>
      <c r="O124" s="34">
        <v>1.0029086172027599</v>
      </c>
      <c r="P124" s="34">
        <v>1.0019797152165599</v>
      </c>
      <c r="Q124" s="34">
        <v>1.0040292828722699</v>
      </c>
      <c r="R124" s="33">
        <v>31.6116796142311</v>
      </c>
      <c r="S124" s="33">
        <v>31.628569968496201</v>
      </c>
      <c r="T124" s="33">
        <v>31.662763409926999</v>
      </c>
      <c r="U124" s="15">
        <v>7.6746381473422496E-3</v>
      </c>
      <c r="V124" s="15">
        <v>8.2088028534619498E-3</v>
      </c>
      <c r="W124" s="15">
        <v>9.2893123934694906E-3</v>
      </c>
      <c r="X124" s="34">
        <v>0.99524111675126903</v>
      </c>
      <c r="Y124" s="34">
        <v>1.0029086172027599</v>
      </c>
      <c r="Z124" s="34">
        <v>1.0019797152165599</v>
      </c>
      <c r="AA124" s="34">
        <v>1.0040292828722699</v>
      </c>
      <c r="AB124" s="33">
        <v>31.6116796142311</v>
      </c>
      <c r="AC124" s="33">
        <v>31.628569968496201</v>
      </c>
      <c r="AD124" s="33">
        <v>31.662763409926999</v>
      </c>
      <c r="AE124" s="15">
        <v>7.6746381473422496E-3</v>
      </c>
      <c r="AF124" s="15">
        <v>8.2088028534619498E-3</v>
      </c>
      <c r="AG124" s="15">
        <v>9.2893123934694906E-3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1.4460536729942488E-2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2.5695805526613047E-2</v>
      </c>
      <c r="BE124" s="29">
        <f t="shared" si="42"/>
        <v>0</v>
      </c>
      <c r="BF124" s="29">
        <f t="shared" si="43"/>
        <v>4.0156342256555538E-2</v>
      </c>
      <c r="BH124" s="29"/>
    </row>
    <row r="125" spans="1:60" x14ac:dyDescent="0.25">
      <c r="A125" s="1">
        <v>46204</v>
      </c>
      <c r="B125" s="33">
        <v>33.020000000000003</v>
      </c>
      <c r="C125" s="33">
        <v>32.65</v>
      </c>
      <c r="D125" s="15">
        <v>4.6491173502303598E-2</v>
      </c>
      <c r="E125" s="15">
        <v>3.9992833519853298E-2</v>
      </c>
      <c r="F125" s="33">
        <v>0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33.020000000000003</v>
      </c>
      <c r="M125" s="33">
        <v>32.65</v>
      </c>
      <c r="N125" s="34">
        <v>0.98879466989703202</v>
      </c>
      <c r="O125" s="34">
        <v>1.0029086172027599</v>
      </c>
      <c r="P125" s="34">
        <v>1.0001075285682599</v>
      </c>
      <c r="Q125" s="34">
        <v>1.0031803168895299</v>
      </c>
      <c r="R125" s="33">
        <v>33.116042540035302</v>
      </c>
      <c r="S125" s="33">
        <v>33.085370196450803</v>
      </c>
      <c r="T125" s="33">
        <v>33.1530469204423</v>
      </c>
      <c r="U125" s="15">
        <v>1.41729781297926E-2</v>
      </c>
      <c r="V125" s="15">
        <v>1.32463409324467E-2</v>
      </c>
      <c r="W125" s="15">
        <v>1.5289769821194401E-2</v>
      </c>
      <c r="X125" s="34">
        <v>0.98879466989703202</v>
      </c>
      <c r="Y125" s="34">
        <v>1.0029086172027599</v>
      </c>
      <c r="Z125" s="34">
        <v>1.0001075285682599</v>
      </c>
      <c r="AA125" s="34">
        <v>1.0031803168895299</v>
      </c>
      <c r="AB125" s="33">
        <v>33.116042540035302</v>
      </c>
      <c r="AC125" s="33">
        <v>33.085370196450803</v>
      </c>
      <c r="AD125" s="33">
        <v>33.1530469204423</v>
      </c>
      <c r="AE125" s="15">
        <v>1.41729781297926E-2</v>
      </c>
      <c r="AF125" s="15">
        <v>1.32463409324467E-2</v>
      </c>
      <c r="AG125" s="15">
        <v>1.5289769821194401E-2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1.4460536729942488E-2</v>
      </c>
      <c r="AT125" s="12"/>
      <c r="AU125">
        <f t="shared" si="30"/>
        <v>1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2.5695805526613047E-2</v>
      </c>
      <c r="BE125" s="29">
        <f t="shared" si="42"/>
        <v>0</v>
      </c>
      <c r="BF125" s="29">
        <f t="shared" si="43"/>
        <v>4.0156342256555538E-2</v>
      </c>
      <c r="BH125" s="29"/>
    </row>
    <row r="126" spans="1:60" x14ac:dyDescent="0.25">
      <c r="A126" s="1">
        <v>46205</v>
      </c>
      <c r="B126" s="33">
        <v>33.43</v>
      </c>
      <c r="C126" s="33">
        <v>33.42</v>
      </c>
      <c r="D126" s="15">
        <v>1.2340261940025099E-2</v>
      </c>
      <c r="E126" s="15">
        <v>2.33096674448076E-2</v>
      </c>
      <c r="F126" s="33">
        <v>0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33.43</v>
      </c>
      <c r="M126" s="33">
        <v>33.42</v>
      </c>
      <c r="N126" s="34">
        <v>0.99970086748429499</v>
      </c>
      <c r="O126" s="34">
        <v>1.0029086172027599</v>
      </c>
      <c r="P126" s="34">
        <v>0.99932784961846999</v>
      </c>
      <c r="Q126" s="34">
        <v>1.0030527159381999</v>
      </c>
      <c r="R126" s="33">
        <v>33.527235073088399</v>
      </c>
      <c r="S126" s="33">
        <v>33.433594680036897</v>
      </c>
      <c r="T126" s="33">
        <v>33.536317993616898</v>
      </c>
      <c r="U126" s="15">
        <v>3.20357262501015E-3</v>
      </c>
      <c r="V126" s="15">
        <v>4.0670005223757301E-4</v>
      </c>
      <c r="W126" s="15">
        <v>3.4744476433691399E-3</v>
      </c>
      <c r="X126" s="34">
        <v>0.99970086748429499</v>
      </c>
      <c r="Y126" s="34">
        <v>1.0029086172027599</v>
      </c>
      <c r="Z126" s="34">
        <v>0.99932784961846999</v>
      </c>
      <c r="AA126" s="34">
        <v>1.0030527159381999</v>
      </c>
      <c r="AB126" s="33">
        <v>33.527235073088399</v>
      </c>
      <c r="AC126" s="33">
        <v>33.433594680036897</v>
      </c>
      <c r="AD126" s="33">
        <v>33.536317993616898</v>
      </c>
      <c r="AE126" s="15">
        <v>3.20357262501015E-3</v>
      </c>
      <c r="AF126" s="15">
        <v>4.0670005223757301E-4</v>
      </c>
      <c r="AG126" s="15">
        <v>3.4744476433691399E-3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1.4460536729942488E-2</v>
      </c>
      <c r="AT126" s="12"/>
      <c r="AU126">
        <f t="shared" si="30"/>
        <v>0</v>
      </c>
      <c r="AV126">
        <f t="shared" si="31"/>
        <v>1</v>
      </c>
      <c r="AW126">
        <f t="shared" si="38"/>
        <v>1</v>
      </c>
      <c r="AX126">
        <f t="shared" si="25"/>
        <v>1</v>
      </c>
      <c r="AY126">
        <f t="shared" si="39"/>
        <v>1</v>
      </c>
      <c r="AZ126" s="28">
        <f t="shared" si="32"/>
        <v>-1.2340261940025099E-2</v>
      </c>
      <c r="BA126" s="28">
        <f t="shared" si="33"/>
        <v>2.33096674448076E-2</v>
      </c>
      <c r="BB126" s="28">
        <f t="shared" si="40"/>
        <v>1.09694055047825E-2</v>
      </c>
      <c r="BC126" s="29">
        <f t="shared" si="41"/>
        <v>3.6665211031395549E-2</v>
      </c>
      <c r="BE126" s="29">
        <f t="shared" si="42"/>
        <v>1.09694055047825E-2</v>
      </c>
      <c r="BF126" s="29">
        <f t="shared" si="43"/>
        <v>5.112574776133804E-2</v>
      </c>
      <c r="BH126" s="29"/>
    </row>
    <row r="127" spans="1:60" x14ac:dyDescent="0.25">
      <c r="A127" s="1">
        <v>46209</v>
      </c>
      <c r="B127" s="33">
        <v>32.96</v>
      </c>
      <c r="C127" s="33">
        <v>32.950000000000003</v>
      </c>
      <c r="D127" s="15">
        <v>-1.4158995390736199E-2</v>
      </c>
      <c r="E127" s="15">
        <v>-1.41632622187313E-2</v>
      </c>
      <c r="F127" s="33">
        <v>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32.96</v>
      </c>
      <c r="M127" s="33">
        <v>32.950000000000003</v>
      </c>
      <c r="N127" s="34">
        <v>0.99969660194174703</v>
      </c>
      <c r="O127" s="34">
        <v>1.0029086172027599</v>
      </c>
      <c r="P127" s="34">
        <v>0.99811407785998196</v>
      </c>
      <c r="Q127" s="34">
        <v>1.00295402710433</v>
      </c>
      <c r="R127" s="33">
        <v>33.0558680230031</v>
      </c>
      <c r="S127" s="33">
        <v>32.937845923424703</v>
      </c>
      <c r="T127" s="33">
        <v>33.060617517323102</v>
      </c>
      <c r="U127" s="15">
        <v>3.2078394530053399E-3</v>
      </c>
      <c r="V127" s="15">
        <v>-3.6893228311628799E-4</v>
      </c>
      <c r="W127" s="15">
        <v>3.3515099548285798E-3</v>
      </c>
      <c r="X127" s="34">
        <v>0.99969660194174703</v>
      </c>
      <c r="Y127" s="34">
        <v>1.0029086172027599</v>
      </c>
      <c r="Z127" s="34">
        <v>0.99811407785998196</v>
      </c>
      <c r="AA127" s="34">
        <v>1.00295402710433</v>
      </c>
      <c r="AB127" s="33">
        <v>33.0558680230031</v>
      </c>
      <c r="AC127" s="33">
        <v>32.937845923424703</v>
      </c>
      <c r="AD127" s="33">
        <v>33.060617517323102</v>
      </c>
      <c r="AE127" s="15">
        <v>3.2078394530053399E-3</v>
      </c>
      <c r="AF127" s="15">
        <v>-3.6893228311628799E-4</v>
      </c>
      <c r="AG127" s="15">
        <v>3.3515099548285798E-3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1.4460536729942488E-2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3.6665211031395549E-2</v>
      </c>
      <c r="BE127" s="29">
        <f t="shared" si="42"/>
        <v>0</v>
      </c>
      <c r="BF127" s="29">
        <f t="shared" si="43"/>
        <v>5.112574776133804E-2</v>
      </c>
      <c r="BH127" s="29"/>
    </row>
    <row r="128" spans="1:60" x14ac:dyDescent="0.25">
      <c r="A128" s="1">
        <v>46210</v>
      </c>
      <c r="B128" s="33">
        <v>32.78</v>
      </c>
      <c r="C128" s="33">
        <v>32.69</v>
      </c>
      <c r="D128" s="15">
        <v>-5.4761317255872903E-3</v>
      </c>
      <c r="E128" s="15">
        <v>-7.9220402123971207E-3</v>
      </c>
      <c r="F128" s="33">
        <v>0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32.78</v>
      </c>
      <c r="M128" s="33">
        <v>32.69</v>
      </c>
      <c r="N128" s="34">
        <v>0.99725442342892001</v>
      </c>
      <c r="O128" s="34">
        <v>1.0029086172027599</v>
      </c>
      <c r="P128" s="34">
        <v>0.99734463402669404</v>
      </c>
      <c r="Q128" s="34">
        <v>1.0023461264845599</v>
      </c>
      <c r="R128" s="33">
        <v>32.875344471906601</v>
      </c>
      <c r="S128" s="33">
        <v>32.718179472250199</v>
      </c>
      <c r="T128" s="33">
        <v>32.876833008479998</v>
      </c>
      <c r="U128" s="15">
        <v>5.6537479398149999E-3</v>
      </c>
      <c r="V128" s="15">
        <v>8.6164984933257696E-4</v>
      </c>
      <c r="W128" s="15">
        <v>5.69902511939033E-3</v>
      </c>
      <c r="X128" s="34">
        <v>0.99725442342892001</v>
      </c>
      <c r="Y128" s="34">
        <v>1.0029086172027599</v>
      </c>
      <c r="Z128" s="34">
        <v>0.99734463402669404</v>
      </c>
      <c r="AA128" s="34">
        <v>1.0023461264845599</v>
      </c>
      <c r="AB128" s="33">
        <v>32.875344471906601</v>
      </c>
      <c r="AC128" s="33">
        <v>32.718179472250199</v>
      </c>
      <c r="AD128" s="33">
        <v>32.876833008479998</v>
      </c>
      <c r="AE128" s="15">
        <v>5.6537479398149999E-3</v>
      </c>
      <c r="AF128" s="15">
        <v>8.6164984933257696E-4</v>
      </c>
      <c r="AG128" s="15">
        <v>5.69902511939033E-3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1.4460536729942488E-2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3.6665211031395549E-2</v>
      </c>
      <c r="BE128" s="29">
        <f t="shared" si="42"/>
        <v>0</v>
      </c>
      <c r="BF128" s="29">
        <f t="shared" si="43"/>
        <v>5.112574776133804E-2</v>
      </c>
      <c r="BH128" s="29"/>
    </row>
    <row r="129" spans="1:60" x14ac:dyDescent="0.25">
      <c r="A129" s="1">
        <v>46211</v>
      </c>
      <c r="B129" s="33">
        <v>32.270000000000003</v>
      </c>
      <c r="C129" s="33">
        <v>32.130000000000003</v>
      </c>
      <c r="D129" s="15">
        <v>-1.5680567251813101E-2</v>
      </c>
      <c r="E129" s="15">
        <v>-1.7279047608351999E-2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32.270000000000003</v>
      </c>
      <c r="M129" s="33">
        <v>32.130000000000003</v>
      </c>
      <c r="N129" s="34">
        <v>0.99566160520607305</v>
      </c>
      <c r="O129" s="34">
        <v>1.0029086172027599</v>
      </c>
      <c r="P129" s="34">
        <v>0.99671407323582695</v>
      </c>
      <c r="Q129" s="34">
        <v>1.0021579506367899</v>
      </c>
      <c r="R129" s="33">
        <v>32.363861077133201</v>
      </c>
      <c r="S129" s="33">
        <v>32.184311340041397</v>
      </c>
      <c r="T129" s="33">
        <v>32.345709501656799</v>
      </c>
      <c r="U129" s="15">
        <v>7.2522282963539903E-3</v>
      </c>
      <c r="V129" s="15">
        <v>1.68893522514946E-3</v>
      </c>
      <c r="W129" s="15">
        <v>6.6912115629679499E-3</v>
      </c>
      <c r="X129" s="34">
        <v>0.99566160520607305</v>
      </c>
      <c r="Y129" s="34">
        <v>1.0029086172027599</v>
      </c>
      <c r="Z129" s="34">
        <v>0.99671407323582695</v>
      </c>
      <c r="AA129" s="34">
        <v>1.0021579506367899</v>
      </c>
      <c r="AB129" s="33">
        <v>32.363861077133201</v>
      </c>
      <c r="AC129" s="33">
        <v>32.184311340041397</v>
      </c>
      <c r="AD129" s="33">
        <v>32.345709501656799</v>
      </c>
      <c r="AE129" s="15">
        <v>7.2522282963539903E-3</v>
      </c>
      <c r="AF129" s="15">
        <v>1.68893522514946E-3</v>
      </c>
      <c r="AG129" s="15">
        <v>6.6912115629679499E-3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1.4460536729942488E-2</v>
      </c>
      <c r="AT129" s="12"/>
      <c r="AU129">
        <f t="shared" si="30"/>
        <v>0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3.6665211031395549E-2</v>
      </c>
      <c r="BE129" s="29">
        <f t="shared" si="42"/>
        <v>0</v>
      </c>
      <c r="BF129" s="29">
        <f t="shared" si="43"/>
        <v>5.112574776133804E-2</v>
      </c>
      <c r="BH129" s="29"/>
    </row>
    <row r="130" spans="1:60" x14ac:dyDescent="0.25">
      <c r="A130" s="1">
        <v>46212</v>
      </c>
      <c r="B130" s="33">
        <v>33.44</v>
      </c>
      <c r="C130" s="33">
        <v>33.21</v>
      </c>
      <c r="D130" s="15">
        <v>3.5614782152630198E-2</v>
      </c>
      <c r="E130" s="15">
        <v>3.3060862260887898E-2</v>
      </c>
      <c r="F130" s="33">
        <v>0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33.44</v>
      </c>
      <c r="M130" s="33">
        <v>33.21</v>
      </c>
      <c r="N130" s="34">
        <v>0.99312200956937802</v>
      </c>
      <c r="O130" s="34">
        <v>1.0029086172027599</v>
      </c>
      <c r="P130" s="34">
        <v>0.99615724996224697</v>
      </c>
      <c r="Q130" s="34">
        <v>1.0012780849657501</v>
      </c>
      <c r="R130" s="33">
        <v>33.537264159260403</v>
      </c>
      <c r="S130" s="33">
        <v>33.330118609006</v>
      </c>
      <c r="T130" s="33">
        <v>33.512161869294196</v>
      </c>
      <c r="U130" s="15">
        <v>9.8061481880961695E-3</v>
      </c>
      <c r="V130" s="15">
        <v>3.6104155507055802E-3</v>
      </c>
      <c r="W130" s="15">
        <v>9.0573784334277898E-3</v>
      </c>
      <c r="X130" s="34">
        <v>0.99312200956937802</v>
      </c>
      <c r="Y130" s="34">
        <v>1.0029086172027599</v>
      </c>
      <c r="Z130" s="34">
        <v>0.99615724996224697</v>
      </c>
      <c r="AA130" s="34">
        <v>1.0012780849657501</v>
      </c>
      <c r="AB130" s="33">
        <v>33.537264159260403</v>
      </c>
      <c r="AC130" s="33">
        <v>33.330118609006</v>
      </c>
      <c r="AD130" s="33">
        <v>33.512161869294196</v>
      </c>
      <c r="AE130" s="15">
        <v>9.8061481880961695E-3</v>
      </c>
      <c r="AF130" s="15">
        <v>3.6104155507055802E-3</v>
      </c>
      <c r="AG130" s="15">
        <v>9.0573784334277898E-3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1.4460536729942488E-2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3.6665211031395549E-2</v>
      </c>
      <c r="BE130" s="29">
        <f t="shared" si="42"/>
        <v>0</v>
      </c>
      <c r="BF130" s="29">
        <f t="shared" si="43"/>
        <v>5.112574776133804E-2</v>
      </c>
      <c r="BH130" s="29"/>
    </row>
    <row r="131" spans="1:60" x14ac:dyDescent="0.25">
      <c r="A131" s="1">
        <v>46213</v>
      </c>
      <c r="B131" s="33">
        <v>32.19</v>
      </c>
      <c r="C131" s="33">
        <v>32</v>
      </c>
      <c r="D131" s="15">
        <v>-3.8096942905783998E-2</v>
      </c>
      <c r="E131" s="15">
        <v>-3.7115132588928602E-2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32.19</v>
      </c>
      <c r="M131" s="33">
        <v>32</v>
      </c>
      <c r="N131" s="34">
        <v>0.99409754582168297</v>
      </c>
      <c r="O131" s="34">
        <v>1.0029086172027599</v>
      </c>
      <c r="P131" s="34">
        <v>0.99648505962772005</v>
      </c>
      <c r="Q131" s="34">
        <v>1.0007324464890699</v>
      </c>
      <c r="R131" s="33">
        <v>32.283628387756998</v>
      </c>
      <c r="S131" s="33">
        <v>32.066301876284697</v>
      </c>
      <c r="T131" s="33">
        <v>32.2311415550475</v>
      </c>
      <c r="U131" s="15">
        <v>8.8243378712408796E-3</v>
      </c>
      <c r="V131" s="15">
        <v>2.06979013968101E-3</v>
      </c>
      <c r="W131" s="15">
        <v>7.1972114214044402E-3</v>
      </c>
      <c r="X131" s="34">
        <v>0.99409754582168297</v>
      </c>
      <c r="Y131" s="34">
        <v>1.0029086172027599</v>
      </c>
      <c r="Z131" s="34">
        <v>0.99648505962772005</v>
      </c>
      <c r="AA131" s="34">
        <v>1.0007324464890699</v>
      </c>
      <c r="AB131" s="33">
        <v>32.283628387756998</v>
      </c>
      <c r="AC131" s="33">
        <v>32.066301876284697</v>
      </c>
      <c r="AD131" s="33">
        <v>32.2311415550475</v>
      </c>
      <c r="AE131" s="15">
        <v>8.8243378712408796E-3</v>
      </c>
      <c r="AF131" s="15">
        <v>2.06979013968101E-3</v>
      </c>
      <c r="AG131" s="15">
        <v>7.1972114214044402E-3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1.4460536729942488E-2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3.6665211031395549E-2</v>
      </c>
      <c r="BE131" s="29">
        <f t="shared" si="42"/>
        <v>0</v>
      </c>
      <c r="BF131" s="29">
        <f t="shared" si="43"/>
        <v>5.112574776133804E-2</v>
      </c>
      <c r="BH131" s="29"/>
    </row>
    <row r="132" spans="1:60" x14ac:dyDescent="0.25">
      <c r="A132" s="1">
        <v>46216</v>
      </c>
      <c r="B132" s="33">
        <v>32.19</v>
      </c>
      <c r="C132" s="33">
        <v>31.94</v>
      </c>
      <c r="D132" s="15">
        <v>0</v>
      </c>
      <c r="E132" s="15">
        <v>-1.8767600128601299E-3</v>
      </c>
      <c r="F132" s="33">
        <v>0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32.19</v>
      </c>
      <c r="M132" s="33">
        <v>31.94</v>
      </c>
      <c r="N132" s="34">
        <v>0.99223361292326795</v>
      </c>
      <c r="O132" s="34">
        <v>1.0029086172027599</v>
      </c>
      <c r="P132" s="34">
        <v>0.99561211273385197</v>
      </c>
      <c r="Q132" s="34">
        <v>0.99980895893952404</v>
      </c>
      <c r="R132" s="33">
        <v>32.283628387756998</v>
      </c>
      <c r="S132" s="33">
        <v>32.076854069416299</v>
      </c>
      <c r="T132" s="33">
        <v>32.213577452483399</v>
      </c>
      <c r="U132" s="15">
        <v>1.0701097884101E-2</v>
      </c>
      <c r="V132" s="15">
        <v>4.2755702349243502E-3</v>
      </c>
      <c r="W132" s="15">
        <v>8.5288809049087894E-3</v>
      </c>
      <c r="X132" s="34">
        <v>0.99223361292326795</v>
      </c>
      <c r="Y132" s="34">
        <v>1.0029086172027599</v>
      </c>
      <c r="Z132" s="34">
        <v>0.99561211273385197</v>
      </c>
      <c r="AA132" s="34">
        <v>0.99980895893952404</v>
      </c>
      <c r="AB132" s="33">
        <v>32.283628387756998</v>
      </c>
      <c r="AC132" s="33">
        <v>32.076854069416299</v>
      </c>
      <c r="AD132" s="33">
        <v>32.213577452483399</v>
      </c>
      <c r="AE132" s="15">
        <v>1.0701097884101E-2</v>
      </c>
      <c r="AF132" s="15">
        <v>4.2755702349243502E-3</v>
      </c>
      <c r="AG132" s="15">
        <v>8.5288809049087894E-3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1.4460536729942488E-2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3.6665211031395549E-2</v>
      </c>
      <c r="BE132" s="29">
        <f t="shared" si="42"/>
        <v>0</v>
      </c>
      <c r="BF132" s="29">
        <f t="shared" si="43"/>
        <v>5.112574776133804E-2</v>
      </c>
      <c r="BH132" s="29"/>
    </row>
    <row r="133" spans="1:60" x14ac:dyDescent="0.25">
      <c r="A133" s="1">
        <v>46217</v>
      </c>
      <c r="B133" s="33">
        <v>31.86</v>
      </c>
      <c r="C133" s="33">
        <v>31.8</v>
      </c>
      <c r="D133" s="15">
        <v>-1.0304540828814299E-2</v>
      </c>
      <c r="E133" s="15">
        <v>-4.39285300073521E-3</v>
      </c>
      <c r="F133" s="33">
        <v>0</v>
      </c>
      <c r="G133" s="33">
        <v>0</v>
      </c>
      <c r="H133" s="33">
        <v>0</v>
      </c>
      <c r="I133" s="33">
        <v>0</v>
      </c>
      <c r="J133" s="33">
        <v>0</v>
      </c>
      <c r="K133" s="33">
        <v>0</v>
      </c>
      <c r="L133" s="33">
        <v>31.86</v>
      </c>
      <c r="M133" s="33">
        <v>31.8</v>
      </c>
      <c r="N133" s="34">
        <v>0.99811676082862499</v>
      </c>
      <c r="O133" s="34">
        <v>1.0029086172027599</v>
      </c>
      <c r="P133" s="34">
        <v>0.99539192138522903</v>
      </c>
      <c r="Q133" s="34">
        <v>0.99941820004058701</v>
      </c>
      <c r="R133" s="33">
        <v>31.952668544080101</v>
      </c>
      <c r="S133" s="33">
        <v>31.720201911700499</v>
      </c>
      <c r="T133" s="33">
        <v>31.853913431813201</v>
      </c>
      <c r="U133" s="15">
        <v>4.7894100560219198E-3</v>
      </c>
      <c r="V133" s="15">
        <v>-2.5125276015173499E-3</v>
      </c>
      <c r="W133" s="15">
        <v>1.69395538462783E-3</v>
      </c>
      <c r="X133" s="34">
        <v>0.99811676082862499</v>
      </c>
      <c r="Y133" s="34">
        <v>1.0029086172027599</v>
      </c>
      <c r="Z133" s="34">
        <v>0.99539192138522903</v>
      </c>
      <c r="AA133" s="34">
        <v>0.99941820004058701</v>
      </c>
      <c r="AB133" s="33">
        <v>31.952668544080101</v>
      </c>
      <c r="AC133" s="33">
        <v>31.720201911700499</v>
      </c>
      <c r="AD133" s="33">
        <v>31.853913431813201</v>
      </c>
      <c r="AE133" s="15">
        <v>4.7894100560219198E-3</v>
      </c>
      <c r="AF133" s="15">
        <v>-2.5125276015173499E-3</v>
      </c>
      <c r="AG133" s="15">
        <v>1.69395538462783E-3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1.4460536729942488E-2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3.6665211031395549E-2</v>
      </c>
      <c r="BE133" s="29">
        <f t="shared" si="42"/>
        <v>0</v>
      </c>
      <c r="BF133" s="29">
        <f t="shared" si="43"/>
        <v>5.112574776133804E-2</v>
      </c>
      <c r="BH133" s="29"/>
    </row>
    <row r="134" spans="1:60" x14ac:dyDescent="0.25">
      <c r="A134" s="1">
        <v>46218</v>
      </c>
      <c r="B134" s="33">
        <v>33.840000000000003</v>
      </c>
      <c r="C134" s="33">
        <v>33.74</v>
      </c>
      <c r="D134" s="15">
        <v>6.0292230256120197E-2</v>
      </c>
      <c r="E134" s="15">
        <v>5.9217787331691099E-2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33.840000000000003</v>
      </c>
      <c r="M134" s="33">
        <v>33.74</v>
      </c>
      <c r="N134" s="34">
        <v>0.99704491725768296</v>
      </c>
      <c r="O134" s="34">
        <v>1.0029086172027599</v>
      </c>
      <c r="P134" s="34">
        <v>0.99557230143587006</v>
      </c>
      <c r="Q134" s="34">
        <v>0.99877600832621505</v>
      </c>
      <c r="R134" s="33">
        <v>33.938427606141502</v>
      </c>
      <c r="S134" s="33">
        <v>33.684062619676098</v>
      </c>
      <c r="T134" s="33">
        <v>33.8203118893734</v>
      </c>
      <c r="U134" s="15">
        <v>5.8638529804509697E-3</v>
      </c>
      <c r="V134" s="15">
        <v>-1.65927091854949E-3</v>
      </c>
      <c r="W134" s="15">
        <v>2.3774883495181602E-3</v>
      </c>
      <c r="X134" s="34">
        <v>0.99704491725768296</v>
      </c>
      <c r="Y134" s="34">
        <v>1.0029086172027599</v>
      </c>
      <c r="Z134" s="34">
        <v>0.99557230143587006</v>
      </c>
      <c r="AA134" s="34">
        <v>0.99877600832621505</v>
      </c>
      <c r="AB134" s="33">
        <v>33.938427606141502</v>
      </c>
      <c r="AC134" s="33">
        <v>33.684062619676098</v>
      </c>
      <c r="AD134" s="33">
        <v>33.8203118893734</v>
      </c>
      <c r="AE134" s="15">
        <v>5.8638529804509697E-3</v>
      </c>
      <c r="AF134" s="15">
        <v>-1.65927091854949E-3</v>
      </c>
      <c r="AG134" s="15">
        <v>2.3774883495181602E-3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1.4460536729942488E-2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3.6665211031395549E-2</v>
      </c>
      <c r="BE134" s="29">
        <f t="shared" si="42"/>
        <v>0</v>
      </c>
      <c r="BF134" s="29">
        <f t="shared" si="43"/>
        <v>5.112574776133804E-2</v>
      </c>
      <c r="BH134" s="29"/>
    </row>
    <row r="135" spans="1:60" x14ac:dyDescent="0.25">
      <c r="A135" s="1">
        <v>46219</v>
      </c>
      <c r="B135" s="33">
        <v>34.08</v>
      </c>
      <c r="C135" s="33">
        <v>33.99</v>
      </c>
      <c r="D135" s="15">
        <v>7.0671672230923502E-3</v>
      </c>
      <c r="E135" s="15">
        <v>7.3822865902023697E-3</v>
      </c>
      <c r="F135" s="33">
        <v>0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34.08</v>
      </c>
      <c r="M135" s="33">
        <v>33.99</v>
      </c>
      <c r="N135" s="34">
        <v>0.99735915492957705</v>
      </c>
      <c r="O135" s="34">
        <v>1.0029086172027599</v>
      </c>
      <c r="P135" s="34">
        <v>0.996428749939125</v>
      </c>
      <c r="Q135" s="34">
        <v>0.99826813925369196</v>
      </c>
      <c r="R135" s="33">
        <v>34.179125674270203</v>
      </c>
      <c r="S135" s="33">
        <v>33.929104032934397</v>
      </c>
      <c r="T135" s="33">
        <v>34.0382863637574</v>
      </c>
      <c r="U135" s="15">
        <v>5.5487336133408201E-3</v>
      </c>
      <c r="V135" s="15">
        <v>-1.79319159904587E-3</v>
      </c>
      <c r="W135" s="15">
        <v>1.41959688969213E-3</v>
      </c>
      <c r="X135" s="34">
        <v>0.99735915492957705</v>
      </c>
      <c r="Y135" s="34">
        <v>1.0029086172027599</v>
      </c>
      <c r="Z135" s="34">
        <v>0.996428749939125</v>
      </c>
      <c r="AA135" s="34">
        <v>0.99826813925369196</v>
      </c>
      <c r="AB135" s="33">
        <v>34.179125674270203</v>
      </c>
      <c r="AC135" s="33">
        <v>33.929104032934397</v>
      </c>
      <c r="AD135" s="33">
        <v>34.0382863637574</v>
      </c>
      <c r="AE135" s="15">
        <v>5.5487336133408201E-3</v>
      </c>
      <c r="AF135" s="15">
        <v>-1.79319159904587E-3</v>
      </c>
      <c r="AG135" s="15">
        <v>1.41959688969213E-3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1.4460536729942488E-2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3.6665211031395549E-2</v>
      </c>
      <c r="BE135" s="29">
        <f t="shared" si="42"/>
        <v>0</v>
      </c>
      <c r="BF135" s="29">
        <f t="shared" si="43"/>
        <v>5.112574776133804E-2</v>
      </c>
      <c r="BH135" s="29"/>
    </row>
    <row r="136" spans="1:60" x14ac:dyDescent="0.25">
      <c r="A136" s="1">
        <v>46220</v>
      </c>
      <c r="B136" s="33">
        <v>33.909999999999997</v>
      </c>
      <c r="C136" s="33">
        <v>33.71</v>
      </c>
      <c r="D136" s="15">
        <v>-5.0007458235677401E-3</v>
      </c>
      <c r="E136" s="15">
        <v>-8.2718344620552903E-3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33.909999999999997</v>
      </c>
      <c r="M136" s="33">
        <v>33.71</v>
      </c>
      <c r="N136" s="34">
        <v>0.99410203479799397</v>
      </c>
      <c r="O136" s="34">
        <v>1.0029086172027599</v>
      </c>
      <c r="P136" s="34">
        <v>0.99586886667049501</v>
      </c>
      <c r="Q136" s="34">
        <v>0.99759835814448194</v>
      </c>
      <c r="R136" s="33">
        <v>34.008631209345701</v>
      </c>
      <c r="S136" s="33">
        <v>33.788898910435698</v>
      </c>
      <c r="T136" s="33">
        <v>33.851272602092699</v>
      </c>
      <c r="U136" s="15">
        <v>8.8198222518283895E-3</v>
      </c>
      <c r="V136" s="15">
        <v>2.3377846940544401E-3</v>
      </c>
      <c r="W136" s="15">
        <v>4.18206474071547E-3</v>
      </c>
      <c r="X136" s="34">
        <v>0.99410203479799397</v>
      </c>
      <c r="Y136" s="34">
        <v>1.0029086172027599</v>
      </c>
      <c r="Z136" s="34">
        <v>0.99586886667049501</v>
      </c>
      <c r="AA136" s="34">
        <v>0.99759835814448194</v>
      </c>
      <c r="AB136" s="33">
        <v>34.008631209345701</v>
      </c>
      <c r="AC136" s="33">
        <v>33.788898910435698</v>
      </c>
      <c r="AD136" s="33">
        <v>33.851272602092699</v>
      </c>
      <c r="AE136" s="15">
        <v>8.8198222518283895E-3</v>
      </c>
      <c r="AF136" s="15">
        <v>2.3377846940544401E-3</v>
      </c>
      <c r="AG136" s="15">
        <v>4.18206474071547E-3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1.4460536729942488E-2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3.6665211031395549E-2</v>
      </c>
      <c r="BE136" s="29">
        <f t="shared" si="42"/>
        <v>0</v>
      </c>
      <c r="BF136" s="29">
        <f t="shared" si="43"/>
        <v>5.112574776133804E-2</v>
      </c>
      <c r="BH136" s="29"/>
    </row>
    <row r="137" spans="1:60" x14ac:dyDescent="0.25">
      <c r="A137" s="1">
        <v>46223</v>
      </c>
      <c r="B137" s="33">
        <v>33.03</v>
      </c>
      <c r="C137" s="33">
        <v>32.840000000000003</v>
      </c>
      <c r="D137" s="15">
        <v>-2.6293716734848802E-2</v>
      </c>
      <c r="E137" s="15">
        <v>-2.61472446617418E-2</v>
      </c>
      <c r="F137" s="33">
        <v>0</v>
      </c>
      <c r="G137" s="33">
        <v>0</v>
      </c>
      <c r="H137" s="33">
        <v>0</v>
      </c>
      <c r="I137" s="33">
        <v>0</v>
      </c>
      <c r="J137" s="33">
        <v>0</v>
      </c>
      <c r="K137" s="33">
        <v>0</v>
      </c>
      <c r="L137" s="33">
        <v>33.03</v>
      </c>
      <c r="M137" s="33">
        <v>32.840000000000003</v>
      </c>
      <c r="N137" s="34">
        <v>0.994247653648198</v>
      </c>
      <c r="O137" s="34">
        <v>1.0029086172027599</v>
      </c>
      <c r="P137" s="34">
        <v>0.99532397184113997</v>
      </c>
      <c r="Q137" s="34">
        <v>0.99671902485056096</v>
      </c>
      <c r="R137" s="33">
        <v>33.126071626207299</v>
      </c>
      <c r="S137" s="33">
        <v>32.893548666126399</v>
      </c>
      <c r="T137" s="33">
        <v>32.9506737695122</v>
      </c>
      <c r="U137" s="15">
        <v>8.6733501787212806E-3</v>
      </c>
      <c r="V137" s="15">
        <v>1.62926478361499E-3</v>
      </c>
      <c r="W137" s="15">
        <v>3.3644243953555499E-3</v>
      </c>
      <c r="X137" s="34">
        <v>0.994247653648198</v>
      </c>
      <c r="Y137" s="34">
        <v>1.0029086172027599</v>
      </c>
      <c r="Z137" s="34">
        <v>0.99532397184113997</v>
      </c>
      <c r="AA137" s="34">
        <v>0.99671902485056096</v>
      </c>
      <c r="AB137" s="33">
        <v>33.126071626207299</v>
      </c>
      <c r="AC137" s="33">
        <v>32.893548666126399</v>
      </c>
      <c r="AD137" s="33">
        <v>32.9506737695122</v>
      </c>
      <c r="AE137" s="15">
        <v>8.6733501787212806E-3</v>
      </c>
      <c r="AF137" s="15">
        <v>1.62926478361499E-3</v>
      </c>
      <c r="AG137" s="15">
        <v>3.3644243953555499E-3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1.4460536729942488E-2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3.6665211031395549E-2</v>
      </c>
      <c r="BE137" s="29">
        <f t="shared" si="42"/>
        <v>0</v>
      </c>
      <c r="BF137" s="29">
        <f t="shared" si="43"/>
        <v>5.112574776133804E-2</v>
      </c>
      <c r="BH137" s="29"/>
    </row>
    <row r="138" spans="1:60" x14ac:dyDescent="0.25">
      <c r="A138" s="1">
        <v>46224</v>
      </c>
      <c r="B138" s="33">
        <v>31.85</v>
      </c>
      <c r="C138" s="33">
        <v>31.8</v>
      </c>
      <c r="D138" s="15">
        <v>-3.6378857384525801E-2</v>
      </c>
      <c r="E138" s="15">
        <v>-3.2180994798096399E-2</v>
      </c>
      <c r="F138" s="33">
        <v>0</v>
      </c>
      <c r="G138" s="33">
        <v>0</v>
      </c>
      <c r="H138" s="33">
        <v>0</v>
      </c>
      <c r="I138" s="33">
        <v>0</v>
      </c>
      <c r="J138" s="33">
        <v>0</v>
      </c>
      <c r="K138" s="33">
        <v>0</v>
      </c>
      <c r="L138" s="33">
        <v>31.85</v>
      </c>
      <c r="M138" s="33">
        <v>31.8</v>
      </c>
      <c r="N138" s="34">
        <v>0.99843014128728402</v>
      </c>
      <c r="O138" s="34">
        <v>1.0029086172027599</v>
      </c>
      <c r="P138" s="34">
        <v>0.99544154362697601</v>
      </c>
      <c r="Q138" s="34">
        <v>0.99639308882683597</v>
      </c>
      <c r="R138" s="33">
        <v>31.942639457908001</v>
      </c>
      <c r="S138" s="33">
        <v>31.701068503140299</v>
      </c>
      <c r="T138" s="33">
        <v>31.745500941490299</v>
      </c>
      <c r="U138" s="15">
        <v>4.4754875922918902E-3</v>
      </c>
      <c r="V138" s="15">
        <v>-3.1159027472856902E-3</v>
      </c>
      <c r="W138" s="15">
        <v>-1.71527711842087E-3</v>
      </c>
      <c r="X138" s="34">
        <v>0.99843014128728402</v>
      </c>
      <c r="Y138" s="34">
        <v>1.0029086172027599</v>
      </c>
      <c r="Z138" s="34">
        <v>0.99544154362697601</v>
      </c>
      <c r="AA138" s="34">
        <v>0.99639308882683597</v>
      </c>
      <c r="AB138" s="33">
        <v>31.942639457908001</v>
      </c>
      <c r="AC138" s="33">
        <v>31.701068503140299</v>
      </c>
      <c r="AD138" s="33">
        <v>31.745500941490299</v>
      </c>
      <c r="AE138" s="15">
        <v>4.4754875922918902E-3</v>
      </c>
      <c r="AF138" s="15">
        <v>-3.1159027472856902E-3</v>
      </c>
      <c r="AG138" s="15">
        <v>-1.71527711842087E-3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1.4460536729942488E-2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3.6665211031395549E-2</v>
      </c>
      <c r="BE138" s="29">
        <f t="shared" si="42"/>
        <v>0</v>
      </c>
      <c r="BF138" s="29">
        <f t="shared" si="43"/>
        <v>5.112574776133804E-2</v>
      </c>
      <c r="BH138" s="29"/>
    </row>
    <row r="139" spans="1:60" x14ac:dyDescent="0.25">
      <c r="A139" s="1">
        <v>46225</v>
      </c>
      <c r="B139" s="33">
        <v>31.36</v>
      </c>
      <c r="C139" s="33">
        <v>31.35</v>
      </c>
      <c r="D139" s="15">
        <v>-1.55041865359653E-2</v>
      </c>
      <c r="E139" s="15">
        <v>-1.4252022707201301E-2</v>
      </c>
      <c r="F139" s="33">
        <v>0</v>
      </c>
      <c r="G139" s="33">
        <v>0</v>
      </c>
      <c r="H139" s="33">
        <v>0</v>
      </c>
      <c r="I139" s="33">
        <v>0</v>
      </c>
      <c r="J139" s="33">
        <v>0</v>
      </c>
      <c r="K139" s="33">
        <v>0</v>
      </c>
      <c r="L139" s="33">
        <v>31.36</v>
      </c>
      <c r="M139" s="33">
        <v>31.35</v>
      </c>
      <c r="N139" s="34">
        <v>0.999681122448979</v>
      </c>
      <c r="O139" s="34">
        <v>1.0029086172027599</v>
      </c>
      <c r="P139" s="34">
        <v>0.99584349535126704</v>
      </c>
      <c r="Q139" s="34">
        <v>0.99627878429354699</v>
      </c>
      <c r="R139" s="33">
        <v>31.451214235478702</v>
      </c>
      <c r="S139" s="33">
        <v>31.217046808141902</v>
      </c>
      <c r="T139" s="33">
        <v>31.246887265609502</v>
      </c>
      <c r="U139" s="15">
        <v>3.22332376352785E-3</v>
      </c>
      <c r="V139" s="15">
        <v>-4.2499494145258497E-3</v>
      </c>
      <c r="W139" s="15">
        <v>-3.2945033581693798E-3</v>
      </c>
      <c r="X139" s="34">
        <v>0.999681122448979</v>
      </c>
      <c r="Y139" s="34">
        <v>1.0029086172027599</v>
      </c>
      <c r="Z139" s="34">
        <v>0.99584349535126704</v>
      </c>
      <c r="AA139" s="34">
        <v>0.99627878429354699</v>
      </c>
      <c r="AB139" s="33">
        <v>31.451214235478702</v>
      </c>
      <c r="AC139" s="33">
        <v>31.217046808141902</v>
      </c>
      <c r="AD139" s="33">
        <v>31.246887265609502</v>
      </c>
      <c r="AE139" s="15">
        <v>3.22332376352785E-3</v>
      </c>
      <c r="AF139" s="15">
        <v>-4.2499494145258497E-3</v>
      </c>
      <c r="AG139" s="15">
        <v>-3.2945033581693798E-3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1.4460536729942488E-2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3.6665211031395549E-2</v>
      </c>
      <c r="BE139" s="29">
        <f t="shared" si="42"/>
        <v>0</v>
      </c>
      <c r="BF139" s="29">
        <f t="shared" si="43"/>
        <v>5.112574776133804E-2</v>
      </c>
      <c r="BH139" s="29"/>
    </row>
    <row r="140" spans="1:60" x14ac:dyDescent="0.25">
      <c r="A140" s="1">
        <v>46226</v>
      </c>
      <c r="B140" s="33">
        <v>29.58</v>
      </c>
      <c r="C140" s="33">
        <v>29.56</v>
      </c>
      <c r="D140" s="15">
        <v>-5.8434738199553402E-2</v>
      </c>
      <c r="E140" s="15">
        <v>-5.8792170998928701E-2</v>
      </c>
      <c r="F140" s="33">
        <v>0</v>
      </c>
      <c r="G140" s="33">
        <v>0</v>
      </c>
      <c r="H140" s="33">
        <v>0</v>
      </c>
      <c r="I140" s="33">
        <v>0</v>
      </c>
      <c r="J140" s="33">
        <v>0</v>
      </c>
      <c r="K140" s="33">
        <v>0</v>
      </c>
      <c r="L140" s="33">
        <v>29.58</v>
      </c>
      <c r="M140" s="33">
        <v>29.56</v>
      </c>
      <c r="N140" s="34">
        <v>0.99932386747802504</v>
      </c>
      <c r="O140" s="34">
        <v>1.0029086172027599</v>
      </c>
      <c r="P140" s="34">
        <v>0.99646368114213202</v>
      </c>
      <c r="Q140" s="34">
        <v>0.99631046555218905</v>
      </c>
      <c r="R140" s="33">
        <v>29.666036896857801</v>
      </c>
      <c r="S140" s="33">
        <v>29.4570505924904</v>
      </c>
      <c r="T140" s="33">
        <v>29.4699264394031</v>
      </c>
      <c r="U140" s="15">
        <v>3.58075656290328E-3</v>
      </c>
      <c r="V140" s="15">
        <v>-3.4888057230563498E-3</v>
      </c>
      <c r="W140" s="15">
        <v>-3.0517954514929801E-3</v>
      </c>
      <c r="X140" s="34">
        <v>0.99932386747802504</v>
      </c>
      <c r="Y140" s="34">
        <v>1.0029086172027599</v>
      </c>
      <c r="Z140" s="34">
        <v>0.99646368114213202</v>
      </c>
      <c r="AA140" s="34">
        <v>0.99631046555218905</v>
      </c>
      <c r="AB140" s="33">
        <v>29.666036896857801</v>
      </c>
      <c r="AC140" s="33">
        <v>29.4570505924904</v>
      </c>
      <c r="AD140" s="33">
        <v>29.4699264394031</v>
      </c>
      <c r="AE140" s="15">
        <v>3.58075656290328E-3</v>
      </c>
      <c r="AF140" s="15">
        <v>-3.4888057230563498E-3</v>
      </c>
      <c r="AG140" s="15">
        <v>-3.0517954514929801E-3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1.4460536729942488E-2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3.6665211031395549E-2</v>
      </c>
      <c r="BE140" s="29">
        <f t="shared" si="42"/>
        <v>0</v>
      </c>
      <c r="BF140" s="29">
        <f t="shared" si="43"/>
        <v>5.112574776133804E-2</v>
      </c>
      <c r="BH140" s="29"/>
    </row>
    <row r="141" spans="1:60" x14ac:dyDescent="0.25">
      <c r="A141" s="1">
        <v>46227</v>
      </c>
      <c r="B141" s="33">
        <v>30.76</v>
      </c>
      <c r="C141" s="33">
        <v>30.68</v>
      </c>
      <c r="D141" s="15">
        <v>3.9116687354789598E-2</v>
      </c>
      <c r="E141" s="15">
        <v>3.71888804190545E-2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30.76</v>
      </c>
      <c r="M141" s="33">
        <v>30.68</v>
      </c>
      <c r="N141" s="34">
        <v>0.99739921976592905</v>
      </c>
      <c r="O141" s="34">
        <v>1.0029086172027599</v>
      </c>
      <c r="P141" s="34">
        <v>0.99679384853655595</v>
      </c>
      <c r="Q141" s="34">
        <v>0.99663945408213805</v>
      </c>
      <c r="R141" s="33">
        <v>30.849469065156999</v>
      </c>
      <c r="S141" s="33">
        <v>30.6512228319319</v>
      </c>
      <c r="T141" s="33">
        <v>30.646509920385299</v>
      </c>
      <c r="U141" s="15">
        <v>5.5085634986384796E-3</v>
      </c>
      <c r="V141" s="15">
        <v>-9.3841827542576499E-4</v>
      </c>
      <c r="W141" s="15">
        <v>-1.09218942957119E-3</v>
      </c>
      <c r="X141" s="34">
        <v>0.99739921976592905</v>
      </c>
      <c r="Y141" s="34">
        <v>1.0029086172027599</v>
      </c>
      <c r="Z141" s="34">
        <v>0.99679384853655595</v>
      </c>
      <c r="AA141" s="34">
        <v>0.99663945408213805</v>
      </c>
      <c r="AB141" s="33">
        <v>30.849469065156999</v>
      </c>
      <c r="AC141" s="33">
        <v>30.6512228319319</v>
      </c>
      <c r="AD141" s="33">
        <v>30.646509920385299</v>
      </c>
      <c r="AE141" s="15">
        <v>5.5085634986384796E-3</v>
      </c>
      <c r="AF141" s="15">
        <v>-9.3841827542576499E-4</v>
      </c>
      <c r="AG141" s="15">
        <v>-1.09218942957119E-3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1.4460536729942488E-2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3.6665211031395549E-2</v>
      </c>
      <c r="BE141" s="29">
        <f t="shared" si="42"/>
        <v>0</v>
      </c>
      <c r="BF141" s="29">
        <f t="shared" si="43"/>
        <v>5.112574776133804E-2</v>
      </c>
      <c r="BH141" s="29"/>
    </row>
    <row r="142" spans="1:60" x14ac:dyDescent="0.25">
      <c r="A142" s="1">
        <v>46230</v>
      </c>
      <c r="B142" s="33">
        <v>32</v>
      </c>
      <c r="C142" s="33">
        <v>31.99</v>
      </c>
      <c r="D142" s="15">
        <v>3.9520758162283197E-2</v>
      </c>
      <c r="E142" s="15">
        <v>4.1812377462371E-2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32</v>
      </c>
      <c r="M142" s="33">
        <v>31.99</v>
      </c>
      <c r="N142" s="34">
        <v>0.99968749999999995</v>
      </c>
      <c r="O142" s="34">
        <v>1.0029086172027599</v>
      </c>
      <c r="P142" s="34">
        <v>0.99753923724422899</v>
      </c>
      <c r="Q142" s="34">
        <v>0.99657567498903998</v>
      </c>
      <c r="R142" s="33">
        <v>32.093075750488403</v>
      </c>
      <c r="S142" s="33">
        <v>31.897403153169801</v>
      </c>
      <c r="T142" s="33">
        <v>31.8924625306284</v>
      </c>
      <c r="U142" s="15">
        <v>3.2169441985506601E-3</v>
      </c>
      <c r="V142" s="15">
        <v>-2.8987533410099798E-3</v>
      </c>
      <c r="W142" s="15">
        <v>-3.0536563964809701E-3</v>
      </c>
      <c r="X142" s="34">
        <v>0.99968749999999995</v>
      </c>
      <c r="Y142" s="34">
        <v>1.0029086172027599</v>
      </c>
      <c r="Z142" s="34">
        <v>0.99753923724422899</v>
      </c>
      <c r="AA142" s="34">
        <v>0.99657567498903998</v>
      </c>
      <c r="AB142" s="33">
        <v>32.093075750488403</v>
      </c>
      <c r="AC142" s="33">
        <v>31.897403153169801</v>
      </c>
      <c r="AD142" s="33">
        <v>31.8924625306284</v>
      </c>
      <c r="AE142" s="15">
        <v>3.2169441985506601E-3</v>
      </c>
      <c r="AF142" s="15">
        <v>-2.8987533410099798E-3</v>
      </c>
      <c r="AG142" s="15">
        <v>-3.0536563964809701E-3</v>
      </c>
      <c r="AI142" s="12"/>
      <c r="AJ142">
        <f t="shared" si="26"/>
        <v>0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1.4460536729942488E-2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3.6665211031395549E-2</v>
      </c>
      <c r="BE142" s="29">
        <f t="shared" si="42"/>
        <v>0</v>
      </c>
      <c r="BF142" s="29">
        <f t="shared" si="43"/>
        <v>5.112574776133804E-2</v>
      </c>
      <c r="BH142" s="29"/>
    </row>
    <row r="143" spans="1:60" x14ac:dyDescent="0.25">
      <c r="A143" s="1">
        <v>46231</v>
      </c>
      <c r="B143" s="33">
        <v>33.67</v>
      </c>
      <c r="C143" s="33">
        <v>33.81</v>
      </c>
      <c r="D143" s="15">
        <v>5.0871330373256599E-2</v>
      </c>
      <c r="E143" s="15">
        <v>5.5333262758368001E-2</v>
      </c>
      <c r="F143" s="33">
        <v>0</v>
      </c>
      <c r="G143" s="33">
        <v>0</v>
      </c>
      <c r="H143" s="33">
        <v>0</v>
      </c>
      <c r="I143" s="33">
        <v>0</v>
      </c>
      <c r="J143" s="33">
        <v>0</v>
      </c>
      <c r="K143" s="33">
        <v>0</v>
      </c>
      <c r="L143" s="33">
        <v>33.67</v>
      </c>
      <c r="M143" s="33">
        <v>33.81</v>
      </c>
      <c r="N143" s="34">
        <v>1.0041580041580001</v>
      </c>
      <c r="O143" s="34">
        <v>1.0029086172027599</v>
      </c>
      <c r="P143" s="34">
        <v>0.99814336157716699</v>
      </c>
      <c r="Q143" s="34">
        <v>0.99676764148119801</v>
      </c>
      <c r="R143" s="33">
        <v>33.7679331412171</v>
      </c>
      <c r="S143" s="33">
        <v>33.587146118013202</v>
      </c>
      <c r="T143" s="33">
        <v>33.554702976881003</v>
      </c>
      <c r="U143" s="15">
        <v>-1.2449881865608499E-3</v>
      </c>
      <c r="V143" s="15">
        <v>-6.61317895536592E-3</v>
      </c>
      <c r="W143" s="15">
        <v>-7.5795849776771904E-3</v>
      </c>
      <c r="X143" s="34">
        <v>1.0041580041580001</v>
      </c>
      <c r="Y143" s="34">
        <v>1.0029086172027599</v>
      </c>
      <c r="Z143" s="34">
        <v>0.99814336157716699</v>
      </c>
      <c r="AA143" s="34">
        <v>0.99676764148119801</v>
      </c>
      <c r="AB143" s="33">
        <v>33.7679331412171</v>
      </c>
      <c r="AC143" s="33">
        <v>33.587146118013202</v>
      </c>
      <c r="AD143" s="33">
        <v>33.554702976881003</v>
      </c>
      <c r="AE143" s="15">
        <v>-1.2449881865608499E-3</v>
      </c>
      <c r="AF143" s="15">
        <v>-6.61317895536592E-3</v>
      </c>
      <c r="AG143" s="15">
        <v>-7.5795849776771904E-3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1.4460536729942488E-2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3.6665211031395549E-2</v>
      </c>
      <c r="BE143" s="29">
        <f t="shared" si="42"/>
        <v>0</v>
      </c>
      <c r="BF143" s="29">
        <f t="shared" si="43"/>
        <v>5.112574776133804E-2</v>
      </c>
      <c r="BH143" s="29"/>
    </row>
    <row r="144" spans="1:60" x14ac:dyDescent="0.25">
      <c r="A144" s="1">
        <v>46232</v>
      </c>
      <c r="B144" s="33">
        <v>34</v>
      </c>
      <c r="C144" s="33">
        <v>34.32</v>
      </c>
      <c r="D144" s="15">
        <v>9.7532914431781997E-3</v>
      </c>
      <c r="E144" s="15">
        <v>1.49716578999668E-2</v>
      </c>
      <c r="F144" s="33">
        <v>0</v>
      </c>
      <c r="G144" s="33">
        <v>0</v>
      </c>
      <c r="H144" s="33">
        <v>0</v>
      </c>
      <c r="I144" s="33">
        <v>0</v>
      </c>
      <c r="J144" s="33">
        <v>0</v>
      </c>
      <c r="K144" s="33">
        <v>0</v>
      </c>
      <c r="L144" s="33">
        <v>34</v>
      </c>
      <c r="M144" s="33">
        <v>34.32</v>
      </c>
      <c r="N144" s="34">
        <v>1.00941176470588</v>
      </c>
      <c r="O144" s="34">
        <v>1.0029086172027599</v>
      </c>
      <c r="P144" s="34">
        <v>0.99938004632198696</v>
      </c>
      <c r="Q144" s="34">
        <v>0.99747617387892895</v>
      </c>
      <c r="R144" s="33">
        <v>34.098892984894</v>
      </c>
      <c r="S144" s="33">
        <v>33.936874293623703</v>
      </c>
      <c r="T144" s="33">
        <v>33.890099810360702</v>
      </c>
      <c r="U144" s="15">
        <v>-6.4633546433493904E-3</v>
      </c>
      <c r="V144" s="15">
        <v>-1.1226114115867301E-2</v>
      </c>
      <c r="W144" s="15">
        <v>-1.26053438779403E-2</v>
      </c>
      <c r="X144" s="34">
        <v>1.00941176470588</v>
      </c>
      <c r="Y144" s="34">
        <v>1.0029086172027599</v>
      </c>
      <c r="Z144" s="34">
        <v>0.99938004632198696</v>
      </c>
      <c r="AA144" s="34">
        <v>0.99747617387892895</v>
      </c>
      <c r="AB144" s="33">
        <v>34.098892984894</v>
      </c>
      <c r="AC144" s="33">
        <v>33.936874293623703</v>
      </c>
      <c r="AD144" s="33">
        <v>33.890099810360702</v>
      </c>
      <c r="AE144" s="15">
        <v>-6.4633546433493904E-3</v>
      </c>
      <c r="AF144" s="15">
        <v>-1.1226114115867301E-2</v>
      </c>
      <c r="AG144" s="15">
        <v>-1.26053438779403E-2</v>
      </c>
      <c r="AI144" s="12"/>
      <c r="AJ144">
        <f t="shared" si="26"/>
        <v>1</v>
      </c>
      <c r="AK144">
        <f t="shared" si="27"/>
        <v>0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1.4460536729942488E-2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3.6665211031395549E-2</v>
      </c>
      <c r="BE144" s="29">
        <f t="shared" si="42"/>
        <v>0</v>
      </c>
      <c r="BF144" s="29">
        <f t="shared" si="43"/>
        <v>5.112574776133804E-2</v>
      </c>
      <c r="BH144" s="29"/>
    </row>
    <row r="145" spans="1:60" x14ac:dyDescent="0.25">
      <c r="A145" s="1">
        <v>46233</v>
      </c>
      <c r="B145" s="33">
        <v>33.71</v>
      </c>
      <c r="C145" s="33">
        <v>34.049999999999997</v>
      </c>
      <c r="D145" s="15">
        <v>-8.5659953701920401E-3</v>
      </c>
      <c r="E145" s="15">
        <v>-7.8982420242402103E-3</v>
      </c>
      <c r="F145" s="33">
        <v>0</v>
      </c>
      <c r="G145" s="33">
        <v>0</v>
      </c>
      <c r="H145" s="33">
        <v>0</v>
      </c>
      <c r="I145" s="33">
        <v>0</v>
      </c>
      <c r="J145" s="33">
        <v>0</v>
      </c>
      <c r="K145" s="33">
        <v>0</v>
      </c>
      <c r="L145" s="33">
        <v>33.71</v>
      </c>
      <c r="M145" s="33">
        <v>34.049999999999997</v>
      </c>
      <c r="N145" s="34">
        <v>1.0100860278849</v>
      </c>
      <c r="O145" s="34">
        <v>1.0029086172027599</v>
      </c>
      <c r="P145" s="34">
        <v>1.0006527336175199</v>
      </c>
      <c r="Q145" s="34">
        <v>0.99854074177832197</v>
      </c>
      <c r="R145" s="33">
        <v>33.808049485905201</v>
      </c>
      <c r="S145" s="33">
        <v>33.689101361514197</v>
      </c>
      <c r="T145" s="33">
        <v>33.624921821458699</v>
      </c>
      <c r="U145" s="15">
        <v>-7.1311079893013199E-3</v>
      </c>
      <c r="V145" s="15">
        <v>-1.0655649278307399E-2</v>
      </c>
      <c r="W145" s="15">
        <v>-1.2562519688601399E-2</v>
      </c>
      <c r="X145" s="34">
        <v>1.0100860278849</v>
      </c>
      <c r="Y145" s="34">
        <v>1.0029086172027599</v>
      </c>
      <c r="Z145" s="34">
        <v>1.0006527336175199</v>
      </c>
      <c r="AA145" s="34">
        <v>0.99854074177832197</v>
      </c>
      <c r="AB145" s="33">
        <v>33.808049485905201</v>
      </c>
      <c r="AC145" s="33">
        <v>33.689101361514197</v>
      </c>
      <c r="AD145" s="33">
        <v>33.624921821458699</v>
      </c>
      <c r="AE145" s="15">
        <v>-7.1311079893013199E-3</v>
      </c>
      <c r="AF145" s="15">
        <v>-1.0655649278307399E-2</v>
      </c>
      <c r="AG145" s="15">
        <v>-1.2562519688601399E-2</v>
      </c>
      <c r="AI145" s="12"/>
      <c r="AJ145">
        <f t="shared" si="26"/>
        <v>1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28">
        <f t="shared" si="28"/>
        <v>-8.5659953701920401E-3</v>
      </c>
      <c r="AP145" s="28">
        <f t="shared" si="29"/>
        <v>7.8982420242402103E-3</v>
      </c>
      <c r="AQ145" s="28">
        <f t="shared" si="36"/>
        <v>-6.6775334595182978E-4</v>
      </c>
      <c r="AR145" s="29">
        <f t="shared" si="37"/>
        <v>1.3792783383990658E-2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3.6665211031395549E-2</v>
      </c>
      <c r="BE145" s="29">
        <f t="shared" si="42"/>
        <v>-6.6775334595182978E-4</v>
      </c>
      <c r="BF145" s="29">
        <f t="shared" si="43"/>
        <v>5.0457994415386211E-2</v>
      </c>
      <c r="BH145" s="29"/>
    </row>
    <row r="146" spans="1:60" x14ac:dyDescent="0.25">
      <c r="A146" s="1">
        <v>46234</v>
      </c>
      <c r="B146" s="33">
        <v>34.06</v>
      </c>
      <c r="C146" s="33">
        <v>34.69</v>
      </c>
      <c r="D146" s="15">
        <v>1.03291459885728E-2</v>
      </c>
      <c r="E146" s="15">
        <v>1.8621428386136899E-2</v>
      </c>
      <c r="F146" s="33">
        <v>0</v>
      </c>
      <c r="G146" s="33">
        <v>0</v>
      </c>
      <c r="H146" s="33">
        <v>0</v>
      </c>
      <c r="I146" s="33">
        <v>0</v>
      </c>
      <c r="J146" s="33">
        <v>0</v>
      </c>
      <c r="K146" s="33">
        <v>0</v>
      </c>
      <c r="L146" s="33">
        <v>34.06</v>
      </c>
      <c r="M146" s="33">
        <v>34.69</v>
      </c>
      <c r="N146" s="34">
        <v>1.01849677040516</v>
      </c>
      <c r="O146" s="34">
        <v>1.0029086172027599</v>
      </c>
      <c r="P146" s="34">
        <v>1.00309220717823</v>
      </c>
      <c r="Q146" s="34">
        <v>0.999480536924366</v>
      </c>
      <c r="R146" s="33">
        <v>34.159067501926103</v>
      </c>
      <c r="S146" s="33">
        <v>34.0822321070127</v>
      </c>
      <c r="T146" s="33">
        <v>34.010297664969599</v>
      </c>
      <c r="U146" s="15">
        <v>-1.5423390386865301E-2</v>
      </c>
      <c r="V146" s="15">
        <v>-1.7675265067527701E-2</v>
      </c>
      <c r="W146" s="15">
        <v>-1.9788109723005098E-2</v>
      </c>
      <c r="X146" s="34">
        <v>1.01849677040516</v>
      </c>
      <c r="Y146" s="34">
        <v>1.0029086172027599</v>
      </c>
      <c r="Z146" s="34">
        <v>1.00309220717823</v>
      </c>
      <c r="AA146" s="34">
        <v>0.999480536924366</v>
      </c>
      <c r="AB146" s="33">
        <v>34.159067501926103</v>
      </c>
      <c r="AC146" s="33">
        <v>34.0822321070127</v>
      </c>
      <c r="AD146" s="33">
        <v>34.010297664969599</v>
      </c>
      <c r="AE146" s="15">
        <v>-1.5423390386865301E-2</v>
      </c>
      <c r="AF146" s="15">
        <v>-1.7675265067527701E-2</v>
      </c>
      <c r="AG146" s="15">
        <v>-1.9788109723005098E-2</v>
      </c>
      <c r="AI146" s="12"/>
      <c r="AJ146">
        <f t="shared" si="26"/>
        <v>1</v>
      </c>
      <c r="AK146">
        <f t="shared" si="27"/>
        <v>0</v>
      </c>
      <c r="AL146">
        <f t="shared" si="34"/>
        <v>1</v>
      </c>
      <c r="AM146">
        <f t="shared" si="24"/>
        <v>1</v>
      </c>
      <c r="AN146">
        <f t="shared" si="35"/>
        <v>1</v>
      </c>
      <c r="AO146" s="28">
        <f t="shared" si="28"/>
        <v>1.03291459885728E-2</v>
      </c>
      <c r="AP146" s="28">
        <f t="shared" si="29"/>
        <v>-1.8621428386136899E-2</v>
      </c>
      <c r="AQ146" s="28">
        <f t="shared" si="36"/>
        <v>-8.2922823975640995E-3</v>
      </c>
      <c r="AR146" s="29">
        <f t="shared" si="37"/>
        <v>5.5005009864265587E-3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3.6665211031395549E-2</v>
      </c>
      <c r="BE146" s="29">
        <f t="shared" si="42"/>
        <v>-8.2922823975640995E-3</v>
      </c>
      <c r="BF146" s="29">
        <f t="shared" si="43"/>
        <v>4.2165712017822113E-2</v>
      </c>
      <c r="BH146" s="29"/>
    </row>
    <row r="147" spans="1:60" x14ac:dyDescent="0.25">
      <c r="A147" s="1">
        <v>46237</v>
      </c>
      <c r="B147" s="33">
        <v>35.119999999999997</v>
      </c>
      <c r="C147" s="33">
        <v>35.799999999999997</v>
      </c>
      <c r="D147" s="15">
        <v>3.06470935323735E-2</v>
      </c>
      <c r="E147" s="15">
        <v>3.14964324249963E-2</v>
      </c>
      <c r="F147" s="33">
        <v>0</v>
      </c>
      <c r="G147" s="33">
        <v>0</v>
      </c>
      <c r="H147" s="33">
        <v>0</v>
      </c>
      <c r="I147" s="33">
        <v>0</v>
      </c>
      <c r="J147" s="33">
        <v>0</v>
      </c>
      <c r="K147" s="33">
        <v>0</v>
      </c>
      <c r="L147" s="33">
        <v>35.119999999999997</v>
      </c>
      <c r="M147" s="33">
        <v>35.799999999999997</v>
      </c>
      <c r="N147" s="34">
        <v>1.0193621867881499</v>
      </c>
      <c r="O147" s="34">
        <v>1.0029086172027599</v>
      </c>
      <c r="P147" s="34">
        <v>1.00560366049223</v>
      </c>
      <c r="Q147" s="34">
        <v>1.0004638161666799</v>
      </c>
      <c r="R147" s="33">
        <v>35.222150636161103</v>
      </c>
      <c r="S147" s="33">
        <v>35.2285983160996</v>
      </c>
      <c r="T147" s="33">
        <v>35.101756456783697</v>
      </c>
      <c r="U147" s="15">
        <v>-1.6272729279488099E-2</v>
      </c>
      <c r="V147" s="15">
        <v>-1.60896885012859E-2</v>
      </c>
      <c r="W147" s="15">
        <v>-1.9696722683058498E-2</v>
      </c>
      <c r="X147" s="34">
        <v>1.0193621867881499</v>
      </c>
      <c r="Y147" s="34">
        <v>1.0029086172027599</v>
      </c>
      <c r="Z147" s="34">
        <v>1.00560366049223</v>
      </c>
      <c r="AA147" s="34">
        <v>1.0004638161666799</v>
      </c>
      <c r="AB147" s="33">
        <v>35.222150636161103</v>
      </c>
      <c r="AC147" s="33">
        <v>35.2285983160996</v>
      </c>
      <c r="AD147" s="33">
        <v>35.101756456783697</v>
      </c>
      <c r="AE147" s="15">
        <v>-1.6272729279488099E-2</v>
      </c>
      <c r="AF147" s="15">
        <v>-1.60896885012859E-2</v>
      </c>
      <c r="AG147" s="15">
        <v>-1.9696722683058498E-2</v>
      </c>
      <c r="AI147" s="12"/>
      <c r="AJ147">
        <f t="shared" si="26"/>
        <v>1</v>
      </c>
      <c r="AK147">
        <f t="shared" si="27"/>
        <v>0</v>
      </c>
      <c r="AL147">
        <f t="shared" si="34"/>
        <v>1</v>
      </c>
      <c r="AM147">
        <f t="shared" si="24"/>
        <v>1</v>
      </c>
      <c r="AN147">
        <f t="shared" si="35"/>
        <v>1</v>
      </c>
      <c r="AO147" s="28">
        <f t="shared" si="28"/>
        <v>3.06470935323735E-2</v>
      </c>
      <c r="AP147" s="28">
        <f t="shared" si="29"/>
        <v>-3.14964324249963E-2</v>
      </c>
      <c r="AQ147" s="28">
        <f t="shared" si="36"/>
        <v>-8.4933889262280016E-4</v>
      </c>
      <c r="AR147" s="29">
        <f t="shared" si="37"/>
        <v>4.6511620938037585E-3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3.6665211031395549E-2</v>
      </c>
      <c r="BE147" s="29">
        <f t="shared" si="42"/>
        <v>-8.4933889262280016E-4</v>
      </c>
      <c r="BF147" s="29">
        <f t="shared" si="43"/>
        <v>4.1316373125199313E-2</v>
      </c>
      <c r="BH147" s="29"/>
    </row>
    <row r="148" spans="1:60" x14ac:dyDescent="0.25">
      <c r="A148" s="1">
        <v>46238</v>
      </c>
      <c r="B148" s="33">
        <v>36.28</v>
      </c>
      <c r="C148" s="33">
        <v>37.03</v>
      </c>
      <c r="D148" s="15">
        <v>3.2495856480019999E-2</v>
      </c>
      <c r="E148" s="15">
        <v>3.3780501518866801E-2</v>
      </c>
      <c r="F148" s="33">
        <v>0</v>
      </c>
      <c r="G148" s="33">
        <v>0</v>
      </c>
      <c r="H148" s="33">
        <v>0</v>
      </c>
      <c r="I148" s="33">
        <v>0</v>
      </c>
      <c r="J148" s="33">
        <v>0</v>
      </c>
      <c r="K148" s="33">
        <v>0</v>
      </c>
      <c r="L148" s="33">
        <v>36.28</v>
      </c>
      <c r="M148" s="33">
        <v>37.03</v>
      </c>
      <c r="N148" s="34">
        <v>1.02067254685777</v>
      </c>
      <c r="O148" s="34">
        <v>1.0029086172027599</v>
      </c>
      <c r="P148" s="34">
        <v>1.0078279010492801</v>
      </c>
      <c r="Q148" s="34">
        <v>1.0016347223381199</v>
      </c>
      <c r="R148" s="33">
        <v>36.385524632116301</v>
      </c>
      <c r="S148" s="33">
        <v>36.483300802658199</v>
      </c>
      <c r="T148" s="33">
        <v>36.296827250527301</v>
      </c>
      <c r="U148" s="15">
        <v>-1.75573743183348E-2</v>
      </c>
      <c r="V148" s="15">
        <v>-1.48737512836799E-2</v>
      </c>
      <c r="W148" s="15">
        <v>-1.9998061041369E-2</v>
      </c>
      <c r="X148" s="34">
        <v>1.02067254685777</v>
      </c>
      <c r="Y148" s="34">
        <v>1.0029086172027599</v>
      </c>
      <c r="Z148" s="34">
        <v>1.0078279010492801</v>
      </c>
      <c r="AA148" s="34">
        <v>1.0016347223381199</v>
      </c>
      <c r="AB148" s="33">
        <v>36.385524632116301</v>
      </c>
      <c r="AC148" s="33">
        <v>36.483300802658199</v>
      </c>
      <c r="AD148" s="33">
        <v>36.296827250527301</v>
      </c>
      <c r="AE148" s="15">
        <v>-1.75573743183348E-2</v>
      </c>
      <c r="AF148" s="15">
        <v>-1.48737512836799E-2</v>
      </c>
      <c r="AG148" s="15">
        <v>-1.9998061041369E-2</v>
      </c>
      <c r="AI148" s="12"/>
      <c r="AJ148">
        <f t="shared" si="26"/>
        <v>1</v>
      </c>
      <c r="AK148">
        <f t="shared" si="27"/>
        <v>0</v>
      </c>
      <c r="AL148">
        <f t="shared" si="34"/>
        <v>1</v>
      </c>
      <c r="AM148">
        <f t="shared" si="24"/>
        <v>1</v>
      </c>
      <c r="AN148">
        <f t="shared" si="35"/>
        <v>1</v>
      </c>
      <c r="AO148" s="28">
        <f t="shared" si="28"/>
        <v>3.2495856480019999E-2</v>
      </c>
      <c r="AP148" s="28">
        <f t="shared" si="29"/>
        <v>-3.3780501518866801E-2</v>
      </c>
      <c r="AQ148" s="28">
        <f t="shared" si="36"/>
        <v>-1.2846450388468017E-3</v>
      </c>
      <c r="AR148" s="29">
        <f t="shared" si="37"/>
        <v>3.3665170549569568E-3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3.6665211031395549E-2</v>
      </c>
      <c r="BE148" s="29">
        <f t="shared" si="42"/>
        <v>-1.2846450388468017E-3</v>
      </c>
      <c r="BF148" s="29">
        <f t="shared" si="43"/>
        <v>4.0031728086352511E-2</v>
      </c>
      <c r="BH148" s="29"/>
    </row>
    <row r="149" spans="1:60" x14ac:dyDescent="0.25">
      <c r="A149" s="1">
        <v>46239</v>
      </c>
      <c r="B149" s="33">
        <v>36.1</v>
      </c>
      <c r="C149" s="33">
        <v>36.89</v>
      </c>
      <c r="D149" s="15">
        <v>-4.9737599081005899E-3</v>
      </c>
      <c r="E149" s="15">
        <v>-3.78788331693709E-3</v>
      </c>
      <c r="F149" s="33">
        <v>0</v>
      </c>
      <c r="G149" s="33">
        <v>0</v>
      </c>
      <c r="H149" s="33">
        <v>0</v>
      </c>
      <c r="I149" s="33">
        <v>0</v>
      </c>
      <c r="J149" s="33">
        <v>0</v>
      </c>
      <c r="K149" s="33">
        <v>0</v>
      </c>
      <c r="L149" s="33">
        <v>36.1</v>
      </c>
      <c r="M149" s="33">
        <v>36.89</v>
      </c>
      <c r="N149" s="34">
        <v>1.02188365650969</v>
      </c>
      <c r="O149" s="34">
        <v>1.0029086172027599</v>
      </c>
      <c r="P149" s="34">
        <v>1.0100481544553499</v>
      </c>
      <c r="Q149" s="34">
        <v>1.0029458249033101</v>
      </c>
      <c r="R149" s="33">
        <v>36.205001081019802</v>
      </c>
      <c r="S149" s="33">
        <v>36.382587227879</v>
      </c>
      <c r="T149" s="33">
        <v>36.1590134764064</v>
      </c>
      <c r="U149" s="15">
        <v>-1.8743250909498299E-2</v>
      </c>
      <c r="V149" s="15">
        <v>-1.38502242831546E-2</v>
      </c>
      <c r="W149" s="15">
        <v>-2.0014258635798601E-2</v>
      </c>
      <c r="X149" s="34">
        <v>1.02188365650969</v>
      </c>
      <c r="Y149" s="34">
        <v>1.0029086172027599</v>
      </c>
      <c r="Z149" s="34">
        <v>1.0100481544553499</v>
      </c>
      <c r="AA149" s="34">
        <v>1.0029458249033101</v>
      </c>
      <c r="AB149" s="33">
        <v>36.205001081019802</v>
      </c>
      <c r="AC149" s="33">
        <v>36.382587227879</v>
      </c>
      <c r="AD149" s="33">
        <v>36.1590134764064</v>
      </c>
      <c r="AE149" s="15">
        <v>-1.8743250909498299E-2</v>
      </c>
      <c r="AF149" s="15">
        <v>-1.38502242831546E-2</v>
      </c>
      <c r="AG149" s="15">
        <v>-2.0014258635798601E-2</v>
      </c>
      <c r="AI149" s="12"/>
      <c r="AJ149">
        <f t="shared" si="26"/>
        <v>1</v>
      </c>
      <c r="AK149">
        <f t="shared" si="27"/>
        <v>0</v>
      </c>
      <c r="AL149">
        <f t="shared" si="34"/>
        <v>1</v>
      </c>
      <c r="AM149">
        <f t="shared" ref="AM149:AM176" si="44">IF(F150+H150&gt;0,0,1)</f>
        <v>1</v>
      </c>
      <c r="AN149">
        <f t="shared" si="35"/>
        <v>1</v>
      </c>
      <c r="AO149" s="28">
        <f t="shared" si="28"/>
        <v>-4.9737599081005899E-3</v>
      </c>
      <c r="AP149" s="28">
        <f t="shared" si="29"/>
        <v>3.78788331693709E-3</v>
      </c>
      <c r="AQ149" s="28">
        <f t="shared" si="36"/>
        <v>-1.1858765911634999E-3</v>
      </c>
      <c r="AR149" s="29">
        <f t="shared" si="37"/>
        <v>2.1806404637934569E-3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3.6665211031395549E-2</v>
      </c>
      <c r="BE149" s="29">
        <f t="shared" si="42"/>
        <v>-1.1858765911634999E-3</v>
      </c>
      <c r="BF149" s="29">
        <f t="shared" si="43"/>
        <v>3.8845851495189009E-2</v>
      </c>
      <c r="BH149" s="29"/>
    </row>
    <row r="150" spans="1:60" x14ac:dyDescent="0.25">
      <c r="A150" s="1">
        <v>46240</v>
      </c>
      <c r="B150" s="33">
        <v>33.43</v>
      </c>
      <c r="C150" s="33">
        <v>33.76</v>
      </c>
      <c r="D150" s="15">
        <v>-7.6839164906828003E-2</v>
      </c>
      <c r="E150" s="15">
        <v>-8.8663841880827904E-2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33.43</v>
      </c>
      <c r="M150" s="33">
        <v>33.76</v>
      </c>
      <c r="N150" s="34">
        <v>1.00987137301824</v>
      </c>
      <c r="O150" s="34">
        <v>1.0029086172027599</v>
      </c>
      <c r="P150" s="34">
        <v>1.0111029050093701</v>
      </c>
      <c r="Q150" s="34">
        <v>1.00378329307575</v>
      </c>
      <c r="R150" s="33">
        <v>33.527235073088399</v>
      </c>
      <c r="S150" s="33">
        <v>33.765909803442398</v>
      </c>
      <c r="T150" s="33">
        <v>33.5284789265176</v>
      </c>
      <c r="U150" s="15">
        <v>-6.9185739354984503E-3</v>
      </c>
      <c r="V150" s="15">
        <v>1.75038099442209E-4</v>
      </c>
      <c r="W150" s="15">
        <v>-6.88147483222538E-3</v>
      </c>
      <c r="X150" s="34">
        <v>1.00987137301824</v>
      </c>
      <c r="Y150" s="34">
        <v>1.0029086172027599</v>
      </c>
      <c r="Z150" s="34">
        <v>1.0111029050093701</v>
      </c>
      <c r="AA150" s="34">
        <v>1.00378329307575</v>
      </c>
      <c r="AB150" s="33">
        <v>33.527235073088399</v>
      </c>
      <c r="AC150" s="33">
        <v>33.765909803442398</v>
      </c>
      <c r="AD150" s="33">
        <v>33.5284789265176</v>
      </c>
      <c r="AE150" s="15">
        <v>-6.9185739354984503E-3</v>
      </c>
      <c r="AF150" s="15">
        <v>1.75038099442209E-4</v>
      </c>
      <c r="AG150" s="15">
        <v>-6.88147483222538E-3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1</v>
      </c>
      <c r="AM150">
        <f t="shared" si="44"/>
        <v>1</v>
      </c>
      <c r="AN150">
        <f t="shared" si="35"/>
        <v>1</v>
      </c>
      <c r="AO150" s="28">
        <f t="shared" ref="AO150:AO176" si="48">AN150*D150</f>
        <v>-7.6839164906828003E-2</v>
      </c>
      <c r="AP150" s="28">
        <f t="shared" ref="AP150:AP176" si="49">-AN150*$E150</f>
        <v>8.8663841880827904E-2</v>
      </c>
      <c r="AQ150" s="28">
        <f t="shared" si="36"/>
        <v>1.1824676973999901E-2</v>
      </c>
      <c r="AR150" s="29">
        <f t="shared" si="37"/>
        <v>1.4005317437793357E-2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3.6665211031395549E-2</v>
      </c>
      <c r="BE150" s="29">
        <f t="shared" si="42"/>
        <v>1.1824676973999901E-2</v>
      </c>
      <c r="BF150" s="29">
        <f t="shared" si="43"/>
        <v>5.0670528469188909E-2</v>
      </c>
      <c r="BH150" s="29"/>
    </row>
    <row r="151" spans="1:60" x14ac:dyDescent="0.25">
      <c r="A151" s="1">
        <v>46241</v>
      </c>
      <c r="B151" s="33">
        <v>33.61</v>
      </c>
      <c r="C151" s="33">
        <v>33.950000000000003</v>
      </c>
      <c r="D151" s="15">
        <v>5.36994130500708E-3</v>
      </c>
      <c r="E151" s="15">
        <v>5.6121842769488398E-3</v>
      </c>
      <c r="F151" s="33">
        <v>0</v>
      </c>
      <c r="G151" s="33">
        <v>0</v>
      </c>
      <c r="H151" s="33">
        <v>0</v>
      </c>
      <c r="I151" s="33">
        <v>0</v>
      </c>
      <c r="J151" s="33">
        <v>0</v>
      </c>
      <c r="K151" s="33">
        <v>0</v>
      </c>
      <c r="L151" s="33">
        <v>33.61</v>
      </c>
      <c r="M151" s="33">
        <v>33.950000000000003</v>
      </c>
      <c r="N151" s="34">
        <v>1.01011603689378</v>
      </c>
      <c r="O151" s="34">
        <v>1.0029086172027599</v>
      </c>
      <c r="P151" s="34">
        <v>1.0123745867221601</v>
      </c>
      <c r="Q151" s="34">
        <v>1.00458421762935</v>
      </c>
      <c r="R151" s="33">
        <v>33.707758624184898</v>
      </c>
      <c r="S151" s="33">
        <v>33.983168637365097</v>
      </c>
      <c r="T151" s="33">
        <v>33.737156480275999</v>
      </c>
      <c r="U151" s="15">
        <v>-7.1608169074403004E-3</v>
      </c>
      <c r="V151" s="15">
        <v>9.76507961166198E-4</v>
      </c>
      <c r="W151" s="15">
        <v>-6.2890578457709999E-3</v>
      </c>
      <c r="X151" s="34">
        <v>1.01011603689378</v>
      </c>
      <c r="Y151" s="34">
        <v>1.0029086172027599</v>
      </c>
      <c r="Z151" s="34">
        <v>1.0123745867221601</v>
      </c>
      <c r="AA151" s="34">
        <v>1.00458421762935</v>
      </c>
      <c r="AB151" s="33">
        <v>33.707758624184898</v>
      </c>
      <c r="AC151" s="33">
        <v>33.983168637365097</v>
      </c>
      <c r="AD151" s="33">
        <v>33.737156480275999</v>
      </c>
      <c r="AE151" s="15">
        <v>-7.1608169074403004E-3</v>
      </c>
      <c r="AF151" s="15">
        <v>9.76507961166198E-4</v>
      </c>
      <c r="AG151" s="15">
        <v>-6.2890578457709999E-3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5.36994130500708E-3</v>
      </c>
      <c r="AP151" s="28">
        <f t="shared" si="49"/>
        <v>-5.6121842769488398E-3</v>
      </c>
      <c r="AQ151" s="28">
        <f t="shared" ref="AQ151:AQ176" si="56">AO151+AP151</f>
        <v>-2.4224297194175987E-4</v>
      </c>
      <c r="AR151" s="29">
        <f t="shared" ref="AR151:AR176" si="57">AR150+AQ151</f>
        <v>1.3763074465851597E-2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3.6665211031395549E-2</v>
      </c>
      <c r="BE151" s="29">
        <f t="shared" ref="BE151:BE176" si="62">AQ151+BB151</f>
        <v>-2.4224297194175987E-4</v>
      </c>
      <c r="BF151" s="29">
        <f t="shared" ref="BF151:BF176" si="63">BF150+BE151</f>
        <v>5.0428285497247149E-2</v>
      </c>
      <c r="BH151" s="29"/>
    </row>
    <row r="152" spans="1:60" x14ac:dyDescent="0.25">
      <c r="A152" s="1">
        <v>46244</v>
      </c>
      <c r="B152" s="33">
        <v>33.75</v>
      </c>
      <c r="C152" s="33">
        <v>34.07</v>
      </c>
      <c r="D152" s="15">
        <v>4.1567755815245001E-3</v>
      </c>
      <c r="E152" s="15">
        <v>3.5283776681700502E-3</v>
      </c>
      <c r="F152" s="33">
        <v>0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33.75</v>
      </c>
      <c r="M152" s="33">
        <v>34.07</v>
      </c>
      <c r="N152" s="34">
        <v>1.0094814814814801</v>
      </c>
      <c r="O152" s="34">
        <v>1.0029086172027599</v>
      </c>
      <c r="P152" s="34">
        <v>1.0133539848702999</v>
      </c>
      <c r="Q152" s="34">
        <v>1.00544661105726</v>
      </c>
      <c r="R152" s="33">
        <v>33.848165830593302</v>
      </c>
      <c r="S152" s="33">
        <v>34.167642301872903</v>
      </c>
      <c r="T152" s="33">
        <v>33.9047173449908</v>
      </c>
      <c r="U152" s="15">
        <v>-6.5324189940855803E-3</v>
      </c>
      <c r="V152" s="15">
        <v>2.8618330065549699E-3</v>
      </c>
      <c r="W152" s="15">
        <v>-4.8630722480960103E-3</v>
      </c>
      <c r="X152" s="34">
        <v>1.0094814814814801</v>
      </c>
      <c r="Y152" s="34">
        <v>1.0029086172027599</v>
      </c>
      <c r="Z152" s="34">
        <v>1.0133539848702999</v>
      </c>
      <c r="AA152" s="34">
        <v>1.00544661105726</v>
      </c>
      <c r="AB152" s="33">
        <v>33.848165830593302</v>
      </c>
      <c r="AC152" s="33">
        <v>34.167642301872903</v>
      </c>
      <c r="AD152" s="33">
        <v>33.9047173449908</v>
      </c>
      <c r="AE152" s="15">
        <v>-6.5324189940855803E-3</v>
      </c>
      <c r="AF152" s="15">
        <v>2.8618330065549699E-3</v>
      </c>
      <c r="AG152" s="15">
        <v>-4.8630722480960103E-3</v>
      </c>
      <c r="AI152" s="12"/>
      <c r="AJ152">
        <f t="shared" si="46"/>
        <v>0</v>
      </c>
      <c r="AK152">
        <f t="shared" si="47"/>
        <v>0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4.1567755815245001E-3</v>
      </c>
      <c r="AP152" s="28">
        <f t="shared" si="49"/>
        <v>-3.5283776681700502E-3</v>
      </c>
      <c r="AQ152" s="28">
        <f t="shared" si="56"/>
        <v>6.2839791335444995E-4</v>
      </c>
      <c r="AR152" s="29">
        <f t="shared" si="57"/>
        <v>1.4391472379206047E-2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3.6665211031395549E-2</v>
      </c>
      <c r="BE152" s="29">
        <f t="shared" si="62"/>
        <v>6.2839791335444995E-4</v>
      </c>
      <c r="BF152" s="29">
        <f t="shared" si="63"/>
        <v>5.10566834106016E-2</v>
      </c>
      <c r="BH152" s="29"/>
    </row>
    <row r="153" spans="1:60" x14ac:dyDescent="0.25">
      <c r="A153" s="1">
        <v>46245</v>
      </c>
      <c r="B153" s="33">
        <v>34.14</v>
      </c>
      <c r="C153" s="33">
        <v>34.270000000000003</v>
      </c>
      <c r="D153" s="15">
        <v>1.14893000477557E-2</v>
      </c>
      <c r="E153" s="15">
        <v>5.8531042136424401E-3</v>
      </c>
      <c r="F153" s="33">
        <v>0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34.14</v>
      </c>
      <c r="M153" s="33">
        <v>34.270000000000003</v>
      </c>
      <c r="N153" s="34">
        <v>1.00380785002929</v>
      </c>
      <c r="O153" s="34">
        <v>1.0029086172027599</v>
      </c>
      <c r="P153" s="34">
        <v>1.0133189694574301</v>
      </c>
      <c r="Q153" s="34">
        <v>1.0057311655173</v>
      </c>
      <c r="R153" s="33">
        <v>34.239300191302398</v>
      </c>
      <c r="S153" s="33">
        <v>34.5959050434723</v>
      </c>
      <c r="T153" s="33">
        <v>34.325947301495098</v>
      </c>
      <c r="U153" s="15">
        <v>-8.9622315997233998E-4</v>
      </c>
      <c r="V153" s="15">
        <v>9.4649878283578799E-3</v>
      </c>
      <c r="W153" s="15">
        <v>1.63121339092873E-3</v>
      </c>
      <c r="X153" s="34">
        <v>1.00380785002929</v>
      </c>
      <c r="Y153" s="34">
        <v>1.0029086172027599</v>
      </c>
      <c r="Z153" s="34">
        <v>1.0133189694574301</v>
      </c>
      <c r="AA153" s="34">
        <v>1.0057311655173</v>
      </c>
      <c r="AB153" s="33">
        <v>34.239300191302398</v>
      </c>
      <c r="AC153" s="33">
        <v>34.5959050434723</v>
      </c>
      <c r="AD153" s="33">
        <v>34.325947301495098</v>
      </c>
      <c r="AE153" s="15">
        <v>-8.9622315997233998E-4</v>
      </c>
      <c r="AF153" s="15">
        <v>9.4649878283578799E-3</v>
      </c>
      <c r="AG153" s="15">
        <v>1.63121339092873E-3</v>
      </c>
      <c r="AI153" s="12"/>
      <c r="AJ153">
        <f t="shared" si="46"/>
        <v>0</v>
      </c>
      <c r="AK153">
        <f t="shared" si="47"/>
        <v>1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1.14893000477557E-2</v>
      </c>
      <c r="AP153" s="28">
        <f t="shared" si="49"/>
        <v>-5.8531042136424401E-3</v>
      </c>
      <c r="AQ153" s="28">
        <f t="shared" si="56"/>
        <v>5.6361958341132595E-3</v>
      </c>
      <c r="AR153" s="29">
        <f t="shared" si="57"/>
        <v>2.0027668213319305E-2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3.6665211031395549E-2</v>
      </c>
      <c r="BE153" s="29">
        <f t="shared" si="62"/>
        <v>5.6361958341132595E-3</v>
      </c>
      <c r="BF153" s="29">
        <f t="shared" si="63"/>
        <v>5.6692879244714861E-2</v>
      </c>
      <c r="BH153" s="29"/>
    </row>
    <row r="154" spans="1:60" x14ac:dyDescent="0.25">
      <c r="A154" s="1">
        <v>46246</v>
      </c>
      <c r="B154" s="33">
        <v>33.26</v>
      </c>
      <c r="C154" s="33">
        <v>33.49</v>
      </c>
      <c r="D154" s="15">
        <v>-2.6114243601512901E-2</v>
      </c>
      <c r="E154" s="15">
        <v>-2.3023449080404199E-2</v>
      </c>
      <c r="F154" s="33">
        <v>0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33.26</v>
      </c>
      <c r="M154" s="33">
        <v>33.49</v>
      </c>
      <c r="N154" s="34">
        <v>1.00691521346963</v>
      </c>
      <c r="O154" s="34">
        <v>1.0029086172027599</v>
      </c>
      <c r="P154" s="34">
        <v>1.0130693143338101</v>
      </c>
      <c r="Q154" s="34">
        <v>1.0062246803279</v>
      </c>
      <c r="R154" s="33">
        <v>33.356740608163904</v>
      </c>
      <c r="S154" s="33">
        <v>33.702988924154297</v>
      </c>
      <c r="T154" s="33">
        <v>33.450618565105401</v>
      </c>
      <c r="U154" s="15">
        <v>-3.9870176810811002E-3</v>
      </c>
      <c r="V154" s="15">
        <v>6.3396387306956003E-3</v>
      </c>
      <c r="W154" s="15">
        <v>-1.17660817249663E-3</v>
      </c>
      <c r="X154" s="34">
        <v>1.00691521346963</v>
      </c>
      <c r="Y154" s="34">
        <v>1.0029086172027599</v>
      </c>
      <c r="Z154" s="34">
        <v>1.0130693143338101</v>
      </c>
      <c r="AA154" s="34">
        <v>1.0062246803279</v>
      </c>
      <c r="AB154" s="33">
        <v>33.356740608163904</v>
      </c>
      <c r="AC154" s="33">
        <v>33.702988924154297</v>
      </c>
      <c r="AD154" s="33">
        <v>33.450618565105401</v>
      </c>
      <c r="AE154" s="15">
        <v>-3.9870176810811002E-3</v>
      </c>
      <c r="AF154" s="15">
        <v>6.3396387306956003E-3</v>
      </c>
      <c r="AG154" s="15">
        <v>-1.17660817249663E-3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2.0027668213319305E-2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3.6665211031395549E-2</v>
      </c>
      <c r="BE154" s="29">
        <f t="shared" si="62"/>
        <v>0</v>
      </c>
      <c r="BF154" s="29">
        <f t="shared" si="63"/>
        <v>5.6692879244714861E-2</v>
      </c>
      <c r="BH154" s="29"/>
    </row>
    <row r="155" spans="1:60" x14ac:dyDescent="0.25">
      <c r="A155" s="1">
        <v>46247</v>
      </c>
      <c r="B155" s="33">
        <v>35.92</v>
      </c>
      <c r="C155" s="33">
        <v>36.229999999999997</v>
      </c>
      <c r="D155" s="15">
        <v>7.69387696692172E-2</v>
      </c>
      <c r="E155" s="15">
        <v>7.86406181008725E-2</v>
      </c>
      <c r="F155" s="33">
        <v>0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35.92</v>
      </c>
      <c r="M155" s="33">
        <v>36.229999999999997</v>
      </c>
      <c r="N155" s="34">
        <v>1.0086302895322901</v>
      </c>
      <c r="O155" s="34">
        <v>1.0029086172027599</v>
      </c>
      <c r="P155" s="34">
        <v>1.0129237404985501</v>
      </c>
      <c r="Q155" s="34">
        <v>1.0067882370580299</v>
      </c>
      <c r="R155" s="33">
        <v>36.024477529923303</v>
      </c>
      <c r="S155" s="33">
        <v>36.389449770870499</v>
      </c>
      <c r="T155" s="33">
        <v>36.143590517378101</v>
      </c>
      <c r="U155" s="15">
        <v>-5.68886611273621E-3</v>
      </c>
      <c r="V155" s="15">
        <v>4.3913862639548898E-3</v>
      </c>
      <c r="W155" s="15">
        <v>-2.3878744459851198E-3</v>
      </c>
      <c r="X155" s="34">
        <v>1.0086302895322901</v>
      </c>
      <c r="Y155" s="34">
        <v>1.0029086172027599</v>
      </c>
      <c r="Z155" s="34">
        <v>1.0129237404985501</v>
      </c>
      <c r="AA155" s="34">
        <v>1.0067882370580299</v>
      </c>
      <c r="AB155" s="33">
        <v>36.024477529923303</v>
      </c>
      <c r="AC155" s="33">
        <v>36.389449770870499</v>
      </c>
      <c r="AD155" s="33">
        <v>36.143590517378101</v>
      </c>
      <c r="AE155" s="15">
        <v>-5.68886611273621E-3</v>
      </c>
      <c r="AF155" s="15">
        <v>4.3913862639548898E-3</v>
      </c>
      <c r="AG155" s="15">
        <v>-2.3878744459851198E-3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2.0027668213319305E-2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3.6665211031395549E-2</v>
      </c>
      <c r="BE155" s="29">
        <f t="shared" si="62"/>
        <v>0</v>
      </c>
      <c r="BF155" s="29">
        <f t="shared" si="63"/>
        <v>5.6692879244714861E-2</v>
      </c>
      <c r="BH155" s="29"/>
    </row>
    <row r="156" spans="1:60" x14ac:dyDescent="0.25">
      <c r="A156" s="1">
        <v>46248</v>
      </c>
      <c r="B156" s="33">
        <v>34.78</v>
      </c>
      <c r="C156" s="33">
        <v>35.159999999999997</v>
      </c>
      <c r="D156" s="15">
        <v>-3.2251734507861798E-2</v>
      </c>
      <c r="E156" s="15">
        <v>-2.9978432090009499E-2</v>
      </c>
      <c r="F156" s="33">
        <v>0</v>
      </c>
      <c r="G156" s="33">
        <v>0</v>
      </c>
      <c r="H156" s="33">
        <v>0</v>
      </c>
      <c r="I156" s="33">
        <v>0</v>
      </c>
      <c r="J156" s="33">
        <v>0</v>
      </c>
      <c r="K156" s="33">
        <v>0</v>
      </c>
      <c r="L156" s="33">
        <v>34.78</v>
      </c>
      <c r="M156" s="33">
        <v>35.159999999999997</v>
      </c>
      <c r="N156" s="34">
        <v>1.0109258194364501</v>
      </c>
      <c r="O156" s="34">
        <v>1.0029086172027599</v>
      </c>
      <c r="P156" s="34">
        <v>1.01216664540168</v>
      </c>
      <c r="Q156" s="34">
        <v>1.0076294262899499</v>
      </c>
      <c r="R156" s="33">
        <v>34.881161706312099</v>
      </c>
      <c r="S156" s="33">
        <v>35.2294876945396</v>
      </c>
      <c r="T156" s="33">
        <v>35.016094884878399</v>
      </c>
      <c r="U156" s="15">
        <v>-7.9621685305884295E-3</v>
      </c>
      <c r="V156" s="15">
        <v>1.9743776915686398E-3</v>
      </c>
      <c r="W156" s="15">
        <v>-4.1012631742713803E-3</v>
      </c>
      <c r="X156" s="34">
        <v>1.0109258194364501</v>
      </c>
      <c r="Y156" s="34">
        <v>1.0029086172027599</v>
      </c>
      <c r="Z156" s="34">
        <v>1.01216664540168</v>
      </c>
      <c r="AA156" s="34">
        <v>1.0076294262899499</v>
      </c>
      <c r="AB156" s="33">
        <v>34.881161706312099</v>
      </c>
      <c r="AC156" s="33">
        <v>35.2294876945396</v>
      </c>
      <c r="AD156" s="33">
        <v>35.016094884878399</v>
      </c>
      <c r="AE156" s="15">
        <v>-7.9621685305884295E-3</v>
      </c>
      <c r="AF156" s="15">
        <v>1.9743776915686398E-3</v>
      </c>
      <c r="AG156" s="15">
        <v>-4.1012631742713803E-3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2.0027668213319305E-2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3.6665211031395549E-2</v>
      </c>
      <c r="BE156" s="29">
        <f t="shared" si="62"/>
        <v>0</v>
      </c>
      <c r="BF156" s="29">
        <f t="shared" si="63"/>
        <v>5.6692879244714861E-2</v>
      </c>
      <c r="BH156" s="29"/>
    </row>
    <row r="157" spans="1:60" x14ac:dyDescent="0.25">
      <c r="A157" s="1">
        <v>46251</v>
      </c>
      <c r="B157" s="33">
        <v>33.72</v>
      </c>
      <c r="C157" s="33">
        <v>34.32</v>
      </c>
      <c r="D157" s="15">
        <v>-3.0951375792482302E-2</v>
      </c>
      <c r="E157" s="15">
        <v>-2.4180798197214599E-2</v>
      </c>
      <c r="F157" s="33">
        <v>0</v>
      </c>
      <c r="G157" s="33">
        <v>0</v>
      </c>
      <c r="H157" s="33">
        <v>0</v>
      </c>
      <c r="I157" s="33">
        <v>0</v>
      </c>
      <c r="J157" s="33">
        <v>0</v>
      </c>
      <c r="K157" s="33">
        <v>0</v>
      </c>
      <c r="L157" s="33">
        <v>33.72</v>
      </c>
      <c r="M157" s="33">
        <v>34.32</v>
      </c>
      <c r="N157" s="34">
        <v>1.0177935943060401</v>
      </c>
      <c r="O157" s="34">
        <v>1.0029086172027599</v>
      </c>
      <c r="P157" s="34">
        <v>1.01200978615347</v>
      </c>
      <c r="Q157" s="34">
        <v>1.0088067233228499</v>
      </c>
      <c r="R157" s="33">
        <v>33.818078572077198</v>
      </c>
      <c r="S157" s="33">
        <v>34.1302592829446</v>
      </c>
      <c r="T157" s="33">
        <v>33.977264254497399</v>
      </c>
      <c r="U157" s="15">
        <v>-1.47327461258562E-2</v>
      </c>
      <c r="V157" s="15">
        <v>-5.5439148080955502E-3</v>
      </c>
      <c r="W157" s="15">
        <v>-1.00366720792293E-2</v>
      </c>
      <c r="X157" s="34">
        <v>1.0177935943060401</v>
      </c>
      <c r="Y157" s="34">
        <v>1.0029086172027599</v>
      </c>
      <c r="Z157" s="34">
        <v>1.01200978615347</v>
      </c>
      <c r="AA157" s="34">
        <v>1.0088067233228499</v>
      </c>
      <c r="AB157" s="33">
        <v>33.818078572077198</v>
      </c>
      <c r="AC157" s="33">
        <v>34.1302592829446</v>
      </c>
      <c r="AD157" s="33">
        <v>33.977264254497399</v>
      </c>
      <c r="AE157" s="15">
        <v>-1.47327461258562E-2</v>
      </c>
      <c r="AF157" s="15">
        <v>-5.5439148080955502E-3</v>
      </c>
      <c r="AG157" s="15">
        <v>-1.00366720792293E-2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2.0027668213319305E-2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3.6665211031395549E-2</v>
      </c>
      <c r="BE157" s="29">
        <f t="shared" si="62"/>
        <v>0</v>
      </c>
      <c r="BF157" s="29">
        <f t="shared" si="63"/>
        <v>5.6692879244714861E-2</v>
      </c>
      <c r="BH157" s="29"/>
    </row>
    <row r="158" spans="1:60" x14ac:dyDescent="0.25">
      <c r="A158" s="1">
        <v>46252</v>
      </c>
      <c r="B158" s="33">
        <v>34.57</v>
      </c>
      <c r="C158" s="33">
        <v>35.28</v>
      </c>
      <c r="D158" s="15">
        <v>2.4895120799878399E-2</v>
      </c>
      <c r="E158" s="15">
        <v>2.75879565188289E-2</v>
      </c>
      <c r="F158" s="33">
        <v>0</v>
      </c>
      <c r="G158" s="33">
        <v>0</v>
      </c>
      <c r="H158" s="33">
        <v>0</v>
      </c>
      <c r="I158" s="33">
        <v>0</v>
      </c>
      <c r="J158" s="33">
        <v>0</v>
      </c>
      <c r="K158" s="33">
        <v>0</v>
      </c>
      <c r="L158" s="33">
        <v>34.57</v>
      </c>
      <c r="M158" s="33">
        <v>35.28</v>
      </c>
      <c r="N158" s="34">
        <v>1.0205380387619301</v>
      </c>
      <c r="O158" s="34">
        <v>1.0029086172027599</v>
      </c>
      <c r="P158" s="34">
        <v>1.0119963353438799</v>
      </c>
      <c r="Q158" s="34">
        <v>1.00991211819658</v>
      </c>
      <c r="R158" s="33">
        <v>34.670550896699602</v>
      </c>
      <c r="S158" s="33">
        <v>34.985178307325398</v>
      </c>
      <c r="T158" s="33">
        <v>34.874448425270899</v>
      </c>
      <c r="U158" s="15">
        <v>-1.74255818448068E-2</v>
      </c>
      <c r="V158" s="15">
        <v>-8.3917362744137698E-3</v>
      </c>
      <c r="W158" s="15">
        <v>-1.1561806884970501E-2</v>
      </c>
      <c r="X158" s="34">
        <v>1.0205380387619301</v>
      </c>
      <c r="Y158" s="34">
        <v>1.0029086172027599</v>
      </c>
      <c r="Z158" s="34">
        <v>1.0119963353438799</v>
      </c>
      <c r="AA158" s="34">
        <v>1.00991211819658</v>
      </c>
      <c r="AB158" s="33">
        <v>34.670550896699602</v>
      </c>
      <c r="AC158" s="33">
        <v>34.985178307325398</v>
      </c>
      <c r="AD158" s="33">
        <v>34.874448425270899</v>
      </c>
      <c r="AE158" s="15">
        <v>-1.74255818448068E-2</v>
      </c>
      <c r="AF158" s="15">
        <v>-8.3917362744137698E-3</v>
      </c>
      <c r="AG158" s="15">
        <v>-1.1561806884970501E-2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2.0027668213319305E-2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3.6665211031395549E-2</v>
      </c>
      <c r="BE158" s="29">
        <f t="shared" si="62"/>
        <v>0</v>
      </c>
      <c r="BF158" s="29">
        <f t="shared" si="63"/>
        <v>5.6692879244714861E-2</v>
      </c>
      <c r="BH158" s="29"/>
    </row>
    <row r="159" spans="1:60" x14ac:dyDescent="0.25">
      <c r="A159" s="1">
        <v>46253</v>
      </c>
      <c r="B159" s="33">
        <v>36.58</v>
      </c>
      <c r="C159" s="33">
        <v>37.44</v>
      </c>
      <c r="D159" s="15">
        <v>5.6515389029186403E-2</v>
      </c>
      <c r="E159" s="15">
        <v>5.9423420470800598E-2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36.58</v>
      </c>
      <c r="M159" s="33">
        <v>37.44</v>
      </c>
      <c r="N159" s="34">
        <v>1.02351011481683</v>
      </c>
      <c r="O159" s="34">
        <v>1.0029086172027599</v>
      </c>
      <c r="P159" s="34">
        <v>1.0121589811745999</v>
      </c>
      <c r="Q159" s="34">
        <v>1.01110356781497</v>
      </c>
      <c r="R159" s="33">
        <v>36.686397217277097</v>
      </c>
      <c r="S159" s="33">
        <v>37.018825946879304</v>
      </c>
      <c r="T159" s="33">
        <v>36.942585283630997</v>
      </c>
      <c r="U159" s="15">
        <v>-2.0333613286420801E-2</v>
      </c>
      <c r="V159" s="15">
        <v>-1.13130589896477E-2</v>
      </c>
      <c r="W159" s="15">
        <v>-1.33746932657904E-2</v>
      </c>
      <c r="X159" s="34">
        <v>1.02351011481683</v>
      </c>
      <c r="Y159" s="34">
        <v>1.0029086172027599</v>
      </c>
      <c r="Z159" s="34">
        <v>1.0121589811745999</v>
      </c>
      <c r="AA159" s="34">
        <v>1.01110356781497</v>
      </c>
      <c r="AB159" s="33">
        <v>36.686397217277097</v>
      </c>
      <c r="AC159" s="33">
        <v>37.018825946879304</v>
      </c>
      <c r="AD159" s="33">
        <v>36.942585283630997</v>
      </c>
      <c r="AE159" s="15">
        <v>-2.0333613286420801E-2</v>
      </c>
      <c r="AF159" s="15">
        <v>-1.13130589896477E-2</v>
      </c>
      <c r="AG159" s="15">
        <v>-1.33746932657904E-2</v>
      </c>
      <c r="AI159" s="12"/>
      <c r="AJ159">
        <f t="shared" si="46"/>
        <v>1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2.0027668213319305E-2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3.6665211031395549E-2</v>
      </c>
      <c r="BE159" s="29">
        <f t="shared" si="62"/>
        <v>0</v>
      </c>
      <c r="BF159" s="29">
        <f t="shared" si="63"/>
        <v>5.6692879244714861E-2</v>
      </c>
      <c r="BH159" s="29"/>
    </row>
    <row r="160" spans="1:60" x14ac:dyDescent="0.25">
      <c r="A160" s="1">
        <v>46254</v>
      </c>
      <c r="B160" s="33">
        <v>35.72</v>
      </c>
      <c r="C160" s="33">
        <v>36.57</v>
      </c>
      <c r="D160" s="15">
        <v>-2.3790886954421199E-2</v>
      </c>
      <c r="E160" s="15">
        <v>-2.3511419448101301E-2</v>
      </c>
      <c r="F160" s="33">
        <v>0</v>
      </c>
      <c r="G160" s="33">
        <v>0</v>
      </c>
      <c r="H160" s="33">
        <v>0</v>
      </c>
      <c r="I160" s="33">
        <v>0</v>
      </c>
      <c r="J160" s="33">
        <v>0</v>
      </c>
      <c r="K160" s="33">
        <v>0</v>
      </c>
      <c r="L160" s="33">
        <v>35.72</v>
      </c>
      <c r="M160" s="33">
        <v>36.57</v>
      </c>
      <c r="N160" s="34">
        <v>1.0237961926091801</v>
      </c>
      <c r="O160" s="34">
        <v>1.0029086172027599</v>
      </c>
      <c r="P160" s="34">
        <v>1.0135514631336899</v>
      </c>
      <c r="Q160" s="34">
        <v>1.01232718407153</v>
      </c>
      <c r="R160" s="33">
        <v>35.823895806482703</v>
      </c>
      <c r="S160" s="33">
        <v>36.154318807556699</v>
      </c>
      <c r="T160" s="33">
        <v>36.116619442350903</v>
      </c>
      <c r="U160" s="15">
        <v>-2.06130807927409E-2</v>
      </c>
      <c r="V160" s="15">
        <v>-1.1431821603672799E-2</v>
      </c>
      <c r="W160" s="15">
        <v>-1.24751003970054E-2</v>
      </c>
      <c r="X160" s="34">
        <v>1.0237961926091801</v>
      </c>
      <c r="Y160" s="34">
        <v>1.0029086172027599</v>
      </c>
      <c r="Z160" s="34">
        <v>1.0135514631336899</v>
      </c>
      <c r="AA160" s="34">
        <v>1.01232718407153</v>
      </c>
      <c r="AB160" s="33">
        <v>35.823895806482703</v>
      </c>
      <c r="AC160" s="33">
        <v>36.154318807556699</v>
      </c>
      <c r="AD160" s="33">
        <v>36.116619442350903</v>
      </c>
      <c r="AE160" s="15">
        <v>-2.06130807927409E-2</v>
      </c>
      <c r="AF160" s="15">
        <v>-1.1431821603672799E-2</v>
      </c>
      <c r="AG160" s="15">
        <v>-1.24751003970054E-2</v>
      </c>
      <c r="AI160" s="12"/>
      <c r="AJ160">
        <f t="shared" si="46"/>
        <v>0</v>
      </c>
      <c r="AK160">
        <f t="shared" si="47"/>
        <v>0</v>
      </c>
      <c r="AL160">
        <f t="shared" si="54"/>
        <v>1</v>
      </c>
      <c r="AM160">
        <f t="shared" si="44"/>
        <v>1</v>
      </c>
      <c r="AN160">
        <f t="shared" si="55"/>
        <v>1</v>
      </c>
      <c r="AO160" s="28">
        <f t="shared" si="48"/>
        <v>-2.3790886954421199E-2</v>
      </c>
      <c r="AP160" s="28">
        <f t="shared" si="49"/>
        <v>2.3511419448101301E-2</v>
      </c>
      <c r="AQ160" s="28">
        <f t="shared" si="56"/>
        <v>-2.7946750631989772E-4</v>
      </c>
      <c r="AR160" s="29">
        <f t="shared" si="57"/>
        <v>1.9748200706999407E-2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3.6665211031395549E-2</v>
      </c>
      <c r="BE160" s="29">
        <f t="shared" si="62"/>
        <v>-2.7946750631989772E-4</v>
      </c>
      <c r="BF160" s="29">
        <f t="shared" si="63"/>
        <v>5.6413411738394967E-2</v>
      </c>
      <c r="BH160" s="29"/>
    </row>
    <row r="161" spans="1:60" x14ac:dyDescent="0.25">
      <c r="A161" s="1">
        <v>46255</v>
      </c>
      <c r="B161" s="33">
        <v>35.880000000000003</v>
      </c>
      <c r="C161" s="33">
        <v>36.78</v>
      </c>
      <c r="D161" s="15">
        <v>4.46928118229726E-3</v>
      </c>
      <c r="E161" s="15">
        <v>5.72598701488516E-3</v>
      </c>
      <c r="F161" s="33">
        <v>0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35.880000000000003</v>
      </c>
      <c r="M161" s="33">
        <v>36.78</v>
      </c>
      <c r="N161" s="34">
        <v>1.0250836120401301</v>
      </c>
      <c r="O161" s="34">
        <v>1.0029086172027599</v>
      </c>
      <c r="P161" s="34">
        <v>1.01504822064832</v>
      </c>
      <c r="Q161" s="34">
        <v>1.0137114036852399</v>
      </c>
      <c r="R161" s="33">
        <v>35.984361185235201</v>
      </c>
      <c r="S161" s="33">
        <v>36.366226497236902</v>
      </c>
      <c r="T161" s="33">
        <v>36.322299364486597</v>
      </c>
      <c r="U161" s="15">
        <v>-2.1869786625328801E-2</v>
      </c>
      <c r="V161" s="15">
        <v>-1.1313718729188999E-2</v>
      </c>
      <c r="W161" s="15">
        <v>-1.25223589534045E-2</v>
      </c>
      <c r="X161" s="34">
        <v>1.0250836120401301</v>
      </c>
      <c r="Y161" s="34">
        <v>1.0029086172027599</v>
      </c>
      <c r="Z161" s="34">
        <v>1.01504822064832</v>
      </c>
      <c r="AA161" s="34">
        <v>1.0137114036852399</v>
      </c>
      <c r="AB161" s="33">
        <v>35.984361185235201</v>
      </c>
      <c r="AC161" s="33">
        <v>36.366226497236902</v>
      </c>
      <c r="AD161" s="33">
        <v>36.322299364486597</v>
      </c>
      <c r="AE161" s="15">
        <v>-2.1869786625328801E-2</v>
      </c>
      <c r="AF161" s="15">
        <v>-1.1313718729188999E-2</v>
      </c>
      <c r="AG161" s="15">
        <v>-1.25223589534045E-2</v>
      </c>
      <c r="AI161" s="12"/>
      <c r="AJ161">
        <f t="shared" si="46"/>
        <v>1</v>
      </c>
      <c r="AK161">
        <f t="shared" si="47"/>
        <v>0</v>
      </c>
      <c r="AL161">
        <f t="shared" si="54"/>
        <v>1</v>
      </c>
      <c r="AM161">
        <f t="shared" si="44"/>
        <v>1</v>
      </c>
      <c r="AN161">
        <f t="shared" si="55"/>
        <v>1</v>
      </c>
      <c r="AO161" s="28">
        <f t="shared" si="48"/>
        <v>4.46928118229726E-3</v>
      </c>
      <c r="AP161" s="28">
        <f t="shared" si="49"/>
        <v>-5.72598701488516E-3</v>
      </c>
      <c r="AQ161" s="28">
        <f t="shared" si="56"/>
        <v>-1.2567058325879E-3</v>
      </c>
      <c r="AR161" s="29">
        <f t="shared" si="57"/>
        <v>1.8491494874411506E-2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3.6665211031395549E-2</v>
      </c>
      <c r="BE161" s="29">
        <f t="shared" si="62"/>
        <v>-1.2567058325879E-3</v>
      </c>
      <c r="BF161" s="29">
        <f t="shared" si="63"/>
        <v>5.5156705905807069E-2</v>
      </c>
      <c r="BH161" s="29"/>
    </row>
    <row r="162" spans="1:60" x14ac:dyDescent="0.25">
      <c r="A162" s="1">
        <v>46258</v>
      </c>
      <c r="B162" s="33">
        <v>37.049999999999997</v>
      </c>
      <c r="C162" s="33">
        <v>37.950000000000003</v>
      </c>
      <c r="D162" s="15">
        <v>3.2088314551500401E-2</v>
      </c>
      <c r="E162" s="15">
        <v>3.1315284665463898E-2</v>
      </c>
      <c r="F162" s="33">
        <v>0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37.049999999999997</v>
      </c>
      <c r="M162" s="33">
        <v>37.950000000000003</v>
      </c>
      <c r="N162" s="34">
        <v>1.0242914979757001</v>
      </c>
      <c r="O162" s="34">
        <v>1.0029086172027599</v>
      </c>
      <c r="P162" s="34">
        <v>1.01652922229775</v>
      </c>
      <c r="Q162" s="34">
        <v>1.01494160358403</v>
      </c>
      <c r="R162" s="33">
        <v>37.157764267362403</v>
      </c>
      <c r="S162" s="33">
        <v>37.607536575020603</v>
      </c>
      <c r="T162" s="33">
        <v>37.558007506538303</v>
      </c>
      <c r="U162" s="15">
        <v>-2.1096756739292399E-2</v>
      </c>
      <c r="V162" s="15">
        <v>-9.0650327063521597E-3</v>
      </c>
      <c r="W162" s="15">
        <v>-1.0382899190413899E-2</v>
      </c>
      <c r="X162" s="34">
        <v>1.0242914979757001</v>
      </c>
      <c r="Y162" s="34">
        <v>1.0029086172027599</v>
      </c>
      <c r="Z162" s="34">
        <v>1.01652922229775</v>
      </c>
      <c r="AA162" s="34">
        <v>1.01494160358403</v>
      </c>
      <c r="AB162" s="33">
        <v>37.157764267362403</v>
      </c>
      <c r="AC162" s="33">
        <v>37.607536575020603</v>
      </c>
      <c r="AD162" s="33">
        <v>37.558007506538303</v>
      </c>
      <c r="AE162" s="15">
        <v>-2.1096756739292399E-2</v>
      </c>
      <c r="AF162" s="15">
        <v>-9.0650327063521597E-3</v>
      </c>
      <c r="AG162" s="15">
        <v>-1.0382899190413899E-2</v>
      </c>
      <c r="AI162" s="12"/>
      <c r="AJ162">
        <f t="shared" si="46"/>
        <v>0</v>
      </c>
      <c r="AK162">
        <f t="shared" si="47"/>
        <v>0</v>
      </c>
      <c r="AL162">
        <f t="shared" si="54"/>
        <v>1</v>
      </c>
      <c r="AM162">
        <f t="shared" si="44"/>
        <v>1</v>
      </c>
      <c r="AN162">
        <f t="shared" si="55"/>
        <v>1</v>
      </c>
      <c r="AO162" s="28">
        <f t="shared" si="48"/>
        <v>3.2088314551500401E-2</v>
      </c>
      <c r="AP162" s="28">
        <f t="shared" si="49"/>
        <v>-3.1315284665463898E-2</v>
      </c>
      <c r="AQ162" s="28">
        <f t="shared" si="56"/>
        <v>7.7302988603650258E-4</v>
      </c>
      <c r="AR162" s="29">
        <f t="shared" si="57"/>
        <v>1.9264524760448008E-2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3.6665211031395549E-2</v>
      </c>
      <c r="BE162" s="29">
        <f t="shared" si="62"/>
        <v>7.7302988603650258E-4</v>
      </c>
      <c r="BF162" s="29">
        <f t="shared" si="63"/>
        <v>5.5929735791843571E-2</v>
      </c>
      <c r="BH162" s="29"/>
    </row>
    <row r="163" spans="1:60" x14ac:dyDescent="0.25">
      <c r="A163" s="1">
        <v>46259</v>
      </c>
      <c r="B163" s="33">
        <v>36.090000000000003</v>
      </c>
      <c r="C163" s="33">
        <v>37.090000000000003</v>
      </c>
      <c r="D163" s="15">
        <v>-2.62525330873985E-2</v>
      </c>
      <c r="E163" s="15">
        <v>-2.2922112340139401E-2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36.090000000000003</v>
      </c>
      <c r="M163" s="33">
        <v>37.090000000000003</v>
      </c>
      <c r="N163" s="34">
        <v>1.0277085065114899</v>
      </c>
      <c r="O163" s="34">
        <v>1.0029086172027599</v>
      </c>
      <c r="P163" s="34">
        <v>1.0189192879459701</v>
      </c>
      <c r="Q163" s="34">
        <v>1.0161191287017</v>
      </c>
      <c r="R163" s="33">
        <v>36.194971994847798</v>
      </c>
      <c r="S163" s="33">
        <v>36.686539632725797</v>
      </c>
      <c r="T163" s="33">
        <v>36.629242473347603</v>
      </c>
      <c r="U163" s="15">
        <v>-2.4427177486551401E-2</v>
      </c>
      <c r="V163" s="15">
        <v>-1.0937471217281799E-2</v>
      </c>
      <c r="W163" s="15">
        <v>-1.25004954229102E-2</v>
      </c>
      <c r="X163" s="34">
        <v>1.0277085065114899</v>
      </c>
      <c r="Y163" s="34">
        <v>1.0029086172027599</v>
      </c>
      <c r="Z163" s="34">
        <v>1.0189192879459701</v>
      </c>
      <c r="AA163" s="34">
        <v>1.0161191287017</v>
      </c>
      <c r="AB163" s="33">
        <v>36.194971994847798</v>
      </c>
      <c r="AC163" s="33">
        <v>36.686539632725797</v>
      </c>
      <c r="AD163" s="33">
        <v>36.629242473347603</v>
      </c>
      <c r="AE163" s="15">
        <v>-2.4427177486551401E-2</v>
      </c>
      <c r="AF163" s="15">
        <v>-1.0937471217281799E-2</v>
      </c>
      <c r="AG163" s="15">
        <v>-1.25004954229102E-2</v>
      </c>
      <c r="AI163" s="12"/>
      <c r="AJ163">
        <f t="shared" si="46"/>
        <v>1</v>
      </c>
      <c r="AK163">
        <f t="shared" si="47"/>
        <v>0</v>
      </c>
      <c r="AL163">
        <f t="shared" si="54"/>
        <v>1</v>
      </c>
      <c r="AM163">
        <f t="shared" si="44"/>
        <v>1</v>
      </c>
      <c r="AN163">
        <f t="shared" si="55"/>
        <v>1</v>
      </c>
      <c r="AO163" s="28">
        <f t="shared" si="48"/>
        <v>-2.62525330873985E-2</v>
      </c>
      <c r="AP163" s="28">
        <f t="shared" si="49"/>
        <v>2.2922112340139401E-2</v>
      </c>
      <c r="AQ163" s="28">
        <f t="shared" si="56"/>
        <v>-3.330420747259099E-3</v>
      </c>
      <c r="AR163" s="29">
        <f t="shared" si="57"/>
        <v>1.5934104013188909E-2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3.6665211031395549E-2</v>
      </c>
      <c r="BE163" s="29">
        <f t="shared" si="62"/>
        <v>-3.330420747259099E-3</v>
      </c>
      <c r="BF163" s="29">
        <f t="shared" si="63"/>
        <v>5.2599315044584469E-2</v>
      </c>
      <c r="BH163" s="29"/>
    </row>
    <row r="164" spans="1:60" x14ac:dyDescent="0.25">
      <c r="A164" s="1">
        <v>46260</v>
      </c>
      <c r="B164" s="33">
        <v>34.950000000000003</v>
      </c>
      <c r="C164" s="33">
        <v>35.979999999999997</v>
      </c>
      <c r="D164" s="15">
        <v>-3.2097349974878002E-2</v>
      </c>
      <c r="E164" s="15">
        <v>-3.0384162979112599E-2</v>
      </c>
      <c r="F164" s="33">
        <v>0</v>
      </c>
      <c r="G164" s="33">
        <v>0</v>
      </c>
      <c r="H164" s="33">
        <v>0</v>
      </c>
      <c r="I164" s="33">
        <v>0</v>
      </c>
      <c r="J164" s="33">
        <v>0</v>
      </c>
      <c r="K164" s="33">
        <v>0</v>
      </c>
      <c r="L164" s="33">
        <v>34.950000000000003</v>
      </c>
      <c r="M164" s="33">
        <v>35.979999999999997</v>
      </c>
      <c r="N164" s="34">
        <v>1.02947067238912</v>
      </c>
      <c r="O164" s="34">
        <v>1.0029086172027599</v>
      </c>
      <c r="P164" s="34">
        <v>1.0211748338379201</v>
      </c>
      <c r="Q164" s="34">
        <v>1.01712207408586</v>
      </c>
      <c r="R164" s="33">
        <v>35.051656171236601</v>
      </c>
      <c r="S164" s="33">
        <v>35.611229113711701</v>
      </c>
      <c r="T164" s="33">
        <v>35.513363548124602</v>
      </c>
      <c r="U164" s="15">
        <v>-2.6140364482316901E-2</v>
      </c>
      <c r="V164" s="15">
        <v>-1.0302215857799699E-2</v>
      </c>
      <c r="W164" s="15">
        <v>-1.30541649006745E-2</v>
      </c>
      <c r="X164" s="34">
        <v>1.02947067238912</v>
      </c>
      <c r="Y164" s="34">
        <v>1.0029086172027599</v>
      </c>
      <c r="Z164" s="34">
        <v>1.0211748338379201</v>
      </c>
      <c r="AA164" s="34">
        <v>1.01712207408586</v>
      </c>
      <c r="AB164" s="33">
        <v>35.051656171236601</v>
      </c>
      <c r="AC164" s="33">
        <v>35.611229113711701</v>
      </c>
      <c r="AD164" s="33">
        <v>35.513363548124602</v>
      </c>
      <c r="AE164" s="15">
        <v>-2.6140364482316901E-2</v>
      </c>
      <c r="AF164" s="15">
        <v>-1.0302215857799699E-2</v>
      </c>
      <c r="AG164" s="15">
        <v>-1.30541649006745E-2</v>
      </c>
      <c r="AI164" s="12"/>
      <c r="AJ164">
        <f t="shared" si="46"/>
        <v>1</v>
      </c>
      <c r="AK164">
        <f t="shared" si="47"/>
        <v>0</v>
      </c>
      <c r="AL164">
        <f t="shared" si="54"/>
        <v>1</v>
      </c>
      <c r="AM164">
        <f t="shared" si="44"/>
        <v>1</v>
      </c>
      <c r="AN164">
        <f t="shared" si="55"/>
        <v>1</v>
      </c>
      <c r="AO164" s="28">
        <f t="shared" si="48"/>
        <v>-3.2097349974878002E-2</v>
      </c>
      <c r="AP164" s="28">
        <f t="shared" si="49"/>
        <v>3.0384162979112599E-2</v>
      </c>
      <c r="AQ164" s="28">
        <f t="shared" si="56"/>
        <v>-1.7131869957654026E-3</v>
      </c>
      <c r="AR164" s="29">
        <f t="shared" si="57"/>
        <v>1.4220917017423507E-2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3.6665211031395549E-2</v>
      </c>
      <c r="BE164" s="29">
        <f t="shared" si="62"/>
        <v>-1.7131869957654026E-3</v>
      </c>
      <c r="BF164" s="29">
        <f t="shared" si="63"/>
        <v>5.0886128048819063E-2</v>
      </c>
      <c r="BH164" s="29"/>
    </row>
    <row r="165" spans="1:60" x14ac:dyDescent="0.25">
      <c r="A165" s="1">
        <v>46261</v>
      </c>
      <c r="B165" s="33">
        <v>35.43</v>
      </c>
      <c r="C165" s="33">
        <v>36.35</v>
      </c>
      <c r="D165" s="15">
        <v>1.36404501975612E-2</v>
      </c>
      <c r="E165" s="15">
        <v>1.02309754571415E-2</v>
      </c>
      <c r="F165" s="33">
        <v>0</v>
      </c>
      <c r="G165" s="33">
        <v>0</v>
      </c>
      <c r="H165" s="33">
        <v>0</v>
      </c>
      <c r="I165" s="33">
        <v>0</v>
      </c>
      <c r="J165" s="33">
        <v>0</v>
      </c>
      <c r="K165" s="33">
        <v>0</v>
      </c>
      <c r="L165" s="33">
        <v>35.43</v>
      </c>
      <c r="M165" s="33">
        <v>36.35</v>
      </c>
      <c r="N165" s="34">
        <v>1.02596669489133</v>
      </c>
      <c r="O165" s="34">
        <v>1.0029086172027599</v>
      </c>
      <c r="P165" s="34">
        <v>1.0229084743738199</v>
      </c>
      <c r="Q165" s="34">
        <v>1.01791610743618</v>
      </c>
      <c r="R165" s="33">
        <v>35.533052307493897</v>
      </c>
      <c r="S165" s="33">
        <v>36.180224362877503</v>
      </c>
      <c r="T165" s="33">
        <v>36.036635084862198</v>
      </c>
      <c r="U165" s="15">
        <v>-2.2730889741896999E-2</v>
      </c>
      <c r="V165" s="15">
        <v>-4.6815227359304698E-3</v>
      </c>
      <c r="W165" s="15">
        <v>-8.6581417230771392E-3</v>
      </c>
      <c r="X165" s="34">
        <v>1.02596669489133</v>
      </c>
      <c r="Y165" s="34">
        <v>1.0029086172027599</v>
      </c>
      <c r="Z165" s="34">
        <v>1.0229084743738199</v>
      </c>
      <c r="AA165" s="34">
        <v>1.01791610743618</v>
      </c>
      <c r="AB165" s="33">
        <v>35.533052307493897</v>
      </c>
      <c r="AC165" s="33">
        <v>36.180224362877503</v>
      </c>
      <c r="AD165" s="33">
        <v>36.036635084862198</v>
      </c>
      <c r="AE165" s="15">
        <v>-2.2730889741896999E-2</v>
      </c>
      <c r="AF165" s="15">
        <v>-4.6815227359304698E-3</v>
      </c>
      <c r="AG165" s="15">
        <v>-8.6581417230771392E-3</v>
      </c>
      <c r="AI165" s="12"/>
      <c r="AJ165">
        <f t="shared" si="46"/>
        <v>0</v>
      </c>
      <c r="AK165">
        <f t="shared" si="47"/>
        <v>0</v>
      </c>
      <c r="AL165">
        <f t="shared" si="54"/>
        <v>1</v>
      </c>
      <c r="AM165">
        <f t="shared" si="44"/>
        <v>1</v>
      </c>
      <c r="AN165">
        <f t="shared" si="55"/>
        <v>1</v>
      </c>
      <c r="AO165" s="28">
        <f t="shared" si="48"/>
        <v>1.36404501975612E-2</v>
      </c>
      <c r="AP165" s="28">
        <f t="shared" si="49"/>
        <v>-1.02309754571415E-2</v>
      </c>
      <c r="AQ165" s="28">
        <f t="shared" si="56"/>
        <v>3.4094747404197004E-3</v>
      </c>
      <c r="AR165" s="29">
        <f t="shared" si="57"/>
        <v>1.7630391757843207E-2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3.6665211031395549E-2</v>
      </c>
      <c r="BE165" s="29">
        <f t="shared" si="62"/>
        <v>3.4094747404197004E-3</v>
      </c>
      <c r="BF165" s="29">
        <f t="shared" si="63"/>
        <v>5.4295602789238763E-2</v>
      </c>
      <c r="BH165" s="29"/>
    </row>
    <row r="166" spans="1:60" x14ac:dyDescent="0.25">
      <c r="A166" s="1">
        <v>46262</v>
      </c>
      <c r="B166" s="33">
        <v>35.659999999999997</v>
      </c>
      <c r="C166" s="33">
        <v>36.61</v>
      </c>
      <c r="D166" s="15">
        <v>6.4706935576137299E-3</v>
      </c>
      <c r="E166" s="15">
        <v>7.1272231526163798E-3</v>
      </c>
      <c r="F166" s="33">
        <v>0</v>
      </c>
      <c r="G166" s="33">
        <v>0</v>
      </c>
      <c r="H166" s="33">
        <v>0</v>
      </c>
      <c r="I166" s="33">
        <v>0</v>
      </c>
      <c r="J166" s="33">
        <v>0</v>
      </c>
      <c r="K166" s="33">
        <v>0</v>
      </c>
      <c r="L166" s="33">
        <v>35.659999999999997</v>
      </c>
      <c r="M166" s="33">
        <v>36.61</v>
      </c>
      <c r="N166" s="34">
        <v>1.02664049355019</v>
      </c>
      <c r="O166" s="34">
        <v>1.0029086172027599</v>
      </c>
      <c r="P166" s="34">
        <v>1.0244799417852</v>
      </c>
      <c r="Q166" s="34">
        <v>1.0183232935934401</v>
      </c>
      <c r="R166" s="33">
        <v>35.763721289450601</v>
      </c>
      <c r="S166" s="33">
        <v>36.476916196170599</v>
      </c>
      <c r="T166" s="33">
        <v>36.298888391174501</v>
      </c>
      <c r="U166" s="15">
        <v>-2.3387419336899799E-2</v>
      </c>
      <c r="V166" s="15">
        <v>-3.6417995954214299E-3</v>
      </c>
      <c r="W166" s="15">
        <v>-8.5343091628866299E-3</v>
      </c>
      <c r="X166" s="34">
        <v>1.02664049355019</v>
      </c>
      <c r="Y166" s="34">
        <v>1.0029086172027599</v>
      </c>
      <c r="Z166" s="34">
        <v>1.0244799417852</v>
      </c>
      <c r="AA166" s="34">
        <v>1.0183232935934401</v>
      </c>
      <c r="AB166" s="33">
        <v>35.763721289450601</v>
      </c>
      <c r="AC166" s="33">
        <v>36.476916196170599</v>
      </c>
      <c r="AD166" s="33">
        <v>36.298888391174501</v>
      </c>
      <c r="AE166" s="15">
        <v>-2.3387419336899799E-2</v>
      </c>
      <c r="AF166" s="15">
        <v>-3.6417995954214299E-3</v>
      </c>
      <c r="AG166" s="15">
        <v>-8.5343091628866299E-3</v>
      </c>
      <c r="AI166" s="12"/>
      <c r="AJ166">
        <f t="shared" si="46"/>
        <v>0</v>
      </c>
      <c r="AK166">
        <f t="shared" si="47"/>
        <v>0</v>
      </c>
      <c r="AL166">
        <f t="shared" si="54"/>
        <v>1</v>
      </c>
      <c r="AM166">
        <f t="shared" si="44"/>
        <v>1</v>
      </c>
      <c r="AN166">
        <f t="shared" si="55"/>
        <v>1</v>
      </c>
      <c r="AO166" s="28">
        <f t="shared" si="48"/>
        <v>6.4706935576137299E-3</v>
      </c>
      <c r="AP166" s="28">
        <f t="shared" si="49"/>
        <v>-7.1272231526163798E-3</v>
      </c>
      <c r="AQ166" s="28">
        <f t="shared" si="56"/>
        <v>-6.5652959500264989E-4</v>
      </c>
      <c r="AR166" s="29">
        <f t="shared" si="57"/>
        <v>1.6973862162840556E-2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3.6665211031395549E-2</v>
      </c>
      <c r="BE166" s="29">
        <f t="shared" si="62"/>
        <v>-6.5652959500264989E-4</v>
      </c>
      <c r="BF166" s="29">
        <f t="shared" si="63"/>
        <v>5.3639073194236116E-2</v>
      </c>
      <c r="BH166" s="29"/>
    </row>
    <row r="167" spans="1:60" x14ac:dyDescent="0.25">
      <c r="A167" s="1">
        <v>46265</v>
      </c>
      <c r="B167" s="33">
        <v>34.96</v>
      </c>
      <c r="C167" s="33">
        <v>35.79</v>
      </c>
      <c r="D167" s="15">
        <v>-1.98250616476595E-2</v>
      </c>
      <c r="E167" s="15">
        <v>-2.26529023542104E-2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34.96</v>
      </c>
      <c r="M167" s="33">
        <v>35.79</v>
      </c>
      <c r="N167" s="34">
        <v>1.0237414187642999</v>
      </c>
      <c r="O167" s="34">
        <v>1.0029086172027599</v>
      </c>
      <c r="P167" s="34">
        <v>1.0250747242310201</v>
      </c>
      <c r="Q167" s="34">
        <v>1.0185422551922401</v>
      </c>
      <c r="R167" s="33">
        <v>35.061685257408598</v>
      </c>
      <c r="S167" s="33">
        <v>35.815818764810601</v>
      </c>
      <c r="T167" s="33">
        <v>35.600582344026598</v>
      </c>
      <c r="U167" s="15">
        <v>-2.05595786303489E-2</v>
      </c>
      <c r="V167" s="15">
        <v>7.2113597399981898E-4</v>
      </c>
      <c r="W167" s="15">
        <v>-5.3065290754623099E-3</v>
      </c>
      <c r="X167" s="34">
        <v>1.0237414187642999</v>
      </c>
      <c r="Y167" s="34">
        <v>1.0029086172027599</v>
      </c>
      <c r="Z167" s="34">
        <v>1.0250747242310201</v>
      </c>
      <c r="AA167" s="34">
        <v>1.0185422551922401</v>
      </c>
      <c r="AB167" s="33">
        <v>35.061685257408598</v>
      </c>
      <c r="AC167" s="33">
        <v>35.815818764810601</v>
      </c>
      <c r="AD167" s="33">
        <v>35.600582344026598</v>
      </c>
      <c r="AE167" s="15">
        <v>-2.05595786303489E-2</v>
      </c>
      <c r="AF167" s="15">
        <v>7.2113597399981898E-4</v>
      </c>
      <c r="AG167" s="15">
        <v>-5.3065290754623099E-3</v>
      </c>
      <c r="AI167" s="12"/>
      <c r="AJ167">
        <f t="shared" si="46"/>
        <v>0</v>
      </c>
      <c r="AK167">
        <f t="shared" si="47"/>
        <v>0</v>
      </c>
      <c r="AL167">
        <f t="shared" si="54"/>
        <v>1</v>
      </c>
      <c r="AM167">
        <f t="shared" si="44"/>
        <v>1</v>
      </c>
      <c r="AN167">
        <f t="shared" si="55"/>
        <v>1</v>
      </c>
      <c r="AO167" s="28">
        <f t="shared" si="48"/>
        <v>-1.98250616476595E-2</v>
      </c>
      <c r="AP167" s="28">
        <f t="shared" si="49"/>
        <v>2.26529023542104E-2</v>
      </c>
      <c r="AQ167" s="28">
        <f t="shared" si="56"/>
        <v>2.8278407065508993E-3</v>
      </c>
      <c r="AR167" s="29">
        <f t="shared" si="57"/>
        <v>1.9801702869391456E-2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3.6665211031395549E-2</v>
      </c>
      <c r="BE167" s="29">
        <f t="shared" si="62"/>
        <v>2.8278407065508993E-3</v>
      </c>
      <c r="BF167" s="29">
        <f t="shared" si="63"/>
        <v>5.6466913900787015E-2</v>
      </c>
      <c r="BH167" s="29"/>
    </row>
    <row r="168" spans="1:60" x14ac:dyDescent="0.25">
      <c r="A168" s="1">
        <v>46266</v>
      </c>
      <c r="B168" s="33">
        <v>33.450000000000003</v>
      </c>
      <c r="C168" s="33">
        <v>34.36</v>
      </c>
      <c r="D168" s="15">
        <v>-4.4152764213097197E-2</v>
      </c>
      <c r="E168" s="15">
        <v>-4.0775427661879797E-2</v>
      </c>
      <c r="F168" s="33">
        <v>0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33.450000000000003</v>
      </c>
      <c r="M168" s="33">
        <v>34.36</v>
      </c>
      <c r="N168" s="34">
        <v>1.02720478325859</v>
      </c>
      <c r="O168" s="34">
        <v>1.0029086172027599</v>
      </c>
      <c r="P168" s="34">
        <v>1.02574139868069</v>
      </c>
      <c r="Q168" s="34">
        <v>1.0188688670122801</v>
      </c>
      <c r="R168" s="33">
        <v>33.547293245432499</v>
      </c>
      <c r="S168" s="33">
        <v>34.288749525527798</v>
      </c>
      <c r="T168" s="33">
        <v>34.070238436180702</v>
      </c>
      <c r="U168" s="15">
        <v>-2.39369151815664E-2</v>
      </c>
      <c r="V168" s="15">
        <v>-2.07579891983896E-3</v>
      </c>
      <c r="W168" s="15">
        <v>-8.4688670473364504E-3</v>
      </c>
      <c r="X168" s="34">
        <v>1.02720478325859</v>
      </c>
      <c r="Y168" s="34">
        <v>1.0029086172027599</v>
      </c>
      <c r="Z168" s="34">
        <v>1.02574139868069</v>
      </c>
      <c r="AA168" s="34">
        <v>1.0188688670122801</v>
      </c>
      <c r="AB168" s="33">
        <v>33.547293245432499</v>
      </c>
      <c r="AC168" s="33">
        <v>34.288749525527798</v>
      </c>
      <c r="AD168" s="33">
        <v>34.070238436180702</v>
      </c>
      <c r="AE168" s="15">
        <v>-2.39369151815664E-2</v>
      </c>
      <c r="AF168" s="15">
        <v>-2.07579891983896E-3</v>
      </c>
      <c r="AG168" s="15">
        <v>-8.4688670473364504E-3</v>
      </c>
      <c r="AI168" s="12"/>
      <c r="AJ168">
        <f t="shared" si="46"/>
        <v>0</v>
      </c>
      <c r="AK168">
        <f t="shared" si="47"/>
        <v>0</v>
      </c>
      <c r="AL168">
        <f t="shared" si="54"/>
        <v>1</v>
      </c>
      <c r="AM168">
        <f t="shared" si="44"/>
        <v>1</v>
      </c>
      <c r="AN168">
        <f t="shared" si="55"/>
        <v>1</v>
      </c>
      <c r="AO168" s="28">
        <f t="shared" si="48"/>
        <v>-4.4152764213097197E-2</v>
      </c>
      <c r="AP168" s="28">
        <f t="shared" si="49"/>
        <v>4.0775427661879797E-2</v>
      </c>
      <c r="AQ168" s="28">
        <f t="shared" si="56"/>
        <v>-3.3773365512173997E-3</v>
      </c>
      <c r="AR168" s="29">
        <f t="shared" si="57"/>
        <v>1.6424366318174056E-2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3.6665211031395549E-2</v>
      </c>
      <c r="BE168" s="29">
        <f t="shared" si="62"/>
        <v>-3.3773365512173997E-3</v>
      </c>
      <c r="BF168" s="29">
        <f t="shared" si="63"/>
        <v>5.3089577349569615E-2</v>
      </c>
      <c r="BH168" s="29"/>
    </row>
    <row r="169" spans="1:60" x14ac:dyDescent="0.25">
      <c r="A169" s="1">
        <v>46267</v>
      </c>
      <c r="B169" s="33">
        <v>34.58</v>
      </c>
      <c r="C169" s="33">
        <v>35.44</v>
      </c>
      <c r="D169" s="15">
        <v>3.3223693680906802E-2</v>
      </c>
      <c r="E169" s="15">
        <v>3.09480286208254E-2</v>
      </c>
      <c r="F169" s="33">
        <v>0</v>
      </c>
      <c r="G169" s="33">
        <v>0</v>
      </c>
      <c r="H169" s="33">
        <v>0</v>
      </c>
      <c r="I169" s="33">
        <v>0</v>
      </c>
      <c r="J169" s="33">
        <v>0</v>
      </c>
      <c r="K169" s="33">
        <v>0</v>
      </c>
      <c r="L169" s="33">
        <v>34.58</v>
      </c>
      <c r="M169" s="33">
        <v>35.44</v>
      </c>
      <c r="N169" s="34">
        <v>1.0248698669751299</v>
      </c>
      <c r="O169" s="34">
        <v>1.0029086172027599</v>
      </c>
      <c r="P169" s="34">
        <v>1.0258773738965199</v>
      </c>
      <c r="Q169" s="34">
        <v>1.01901817753556</v>
      </c>
      <c r="R169" s="33">
        <v>34.680579982871599</v>
      </c>
      <c r="S169" s="33">
        <v>35.470137566378298</v>
      </c>
      <c r="T169" s="33">
        <v>35.232485421284899</v>
      </c>
      <c r="U169" s="15">
        <v>-2.1661250121484999E-2</v>
      </c>
      <c r="V169" s="15">
        <v>8.5002142788777302E-4</v>
      </c>
      <c r="W169" s="15">
        <v>-5.8725874394308097E-3</v>
      </c>
      <c r="X169" s="34">
        <v>1.0248698669751299</v>
      </c>
      <c r="Y169" s="34">
        <v>1.0029086172027599</v>
      </c>
      <c r="Z169" s="34">
        <v>1.0258773738965199</v>
      </c>
      <c r="AA169" s="34">
        <v>1.01901817753556</v>
      </c>
      <c r="AB169" s="33">
        <v>34.680579982871599</v>
      </c>
      <c r="AC169" s="33">
        <v>35.470137566378298</v>
      </c>
      <c r="AD169" s="33">
        <v>35.232485421284899</v>
      </c>
      <c r="AE169" s="15">
        <v>-2.1661250121484999E-2</v>
      </c>
      <c r="AF169" s="15">
        <v>8.5002142788777302E-4</v>
      </c>
      <c r="AG169" s="15">
        <v>-5.8725874394308097E-3</v>
      </c>
      <c r="AI169" s="12"/>
      <c r="AJ169">
        <f t="shared" si="46"/>
        <v>0</v>
      </c>
      <c r="AK169">
        <f t="shared" si="47"/>
        <v>0</v>
      </c>
      <c r="AL169">
        <f t="shared" si="54"/>
        <v>1</v>
      </c>
      <c r="AM169">
        <f t="shared" si="44"/>
        <v>1</v>
      </c>
      <c r="AN169">
        <f t="shared" si="55"/>
        <v>1</v>
      </c>
      <c r="AO169" s="28">
        <f t="shared" si="48"/>
        <v>3.3223693680906802E-2</v>
      </c>
      <c r="AP169" s="28">
        <f t="shared" si="49"/>
        <v>-3.09480286208254E-2</v>
      </c>
      <c r="AQ169" s="28">
        <f t="shared" si="56"/>
        <v>2.2756650600814013E-3</v>
      </c>
      <c r="AR169" s="29">
        <f t="shared" si="57"/>
        <v>1.8700031378255457E-2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3.6665211031395549E-2</v>
      </c>
      <c r="BE169" s="29">
        <f t="shared" si="62"/>
        <v>2.2756650600814013E-3</v>
      </c>
      <c r="BF169" s="29">
        <f t="shared" si="63"/>
        <v>5.5365242409651017E-2</v>
      </c>
      <c r="BH169" s="29"/>
    </row>
    <row r="170" spans="1:60" x14ac:dyDescent="0.25">
      <c r="A170" s="1">
        <v>46268</v>
      </c>
      <c r="B170" s="33">
        <v>35.340000000000003</v>
      </c>
      <c r="C170" s="33">
        <v>36.04</v>
      </c>
      <c r="D170" s="15">
        <v>2.1739986636406E-2</v>
      </c>
      <c r="E170" s="15">
        <v>1.6788307003257001E-2</v>
      </c>
      <c r="F170" s="33">
        <v>0</v>
      </c>
      <c r="G170" s="33">
        <v>0</v>
      </c>
      <c r="H170" s="33">
        <v>0</v>
      </c>
      <c r="I170" s="33">
        <v>0</v>
      </c>
      <c r="J170" s="33">
        <v>0</v>
      </c>
      <c r="K170" s="33">
        <v>0</v>
      </c>
      <c r="L170" s="33">
        <v>35.340000000000003</v>
      </c>
      <c r="M170" s="33">
        <v>36.04</v>
      </c>
      <c r="N170" s="34">
        <v>1.0198075834748099</v>
      </c>
      <c r="O170" s="34">
        <v>1.0029086172027599</v>
      </c>
      <c r="P170" s="34">
        <v>1.0254785129830799</v>
      </c>
      <c r="Q170" s="34">
        <v>1.01951498805838</v>
      </c>
      <c r="R170" s="33">
        <v>35.442790531945697</v>
      </c>
      <c r="S170" s="33">
        <v>36.254506393503</v>
      </c>
      <c r="T170" s="33">
        <v>36.012102394106698</v>
      </c>
      <c r="U170" s="15">
        <v>-1.6709570488336101E-2</v>
      </c>
      <c r="V170" s="15">
        <v>5.9342551376965003E-3</v>
      </c>
      <c r="W170" s="15">
        <v>-7.7437316498431903E-4</v>
      </c>
      <c r="X170" s="34">
        <v>1.0198075834748099</v>
      </c>
      <c r="Y170" s="34">
        <v>1.0029086172027599</v>
      </c>
      <c r="Z170" s="34">
        <v>1.0254785129830799</v>
      </c>
      <c r="AA170" s="34">
        <v>1.01951498805838</v>
      </c>
      <c r="AB170" s="33">
        <v>35.442790531945697</v>
      </c>
      <c r="AC170" s="33">
        <v>36.254506393503</v>
      </c>
      <c r="AD170" s="33">
        <v>36.012102394106698</v>
      </c>
      <c r="AE170" s="15">
        <v>-1.6709570488336101E-2</v>
      </c>
      <c r="AF170" s="15">
        <v>5.9342551376965003E-3</v>
      </c>
      <c r="AG170" s="15">
        <v>-7.7437316498431903E-4</v>
      </c>
      <c r="AI170" s="12"/>
      <c r="AJ170">
        <f t="shared" si="46"/>
        <v>0</v>
      </c>
      <c r="AK170">
        <f t="shared" si="47"/>
        <v>1</v>
      </c>
      <c r="AL170">
        <f t="shared" si="54"/>
        <v>1</v>
      </c>
      <c r="AM170">
        <f t="shared" si="44"/>
        <v>1</v>
      </c>
      <c r="AN170">
        <f t="shared" si="55"/>
        <v>1</v>
      </c>
      <c r="AO170" s="28">
        <f t="shared" si="48"/>
        <v>2.1739986636406E-2</v>
      </c>
      <c r="AP170" s="28">
        <f t="shared" si="49"/>
        <v>-1.6788307003257001E-2</v>
      </c>
      <c r="AQ170" s="28">
        <f t="shared" si="56"/>
        <v>4.951679633148999E-3</v>
      </c>
      <c r="AR170" s="29">
        <f t="shared" si="57"/>
        <v>2.3651711011404456E-2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3.6665211031395549E-2</v>
      </c>
      <c r="BE170" s="29">
        <f t="shared" si="62"/>
        <v>4.951679633148999E-3</v>
      </c>
      <c r="BF170" s="29">
        <f t="shared" si="63"/>
        <v>6.0316922042800016E-2</v>
      </c>
      <c r="BH170" s="29"/>
    </row>
    <row r="171" spans="1:60" x14ac:dyDescent="0.25">
      <c r="A171" s="1">
        <v>46269</v>
      </c>
      <c r="B171" s="33">
        <v>34.590000000000003</v>
      </c>
      <c r="C171" s="33">
        <v>35.32</v>
      </c>
      <c r="D171" s="15">
        <v>-2.1450843942473E-2</v>
      </c>
      <c r="E171" s="15">
        <v>-2.0180057004377899E-2</v>
      </c>
      <c r="F171" s="33">
        <v>0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34.590000000000003</v>
      </c>
      <c r="M171" s="33">
        <v>35.32</v>
      </c>
      <c r="N171" s="34">
        <v>1.0211043654235299</v>
      </c>
      <c r="O171" s="34">
        <v>1.0029086172027599</v>
      </c>
      <c r="P171" s="34">
        <v>1.02508058832142</v>
      </c>
      <c r="Q171" s="34">
        <v>1.0200644044848699</v>
      </c>
      <c r="R171" s="33">
        <v>34.690609069043603</v>
      </c>
      <c r="S171" s="33">
        <v>35.471301764084799</v>
      </c>
      <c r="T171" s="33">
        <v>35.2650234369396</v>
      </c>
      <c r="U171" s="15">
        <v>-1.7980357426431101E-2</v>
      </c>
      <c r="V171" s="15">
        <v>4.2745928016130804E-3</v>
      </c>
      <c r="W171" s="15">
        <v>-1.5577404809221701E-3</v>
      </c>
      <c r="X171" s="34">
        <v>1.0211043654235299</v>
      </c>
      <c r="Y171" s="34">
        <v>1.0029086172027599</v>
      </c>
      <c r="Z171" s="34">
        <v>1.02508058832142</v>
      </c>
      <c r="AA171" s="34">
        <v>1.0200644044848699</v>
      </c>
      <c r="AB171" s="33">
        <v>34.690609069043603</v>
      </c>
      <c r="AC171" s="33">
        <v>35.471301764084799</v>
      </c>
      <c r="AD171" s="33">
        <v>35.2650234369396</v>
      </c>
      <c r="AE171" s="15">
        <v>-1.7980357426431101E-2</v>
      </c>
      <c r="AF171" s="15">
        <v>4.2745928016130804E-3</v>
      </c>
      <c r="AG171" s="15">
        <v>-1.5577404809221701E-3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2.3651711011404456E-2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3.6665211031395549E-2</v>
      </c>
      <c r="BE171" s="29">
        <f t="shared" si="62"/>
        <v>0</v>
      </c>
      <c r="BF171" s="29">
        <f t="shared" si="63"/>
        <v>6.0316922042800016E-2</v>
      </c>
      <c r="BH171" s="29"/>
    </row>
    <row r="172" spans="1:60" x14ac:dyDescent="0.25">
      <c r="A172" s="1">
        <v>46273</v>
      </c>
      <c r="B172" s="33">
        <v>32.36</v>
      </c>
      <c r="C172" s="33">
        <v>33.03</v>
      </c>
      <c r="D172" s="15">
        <v>-6.6641530758786496E-2</v>
      </c>
      <c r="E172" s="15">
        <v>-6.7033136333060905E-2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32.36</v>
      </c>
      <c r="M172" s="33">
        <v>33.03</v>
      </c>
      <c r="N172" s="34">
        <v>1.0207045735475799</v>
      </c>
      <c r="O172" s="34">
        <v>1.0029086172027599</v>
      </c>
      <c r="P172" s="34">
        <v>1.02472189587861</v>
      </c>
      <c r="Q172" s="34">
        <v>1.0206255590881801</v>
      </c>
      <c r="R172" s="33">
        <v>32.454122852681401</v>
      </c>
      <c r="S172" s="33">
        <v>33.171607838081201</v>
      </c>
      <c r="T172" s="33">
        <v>33.009284129130599</v>
      </c>
      <c r="U172" s="15">
        <v>-1.7588751852156598E-2</v>
      </c>
      <c r="V172" s="15">
        <v>4.2780850399662699E-3</v>
      </c>
      <c r="W172" s="15">
        <v>-6.2738025773788396E-4</v>
      </c>
      <c r="X172" s="34">
        <v>1.0207045735475799</v>
      </c>
      <c r="Y172" s="34">
        <v>1.0029086172027599</v>
      </c>
      <c r="Z172" s="34">
        <v>1.02472189587861</v>
      </c>
      <c r="AA172" s="34">
        <v>1.0206255590881801</v>
      </c>
      <c r="AB172" s="33">
        <v>32.454122852681401</v>
      </c>
      <c r="AC172" s="33">
        <v>33.171607838081201</v>
      </c>
      <c r="AD172" s="33">
        <v>33.009284129130599</v>
      </c>
      <c r="AE172" s="15">
        <v>-1.7588751852156598E-2</v>
      </c>
      <c r="AF172" s="15">
        <v>4.2780850399662699E-3</v>
      </c>
      <c r="AG172" s="15">
        <v>-6.2738025773788396E-4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2.3651711011404456E-2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3.6665211031395549E-2</v>
      </c>
      <c r="BE172" s="29">
        <f t="shared" si="62"/>
        <v>0</v>
      </c>
      <c r="BF172" s="29">
        <f t="shared" si="63"/>
        <v>6.0316922042800016E-2</v>
      </c>
      <c r="BH172" s="29"/>
    </row>
    <row r="173" spans="1:60" x14ac:dyDescent="0.25">
      <c r="A173" s="1">
        <v>46274</v>
      </c>
      <c r="B173" s="33">
        <v>32.14</v>
      </c>
      <c r="C173" s="33">
        <v>32.799999999999997</v>
      </c>
      <c r="D173" s="15">
        <v>-6.8217318809243397E-3</v>
      </c>
      <c r="E173" s="15">
        <v>-6.9877240126003702E-3</v>
      </c>
      <c r="F173" s="33">
        <v>0</v>
      </c>
      <c r="G173" s="33">
        <v>0</v>
      </c>
      <c r="H173" s="33">
        <v>0</v>
      </c>
      <c r="I173" s="33">
        <v>0</v>
      </c>
      <c r="J173" s="33">
        <v>0</v>
      </c>
      <c r="K173" s="33">
        <v>0</v>
      </c>
      <c r="L173" s="33">
        <v>32.14</v>
      </c>
      <c r="M173" s="33">
        <v>32.799999999999997</v>
      </c>
      <c r="N173" s="34">
        <v>1.02053515868077</v>
      </c>
      <c r="O173" s="34">
        <v>1.0029086172027599</v>
      </c>
      <c r="P173" s="34">
        <v>1.02400456109553</v>
      </c>
      <c r="Q173" s="34">
        <v>1.0214619245207499</v>
      </c>
      <c r="R173" s="33">
        <v>32.2334829568968</v>
      </c>
      <c r="S173" s="33">
        <v>32.934561733538501</v>
      </c>
      <c r="T173" s="33">
        <v>32.8029054690941</v>
      </c>
      <c r="U173" s="15">
        <v>-1.7422759720480602E-2</v>
      </c>
      <c r="V173" s="15">
        <v>4.0940996013759503E-3</v>
      </c>
      <c r="W173" s="15">
        <v>8.8577451724285001E-5</v>
      </c>
      <c r="X173" s="34">
        <v>1.02053515868077</v>
      </c>
      <c r="Y173" s="34">
        <v>1.0029086172027599</v>
      </c>
      <c r="Z173" s="34">
        <v>1.02400456109553</v>
      </c>
      <c r="AA173" s="34">
        <v>1.0214619245207499</v>
      </c>
      <c r="AB173" s="33">
        <v>32.2334829568968</v>
      </c>
      <c r="AC173" s="33">
        <v>32.934561733538501</v>
      </c>
      <c r="AD173" s="33">
        <v>32.8029054690941</v>
      </c>
      <c r="AE173" s="15">
        <v>-1.7422759720480602E-2</v>
      </c>
      <c r="AF173" s="15">
        <v>4.0940996013759503E-3</v>
      </c>
      <c r="AG173" s="15">
        <v>8.8577451724285001E-5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2.3651711011404456E-2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3.6665211031395549E-2</v>
      </c>
      <c r="BE173" s="29">
        <f t="shared" si="62"/>
        <v>0</v>
      </c>
      <c r="BF173" s="29">
        <f t="shared" si="63"/>
        <v>6.0316922042800016E-2</v>
      </c>
      <c r="BH173" s="29"/>
    </row>
    <row r="174" spans="1:60" x14ac:dyDescent="0.25">
      <c r="A174" s="1">
        <v>46275</v>
      </c>
      <c r="B174" s="33">
        <v>31.25</v>
      </c>
      <c r="C174" s="33">
        <v>31.88</v>
      </c>
      <c r="D174" s="15">
        <v>-2.8081984126955999E-2</v>
      </c>
      <c r="E174" s="15">
        <v>-2.8449661468083601E-2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31.25</v>
      </c>
      <c r="M174" s="33">
        <v>31.88</v>
      </c>
      <c r="N174" s="34">
        <v>1.02016</v>
      </c>
      <c r="O174" s="34">
        <v>1.0029086172027599</v>
      </c>
      <c r="P174" s="34">
        <v>1.0230734938566199</v>
      </c>
      <c r="Q174" s="34">
        <v>1.02212416384727</v>
      </c>
      <c r="R174" s="33">
        <v>31.340894287586401</v>
      </c>
      <c r="S174" s="33">
        <v>32.0001425342356</v>
      </c>
      <c r="T174" s="33">
        <v>31.920685141273601</v>
      </c>
      <c r="U174" s="15">
        <v>-1.7055082379353E-2</v>
      </c>
      <c r="V174" s="15">
        <v>3.7615030626553798E-3</v>
      </c>
      <c r="W174" s="15">
        <v>1.2753827548534599E-3</v>
      </c>
      <c r="X174" s="34">
        <v>1.02016</v>
      </c>
      <c r="Y174" s="34">
        <v>1.0029086172027599</v>
      </c>
      <c r="Z174" s="34">
        <v>1.0230734938566199</v>
      </c>
      <c r="AA174" s="34">
        <v>1.02212416384727</v>
      </c>
      <c r="AB174" s="33">
        <v>31.340894287586401</v>
      </c>
      <c r="AC174" s="33">
        <v>32.0001425342356</v>
      </c>
      <c r="AD174" s="33">
        <v>31.920685141273601</v>
      </c>
      <c r="AE174" s="15">
        <v>-1.7055082379353E-2</v>
      </c>
      <c r="AF174" s="15">
        <v>3.7615030626553798E-3</v>
      </c>
      <c r="AG174" s="15">
        <v>1.2753827548534599E-3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2.3651711011404456E-2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3.6665211031395549E-2</v>
      </c>
      <c r="BE174" s="29">
        <f t="shared" si="62"/>
        <v>0</v>
      </c>
      <c r="BF174" s="29">
        <f t="shared" si="63"/>
        <v>6.0316922042800016E-2</v>
      </c>
      <c r="BH174" s="29"/>
    </row>
    <row r="175" spans="1:60" x14ac:dyDescent="0.25">
      <c r="A175" s="1">
        <v>46276</v>
      </c>
      <c r="B175" s="33">
        <v>32.5</v>
      </c>
      <c r="C175" s="33">
        <v>33.229999999999997</v>
      </c>
      <c r="D175" s="15">
        <v>3.9220713153281302E-2</v>
      </c>
      <c r="E175" s="15">
        <v>4.1474228444488399E-2</v>
      </c>
      <c r="F175" s="33">
        <v>0</v>
      </c>
      <c r="G175" s="33">
        <v>0</v>
      </c>
      <c r="H175" s="33">
        <v>0</v>
      </c>
      <c r="I175" s="33">
        <v>0</v>
      </c>
      <c r="J175" s="33">
        <v>0</v>
      </c>
      <c r="K175" s="33">
        <v>0</v>
      </c>
      <c r="L175" s="33">
        <v>32.5</v>
      </c>
      <c r="M175" s="33">
        <v>33.229999999999997</v>
      </c>
      <c r="N175" s="34">
        <v>1.0224615384615301</v>
      </c>
      <c r="O175" s="34">
        <v>1.0029086172027599</v>
      </c>
      <c r="P175" s="34">
        <v>1.02272297821364</v>
      </c>
      <c r="Q175" s="34">
        <v>1.0228157262937301</v>
      </c>
      <c r="R175" s="33">
        <v>32.594530059089799</v>
      </c>
      <c r="S175" s="33">
        <v>33.249888550340302</v>
      </c>
      <c r="T175" s="33">
        <v>33.219035325036401</v>
      </c>
      <c r="U175" s="15">
        <v>-1.9308597670560399E-2</v>
      </c>
      <c r="V175" s="15">
        <v>5.9833286028043405E-4</v>
      </c>
      <c r="W175" s="15">
        <v>-3.3001758443735598E-4</v>
      </c>
      <c r="X175" s="34">
        <v>1.0224615384615301</v>
      </c>
      <c r="Y175" s="34">
        <v>1.0029086172027599</v>
      </c>
      <c r="Z175" s="34">
        <v>1.02272297821364</v>
      </c>
      <c r="AA175" s="34">
        <v>1.0228157262937301</v>
      </c>
      <c r="AB175" s="33">
        <v>32.594530059089799</v>
      </c>
      <c r="AC175" s="33">
        <v>33.249888550340302</v>
      </c>
      <c r="AD175" s="33">
        <v>33.219035325036401</v>
      </c>
      <c r="AE175" s="15">
        <v>-1.9308597670560399E-2</v>
      </c>
      <c r="AF175" s="15">
        <v>5.9833286028043405E-4</v>
      </c>
      <c r="AG175" s="15">
        <v>-3.3001758443735598E-4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2.3651711011404456E-2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3.6665211031395549E-2</v>
      </c>
      <c r="BE175" s="29">
        <f t="shared" si="62"/>
        <v>0</v>
      </c>
      <c r="BF175" s="29">
        <f t="shared" si="63"/>
        <v>6.0316922042800016E-2</v>
      </c>
      <c r="BH175" s="29"/>
    </row>
    <row r="176" spans="1:60" x14ac:dyDescent="0.25">
      <c r="A176" s="1">
        <v>46279</v>
      </c>
      <c r="B176" s="33">
        <v>33.18</v>
      </c>
      <c r="C176" s="33">
        <v>33.83</v>
      </c>
      <c r="D176" s="15">
        <v>2.0707195426606501E-2</v>
      </c>
      <c r="E176" s="15">
        <v>1.7894900426114201E-2</v>
      </c>
      <c r="F176" s="33">
        <v>0</v>
      </c>
      <c r="G176" s="33">
        <v>0</v>
      </c>
      <c r="H176" s="33">
        <v>0</v>
      </c>
      <c r="I176" s="33">
        <v>0</v>
      </c>
      <c r="J176" s="33">
        <v>0</v>
      </c>
      <c r="K176" s="33">
        <v>0</v>
      </c>
      <c r="L176" s="33">
        <v>33.18</v>
      </c>
      <c r="M176" s="33">
        <v>33.83</v>
      </c>
      <c r="N176" s="34">
        <v>1.01959011452682</v>
      </c>
      <c r="O176" s="34">
        <v>1.0029086172027599</v>
      </c>
      <c r="P176" s="34">
        <v>1.0220179403113001</v>
      </c>
      <c r="Q176" s="34">
        <v>1.0232489410482499</v>
      </c>
      <c r="R176" s="33">
        <v>33.276507918787701</v>
      </c>
      <c r="S176" s="33">
        <v>33.933948417128803</v>
      </c>
      <c r="T176" s="33">
        <v>33.937025798426099</v>
      </c>
      <c r="U176" s="15">
        <v>-1.6496302670067998E-2</v>
      </c>
      <c r="V176" s="15">
        <v>3.0679587329342502E-3</v>
      </c>
      <c r="W176" s="15">
        <v>3.1586420135283101E-3</v>
      </c>
      <c r="X176" s="34">
        <v>1.01959011452682</v>
      </c>
      <c r="Y176" s="34">
        <v>1.0029086172027599</v>
      </c>
      <c r="Z176" s="34">
        <v>1.0220179403113001</v>
      </c>
      <c r="AA176" s="34">
        <v>1.0232489410482499</v>
      </c>
      <c r="AB176" s="33">
        <v>33.276507918787701</v>
      </c>
      <c r="AC176" s="33">
        <v>33.933948417128803</v>
      </c>
      <c r="AD176" s="33">
        <v>33.937025798426099</v>
      </c>
      <c r="AE176" s="15">
        <v>-1.6496302670067998E-2</v>
      </c>
      <c r="AF176" s="15">
        <v>3.0679587329342502E-3</v>
      </c>
      <c r="AG176" s="15">
        <v>3.1586420135283101E-3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2.3651711011404456E-2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3.6665211031395549E-2</v>
      </c>
      <c r="BE176" s="29">
        <f t="shared" si="62"/>
        <v>0</v>
      </c>
      <c r="BF176" s="29">
        <f t="shared" si="63"/>
        <v>6.0316922042800016E-2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2026-09-22T22:03:54Z</dcterms:created>
  <dcterms:modified xsi:type="dcterms:W3CDTF">2026-09-22T22:39:54Z</dcterms:modified>
</cp:coreProperties>
</file>