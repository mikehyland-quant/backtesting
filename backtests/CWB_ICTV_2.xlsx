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ADB5648F-8B57-4ED5-8597-9E877B16ED77}" xr6:coauthVersionLast="47" xr6:coauthVersionMax="47" xr10:uidLastSave="{00000000-0000-0000-0000-000000000000}"/>
  <bookViews>
    <workbookView xWindow="-108" yWindow="-108" windowWidth="23256" windowHeight="12456" xr2:uid="{DB0E9052-E157-43A5-9229-A98A1ADD1ECD}"/>
  </bookViews>
  <sheets>
    <sheet name="CWB_ICVT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F166" i="1" s="1"/>
  <c r="BD166" i="1" s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R160" i="1" s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F158" i="1" s="1"/>
  <c r="BD158" i="1" s="1"/>
  <c r="BQ156" i="1"/>
  <c r="BO156" i="1"/>
  <c r="BN156" i="1"/>
  <c r="BE156" i="1"/>
  <c r="BC156" i="1"/>
  <c r="BB156" i="1"/>
  <c r="BQ155" i="1"/>
  <c r="BO155" i="1"/>
  <c r="BN155" i="1"/>
  <c r="BR156" i="1" s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R154" i="1" s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R149" i="1" s="1"/>
  <c r="BE148" i="1"/>
  <c r="BC148" i="1"/>
  <c r="BB148" i="1"/>
  <c r="BQ147" i="1"/>
  <c r="BO147" i="1"/>
  <c r="BN147" i="1"/>
  <c r="BR148" i="1" s="1"/>
  <c r="BE147" i="1"/>
  <c r="BC147" i="1"/>
  <c r="BB147" i="1"/>
  <c r="BQ146" i="1"/>
  <c r="BO146" i="1"/>
  <c r="BN146" i="1"/>
  <c r="BR147" i="1" s="1"/>
  <c r="BE146" i="1"/>
  <c r="BC146" i="1"/>
  <c r="BB146" i="1"/>
  <c r="BQ145" i="1"/>
  <c r="BO145" i="1"/>
  <c r="BN145" i="1"/>
  <c r="BR146" i="1" s="1"/>
  <c r="BT146" i="1" s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R144" i="1" s="1"/>
  <c r="BP144" i="1" s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R141" i="1" s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R136" i="1" s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R134" i="1" s="1"/>
  <c r="BP134" i="1" s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R130" i="1" s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R126" i="1"/>
  <c r="BT126" i="1" s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F126" i="1" s="1"/>
  <c r="BQ124" i="1"/>
  <c r="BO124" i="1"/>
  <c r="BN124" i="1"/>
  <c r="BE124" i="1"/>
  <c r="BC124" i="1"/>
  <c r="BB124" i="1"/>
  <c r="BF125" i="1" s="1"/>
  <c r="BD125" i="1" s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R121" i="1" s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R118" i="1" s="1"/>
  <c r="BT118" i="1" s="1"/>
  <c r="BE117" i="1"/>
  <c r="BC117" i="1"/>
  <c r="BB117" i="1"/>
  <c r="BQ116" i="1"/>
  <c r="BO116" i="1"/>
  <c r="BN116" i="1"/>
  <c r="BR117" i="1" s="1"/>
  <c r="BT117" i="1" s="1"/>
  <c r="BE116" i="1"/>
  <c r="BC116" i="1"/>
  <c r="BB116" i="1"/>
  <c r="BQ115" i="1"/>
  <c r="BO115" i="1"/>
  <c r="BN115" i="1"/>
  <c r="BR116" i="1" s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R108" i="1" s="1"/>
  <c r="BS108" i="1" s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R103" i="1" s="1"/>
  <c r="BP103" i="1" s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R98" i="1"/>
  <c r="BS98" i="1" s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F95" i="1" s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F88" i="1" s="1"/>
  <c r="BH88" i="1" s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F86" i="1" s="1"/>
  <c r="BQ84" i="1"/>
  <c r="BO84" i="1"/>
  <c r="BN84" i="1"/>
  <c r="BR85" i="1" s="1"/>
  <c r="BP85" i="1" s="1"/>
  <c r="BE84" i="1"/>
  <c r="BC84" i="1"/>
  <c r="BB84" i="1"/>
  <c r="BQ83" i="1"/>
  <c r="BO83" i="1"/>
  <c r="BN83" i="1"/>
  <c r="BE83" i="1"/>
  <c r="BC83" i="1"/>
  <c r="BB83" i="1"/>
  <c r="BF84" i="1" s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R79" i="1" s="1"/>
  <c r="BS79" i="1" s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R71" i="1" s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F65" i="1" s="1"/>
  <c r="BH65" i="1" s="1"/>
  <c r="BQ63" i="1"/>
  <c r="BO63" i="1"/>
  <c r="BN63" i="1"/>
  <c r="BR64" i="1" s="1"/>
  <c r="BP64" i="1" s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F57" i="1" s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R53" i="1" s="1"/>
  <c r="BP53" i="1" s="1"/>
  <c r="BE52" i="1"/>
  <c r="BC52" i="1"/>
  <c r="BB52" i="1"/>
  <c r="BQ51" i="1"/>
  <c r="BO51" i="1"/>
  <c r="BN51" i="1"/>
  <c r="BR52" i="1" s="1"/>
  <c r="BP52" i="1" s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R48" i="1" s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R46" i="1" s="1"/>
  <c r="BE45" i="1"/>
  <c r="BC45" i="1"/>
  <c r="BB45" i="1"/>
  <c r="BQ44" i="1"/>
  <c r="BO44" i="1"/>
  <c r="BN44" i="1"/>
  <c r="BR45" i="1" s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F43" i="1" s="1"/>
  <c r="BQ41" i="1"/>
  <c r="BO41" i="1"/>
  <c r="BN41" i="1"/>
  <c r="BE41" i="1"/>
  <c r="BC41" i="1"/>
  <c r="BB41" i="1"/>
  <c r="BQ40" i="1"/>
  <c r="BO40" i="1"/>
  <c r="BN40" i="1"/>
  <c r="BR41" i="1" s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F27" i="1" s="1"/>
  <c r="BG27" i="1" s="1"/>
  <c r="BQ25" i="1"/>
  <c r="BO25" i="1"/>
  <c r="BN25" i="1"/>
  <c r="BE25" i="1"/>
  <c r="BC25" i="1"/>
  <c r="BB25" i="1"/>
  <c r="BQ24" i="1"/>
  <c r="BO24" i="1"/>
  <c r="BN24" i="1"/>
  <c r="BR25" i="1" s="1"/>
  <c r="BE24" i="1"/>
  <c r="BC24" i="1"/>
  <c r="BB24" i="1"/>
  <c r="BQ23" i="1"/>
  <c r="BO23" i="1"/>
  <c r="BN23" i="1"/>
  <c r="BE23" i="1"/>
  <c r="BC23" i="1"/>
  <c r="BB23" i="1"/>
  <c r="BF24" i="1" s="1"/>
  <c r="BD24" i="1" s="1"/>
  <c r="BR22" i="1"/>
  <c r="BT22" i="1" s="1"/>
  <c r="BQ22" i="1"/>
  <c r="BP22" i="1"/>
  <c r="BO22" i="1"/>
  <c r="BN22" i="1"/>
  <c r="BH22" i="1"/>
  <c r="BF22" i="1"/>
  <c r="BG22" i="1" s="1"/>
  <c r="BI22" i="1" s="1"/>
  <c r="BE22" i="1"/>
  <c r="BD22" i="1"/>
  <c r="BC22" i="1"/>
  <c r="BB22" i="1"/>
  <c r="BF23" i="1" s="1"/>
  <c r="BQ21" i="1"/>
  <c r="BE21" i="1"/>
  <c r="BT20" i="1"/>
  <c r="BS20" i="1"/>
  <c r="BH20" i="1"/>
  <c r="BG20" i="1"/>
  <c r="CL16" i="1"/>
  <c r="CN14" i="1"/>
  <c r="CO14" i="1" s="1"/>
  <c r="CP14" i="1" s="1"/>
  <c r="CL5" i="1"/>
  <c r="CL6" i="1" s="1"/>
  <c r="CL7" i="1" s="1"/>
  <c r="CL8" i="1" s="1"/>
  <c r="CL9" i="1" s="1"/>
  <c r="CL10" i="1" s="1"/>
  <c r="CL11" i="1" s="1"/>
  <c r="CQ3" i="1"/>
  <c r="CR3" i="1" s="1"/>
  <c r="CS3" i="1" s="1"/>
  <c r="CT3" i="1" s="1"/>
  <c r="CN3" i="1"/>
  <c r="CO3" i="1" s="1"/>
  <c r="CP3" i="1" s="1"/>
  <c r="BR99" i="1" l="1"/>
  <c r="BR34" i="1"/>
  <c r="BT34" i="1" s="1"/>
  <c r="BR58" i="1"/>
  <c r="BT58" i="1" s="1"/>
  <c r="BR56" i="1"/>
  <c r="BP56" i="1" s="1"/>
  <c r="BR70" i="1"/>
  <c r="BS70" i="1" s="1"/>
  <c r="BR40" i="1"/>
  <c r="BP40" i="1" s="1"/>
  <c r="BR80" i="1"/>
  <c r="BR55" i="1"/>
  <c r="BS55" i="1" s="1"/>
  <c r="BR142" i="1"/>
  <c r="BS142" i="1" s="1"/>
  <c r="BF39" i="1"/>
  <c r="BF50" i="1"/>
  <c r="BR157" i="1"/>
  <c r="BP157" i="1" s="1"/>
  <c r="BR107" i="1"/>
  <c r="BS107" i="1" s="1"/>
  <c r="BR59" i="1"/>
  <c r="BT59" i="1" s="1"/>
  <c r="BR115" i="1"/>
  <c r="BS115" i="1" s="1"/>
  <c r="BR44" i="1"/>
  <c r="BP44" i="1" s="1"/>
  <c r="BR51" i="1"/>
  <c r="BP51" i="1" s="1"/>
  <c r="BR83" i="1"/>
  <c r="BP83" i="1" s="1"/>
  <c r="BR106" i="1"/>
  <c r="BT106" i="1" s="1"/>
  <c r="BF133" i="1"/>
  <c r="BH133" i="1" s="1"/>
  <c r="BF28" i="1"/>
  <c r="BF29" i="1"/>
  <c r="BG29" i="1" s="1"/>
  <c r="BF31" i="1"/>
  <c r="BH31" i="1" s="1"/>
  <c r="BF32" i="1"/>
  <c r="BH32" i="1" s="1"/>
  <c r="BF33" i="1"/>
  <c r="BG33" i="1" s="1"/>
  <c r="BR29" i="1"/>
  <c r="BS29" i="1" s="1"/>
  <c r="BR42" i="1"/>
  <c r="BT42" i="1" s="1"/>
  <c r="BR49" i="1"/>
  <c r="BS49" i="1" s="1"/>
  <c r="BR60" i="1"/>
  <c r="BT60" i="1" s="1"/>
  <c r="BR93" i="1"/>
  <c r="BP93" i="1" s="1"/>
  <c r="BR127" i="1"/>
  <c r="BP127" i="1" s="1"/>
  <c r="BR155" i="1"/>
  <c r="BS155" i="1" s="1"/>
  <c r="BR36" i="1"/>
  <c r="BS36" i="1" s="1"/>
  <c r="BF74" i="1"/>
  <c r="BH74" i="1" s="1"/>
  <c r="BF147" i="1"/>
  <c r="BD147" i="1" s="1"/>
  <c r="BF163" i="1"/>
  <c r="BD163" i="1" s="1"/>
  <c r="BF152" i="1"/>
  <c r="BG152" i="1" s="1"/>
  <c r="BF66" i="1"/>
  <c r="BH66" i="1" s="1"/>
  <c r="BF154" i="1"/>
  <c r="BH154" i="1" s="1"/>
  <c r="BF162" i="1"/>
  <c r="BH162" i="1" s="1"/>
  <c r="BF136" i="1"/>
  <c r="BG136" i="1" s="1"/>
  <c r="BF161" i="1"/>
  <c r="BH161" i="1" s="1"/>
  <c r="BF36" i="1"/>
  <c r="BG36" i="1" s="1"/>
  <c r="BF89" i="1"/>
  <c r="BD89" i="1" s="1"/>
  <c r="BF53" i="1"/>
  <c r="BD53" i="1" s="1"/>
  <c r="BF112" i="1"/>
  <c r="BD112" i="1" s="1"/>
  <c r="BF130" i="1"/>
  <c r="BD130" i="1" s="1"/>
  <c r="BF137" i="1"/>
  <c r="BH137" i="1" s="1"/>
  <c r="BF117" i="1"/>
  <c r="BD117" i="1" s="1"/>
  <c r="BF142" i="1"/>
  <c r="BG142" i="1" s="1"/>
  <c r="BF160" i="1"/>
  <c r="BH160" i="1" s="1"/>
  <c r="BF141" i="1"/>
  <c r="BH141" i="1" s="1"/>
  <c r="BF87" i="1"/>
  <c r="BH87" i="1" s="1"/>
  <c r="BF38" i="1"/>
  <c r="BH38" i="1" s="1"/>
  <c r="BF114" i="1"/>
  <c r="BH114" i="1" s="1"/>
  <c r="BF145" i="1"/>
  <c r="BH145" i="1" s="1"/>
  <c r="BF156" i="1"/>
  <c r="BH156" i="1" s="1"/>
  <c r="BF167" i="1"/>
  <c r="BG167" i="1" s="1"/>
  <c r="BF128" i="1"/>
  <c r="BH128" i="1" s="1"/>
  <c r="BG158" i="1"/>
  <c r="BH158" i="1"/>
  <c r="BF44" i="1"/>
  <c r="BF46" i="1"/>
  <c r="BF82" i="1"/>
  <c r="BH82" i="1" s="1"/>
  <c r="BF151" i="1"/>
  <c r="BD151" i="1" s="1"/>
  <c r="BF159" i="1"/>
  <c r="BD159" i="1" s="1"/>
  <c r="BF55" i="1"/>
  <c r="BD55" i="1" s="1"/>
  <c r="BF109" i="1"/>
  <c r="BD109" i="1" s="1"/>
  <c r="BF118" i="1"/>
  <c r="BH118" i="1" s="1"/>
  <c r="BF140" i="1"/>
  <c r="BH140" i="1" s="1"/>
  <c r="BT80" i="1"/>
  <c r="BP80" i="1"/>
  <c r="BR81" i="1" s="1"/>
  <c r="BR24" i="1"/>
  <c r="BT24" i="1" s="1"/>
  <c r="BP98" i="1"/>
  <c r="BP126" i="1"/>
  <c r="BR123" i="1"/>
  <c r="BS123" i="1" s="1"/>
  <c r="BR104" i="1"/>
  <c r="BS104" i="1" s="1"/>
  <c r="BR145" i="1"/>
  <c r="BT145" i="1" s="1"/>
  <c r="BR89" i="1"/>
  <c r="BT89" i="1" s="1"/>
  <c r="BR161" i="1"/>
  <c r="BS161" i="1" s="1"/>
  <c r="BR32" i="1"/>
  <c r="BP32" i="1" s="1"/>
  <c r="BR26" i="1"/>
  <c r="BP26" i="1" s="1"/>
  <c r="BR131" i="1"/>
  <c r="BS131" i="1" s="1"/>
  <c r="BP115" i="1"/>
  <c r="BT115" i="1"/>
  <c r="BR31" i="1"/>
  <c r="BS31" i="1" s="1"/>
  <c r="BR33" i="1"/>
  <c r="BT33" i="1" s="1"/>
  <c r="BT103" i="1"/>
  <c r="BR57" i="1"/>
  <c r="BT57" i="1" s="1"/>
  <c r="BR135" i="1"/>
  <c r="BS135" i="1" s="1"/>
  <c r="BS80" i="1"/>
  <c r="BU80" i="1" s="1"/>
  <c r="BR92" i="1"/>
  <c r="BS92" i="1" s="1"/>
  <c r="BS134" i="1"/>
  <c r="BR23" i="1"/>
  <c r="BR105" i="1"/>
  <c r="BP105" i="1" s="1"/>
  <c r="BS126" i="1"/>
  <c r="BU126" i="1" s="1"/>
  <c r="BR163" i="1"/>
  <c r="BP163" i="1" s="1"/>
  <c r="BR86" i="1"/>
  <c r="BS86" i="1" s="1"/>
  <c r="BT98" i="1"/>
  <c r="BU98" i="1" s="1"/>
  <c r="BR54" i="1"/>
  <c r="BR91" i="1"/>
  <c r="BT91" i="1" s="1"/>
  <c r="BR35" i="1"/>
  <c r="BP35" i="1" s="1"/>
  <c r="BR114" i="1"/>
  <c r="BS114" i="1" s="1"/>
  <c r="BR124" i="1"/>
  <c r="BT124" i="1" s="1"/>
  <c r="BR166" i="1"/>
  <c r="BS166" i="1" s="1"/>
  <c r="BR110" i="1"/>
  <c r="BT110" i="1" s="1"/>
  <c r="BR158" i="1"/>
  <c r="BS158" i="1" s="1"/>
  <c r="BR47" i="1"/>
  <c r="BT47" i="1" s="1"/>
  <c r="BR68" i="1"/>
  <c r="BP68" i="1" s="1"/>
  <c r="BR152" i="1"/>
  <c r="BS152" i="1" s="1"/>
  <c r="BR75" i="1"/>
  <c r="BT75" i="1" s="1"/>
  <c r="BR119" i="1"/>
  <c r="BT119" i="1" s="1"/>
  <c r="BT134" i="1"/>
  <c r="BR28" i="1"/>
  <c r="BS28" i="1" s="1"/>
  <c r="BR63" i="1"/>
  <c r="BS63" i="1" s="1"/>
  <c r="BR87" i="1"/>
  <c r="BT87" i="1" s="1"/>
  <c r="BR120" i="1"/>
  <c r="BT120" i="1" s="1"/>
  <c r="BR151" i="1"/>
  <c r="BP151" i="1" s="1"/>
  <c r="BR162" i="1"/>
  <c r="BS162" i="1" s="1"/>
  <c r="BF155" i="1"/>
  <c r="BH155" i="1" s="1"/>
  <c r="BF92" i="1"/>
  <c r="BD92" i="1" s="1"/>
  <c r="BF93" i="1" s="1"/>
  <c r="BF42" i="1"/>
  <c r="BH42" i="1" s="1"/>
  <c r="BF52" i="1"/>
  <c r="BH52" i="1" s="1"/>
  <c r="BF72" i="1"/>
  <c r="BG72" i="1" s="1"/>
  <c r="BF106" i="1"/>
  <c r="BD106" i="1" s="1"/>
  <c r="BF116" i="1"/>
  <c r="BD116" i="1" s="1"/>
  <c r="BF164" i="1"/>
  <c r="BF99" i="1"/>
  <c r="BD99" i="1" s="1"/>
  <c r="BF100" i="1" s="1"/>
  <c r="BG100" i="1" s="1"/>
  <c r="BF108" i="1"/>
  <c r="BD108" i="1" s="1"/>
  <c r="BF134" i="1"/>
  <c r="BG134" i="1" s="1"/>
  <c r="BF77" i="1"/>
  <c r="BD77" i="1" s="1"/>
  <c r="BF79" i="1"/>
  <c r="BH79" i="1" s="1"/>
  <c r="BF144" i="1"/>
  <c r="BD144" i="1" s="1"/>
  <c r="BF150" i="1"/>
  <c r="BD150" i="1" s="1"/>
  <c r="BF35" i="1"/>
  <c r="BD35" i="1" s="1"/>
  <c r="BF73" i="1"/>
  <c r="BH73" i="1" s="1"/>
  <c r="BF148" i="1"/>
  <c r="BD148" i="1" s="1"/>
  <c r="BG74" i="1"/>
  <c r="BI74" i="1" s="1"/>
  <c r="BF83" i="1"/>
  <c r="BG83" i="1" s="1"/>
  <c r="BF105" i="1"/>
  <c r="BG105" i="1" s="1"/>
  <c r="BF165" i="1"/>
  <c r="BG165" i="1" s="1"/>
  <c r="BF80" i="1"/>
  <c r="BF131" i="1"/>
  <c r="BD131" i="1" s="1"/>
  <c r="BF143" i="1"/>
  <c r="BG143" i="1" s="1"/>
  <c r="BF45" i="1"/>
  <c r="BD45" i="1" s="1"/>
  <c r="BF41" i="1"/>
  <c r="BF63" i="1"/>
  <c r="BD63" i="1" s="1"/>
  <c r="BF67" i="1"/>
  <c r="BD67" i="1" s="1"/>
  <c r="BF69" i="1"/>
  <c r="BD69" i="1" s="1"/>
  <c r="BF101" i="1"/>
  <c r="BH101" i="1" s="1"/>
  <c r="BF103" i="1"/>
  <c r="BG103" i="1" s="1"/>
  <c r="BF127" i="1"/>
  <c r="BG127" i="1" s="1"/>
  <c r="BD23" i="1"/>
  <c r="BG23" i="1"/>
  <c r="BH23" i="1"/>
  <c r="BP41" i="1"/>
  <c r="BT41" i="1"/>
  <c r="BS41" i="1"/>
  <c r="BT116" i="1"/>
  <c r="BS116" i="1"/>
  <c r="BP116" i="1"/>
  <c r="BS34" i="1"/>
  <c r="BU34" i="1" s="1"/>
  <c r="BS46" i="1"/>
  <c r="BT46" i="1"/>
  <c r="BH39" i="1"/>
  <c r="BG39" i="1"/>
  <c r="BD39" i="1"/>
  <c r="BF64" i="1"/>
  <c r="BD84" i="1"/>
  <c r="BG84" i="1"/>
  <c r="BH84" i="1"/>
  <c r="BP48" i="1"/>
  <c r="BT48" i="1"/>
  <c r="BH50" i="1"/>
  <c r="BG50" i="1"/>
  <c r="BD50" i="1"/>
  <c r="BH28" i="1"/>
  <c r="BD28" i="1"/>
  <c r="BS40" i="1"/>
  <c r="BT40" i="1"/>
  <c r="BH33" i="1"/>
  <c r="BD33" i="1"/>
  <c r="BS48" i="1"/>
  <c r="BH126" i="1"/>
  <c r="BG126" i="1"/>
  <c r="BD126" i="1"/>
  <c r="BP25" i="1"/>
  <c r="BT25" i="1"/>
  <c r="BR27" i="1"/>
  <c r="BR73" i="1"/>
  <c r="BH24" i="1"/>
  <c r="BG24" i="1"/>
  <c r="BI24" i="1" s="1"/>
  <c r="BS25" i="1"/>
  <c r="BD88" i="1"/>
  <c r="BG88" i="1"/>
  <c r="BI88" i="1" s="1"/>
  <c r="BD95" i="1"/>
  <c r="BH95" i="1"/>
  <c r="BG95" i="1"/>
  <c r="BG32" i="1"/>
  <c r="BD154" i="1"/>
  <c r="BG154" i="1"/>
  <c r="BH29" i="1"/>
  <c r="BI29" i="1" s="1"/>
  <c r="BD29" i="1"/>
  <c r="BH43" i="1"/>
  <c r="BG43" i="1"/>
  <c r="BD43" i="1"/>
  <c r="BG147" i="1"/>
  <c r="BH147" i="1"/>
  <c r="CQ14" i="1"/>
  <c r="BG31" i="1"/>
  <c r="BS53" i="1"/>
  <c r="BT53" i="1"/>
  <c r="BT45" i="1"/>
  <c r="BS45" i="1"/>
  <c r="BP45" i="1"/>
  <c r="BP34" i="1"/>
  <c r="BP46" i="1"/>
  <c r="BS58" i="1"/>
  <c r="BU58" i="1" s="1"/>
  <c r="BP131" i="1"/>
  <c r="BR132" i="1" s="1"/>
  <c r="BJ22" i="1"/>
  <c r="BG28" i="1"/>
  <c r="BT55" i="1"/>
  <c r="BU55" i="1" s="1"/>
  <c r="BR66" i="1"/>
  <c r="CL17" i="1"/>
  <c r="BT35" i="1"/>
  <c r="BS35" i="1"/>
  <c r="BU35" i="1" s="1"/>
  <c r="BF85" i="1"/>
  <c r="BT79" i="1"/>
  <c r="BU79" i="1" s="1"/>
  <c r="BP79" i="1"/>
  <c r="BT130" i="1"/>
  <c r="BS130" i="1"/>
  <c r="BF34" i="1"/>
  <c r="BR37" i="1"/>
  <c r="BF51" i="1"/>
  <c r="BR62" i="1"/>
  <c r="BT160" i="1"/>
  <c r="BS160" i="1"/>
  <c r="BP160" i="1"/>
  <c r="BF70" i="1"/>
  <c r="BT71" i="1"/>
  <c r="BS71" i="1"/>
  <c r="BP71" i="1"/>
  <c r="BR72" i="1" s="1"/>
  <c r="BR74" i="1"/>
  <c r="BS121" i="1"/>
  <c r="BT121" i="1"/>
  <c r="BP121" i="1"/>
  <c r="BT147" i="1"/>
  <c r="BS147" i="1"/>
  <c r="BU147" i="1" s="1"/>
  <c r="BP147" i="1"/>
  <c r="BD141" i="1"/>
  <c r="BG141" i="1"/>
  <c r="BT52" i="1"/>
  <c r="BS52" i="1"/>
  <c r="BT64" i="1"/>
  <c r="BS64" i="1"/>
  <c r="BU64" i="1" s="1"/>
  <c r="BP130" i="1"/>
  <c r="BS154" i="1"/>
  <c r="BT154" i="1"/>
  <c r="BP154" i="1"/>
  <c r="BF56" i="1"/>
  <c r="BD57" i="1"/>
  <c r="BF58" i="1" s="1"/>
  <c r="BG57" i="1"/>
  <c r="BD162" i="1"/>
  <c r="BG162" i="1"/>
  <c r="BS22" i="1"/>
  <c r="BU22" i="1" s="1"/>
  <c r="BD27" i="1"/>
  <c r="BH27" i="1"/>
  <c r="BI27" i="1" s="1"/>
  <c r="BF37" i="1"/>
  <c r="BF40" i="1"/>
  <c r="BH57" i="1"/>
  <c r="BP107" i="1"/>
  <c r="BT107" i="1"/>
  <c r="BS118" i="1"/>
  <c r="BU118" i="1" s="1"/>
  <c r="BP118" i="1"/>
  <c r="BR128" i="1"/>
  <c r="BS156" i="1"/>
  <c r="BP156" i="1"/>
  <c r="BT156" i="1"/>
  <c r="BT136" i="1"/>
  <c r="BS136" i="1"/>
  <c r="BP136" i="1"/>
  <c r="BR137" i="1" s="1"/>
  <c r="BF30" i="1"/>
  <c r="BF62" i="1"/>
  <c r="BD66" i="1"/>
  <c r="BG66" i="1"/>
  <c r="BH125" i="1"/>
  <c r="BG125" i="1"/>
  <c r="BF25" i="1"/>
  <c r="BR61" i="1"/>
  <c r="BF71" i="1"/>
  <c r="BR76" i="1"/>
  <c r="BR77" i="1"/>
  <c r="BF104" i="1"/>
  <c r="BF110" i="1"/>
  <c r="BR111" i="1"/>
  <c r="BF113" i="1"/>
  <c r="BF139" i="1"/>
  <c r="BF146" i="1"/>
  <c r="BP70" i="1"/>
  <c r="BT85" i="1"/>
  <c r="BS85" i="1"/>
  <c r="BF107" i="1"/>
  <c r="BG133" i="1"/>
  <c r="BD65" i="1"/>
  <c r="BG65" i="1"/>
  <c r="BI65" i="1" s="1"/>
  <c r="BF81" i="1"/>
  <c r="BR88" i="1"/>
  <c r="BP108" i="1"/>
  <c r="BR109" i="1" s="1"/>
  <c r="BT109" i="1" s="1"/>
  <c r="BP117" i="1"/>
  <c r="BS117" i="1"/>
  <c r="BU117" i="1" s="1"/>
  <c r="BR122" i="1"/>
  <c r="BF132" i="1"/>
  <c r="BF75" i="1"/>
  <c r="BF76" i="1"/>
  <c r="BP99" i="1"/>
  <c r="BS99" i="1"/>
  <c r="BR43" i="1"/>
  <c r="BF47" i="1"/>
  <c r="BR50" i="1"/>
  <c r="BF54" i="1"/>
  <c r="BT70" i="1"/>
  <c r="BU70" i="1" s="1"/>
  <c r="BH86" i="1"/>
  <c r="BG86" i="1"/>
  <c r="BD86" i="1"/>
  <c r="BT99" i="1"/>
  <c r="BT108" i="1"/>
  <c r="BU108" i="1" s="1"/>
  <c r="BF115" i="1"/>
  <c r="BP141" i="1"/>
  <c r="BS141" i="1"/>
  <c r="BR164" i="1"/>
  <c r="BR65" i="1"/>
  <c r="BR67" i="1"/>
  <c r="BR84" i="1"/>
  <c r="BS93" i="1"/>
  <c r="BT141" i="1"/>
  <c r="BF68" i="1"/>
  <c r="BF97" i="1"/>
  <c r="BF149" i="1"/>
  <c r="BF157" i="1"/>
  <c r="BR90" i="1"/>
  <c r="BR95" i="1"/>
  <c r="BR102" i="1"/>
  <c r="BF129" i="1"/>
  <c r="BR153" i="1"/>
  <c r="BT144" i="1"/>
  <c r="BS144" i="1"/>
  <c r="BU144" i="1" s="1"/>
  <c r="BP146" i="1"/>
  <c r="BG163" i="1"/>
  <c r="BH163" i="1"/>
  <c r="BH166" i="1"/>
  <c r="BG166" i="1"/>
  <c r="BR94" i="1"/>
  <c r="BR100" i="1"/>
  <c r="BP148" i="1"/>
  <c r="BT148" i="1"/>
  <c r="BR69" i="1"/>
  <c r="BF78" i="1"/>
  <c r="BR101" i="1"/>
  <c r="BR139" i="1"/>
  <c r="BS146" i="1"/>
  <c r="BU146" i="1" s="1"/>
  <c r="BS148" i="1"/>
  <c r="BS149" i="1"/>
  <c r="BP149" i="1"/>
  <c r="BF61" i="1"/>
  <c r="BS103" i="1"/>
  <c r="BR125" i="1"/>
  <c r="BT149" i="1"/>
  <c r="BR96" i="1"/>
  <c r="BR97" i="1"/>
  <c r="BF111" i="1"/>
  <c r="BF135" i="1"/>
  <c r="BF90" i="1"/>
  <c r="BF153" i="1"/>
  <c r="BR167" i="1"/>
  <c r="BF96" i="1"/>
  <c r="BF124" i="1"/>
  <c r="BF138" i="1"/>
  <c r="BR150" i="1"/>
  <c r="BU160" i="1" l="1"/>
  <c r="BT56" i="1"/>
  <c r="BP59" i="1"/>
  <c r="BS157" i="1"/>
  <c r="BT157" i="1"/>
  <c r="BP142" i="1"/>
  <c r="BR143" i="1" s="1"/>
  <c r="BS44" i="1"/>
  <c r="BP58" i="1"/>
  <c r="BS59" i="1"/>
  <c r="BU59" i="1" s="1"/>
  <c r="BS56" i="1"/>
  <c r="BU56" i="1" s="1"/>
  <c r="BP81" i="1"/>
  <c r="BR82" i="1" s="1"/>
  <c r="BT81" i="1"/>
  <c r="BU81" i="1" s="1"/>
  <c r="BU85" i="1"/>
  <c r="BU116" i="1"/>
  <c r="BT127" i="1"/>
  <c r="BS83" i="1"/>
  <c r="BS110" i="1"/>
  <c r="BP29" i="1"/>
  <c r="BR30" i="1" s="1"/>
  <c r="BT30" i="1" s="1"/>
  <c r="BP63" i="1"/>
  <c r="BS51" i="1"/>
  <c r="BP42" i="1"/>
  <c r="BP49" i="1"/>
  <c r="BS57" i="1"/>
  <c r="BU57" i="1" s="1"/>
  <c r="BT142" i="1"/>
  <c r="BU142" i="1" s="1"/>
  <c r="BP57" i="1"/>
  <c r="BT51" i="1"/>
  <c r="BT44" i="1"/>
  <c r="BU44" i="1" s="1"/>
  <c r="BS26" i="1"/>
  <c r="BT93" i="1"/>
  <c r="BP55" i="1"/>
  <c r="BT83" i="1"/>
  <c r="BP87" i="1"/>
  <c r="BD133" i="1"/>
  <c r="BD74" i="1"/>
  <c r="BI33" i="1"/>
  <c r="BD114" i="1"/>
  <c r="BG114" i="1"/>
  <c r="BI39" i="1"/>
  <c r="BI133" i="1"/>
  <c r="BD31" i="1"/>
  <c r="BG160" i="1"/>
  <c r="BI160" i="1" s="1"/>
  <c r="BX160" i="1" s="1"/>
  <c r="BI166" i="1"/>
  <c r="BP110" i="1"/>
  <c r="BS106" i="1"/>
  <c r="BU106" i="1" s="1"/>
  <c r="BT155" i="1"/>
  <c r="BP155" i="1"/>
  <c r="BS120" i="1"/>
  <c r="BU120" i="1" s="1"/>
  <c r="BT49" i="1"/>
  <c r="BU49" i="1" s="1"/>
  <c r="BP106" i="1"/>
  <c r="BU157" i="1"/>
  <c r="BT29" i="1"/>
  <c r="BU29" i="1" s="1"/>
  <c r="BX29" i="1" s="1"/>
  <c r="BU25" i="1"/>
  <c r="BT104" i="1"/>
  <c r="BU104" i="1" s="1"/>
  <c r="BS24" i="1"/>
  <c r="BU24" i="1" s="1"/>
  <c r="BX24" i="1" s="1"/>
  <c r="BT63" i="1"/>
  <c r="BU63" i="1" s="1"/>
  <c r="BS81" i="1"/>
  <c r="BS127" i="1"/>
  <c r="BT26" i="1"/>
  <c r="BD136" i="1"/>
  <c r="BD32" i="1"/>
  <c r="BG131" i="1"/>
  <c r="BG109" i="1"/>
  <c r="BH127" i="1"/>
  <c r="BI127" i="1" s="1"/>
  <c r="BI32" i="1"/>
  <c r="BD36" i="1"/>
  <c r="BH109" i="1"/>
  <c r="BI125" i="1"/>
  <c r="BP104" i="1"/>
  <c r="BS163" i="1"/>
  <c r="BS87" i="1"/>
  <c r="BU87" i="1" s="1"/>
  <c r="BP120" i="1"/>
  <c r="BU45" i="1"/>
  <c r="BP162" i="1"/>
  <c r="BT36" i="1"/>
  <c r="BU36" i="1" s="1"/>
  <c r="BT92" i="1"/>
  <c r="BU92" i="1" s="1"/>
  <c r="BP36" i="1"/>
  <c r="BT123" i="1"/>
  <c r="BU123" i="1" s="1"/>
  <c r="BP60" i="1"/>
  <c r="BS60" i="1"/>
  <c r="BU60" i="1" s="1"/>
  <c r="BT163" i="1"/>
  <c r="BU115" i="1"/>
  <c r="BT166" i="1"/>
  <c r="BU166" i="1" s="1"/>
  <c r="BP92" i="1"/>
  <c r="BS151" i="1"/>
  <c r="BP166" i="1"/>
  <c r="BT131" i="1"/>
  <c r="BU131" i="1" s="1"/>
  <c r="BT151" i="1"/>
  <c r="BS42" i="1"/>
  <c r="BU42" i="1" s="1"/>
  <c r="BI114" i="1"/>
  <c r="BI50" i="1"/>
  <c r="BG89" i="1"/>
  <c r="BD167" i="1"/>
  <c r="BG130" i="1"/>
  <c r="BH152" i="1"/>
  <c r="BI152" i="1" s="1"/>
  <c r="BD152" i="1"/>
  <c r="BG161" i="1"/>
  <c r="BI161" i="1" s="1"/>
  <c r="BD161" i="1"/>
  <c r="BI43" i="1"/>
  <c r="BG53" i="1"/>
  <c r="BH89" i="1"/>
  <c r="BH159" i="1"/>
  <c r="BD140" i="1"/>
  <c r="BG79" i="1"/>
  <c r="BI79" i="1" s="1"/>
  <c r="BX79" i="1" s="1"/>
  <c r="BG159" i="1"/>
  <c r="BD79" i="1"/>
  <c r="BH136" i="1"/>
  <c r="BI136" i="1" s="1"/>
  <c r="BH130" i="1"/>
  <c r="BD137" i="1"/>
  <c r="BH167" i="1"/>
  <c r="BI167" i="1" s="1"/>
  <c r="BI66" i="1"/>
  <c r="BH53" i="1"/>
  <c r="BG117" i="1"/>
  <c r="BG55" i="1"/>
  <c r="BG137" i="1"/>
  <c r="BI137" i="1" s="1"/>
  <c r="BH112" i="1"/>
  <c r="BH55" i="1"/>
  <c r="BD142" i="1"/>
  <c r="BG112" i="1"/>
  <c r="BD72" i="1"/>
  <c r="BH117" i="1"/>
  <c r="BD160" i="1"/>
  <c r="BH36" i="1"/>
  <c r="BI36" i="1" s="1"/>
  <c r="BH142" i="1"/>
  <c r="BI142" i="1" s="1"/>
  <c r="BH58" i="1"/>
  <c r="BG58" i="1"/>
  <c r="BD58" i="1"/>
  <c r="BF59" i="1" s="1"/>
  <c r="BG151" i="1"/>
  <c r="BH100" i="1"/>
  <c r="BI100" i="1" s="1"/>
  <c r="BI141" i="1"/>
  <c r="BH151" i="1"/>
  <c r="BD100" i="1"/>
  <c r="BH99" i="1"/>
  <c r="BG73" i="1"/>
  <c r="BI73" i="1" s="1"/>
  <c r="BD73" i="1"/>
  <c r="BG148" i="1"/>
  <c r="BG63" i="1"/>
  <c r="BH148" i="1"/>
  <c r="BH143" i="1"/>
  <c r="BI143" i="1" s="1"/>
  <c r="BH63" i="1"/>
  <c r="BG155" i="1"/>
  <c r="BI155" i="1" s="1"/>
  <c r="BD87" i="1"/>
  <c r="BG67" i="1"/>
  <c r="BD155" i="1"/>
  <c r="BG87" i="1"/>
  <c r="BI87" i="1" s="1"/>
  <c r="BX87" i="1" s="1"/>
  <c r="BH67" i="1"/>
  <c r="BG140" i="1"/>
  <c r="BI140" i="1" s="1"/>
  <c r="BI28" i="1"/>
  <c r="BD128" i="1"/>
  <c r="BG82" i="1"/>
  <c r="BI82" i="1" s="1"/>
  <c r="BH131" i="1"/>
  <c r="BH46" i="1"/>
  <c r="BG46" i="1"/>
  <c r="BI46" i="1" s="1"/>
  <c r="BD82" i="1"/>
  <c r="BD46" i="1"/>
  <c r="BD44" i="1"/>
  <c r="BH44" i="1"/>
  <c r="BI57" i="1"/>
  <c r="BI158" i="1"/>
  <c r="BG128" i="1"/>
  <c r="BI128" i="1" s="1"/>
  <c r="BD52" i="1"/>
  <c r="BI147" i="1"/>
  <c r="BX147" i="1" s="1"/>
  <c r="BG35" i="1"/>
  <c r="BD118" i="1"/>
  <c r="BF119" i="1" s="1"/>
  <c r="BG118" i="1"/>
  <c r="BI118" i="1" s="1"/>
  <c r="BX118" i="1" s="1"/>
  <c r="BG69" i="1"/>
  <c r="BD145" i="1"/>
  <c r="BD38" i="1"/>
  <c r="BG38" i="1"/>
  <c r="BI38" i="1" s="1"/>
  <c r="BH165" i="1"/>
  <c r="BI165" i="1" s="1"/>
  <c r="BH69" i="1"/>
  <c r="BG145" i="1"/>
  <c r="BI145" i="1" s="1"/>
  <c r="BD165" i="1"/>
  <c r="BD156" i="1"/>
  <c r="BG99" i="1"/>
  <c r="BG92" i="1"/>
  <c r="BD127" i="1"/>
  <c r="BG44" i="1"/>
  <c r="BI162" i="1"/>
  <c r="BH72" i="1"/>
  <c r="BI72" i="1" s="1"/>
  <c r="BG156" i="1"/>
  <c r="BI156" i="1" s="1"/>
  <c r="BP161" i="1"/>
  <c r="BP75" i="1"/>
  <c r="BS145" i="1"/>
  <c r="BU145" i="1" s="1"/>
  <c r="BT161" i="1"/>
  <c r="BU161" i="1" s="1"/>
  <c r="BP89" i="1"/>
  <c r="BP145" i="1"/>
  <c r="BP123" i="1"/>
  <c r="BT31" i="1"/>
  <c r="BU31" i="1" s="1"/>
  <c r="BT32" i="1"/>
  <c r="BS32" i="1"/>
  <c r="BU32" i="1" s="1"/>
  <c r="BT114" i="1"/>
  <c r="BU114" i="1" s="1"/>
  <c r="BT158" i="1"/>
  <c r="BU158" i="1" s="1"/>
  <c r="BP124" i="1"/>
  <c r="BP24" i="1"/>
  <c r="BT162" i="1"/>
  <c r="BP114" i="1"/>
  <c r="BS75" i="1"/>
  <c r="BU75" i="1" s="1"/>
  <c r="BS89" i="1"/>
  <c r="BU89" i="1" s="1"/>
  <c r="BP31" i="1"/>
  <c r="BU136" i="1"/>
  <c r="BT105" i="1"/>
  <c r="BU71" i="1"/>
  <c r="BU130" i="1"/>
  <c r="BU41" i="1"/>
  <c r="BU134" i="1"/>
  <c r="BT28" i="1"/>
  <c r="BU28" i="1" s="1"/>
  <c r="BP86" i="1"/>
  <c r="BU26" i="1"/>
  <c r="BS47" i="1"/>
  <c r="BU47" i="1" s="1"/>
  <c r="BP47" i="1"/>
  <c r="BT23" i="1"/>
  <c r="BS23" i="1"/>
  <c r="BU23" i="1" s="1"/>
  <c r="BS54" i="1"/>
  <c r="BP54" i="1"/>
  <c r="BP28" i="1"/>
  <c r="BP135" i="1"/>
  <c r="BP91" i="1"/>
  <c r="BS91" i="1"/>
  <c r="BU91" i="1" s="1"/>
  <c r="BT86" i="1"/>
  <c r="BU86" i="1" s="1"/>
  <c r="BS68" i="1"/>
  <c r="BP119" i="1"/>
  <c r="BT68" i="1"/>
  <c r="BS119" i="1"/>
  <c r="BU119" i="1" s="1"/>
  <c r="BU103" i="1"/>
  <c r="BP158" i="1"/>
  <c r="BR159" i="1" s="1"/>
  <c r="BP159" i="1" s="1"/>
  <c r="BS124" i="1"/>
  <c r="BU124" i="1" s="1"/>
  <c r="BS109" i="1"/>
  <c r="BU109" i="1" s="1"/>
  <c r="BP109" i="1"/>
  <c r="BP33" i="1"/>
  <c r="BS33" i="1"/>
  <c r="BU33" i="1" s="1"/>
  <c r="BX33" i="1" s="1"/>
  <c r="BP152" i="1"/>
  <c r="BT54" i="1"/>
  <c r="BT135" i="1"/>
  <c r="BU135" i="1" s="1"/>
  <c r="BT152" i="1"/>
  <c r="BU152" i="1" s="1"/>
  <c r="BX152" i="1" s="1"/>
  <c r="BP23" i="1"/>
  <c r="BS105" i="1"/>
  <c r="BH116" i="1"/>
  <c r="BH35" i="1"/>
  <c r="BH150" i="1"/>
  <c r="BG150" i="1"/>
  <c r="BG116" i="1"/>
  <c r="BD80" i="1"/>
  <c r="BH80" i="1"/>
  <c r="BH106" i="1"/>
  <c r="BH105" i="1"/>
  <c r="BI105" i="1" s="1"/>
  <c r="BH77" i="1"/>
  <c r="BG77" i="1"/>
  <c r="BI77" i="1" s="1"/>
  <c r="BH92" i="1"/>
  <c r="BD105" i="1"/>
  <c r="BI154" i="1"/>
  <c r="BG144" i="1"/>
  <c r="BH83" i="1"/>
  <c r="BI83" i="1" s="1"/>
  <c r="BD83" i="1"/>
  <c r="BH134" i="1"/>
  <c r="BI134" i="1" s="1"/>
  <c r="BD134" i="1"/>
  <c r="BH26" i="1"/>
  <c r="BH45" i="1"/>
  <c r="BG108" i="1"/>
  <c r="BH108" i="1"/>
  <c r="BH144" i="1"/>
  <c r="BD101" i="1"/>
  <c r="BF102" i="1" s="1"/>
  <c r="BD103" i="1"/>
  <c r="BD42" i="1"/>
  <c r="BG45" i="1"/>
  <c r="BG106" i="1"/>
  <c r="BG80" i="1"/>
  <c r="BD143" i="1"/>
  <c r="BG101" i="1"/>
  <c r="BI101" i="1" s="1"/>
  <c r="BH103" i="1"/>
  <c r="BI103" i="1" s="1"/>
  <c r="BG42" i="1"/>
  <c r="BI42" i="1" s="1"/>
  <c r="BG41" i="1"/>
  <c r="BD41" i="1"/>
  <c r="BH41" i="1"/>
  <c r="BG52" i="1"/>
  <c r="BI52" i="1" s="1"/>
  <c r="BD164" i="1"/>
  <c r="BG164" i="1"/>
  <c r="BH164" i="1"/>
  <c r="BT72" i="1"/>
  <c r="BS72" i="1"/>
  <c r="BU72" i="1" s="1"/>
  <c r="BP72" i="1"/>
  <c r="BH157" i="1"/>
  <c r="BG157" i="1"/>
  <c r="BD157" i="1"/>
  <c r="BP84" i="1"/>
  <c r="BT84" i="1"/>
  <c r="BS84" i="1"/>
  <c r="BH47" i="1"/>
  <c r="BG47" i="1"/>
  <c r="BD47" i="1"/>
  <c r="BF48" i="1" s="1"/>
  <c r="BT78" i="1"/>
  <c r="BS78" i="1"/>
  <c r="BH111" i="1"/>
  <c r="BG111" i="1"/>
  <c r="BD111" i="1"/>
  <c r="BS139" i="1"/>
  <c r="BT139" i="1"/>
  <c r="BP139" i="1"/>
  <c r="BR140" i="1" s="1"/>
  <c r="BI163" i="1"/>
  <c r="BG149" i="1"/>
  <c r="BH149" i="1"/>
  <c r="BD149" i="1"/>
  <c r="BH115" i="1"/>
  <c r="BG115" i="1"/>
  <c r="BD115" i="1"/>
  <c r="BS43" i="1"/>
  <c r="BP43" i="1"/>
  <c r="BT43" i="1"/>
  <c r="BT77" i="1"/>
  <c r="BS77" i="1"/>
  <c r="BP77" i="1"/>
  <c r="BR78" i="1" s="1"/>
  <c r="BP78" i="1" s="1"/>
  <c r="BS128" i="1"/>
  <c r="BP128" i="1"/>
  <c r="BR129" i="1" s="1"/>
  <c r="BT128" i="1"/>
  <c r="BS37" i="1"/>
  <c r="BT37" i="1"/>
  <c r="BP37" i="1"/>
  <c r="BR38" i="1" s="1"/>
  <c r="BU48" i="1"/>
  <c r="BG34" i="1"/>
  <c r="BD34" i="1"/>
  <c r="BH34" i="1"/>
  <c r="BT88" i="1"/>
  <c r="BP88" i="1"/>
  <c r="BS88" i="1"/>
  <c r="BP132" i="1"/>
  <c r="BR133" i="1" s="1"/>
  <c r="BS132" i="1"/>
  <c r="BT132" i="1"/>
  <c r="BT150" i="1"/>
  <c r="BS150" i="1"/>
  <c r="BP150" i="1"/>
  <c r="BH129" i="1"/>
  <c r="BG129" i="1"/>
  <c r="BI129" i="1" s="1"/>
  <c r="BD129" i="1"/>
  <c r="BS27" i="1"/>
  <c r="BT27" i="1"/>
  <c r="BP27" i="1"/>
  <c r="BP125" i="1"/>
  <c r="BT125" i="1"/>
  <c r="BS125" i="1"/>
  <c r="CR14" i="1"/>
  <c r="BP97" i="1"/>
  <c r="BT97" i="1"/>
  <c r="BS97" i="1"/>
  <c r="BD76" i="1"/>
  <c r="BH76" i="1"/>
  <c r="BG76" i="1"/>
  <c r="BH62" i="1"/>
  <c r="BG62" i="1"/>
  <c r="BD62" i="1"/>
  <c r="BS101" i="1"/>
  <c r="BT101" i="1"/>
  <c r="BP101" i="1"/>
  <c r="BH85" i="1"/>
  <c r="BD85" i="1"/>
  <c r="BG85" i="1"/>
  <c r="BT164" i="1"/>
  <c r="BS164" i="1"/>
  <c r="BU164" i="1" s="1"/>
  <c r="BP164" i="1"/>
  <c r="BR165" i="1" s="1"/>
  <c r="BU127" i="1"/>
  <c r="BG138" i="1"/>
  <c r="BH138" i="1"/>
  <c r="BD138" i="1"/>
  <c r="BU107" i="1"/>
  <c r="BD56" i="1"/>
  <c r="BH56" i="1"/>
  <c r="BG56" i="1"/>
  <c r="BU121" i="1"/>
  <c r="BI86" i="1"/>
  <c r="BU155" i="1"/>
  <c r="BH81" i="1"/>
  <c r="BG81" i="1"/>
  <c r="BI81" i="1" s="1"/>
  <c r="BD81" i="1"/>
  <c r="BH113" i="1"/>
  <c r="BD113" i="1"/>
  <c r="BG113" i="1"/>
  <c r="BU52" i="1"/>
  <c r="BP74" i="1"/>
  <c r="BS74" i="1"/>
  <c r="BT74" i="1"/>
  <c r="BI95" i="1"/>
  <c r="BP66" i="1"/>
  <c r="BT66" i="1"/>
  <c r="BS66" i="1"/>
  <c r="BS76" i="1"/>
  <c r="BT76" i="1"/>
  <c r="BP76" i="1"/>
  <c r="BH93" i="1"/>
  <c r="BG93" i="1"/>
  <c r="BI93" i="1" s="1"/>
  <c r="BD93" i="1"/>
  <c r="BF94" i="1" s="1"/>
  <c r="BG94" i="1" s="1"/>
  <c r="BG68" i="1"/>
  <c r="BH68" i="1"/>
  <c r="BD68" i="1"/>
  <c r="BU40" i="1"/>
  <c r="BH124" i="1"/>
  <c r="BG124" i="1"/>
  <c r="BD124" i="1"/>
  <c r="BS100" i="1"/>
  <c r="BP100" i="1"/>
  <c r="BT100" i="1"/>
  <c r="BI84" i="1"/>
  <c r="BI23" i="1"/>
  <c r="BJ23" i="1" s="1"/>
  <c r="BJ24" i="1" s="1"/>
  <c r="BG135" i="1"/>
  <c r="BH135" i="1"/>
  <c r="BD135" i="1"/>
  <c r="BH97" i="1"/>
  <c r="BG97" i="1"/>
  <c r="BD97" i="1"/>
  <c r="BF98" i="1" s="1"/>
  <c r="BV22" i="1"/>
  <c r="BP67" i="1"/>
  <c r="BS67" i="1"/>
  <c r="BT67" i="1"/>
  <c r="BD71" i="1"/>
  <c r="BH71" i="1"/>
  <c r="BG71" i="1"/>
  <c r="BI31" i="1"/>
  <c r="BT65" i="1"/>
  <c r="BP65" i="1"/>
  <c r="BS65" i="1"/>
  <c r="BP30" i="1"/>
  <c r="BG78" i="1"/>
  <c r="BD78" i="1"/>
  <c r="BH78" i="1"/>
  <c r="BS69" i="1"/>
  <c r="BP69" i="1"/>
  <c r="BT69" i="1"/>
  <c r="BH132" i="1"/>
  <c r="BG132" i="1"/>
  <c r="BD132" i="1"/>
  <c r="BH146" i="1"/>
  <c r="BG146" i="1"/>
  <c r="BI146" i="1" s="1"/>
  <c r="BX146" i="1" s="1"/>
  <c r="BD146" i="1"/>
  <c r="BG96" i="1"/>
  <c r="BD96" i="1"/>
  <c r="BH96" i="1"/>
  <c r="BG110" i="1"/>
  <c r="BH110" i="1"/>
  <c r="BD110" i="1"/>
  <c r="BH104" i="1"/>
  <c r="BG104" i="1"/>
  <c r="BD104" i="1"/>
  <c r="BH40" i="1"/>
  <c r="BG40" i="1"/>
  <c r="BD40" i="1"/>
  <c r="BX22" i="1"/>
  <c r="BU53" i="1"/>
  <c r="BP73" i="1"/>
  <c r="BS73" i="1"/>
  <c r="BT73" i="1"/>
  <c r="BU83" i="1"/>
  <c r="BU46" i="1"/>
  <c r="BH107" i="1"/>
  <c r="BG107" i="1"/>
  <c r="BD107" i="1"/>
  <c r="BG75" i="1"/>
  <c r="BH75" i="1"/>
  <c r="BD75" i="1"/>
  <c r="BS61" i="1"/>
  <c r="BT61" i="1"/>
  <c r="BP61" i="1"/>
  <c r="BS153" i="1"/>
  <c r="BT153" i="1"/>
  <c r="BP153" i="1"/>
  <c r="BH25" i="1"/>
  <c r="BG25" i="1"/>
  <c r="BD25" i="1"/>
  <c r="BF26" i="1" s="1"/>
  <c r="BD26" i="1" s="1"/>
  <c r="BH30" i="1"/>
  <c r="BG30" i="1"/>
  <c r="BI30" i="1" s="1"/>
  <c r="BD30" i="1"/>
  <c r="BS137" i="1"/>
  <c r="BT137" i="1"/>
  <c r="BP137" i="1"/>
  <c r="BR138" i="1" s="1"/>
  <c r="BT138" i="1" s="1"/>
  <c r="BT111" i="1"/>
  <c r="BS111" i="1"/>
  <c r="BP111" i="1"/>
  <c r="BR112" i="1" s="1"/>
  <c r="BG61" i="1"/>
  <c r="BH61" i="1"/>
  <c r="BD61" i="1"/>
  <c r="BS122" i="1"/>
  <c r="BT122" i="1"/>
  <c r="BP122" i="1"/>
  <c r="BU162" i="1"/>
  <c r="BT167" i="1"/>
  <c r="BS167" i="1"/>
  <c r="BU167" i="1" s="1"/>
  <c r="BP167" i="1"/>
  <c r="BT102" i="1"/>
  <c r="BP102" i="1"/>
  <c r="BS102" i="1"/>
  <c r="BD153" i="1"/>
  <c r="BH153" i="1"/>
  <c r="BG153" i="1"/>
  <c r="BS96" i="1"/>
  <c r="BP96" i="1"/>
  <c r="BT96" i="1"/>
  <c r="BS94" i="1"/>
  <c r="BT94" i="1"/>
  <c r="BP94" i="1"/>
  <c r="BU99" i="1"/>
  <c r="BU149" i="1"/>
  <c r="BS95" i="1"/>
  <c r="BP95" i="1"/>
  <c r="BT95" i="1"/>
  <c r="BU141" i="1"/>
  <c r="BH54" i="1"/>
  <c r="BG54" i="1"/>
  <c r="BD54" i="1"/>
  <c r="BS143" i="1"/>
  <c r="BP143" i="1"/>
  <c r="BT143" i="1"/>
  <c r="BH139" i="1"/>
  <c r="BD139" i="1"/>
  <c r="BG139" i="1"/>
  <c r="BD37" i="1"/>
  <c r="BH37" i="1"/>
  <c r="BG37" i="1"/>
  <c r="BU154" i="1"/>
  <c r="BH70" i="1"/>
  <c r="BG70" i="1"/>
  <c r="BD70" i="1"/>
  <c r="BS62" i="1"/>
  <c r="BP62" i="1"/>
  <c r="BT62" i="1"/>
  <c r="BH64" i="1"/>
  <c r="BG64" i="1"/>
  <c r="BD64" i="1"/>
  <c r="BU110" i="1"/>
  <c r="BH90" i="1"/>
  <c r="BG90" i="1"/>
  <c r="BD90" i="1"/>
  <c r="BF91" i="1" s="1"/>
  <c r="BG91" i="1" s="1"/>
  <c r="BU148" i="1"/>
  <c r="BT90" i="1"/>
  <c r="BS90" i="1"/>
  <c r="BP90" i="1"/>
  <c r="BU93" i="1"/>
  <c r="BS50" i="1"/>
  <c r="BT50" i="1"/>
  <c r="BP50" i="1"/>
  <c r="BU156" i="1"/>
  <c r="BD51" i="1"/>
  <c r="BG51" i="1"/>
  <c r="BH51" i="1"/>
  <c r="CL18" i="1"/>
  <c r="BI126" i="1"/>
  <c r="BX126" i="1" s="1"/>
  <c r="BU125" i="1" l="1"/>
  <c r="BU51" i="1"/>
  <c r="BP165" i="1"/>
  <c r="BT165" i="1"/>
  <c r="BS165" i="1"/>
  <c r="BS159" i="1"/>
  <c r="BT159" i="1"/>
  <c r="BS112" i="1"/>
  <c r="BT112" i="1"/>
  <c r="BU112" i="1" s="1"/>
  <c r="BP112" i="1"/>
  <c r="BR113" i="1" s="1"/>
  <c r="BS30" i="1"/>
  <c r="BU30" i="1" s="1"/>
  <c r="BX30" i="1" s="1"/>
  <c r="BU163" i="1"/>
  <c r="BX163" i="1" s="1"/>
  <c r="BX166" i="1"/>
  <c r="BP138" i="1"/>
  <c r="BS138" i="1"/>
  <c r="BU138" i="1" s="1"/>
  <c r="BT82" i="1"/>
  <c r="BP82" i="1"/>
  <c r="BS82" i="1"/>
  <c r="BU82" i="1" s="1"/>
  <c r="BX82" i="1" s="1"/>
  <c r="BX167" i="1"/>
  <c r="BI132" i="1"/>
  <c r="BI76" i="1"/>
  <c r="BD119" i="1"/>
  <c r="BF120" i="1" s="1"/>
  <c r="BH119" i="1"/>
  <c r="BG119" i="1"/>
  <c r="BI55" i="1"/>
  <c r="BX55" i="1" s="1"/>
  <c r="BX32" i="1"/>
  <c r="BI131" i="1"/>
  <c r="BX131" i="1" s="1"/>
  <c r="BI130" i="1"/>
  <c r="BH98" i="1"/>
  <c r="BD98" i="1"/>
  <c r="BG98" i="1"/>
  <c r="BI98" i="1" s="1"/>
  <c r="BX98" i="1" s="1"/>
  <c r="BI69" i="1"/>
  <c r="BG26" i="1"/>
  <c r="BI26" i="1" s="1"/>
  <c r="BX26" i="1" s="1"/>
  <c r="BI97" i="1"/>
  <c r="BI89" i="1"/>
  <c r="BX89" i="1" s="1"/>
  <c r="BU65" i="1"/>
  <c r="BX65" i="1" s="1"/>
  <c r="BU88" i="1"/>
  <c r="BX88" i="1" s="1"/>
  <c r="BI150" i="1"/>
  <c r="BI159" i="1"/>
  <c r="BI109" i="1"/>
  <c r="BX125" i="1"/>
  <c r="BX36" i="1"/>
  <c r="BX109" i="1"/>
  <c r="BX114" i="1"/>
  <c r="BI53" i="1"/>
  <c r="BX53" i="1" s="1"/>
  <c r="BI117" i="1"/>
  <c r="BX117" i="1" s="1"/>
  <c r="BU77" i="1"/>
  <c r="BX142" i="1"/>
  <c r="BU151" i="1"/>
  <c r="BX42" i="1"/>
  <c r="BX127" i="1"/>
  <c r="BX136" i="1"/>
  <c r="BV23" i="1"/>
  <c r="BV24" i="1" s="1"/>
  <c r="BV25" i="1" s="1"/>
  <c r="BV26" i="1" s="1"/>
  <c r="BX134" i="1"/>
  <c r="BI111" i="1"/>
  <c r="BI70" i="1"/>
  <c r="BX70" i="1" s="1"/>
  <c r="BI112" i="1"/>
  <c r="BX155" i="1"/>
  <c r="BI40" i="1"/>
  <c r="BX40" i="1" s="1"/>
  <c r="BH91" i="1"/>
  <c r="BI91" i="1" s="1"/>
  <c r="BX91" i="1" s="1"/>
  <c r="BI63" i="1"/>
  <c r="BX63" i="1" s="1"/>
  <c r="BI58" i="1"/>
  <c r="BX58" i="1" s="1"/>
  <c r="BX28" i="1"/>
  <c r="BI148" i="1"/>
  <c r="BX148" i="1" s="1"/>
  <c r="BD94" i="1"/>
  <c r="BX158" i="1"/>
  <c r="BD91" i="1"/>
  <c r="BX130" i="1"/>
  <c r="BX141" i="1"/>
  <c r="BX57" i="1"/>
  <c r="BD102" i="1"/>
  <c r="BH102" i="1"/>
  <c r="BG102" i="1"/>
  <c r="BI102" i="1" s="1"/>
  <c r="BI92" i="1"/>
  <c r="BX92" i="1" s="1"/>
  <c r="BI99" i="1"/>
  <c r="BX99" i="1" s="1"/>
  <c r="BI67" i="1"/>
  <c r="BX156" i="1"/>
  <c r="BX154" i="1"/>
  <c r="BI113" i="1"/>
  <c r="BI37" i="1"/>
  <c r="BI115" i="1"/>
  <c r="BX115" i="1" s="1"/>
  <c r="BI35" i="1"/>
  <c r="BX35" i="1" s="1"/>
  <c r="BX46" i="1"/>
  <c r="BI151" i="1"/>
  <c r="BI62" i="1"/>
  <c r="BG48" i="1"/>
  <c r="BH48" i="1"/>
  <c r="BD48" i="1"/>
  <c r="BF49" i="1" s="1"/>
  <c r="BG59" i="1"/>
  <c r="BH59" i="1"/>
  <c r="BD59" i="1"/>
  <c r="BF60" i="1" s="1"/>
  <c r="BI139" i="1"/>
  <c r="BI124" i="1"/>
  <c r="BX124" i="1" s="1"/>
  <c r="BI47" i="1"/>
  <c r="BX47" i="1" s="1"/>
  <c r="BH94" i="1"/>
  <c r="BI94" i="1" s="1"/>
  <c r="BI44" i="1"/>
  <c r="BI64" i="1"/>
  <c r="BX64" i="1" s="1"/>
  <c r="BI108" i="1"/>
  <c r="BX108" i="1" s="1"/>
  <c r="BX44" i="1"/>
  <c r="BX72" i="1"/>
  <c r="BI106" i="1"/>
  <c r="BX106" i="1" s="1"/>
  <c r="BI149" i="1"/>
  <c r="BX149" i="1" s="1"/>
  <c r="BX162" i="1"/>
  <c r="BX145" i="1"/>
  <c r="BI144" i="1"/>
  <c r="BX144" i="1" s="1"/>
  <c r="BI116" i="1"/>
  <c r="BX116" i="1" s="1"/>
  <c r="BX77" i="1"/>
  <c r="BI90" i="1"/>
  <c r="BI71" i="1"/>
  <c r="BX71" i="1" s="1"/>
  <c r="BI153" i="1"/>
  <c r="BI56" i="1"/>
  <c r="BX56" i="1" s="1"/>
  <c r="BU97" i="1"/>
  <c r="BX97" i="1" s="1"/>
  <c r="BU128" i="1"/>
  <c r="BX128" i="1" s="1"/>
  <c r="BX31" i="1"/>
  <c r="BU68" i="1"/>
  <c r="BU100" i="1"/>
  <c r="BX100" i="1" s="1"/>
  <c r="BU66" i="1"/>
  <c r="BX66" i="1" s="1"/>
  <c r="BX103" i="1"/>
  <c r="BU159" i="1"/>
  <c r="BU105" i="1"/>
  <c r="BX105" i="1" s="1"/>
  <c r="BU101" i="1"/>
  <c r="BX101" i="1" s="1"/>
  <c r="BU37" i="1"/>
  <c r="BX161" i="1"/>
  <c r="BU74" i="1"/>
  <c r="BX74" i="1" s="1"/>
  <c r="BU94" i="1"/>
  <c r="BX81" i="1"/>
  <c r="BX86" i="1"/>
  <c r="BU54" i="1"/>
  <c r="BU102" i="1"/>
  <c r="BU153" i="1"/>
  <c r="BU143" i="1"/>
  <c r="BX143" i="1" s="1"/>
  <c r="BU62" i="1"/>
  <c r="BU50" i="1"/>
  <c r="BX50" i="1" s="1"/>
  <c r="BI45" i="1"/>
  <c r="BX45" i="1" s="1"/>
  <c r="BX83" i="1"/>
  <c r="BI41" i="1"/>
  <c r="BX41" i="1" s="1"/>
  <c r="BI164" i="1"/>
  <c r="BX164" i="1" s="1"/>
  <c r="BX52" i="1"/>
  <c r="BI85" i="1"/>
  <c r="BX85" i="1" s="1"/>
  <c r="BI135" i="1"/>
  <c r="BX135" i="1" s="1"/>
  <c r="BI61" i="1"/>
  <c r="BI54" i="1"/>
  <c r="BI34" i="1"/>
  <c r="BX34" i="1" s="1"/>
  <c r="BI80" i="1"/>
  <c r="BX80" i="1" s="1"/>
  <c r="BP140" i="1"/>
  <c r="BT140" i="1"/>
  <c r="BS140" i="1"/>
  <c r="BU140" i="1" s="1"/>
  <c r="BU132" i="1"/>
  <c r="BX132" i="1" s="1"/>
  <c r="BP38" i="1"/>
  <c r="BR39" i="1" s="1"/>
  <c r="BT38" i="1"/>
  <c r="BS38" i="1"/>
  <c r="BU139" i="1"/>
  <c r="BU84" i="1"/>
  <c r="BX84" i="1" s="1"/>
  <c r="BU61" i="1"/>
  <c r="BU27" i="1"/>
  <c r="CL19" i="1"/>
  <c r="BY22" i="1"/>
  <c r="BI96" i="1"/>
  <c r="BU43" i="1"/>
  <c r="BX43" i="1" s="1"/>
  <c r="BI157" i="1"/>
  <c r="BX157" i="1" s="1"/>
  <c r="BX140" i="1"/>
  <c r="BU76" i="1"/>
  <c r="BX76" i="1" s="1"/>
  <c r="BU73" i="1"/>
  <c r="BX73" i="1" s="1"/>
  <c r="BU90" i="1"/>
  <c r="BI25" i="1"/>
  <c r="BX25" i="1" s="1"/>
  <c r="CS14" i="1"/>
  <c r="BU96" i="1"/>
  <c r="BT133" i="1"/>
  <c r="BS133" i="1"/>
  <c r="BP133" i="1"/>
  <c r="BU137" i="1"/>
  <c r="BX137" i="1" s="1"/>
  <c r="BU95" i="1"/>
  <c r="BX95" i="1" s="1"/>
  <c r="BI51" i="1"/>
  <c r="BX51" i="1" s="1"/>
  <c r="BU122" i="1"/>
  <c r="BI75" i="1"/>
  <c r="BX75" i="1" s="1"/>
  <c r="BU67" i="1"/>
  <c r="BI68" i="1"/>
  <c r="BI107" i="1"/>
  <c r="BX107" i="1" s="1"/>
  <c r="BU150" i="1"/>
  <c r="BX150" i="1" s="1"/>
  <c r="BS129" i="1"/>
  <c r="BP129" i="1"/>
  <c r="BT129" i="1"/>
  <c r="BU78" i="1"/>
  <c r="BU69" i="1"/>
  <c r="BI110" i="1"/>
  <c r="BX110" i="1" s="1"/>
  <c r="BI78" i="1"/>
  <c r="BX23" i="1"/>
  <c r="BX93" i="1"/>
  <c r="BI138" i="1"/>
  <c r="BU111" i="1"/>
  <c r="BI104" i="1"/>
  <c r="BX104" i="1" s="1"/>
  <c r="BX112" i="1" l="1"/>
  <c r="BU38" i="1"/>
  <c r="BX38" i="1" s="1"/>
  <c r="BX138" i="1"/>
  <c r="BS113" i="1"/>
  <c r="BP113" i="1"/>
  <c r="BT113" i="1"/>
  <c r="BU113" i="1" s="1"/>
  <c r="BX113" i="1" s="1"/>
  <c r="BU165" i="1"/>
  <c r="BX165" i="1" s="1"/>
  <c r="BX159" i="1"/>
  <c r="BX69" i="1"/>
  <c r="BH49" i="1"/>
  <c r="BD49" i="1"/>
  <c r="BG49" i="1"/>
  <c r="BI49" i="1" s="1"/>
  <c r="BX49" i="1" s="1"/>
  <c r="BI119" i="1"/>
  <c r="BX119" i="1" s="1"/>
  <c r="BD120" i="1"/>
  <c r="BF121" i="1" s="1"/>
  <c r="BG120" i="1"/>
  <c r="BH120" i="1"/>
  <c r="BV27" i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X61" i="1"/>
  <c r="BX153" i="1"/>
  <c r="BX102" i="1"/>
  <c r="BX111" i="1"/>
  <c r="BX37" i="1"/>
  <c r="BU133" i="1"/>
  <c r="BX133" i="1" s="1"/>
  <c r="BX151" i="1"/>
  <c r="BD60" i="1"/>
  <c r="BG60" i="1"/>
  <c r="BH60" i="1"/>
  <c r="BI59" i="1"/>
  <c r="BX59" i="1" s="1"/>
  <c r="BX94" i="1"/>
  <c r="BI48" i="1"/>
  <c r="BX48" i="1" s="1"/>
  <c r="BX62" i="1"/>
  <c r="BX67" i="1"/>
  <c r="BX139" i="1"/>
  <c r="BX90" i="1"/>
  <c r="BX68" i="1"/>
  <c r="BX54" i="1"/>
  <c r="CL20" i="1"/>
  <c r="CT14" i="1"/>
  <c r="BT39" i="1"/>
  <c r="BS39" i="1"/>
  <c r="BP39" i="1"/>
  <c r="BX96" i="1"/>
  <c r="BX27" i="1"/>
  <c r="BU129" i="1"/>
  <c r="BX129" i="1" s="1"/>
  <c r="BX78" i="1"/>
  <c r="BY23" i="1"/>
  <c r="BY24" i="1" s="1"/>
  <c r="BY25" i="1" s="1"/>
  <c r="BY26" i="1" s="1"/>
  <c r="BJ25" i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I120" i="1" l="1"/>
  <c r="BX120" i="1" s="1"/>
  <c r="BH121" i="1"/>
  <c r="BD121" i="1"/>
  <c r="BF122" i="1" s="1"/>
  <c r="BG121" i="1"/>
  <c r="BI121" i="1" s="1"/>
  <c r="BX121" i="1" s="1"/>
  <c r="BJ48" i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I60" i="1"/>
  <c r="BU39" i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Y27" i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CL21" i="1"/>
  <c r="BJ60" i="1" l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D122" i="1"/>
  <c r="BF123" i="1" s="1"/>
  <c r="BH122" i="1"/>
  <c r="BG122" i="1"/>
  <c r="BX60" i="1"/>
  <c r="BX39" i="1"/>
  <c r="BV9" i="1"/>
  <c r="BV10" i="1"/>
  <c r="CL22" i="1"/>
  <c r="BD123" i="1" l="1"/>
  <c r="BG123" i="1"/>
  <c r="BH123" i="1"/>
  <c r="BI122" i="1"/>
  <c r="BJ122" i="1" s="1"/>
  <c r="BV11" i="1"/>
  <c r="CL14" i="1" s="1"/>
  <c r="BY39" i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X122" i="1" l="1"/>
  <c r="BI123" i="1"/>
  <c r="BX123" i="1" s="1"/>
  <c r="BJ9" i="1" l="1"/>
  <c r="BJ10" i="1"/>
  <c r="BJ11" i="1" s="1"/>
  <c r="CL3" i="1" s="1"/>
  <c r="BY9" i="1"/>
  <c r="BY10" i="1"/>
  <c r="BY122" i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J123" i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Y11" i="1" l="1"/>
</calcChain>
</file>

<file path=xl/sharedStrings.xml><?xml version="1.0" encoding="utf-8"?>
<sst xmlns="http://schemas.openxmlformats.org/spreadsheetml/2006/main" count="65" uniqueCount="50">
  <si>
    <t>date</t>
  </si>
  <si>
    <t>CWB</t>
  </si>
  <si>
    <t>ICVT</t>
  </si>
  <si>
    <t>CWB log rtn</t>
  </si>
  <si>
    <t>ICVT log rtn</t>
  </si>
  <si>
    <t>CWB div</t>
  </si>
  <si>
    <t>CWB div cumsum</t>
  </si>
  <si>
    <t>ICVT div</t>
  </si>
  <si>
    <t>ICVT div cumsum</t>
  </si>
  <si>
    <t>CWB div adjustment</t>
  </si>
  <si>
    <t>ICVT div adjustment</t>
  </si>
  <si>
    <t>CWB*</t>
  </si>
  <si>
    <t>ICVT*</t>
  </si>
  <si>
    <t>ICVT/CWB</t>
  </si>
  <si>
    <t>ICVT/CWB avg</t>
  </si>
  <si>
    <t>ICVT/CWB 10 dma</t>
  </si>
  <si>
    <t>ICVT/CWB 20 dma</t>
  </si>
  <si>
    <t>CWB x avg</t>
  </si>
  <si>
    <t>CWB x 10 dma</t>
  </si>
  <si>
    <t>CWB x 20 dma</t>
  </si>
  <si>
    <t>log diff CWB x avg / ICVT</t>
  </si>
  <si>
    <t>log diff CWB x 10 dma / ICVT</t>
  </si>
  <si>
    <t>log diff CWB x 20 dma / ICVT</t>
  </si>
  <si>
    <t>ICVT*/CWB*</t>
  </si>
  <si>
    <t>ICVT*/CWB* avg</t>
  </si>
  <si>
    <t>ICVT*/CWB* 10 dma</t>
  </si>
  <si>
    <t>ICVT*/CWB* 20 dma</t>
  </si>
  <si>
    <t>CWB* x avg</t>
  </si>
  <si>
    <t>CWB* x 10 dma</t>
  </si>
  <si>
    <t>CWB* x 20 dma</t>
  </si>
  <si>
    <t>log diff CWB* x avg / ICVT*</t>
  </si>
  <si>
    <t>log diff CWB* x 10 dma / ICVT*</t>
  </si>
  <si>
    <t>log diff CWB* x 20 dma / ICVT*</t>
  </si>
  <si>
    <t>enter</t>
  </si>
  <si>
    <t>row</t>
  </si>
  <si>
    <t>ba20</t>
  </si>
  <si>
    <t>col</t>
  </si>
  <si>
    <t>ba21</t>
  </si>
  <si>
    <t>exit</t>
  </si>
  <si>
    <t>bm20</t>
  </si>
  <si>
    <t>bm21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</si>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</sst>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  <xf numFmtId="10" fontId="16" fillId="0" borderId="0" xfId="3" applyNumberFormat="1" applyFont="1"/>
    <xf numFmtId="0" fontId="0" fillId="0" borderId="0" xfId="0" applyBorder="1"/>
    <xf numFmtId="10" fontId="16" fillId="0" borderId="0" xfId="3" applyNumberFormat="1" applyFont="1" applyBorder="1"/>
    <xf numFmtId="43" fontId="0" fillId="0" borderId="0" xfId="1" applyFont="1"/>
    <xf numFmtId="43" fontId="0" fillId="0" borderId="0" xfId="1" applyFont="1" applyBorder="1"/>
    <xf numFmtId="43" fontId="0" fillId="0" borderId="10" xfId="1" applyFont="1" applyBorder="1"/>
    <xf numFmtId="43" fontId="0" fillId="0" borderId="0" xfId="1" applyNumberFormat="1" applyFont="1"/>
    <xf numFmtId="43" fontId="0" fillId="0" borderId="0" xfId="1" applyNumberFormat="1" applyFont="1" applyBorder="1"/>
    <xf numFmtId="43" fontId="0" fillId="0" borderId="10" xfId="1" applyNumberFormat="1" applyFont="1" applyBorder="1"/>
    <xf numFmtId="43" fontId="16" fillId="0" borderId="0" xfId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CWB_ICVT_2!$O$1</c:f>
              <c:strCache>
                <c:ptCount val="1"/>
                <c:pt idx="0">
                  <c:v> ICVT/CWB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CWB_ICVT_2!$O$2:$O$167</c:f>
              <c:numCache>
                <c:formatCode>_(* #,##0.0000_);_(* \(#,##0.0000\);_(* "-"??_);_(@_)</c:formatCode>
                <c:ptCount val="166"/>
                <c:pt idx="0">
                  <c:v>1.1144207265719701</c:v>
                </c:pt>
                <c:pt idx="1">
                  <c:v>1.1144207265719701</c:v>
                </c:pt>
                <c:pt idx="2">
                  <c:v>1.1144207265719701</c:v>
                </c:pt>
                <c:pt idx="3">
                  <c:v>1.1144207265719701</c:v>
                </c:pt>
                <c:pt idx="4">
                  <c:v>1.1144207265719701</c:v>
                </c:pt>
                <c:pt idx="5">
                  <c:v>1.1144207265719701</c:v>
                </c:pt>
                <c:pt idx="6">
                  <c:v>1.1144207265719701</c:v>
                </c:pt>
                <c:pt idx="7">
                  <c:v>1.1144207265719701</c:v>
                </c:pt>
                <c:pt idx="8">
                  <c:v>1.1144207265719701</c:v>
                </c:pt>
                <c:pt idx="9">
                  <c:v>1.1144207265719701</c:v>
                </c:pt>
                <c:pt idx="10">
                  <c:v>1.1144207265719701</c:v>
                </c:pt>
                <c:pt idx="11">
                  <c:v>1.1144207265719701</c:v>
                </c:pt>
                <c:pt idx="12">
                  <c:v>1.1144207265719701</c:v>
                </c:pt>
                <c:pt idx="13">
                  <c:v>1.1144207265719701</c:v>
                </c:pt>
                <c:pt idx="14">
                  <c:v>1.1144207265719701</c:v>
                </c:pt>
                <c:pt idx="15">
                  <c:v>1.1144207265719701</c:v>
                </c:pt>
                <c:pt idx="16">
                  <c:v>1.1144207265719701</c:v>
                </c:pt>
                <c:pt idx="17">
                  <c:v>1.1144207265719701</c:v>
                </c:pt>
                <c:pt idx="18">
                  <c:v>1.1144207265719701</c:v>
                </c:pt>
                <c:pt idx="19">
                  <c:v>1.1144207265719701</c:v>
                </c:pt>
                <c:pt idx="20">
                  <c:v>1.1144207265719701</c:v>
                </c:pt>
                <c:pt idx="21">
                  <c:v>1.1144207265719701</c:v>
                </c:pt>
                <c:pt idx="22">
                  <c:v>1.1144207265719701</c:v>
                </c:pt>
                <c:pt idx="23">
                  <c:v>1.1144207265719701</c:v>
                </c:pt>
                <c:pt idx="24">
                  <c:v>1.1144207265719701</c:v>
                </c:pt>
                <c:pt idx="25">
                  <c:v>1.1144207265719701</c:v>
                </c:pt>
                <c:pt idx="26">
                  <c:v>1.1144207265719701</c:v>
                </c:pt>
                <c:pt idx="27">
                  <c:v>1.1144207265719701</c:v>
                </c:pt>
                <c:pt idx="28">
                  <c:v>1.1144207265719701</c:v>
                </c:pt>
                <c:pt idx="29">
                  <c:v>1.1144207265719701</c:v>
                </c:pt>
                <c:pt idx="30">
                  <c:v>1.1144207265719701</c:v>
                </c:pt>
                <c:pt idx="31">
                  <c:v>1.1144207265719701</c:v>
                </c:pt>
                <c:pt idx="32">
                  <c:v>1.1144207265719701</c:v>
                </c:pt>
                <c:pt idx="33">
                  <c:v>1.1144207265719701</c:v>
                </c:pt>
                <c:pt idx="34">
                  <c:v>1.1144207265719701</c:v>
                </c:pt>
                <c:pt idx="35">
                  <c:v>1.1144207265719701</c:v>
                </c:pt>
                <c:pt idx="36">
                  <c:v>1.1144207265719701</c:v>
                </c:pt>
                <c:pt idx="37">
                  <c:v>1.1144207265719701</c:v>
                </c:pt>
                <c:pt idx="38">
                  <c:v>1.1144207265719701</c:v>
                </c:pt>
                <c:pt idx="39">
                  <c:v>1.1144207265719701</c:v>
                </c:pt>
                <c:pt idx="40">
                  <c:v>1.1144207265719701</c:v>
                </c:pt>
                <c:pt idx="41">
                  <c:v>1.1144207265719701</c:v>
                </c:pt>
                <c:pt idx="42">
                  <c:v>1.1144207265719701</c:v>
                </c:pt>
                <c:pt idx="43">
                  <c:v>1.1144207265719701</c:v>
                </c:pt>
                <c:pt idx="44">
                  <c:v>1.1144207265719701</c:v>
                </c:pt>
                <c:pt idx="45">
                  <c:v>1.1144207265719701</c:v>
                </c:pt>
                <c:pt idx="46">
                  <c:v>1.1144207265719701</c:v>
                </c:pt>
                <c:pt idx="47">
                  <c:v>1.1144207265719701</c:v>
                </c:pt>
                <c:pt idx="48">
                  <c:v>1.1144207265719701</c:v>
                </c:pt>
                <c:pt idx="49">
                  <c:v>1.1144207265719701</c:v>
                </c:pt>
                <c:pt idx="50">
                  <c:v>1.1144207265719701</c:v>
                </c:pt>
                <c:pt idx="51">
                  <c:v>1.1144207265719701</c:v>
                </c:pt>
                <c:pt idx="52">
                  <c:v>1.1144207265719701</c:v>
                </c:pt>
                <c:pt idx="53">
                  <c:v>1.1144207265719701</c:v>
                </c:pt>
                <c:pt idx="54">
                  <c:v>1.1144207265719701</c:v>
                </c:pt>
                <c:pt idx="55">
                  <c:v>1.1144207265719701</c:v>
                </c:pt>
                <c:pt idx="56">
                  <c:v>1.1144207265719701</c:v>
                </c:pt>
                <c:pt idx="57">
                  <c:v>1.1144207265719701</c:v>
                </c:pt>
                <c:pt idx="58">
                  <c:v>1.1144207265719701</c:v>
                </c:pt>
                <c:pt idx="59">
                  <c:v>1.1144207265719701</c:v>
                </c:pt>
                <c:pt idx="60">
                  <c:v>1.1144207265719701</c:v>
                </c:pt>
                <c:pt idx="61">
                  <c:v>1.1144207265719701</c:v>
                </c:pt>
                <c:pt idx="62">
                  <c:v>1.1144207265719701</c:v>
                </c:pt>
                <c:pt idx="63">
                  <c:v>1.1144207265719701</c:v>
                </c:pt>
                <c:pt idx="64">
                  <c:v>1.1144207265719701</c:v>
                </c:pt>
                <c:pt idx="65">
                  <c:v>1.1144207265719701</c:v>
                </c:pt>
                <c:pt idx="66">
                  <c:v>1.1144207265719701</c:v>
                </c:pt>
                <c:pt idx="67">
                  <c:v>1.1144207265719701</c:v>
                </c:pt>
                <c:pt idx="68">
                  <c:v>1.1144207265719701</c:v>
                </c:pt>
                <c:pt idx="69">
                  <c:v>1.1144207265719701</c:v>
                </c:pt>
                <c:pt idx="70">
                  <c:v>1.1144207265719701</c:v>
                </c:pt>
                <c:pt idx="71">
                  <c:v>1.1144207265719701</c:v>
                </c:pt>
                <c:pt idx="72">
                  <c:v>1.1144207265719701</c:v>
                </c:pt>
                <c:pt idx="73">
                  <c:v>1.1144207265719701</c:v>
                </c:pt>
                <c:pt idx="74">
                  <c:v>1.1144207265719701</c:v>
                </c:pt>
                <c:pt idx="75">
                  <c:v>1.1144207265719701</c:v>
                </c:pt>
                <c:pt idx="76">
                  <c:v>1.1144207265719701</c:v>
                </c:pt>
                <c:pt idx="77">
                  <c:v>1.1144207265719701</c:v>
                </c:pt>
                <c:pt idx="78">
                  <c:v>1.1144207265719701</c:v>
                </c:pt>
                <c:pt idx="79">
                  <c:v>1.1144207265719701</c:v>
                </c:pt>
                <c:pt idx="80">
                  <c:v>1.1144207265719701</c:v>
                </c:pt>
                <c:pt idx="81">
                  <c:v>1.1144207265719701</c:v>
                </c:pt>
                <c:pt idx="82">
                  <c:v>1.1144207265719701</c:v>
                </c:pt>
                <c:pt idx="83">
                  <c:v>1.1144207265719701</c:v>
                </c:pt>
                <c:pt idx="84">
                  <c:v>1.1144207265719701</c:v>
                </c:pt>
                <c:pt idx="85">
                  <c:v>1.1144207265719701</c:v>
                </c:pt>
                <c:pt idx="86">
                  <c:v>1.1144207265719701</c:v>
                </c:pt>
                <c:pt idx="87">
                  <c:v>1.1144207265719701</c:v>
                </c:pt>
                <c:pt idx="88">
                  <c:v>1.1144207265719701</c:v>
                </c:pt>
                <c:pt idx="89">
                  <c:v>1.1144207265719701</c:v>
                </c:pt>
                <c:pt idx="90">
                  <c:v>1.1144207265719701</c:v>
                </c:pt>
                <c:pt idx="91">
                  <c:v>1.1144207265719701</c:v>
                </c:pt>
                <c:pt idx="92">
                  <c:v>1.1144207265719701</c:v>
                </c:pt>
                <c:pt idx="93">
                  <c:v>1.1144207265719701</c:v>
                </c:pt>
                <c:pt idx="94">
                  <c:v>1.1144207265719701</c:v>
                </c:pt>
                <c:pt idx="95">
                  <c:v>1.1144207265719701</c:v>
                </c:pt>
                <c:pt idx="96">
                  <c:v>1.1144207265719701</c:v>
                </c:pt>
                <c:pt idx="97">
                  <c:v>1.1144207265719701</c:v>
                </c:pt>
                <c:pt idx="98">
                  <c:v>1.1144207265719701</c:v>
                </c:pt>
                <c:pt idx="99">
                  <c:v>1.1144207265719701</c:v>
                </c:pt>
                <c:pt idx="100">
                  <c:v>1.1144207265719701</c:v>
                </c:pt>
                <c:pt idx="101">
                  <c:v>1.1144207265719701</c:v>
                </c:pt>
                <c:pt idx="102">
                  <c:v>1.1144207265719701</c:v>
                </c:pt>
                <c:pt idx="103">
                  <c:v>1.1144207265719701</c:v>
                </c:pt>
                <c:pt idx="104">
                  <c:v>1.1144207265719701</c:v>
                </c:pt>
                <c:pt idx="105">
                  <c:v>1.1144207265719701</c:v>
                </c:pt>
                <c:pt idx="106">
                  <c:v>1.1144207265719701</c:v>
                </c:pt>
                <c:pt idx="107">
                  <c:v>1.1144207265719701</c:v>
                </c:pt>
                <c:pt idx="108">
                  <c:v>1.1144207265719701</c:v>
                </c:pt>
                <c:pt idx="109">
                  <c:v>1.1144207265719701</c:v>
                </c:pt>
                <c:pt idx="110">
                  <c:v>1.1144207265719701</c:v>
                </c:pt>
                <c:pt idx="111">
                  <c:v>1.1144207265719701</c:v>
                </c:pt>
                <c:pt idx="112">
                  <c:v>1.1144207265719701</c:v>
                </c:pt>
                <c:pt idx="113">
                  <c:v>1.1144207265719701</c:v>
                </c:pt>
                <c:pt idx="114">
                  <c:v>1.1144207265719701</c:v>
                </c:pt>
                <c:pt idx="115">
                  <c:v>1.1144207265719701</c:v>
                </c:pt>
                <c:pt idx="116">
                  <c:v>1.1144207265719701</c:v>
                </c:pt>
                <c:pt idx="117">
                  <c:v>1.1144207265719701</c:v>
                </c:pt>
                <c:pt idx="118">
                  <c:v>1.1144207265719701</c:v>
                </c:pt>
                <c:pt idx="119">
                  <c:v>1.1144207265719701</c:v>
                </c:pt>
                <c:pt idx="120">
                  <c:v>1.1144207265719701</c:v>
                </c:pt>
                <c:pt idx="121">
                  <c:v>1.1144207265719701</c:v>
                </c:pt>
                <c:pt idx="122">
                  <c:v>1.1144207265719701</c:v>
                </c:pt>
                <c:pt idx="123">
                  <c:v>1.1144207265719701</c:v>
                </c:pt>
                <c:pt idx="124">
                  <c:v>1.1144207265719701</c:v>
                </c:pt>
                <c:pt idx="125">
                  <c:v>1.1144207265719701</c:v>
                </c:pt>
                <c:pt idx="126">
                  <c:v>1.1144207265719701</c:v>
                </c:pt>
                <c:pt idx="127">
                  <c:v>1.1144207265719701</c:v>
                </c:pt>
                <c:pt idx="128">
                  <c:v>1.1144207265719701</c:v>
                </c:pt>
                <c:pt idx="129">
                  <c:v>1.1144207265719701</c:v>
                </c:pt>
                <c:pt idx="130">
                  <c:v>1.1144207265719701</c:v>
                </c:pt>
                <c:pt idx="131">
                  <c:v>1.1144207265719701</c:v>
                </c:pt>
                <c:pt idx="132">
                  <c:v>1.1144207265719701</c:v>
                </c:pt>
                <c:pt idx="133">
                  <c:v>1.1144207265719701</c:v>
                </c:pt>
                <c:pt idx="134">
                  <c:v>1.1144207265719701</c:v>
                </c:pt>
                <c:pt idx="135">
                  <c:v>1.1144207265719701</c:v>
                </c:pt>
                <c:pt idx="136">
                  <c:v>1.1144207265719701</c:v>
                </c:pt>
                <c:pt idx="137">
                  <c:v>1.1144207265719701</c:v>
                </c:pt>
                <c:pt idx="138">
                  <c:v>1.1144207265719701</c:v>
                </c:pt>
                <c:pt idx="139">
                  <c:v>1.1144207265719701</c:v>
                </c:pt>
                <c:pt idx="140">
                  <c:v>1.1144207265719701</c:v>
                </c:pt>
                <c:pt idx="141">
                  <c:v>1.1144207265719701</c:v>
                </c:pt>
                <c:pt idx="142">
                  <c:v>1.1144207265719701</c:v>
                </c:pt>
                <c:pt idx="143">
                  <c:v>1.1144207265719701</c:v>
                </c:pt>
                <c:pt idx="144">
                  <c:v>1.1144207265719701</c:v>
                </c:pt>
                <c:pt idx="145">
                  <c:v>1.1144207265719701</c:v>
                </c:pt>
                <c:pt idx="146">
                  <c:v>1.1144207265719701</c:v>
                </c:pt>
                <c:pt idx="147">
                  <c:v>1.1144207265719701</c:v>
                </c:pt>
                <c:pt idx="148">
                  <c:v>1.1144207265719701</c:v>
                </c:pt>
                <c:pt idx="149">
                  <c:v>1.1144207265719701</c:v>
                </c:pt>
                <c:pt idx="150">
                  <c:v>1.1144207265719701</c:v>
                </c:pt>
                <c:pt idx="151">
                  <c:v>1.1144207265719701</c:v>
                </c:pt>
                <c:pt idx="152">
                  <c:v>1.1144207265719701</c:v>
                </c:pt>
                <c:pt idx="153">
                  <c:v>1.1144207265719701</c:v>
                </c:pt>
                <c:pt idx="154">
                  <c:v>1.1144207265719701</c:v>
                </c:pt>
                <c:pt idx="155">
                  <c:v>1.1144207265719701</c:v>
                </c:pt>
                <c:pt idx="156">
                  <c:v>1.1144207265719701</c:v>
                </c:pt>
                <c:pt idx="157">
                  <c:v>1.1144207265719701</c:v>
                </c:pt>
                <c:pt idx="158">
                  <c:v>1.1144207265719701</c:v>
                </c:pt>
                <c:pt idx="159">
                  <c:v>1.1144207265719701</c:v>
                </c:pt>
                <c:pt idx="160">
                  <c:v>1.1144207265719701</c:v>
                </c:pt>
                <c:pt idx="161">
                  <c:v>1.1144207265719701</c:v>
                </c:pt>
                <c:pt idx="162">
                  <c:v>1.1144207265719701</c:v>
                </c:pt>
                <c:pt idx="163">
                  <c:v>1.1144207265719701</c:v>
                </c:pt>
                <c:pt idx="164">
                  <c:v>1.1144207265719701</c:v>
                </c:pt>
                <c:pt idx="165">
                  <c:v>1.1144207265719701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CWB_ICVT_2!$P$1</c:f>
              <c:strCache>
                <c:ptCount val="1"/>
                <c:pt idx="0">
                  <c:v> ICVT/CWB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CWB_ICVT_2!$P$2:$P$167</c:f>
              <c:numCache>
                <c:formatCode>_(* #,##0.0000_);_(* \(#,##0.0000\);_(* "-"??_);_(@_)</c:formatCode>
                <c:ptCount val="166"/>
                <c:pt idx="9">
                  <c:v>1.10218252225373</c:v>
                </c:pt>
                <c:pt idx="10">
                  <c:v>1.1019698516584899</c:v>
                </c:pt>
                <c:pt idx="11">
                  <c:v>1.10211778019607</c:v>
                </c:pt>
                <c:pt idx="12">
                  <c:v>1.1022267508530501</c:v>
                </c:pt>
                <c:pt idx="13">
                  <c:v>1.1021958277772299</c:v>
                </c:pt>
                <c:pt idx="14">
                  <c:v>1.1025257937742401</c:v>
                </c:pt>
                <c:pt idx="15">
                  <c:v>1.1030041073797101</c:v>
                </c:pt>
                <c:pt idx="16">
                  <c:v>1.10343443701444</c:v>
                </c:pt>
                <c:pt idx="17">
                  <c:v>1.1038478134955201</c:v>
                </c:pt>
                <c:pt idx="18">
                  <c:v>1.1047025694064001</c:v>
                </c:pt>
                <c:pt idx="19">
                  <c:v>1.1053902827786499</c:v>
                </c:pt>
                <c:pt idx="20">
                  <c:v>1.1059628469210001</c:v>
                </c:pt>
                <c:pt idx="21">
                  <c:v>1.1066905063647099</c:v>
                </c:pt>
                <c:pt idx="22">
                  <c:v>1.10710703283626</c:v>
                </c:pt>
                <c:pt idx="23">
                  <c:v>1.10779194162496</c:v>
                </c:pt>
                <c:pt idx="24">
                  <c:v>1.1083919201647201</c:v>
                </c:pt>
                <c:pt idx="25">
                  <c:v>1.1084655574172899</c:v>
                </c:pt>
                <c:pt idx="26">
                  <c:v>1.1085015227386901</c:v>
                </c:pt>
                <c:pt idx="27">
                  <c:v>1.10834363821227</c:v>
                </c:pt>
                <c:pt idx="28">
                  <c:v>1.1080970899940199</c:v>
                </c:pt>
                <c:pt idx="29">
                  <c:v>1.1080756427320499</c:v>
                </c:pt>
                <c:pt idx="30">
                  <c:v>1.1078287965873499</c:v>
                </c:pt>
                <c:pt idx="31">
                  <c:v>1.1074198389269301</c:v>
                </c:pt>
                <c:pt idx="32">
                  <c:v>1.1074792438535099</c:v>
                </c:pt>
                <c:pt idx="33">
                  <c:v>1.1074882448240499</c:v>
                </c:pt>
                <c:pt idx="34">
                  <c:v>1.1072332353190599</c:v>
                </c:pt>
                <c:pt idx="35">
                  <c:v>1.10707703487428</c:v>
                </c:pt>
                <c:pt idx="36">
                  <c:v>1.1069412149388</c:v>
                </c:pt>
                <c:pt idx="37">
                  <c:v>1.10732018381887</c:v>
                </c:pt>
                <c:pt idx="38">
                  <c:v>1.1077655137798901</c:v>
                </c:pt>
                <c:pt idx="39">
                  <c:v>1.1084253497075101</c:v>
                </c:pt>
                <c:pt idx="40">
                  <c:v>1.10883349412409</c:v>
                </c:pt>
                <c:pt idx="41">
                  <c:v>1.10919393213051</c:v>
                </c:pt>
                <c:pt idx="42">
                  <c:v>1.10940886401552</c:v>
                </c:pt>
                <c:pt idx="43">
                  <c:v>1.1092917040115899</c:v>
                </c:pt>
                <c:pt idx="44">
                  <c:v>1.10951467161099</c:v>
                </c:pt>
                <c:pt idx="45">
                  <c:v>1.1102672675293801</c:v>
                </c:pt>
                <c:pt idx="46">
                  <c:v>1.1111324666203499</c:v>
                </c:pt>
                <c:pt idx="47">
                  <c:v>1.11114332921346</c:v>
                </c:pt>
                <c:pt idx="48">
                  <c:v>1.11136793465756</c:v>
                </c:pt>
                <c:pt idx="49">
                  <c:v>1.11120101478829</c:v>
                </c:pt>
                <c:pt idx="50">
                  <c:v>1.11140203541456</c:v>
                </c:pt>
                <c:pt idx="51">
                  <c:v>1.11162626795834</c:v>
                </c:pt>
                <c:pt idx="52">
                  <c:v>1.1119364269049901</c:v>
                </c:pt>
                <c:pt idx="53">
                  <c:v>1.1124477908199799</c:v>
                </c:pt>
                <c:pt idx="54">
                  <c:v>1.1126059576768399</c:v>
                </c:pt>
                <c:pt idx="55">
                  <c:v>1.1128259333064701</c:v>
                </c:pt>
                <c:pt idx="56">
                  <c:v>1.11301359125119</c:v>
                </c:pt>
                <c:pt idx="57">
                  <c:v>1.113708326165</c:v>
                </c:pt>
                <c:pt idx="58">
                  <c:v>1.1147459201054</c:v>
                </c:pt>
                <c:pt idx="59">
                  <c:v>1.1147937809753501</c:v>
                </c:pt>
                <c:pt idx="60">
                  <c:v>1.11482380549108</c:v>
                </c:pt>
                <c:pt idx="61">
                  <c:v>1.11469546703524</c:v>
                </c:pt>
                <c:pt idx="62">
                  <c:v>1.11469752729106</c:v>
                </c:pt>
                <c:pt idx="63">
                  <c:v>1.1148034242149201</c:v>
                </c:pt>
                <c:pt idx="64">
                  <c:v>1.1149354481765399</c:v>
                </c:pt>
                <c:pt idx="65">
                  <c:v>1.1148490875773001</c:v>
                </c:pt>
                <c:pt idx="66">
                  <c:v>1.11471455164873</c:v>
                </c:pt>
                <c:pt idx="67">
                  <c:v>1.11469783623633</c:v>
                </c:pt>
                <c:pt idx="68">
                  <c:v>1.1133583228641699</c:v>
                </c:pt>
                <c:pt idx="69">
                  <c:v>1.1130925035106101</c:v>
                </c:pt>
                <c:pt idx="70">
                  <c:v>1.1132614003325101</c:v>
                </c:pt>
                <c:pt idx="71">
                  <c:v>1.11311311868706</c:v>
                </c:pt>
                <c:pt idx="72">
                  <c:v>1.1132540302631</c:v>
                </c:pt>
                <c:pt idx="73">
                  <c:v>1.11311325782138</c:v>
                </c:pt>
                <c:pt idx="74">
                  <c:v>1.11315295864752</c:v>
                </c:pt>
                <c:pt idx="75">
                  <c:v>1.1129588082334201</c:v>
                </c:pt>
                <c:pt idx="76">
                  <c:v>1.1124981196181001</c:v>
                </c:pt>
                <c:pt idx="77">
                  <c:v>1.1122757689789899</c:v>
                </c:pt>
                <c:pt idx="78">
                  <c:v>1.11249455783395</c:v>
                </c:pt>
                <c:pt idx="79">
                  <c:v>1.1124274080177901</c:v>
                </c:pt>
                <c:pt idx="80">
                  <c:v>1.1124955669033401</c:v>
                </c:pt>
                <c:pt idx="81">
                  <c:v>1.1130009104912</c:v>
                </c:pt>
                <c:pt idx="82">
                  <c:v>1.1130143757342399</c:v>
                </c:pt>
                <c:pt idx="83">
                  <c:v>1.11356720598438</c:v>
                </c:pt>
                <c:pt idx="84">
                  <c:v>1.11369496608326</c:v>
                </c:pt>
                <c:pt idx="85">
                  <c:v>1.1144411764828199</c:v>
                </c:pt>
                <c:pt idx="86">
                  <c:v>1.1151227768754299</c:v>
                </c:pt>
                <c:pt idx="87">
                  <c:v>1.1153410172827201</c:v>
                </c:pt>
                <c:pt idx="88">
                  <c:v>1.1159444096122699</c:v>
                </c:pt>
                <c:pt idx="89">
                  <c:v>1.11651533664747</c:v>
                </c:pt>
                <c:pt idx="90">
                  <c:v>1.1169201377864899</c:v>
                </c:pt>
                <c:pt idx="91">
                  <c:v>1.11720285484354</c:v>
                </c:pt>
                <c:pt idx="92">
                  <c:v>1.11784153637921</c:v>
                </c:pt>
                <c:pt idx="93">
                  <c:v>1.1180822406001401</c:v>
                </c:pt>
                <c:pt idx="94">
                  <c:v>1.1184324594563899</c:v>
                </c:pt>
                <c:pt idx="95">
                  <c:v>1.1185526092162701</c:v>
                </c:pt>
                <c:pt idx="96">
                  <c:v>1.11885895022683</c:v>
                </c:pt>
                <c:pt idx="97">
                  <c:v>1.11936823812761</c:v>
                </c:pt>
                <c:pt idx="98">
                  <c:v>1.11992258835517</c:v>
                </c:pt>
                <c:pt idx="99">
                  <c:v>1.1205180045824601</c:v>
                </c:pt>
                <c:pt idx="100">
                  <c:v>1.1204350989732099</c:v>
                </c:pt>
                <c:pt idx="101">
                  <c:v>1.12023987348396</c:v>
                </c:pt>
                <c:pt idx="102">
                  <c:v>1.1201588385255199</c:v>
                </c:pt>
                <c:pt idx="103">
                  <c:v>1.11989008984524</c:v>
                </c:pt>
                <c:pt idx="104">
                  <c:v>1.12007642219574</c:v>
                </c:pt>
                <c:pt idx="105">
                  <c:v>1.11997473159098</c:v>
                </c:pt>
                <c:pt idx="106">
                  <c:v>1.1198006059432699</c:v>
                </c:pt>
                <c:pt idx="107">
                  <c:v>1.1197729859140999</c:v>
                </c:pt>
                <c:pt idx="108">
                  <c:v>1.11957714427695</c:v>
                </c:pt>
                <c:pt idx="109">
                  <c:v>1.11918305339498</c:v>
                </c:pt>
                <c:pt idx="110">
                  <c:v>1.11926579471771</c:v>
                </c:pt>
                <c:pt idx="111">
                  <c:v>1.11966996383092</c:v>
                </c:pt>
                <c:pt idx="112">
                  <c:v>1.1198239107021799</c:v>
                </c:pt>
                <c:pt idx="113">
                  <c:v>1.1200702885915399</c:v>
                </c:pt>
                <c:pt idx="114">
                  <c:v>1.1202349073662401</c:v>
                </c:pt>
                <c:pt idx="115">
                  <c:v>1.1206145068233799</c:v>
                </c:pt>
                <c:pt idx="116">
                  <c:v>1.12135480653654</c:v>
                </c:pt>
                <c:pt idx="117">
                  <c:v>1.12190711727598</c:v>
                </c:pt>
                <c:pt idx="118">
                  <c:v>1.1223206287493499</c:v>
                </c:pt>
                <c:pt idx="119">
                  <c:v>1.1231013028611001</c:v>
                </c:pt>
                <c:pt idx="120">
                  <c:v>1.12385413313614</c:v>
                </c:pt>
                <c:pt idx="121">
                  <c:v>1.1245715981268201</c:v>
                </c:pt>
                <c:pt idx="122">
                  <c:v>1.12526555177676</c:v>
                </c:pt>
                <c:pt idx="123">
                  <c:v>1.12596495803081</c:v>
                </c:pt>
                <c:pt idx="124">
                  <c:v>1.1262069916138799</c:v>
                </c:pt>
                <c:pt idx="125">
                  <c:v>1.12605414794795</c:v>
                </c:pt>
                <c:pt idx="126">
                  <c:v>1.1254995752510899</c:v>
                </c:pt>
                <c:pt idx="127">
                  <c:v>1.12480335295094</c:v>
                </c:pt>
                <c:pt idx="128">
                  <c:v>1.1245186494688399</c:v>
                </c:pt>
                <c:pt idx="129">
                  <c:v>1.12399289541009</c:v>
                </c:pt>
                <c:pt idx="130">
                  <c:v>1.12343147067044</c:v>
                </c:pt>
                <c:pt idx="131">
                  <c:v>1.12260831934262</c:v>
                </c:pt>
                <c:pt idx="132">
                  <c:v>1.1216778339517901</c:v>
                </c:pt>
                <c:pt idx="133">
                  <c:v>1.1207746927281499</c:v>
                </c:pt>
                <c:pt idx="134">
                  <c:v>1.1203424523283501</c:v>
                </c:pt>
                <c:pt idx="135">
                  <c:v>1.1202526316390899</c:v>
                </c:pt>
                <c:pt idx="136">
                  <c:v>1.12083049017105</c:v>
                </c:pt>
                <c:pt idx="137">
                  <c:v>1.1209816487950399</c:v>
                </c:pt>
                <c:pt idx="138">
                  <c:v>1.1210690394651599</c:v>
                </c:pt>
                <c:pt idx="139">
                  <c:v>1.12111144118613</c:v>
                </c:pt>
                <c:pt idx="140">
                  <c:v>1.1209967561288099</c:v>
                </c:pt>
                <c:pt idx="141">
                  <c:v>1.12057520620226</c:v>
                </c:pt>
                <c:pt idx="142">
                  <c:v>1.1200700287287</c:v>
                </c:pt>
                <c:pt idx="143">
                  <c:v>1.11985913422405</c:v>
                </c:pt>
                <c:pt idx="144">
                  <c:v>1.1189622735889</c:v>
                </c:pt>
                <c:pt idx="145">
                  <c:v>1.1182755673824201</c:v>
                </c:pt>
                <c:pt idx="146">
                  <c:v>1.11688154684467</c:v>
                </c:pt>
                <c:pt idx="147">
                  <c:v>1.1161139619520899</c:v>
                </c:pt>
                <c:pt idx="148">
                  <c:v>1.1151184163540799</c:v>
                </c:pt>
                <c:pt idx="149">
                  <c:v>1.1144369537624199</c:v>
                </c:pt>
                <c:pt idx="150">
                  <c:v>1.1136252192873699</c:v>
                </c:pt>
                <c:pt idx="151">
                  <c:v>1.1134353083488899</c:v>
                </c:pt>
                <c:pt idx="152">
                  <c:v>1.1136697245651701</c:v>
                </c:pt>
                <c:pt idx="153">
                  <c:v>1.1133546605602</c:v>
                </c:pt>
                <c:pt idx="154">
                  <c:v>1.1138323983952401</c:v>
                </c:pt>
                <c:pt idx="155">
                  <c:v>1.1142494434211301</c:v>
                </c:pt>
                <c:pt idx="156">
                  <c:v>1.11453718927637</c:v>
                </c:pt>
                <c:pt idx="157">
                  <c:v>1.1149504676854101</c:v>
                </c:pt>
                <c:pt idx="158">
                  <c:v>1.1152417983246601</c:v>
                </c:pt>
                <c:pt idx="159">
                  <c:v>1.1155691165836199</c:v>
                </c:pt>
                <c:pt idx="160">
                  <c:v>1.1161883631840399</c:v>
                </c:pt>
                <c:pt idx="161">
                  <c:v>1.11659236353177</c:v>
                </c:pt>
                <c:pt idx="162">
                  <c:v>1.11620850515207</c:v>
                </c:pt>
                <c:pt idx="163">
                  <c:v>1.11646710652864</c:v>
                </c:pt>
                <c:pt idx="164">
                  <c:v>1.1163230041671801</c:v>
                </c:pt>
                <c:pt idx="165">
                  <c:v>1.1158735716225401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CWB_ICVT_2!$Q$1</c:f>
              <c:strCache>
                <c:ptCount val="1"/>
                <c:pt idx="0">
                  <c:v> ICVT/CWB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CWB_ICVT_2!$Q$2:$Q$167</c:f>
              <c:numCache>
                <c:formatCode>_(* #,##0.0000_);_(* \(#,##0.0000\);_(* "-"??_);_(@_)</c:formatCode>
                <c:ptCount val="166"/>
                <c:pt idx="19">
                  <c:v>1.1037864025161901</c:v>
                </c:pt>
                <c:pt idx="20">
                  <c:v>1.10396634928975</c:v>
                </c:pt>
                <c:pt idx="21">
                  <c:v>1.1044041432803899</c:v>
                </c:pt>
                <c:pt idx="22">
                  <c:v>1.10466689184466</c:v>
                </c:pt>
                <c:pt idx="23">
                  <c:v>1.1049938847010901</c:v>
                </c:pt>
                <c:pt idx="24">
                  <c:v>1.1054588569694801</c:v>
                </c:pt>
                <c:pt idx="25">
                  <c:v>1.1057348323984999</c:v>
                </c:pt>
                <c:pt idx="26">
                  <c:v>1.10596797987657</c:v>
                </c:pt>
                <c:pt idx="27">
                  <c:v>1.1060957258538999</c:v>
                </c:pt>
                <c:pt idx="28">
                  <c:v>1.10639982970021</c:v>
                </c:pt>
                <c:pt idx="29">
                  <c:v>1.1067329627553499</c:v>
                </c:pt>
                <c:pt idx="30">
                  <c:v>1.10689582175417</c:v>
                </c:pt>
                <c:pt idx="31">
                  <c:v>1.10705517264582</c:v>
                </c:pt>
                <c:pt idx="32">
                  <c:v>1.1072931383448901</c:v>
                </c:pt>
                <c:pt idx="33">
                  <c:v>1.1076400932245001</c:v>
                </c:pt>
                <c:pt idx="34">
                  <c:v>1.1078125777418899</c:v>
                </c:pt>
                <c:pt idx="35">
                  <c:v>1.10777129614579</c:v>
                </c:pt>
                <c:pt idx="36">
                  <c:v>1.1077213688387499</c:v>
                </c:pt>
                <c:pt idx="37">
                  <c:v>1.1078319110155701</c:v>
                </c:pt>
                <c:pt idx="38">
                  <c:v>1.1079313018869501</c:v>
                </c:pt>
                <c:pt idx="39">
                  <c:v>1.1082504962197799</c:v>
                </c:pt>
                <c:pt idx="40">
                  <c:v>1.1083311453557201</c:v>
                </c:pt>
                <c:pt idx="41">
                  <c:v>1.1083068855287199</c:v>
                </c:pt>
                <c:pt idx="42">
                  <c:v>1.10844405393451</c:v>
                </c:pt>
                <c:pt idx="43">
                  <c:v>1.1083899744178201</c:v>
                </c:pt>
                <c:pt idx="44">
                  <c:v>1.1083739534650201</c:v>
                </c:pt>
                <c:pt idx="45">
                  <c:v>1.10867215120183</c:v>
                </c:pt>
                <c:pt idx="46">
                  <c:v>1.1090368407795801</c:v>
                </c:pt>
                <c:pt idx="47">
                  <c:v>1.10923175651616</c:v>
                </c:pt>
                <c:pt idx="48">
                  <c:v>1.1095667242187199</c:v>
                </c:pt>
                <c:pt idx="49">
                  <c:v>1.1098131822479</c:v>
                </c:pt>
                <c:pt idx="50">
                  <c:v>1.1101177647693301</c:v>
                </c:pt>
                <c:pt idx="51">
                  <c:v>1.11041010004442</c:v>
                </c:pt>
                <c:pt idx="52">
                  <c:v>1.11067264546025</c:v>
                </c:pt>
                <c:pt idx="53">
                  <c:v>1.11086974741579</c:v>
                </c:pt>
                <c:pt idx="54">
                  <c:v>1.11106031464391</c:v>
                </c:pt>
                <c:pt idx="55">
                  <c:v>1.11154660041793</c:v>
                </c:pt>
                <c:pt idx="56">
                  <c:v>1.1120730289357701</c:v>
                </c:pt>
                <c:pt idx="57">
                  <c:v>1.11242582768923</c:v>
                </c:pt>
                <c:pt idx="58">
                  <c:v>1.1130569273814801</c:v>
                </c:pt>
                <c:pt idx="59">
                  <c:v>1.1129973978818199</c:v>
                </c:pt>
                <c:pt idx="60">
                  <c:v>1.1131129204528201</c:v>
                </c:pt>
                <c:pt idx="61">
                  <c:v>1.1131608674967901</c:v>
                </c:pt>
                <c:pt idx="62">
                  <c:v>1.11331697709803</c:v>
                </c:pt>
                <c:pt idx="63">
                  <c:v>1.11362560751745</c:v>
                </c:pt>
                <c:pt idx="64">
                  <c:v>1.1137707029266899</c:v>
                </c:pt>
                <c:pt idx="65">
                  <c:v>1.1138375104418901</c:v>
                </c:pt>
                <c:pt idx="66">
                  <c:v>1.1138640714499599</c:v>
                </c:pt>
                <c:pt idx="67">
                  <c:v>1.11420308120067</c:v>
                </c:pt>
                <c:pt idx="68">
                  <c:v>1.1140521214847801</c:v>
                </c:pt>
                <c:pt idx="69">
                  <c:v>1.11394314224298</c:v>
                </c:pt>
                <c:pt idx="70">
                  <c:v>1.1140426029118</c:v>
                </c:pt>
                <c:pt idx="71">
                  <c:v>1.11390429286115</c:v>
                </c:pt>
                <c:pt idx="72">
                  <c:v>1.1139757787770801</c:v>
                </c:pt>
                <c:pt idx="73">
                  <c:v>1.1139583410181499</c:v>
                </c:pt>
                <c:pt idx="74">
                  <c:v>1.1140442034120299</c:v>
                </c:pt>
                <c:pt idx="75">
                  <c:v>1.1139039479053601</c:v>
                </c:pt>
                <c:pt idx="76">
                  <c:v>1.11360633563342</c:v>
                </c:pt>
                <c:pt idx="77">
                  <c:v>1.1134868026076601</c:v>
                </c:pt>
                <c:pt idx="78">
                  <c:v>1.11292644034906</c:v>
                </c:pt>
                <c:pt idx="79">
                  <c:v>1.1127599557642001</c:v>
                </c:pt>
                <c:pt idx="80">
                  <c:v>1.11287848361793</c:v>
                </c:pt>
                <c:pt idx="81">
                  <c:v>1.1130570145891301</c:v>
                </c:pt>
                <c:pt idx="82">
                  <c:v>1.1131342029986699</c:v>
                </c:pt>
                <c:pt idx="83">
                  <c:v>1.11334023190288</c:v>
                </c:pt>
                <c:pt idx="84">
                  <c:v>1.1134239623653901</c:v>
                </c:pt>
                <c:pt idx="85">
                  <c:v>1.1136999923581199</c:v>
                </c:pt>
                <c:pt idx="86">
                  <c:v>1.1138104482467699</c:v>
                </c:pt>
                <c:pt idx="87">
                  <c:v>1.11380839313086</c:v>
                </c:pt>
                <c:pt idx="88">
                  <c:v>1.1142194837231101</c:v>
                </c:pt>
                <c:pt idx="89">
                  <c:v>1.1144713723326301</c:v>
                </c:pt>
                <c:pt idx="90">
                  <c:v>1.1147078523449201</c:v>
                </c:pt>
                <c:pt idx="91">
                  <c:v>1.11510188266737</c:v>
                </c:pt>
                <c:pt idx="92">
                  <c:v>1.11542795605672</c:v>
                </c:pt>
                <c:pt idx="93">
                  <c:v>1.11582472329226</c:v>
                </c:pt>
                <c:pt idx="94">
                  <c:v>1.1160637127698201</c:v>
                </c:pt>
                <c:pt idx="95">
                  <c:v>1.11649689284954</c:v>
                </c:pt>
                <c:pt idx="96">
                  <c:v>1.1169908635511301</c:v>
                </c:pt>
                <c:pt idx="97">
                  <c:v>1.11735462770516</c:v>
                </c:pt>
                <c:pt idx="98">
                  <c:v>1.11793349898372</c:v>
                </c:pt>
                <c:pt idx="99">
                  <c:v>1.1185166706149701</c:v>
                </c:pt>
                <c:pt idx="100">
                  <c:v>1.1186776183798499</c:v>
                </c:pt>
                <c:pt idx="101">
                  <c:v>1.1187213641637499</c:v>
                </c:pt>
                <c:pt idx="102">
                  <c:v>1.1190001874523601</c:v>
                </c:pt>
                <c:pt idx="103">
                  <c:v>1.11898616522269</c:v>
                </c:pt>
                <c:pt idx="104">
                  <c:v>1.1192544408260601</c:v>
                </c:pt>
                <c:pt idx="105">
                  <c:v>1.1192636704036301</c:v>
                </c:pt>
                <c:pt idx="106">
                  <c:v>1.11932977808505</c:v>
                </c:pt>
                <c:pt idx="107">
                  <c:v>1.11957061202085</c:v>
                </c:pt>
                <c:pt idx="108">
                  <c:v>1.1197498663160601</c:v>
                </c:pt>
                <c:pt idx="109">
                  <c:v>1.11985052898872</c:v>
                </c:pt>
                <c:pt idx="110">
                  <c:v>1.11985044684546</c:v>
                </c:pt>
                <c:pt idx="111">
                  <c:v>1.11995491865744</c:v>
                </c:pt>
                <c:pt idx="112">
                  <c:v>1.1199913746138499</c:v>
                </c:pt>
                <c:pt idx="113">
                  <c:v>1.11998018921839</c:v>
                </c:pt>
                <c:pt idx="114">
                  <c:v>1.12015566478099</c:v>
                </c:pt>
                <c:pt idx="115">
                  <c:v>1.1202946192071801</c:v>
                </c:pt>
                <c:pt idx="116">
                  <c:v>1.1205777062399001</c:v>
                </c:pt>
                <c:pt idx="117">
                  <c:v>1.1208400515950401</c:v>
                </c:pt>
                <c:pt idx="118">
                  <c:v>1.1209488865131501</c:v>
                </c:pt>
                <c:pt idx="119">
                  <c:v>1.12114217812804</c:v>
                </c:pt>
                <c:pt idx="120">
                  <c:v>1.12155996392692</c:v>
                </c:pt>
                <c:pt idx="121">
                  <c:v>1.12212078097887</c:v>
                </c:pt>
                <c:pt idx="122">
                  <c:v>1.1225447312394701</c:v>
                </c:pt>
                <c:pt idx="123">
                  <c:v>1.1230176233111699</c:v>
                </c:pt>
                <c:pt idx="124">
                  <c:v>1.12322094949006</c:v>
                </c:pt>
                <c:pt idx="125">
                  <c:v>1.12333432738567</c:v>
                </c:pt>
                <c:pt idx="126">
                  <c:v>1.12342719089381</c:v>
                </c:pt>
                <c:pt idx="127">
                  <c:v>1.1233552351134599</c:v>
                </c:pt>
                <c:pt idx="128">
                  <c:v>1.1234196391091</c:v>
                </c:pt>
                <c:pt idx="129">
                  <c:v>1.1235470991356</c:v>
                </c:pt>
                <c:pt idx="130">
                  <c:v>1.12364280190329</c:v>
                </c:pt>
                <c:pt idx="131">
                  <c:v>1.12358995873472</c:v>
                </c:pt>
                <c:pt idx="132">
                  <c:v>1.1234716928642701</c:v>
                </c:pt>
                <c:pt idx="133">
                  <c:v>1.1233698253794799</c:v>
                </c:pt>
                <c:pt idx="134">
                  <c:v>1.1232747219711099</c:v>
                </c:pt>
                <c:pt idx="135">
                  <c:v>1.12315338979352</c:v>
                </c:pt>
                <c:pt idx="136">
                  <c:v>1.12316503271107</c:v>
                </c:pt>
                <c:pt idx="137">
                  <c:v>1.12289250087299</c:v>
                </c:pt>
                <c:pt idx="138">
                  <c:v>1.122793844467</c:v>
                </c:pt>
                <c:pt idx="139">
                  <c:v>1.1225521682981101</c:v>
                </c:pt>
                <c:pt idx="140">
                  <c:v>1.12221411339963</c:v>
                </c:pt>
                <c:pt idx="141">
                  <c:v>1.1215917627724401</c:v>
                </c:pt>
                <c:pt idx="142">
                  <c:v>1.12087393134025</c:v>
                </c:pt>
                <c:pt idx="143">
                  <c:v>1.1203169134761</c:v>
                </c:pt>
                <c:pt idx="144">
                  <c:v>1.1196523629586199</c:v>
                </c:pt>
                <c:pt idx="145">
                  <c:v>1.1192640995107499</c:v>
                </c:pt>
                <c:pt idx="146">
                  <c:v>1.11885601850786</c:v>
                </c:pt>
                <c:pt idx="147">
                  <c:v>1.11854780537356</c:v>
                </c:pt>
                <c:pt idx="148">
                  <c:v>1.1180937279096199</c:v>
                </c:pt>
                <c:pt idx="149">
                  <c:v>1.1177741974742701</c:v>
                </c:pt>
                <c:pt idx="150">
                  <c:v>1.11731098770809</c:v>
                </c:pt>
                <c:pt idx="151">
                  <c:v>1.11700525727557</c:v>
                </c:pt>
                <c:pt idx="152">
                  <c:v>1.11686987664694</c:v>
                </c:pt>
                <c:pt idx="153">
                  <c:v>1.1166068973921299</c:v>
                </c:pt>
                <c:pt idx="154">
                  <c:v>1.11639733599207</c:v>
                </c:pt>
                <c:pt idx="155">
                  <c:v>1.1162625054017701</c:v>
                </c:pt>
                <c:pt idx="156">
                  <c:v>1.1157093680605199</c:v>
                </c:pt>
                <c:pt idx="157">
                  <c:v>1.1155322148187501</c:v>
                </c:pt>
                <c:pt idx="158">
                  <c:v>1.1151801073393699</c:v>
                </c:pt>
                <c:pt idx="159">
                  <c:v>1.11500303517302</c:v>
                </c:pt>
                <c:pt idx="160">
                  <c:v>1.1149067912357</c:v>
                </c:pt>
                <c:pt idx="161">
                  <c:v>1.1150138359403301</c:v>
                </c:pt>
                <c:pt idx="162">
                  <c:v>1.1149391148586201</c:v>
                </c:pt>
                <c:pt idx="163">
                  <c:v>1.1149108835444199</c:v>
                </c:pt>
                <c:pt idx="164">
                  <c:v>1.1150777012812101</c:v>
                </c:pt>
                <c:pt idx="165">
                  <c:v>1.11506150752183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CWB_ICVT_2!$AF$1</c:f>
              <c:strCache>
                <c:ptCount val="1"/>
                <c:pt idx="0">
                  <c:v>log diff CWB* x 10 dma / ICVT*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CWB_ICVT_2!$AF$2:$AF$167</c:f>
              <c:numCache>
                <c:formatCode>0.00%</c:formatCode>
                <c:ptCount val="166"/>
                <c:pt idx="10">
                  <c:v>-3.4862128681375598E-4</c:v>
                </c:pt>
                <c:pt idx="11">
                  <c:v>-2.0016821393526799E-3</c:v>
                </c:pt>
                <c:pt idx="12">
                  <c:v>-1.22979989593216E-3</c:v>
                </c:pt>
                <c:pt idx="13">
                  <c:v>-7.52669739467281E-4</c:v>
                </c:pt>
                <c:pt idx="14">
                  <c:v>-2.84499256837346E-3</c:v>
                </c:pt>
                <c:pt idx="15">
                  <c:v>-3.22144267074281E-3</c:v>
                </c:pt>
                <c:pt idx="16">
                  <c:v>-2.9938119250238499E-3</c:v>
                </c:pt>
                <c:pt idx="17">
                  <c:v>-2.63041661836424E-3</c:v>
                </c:pt>
                <c:pt idx="18">
                  <c:v>-3.93951908529347E-3</c:v>
                </c:pt>
                <c:pt idx="19">
                  <c:v>-3.2973547382751998E-3</c:v>
                </c:pt>
                <c:pt idx="20">
                  <c:v>-2.7360494127369899E-3</c:v>
                </c:pt>
                <c:pt idx="21">
                  <c:v>-5.0527650546377898E-3</c:v>
                </c:pt>
                <c:pt idx="22">
                  <c:v>-9.5020999465597698E-4</c:v>
                </c:pt>
                <c:pt idx="23">
                  <c:v>-2.6062789385264099E-3</c:v>
                </c:pt>
                <c:pt idx="24">
                  <c:v>-3.2592406703182502E-3</c:v>
                </c:pt>
                <c:pt idx="25">
                  <c:v>1.3624589969907499E-3</c:v>
                </c:pt>
                <c:pt idx="26">
                  <c:v>1.57398606275384E-3</c:v>
                </c:pt>
                <c:pt idx="27">
                  <c:v>3.3424601592574E-3</c:v>
                </c:pt>
                <c:pt idx="28">
                  <c:v>2.3272863606074901E-3</c:v>
                </c:pt>
                <c:pt idx="29">
                  <c:v>-4.6190022882519098E-5</c:v>
                </c:pt>
                <c:pt idx="30">
                  <c:v>2.0331641539590799E-3</c:v>
                </c:pt>
                <c:pt idx="31">
                  <c:v>4.1962858134695198E-4</c:v>
                </c:pt>
                <c:pt idx="32">
                  <c:v>-7.32389130322694E-4</c:v>
                </c:pt>
                <c:pt idx="33">
                  <c:v>-2.2669180997298998E-3</c:v>
                </c:pt>
                <c:pt idx="34">
                  <c:v>-1.1702010635804101E-3</c:v>
                </c:pt>
                <c:pt idx="35">
                  <c:v>1.78443439918255E-3</c:v>
                </c:pt>
                <c:pt idx="36">
                  <c:v>1.5945797417526301E-3</c:v>
                </c:pt>
                <c:pt idx="37">
                  <c:v>-1.4518037712592199E-3</c:v>
                </c:pt>
                <c:pt idx="38">
                  <c:v>-2.5886632649913801E-3</c:v>
                </c:pt>
                <c:pt idx="39">
                  <c:v>-5.9478681138984404E-3</c:v>
                </c:pt>
                <c:pt idx="40">
                  <c:v>-1.0492201970299299E-3</c:v>
                </c:pt>
                <c:pt idx="41">
                  <c:v>-1.6708423384597501E-3</c:v>
                </c:pt>
                <c:pt idx="42">
                  <c:v>-8.48642262185644E-4</c:v>
                </c:pt>
                <c:pt idx="43">
                  <c:v>7.1833938314081695E-4</c:v>
                </c:pt>
                <c:pt idx="44">
                  <c:v>-1.3921000327495299E-3</c:v>
                </c:pt>
                <c:pt idx="45">
                  <c:v>-2.8100736767132498E-3</c:v>
                </c:pt>
                <c:pt idx="46">
                  <c:v>-3.2239615502519E-3</c:v>
                </c:pt>
                <c:pt idx="47">
                  <c:v>2.28782751225835E-3</c:v>
                </c:pt>
                <c:pt idx="48">
                  <c:v>-1.12867214675941E-3</c:v>
                </c:pt>
                <c:pt idx="49">
                  <c:v>-1.5237051584109801E-3</c:v>
                </c:pt>
                <c:pt idx="50">
                  <c:v>-6.4389777985320495E-4</c:v>
                </c:pt>
                <c:pt idx="51">
                  <c:v>-1.62477731183777E-3</c:v>
                </c:pt>
                <c:pt idx="52">
                  <c:v>-1.66897955600995E-3</c:v>
                </c:pt>
                <c:pt idx="53">
                  <c:v>-1.7919010183508901E-3</c:v>
                </c:pt>
                <c:pt idx="54">
                  <c:v>-1.3318221930582E-4</c:v>
                </c:pt>
                <c:pt idx="55">
                  <c:v>-2.1295141153768898E-3</c:v>
                </c:pt>
                <c:pt idx="56">
                  <c:v>-2.7008988873622498E-3</c:v>
                </c:pt>
                <c:pt idx="57">
                  <c:v>-2.3188343839038801E-3</c:v>
                </c:pt>
                <c:pt idx="58">
                  <c:v>-8.1169212690294593E-3</c:v>
                </c:pt>
                <c:pt idx="59">
                  <c:v>1.0845605033391701E-3</c:v>
                </c:pt>
                <c:pt idx="60">
                  <c:v>2.3114528078337598E-3</c:v>
                </c:pt>
                <c:pt idx="61">
                  <c:v>2.3959496553243201E-3</c:v>
                </c:pt>
                <c:pt idx="62">
                  <c:v>8.8857102588630298E-4</c:v>
                </c:pt>
                <c:pt idx="63">
                  <c:v>-4.2456510786364598E-4</c:v>
                </c:pt>
                <c:pt idx="64">
                  <c:v>6.5481108186161302E-4</c:v>
                </c:pt>
                <c:pt idx="65">
                  <c:v>6.10895817799194E-4</c:v>
                </c:pt>
                <c:pt idx="66">
                  <c:v>2.1663371238121401E-4</c:v>
                </c:pt>
                <c:pt idx="67">
                  <c:v>-7.2864123231675105E-4</c:v>
                </c:pt>
                <c:pt idx="68">
                  <c:v>4.6696709893200902E-3</c:v>
                </c:pt>
                <c:pt idx="69">
                  <c:v>2.17425091590853E-3</c:v>
                </c:pt>
                <c:pt idx="70">
                  <c:v>-7.4772223468486598E-4</c:v>
                </c:pt>
                <c:pt idx="71">
                  <c:v>2.5235840615360598E-3</c:v>
                </c:pt>
                <c:pt idx="72">
                  <c:v>-1.61187784702119E-3</c:v>
                </c:pt>
                <c:pt idx="73">
                  <c:v>-3.0054164292560802E-4</c:v>
                </c:pt>
                <c:pt idx="74">
                  <c:v>-1.0751629239243101E-3</c:v>
                </c:pt>
                <c:pt idx="75">
                  <c:v>8.7278668850051297E-4</c:v>
                </c:pt>
                <c:pt idx="76">
                  <c:v>2.7526522965627899E-3</c:v>
                </c:pt>
                <c:pt idx="77">
                  <c:v>-6.4393914099197705E-4</c:v>
                </c:pt>
                <c:pt idx="78">
                  <c:v>5.9886229773099104E-4</c:v>
                </c:pt>
                <c:pt idx="79">
                  <c:v>2.0446098075552698E-3</c:v>
                </c:pt>
                <c:pt idx="80">
                  <c:v>-1.932449548626E-3</c:v>
                </c:pt>
                <c:pt idx="81">
                  <c:v>-2.6871497471907999E-3</c:v>
                </c:pt>
                <c:pt idx="82">
                  <c:v>-1.6785307305604901E-3</c:v>
                </c:pt>
                <c:pt idx="83">
                  <c:v>-5.3094904759603302E-3</c:v>
                </c:pt>
                <c:pt idx="84">
                  <c:v>-1.69108014563009E-3</c:v>
                </c:pt>
                <c:pt idx="85">
                  <c:v>-5.2019697718522799E-3</c:v>
                </c:pt>
                <c:pt idx="86">
                  <c:v>-1.93303810865462E-3</c:v>
                </c:pt>
                <c:pt idx="87">
                  <c:v>-1.7434842348197001E-4</c:v>
                </c:pt>
                <c:pt idx="88">
                  <c:v>-1.9962036482262901E-3</c:v>
                </c:pt>
                <c:pt idx="89">
                  <c:v>6.1431538574616601E-5</c:v>
                </c:pt>
                <c:pt idx="90">
                  <c:v>-1.8615074653019501E-3</c:v>
                </c:pt>
                <c:pt idx="91">
                  <c:v>-1.24132786871188E-3</c:v>
                </c:pt>
                <c:pt idx="92">
                  <c:v>-3.7653075790808998E-3</c:v>
                </c:pt>
                <c:pt idx="93">
                  <c:v>-3.2717010375221301E-3</c:v>
                </c:pt>
                <c:pt idx="94">
                  <c:v>-8.9638552318789197E-4</c:v>
                </c:pt>
                <c:pt idx="95">
                  <c:v>-2.1398885722963001E-3</c:v>
                </c:pt>
                <c:pt idx="96">
                  <c:v>-1.0833829269741499E-3</c:v>
                </c:pt>
                <c:pt idx="97">
                  <c:v>-1.4544540479379401E-3</c:v>
                </c:pt>
                <c:pt idx="98">
                  <c:v>-3.3935686389342198E-3</c:v>
                </c:pt>
                <c:pt idx="99">
                  <c:v>-1.7412602130843699E-3</c:v>
                </c:pt>
                <c:pt idx="100">
                  <c:v>2.40914436944396E-3</c:v>
                </c:pt>
                <c:pt idx="101">
                  <c:v>3.6115452490260301E-3</c:v>
                </c:pt>
                <c:pt idx="102">
                  <c:v>1.05909798867157E-5</c:v>
                </c:pt>
                <c:pt idx="103">
                  <c:v>1.4859822807199001E-3</c:v>
                </c:pt>
                <c:pt idx="104">
                  <c:v>-6.6480483591057097E-4</c:v>
                </c:pt>
                <c:pt idx="105">
                  <c:v>4.70804891404931E-4</c:v>
                </c:pt>
                <c:pt idx="106">
                  <c:v>1.9663850422555001E-3</c:v>
                </c:pt>
                <c:pt idx="107">
                  <c:v>-1.7292702349161999E-4</c:v>
                </c:pt>
                <c:pt idx="108">
                  <c:v>-1.1271149161390199E-3</c:v>
                </c:pt>
                <c:pt idx="109">
                  <c:v>1.5900254127294E-3</c:v>
                </c:pt>
                <c:pt idx="110">
                  <c:v>5.70270716604671E-4</c:v>
                </c:pt>
                <c:pt idx="111">
                  <c:v>-9.8403525698365492E-4</c:v>
                </c:pt>
                <c:pt idx="112">
                  <c:v>-2.2279968376074499E-3</c:v>
                </c:pt>
                <c:pt idx="113">
                  <c:v>-1.32338722499967E-3</c:v>
                </c:pt>
                <c:pt idx="114">
                  <c:v>-2.2608558844104802E-3</c:v>
                </c:pt>
                <c:pt idx="115">
                  <c:v>-3.0210116119498802E-3</c:v>
                </c:pt>
                <c:pt idx="116">
                  <c:v>-4.2835599299486E-3</c:v>
                </c:pt>
                <c:pt idx="117">
                  <c:v>-3.8857487711183099E-3</c:v>
                </c:pt>
                <c:pt idx="118">
                  <c:v>-3.0550038418459E-3</c:v>
                </c:pt>
                <c:pt idx="119">
                  <c:v>-3.0271245727631199E-3</c:v>
                </c:pt>
                <c:pt idx="120">
                  <c:v>-2.6907481624926198E-3</c:v>
                </c:pt>
                <c:pt idx="121">
                  <c:v>-3.2947292714439001E-3</c:v>
                </c:pt>
                <c:pt idx="122">
                  <c:v>-3.9983139701602203E-3</c:v>
                </c:pt>
                <c:pt idx="123">
                  <c:v>-2.8059284977121602E-3</c:v>
                </c:pt>
                <c:pt idx="124">
                  <c:v>7.1604390818403305E-4</c:v>
                </c:pt>
                <c:pt idx="125">
                  <c:v>3.5309920794571398E-3</c:v>
                </c:pt>
                <c:pt idx="126">
                  <c:v>5.3714610744639898E-3</c:v>
                </c:pt>
                <c:pt idx="127">
                  <c:v>5.8735245514723996E-3</c:v>
                </c:pt>
                <c:pt idx="128">
                  <c:v>1.95318148740912E-3</c:v>
                </c:pt>
                <c:pt idx="129">
                  <c:v>3.5141824921777701E-3</c:v>
                </c:pt>
                <c:pt idx="130">
                  <c:v>3.0148472904910602E-3</c:v>
                </c:pt>
                <c:pt idx="131">
                  <c:v>3.5856439422391698E-3</c:v>
                </c:pt>
                <c:pt idx="132">
                  <c:v>2.4814746721699499E-3</c:v>
                </c:pt>
                <c:pt idx="133">
                  <c:v>2.1537452626575501E-3</c:v>
                </c:pt>
                <c:pt idx="134">
                  <c:v>7.5965120219992905E-5</c:v>
                </c:pt>
                <c:pt idx="135">
                  <c:v>-7.4660402029530601E-4</c:v>
                </c:pt>
                <c:pt idx="136">
                  <c:v>-4.7879964232159398E-3</c:v>
                </c:pt>
                <c:pt idx="137">
                  <c:v>4.7884706273188302E-4</c:v>
                </c:pt>
                <c:pt idx="138">
                  <c:v>-2.1299173216202602E-3</c:v>
                </c:pt>
                <c:pt idx="139">
                  <c:v>1.47766308973897E-4</c:v>
                </c:pt>
                <c:pt idx="140">
                  <c:v>1.5241235405256499E-3</c:v>
                </c:pt>
                <c:pt idx="141">
                  <c:v>5.2108462131133897E-3</c:v>
                </c:pt>
                <c:pt idx="142">
                  <c:v>5.1958362908860198E-3</c:v>
                </c:pt>
                <c:pt idx="143">
                  <c:v>2.5906597698866899E-3</c:v>
                </c:pt>
                <c:pt idx="144">
                  <c:v>7.2352666746680703E-3</c:v>
                </c:pt>
                <c:pt idx="145">
                  <c:v>4.9411311226803404E-3</c:v>
                </c:pt>
                <c:pt idx="146">
                  <c:v>6.5489891862113301E-3</c:v>
                </c:pt>
                <c:pt idx="147">
                  <c:v>4.4471695448924696E-3</c:v>
                </c:pt>
                <c:pt idx="148">
                  <c:v>2.9681043163274001E-3</c:v>
                </c:pt>
                <c:pt idx="149">
                  <c:v>1.39689033781815E-3</c:v>
                </c:pt>
                <c:pt idx="150">
                  <c:v>3.2204604707046498E-3</c:v>
                </c:pt>
                <c:pt idx="151">
                  <c:v>6.64938150100803E-4</c:v>
                </c:pt>
                <c:pt idx="152">
                  <c:v>-3.03487309554819E-3</c:v>
                </c:pt>
                <c:pt idx="153">
                  <c:v>-1.61490577018797E-4</c:v>
                </c:pt>
                <c:pt idx="154">
                  <c:v>-2.7540925728889E-3</c:v>
                </c:pt>
                <c:pt idx="155">
                  <c:v>-4.1701857904176496E-3</c:v>
                </c:pt>
                <c:pt idx="156">
                  <c:v>-3.0730104989448498E-4</c:v>
                </c:pt>
                <c:pt idx="157">
                  <c:v>-1.95198252192245E-3</c:v>
                </c:pt>
                <c:pt idx="158">
                  <c:v>-1.2282564680850701E-3</c:v>
                </c:pt>
                <c:pt idx="159">
                  <c:v>-1.8783137634911999E-3</c:v>
                </c:pt>
                <c:pt idx="160">
                  <c:v>-1.66932875101828E-3</c:v>
                </c:pt>
                <c:pt idx="161">
                  <c:v>-9.61932966285256E-4</c:v>
                </c:pt>
                <c:pt idx="162">
                  <c:v>2.9834179905639702E-3</c:v>
                </c:pt>
                <c:pt idx="163">
                  <c:v>-3.3384005277792397E-4</c:v>
                </c:pt>
                <c:pt idx="164">
                  <c:v>1.26421040481513E-3</c:v>
                </c:pt>
                <c:pt idx="165">
                  <c:v>2.0836596081350699E-3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1"/>
          <c:tx>
            <c:strRef>
              <c:f>CWB_ICVT_2!$AG$1</c:f>
              <c:strCache>
                <c:ptCount val="1"/>
                <c:pt idx="0">
                  <c:v>log diff CWB* x 20 dma / ICVT*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CWB_ICVT_2!$AG$2:$AG$167</c:f>
              <c:numCache>
                <c:formatCode>0.00%</c:formatCode>
                <c:ptCount val="166"/>
                <c:pt idx="20">
                  <c:v>-4.1880659535006798E-3</c:v>
                </c:pt>
                <c:pt idx="21">
                  <c:v>-6.8653105256604799E-3</c:v>
                </c:pt>
                <c:pt idx="22">
                  <c:v>-3.0295538309775502E-3</c:v>
                </c:pt>
                <c:pt idx="23">
                  <c:v>-4.8298186465621498E-3</c:v>
                </c:pt>
                <c:pt idx="24">
                  <c:v>-5.8110327334786301E-3</c:v>
                </c:pt>
                <c:pt idx="25">
                  <c:v>-1.31561756595215E-3</c:v>
                </c:pt>
                <c:pt idx="26">
                  <c:v>-9.2658416031862301E-4</c:v>
                </c:pt>
                <c:pt idx="27">
                  <c:v>1.01456446349358E-3</c:v>
                </c:pt>
                <c:pt idx="28">
                  <c:v>2.5152316523518998E-4</c:v>
                </c:pt>
                <c:pt idx="29">
                  <c:v>-1.63040892304374E-3</c:v>
                </c:pt>
                <c:pt idx="30">
                  <c:v>7.6367569158435999E-4</c:v>
                </c:pt>
                <c:pt idx="31">
                  <c:v>-4.7429304889480301E-4</c:v>
                </c:pt>
                <c:pt idx="32">
                  <c:v>-1.1077217881276301E-3</c:v>
                </c:pt>
                <c:pt idx="33">
                  <c:v>-2.4750189412661799E-3</c:v>
                </c:pt>
                <c:pt idx="34">
                  <c:v>-1.06715983462142E-3</c:v>
                </c:pt>
                <c:pt idx="35">
                  <c:v>2.27890698970416E-3</c:v>
                </c:pt>
                <c:pt idx="36">
                  <c:v>2.19847748813954E-3</c:v>
                </c:pt>
                <c:pt idx="37">
                  <c:v>-7.6456677758478698E-4</c:v>
                </c:pt>
                <c:pt idx="38">
                  <c:v>-2.1379115023228202E-3</c:v>
                </c:pt>
                <c:pt idx="39">
                  <c:v>-5.8034415048443897E-3</c:v>
                </c:pt>
                <c:pt idx="40">
                  <c:v>-1.1902515286650499E-3</c:v>
                </c:pt>
                <c:pt idx="41">
                  <c:v>-2.0912251589595399E-3</c:v>
                </c:pt>
                <c:pt idx="42">
                  <c:v>-1.5998941905934099E-3</c:v>
                </c:pt>
                <c:pt idx="43">
                  <c:v>-8.7171983590235297E-5</c:v>
                </c:pt>
                <c:pt idx="44">
                  <c:v>-2.1251326257363699E-3</c:v>
                </c:pt>
                <c:pt idx="45">
                  <c:v>-3.7424394248948699E-3</c:v>
                </c:pt>
                <c:pt idx="46">
                  <c:v>-4.5491121065159602E-3</c:v>
                </c:pt>
                <c:pt idx="47">
                  <c:v>5.2880212607521796E-4</c:v>
                </c:pt>
                <c:pt idx="48">
                  <c:v>-2.7061609692419098E-3</c:v>
                </c:pt>
                <c:pt idx="49">
                  <c:v>-2.9854517869834598E-3</c:v>
                </c:pt>
                <c:pt idx="50">
                  <c:v>-1.74955333291941E-3</c:v>
                </c:pt>
                <c:pt idx="51">
                  <c:v>-2.65275616478687E-3</c:v>
                </c:pt>
                <c:pt idx="52">
                  <c:v>-2.65102504946733E-3</c:v>
                </c:pt>
                <c:pt idx="53">
                  <c:v>-2.8322136115236899E-3</c:v>
                </c:pt>
                <c:pt idx="54">
                  <c:v>-1.47125121119127E-3</c:v>
                </c:pt>
                <c:pt idx="55">
                  <c:v>-3.4540416857227799E-3</c:v>
                </c:pt>
                <c:pt idx="56">
                  <c:v>-3.8015479139718099E-3</c:v>
                </c:pt>
                <c:pt idx="57">
                  <c:v>-3.1306811092061998E-3</c:v>
                </c:pt>
                <c:pt idx="58">
                  <c:v>-9.2505611785218302E-3</c:v>
                </c:pt>
                <c:pt idx="59">
                  <c:v>-4.2793093665518102E-4</c:v>
                </c:pt>
                <c:pt idx="60">
                  <c:v>7.0308580164772302E-4</c:v>
                </c:pt>
                <c:pt idx="61">
                  <c:v>8.6462409671275698E-4</c:v>
                </c:pt>
                <c:pt idx="62">
                  <c:v>-4.9467402048366496E-4</c:v>
                </c:pt>
                <c:pt idx="63">
                  <c:v>-1.6792234744162601E-3</c:v>
                </c:pt>
                <c:pt idx="64">
                  <c:v>-4.2778558192427198E-4</c:v>
                </c:pt>
                <c:pt idx="65">
                  <c:v>-4.6961972131205002E-4</c:v>
                </c:pt>
                <c:pt idx="66">
                  <c:v>-7.3649381231404303E-4</c:v>
                </c:pt>
                <c:pt idx="67">
                  <c:v>-1.54723077725905E-3</c:v>
                </c:pt>
                <c:pt idx="68">
                  <c:v>4.1596980026334003E-3</c:v>
                </c:pt>
                <c:pt idx="69">
                  <c:v>2.7179241394637101E-3</c:v>
                </c:pt>
                <c:pt idx="70">
                  <c:v>-7.4316456481374698E-5</c:v>
                </c:pt>
                <c:pt idx="71">
                  <c:v>3.1244858214070502E-3</c:v>
                </c:pt>
                <c:pt idx="72">
                  <c:v>-9.9232695635290504E-4</c:v>
                </c:pt>
                <c:pt idx="73">
                  <c:v>2.6636576638286501E-4</c:v>
                </c:pt>
                <c:pt idx="74">
                  <c:v>-3.8807578959394002E-4</c:v>
                </c:pt>
                <c:pt idx="75">
                  <c:v>1.61090227335333E-3</c:v>
                </c:pt>
                <c:pt idx="76">
                  <c:v>3.5487964013849599E-3</c:v>
                </c:pt>
                <c:pt idx="77">
                  <c:v>3.0808975007517899E-4</c:v>
                </c:pt>
                <c:pt idx="78">
                  <c:v>1.6529434753310599E-3</c:v>
                </c:pt>
                <c:pt idx="79">
                  <c:v>2.4107956043906802E-3</c:v>
                </c:pt>
                <c:pt idx="80">
                  <c:v>-1.64494200260805E-3</c:v>
                </c:pt>
                <c:pt idx="81">
                  <c:v>-2.34453911961222E-3</c:v>
                </c:pt>
                <c:pt idx="82">
                  <c:v>-1.62863885741342E-3</c:v>
                </c:pt>
                <c:pt idx="83">
                  <c:v>-5.1947895676470596E-3</c:v>
                </c:pt>
                <c:pt idx="84">
                  <c:v>-1.87892602150517E-3</c:v>
                </c:pt>
                <c:pt idx="85">
                  <c:v>-5.4216189723624497E-3</c:v>
                </c:pt>
                <c:pt idx="86">
                  <c:v>-2.5656306855695301E-3</c:v>
                </c:pt>
                <c:pt idx="87">
                  <c:v>-1.3099457795990601E-3</c:v>
                </c:pt>
                <c:pt idx="88">
                  <c:v>-3.3212042539781401E-3</c:v>
                </c:pt>
                <c:pt idx="89">
                  <c:v>-1.42742326810429E-3</c:v>
                </c:pt>
                <c:pt idx="90">
                  <c:v>-3.6274526218552398E-3</c:v>
                </c:pt>
                <c:pt idx="91">
                  <c:v>-3.14966835477866E-3</c:v>
                </c:pt>
                <c:pt idx="92">
                  <c:v>-5.5662390735781702E-3</c:v>
                </c:pt>
                <c:pt idx="93">
                  <c:v>-5.3585099174499199E-3</c:v>
                </c:pt>
                <c:pt idx="94">
                  <c:v>-2.8510765988911798E-3</c:v>
                </c:pt>
                <c:pt idx="95">
                  <c:v>-4.2005255059483597E-3</c:v>
                </c:pt>
                <c:pt idx="96">
                  <c:v>-2.87156745152515E-3</c:v>
                </c:pt>
                <c:pt idx="97">
                  <c:v>-3.08218634458229E-3</c:v>
                </c:pt>
                <c:pt idx="98">
                  <c:v>-5.1576731665425E-3</c:v>
                </c:pt>
                <c:pt idx="99">
                  <c:v>-3.4898867512690398E-3</c:v>
                </c:pt>
                <c:pt idx="100">
                  <c:v>6.4317322639962304E-4</c:v>
                </c:pt>
                <c:pt idx="101">
                  <c:v>2.0551268695452201E-3</c:v>
                </c:pt>
                <c:pt idx="102">
                  <c:v>-1.3407583929918501E-3</c:v>
                </c:pt>
                <c:pt idx="103">
                  <c:v>4.7260764592322999E-4</c:v>
                </c:pt>
                <c:pt idx="104">
                  <c:v>-1.4346654444434199E-3</c:v>
                </c:pt>
                <c:pt idx="105">
                  <c:v>-2.0875606478374601E-4</c:v>
                </c:pt>
                <c:pt idx="106">
                  <c:v>1.40257625718222E-3</c:v>
                </c:pt>
                <c:pt idx="107">
                  <c:v>-5.0439674806723798E-4</c:v>
                </c:pt>
                <c:pt idx="108">
                  <c:v>-1.2010218806670801E-3</c:v>
                </c:pt>
                <c:pt idx="109">
                  <c:v>1.8689325814462399E-3</c:v>
                </c:pt>
                <c:pt idx="110">
                  <c:v>1.3088088527117799E-3</c:v>
                </c:pt>
                <c:pt idx="111">
                  <c:v>-3.0034488075578099E-4</c:v>
                </c:pt>
                <c:pt idx="112">
                  <c:v>-1.79240092111243E-3</c:v>
                </c:pt>
                <c:pt idx="113">
                  <c:v>-1.00991686481279E-3</c:v>
                </c:pt>
                <c:pt idx="114">
                  <c:v>-2.1930695945448198E-3</c:v>
                </c:pt>
                <c:pt idx="115">
                  <c:v>-2.9609233933310399E-3</c:v>
                </c:pt>
                <c:pt idx="116">
                  <c:v>-4.4548069367156204E-3</c:v>
                </c:pt>
                <c:pt idx="117">
                  <c:v>-4.4826772551731396E-3</c:v>
                </c:pt>
                <c:pt idx="118">
                  <c:v>-3.9283119931404599E-3</c:v>
                </c:pt>
                <c:pt idx="119">
                  <c:v>-4.1902655621173504E-3</c:v>
                </c:pt>
                <c:pt idx="120">
                  <c:v>-4.3946353434264496E-3</c:v>
                </c:pt>
                <c:pt idx="121">
                  <c:v>-5.3131856338960396E-3</c:v>
                </c:pt>
                <c:pt idx="122">
                  <c:v>-6.1726587327448398E-3</c:v>
                </c:pt>
                <c:pt idx="123">
                  <c:v>-5.2176275390160703E-3</c:v>
                </c:pt>
                <c:pt idx="124">
                  <c:v>-1.9013751860398199E-3</c:v>
                </c:pt>
                <c:pt idx="125">
                  <c:v>8.7379050181030603E-4</c:v>
                </c:pt>
                <c:pt idx="126">
                  <c:v>2.9438033615357901E-3</c:v>
                </c:pt>
                <c:pt idx="127">
                  <c:v>4.0135220644040102E-3</c:v>
                </c:pt>
                <c:pt idx="128">
                  <c:v>6.3897458597983404E-4</c:v>
                </c:pt>
                <c:pt idx="129">
                  <c:v>2.50240221173677E-3</c:v>
                </c:pt>
                <c:pt idx="130">
                  <c:v>2.575220084546E-3</c:v>
                </c:pt>
                <c:pt idx="131">
                  <c:v>3.72040924092073E-3</c:v>
                </c:pt>
                <c:pt idx="132">
                  <c:v>3.2916998452925802E-3</c:v>
                </c:pt>
                <c:pt idx="133">
                  <c:v>3.6769619964127798E-3</c:v>
                </c:pt>
                <c:pt idx="134">
                  <c:v>2.3169998537072201E-3</c:v>
                </c:pt>
                <c:pt idx="135">
                  <c:v>1.80041898560099E-3</c:v>
                </c:pt>
                <c:pt idx="136">
                  <c:v>-2.2618295422232701E-3</c:v>
                </c:pt>
                <c:pt idx="137">
                  <c:v>2.5086716043193698E-3</c:v>
                </c:pt>
                <c:pt idx="138">
                  <c:v>-4.6866740536287302E-4</c:v>
                </c:pt>
                <c:pt idx="139">
                  <c:v>1.6517094042908E-3</c:v>
                </c:pt>
                <c:pt idx="140">
                  <c:v>2.7840932588108999E-3</c:v>
                </c:pt>
                <c:pt idx="141">
                  <c:v>6.2807064898844703E-3</c:v>
                </c:pt>
                <c:pt idx="142">
                  <c:v>6.0955089816945801E-3</c:v>
                </c:pt>
                <c:pt idx="143">
                  <c:v>3.3094392019434298E-3</c:v>
                </c:pt>
                <c:pt idx="144">
                  <c:v>7.6463325005981702E-3</c:v>
                </c:pt>
                <c:pt idx="145">
                  <c:v>5.5579926333699497E-3</c:v>
                </c:pt>
                <c:pt idx="146">
                  <c:v>7.4712001892481899E-3</c:v>
                </c:pt>
                <c:pt idx="147">
                  <c:v>6.28631866383515E-3</c:v>
                </c:pt>
                <c:pt idx="148">
                  <c:v>5.2571249321147102E-3</c:v>
                </c:pt>
                <c:pt idx="149">
                  <c:v>4.2101585565735402E-3</c:v>
                </c:pt>
                <c:pt idx="150">
                  <c:v>6.3970528552046001E-3</c:v>
                </c:pt>
                <c:pt idx="151">
                  <c:v>4.1938311016572801E-3</c:v>
                </c:pt>
                <c:pt idx="152">
                  <c:v>4.31264878373447E-4</c:v>
                </c:pt>
                <c:pt idx="153">
                  <c:v>3.01297821744273E-3</c:v>
                </c:pt>
                <c:pt idx="154">
                  <c:v>5.0682164567199695E-4</c:v>
                </c:pt>
                <c:pt idx="155">
                  <c:v>-1.4829528914387601E-3</c:v>
                </c:pt>
                <c:pt idx="156">
                  <c:v>1.8453826299184E-3</c:v>
                </c:pt>
                <c:pt idx="157">
                  <c:v>-5.8781344528036701E-4</c:v>
                </c:pt>
                <c:pt idx="158">
                  <c:v>-4.3038990494536299E-4</c:v>
                </c:pt>
                <c:pt idx="159">
                  <c:v>-1.6954676857439701E-3</c:v>
                </c:pt>
                <c:pt idx="160">
                  <c:v>-1.9761777953285799E-3</c:v>
                </c:pt>
                <c:pt idx="161">
                  <c:v>-1.94560856879883E-3</c:v>
                </c:pt>
                <c:pt idx="162">
                  <c:v>1.6954491666865601E-3</c:v>
                </c:pt>
                <c:pt idx="163">
                  <c:v>-1.38456760650082E-3</c:v>
                </c:pt>
                <c:pt idx="164">
                  <c:v>-7.9527347751942598E-5</c:v>
                </c:pt>
                <c:pt idx="165">
                  <c:v>9.8009586217611203E-4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CWB_ICVT_2!$Y$1</c:f>
              <c:strCache>
                <c:ptCount val="1"/>
                <c:pt idx="0">
                  <c:v> ICVT*/CWB*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CWB_ICVT_2!$Y$2:$Y$167</c:f>
              <c:numCache>
                <c:formatCode>_(* #,##0.0000_);_(* \(#,##0.0000\);_(* "-"??_);_(@_)</c:formatCode>
                <c:ptCount val="166"/>
                <c:pt idx="0">
                  <c:v>1.1140664646848899</c:v>
                </c:pt>
                <c:pt idx="1">
                  <c:v>1.1140664646848899</c:v>
                </c:pt>
                <c:pt idx="2">
                  <c:v>1.1140664646848899</c:v>
                </c:pt>
                <c:pt idx="3">
                  <c:v>1.1140664646848899</c:v>
                </c:pt>
                <c:pt idx="4">
                  <c:v>1.1140664646848899</c:v>
                </c:pt>
                <c:pt idx="5">
                  <c:v>1.1140664646848899</c:v>
                </c:pt>
                <c:pt idx="6">
                  <c:v>1.1140664646848899</c:v>
                </c:pt>
                <c:pt idx="7">
                  <c:v>1.1140664646848899</c:v>
                </c:pt>
                <c:pt idx="8">
                  <c:v>1.1140664646848899</c:v>
                </c:pt>
                <c:pt idx="9">
                  <c:v>1.1140664646848899</c:v>
                </c:pt>
                <c:pt idx="10">
                  <c:v>1.1140664646848899</c:v>
                </c:pt>
                <c:pt idx="11">
                  <c:v>1.1140664646848899</c:v>
                </c:pt>
                <c:pt idx="12">
                  <c:v>1.1140664646848899</c:v>
                </c:pt>
                <c:pt idx="13">
                  <c:v>1.1140664646848899</c:v>
                </c:pt>
                <c:pt idx="14">
                  <c:v>1.1140664646848899</c:v>
                </c:pt>
                <c:pt idx="15">
                  <c:v>1.1140664646848899</c:v>
                </c:pt>
                <c:pt idx="16">
                  <c:v>1.1140664646848899</c:v>
                </c:pt>
                <c:pt idx="17">
                  <c:v>1.1140664646848899</c:v>
                </c:pt>
                <c:pt idx="18">
                  <c:v>1.1140664646848899</c:v>
                </c:pt>
                <c:pt idx="19">
                  <c:v>1.1140664646848899</c:v>
                </c:pt>
                <c:pt idx="20">
                  <c:v>1.1140664646848899</c:v>
                </c:pt>
                <c:pt idx="21">
                  <c:v>1.1140664646848899</c:v>
                </c:pt>
                <c:pt idx="22">
                  <c:v>1.1140664646848899</c:v>
                </c:pt>
                <c:pt idx="23">
                  <c:v>1.1140664646848899</c:v>
                </c:pt>
                <c:pt idx="24">
                  <c:v>1.1140664646848899</c:v>
                </c:pt>
                <c:pt idx="25">
                  <c:v>1.1140664646848899</c:v>
                </c:pt>
                <c:pt idx="26">
                  <c:v>1.1140664646848899</c:v>
                </c:pt>
                <c:pt idx="27">
                  <c:v>1.1140664646848899</c:v>
                </c:pt>
                <c:pt idx="28">
                  <c:v>1.1140664646848899</c:v>
                </c:pt>
                <c:pt idx="29">
                  <c:v>1.1140664646848899</c:v>
                </c:pt>
                <c:pt idx="30">
                  <c:v>1.1140664646848899</c:v>
                </c:pt>
                <c:pt idx="31">
                  <c:v>1.1140664646848899</c:v>
                </c:pt>
                <c:pt idx="32">
                  <c:v>1.1140664646848899</c:v>
                </c:pt>
                <c:pt idx="33">
                  <c:v>1.1140664646848899</c:v>
                </c:pt>
                <c:pt idx="34">
                  <c:v>1.1140664646848899</c:v>
                </c:pt>
                <c:pt idx="35">
                  <c:v>1.1140664646848899</c:v>
                </c:pt>
                <c:pt idx="36">
                  <c:v>1.1140664646848899</c:v>
                </c:pt>
                <c:pt idx="37">
                  <c:v>1.1140664646848899</c:v>
                </c:pt>
                <c:pt idx="38">
                  <c:v>1.1140664646848899</c:v>
                </c:pt>
                <c:pt idx="39">
                  <c:v>1.1140664646848899</c:v>
                </c:pt>
                <c:pt idx="40">
                  <c:v>1.1140664646848899</c:v>
                </c:pt>
                <c:pt idx="41">
                  <c:v>1.1140664646848899</c:v>
                </c:pt>
                <c:pt idx="42">
                  <c:v>1.1140664646848899</c:v>
                </c:pt>
                <c:pt idx="43">
                  <c:v>1.1140664646848899</c:v>
                </c:pt>
                <c:pt idx="44">
                  <c:v>1.1140664646848899</c:v>
                </c:pt>
                <c:pt idx="45">
                  <c:v>1.1140664646848899</c:v>
                </c:pt>
                <c:pt idx="46">
                  <c:v>1.1140664646848899</c:v>
                </c:pt>
                <c:pt idx="47">
                  <c:v>1.1140664646848899</c:v>
                </c:pt>
                <c:pt idx="48">
                  <c:v>1.1140664646848899</c:v>
                </c:pt>
                <c:pt idx="49">
                  <c:v>1.1140664646848899</c:v>
                </c:pt>
                <c:pt idx="50">
                  <c:v>1.1140664646848899</c:v>
                </c:pt>
                <c:pt idx="51">
                  <c:v>1.1140664646848899</c:v>
                </c:pt>
                <c:pt idx="52">
                  <c:v>1.1140664646848899</c:v>
                </c:pt>
                <c:pt idx="53">
                  <c:v>1.1140664646848899</c:v>
                </c:pt>
                <c:pt idx="54">
                  <c:v>1.1140664646848899</c:v>
                </c:pt>
                <c:pt idx="55">
                  <c:v>1.1140664646848899</c:v>
                </c:pt>
                <c:pt idx="56">
                  <c:v>1.1140664646848899</c:v>
                </c:pt>
                <c:pt idx="57">
                  <c:v>1.1140664646848899</c:v>
                </c:pt>
                <c:pt idx="58">
                  <c:v>1.1140664646848899</c:v>
                </c:pt>
                <c:pt idx="59">
                  <c:v>1.1140664646848899</c:v>
                </c:pt>
                <c:pt idx="60">
                  <c:v>1.1140664646848899</c:v>
                </c:pt>
                <c:pt idx="61">
                  <c:v>1.1140664646848899</c:v>
                </c:pt>
                <c:pt idx="62">
                  <c:v>1.1140664646848899</c:v>
                </c:pt>
                <c:pt idx="63">
                  <c:v>1.1140664646848899</c:v>
                </c:pt>
                <c:pt idx="64">
                  <c:v>1.1140664646848899</c:v>
                </c:pt>
                <c:pt idx="65">
                  <c:v>1.1140664646848899</c:v>
                </c:pt>
                <c:pt idx="66">
                  <c:v>1.1140664646848899</c:v>
                </c:pt>
                <c:pt idx="67">
                  <c:v>1.1140664646848899</c:v>
                </c:pt>
                <c:pt idx="68">
                  <c:v>1.1140664646848899</c:v>
                </c:pt>
                <c:pt idx="69">
                  <c:v>1.1140664646848899</c:v>
                </c:pt>
                <c:pt idx="70">
                  <c:v>1.1140664646848899</c:v>
                </c:pt>
                <c:pt idx="71">
                  <c:v>1.1140664646848899</c:v>
                </c:pt>
                <c:pt idx="72">
                  <c:v>1.1140664646848899</c:v>
                </c:pt>
                <c:pt idx="73">
                  <c:v>1.1140664646848899</c:v>
                </c:pt>
                <c:pt idx="74">
                  <c:v>1.1140664646848899</c:v>
                </c:pt>
                <c:pt idx="75">
                  <c:v>1.1140664646848899</c:v>
                </c:pt>
                <c:pt idx="76">
                  <c:v>1.1140664646848899</c:v>
                </c:pt>
                <c:pt idx="77">
                  <c:v>1.1140664646848899</c:v>
                </c:pt>
                <c:pt idx="78">
                  <c:v>1.1140664646848899</c:v>
                </c:pt>
                <c:pt idx="79">
                  <c:v>1.1140664646848899</c:v>
                </c:pt>
                <c:pt idx="80">
                  <c:v>1.1140664646848899</c:v>
                </c:pt>
                <c:pt idx="81">
                  <c:v>1.1140664646848899</c:v>
                </c:pt>
                <c:pt idx="82">
                  <c:v>1.1140664646848899</c:v>
                </c:pt>
                <c:pt idx="83">
                  <c:v>1.1140664646848899</c:v>
                </c:pt>
                <c:pt idx="84">
                  <c:v>1.1140664646848899</c:v>
                </c:pt>
                <c:pt idx="85">
                  <c:v>1.1140664646848899</c:v>
                </c:pt>
                <c:pt idx="86">
                  <c:v>1.1140664646848899</c:v>
                </c:pt>
                <c:pt idx="87">
                  <c:v>1.1140664646848899</c:v>
                </c:pt>
                <c:pt idx="88">
                  <c:v>1.1140664646848899</c:v>
                </c:pt>
                <c:pt idx="89">
                  <c:v>1.1140664646848899</c:v>
                </c:pt>
                <c:pt idx="90">
                  <c:v>1.1140664646848899</c:v>
                </c:pt>
                <c:pt idx="91">
                  <c:v>1.1140664646848899</c:v>
                </c:pt>
                <c:pt idx="92">
                  <c:v>1.1140664646848899</c:v>
                </c:pt>
                <c:pt idx="93">
                  <c:v>1.1140664646848899</c:v>
                </c:pt>
                <c:pt idx="94">
                  <c:v>1.1140664646848899</c:v>
                </c:pt>
                <c:pt idx="95">
                  <c:v>1.1140664646848899</c:v>
                </c:pt>
                <c:pt idx="96">
                  <c:v>1.1140664646848899</c:v>
                </c:pt>
                <c:pt idx="97">
                  <c:v>1.1140664646848899</c:v>
                </c:pt>
                <c:pt idx="98">
                  <c:v>1.1140664646848899</c:v>
                </c:pt>
                <c:pt idx="99">
                  <c:v>1.1140664646848899</c:v>
                </c:pt>
                <c:pt idx="100">
                  <c:v>1.1140664646848899</c:v>
                </c:pt>
                <c:pt idx="101">
                  <c:v>1.1140664646848899</c:v>
                </c:pt>
                <c:pt idx="102">
                  <c:v>1.1140664646848899</c:v>
                </c:pt>
                <c:pt idx="103">
                  <c:v>1.1140664646848899</c:v>
                </c:pt>
                <c:pt idx="104">
                  <c:v>1.1140664646848899</c:v>
                </c:pt>
                <c:pt idx="105">
                  <c:v>1.1140664646848899</c:v>
                </c:pt>
                <c:pt idx="106">
                  <c:v>1.1140664646848899</c:v>
                </c:pt>
                <c:pt idx="107">
                  <c:v>1.1140664646848899</c:v>
                </c:pt>
                <c:pt idx="108">
                  <c:v>1.1140664646848899</c:v>
                </c:pt>
                <c:pt idx="109">
                  <c:v>1.1140664646848899</c:v>
                </c:pt>
                <c:pt idx="110">
                  <c:v>1.1140664646848899</c:v>
                </c:pt>
                <c:pt idx="111">
                  <c:v>1.1140664646848899</c:v>
                </c:pt>
                <c:pt idx="112">
                  <c:v>1.1140664646848899</c:v>
                </c:pt>
                <c:pt idx="113">
                  <c:v>1.1140664646848899</c:v>
                </c:pt>
                <c:pt idx="114">
                  <c:v>1.1140664646848899</c:v>
                </c:pt>
                <c:pt idx="115">
                  <c:v>1.1140664646848899</c:v>
                </c:pt>
                <c:pt idx="116">
                  <c:v>1.1140664646848899</c:v>
                </c:pt>
                <c:pt idx="117">
                  <c:v>1.1140664646848899</c:v>
                </c:pt>
                <c:pt idx="118">
                  <c:v>1.1140664646848899</c:v>
                </c:pt>
                <c:pt idx="119">
                  <c:v>1.1140664646848899</c:v>
                </c:pt>
                <c:pt idx="120">
                  <c:v>1.1140664646848899</c:v>
                </c:pt>
                <c:pt idx="121">
                  <c:v>1.1140664646848899</c:v>
                </c:pt>
                <c:pt idx="122">
                  <c:v>1.1140664646848899</c:v>
                </c:pt>
                <c:pt idx="123">
                  <c:v>1.1140664646848899</c:v>
                </c:pt>
                <c:pt idx="124">
                  <c:v>1.1140664646848899</c:v>
                </c:pt>
                <c:pt idx="125">
                  <c:v>1.1140664646848899</c:v>
                </c:pt>
                <c:pt idx="126">
                  <c:v>1.1140664646848899</c:v>
                </c:pt>
                <c:pt idx="127">
                  <c:v>1.1140664646848899</c:v>
                </c:pt>
                <c:pt idx="128">
                  <c:v>1.1140664646848899</c:v>
                </c:pt>
                <c:pt idx="129">
                  <c:v>1.1140664646848899</c:v>
                </c:pt>
                <c:pt idx="130">
                  <c:v>1.1140664646848899</c:v>
                </c:pt>
                <c:pt idx="131">
                  <c:v>1.1140664646848899</c:v>
                </c:pt>
                <c:pt idx="132">
                  <c:v>1.1140664646848899</c:v>
                </c:pt>
                <c:pt idx="133">
                  <c:v>1.1140664646848899</c:v>
                </c:pt>
                <c:pt idx="134">
                  <c:v>1.1140664646848899</c:v>
                </c:pt>
                <c:pt idx="135">
                  <c:v>1.1140664646848899</c:v>
                </c:pt>
                <c:pt idx="136">
                  <c:v>1.1140664646848899</c:v>
                </c:pt>
                <c:pt idx="137">
                  <c:v>1.1140664646848899</c:v>
                </c:pt>
                <c:pt idx="138">
                  <c:v>1.1140664646848899</c:v>
                </c:pt>
                <c:pt idx="139">
                  <c:v>1.1140664646848899</c:v>
                </c:pt>
                <c:pt idx="140">
                  <c:v>1.1140664646848899</c:v>
                </c:pt>
                <c:pt idx="141">
                  <c:v>1.1140664646848899</c:v>
                </c:pt>
                <c:pt idx="142">
                  <c:v>1.1140664646848899</c:v>
                </c:pt>
                <c:pt idx="143">
                  <c:v>1.1140664646848899</c:v>
                </c:pt>
                <c:pt idx="144">
                  <c:v>1.1140664646848899</c:v>
                </c:pt>
                <c:pt idx="145">
                  <c:v>1.1140664646848899</c:v>
                </c:pt>
                <c:pt idx="146">
                  <c:v>1.1140664646848899</c:v>
                </c:pt>
                <c:pt idx="147">
                  <c:v>1.1140664646848899</c:v>
                </c:pt>
                <c:pt idx="148">
                  <c:v>1.1140664646848899</c:v>
                </c:pt>
                <c:pt idx="149">
                  <c:v>1.1140664646848899</c:v>
                </c:pt>
                <c:pt idx="150">
                  <c:v>1.1140664646848899</c:v>
                </c:pt>
                <c:pt idx="151">
                  <c:v>1.1140664646848899</c:v>
                </c:pt>
                <c:pt idx="152">
                  <c:v>1.1140664646848899</c:v>
                </c:pt>
                <c:pt idx="153">
                  <c:v>1.1140664646848899</c:v>
                </c:pt>
                <c:pt idx="154">
                  <c:v>1.1140664646848899</c:v>
                </c:pt>
                <c:pt idx="155">
                  <c:v>1.1140664646848899</c:v>
                </c:pt>
                <c:pt idx="156">
                  <c:v>1.1140664646848899</c:v>
                </c:pt>
                <c:pt idx="157">
                  <c:v>1.1140664646848899</c:v>
                </c:pt>
                <c:pt idx="158">
                  <c:v>1.1140664646848899</c:v>
                </c:pt>
                <c:pt idx="159">
                  <c:v>1.1140664646848899</c:v>
                </c:pt>
                <c:pt idx="160">
                  <c:v>1.1140664646848899</c:v>
                </c:pt>
                <c:pt idx="161">
                  <c:v>1.1140664646848899</c:v>
                </c:pt>
                <c:pt idx="162">
                  <c:v>1.1140664646848899</c:v>
                </c:pt>
                <c:pt idx="163">
                  <c:v>1.1140664646848899</c:v>
                </c:pt>
                <c:pt idx="164">
                  <c:v>1.1140664646848899</c:v>
                </c:pt>
                <c:pt idx="165">
                  <c:v>1.1140664646848899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CWB_ICVT_2!$Z$1</c:f>
              <c:strCache>
                <c:ptCount val="1"/>
                <c:pt idx="0">
                  <c:v> ICVT*/CWB*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CWB_ICVT_2!$Z$2:$Z$167</c:f>
              <c:numCache>
                <c:formatCode>_(* #,##0.0000_);_(* \(#,##0.0000\);_(* "-"??_);_(@_)</c:formatCode>
                <c:ptCount val="166"/>
                <c:pt idx="9">
                  <c:v>1.10218252225373</c:v>
                </c:pt>
                <c:pt idx="10">
                  <c:v>1.1019698516584899</c:v>
                </c:pt>
                <c:pt idx="11">
                  <c:v>1.10211778019607</c:v>
                </c:pt>
                <c:pt idx="12">
                  <c:v>1.1022267508530501</c:v>
                </c:pt>
                <c:pt idx="13">
                  <c:v>1.1021958277772299</c:v>
                </c:pt>
                <c:pt idx="14">
                  <c:v>1.1025257937742401</c:v>
                </c:pt>
                <c:pt idx="15">
                  <c:v>1.1030041073797101</c:v>
                </c:pt>
                <c:pt idx="16">
                  <c:v>1.10343443701444</c:v>
                </c:pt>
                <c:pt idx="17">
                  <c:v>1.1038478134955201</c:v>
                </c:pt>
                <c:pt idx="18">
                  <c:v>1.1047025694064001</c:v>
                </c:pt>
                <c:pt idx="19">
                  <c:v>1.1053902827786499</c:v>
                </c:pt>
                <c:pt idx="20">
                  <c:v>1.10597548207039</c:v>
                </c:pt>
                <c:pt idx="21">
                  <c:v>1.1067154824716201</c:v>
                </c:pt>
                <c:pt idx="22">
                  <c:v>1.107144842079</c:v>
                </c:pt>
                <c:pt idx="23">
                  <c:v>1.10784258788025</c:v>
                </c:pt>
                <c:pt idx="24">
                  <c:v>1.10845490512849</c:v>
                </c:pt>
                <c:pt idx="25">
                  <c:v>1.1085411516000501</c:v>
                </c:pt>
                <c:pt idx="26">
                  <c:v>1.1085897969495999</c:v>
                </c:pt>
                <c:pt idx="27">
                  <c:v>1.1084447784901199</c:v>
                </c:pt>
                <c:pt idx="28">
                  <c:v>1.10821108744251</c:v>
                </c:pt>
                <c:pt idx="29">
                  <c:v>1.1082021973615099</c:v>
                </c:pt>
                <c:pt idx="30">
                  <c:v>1.1079554476515101</c:v>
                </c:pt>
                <c:pt idx="31">
                  <c:v>1.1075467233765901</c:v>
                </c:pt>
                <c:pt idx="32">
                  <c:v>1.1076057815068401</c:v>
                </c:pt>
                <c:pt idx="33">
                  <c:v>1.1076143162390399</c:v>
                </c:pt>
                <c:pt idx="34">
                  <c:v>1.10735951647348</c:v>
                </c:pt>
                <c:pt idx="35">
                  <c:v>1.1072034723664499</c:v>
                </c:pt>
                <c:pt idx="36">
                  <c:v>1.1070676382965601</c:v>
                </c:pt>
                <c:pt idx="37">
                  <c:v>1.10744618680702</c:v>
                </c:pt>
                <c:pt idx="38">
                  <c:v>1.10789104643777</c:v>
                </c:pt>
                <c:pt idx="39">
                  <c:v>1.1085148459641001</c:v>
                </c:pt>
                <c:pt idx="40">
                  <c:v>1.10888756627992</c:v>
                </c:pt>
                <c:pt idx="41">
                  <c:v>1.1092126938670299</c:v>
                </c:pt>
                <c:pt idx="42">
                  <c:v>1.10939231811728</c:v>
                </c:pt>
                <c:pt idx="43">
                  <c:v>1.10923993840582</c:v>
                </c:pt>
                <c:pt idx="44">
                  <c:v>1.10942733643861</c:v>
                </c:pt>
                <c:pt idx="45">
                  <c:v>1.11014373897469</c:v>
                </c:pt>
                <c:pt idx="46">
                  <c:v>1.11097266100074</c:v>
                </c:pt>
                <c:pt idx="47">
                  <c:v>1.1109484411938499</c:v>
                </c:pt>
                <c:pt idx="48">
                  <c:v>1.1111370751710301</c:v>
                </c:pt>
                <c:pt idx="49">
                  <c:v>1.1109701890497301</c:v>
                </c:pt>
                <c:pt idx="50">
                  <c:v>1.1111709128637099</c:v>
                </c:pt>
                <c:pt idx="51">
                  <c:v>1.11139450229898</c:v>
                </c:pt>
                <c:pt idx="52">
                  <c:v>1.1117041550570199</c:v>
                </c:pt>
                <c:pt idx="53">
                  <c:v>1.1122143871207</c:v>
                </c:pt>
                <c:pt idx="54">
                  <c:v>1.1123721208691599</c:v>
                </c:pt>
                <c:pt idx="55">
                  <c:v>1.11259153722913</c:v>
                </c:pt>
                <c:pt idx="56">
                  <c:v>1.1127787393231701</c:v>
                </c:pt>
                <c:pt idx="57">
                  <c:v>1.11347156237058</c:v>
                </c:pt>
                <c:pt idx="58">
                  <c:v>1.1145058881096299</c:v>
                </c:pt>
                <c:pt idx="59">
                  <c:v>1.1145525264412299</c:v>
                </c:pt>
                <c:pt idx="60">
                  <c:v>1.11458187597737</c:v>
                </c:pt>
                <c:pt idx="61">
                  <c:v>1.1144755564668301</c:v>
                </c:pt>
                <c:pt idx="62">
                  <c:v>1.1144990324534001</c:v>
                </c:pt>
                <c:pt idx="63">
                  <c:v>1.1146264630129099</c:v>
                </c:pt>
                <c:pt idx="64">
                  <c:v>1.11477989381276</c:v>
                </c:pt>
                <c:pt idx="65">
                  <c:v>1.1147154568534701</c:v>
                </c:pt>
                <c:pt idx="66">
                  <c:v>1.1146027970368599</c:v>
                </c:pt>
                <c:pt idx="67">
                  <c:v>1.11460811259732</c:v>
                </c:pt>
                <c:pt idx="68">
                  <c:v>1.1132950215952899</c:v>
                </c:pt>
                <c:pt idx="69">
                  <c:v>1.11305294901123</c:v>
                </c:pt>
                <c:pt idx="70">
                  <c:v>1.1132435738781701</c:v>
                </c:pt>
                <c:pt idx="71">
                  <c:v>1.11309589002405</c:v>
                </c:pt>
                <c:pt idx="72">
                  <c:v>1.1132364706023801</c:v>
                </c:pt>
                <c:pt idx="73">
                  <c:v>1.1130963490508901</c:v>
                </c:pt>
                <c:pt idx="74">
                  <c:v>1.11313604109076</c:v>
                </c:pt>
                <c:pt idx="75">
                  <c:v>1.11294262581153</c:v>
                </c:pt>
                <c:pt idx="76">
                  <c:v>1.1124835554360899</c:v>
                </c:pt>
                <c:pt idx="77">
                  <c:v>1.11226204736557</c:v>
                </c:pt>
                <c:pt idx="78">
                  <c:v>1.11248012356133</c:v>
                </c:pt>
                <c:pt idx="79">
                  <c:v>1.1124132026695699</c:v>
                </c:pt>
                <c:pt idx="80">
                  <c:v>1.1124811475496901</c:v>
                </c:pt>
                <c:pt idx="81">
                  <c:v>1.11298482945771</c:v>
                </c:pt>
                <c:pt idx="82">
                  <c:v>1.11298113606463</c:v>
                </c:pt>
                <c:pt idx="83">
                  <c:v>1.11351464803051</c:v>
                </c:pt>
                <c:pt idx="84">
                  <c:v>1.1136252011371801</c:v>
                </c:pt>
                <c:pt idx="85">
                  <c:v>1.11435204163075</c:v>
                </c:pt>
                <c:pt idx="86">
                  <c:v>1.11501453319012</c:v>
                </c:pt>
                <c:pt idx="87">
                  <c:v>1.11521541252245</c:v>
                </c:pt>
                <c:pt idx="88">
                  <c:v>1.1158001803303501</c:v>
                </c:pt>
                <c:pt idx="89">
                  <c:v>1.11635255808892</c:v>
                </c:pt>
                <c:pt idx="90">
                  <c:v>1.1167393209521801</c:v>
                </c:pt>
                <c:pt idx="91">
                  <c:v>1.11700450597887</c:v>
                </c:pt>
                <c:pt idx="92">
                  <c:v>1.11764087819637</c:v>
                </c:pt>
                <c:pt idx="93">
                  <c:v>1.11788060206782</c:v>
                </c:pt>
                <c:pt idx="94">
                  <c:v>1.11822898403515</c:v>
                </c:pt>
                <c:pt idx="95">
                  <c:v>1.1183480932338801</c:v>
                </c:pt>
                <c:pt idx="96">
                  <c:v>1.11865330714533</c:v>
                </c:pt>
                <c:pt idx="97">
                  <c:v>1.1191605641059501</c:v>
                </c:pt>
                <c:pt idx="98">
                  <c:v>1.11971267719045</c:v>
                </c:pt>
                <c:pt idx="99">
                  <c:v>1.1203059221578799</c:v>
                </c:pt>
                <c:pt idx="100">
                  <c:v>1.1202236821429301</c:v>
                </c:pt>
                <c:pt idx="101">
                  <c:v>1.12002956406135</c:v>
                </c:pt>
                <c:pt idx="102">
                  <c:v>1.1199095042879801</c:v>
                </c:pt>
                <c:pt idx="103">
                  <c:v>1.1196038164161299</c:v>
                </c:pt>
                <c:pt idx="104">
                  <c:v>1.1197503442773999</c:v>
                </c:pt>
                <c:pt idx="105">
                  <c:v>1.1196102295652399</c:v>
                </c:pt>
                <c:pt idx="106">
                  <c:v>1.1193952754558201</c:v>
                </c:pt>
                <c:pt idx="107">
                  <c:v>1.11932600996751</c:v>
                </c:pt>
                <c:pt idx="108">
                  <c:v>1.1190883466047701</c:v>
                </c:pt>
                <c:pt idx="109">
                  <c:v>1.1186529760833399</c:v>
                </c:pt>
                <c:pt idx="110">
                  <c:v>1.11869347917868</c:v>
                </c:pt>
                <c:pt idx="111">
                  <c:v>1.11905444060755</c:v>
                </c:pt>
                <c:pt idx="112">
                  <c:v>1.1192077174064401</c:v>
                </c:pt>
                <c:pt idx="113">
                  <c:v>1.11945204427062</c:v>
                </c:pt>
                <c:pt idx="114">
                  <c:v>1.1196157887982601</c:v>
                </c:pt>
                <c:pt idx="115">
                  <c:v>1.1199937878902499</c:v>
                </c:pt>
                <c:pt idx="116">
                  <c:v>1.1207328709390401</c:v>
                </c:pt>
                <c:pt idx="117">
                  <c:v>1.1212836072785399</c:v>
                </c:pt>
                <c:pt idx="118">
                  <c:v>1.1216962113355899</c:v>
                </c:pt>
                <c:pt idx="119">
                  <c:v>1.1224748601793899</c:v>
                </c:pt>
                <c:pt idx="120">
                  <c:v>1.1232232603304999</c:v>
                </c:pt>
                <c:pt idx="121">
                  <c:v>1.1239367828508899</c:v>
                </c:pt>
                <c:pt idx="122">
                  <c:v>1.1246256989499099</c:v>
                </c:pt>
                <c:pt idx="123">
                  <c:v>1.12533528960132</c:v>
                </c:pt>
                <c:pt idx="124">
                  <c:v>1.12558968573652</c:v>
                </c:pt>
                <c:pt idx="125">
                  <c:v>1.1254515828118901</c:v>
                </c:pt>
                <c:pt idx="126">
                  <c:v>1.1249136660221599</c:v>
                </c:pt>
                <c:pt idx="127">
                  <c:v>1.12423662547916</c:v>
                </c:pt>
                <c:pt idx="128">
                  <c:v>1.12396948143099</c:v>
                </c:pt>
                <c:pt idx="129">
                  <c:v>1.12346245239515</c:v>
                </c:pt>
                <c:pt idx="130">
                  <c:v>1.12292057848115</c:v>
                </c:pt>
                <c:pt idx="131">
                  <c:v>1.12211770998941</c:v>
                </c:pt>
                <c:pt idx="132">
                  <c:v>1.12120741242997</c:v>
                </c:pt>
                <c:pt idx="133">
                  <c:v>1.1203083590525</c:v>
                </c:pt>
                <c:pt idx="134">
                  <c:v>1.1198777059906699</c:v>
                </c:pt>
                <c:pt idx="135">
                  <c:v>1.11978689371998</c:v>
                </c:pt>
                <c:pt idx="136">
                  <c:v>1.1203607752067399</c:v>
                </c:pt>
                <c:pt idx="137">
                  <c:v>1.12051063503816</c:v>
                </c:pt>
                <c:pt idx="138">
                  <c:v>1.1205963193506301</c:v>
                </c:pt>
                <c:pt idx="139">
                  <c:v>1.1206367359054901</c:v>
                </c:pt>
                <c:pt idx="140">
                  <c:v>1.12052169217794</c:v>
                </c:pt>
                <c:pt idx="141">
                  <c:v>1.1201013538970801</c:v>
                </c:pt>
                <c:pt idx="142">
                  <c:v>1.1195973467681699</c:v>
                </c:pt>
                <c:pt idx="143">
                  <c:v>1.1193878856663699</c:v>
                </c:pt>
                <c:pt idx="144">
                  <c:v>1.1184973643468801</c:v>
                </c:pt>
                <c:pt idx="145">
                  <c:v>1.1177243873763301</c:v>
                </c:pt>
                <c:pt idx="146">
                  <c:v>1.1162510927781399</c:v>
                </c:pt>
                <c:pt idx="147">
                  <c:v>1.11539844624102</c:v>
                </c:pt>
                <c:pt idx="148">
                  <c:v>1.1143177424503099</c:v>
                </c:pt>
                <c:pt idx="149">
                  <c:v>1.1135508928743201</c:v>
                </c:pt>
                <c:pt idx="150">
                  <c:v>1.1126549395304799</c:v>
                </c:pt>
                <c:pt idx="151">
                  <c:v>1.1123766721750601</c:v>
                </c:pt>
                <c:pt idx="152">
                  <c:v>1.1125227859884701</c:v>
                </c:pt>
                <c:pt idx="153">
                  <c:v>1.1121229717507399</c:v>
                </c:pt>
                <c:pt idx="154">
                  <c:v>1.1125101755759501</c:v>
                </c:pt>
                <c:pt idx="155">
                  <c:v>1.1129276638768</c:v>
                </c:pt>
                <c:pt idx="156">
                  <c:v>1.1132118019642101</c:v>
                </c:pt>
                <c:pt idx="157">
                  <c:v>1.1136206956972301</c:v>
                </c:pt>
                <c:pt idx="158">
                  <c:v>1.1139103569275699</c:v>
                </c:pt>
                <c:pt idx="159">
                  <c:v>1.11423459161195</c:v>
                </c:pt>
                <c:pt idx="160">
                  <c:v>1.1148471570360901</c:v>
                </c:pt>
                <c:pt idx="161">
                  <c:v>1.1152476312852599</c:v>
                </c:pt>
                <c:pt idx="162">
                  <c:v>1.1148643930503901</c:v>
                </c:pt>
                <c:pt idx="163">
                  <c:v>1.1151178109631601</c:v>
                </c:pt>
                <c:pt idx="164">
                  <c:v>1.1149696984803501</c:v>
                </c:pt>
                <c:pt idx="165">
                  <c:v>1.1145186647987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CWB_ICVT_2!$AA$1</c:f>
              <c:strCache>
                <c:ptCount val="1"/>
                <c:pt idx="0">
                  <c:v> ICVT*/CWB*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CWB_ICVT_2!$AA$2:$AA$167</c:f>
              <c:numCache>
                <c:formatCode>_(* #,##0.0000_);_(* \(#,##0.0000\);_(* "-"??_);_(@_)</c:formatCode>
                <c:ptCount val="166"/>
                <c:pt idx="19">
                  <c:v>1.1037864025161901</c:v>
                </c:pt>
                <c:pt idx="20">
                  <c:v>1.1039726668644401</c:v>
                </c:pt>
                <c:pt idx="21">
                  <c:v>1.1044166313338399</c:v>
                </c:pt>
                <c:pt idx="22">
                  <c:v>1.1046857964660299</c:v>
                </c:pt>
                <c:pt idx="23">
                  <c:v>1.10501920782874</c:v>
                </c:pt>
                <c:pt idx="24">
                  <c:v>1.1054903494513699</c:v>
                </c:pt>
                <c:pt idx="25">
                  <c:v>1.10577262948988</c:v>
                </c:pt>
                <c:pt idx="26">
                  <c:v>1.1060121169820201</c:v>
                </c:pt>
                <c:pt idx="27">
                  <c:v>1.1061462959928201</c:v>
                </c:pt>
                <c:pt idx="28">
                  <c:v>1.10645682842446</c:v>
                </c:pt>
                <c:pt idx="29">
                  <c:v>1.1067962400700799</c:v>
                </c:pt>
                <c:pt idx="30">
                  <c:v>1.1069654648609499</c:v>
                </c:pt>
                <c:pt idx="31">
                  <c:v>1.10713110292411</c:v>
                </c:pt>
                <c:pt idx="32">
                  <c:v>1.1073753117929199</c:v>
                </c:pt>
                <c:pt idx="33">
                  <c:v>1.10772845205965</c:v>
                </c:pt>
                <c:pt idx="34">
                  <c:v>1.10790721080099</c:v>
                </c:pt>
                <c:pt idx="35">
                  <c:v>1.1078723119832501</c:v>
                </c:pt>
                <c:pt idx="36">
                  <c:v>1.1078287176230801</c:v>
                </c:pt>
                <c:pt idx="37">
                  <c:v>1.10794548264857</c:v>
                </c:pt>
                <c:pt idx="38">
                  <c:v>1.10805106694014</c:v>
                </c:pt>
                <c:pt idx="39">
                  <c:v>1.1083585216628</c:v>
                </c:pt>
                <c:pt idx="40">
                  <c:v>1.10842150696571</c:v>
                </c:pt>
                <c:pt idx="41">
                  <c:v>1.1083797086218099</c:v>
                </c:pt>
                <c:pt idx="42">
                  <c:v>1.1084990498120599</c:v>
                </c:pt>
                <c:pt idx="43">
                  <c:v>1.10842712732243</c:v>
                </c:pt>
                <c:pt idx="44">
                  <c:v>1.10839342645604</c:v>
                </c:pt>
                <c:pt idx="45">
                  <c:v>1.1086736056705699</c:v>
                </c:pt>
                <c:pt idx="46">
                  <c:v>1.10902014964865</c:v>
                </c:pt>
                <c:pt idx="47">
                  <c:v>1.1091973140004301</c:v>
                </c:pt>
                <c:pt idx="48">
                  <c:v>1.1095140608044001</c:v>
                </c:pt>
                <c:pt idx="49">
                  <c:v>1.10974251750692</c:v>
                </c:pt>
                <c:pt idx="50">
                  <c:v>1.1100292395718101</c:v>
                </c:pt>
                <c:pt idx="51">
                  <c:v>1.11030359808301</c:v>
                </c:pt>
                <c:pt idx="52">
                  <c:v>1.11054823658715</c:v>
                </c:pt>
                <c:pt idx="53">
                  <c:v>1.11072716276326</c:v>
                </c:pt>
                <c:pt idx="54">
                  <c:v>1.11089972865388</c:v>
                </c:pt>
                <c:pt idx="55">
                  <c:v>1.11136763810191</c:v>
                </c:pt>
                <c:pt idx="56">
                  <c:v>1.1118757001619499</c:v>
                </c:pt>
                <c:pt idx="57">
                  <c:v>1.1122100017822101</c:v>
                </c:pt>
                <c:pt idx="58">
                  <c:v>1.1128214816403299</c:v>
                </c:pt>
                <c:pt idx="59">
                  <c:v>1.11276135774548</c:v>
                </c:pt>
                <c:pt idx="60">
                  <c:v>1.11287639442054</c:v>
                </c:pt>
                <c:pt idx="61">
                  <c:v>1.1129350293829099</c:v>
                </c:pt>
                <c:pt idx="62">
                  <c:v>1.11310159375521</c:v>
                </c:pt>
                <c:pt idx="63">
                  <c:v>1.11342042506681</c:v>
                </c:pt>
                <c:pt idx="64">
                  <c:v>1.11357600734096</c:v>
                </c:pt>
                <c:pt idx="65">
                  <c:v>1.1136534970412999</c:v>
                </c:pt>
                <c:pt idx="66">
                  <c:v>1.1136907681800099</c:v>
                </c:pt>
                <c:pt idx="67">
                  <c:v>1.11403983748395</c:v>
                </c:pt>
                <c:pt idx="68">
                  <c:v>1.11390045485246</c:v>
                </c:pt>
                <c:pt idx="69">
                  <c:v>1.1138027377262301</c:v>
                </c:pt>
                <c:pt idx="70">
                  <c:v>1.11391272492777</c:v>
                </c:pt>
                <c:pt idx="71">
                  <c:v>1.11378572324544</c:v>
                </c:pt>
                <c:pt idx="72">
                  <c:v>1.1138677515278901</c:v>
                </c:pt>
                <c:pt idx="73">
                  <c:v>1.1138614060319001</c:v>
                </c:pt>
                <c:pt idx="74">
                  <c:v>1.1139579674517599</c:v>
                </c:pt>
                <c:pt idx="75">
                  <c:v>1.1138290413325</c:v>
                </c:pt>
                <c:pt idx="76">
                  <c:v>1.11354317623647</c:v>
                </c:pt>
                <c:pt idx="77">
                  <c:v>1.1134350799814501</c:v>
                </c:pt>
                <c:pt idx="78">
                  <c:v>1.1128875725783101</c:v>
                </c:pt>
                <c:pt idx="79">
                  <c:v>1.1127330758403999</c:v>
                </c:pt>
                <c:pt idx="80">
                  <c:v>1.1128623607139301</c:v>
                </c:pt>
                <c:pt idx="81">
                  <c:v>1.11304035974088</c:v>
                </c:pt>
                <c:pt idx="82">
                  <c:v>1.1131088033334999</c:v>
                </c:pt>
                <c:pt idx="83">
                  <c:v>1.1133054985407</c:v>
                </c:pt>
                <c:pt idx="84">
                  <c:v>1.1133806211139701</c:v>
                </c:pt>
                <c:pt idx="85">
                  <c:v>1.1136473337211401</c:v>
                </c:pt>
                <c:pt idx="86">
                  <c:v>1.1137490443131</c:v>
                </c:pt>
                <c:pt idx="87">
                  <c:v>1.11373872994401</c:v>
                </c:pt>
                <c:pt idx="88">
                  <c:v>1.11414015194584</c:v>
                </c:pt>
                <c:pt idx="89">
                  <c:v>1.1143828803792499</c:v>
                </c:pt>
                <c:pt idx="90">
                  <c:v>1.1146102342509301</c:v>
                </c:pt>
                <c:pt idx="91">
                  <c:v>1.11499466771829</c:v>
                </c:pt>
                <c:pt idx="92">
                  <c:v>1.1153110071304999</c:v>
                </c:pt>
                <c:pt idx="93">
                  <c:v>1.1156976250491599</c:v>
                </c:pt>
                <c:pt idx="94">
                  <c:v>1.11592709258617</c:v>
                </c:pt>
                <c:pt idx="95">
                  <c:v>1.1163500674323199</c:v>
                </c:pt>
                <c:pt idx="96">
                  <c:v>1.11683392016773</c:v>
                </c:pt>
                <c:pt idx="97">
                  <c:v>1.1171879883142</c:v>
                </c:pt>
                <c:pt idx="98">
                  <c:v>1.1177564287604</c:v>
                </c:pt>
                <c:pt idx="99">
                  <c:v>1.1183292401234</c:v>
                </c:pt>
                <c:pt idx="100">
                  <c:v>1.11848150154755</c:v>
                </c:pt>
                <c:pt idx="101">
                  <c:v>1.1185170350201099</c:v>
                </c:pt>
                <c:pt idx="102">
                  <c:v>1.11877519124217</c:v>
                </c:pt>
                <c:pt idx="103">
                  <c:v>1.1187422092419701</c:v>
                </c:pt>
                <c:pt idx="104">
                  <c:v>1.11898966415627</c:v>
                </c:pt>
                <c:pt idx="105">
                  <c:v>1.1189791613995601</c:v>
                </c:pt>
                <c:pt idx="106">
                  <c:v>1.1190242913005799</c:v>
                </c:pt>
                <c:pt idx="107">
                  <c:v>1.1192432870367299</c:v>
                </c:pt>
                <c:pt idx="108">
                  <c:v>1.11940051189761</c:v>
                </c:pt>
                <c:pt idx="109">
                  <c:v>1.1194794491206099</c:v>
                </c:pt>
                <c:pt idx="110">
                  <c:v>1.1194585806608099</c:v>
                </c:pt>
                <c:pt idx="111">
                  <c:v>1.11954200233445</c:v>
                </c:pt>
                <c:pt idx="112">
                  <c:v>1.11955861084721</c:v>
                </c:pt>
                <c:pt idx="113">
                  <c:v>1.1195279303433701</c:v>
                </c:pt>
                <c:pt idx="114">
                  <c:v>1.1196830665378299</c:v>
                </c:pt>
                <c:pt idx="115">
                  <c:v>1.11980200872775</c:v>
                </c:pt>
                <c:pt idx="116">
                  <c:v>1.1200640731974301</c:v>
                </c:pt>
                <c:pt idx="117">
                  <c:v>1.1203048086230201</c:v>
                </c:pt>
                <c:pt idx="118">
                  <c:v>1.1203922789701799</c:v>
                </c:pt>
                <c:pt idx="119">
                  <c:v>1.12056391813137</c:v>
                </c:pt>
                <c:pt idx="120">
                  <c:v>1.12095836975459</c:v>
                </c:pt>
                <c:pt idx="121">
                  <c:v>1.1214956117292201</c:v>
                </c:pt>
                <c:pt idx="122">
                  <c:v>1.12191670817817</c:v>
                </c:pt>
                <c:pt idx="123">
                  <c:v>1.12239366693597</c:v>
                </c:pt>
                <c:pt idx="124">
                  <c:v>1.1226027372673899</c:v>
                </c:pt>
                <c:pt idx="125">
                  <c:v>1.1227226853510699</c:v>
                </c:pt>
                <c:pt idx="126">
                  <c:v>1.1228232684806001</c:v>
                </c:pt>
                <c:pt idx="127">
                  <c:v>1.1227601163788501</c:v>
                </c:pt>
                <c:pt idx="128">
                  <c:v>1.12283284638329</c:v>
                </c:pt>
                <c:pt idx="129">
                  <c:v>1.1229686562872701</c:v>
                </c:pt>
                <c:pt idx="130">
                  <c:v>1.1230719194058301</c:v>
                </c:pt>
                <c:pt idx="131">
                  <c:v>1.1230272464201501</c:v>
                </c:pt>
                <c:pt idx="132">
                  <c:v>1.1229165556899401</c:v>
                </c:pt>
                <c:pt idx="133">
                  <c:v>1.1228218243269099</c:v>
                </c:pt>
                <c:pt idx="134">
                  <c:v>1.1227336958636001</c:v>
                </c:pt>
                <c:pt idx="135">
                  <c:v>1.1226192382659299</c:v>
                </c:pt>
                <c:pt idx="136">
                  <c:v>1.1226372206144499</c:v>
                </c:pt>
                <c:pt idx="137">
                  <c:v>1.12237363025866</c:v>
                </c:pt>
                <c:pt idx="138">
                  <c:v>1.1222829003908099</c:v>
                </c:pt>
                <c:pt idx="139">
                  <c:v>1.1220495941503199</c:v>
                </c:pt>
                <c:pt idx="140">
                  <c:v>1.12172113532954</c:v>
                </c:pt>
                <c:pt idx="141">
                  <c:v>1.12110953194324</c:v>
                </c:pt>
                <c:pt idx="142">
                  <c:v>1.1204023795990701</c:v>
                </c:pt>
                <c:pt idx="143">
                  <c:v>1.1198481223594301</c:v>
                </c:pt>
                <c:pt idx="144">
                  <c:v>1.1191875351687699</c:v>
                </c:pt>
                <c:pt idx="145">
                  <c:v>1.11875564054815</c:v>
                </c:pt>
                <c:pt idx="146">
                  <c:v>1.1183059339924399</c:v>
                </c:pt>
                <c:pt idx="147">
                  <c:v>1.1179545406395901</c:v>
                </c:pt>
                <c:pt idx="148">
                  <c:v>1.1174570309004701</c:v>
                </c:pt>
                <c:pt idx="149">
                  <c:v>1.1170938143899001</c:v>
                </c:pt>
                <c:pt idx="150">
                  <c:v>1.11658831585421</c:v>
                </c:pt>
                <c:pt idx="151">
                  <c:v>1.11623901303607</c:v>
                </c:pt>
                <c:pt idx="152">
                  <c:v>1.11606006637832</c:v>
                </c:pt>
                <c:pt idx="153">
                  <c:v>1.11575542870856</c:v>
                </c:pt>
                <c:pt idx="154">
                  <c:v>1.1155037699614101</c:v>
                </c:pt>
                <c:pt idx="155">
                  <c:v>1.11532602562657</c:v>
                </c:pt>
                <c:pt idx="156">
                  <c:v>1.11473144737118</c:v>
                </c:pt>
                <c:pt idx="157">
                  <c:v>1.1145095709691299</c:v>
                </c:pt>
                <c:pt idx="158">
                  <c:v>1.1141140496889399</c:v>
                </c:pt>
                <c:pt idx="159">
                  <c:v>1.11389274224313</c:v>
                </c:pt>
                <c:pt idx="160">
                  <c:v>1.11375104828329</c:v>
                </c:pt>
                <c:pt idx="161">
                  <c:v>1.11381215173016</c:v>
                </c:pt>
                <c:pt idx="162">
                  <c:v>1.11369358951943</c:v>
                </c:pt>
                <c:pt idx="163">
                  <c:v>1.11362039135695</c:v>
                </c:pt>
                <c:pt idx="164">
                  <c:v>1.11373993702815</c:v>
                </c:pt>
                <c:pt idx="165">
                  <c:v>1.1137231643377501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CWB_ICVT_2!$U$1</c:f>
              <c:strCache>
                <c:ptCount val="1"/>
                <c:pt idx="0">
                  <c:v>log diff CWB x avg / ICVT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CWB_ICVT_2!$U$2:$U$167</c:f>
              <c:numCache>
                <c:formatCode>0.00%</c:formatCode>
                <c:ptCount val="166"/>
                <c:pt idx="1">
                  <c:v>1.05743223185693E-2</c:v>
                </c:pt>
                <c:pt idx="2">
                  <c:v>1.0859370157738701E-2</c:v>
                </c:pt>
                <c:pt idx="3">
                  <c:v>9.9693192683247191E-3</c:v>
                </c:pt>
                <c:pt idx="4">
                  <c:v>1.1175026944715101E-2</c:v>
                </c:pt>
                <c:pt idx="5">
                  <c:v>1.1843343607100199E-2</c:v>
                </c:pt>
                <c:pt idx="6">
                  <c:v>1.12008210485929E-2</c:v>
                </c:pt>
                <c:pt idx="7">
                  <c:v>1.10202222050098E-2</c:v>
                </c:pt>
                <c:pt idx="8">
                  <c:v>1.33360100184391E-2</c:v>
                </c:pt>
                <c:pt idx="9">
                  <c:v>1.16854194136421E-2</c:v>
                </c:pt>
                <c:pt idx="10">
                  <c:v>1.0693795690515101E-2</c:v>
                </c:pt>
                <c:pt idx="11">
                  <c:v>9.2337075184607195E-3</c:v>
                </c:pt>
                <c:pt idx="12">
                  <c:v>9.8713586762764899E-3</c:v>
                </c:pt>
                <c:pt idx="13">
                  <c:v>1.02496198442142E-2</c:v>
                </c:pt>
                <c:pt idx="14">
                  <c:v>8.1853525035119994E-3</c:v>
                </c:pt>
                <c:pt idx="15">
                  <c:v>7.5095757231169302E-3</c:v>
                </c:pt>
                <c:pt idx="16">
                  <c:v>7.3034661575269704E-3</c:v>
                </c:pt>
                <c:pt idx="17">
                  <c:v>7.2767942753335499E-3</c:v>
                </c:pt>
                <c:pt idx="18">
                  <c:v>5.5931348292826604E-3</c:v>
                </c:pt>
                <c:pt idx="19">
                  <c:v>5.4612566548561201E-3</c:v>
                </c:pt>
                <c:pt idx="20">
                  <c:v>5.5142221173916798E-3</c:v>
                </c:pt>
                <c:pt idx="21">
                  <c:v>2.6652705172876602E-3</c:v>
                </c:pt>
                <c:pt idx="22">
                  <c:v>6.1037817588862602E-3</c:v>
                </c:pt>
                <c:pt idx="23">
                  <c:v>4.0596279732001E-3</c:v>
                </c:pt>
                <c:pt idx="24">
                  <c:v>2.7720117301049899E-3</c:v>
                </c:pt>
                <c:pt idx="25">
                  <c:v>6.8440493994878096E-3</c:v>
                </c:pt>
                <c:pt idx="26">
                  <c:v>6.9784267357836504E-3</c:v>
                </c:pt>
                <c:pt idx="27">
                  <c:v>8.7049012238081796E-3</c:v>
                </c:pt>
                <c:pt idx="28">
                  <c:v>7.8203660333918002E-3</c:v>
                </c:pt>
                <c:pt idx="29">
                  <c:v>5.6547813945599804E-3</c:v>
                </c:pt>
                <c:pt idx="30">
                  <c:v>7.7439715300057499E-3</c:v>
                </c:pt>
                <c:pt idx="31">
                  <c:v>6.3515384321450701E-3</c:v>
                </c:pt>
                <c:pt idx="32">
                  <c:v>5.5676053679924401E-3</c:v>
                </c:pt>
                <c:pt idx="33">
                  <c:v>3.9785345517714503E-3</c:v>
                </c:pt>
                <c:pt idx="34">
                  <c:v>5.0692698998179801E-3</c:v>
                </c:pt>
                <c:pt idx="35">
                  <c:v>8.2563009127988099E-3</c:v>
                </c:pt>
                <c:pt idx="36">
                  <c:v>8.2064643493509806E-3</c:v>
                </c:pt>
                <c:pt idx="37">
                  <c:v>5.2804495977431696E-3</c:v>
                </c:pt>
                <c:pt idx="38">
                  <c:v>3.8010144908173999E-3</c:v>
                </c:pt>
                <c:pt idx="39">
                  <c:v>-2.8202409012792099E-4</c:v>
                </c:pt>
                <c:pt idx="40">
                  <c:v>4.0599037453865E-3</c:v>
                </c:pt>
                <c:pt idx="41">
                  <c:v>3.1019078224531599E-3</c:v>
                </c:pt>
                <c:pt idx="42">
                  <c:v>3.6300735217045001E-3</c:v>
                </c:pt>
                <c:pt idx="43">
                  <c:v>5.0345915336363796E-3</c:v>
                </c:pt>
                <c:pt idx="44">
                  <c:v>3.0603721440626902E-3</c:v>
                </c:pt>
                <c:pt idx="45">
                  <c:v>1.47014372160159E-3</c:v>
                </c:pt>
                <c:pt idx="46">
                  <c:v>4.0930045329844102E-4</c:v>
                </c:pt>
                <c:pt idx="47">
                  <c:v>5.18246533620134E-3</c:v>
                </c:pt>
                <c:pt idx="48">
                  <c:v>1.77993724632884E-3</c:v>
                </c:pt>
                <c:pt idx="49">
                  <c:v>1.2164931090557799E-3</c:v>
                </c:pt>
                <c:pt idx="50">
                  <c:v>2.2503910067653301E-3</c:v>
                </c:pt>
                <c:pt idx="51">
                  <c:v>1.08559137221631E-3</c:v>
                </c:pt>
                <c:pt idx="52">
                  <c:v>8.4070555649567698E-4</c:v>
                </c:pt>
                <c:pt idx="53">
                  <c:v>4.3342577337116797E-4</c:v>
                </c:pt>
                <c:pt idx="54">
                  <c:v>1.6377601910016399E-3</c:v>
                </c:pt>
                <c:pt idx="55">
                  <c:v>-5.0471012114430705E-4</c:v>
                </c:pt>
                <c:pt idx="56">
                  <c:v>-1.2738773024689499E-3</c:v>
                </c:pt>
                <c:pt idx="57">
                  <c:v>-1.06441893528628E-3</c:v>
                </c:pt>
                <c:pt idx="58">
                  <c:v>-7.5040324642111703E-3</c:v>
                </c:pt>
                <c:pt idx="59">
                  <c:v>7.8659417413388802E-4</c:v>
                </c:pt>
                <c:pt idx="60">
                  <c:v>1.9804023398887899E-3</c:v>
                </c:pt>
                <c:pt idx="61">
                  <c:v>2.23912313483822E-3</c:v>
                </c:pt>
                <c:pt idx="62">
                  <c:v>8.2220294350752099E-4</c:v>
                </c:pt>
                <c:pt idx="63">
                  <c:v>-5.1677646305145096E-4</c:v>
                </c:pt>
                <c:pt idx="64">
                  <c:v>4.51834973253863E-4</c:v>
                </c:pt>
                <c:pt idx="65">
                  <c:v>2.7013609840112598E-4</c:v>
                </c:pt>
                <c:pt idx="66">
                  <c:v>-6.7459308969656994E-5</c:v>
                </c:pt>
                <c:pt idx="67">
                  <c:v>-9.14575341115318E-4</c:v>
                </c:pt>
                <c:pt idx="68">
                  <c:v>4.4976585183112896E-3</c:v>
                </c:pt>
                <c:pt idx="69">
                  <c:v>3.17659421762881E-3</c:v>
                </c:pt>
                <c:pt idx="70">
                  <c:v>4.6299272457046798E-4</c:v>
                </c:pt>
                <c:pt idx="71">
                  <c:v>3.5735672579662002E-3</c:v>
                </c:pt>
                <c:pt idx="72">
                  <c:v>-4.4247492784041398E-4</c:v>
                </c:pt>
                <c:pt idx="73">
                  <c:v>7.4655796159942402E-4</c:v>
                </c:pt>
                <c:pt idx="74">
                  <c:v>9.5491169467484395E-5</c:v>
                </c:pt>
                <c:pt idx="75">
                  <c:v>2.0142913604310401E-3</c:v>
                </c:pt>
                <c:pt idx="76">
                  <c:v>4.0747129218583703E-3</c:v>
                </c:pt>
                <c:pt idx="77">
                  <c:v>1.0808028682282699E-3</c:v>
                </c:pt>
                <c:pt idx="78">
                  <c:v>2.52749878793884E-3</c:v>
                </c:pt>
                <c:pt idx="79">
                  <c:v>3.7812476420489398E-3</c:v>
                </c:pt>
                <c:pt idx="80">
                  <c:v>-1.4871158270102699E-4</c:v>
                </c:pt>
                <c:pt idx="81">
                  <c:v>-9.6692803910181904E-4</c:v>
                </c:pt>
                <c:pt idx="82">
                  <c:v>-5.6324146870567803E-4</c:v>
                </c:pt>
                <c:pt idx="83">
                  <c:v>-4.2055609165375296E-3</c:v>
                </c:pt>
                <c:pt idx="84">
                  <c:v>-1.05038762282234E-3</c:v>
                </c:pt>
                <c:pt idx="85">
                  <c:v>-4.6727503229302501E-3</c:v>
                </c:pt>
                <c:pt idx="86">
                  <c:v>-2.0476650923994602E-3</c:v>
                </c:pt>
                <c:pt idx="87">
                  <c:v>-8.7772615131936102E-4</c:v>
                </c:pt>
                <c:pt idx="88">
                  <c:v>-2.8859276819511301E-3</c:v>
                </c:pt>
                <c:pt idx="89">
                  <c:v>-1.34806664673276E-3</c:v>
                </c:pt>
                <c:pt idx="90">
                  <c:v>-3.7739828171062298E-3</c:v>
                </c:pt>
                <c:pt idx="91">
                  <c:v>-3.49816691331863E-3</c:v>
                </c:pt>
                <c:pt idx="92">
                  <c:v>-6.2747356929956999E-3</c:v>
                </c:pt>
                <c:pt idx="93">
                  <c:v>-6.3540910172191802E-3</c:v>
                </c:pt>
                <c:pt idx="94">
                  <c:v>-4.1847800159423897E-3</c:v>
                </c:pt>
                <c:pt idx="95">
                  <c:v>-5.7452852848481799E-3</c:v>
                </c:pt>
                <c:pt idx="96">
                  <c:v>-4.78716732774197E-3</c:v>
                </c:pt>
                <c:pt idx="97">
                  <c:v>-5.4333030278636701E-3</c:v>
                </c:pt>
                <c:pt idx="98">
                  <c:v>-7.8336677520851102E-3</c:v>
                </c:pt>
                <c:pt idx="99">
                  <c:v>-6.6695165423056599E-3</c:v>
                </c:pt>
                <c:pt idx="100">
                  <c:v>-3.03257578807989E-3</c:v>
                </c:pt>
                <c:pt idx="101">
                  <c:v>-1.75094747304832E-3</c:v>
                </c:pt>
                <c:pt idx="102">
                  <c:v>-5.5518741709334601E-3</c:v>
                </c:pt>
                <c:pt idx="103">
                  <c:v>-3.9549350676261396E-3</c:v>
                </c:pt>
                <c:pt idx="104">
                  <c:v>-5.8484238284442699E-3</c:v>
                </c:pt>
                <c:pt idx="105">
                  <c:v>-4.8376035644900504E-3</c:v>
                </c:pt>
                <c:pt idx="106">
                  <c:v>-3.2309422480010798E-3</c:v>
                </c:pt>
                <c:pt idx="107">
                  <c:v>-5.18677356426951E-3</c:v>
                </c:pt>
                <c:pt idx="108">
                  <c:v>-6.0885182774378698E-3</c:v>
                </c:pt>
                <c:pt idx="109">
                  <c:v>-3.1505545134485201E-3</c:v>
                </c:pt>
                <c:pt idx="110">
                  <c:v>-3.7725141814802898E-3</c:v>
                </c:pt>
                <c:pt idx="111">
                  <c:v>-5.36478433003954E-3</c:v>
                </c:pt>
                <c:pt idx="112">
                  <c:v>-6.9246903870225701E-3</c:v>
                </c:pt>
                <c:pt idx="113">
                  <c:v>-6.1546034064075203E-3</c:v>
                </c:pt>
                <c:pt idx="114">
                  <c:v>-7.3159016561309799E-3</c:v>
                </c:pt>
                <c:pt idx="115">
                  <c:v>-8.2216818943017297E-3</c:v>
                </c:pt>
                <c:pt idx="116">
                  <c:v>-9.8305987893550703E-3</c:v>
                </c:pt>
                <c:pt idx="117">
                  <c:v>-1.0105054036033E-2</c:v>
                </c:pt>
                <c:pt idx="118">
                  <c:v>-9.7697618711237305E-3</c:v>
                </c:pt>
                <c:pt idx="119">
                  <c:v>-1.0109450532611501E-2</c:v>
                </c:pt>
                <c:pt idx="120">
                  <c:v>-1.04798833814253E-2</c:v>
                </c:pt>
                <c:pt idx="121">
                  <c:v>-1.17479309060086E-2</c:v>
                </c:pt>
                <c:pt idx="122">
                  <c:v>-1.30897108696062E-2</c:v>
                </c:pt>
                <c:pt idx="123">
                  <c:v>-1.2372685926811899E-2</c:v>
                </c:pt>
                <c:pt idx="124">
                  <c:v>-9.4695829890730603E-3</c:v>
                </c:pt>
                <c:pt idx="125">
                  <c:v>-6.8604780030491102E-3</c:v>
                </c:pt>
                <c:pt idx="126">
                  <c:v>-4.8907670298478801E-3</c:v>
                </c:pt>
                <c:pt idx="127">
                  <c:v>-3.9012707590268302E-3</c:v>
                </c:pt>
                <c:pt idx="128">
                  <c:v>-7.2366720963401403E-3</c:v>
                </c:pt>
                <c:pt idx="129">
                  <c:v>-5.4282300962850902E-3</c:v>
                </c:pt>
                <c:pt idx="130">
                  <c:v>-5.4821186397014899E-3</c:v>
                </c:pt>
                <c:pt idx="131">
                  <c:v>-4.4210610243383503E-3</c:v>
                </c:pt>
                <c:pt idx="132">
                  <c:v>-4.8146488637043601E-3</c:v>
                </c:pt>
                <c:pt idx="133">
                  <c:v>-4.3359986066543003E-3</c:v>
                </c:pt>
                <c:pt idx="134">
                  <c:v>-5.6201282452772797E-3</c:v>
                </c:pt>
                <c:pt idx="135">
                  <c:v>-6.0596825217415001E-3</c:v>
                </c:pt>
                <c:pt idx="136">
                  <c:v>-1.0037483471693901E-2</c:v>
                </c:pt>
                <c:pt idx="137">
                  <c:v>-5.2514649178275301E-3</c:v>
                </c:pt>
                <c:pt idx="138">
                  <c:v>-8.0148950607719701E-3</c:v>
                </c:pt>
                <c:pt idx="139">
                  <c:v>-5.8065809273290404E-3</c:v>
                </c:pt>
                <c:pt idx="140">
                  <c:v>-4.4581205634040798E-3</c:v>
                </c:pt>
                <c:pt idx="141">
                  <c:v>-6.4795632539849698E-4</c:v>
                </c:pt>
                <c:pt idx="142">
                  <c:v>-2.9312020373536897E-4</c:v>
                </c:pt>
                <c:pt idx="143">
                  <c:v>-2.4499952627812802E-3</c:v>
                </c:pt>
                <c:pt idx="144">
                  <c:v>2.4147365195161998E-3</c:v>
                </c:pt>
                <c:pt idx="145">
                  <c:v>8.3925371271551501E-5</c:v>
                </c:pt>
                <c:pt idx="146">
                  <c:v>2.4238322098462002E-3</c:v>
                </c:pt>
                <c:pt idx="147">
                  <c:v>1.62378741695184E-3</c:v>
                </c:pt>
                <c:pt idx="148">
                  <c:v>8.8659376245418299E-4</c:v>
                </c:pt>
                <c:pt idx="149">
                  <c:v>2.91519700576273E-4</c:v>
                </c:pt>
                <c:pt idx="150">
                  <c:v>2.8198131886464899E-3</c:v>
                </c:pt>
                <c:pt idx="151">
                  <c:v>1.0565140753569201E-3</c:v>
                </c:pt>
                <c:pt idx="152">
                  <c:v>-2.3937762043307101E-3</c:v>
                </c:pt>
                <c:pt idx="153">
                  <c:v>3.7422598878453499E-4</c:v>
                </c:pt>
                <c:pt idx="154">
                  <c:v>-1.87329231231233E-3</c:v>
                </c:pt>
                <c:pt idx="155">
                  <c:v>-3.6516610536242401E-3</c:v>
                </c:pt>
                <c:pt idx="156">
                  <c:v>-1.6111166836510699E-4</c:v>
                </c:pt>
                <c:pt idx="157">
                  <c:v>-2.0838170210200199E-3</c:v>
                </c:pt>
                <c:pt idx="158">
                  <c:v>-1.7264968808931101E-3</c:v>
                </c:pt>
                <c:pt idx="159">
                  <c:v>-2.6421449256418201E-3</c:v>
                </c:pt>
                <c:pt idx="160">
                  <c:v>-2.7370775465036302E-3</c:v>
                </c:pt>
                <c:pt idx="161">
                  <c:v>-2.5659538607920602E-3</c:v>
                </c:pt>
                <c:pt idx="162">
                  <c:v>1.04837132160886E-3</c:v>
                </c:pt>
                <c:pt idx="163">
                  <c:v>-1.94445277228312E-3</c:v>
                </c:pt>
                <c:pt idx="164">
                  <c:v>-5.8180909060840497E-4</c:v>
                </c:pt>
                <c:pt idx="165">
                  <c:v>3.7461401517016601E-4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CWB_ICVT_2!$V$1</c:f>
              <c:strCache>
                <c:ptCount val="1"/>
                <c:pt idx="0">
                  <c:v>log diff CWB x 10 dma / ICVT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CWB_ICVT_2!$V$2:$V$167</c:f>
              <c:numCache>
                <c:formatCode>0.00%</c:formatCode>
                <c:ptCount val="166"/>
                <c:pt idx="10">
                  <c:v>-3.4862128681375598E-4</c:v>
                </c:pt>
                <c:pt idx="11">
                  <c:v>-2.0016821393526799E-3</c:v>
                </c:pt>
                <c:pt idx="12">
                  <c:v>-1.22979989593216E-3</c:v>
                </c:pt>
                <c:pt idx="13">
                  <c:v>-7.52669739467281E-4</c:v>
                </c:pt>
                <c:pt idx="14">
                  <c:v>-2.84499256837346E-3</c:v>
                </c:pt>
                <c:pt idx="15">
                  <c:v>-3.22144267074281E-3</c:v>
                </c:pt>
                <c:pt idx="16">
                  <c:v>-2.9938119250238499E-3</c:v>
                </c:pt>
                <c:pt idx="17">
                  <c:v>-2.63041661836424E-3</c:v>
                </c:pt>
                <c:pt idx="18">
                  <c:v>-3.93951908529347E-3</c:v>
                </c:pt>
                <c:pt idx="19">
                  <c:v>-3.2973547382751998E-3</c:v>
                </c:pt>
                <c:pt idx="20">
                  <c:v>-2.6220503601897798E-3</c:v>
                </c:pt>
                <c:pt idx="21">
                  <c:v>-4.9531614151102797E-3</c:v>
                </c:pt>
                <c:pt idx="22">
                  <c:v>-8.5692448966800797E-4</c:v>
                </c:pt>
                <c:pt idx="23">
                  <c:v>-2.52477785122995E-3</c:v>
                </c:pt>
                <c:pt idx="24">
                  <c:v>-3.1939380668311798E-3</c:v>
                </c:pt>
                <c:pt idx="25">
                  <c:v>1.4195515684884601E-3</c:v>
                </c:pt>
                <c:pt idx="26">
                  <c:v>1.6203628125535301E-3</c:v>
                </c:pt>
                <c:pt idx="27">
                  <c:v>3.3792828174521502E-3</c:v>
                </c:pt>
                <c:pt idx="28">
                  <c:v>2.3523068923657201E-3</c:v>
                </c:pt>
                <c:pt idx="29">
                  <c:v>-3.5749943567257801E-5</c:v>
                </c:pt>
                <c:pt idx="30">
                  <c:v>2.0340849659554899E-3</c:v>
                </c:pt>
                <c:pt idx="31">
                  <c:v>4.18856930417296E-4</c:v>
                </c:pt>
                <c:pt idx="32">
                  <c:v>-7.3429668849226597E-4</c:v>
                </c:pt>
                <c:pt idx="33">
                  <c:v>-2.2697263008695399E-3</c:v>
                </c:pt>
                <c:pt idx="34">
                  <c:v>-1.1708635463621401E-3</c:v>
                </c:pt>
                <c:pt idx="35">
                  <c:v>1.7858816194796601E-3</c:v>
                </c:pt>
                <c:pt idx="36">
                  <c:v>1.5949623476692501E-3</c:v>
                </c:pt>
                <c:pt idx="37">
                  <c:v>-1.4537432947317301E-3</c:v>
                </c:pt>
                <c:pt idx="38">
                  <c:v>-2.5908801671436698E-3</c:v>
                </c:pt>
                <c:pt idx="39">
                  <c:v>-6.27183049705688E-3</c:v>
                </c:pt>
                <c:pt idx="40">
                  <c:v>-1.3344341412216301E-3</c:v>
                </c:pt>
                <c:pt idx="41">
                  <c:v>-1.9242778095531099E-3</c:v>
                </c:pt>
                <c:pt idx="42">
                  <c:v>-1.0711043982089699E-3</c:v>
                </c:pt>
                <c:pt idx="43">
                  <c:v>5.2716788650975302E-4</c:v>
                </c:pt>
                <c:pt idx="44">
                  <c:v>-1.5526628737270801E-3</c:v>
                </c:pt>
                <c:pt idx="45">
                  <c:v>-2.9419115238217999E-3</c:v>
                </c:pt>
                <c:pt idx="46">
                  <c:v>-3.3246738203276298E-3</c:v>
                </c:pt>
                <c:pt idx="47">
                  <c:v>2.2274585950007499E-3</c:v>
                </c:pt>
                <c:pt idx="48">
                  <c:v>-1.1652933967645101E-3</c:v>
                </c:pt>
                <c:pt idx="49">
                  <c:v>-1.5266189229718699E-3</c:v>
                </c:pt>
                <c:pt idx="50">
                  <c:v>-6.4292547190009802E-4</c:v>
                </c:pt>
                <c:pt idx="51">
                  <c:v>-1.6268375414806599E-3</c:v>
                </c:pt>
                <c:pt idx="52">
                  <c:v>-1.6699872441735999E-3</c:v>
                </c:pt>
                <c:pt idx="53">
                  <c:v>-1.7982922546230999E-3</c:v>
                </c:pt>
                <c:pt idx="54">
                  <c:v>-1.3417762462734599E-4</c:v>
                </c:pt>
                <c:pt idx="55">
                  <c:v>-2.1344789152540201E-3</c:v>
                </c:pt>
                <c:pt idx="56">
                  <c:v>-2.7059535666596698E-3</c:v>
                </c:pt>
                <c:pt idx="57">
                  <c:v>-2.32787752232996E-3</c:v>
                </c:pt>
                <c:pt idx="58">
                  <c:v>-8.14349311876204E-3</c:v>
                </c:pt>
                <c:pt idx="59">
                  <c:v>1.0783566013357899E-3</c:v>
                </c:pt>
                <c:pt idx="60">
                  <c:v>2.3150981761094502E-3</c:v>
                </c:pt>
                <c:pt idx="61">
                  <c:v>2.60075140639646E-3</c:v>
                </c:pt>
                <c:pt idx="62">
                  <c:v>1.0687046426561099E-3</c:v>
                </c:pt>
                <c:pt idx="63">
                  <c:v>-2.6842649773713899E-4</c:v>
                </c:pt>
                <c:pt idx="64">
                  <c:v>7.9518101727428904E-4</c:v>
                </c:pt>
                <c:pt idx="65">
                  <c:v>7.3190314984659304E-4</c:v>
                </c:pt>
                <c:pt idx="66">
                  <c:v>3.1684680587147201E-4</c:v>
                </c:pt>
                <c:pt idx="67">
                  <c:v>-6.5095286711700905E-4</c:v>
                </c:pt>
                <c:pt idx="68">
                  <c:v>4.7462856397332501E-3</c:v>
                </c:pt>
                <c:pt idx="69">
                  <c:v>2.22281579996073E-3</c:v>
                </c:pt>
                <c:pt idx="70">
                  <c:v>-7.2956873889535201E-4</c:v>
                </c:pt>
                <c:pt idx="71">
                  <c:v>2.5327308386922198E-3</c:v>
                </c:pt>
                <c:pt idx="72">
                  <c:v>-1.61651593098132E-3</c:v>
                </c:pt>
                <c:pt idx="73">
                  <c:v>-3.00898730147365E-4</c:v>
                </c:pt>
                <c:pt idx="74">
                  <c:v>-1.07842483801312E-3</c:v>
                </c:pt>
                <c:pt idx="75">
                  <c:v>8.7604119188422697E-4</c:v>
                </c:pt>
                <c:pt idx="76">
                  <c:v>2.7620326842660099E-3</c:v>
                </c:pt>
                <c:pt idx="77">
                  <c:v>-6.4589447850609796E-4</c:v>
                </c:pt>
                <c:pt idx="78">
                  <c:v>6.0091538447900803E-4</c:v>
                </c:pt>
                <c:pt idx="79">
                  <c:v>2.0513486810430702E-3</c:v>
                </c:pt>
                <c:pt idx="80">
                  <c:v>-1.9389720460053501E-3</c:v>
                </c:pt>
                <c:pt idx="81">
                  <c:v>-2.69591996741359E-3</c:v>
                </c:pt>
                <c:pt idx="82">
                  <c:v>-1.83809329688336E-3</c:v>
                </c:pt>
                <c:pt idx="83">
                  <c:v>-5.46831467592045E-3</c:v>
                </c:pt>
                <c:pt idx="84">
                  <c:v>-1.81656828015479E-3</c:v>
                </c:pt>
                <c:pt idx="85">
                  <c:v>-5.3242070823503601E-3</c:v>
                </c:pt>
                <c:pt idx="86">
                  <c:v>-2.0293150000776101E-3</c:v>
                </c:pt>
                <c:pt idx="87">
                  <c:v>-2.4795568433561401E-4</c:v>
                </c:pt>
                <c:pt idx="88">
                  <c:v>-2.0604666069854302E-3</c:v>
                </c:pt>
                <c:pt idx="89">
                  <c:v>1.8241723688572298E-5</c:v>
                </c:pt>
                <c:pt idx="90">
                  <c:v>-1.89619642464856E-3</c:v>
                </c:pt>
                <c:pt idx="91">
                  <c:v>-1.25788861268746E-3</c:v>
                </c:pt>
                <c:pt idx="92">
                  <c:v>-3.7813674241849999E-3</c:v>
                </c:pt>
                <c:pt idx="93">
                  <c:v>-3.2892069829422799E-3</c:v>
                </c:pt>
                <c:pt idx="94">
                  <c:v>-9.0458969588090403E-4</c:v>
                </c:pt>
                <c:pt idx="95">
                  <c:v>-2.1519122621612599E-3</c:v>
                </c:pt>
                <c:pt idx="96">
                  <c:v>-1.08637314996378E-3</c:v>
                </c:pt>
                <c:pt idx="97">
                  <c:v>-1.4586736576485499E-3</c:v>
                </c:pt>
                <c:pt idx="98">
                  <c:v>-3.4039568671593401E-3</c:v>
                </c:pt>
                <c:pt idx="99">
                  <c:v>-1.7446933367003001E-3</c:v>
                </c:pt>
                <c:pt idx="100">
                  <c:v>2.4237645157130202E-3</c:v>
                </c:pt>
                <c:pt idx="101">
                  <c:v>3.6314014480915298E-3</c:v>
                </c:pt>
                <c:pt idx="102">
                  <c:v>-3.43781214746613E-4</c:v>
                </c:pt>
                <c:pt idx="103">
                  <c:v>1.18081812328241E-3</c:v>
                </c:pt>
                <c:pt idx="104">
                  <c:v>-9.5261957630285595E-4</c:v>
                </c:pt>
                <c:pt idx="105">
                  <c:v>2.2457134536705401E-4</c:v>
                </c:pt>
                <c:pt idx="106">
                  <c:v>1.7404395523735799E-3</c:v>
                </c:pt>
                <c:pt idx="107">
                  <c:v>-3.7087668700434698E-4</c:v>
                </c:pt>
                <c:pt idx="108">
                  <c:v>-1.2972868358360401E-3</c:v>
                </c:pt>
                <c:pt idx="109">
                  <c:v>1.46576757833608E-3</c:v>
                </c:pt>
                <c:pt idx="110">
                  <c:v>4.9174618752121496E-4</c:v>
                </c:pt>
                <c:pt idx="111">
                  <c:v>-1.0265965868726001E-3</c:v>
                </c:pt>
                <c:pt idx="112">
                  <c:v>-2.2254658288826698E-3</c:v>
                </c:pt>
                <c:pt idx="113">
                  <c:v>-1.3178952201567901E-3</c:v>
                </c:pt>
                <c:pt idx="114">
                  <c:v>-2.2592028199341502E-3</c:v>
                </c:pt>
                <c:pt idx="115">
                  <c:v>-3.0180220321723702E-3</c:v>
                </c:pt>
                <c:pt idx="116">
                  <c:v>-4.2881393110059101E-3</c:v>
                </c:pt>
                <c:pt idx="117">
                  <c:v>-3.9021932438477098E-3</c:v>
                </c:pt>
                <c:pt idx="118">
                  <c:v>-3.0744835464691501E-3</c:v>
                </c:pt>
                <c:pt idx="119">
                  <c:v>-3.0456610541474702E-3</c:v>
                </c:pt>
                <c:pt idx="120">
                  <c:v>-2.72074650992559E-3</c:v>
                </c:pt>
                <c:pt idx="121">
                  <c:v>-3.3187048185459702E-3</c:v>
                </c:pt>
                <c:pt idx="122">
                  <c:v>-4.0222915742837897E-3</c:v>
                </c:pt>
                <c:pt idx="123">
                  <c:v>-2.6883742737697299E-3</c:v>
                </c:pt>
                <c:pt idx="124">
                  <c:v>8.3608331735108004E-4</c:v>
                </c:pt>
                <c:pt idx="125">
                  <c:v>3.6601217892836299E-3</c:v>
                </c:pt>
                <c:pt idx="126">
                  <c:v>5.4941081225028396E-3</c:v>
                </c:pt>
                <c:pt idx="127">
                  <c:v>5.9909910460433802E-3</c:v>
                </c:pt>
                <c:pt idx="128">
                  <c:v>2.0368087316134601E-3</c:v>
                </c:pt>
                <c:pt idx="129">
                  <c:v>3.5921046873833599E-3</c:v>
                </c:pt>
                <c:pt idx="130">
                  <c:v>3.0705698296491302E-3</c:v>
                </c:pt>
                <c:pt idx="131">
                  <c:v>3.6320112979255801E-3</c:v>
                </c:pt>
                <c:pt idx="132">
                  <c:v>2.5054432430383E-3</c:v>
                </c:pt>
                <c:pt idx="133">
                  <c:v>2.1548895745733699E-3</c:v>
                </c:pt>
                <c:pt idx="134">
                  <c:v>6.5265717696166595E-5</c:v>
                </c:pt>
                <c:pt idx="135">
                  <c:v>-7.6002511530191504E-4</c:v>
                </c:pt>
                <c:pt idx="136">
                  <c:v>-4.8180018095920199E-3</c:v>
                </c:pt>
                <c:pt idx="137">
                  <c:v>4.8371251579582702E-4</c:v>
                </c:pt>
                <c:pt idx="138">
                  <c:v>-2.14486366540368E-3</c:v>
                </c:pt>
                <c:pt idx="139">
                  <c:v>1.4140648448772699E-4</c:v>
                </c:pt>
                <c:pt idx="140">
                  <c:v>1.5276887109603799E-3</c:v>
                </c:pt>
                <c:pt idx="141">
                  <c:v>5.2355518579143999E-3</c:v>
                </c:pt>
                <c:pt idx="142">
                  <c:v>5.2142680614091202E-3</c:v>
                </c:pt>
                <c:pt idx="143">
                  <c:v>2.6064715675588501E-3</c:v>
                </c:pt>
                <c:pt idx="144">
                  <c:v>7.2828987295430704E-3</c:v>
                </c:pt>
                <c:pt idx="145">
                  <c:v>4.1508975623030398E-3</c:v>
                </c:pt>
                <c:pt idx="146">
                  <c:v>5.8769168512653597E-3</c:v>
                </c:pt>
                <c:pt idx="147">
                  <c:v>3.8295139110472499E-3</c:v>
                </c:pt>
                <c:pt idx="148">
                  <c:v>2.4048267799222098E-3</c:v>
                </c:pt>
                <c:pt idx="149">
                  <c:v>9.17379809013546E-4</c:v>
                </c:pt>
                <c:pt idx="150">
                  <c:v>2.8343741815639598E-3</c:v>
                </c:pt>
                <c:pt idx="151">
                  <c:v>3.4242887448058602E-4</c:v>
                </c:pt>
                <c:pt idx="152">
                  <c:v>-3.2784099256307001E-3</c:v>
                </c:pt>
                <c:pt idx="153">
                  <c:v>-2.99895687787888E-4</c:v>
                </c:pt>
                <c:pt idx="154">
                  <c:v>-2.8303601561370999E-3</c:v>
                </c:pt>
                <c:pt idx="155">
                  <c:v>-4.1797233135235602E-3</c:v>
                </c:pt>
                <c:pt idx="156">
                  <c:v>-3.1482050647684999E-4</c:v>
                </c:pt>
                <c:pt idx="157">
                  <c:v>-1.9793173320176599E-3</c:v>
                </c:pt>
                <c:pt idx="158">
                  <c:v>-1.25125872874679E-3</c:v>
                </c:pt>
                <c:pt idx="159">
                  <c:v>-1.90564621282064E-3</c:v>
                </c:pt>
                <c:pt idx="160">
                  <c:v>-1.7071265656119401E-3</c:v>
                </c:pt>
                <c:pt idx="161">
                  <c:v>-9.8106210168460105E-4</c:v>
                </c:pt>
                <c:pt idx="162">
                  <c:v>2.9951439831327302E-3</c:v>
                </c:pt>
                <c:pt idx="163">
                  <c:v>-3.4151586329743199E-4</c:v>
                </c:pt>
                <c:pt idx="164">
                  <c:v>1.2527793636086799E-3</c:v>
                </c:pt>
                <c:pt idx="165">
                  <c:v>2.0801241821203501E-3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CWB_ICVT_2!$W$1</c:f>
              <c:strCache>
                <c:ptCount val="1"/>
                <c:pt idx="0">
                  <c:v>log diff CWB x 20 dma / ICVT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CWB_ICVT_2!$W$2:$W$167</c:f>
              <c:numCache>
                <c:formatCode>0.00%</c:formatCode>
                <c:ptCount val="166"/>
                <c:pt idx="20">
                  <c:v>-4.0740669009533999E-3</c:v>
                </c:pt>
                <c:pt idx="21">
                  <c:v>-6.7600049808109602E-3</c:v>
                </c:pt>
                <c:pt idx="22">
                  <c:v>-2.9250077348453498E-3</c:v>
                </c:pt>
                <c:pt idx="23">
                  <c:v>-4.7312800207258802E-3</c:v>
                </c:pt>
                <c:pt idx="24">
                  <c:v>-5.7229296952945596E-3</c:v>
                </c:pt>
                <c:pt idx="25">
                  <c:v>-1.2301888220109501E-3</c:v>
                </c:pt>
                <c:pt idx="26">
                  <c:v>-8.46194790642671E-4</c:v>
                </c:pt>
                <c:pt idx="27">
                  <c:v>1.0911104452012599E-3</c:v>
                </c:pt>
                <c:pt idx="28">
                  <c:v>3.2207462050344598E-4</c:v>
                </c:pt>
                <c:pt idx="29">
                  <c:v>-1.5686133321277801E-3</c:v>
                </c:pt>
                <c:pt idx="30">
                  <c:v>8.2162792758470405E-4</c:v>
                </c:pt>
                <c:pt idx="31">
                  <c:v>-4.2366306564551502E-4</c:v>
                </c:pt>
                <c:pt idx="32">
                  <c:v>-1.06364453165758E-3</c:v>
                </c:pt>
                <c:pt idx="33">
                  <c:v>-2.4377846625839202E-3</c:v>
                </c:pt>
                <c:pt idx="34">
                  <c:v>-1.03376232465588E-3</c:v>
                </c:pt>
                <c:pt idx="35">
                  <c:v>2.3089790945967099E-3</c:v>
                </c:pt>
                <c:pt idx="36">
                  <c:v>2.2218777752593499E-3</c:v>
                </c:pt>
                <c:pt idx="37">
                  <c:v>-7.4920804143233002E-4</c:v>
                </c:pt>
                <c:pt idx="38">
                  <c:v>-2.1288557246723198E-3</c:v>
                </c:pt>
                <c:pt idx="39">
                  <c:v>-6.1221817669601299E-3</c:v>
                </c:pt>
                <c:pt idx="40">
                  <c:v>-1.4921960335717199E-3</c:v>
                </c:pt>
                <c:pt idx="41">
                  <c:v>-2.3774230275721299E-3</c:v>
                </c:pt>
                <c:pt idx="42">
                  <c:v>-1.8711461768084899E-3</c:v>
                </c:pt>
                <c:pt idx="43">
                  <c:v>-3.4287190202318799E-4</c:v>
                </c:pt>
                <c:pt idx="44">
                  <c:v>-2.3658811567965599E-3</c:v>
                </c:pt>
                <c:pt idx="45">
                  <c:v>-3.9705639400440798E-3</c:v>
                </c:pt>
                <c:pt idx="46">
                  <c:v>-4.7624026639844202E-3</c:v>
                </c:pt>
                <c:pt idx="47">
                  <c:v>3.39650799296794E-4</c:v>
                </c:pt>
                <c:pt idx="48">
                  <c:v>-2.8871404683295E-3</c:v>
                </c:pt>
                <c:pt idx="49">
                  <c:v>-3.1486484829557002E-3</c:v>
                </c:pt>
                <c:pt idx="50">
                  <c:v>-1.8926542875647499E-3</c:v>
                </c:pt>
                <c:pt idx="51">
                  <c:v>-2.7830467170157601E-3</c:v>
                </c:pt>
                <c:pt idx="52">
                  <c:v>-2.7646300257833899E-3</c:v>
                </c:pt>
                <c:pt idx="53">
                  <c:v>-2.9354977098206099E-3</c:v>
                </c:pt>
                <c:pt idx="54">
                  <c:v>-1.5537172468830501E-3</c:v>
                </c:pt>
                <c:pt idx="55">
                  <c:v>-3.5246545014858302E-3</c:v>
                </c:pt>
                <c:pt idx="56">
                  <c:v>-3.85624022971772E-3</c:v>
                </c:pt>
                <c:pt idx="57">
                  <c:v>-3.1732939325564199E-3</c:v>
                </c:pt>
                <c:pt idx="58">
                  <c:v>-9.2957135412755597E-3</c:v>
                </c:pt>
                <c:pt idx="59">
                  <c:v>-4.3792932084794602E-4</c:v>
                </c:pt>
                <c:pt idx="60">
                  <c:v>7.0239452603889296E-4</c:v>
                </c:pt>
                <c:pt idx="61">
                  <c:v>1.064904041751E-3</c:v>
                </c:pt>
                <c:pt idx="62">
                  <c:v>-3.0894234236536E-4</c:v>
                </c:pt>
                <c:pt idx="63">
                  <c:v>-1.5076916524320099E-3</c:v>
                </c:pt>
                <c:pt idx="64">
                  <c:v>-2.6190160942911198E-4</c:v>
                </c:pt>
                <c:pt idx="65">
                  <c:v>-3.1331795775653301E-4</c:v>
                </c:pt>
                <c:pt idx="66">
                  <c:v>-5.9093197808254697E-4</c:v>
                </c:pt>
                <c:pt idx="67">
                  <c:v>-1.41420190059557E-3</c:v>
                </c:pt>
                <c:pt idx="68">
                  <c:v>4.3023403392307199E-3</c:v>
                </c:pt>
                <c:pt idx="69">
                  <c:v>2.8457801438828501E-3</c:v>
                </c:pt>
                <c:pt idx="70">
                  <c:v>3.4351475276990097E-5</c:v>
                </c:pt>
                <c:pt idx="71">
                  <c:v>3.2342090474891802E-3</c:v>
                </c:pt>
                <c:pt idx="72">
                  <c:v>-9.0599233716158998E-4</c:v>
                </c:pt>
                <c:pt idx="73">
                  <c:v>3.4721448772983199E-4</c:v>
                </c:pt>
                <c:pt idx="74">
                  <c:v>-3.1950605177353799E-4</c:v>
                </c:pt>
                <c:pt idx="75">
                  <c:v>1.67636980873425E-3</c:v>
                </c:pt>
                <c:pt idx="76">
                  <c:v>3.6108858307744101E-3</c:v>
                </c:pt>
                <c:pt idx="77">
                  <c:v>3.4976060340202302E-4</c:v>
                </c:pt>
                <c:pt idx="78">
                  <c:v>1.68911208940676E-3</c:v>
                </c:pt>
                <c:pt idx="79">
                  <c:v>2.4394842480976501E-3</c:v>
                </c:pt>
                <c:pt idx="80">
                  <c:v>-1.64007789057519E-3</c:v>
                </c:pt>
                <c:pt idx="81">
                  <c:v>-2.3517830181454999E-3</c:v>
                </c:pt>
                <c:pt idx="82">
                  <c:v>-1.78768661401225E-3</c:v>
                </c:pt>
                <c:pt idx="83">
                  <c:v>-5.3606603479990304E-3</c:v>
                </c:pt>
                <c:pt idx="84">
                  <c:v>-2.02041517421459E-3</c:v>
                </c:pt>
                <c:pt idx="85">
                  <c:v>-5.5675741659360596E-3</c:v>
                </c:pt>
                <c:pt idx="86">
                  <c:v>-2.69460870983364E-3</c:v>
                </c:pt>
                <c:pt idx="87">
                  <c:v>-1.4254954737857599E-3</c:v>
                </c:pt>
                <c:pt idx="88">
                  <c:v>-3.4355421278953599E-3</c:v>
                </c:pt>
                <c:pt idx="89">
                  <c:v>-1.5286636300237101E-3</c:v>
                </c:pt>
                <c:pt idx="90">
                  <c:v>-3.72853803250534E-3</c:v>
                </c:pt>
                <c:pt idx="91">
                  <c:v>-3.24055434018313E-3</c:v>
                </c:pt>
                <c:pt idx="92">
                  <c:v>-5.6637025383919296E-3</c:v>
                </c:pt>
                <c:pt idx="93">
                  <c:v>-5.4506848254899098E-3</c:v>
                </c:pt>
                <c:pt idx="94">
                  <c:v>-2.92572854621334E-3</c:v>
                </c:pt>
                <c:pt idx="95">
                  <c:v>-4.2720748324209298E-3</c:v>
                </c:pt>
                <c:pt idx="96">
                  <c:v>-2.9259001443445801E-3</c:v>
                </c:pt>
                <c:pt idx="97">
                  <c:v>-3.1297045997808999E-3</c:v>
                </c:pt>
                <c:pt idx="98">
                  <c:v>-5.2044579459316603E-3</c:v>
                </c:pt>
                <c:pt idx="99">
                  <c:v>-3.5223678766484298E-3</c:v>
                </c:pt>
                <c:pt idx="100">
                  <c:v>6.3608831520336302E-4</c:v>
                </c:pt>
                <c:pt idx="101">
                  <c:v>2.0616002133025798E-3</c:v>
                </c:pt>
                <c:pt idx="102">
                  <c:v>-1.7002223424516299E-3</c:v>
                </c:pt>
                <c:pt idx="103">
                  <c:v>1.4591960725389799E-4</c:v>
                </c:pt>
                <c:pt idx="104">
                  <c:v>-1.76010026633105E-3</c:v>
                </c:pt>
                <c:pt idx="105">
                  <c:v>-5.0955992586930801E-4</c:v>
                </c:pt>
                <c:pt idx="106">
                  <c:v>1.10534754017491E-3</c:v>
                </c:pt>
                <c:pt idx="107">
                  <c:v>-7.9142197415466497E-4</c:v>
                </c:pt>
                <c:pt idx="108">
                  <c:v>-1.47803077703523E-3</c:v>
                </c:pt>
                <c:pt idx="109">
                  <c:v>1.62003003186371E-3</c:v>
                </c:pt>
                <c:pt idx="110">
                  <c:v>1.0879637867278599E-3</c:v>
                </c:pt>
                <c:pt idx="111">
                  <c:v>-5.04379713821646E-4</c:v>
                </c:pt>
                <c:pt idx="112">
                  <c:v>-1.9709992614788899E-3</c:v>
                </c:pt>
                <c:pt idx="113">
                  <c:v>-1.1683615393386501E-3</c:v>
                </c:pt>
                <c:pt idx="114">
                  <c:v>-2.3396468760785299E-3</c:v>
                </c:pt>
                <c:pt idx="115">
                  <c:v>-3.0887620060595501E-3</c:v>
                </c:pt>
                <c:pt idx="116">
                  <c:v>-4.5736373837792898E-3</c:v>
                </c:pt>
                <c:pt idx="117">
                  <c:v>-4.5954347427144904E-3</c:v>
                </c:pt>
                <c:pt idx="118">
                  <c:v>-4.0260538137475502E-3</c:v>
                </c:pt>
                <c:pt idx="119">
                  <c:v>-4.2686459855978296E-3</c:v>
                </c:pt>
                <c:pt idx="120">
                  <c:v>-4.4666579917309697E-3</c:v>
                </c:pt>
                <c:pt idx="121">
                  <c:v>-5.3621319178108499E-3</c:v>
                </c:pt>
                <c:pt idx="122">
                  <c:v>-6.2040038041137301E-3</c:v>
                </c:pt>
                <c:pt idx="123">
                  <c:v>-5.1092386026201199E-3</c:v>
                </c:pt>
                <c:pt idx="124">
                  <c:v>-1.7849564642782099E-3</c:v>
                </c:pt>
                <c:pt idx="125">
                  <c:v>1.00518555129727E-3</c:v>
                </c:pt>
                <c:pt idx="126">
                  <c:v>3.0758314063332802E-3</c:v>
                </c:pt>
                <c:pt idx="127">
                  <c:v>4.1479919986152696E-3</c:v>
                </c:pt>
                <c:pt idx="128">
                  <c:v>7.4853837075224399E-4</c:v>
                </c:pt>
                <c:pt idx="129">
                  <c:v>2.6143105433966301E-3</c:v>
                </c:pt>
                <c:pt idx="130">
                  <c:v>2.6738727462393501E-3</c:v>
                </c:pt>
                <c:pt idx="131">
                  <c:v>3.8201058669818798E-3</c:v>
                </c:pt>
                <c:pt idx="132">
                  <c:v>3.3794884813179802E-3</c:v>
                </c:pt>
                <c:pt idx="133">
                  <c:v>3.7528760541227701E-3</c:v>
                </c:pt>
                <c:pt idx="134">
                  <c:v>2.37807025161417E-3</c:v>
                </c:pt>
                <c:pt idx="135">
                  <c:v>1.85385335369948E-3</c:v>
                </c:pt>
                <c:pt idx="136">
                  <c:v>-2.2319699069367799E-3</c:v>
                </c:pt>
                <c:pt idx="137">
                  <c:v>2.5644148687723402E-3</c:v>
                </c:pt>
                <c:pt idx="138">
                  <c:v>-4.4169101630489301E-4</c:v>
                </c:pt>
                <c:pt idx="139">
                  <c:v>1.6787600847459601E-3</c:v>
                </c:pt>
                <c:pt idx="140">
                  <c:v>2.8119519168274699E-3</c:v>
                </c:pt>
                <c:pt idx="141">
                  <c:v>6.3209223033436502E-3</c:v>
                </c:pt>
                <c:pt idx="142">
                  <c:v>6.1210307190541404E-3</c:v>
                </c:pt>
                <c:pt idx="143">
                  <c:v>3.3239394385571599E-3</c:v>
                </c:pt>
                <c:pt idx="144">
                  <c:v>7.6915980894811898E-3</c:v>
                </c:pt>
                <c:pt idx="145">
                  <c:v>4.7674301090998997E-3</c:v>
                </c:pt>
                <c:pt idx="146">
                  <c:v>6.7605053813601301E-3</c:v>
                </c:pt>
                <c:pt idx="147">
                  <c:v>5.59579650799478E-3</c:v>
                </c:pt>
                <c:pt idx="148">
                  <c:v>4.58309323564462E-3</c:v>
                </c:pt>
                <c:pt idx="149">
                  <c:v>3.5819840864037699E-3</c:v>
                </c:pt>
                <c:pt idx="150">
                  <c:v>5.82445529142059E-3</c:v>
                </c:pt>
                <c:pt idx="151">
                  <c:v>3.6466665865147398E-3</c:v>
                </c:pt>
                <c:pt idx="152">
                  <c:v>-7.7291697968843396E-5</c:v>
                </c:pt>
                <c:pt idx="153">
                  <c:v>2.5695035156308899E-3</c:v>
                </c:pt>
                <c:pt idx="154">
                  <c:v>8.6496527938938802E-5</c:v>
                </c:pt>
                <c:pt idx="155">
                  <c:v>-1.8795667976795199E-3</c:v>
                </c:pt>
                <c:pt idx="156">
                  <c:v>1.49020235230782E-3</c:v>
                </c:pt>
                <c:pt idx="157">
                  <c:v>-9.2815203531192701E-4</c:v>
                </c:pt>
                <c:pt idx="158">
                  <c:v>-7.2962531630588298E-4</c:v>
                </c:pt>
                <c:pt idx="159">
                  <c:v>-1.96096398490022E-3</c:v>
                </c:pt>
                <c:pt idx="160">
                  <c:v>-2.21469268250102E-3</c:v>
                </c:pt>
                <c:pt idx="161">
                  <c:v>-2.1298899199392002E-3</c:v>
                </c:pt>
                <c:pt idx="162">
                  <c:v>1.5804428991491801E-3</c:v>
                </c:pt>
                <c:pt idx="163">
                  <c:v>-1.4793970317412101E-3</c:v>
                </c:pt>
                <c:pt idx="164">
                  <c:v>-1.4207461761778901E-4</c:v>
                </c:pt>
                <c:pt idx="165">
                  <c:v>9.6396157428912499E-4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CWB_ICVT_2!$BY$22:$BY$167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3.4385112415986994E-3</c:v>
                </c:pt>
                <c:pt idx="3">
                  <c:v>1.3943574559126988E-3</c:v>
                </c:pt>
                <c:pt idx="4">
                  <c:v>1.0674121281739959E-4</c:v>
                </c:pt>
                <c:pt idx="5">
                  <c:v>4.1787788822000996E-3</c:v>
                </c:pt>
                <c:pt idx="6">
                  <c:v>4.1787788822000996E-3</c:v>
                </c:pt>
                <c:pt idx="7">
                  <c:v>4.1787788822000996E-3</c:v>
                </c:pt>
                <c:pt idx="8">
                  <c:v>4.1787788822000996E-3</c:v>
                </c:pt>
                <c:pt idx="9">
                  <c:v>4.1787788822000996E-3</c:v>
                </c:pt>
                <c:pt idx="10">
                  <c:v>4.1787788822000996E-3</c:v>
                </c:pt>
                <c:pt idx="11">
                  <c:v>4.1787788822000996E-3</c:v>
                </c:pt>
                <c:pt idx="12">
                  <c:v>4.1787788822000996E-3</c:v>
                </c:pt>
                <c:pt idx="13">
                  <c:v>4.1787788822000996E-3</c:v>
                </c:pt>
                <c:pt idx="14">
                  <c:v>4.1787788822000996E-3</c:v>
                </c:pt>
                <c:pt idx="15">
                  <c:v>4.1787788822000996E-3</c:v>
                </c:pt>
                <c:pt idx="16">
                  <c:v>4.1787788822000996E-3</c:v>
                </c:pt>
                <c:pt idx="17">
                  <c:v>4.1787788822000996E-3</c:v>
                </c:pt>
                <c:pt idx="18">
                  <c:v>4.1787788822000996E-3</c:v>
                </c:pt>
                <c:pt idx="19">
                  <c:v>4.1787788822000996E-3</c:v>
                </c:pt>
                <c:pt idx="20">
                  <c:v>8.5207067177144012E-3</c:v>
                </c:pt>
                <c:pt idx="21">
                  <c:v>8.5207067177144012E-3</c:v>
                </c:pt>
                <c:pt idx="22">
                  <c:v>8.5207067177144012E-3</c:v>
                </c:pt>
                <c:pt idx="23">
                  <c:v>8.5207067177144012E-3</c:v>
                </c:pt>
                <c:pt idx="24">
                  <c:v>8.5207067177144012E-3</c:v>
                </c:pt>
                <c:pt idx="25">
                  <c:v>8.5207067177144012E-3</c:v>
                </c:pt>
                <c:pt idx="26">
                  <c:v>8.5207067177144012E-3</c:v>
                </c:pt>
                <c:pt idx="27">
                  <c:v>8.5207067177144012E-3</c:v>
                </c:pt>
                <c:pt idx="28">
                  <c:v>8.5207067177144012E-3</c:v>
                </c:pt>
                <c:pt idx="29">
                  <c:v>8.5207067177144012E-3</c:v>
                </c:pt>
                <c:pt idx="30">
                  <c:v>8.5207067177144012E-3</c:v>
                </c:pt>
                <c:pt idx="31">
                  <c:v>8.5207067177144012E-3</c:v>
                </c:pt>
                <c:pt idx="32">
                  <c:v>8.5207067177144012E-3</c:v>
                </c:pt>
                <c:pt idx="33">
                  <c:v>8.5207067177144012E-3</c:v>
                </c:pt>
                <c:pt idx="34">
                  <c:v>8.5207067177144012E-3</c:v>
                </c:pt>
                <c:pt idx="35">
                  <c:v>8.5207067177144012E-3</c:v>
                </c:pt>
                <c:pt idx="36">
                  <c:v>8.5207067177144012E-3</c:v>
                </c:pt>
                <c:pt idx="37">
                  <c:v>8.5207067177144012E-3</c:v>
                </c:pt>
                <c:pt idx="38">
                  <c:v>8.5207067177144012E-3</c:v>
                </c:pt>
                <c:pt idx="39">
                  <c:v>1.6811333356059461E-2</c:v>
                </c:pt>
                <c:pt idx="40">
                  <c:v>1.6811333356059461E-2</c:v>
                </c:pt>
                <c:pt idx="41">
                  <c:v>1.6811333356059461E-2</c:v>
                </c:pt>
                <c:pt idx="42">
                  <c:v>1.6811333356059461E-2</c:v>
                </c:pt>
                <c:pt idx="43">
                  <c:v>1.6811333356059461E-2</c:v>
                </c:pt>
                <c:pt idx="44">
                  <c:v>1.6811333356059461E-2</c:v>
                </c:pt>
                <c:pt idx="45">
                  <c:v>1.6811333356059461E-2</c:v>
                </c:pt>
                <c:pt idx="46">
                  <c:v>1.6811333356059461E-2</c:v>
                </c:pt>
                <c:pt idx="47">
                  <c:v>1.6811333356059461E-2</c:v>
                </c:pt>
                <c:pt idx="48">
                  <c:v>1.6811333356059461E-2</c:v>
                </c:pt>
                <c:pt idx="49">
                  <c:v>1.8132397656742023E-2</c:v>
                </c:pt>
                <c:pt idx="50">
                  <c:v>2.0845999149800173E-2</c:v>
                </c:pt>
                <c:pt idx="51">
                  <c:v>2.0845999149800173E-2</c:v>
                </c:pt>
                <c:pt idx="52">
                  <c:v>2.4862041335606693E-2</c:v>
                </c:pt>
                <c:pt idx="53">
                  <c:v>2.4862041335606693E-2</c:v>
                </c:pt>
                <c:pt idx="54">
                  <c:v>2.4862041335606693E-2</c:v>
                </c:pt>
                <c:pt idx="55">
                  <c:v>2.4862041335606693E-2</c:v>
                </c:pt>
                <c:pt idx="56">
                  <c:v>2.4862041335606693E-2</c:v>
                </c:pt>
                <c:pt idx="57">
                  <c:v>2.7855951389236834E-2</c:v>
                </c:pt>
                <c:pt idx="58">
                  <c:v>2.7855951389236834E-2</c:v>
                </c:pt>
                <c:pt idx="59">
                  <c:v>2.7855951389236834E-2</c:v>
                </c:pt>
                <c:pt idx="60">
                  <c:v>2.7855951389236834E-2</c:v>
                </c:pt>
                <c:pt idx="61">
                  <c:v>2.7855951389236834E-2</c:v>
                </c:pt>
                <c:pt idx="62">
                  <c:v>2.7855951389236834E-2</c:v>
                </c:pt>
                <c:pt idx="63">
                  <c:v>2.7855951389236834E-2</c:v>
                </c:pt>
                <c:pt idx="64">
                  <c:v>3.1011124682952033E-2</c:v>
                </c:pt>
                <c:pt idx="65">
                  <c:v>3.1011124682952033E-2</c:v>
                </c:pt>
                <c:pt idx="66">
                  <c:v>3.3636209913482831E-2</c:v>
                </c:pt>
                <c:pt idx="67">
                  <c:v>3.3636209913482831E-2</c:v>
                </c:pt>
                <c:pt idx="68">
                  <c:v>3.3636209913482831E-2</c:v>
                </c:pt>
                <c:pt idx="69">
                  <c:v>3.3636209913482831E-2</c:v>
                </c:pt>
                <c:pt idx="70">
                  <c:v>3.3636209913482831E-2</c:v>
                </c:pt>
                <c:pt idx="71">
                  <c:v>3.3636209913482831E-2</c:v>
                </c:pt>
                <c:pt idx="72">
                  <c:v>3.3636209913482831E-2</c:v>
                </c:pt>
                <c:pt idx="73">
                  <c:v>3.3556854589259333E-2</c:v>
                </c:pt>
                <c:pt idx="74">
                  <c:v>3.5726165590536214E-2</c:v>
                </c:pt>
                <c:pt idx="75">
                  <c:v>3.5726165590536214E-2</c:v>
                </c:pt>
                <c:pt idx="76">
                  <c:v>3.5726165590536214E-2</c:v>
                </c:pt>
                <c:pt idx="77">
                  <c:v>3.5726165590536214E-2</c:v>
                </c:pt>
                <c:pt idx="78">
                  <c:v>3.5726165590536214E-2</c:v>
                </c:pt>
                <c:pt idx="79">
                  <c:v>3.6890316800315598E-2</c:v>
                </c:pt>
                <c:pt idx="80">
                  <c:v>4.0527257554541424E-2</c:v>
                </c:pt>
                <c:pt idx="81">
                  <c:v>4.0527257554541424E-2</c:v>
                </c:pt>
                <c:pt idx="82">
                  <c:v>4.0527257554541424E-2</c:v>
                </c:pt>
                <c:pt idx="83">
                  <c:v>4.0527257554541424E-2</c:v>
                </c:pt>
                <c:pt idx="84">
                  <c:v>4.0527257554541424E-2</c:v>
                </c:pt>
                <c:pt idx="85">
                  <c:v>4.0527257554541424E-2</c:v>
                </c:pt>
                <c:pt idx="86">
                  <c:v>4.0527257554541424E-2</c:v>
                </c:pt>
                <c:pt idx="87">
                  <c:v>4.0527257554541424E-2</c:v>
                </c:pt>
                <c:pt idx="88">
                  <c:v>4.0527257554541424E-2</c:v>
                </c:pt>
                <c:pt idx="89">
                  <c:v>4.0527257554541424E-2</c:v>
                </c:pt>
                <c:pt idx="90">
                  <c:v>4.0527257554541424E-2</c:v>
                </c:pt>
                <c:pt idx="91">
                  <c:v>4.0527257554541424E-2</c:v>
                </c:pt>
                <c:pt idx="92">
                  <c:v>4.0527257554541424E-2</c:v>
                </c:pt>
                <c:pt idx="93">
                  <c:v>4.0527257554541424E-2</c:v>
                </c:pt>
                <c:pt idx="94">
                  <c:v>4.0527257554541424E-2</c:v>
                </c:pt>
                <c:pt idx="95">
                  <c:v>4.0527257554541424E-2</c:v>
                </c:pt>
                <c:pt idx="96">
                  <c:v>4.0527257554541424E-2</c:v>
                </c:pt>
                <c:pt idx="97">
                  <c:v>4.0527257554541424E-2</c:v>
                </c:pt>
                <c:pt idx="98">
                  <c:v>4.0527257554541424E-2</c:v>
                </c:pt>
                <c:pt idx="99">
                  <c:v>4.0527257554541424E-2</c:v>
                </c:pt>
                <c:pt idx="100">
                  <c:v>4.0527257554541424E-2</c:v>
                </c:pt>
                <c:pt idx="101">
                  <c:v>4.0527257554541424E-2</c:v>
                </c:pt>
                <c:pt idx="102">
                  <c:v>3.9185477590943721E-2</c:v>
                </c:pt>
                <c:pt idx="103">
                  <c:v>3.9185477590943721E-2</c:v>
                </c:pt>
                <c:pt idx="104">
                  <c:v>4.2088580528682522E-2</c:v>
                </c:pt>
                <c:pt idx="105">
                  <c:v>4.2088580528682522E-2</c:v>
                </c:pt>
                <c:pt idx="106">
                  <c:v>4.2088580528682522E-2</c:v>
                </c:pt>
                <c:pt idx="107">
                  <c:v>4.2088580528682522E-2</c:v>
                </c:pt>
                <c:pt idx="108">
                  <c:v>4.5423981865995701E-2</c:v>
                </c:pt>
                <c:pt idx="109">
                  <c:v>4.5423981865995701E-2</c:v>
                </c:pt>
                <c:pt idx="110">
                  <c:v>4.5423981865995701E-2</c:v>
                </c:pt>
                <c:pt idx="111">
                  <c:v>4.5423981865995701E-2</c:v>
                </c:pt>
                <c:pt idx="112">
                  <c:v>4.5817569705361751E-2</c:v>
                </c:pt>
                <c:pt idx="113">
                  <c:v>4.5338919448311754E-2</c:v>
                </c:pt>
                <c:pt idx="114">
                  <c:v>4.6623049086934612E-2</c:v>
                </c:pt>
                <c:pt idx="115">
                  <c:v>4.7062603363398792E-2</c:v>
                </c:pt>
                <c:pt idx="116">
                  <c:v>5.104040431335119E-2</c:v>
                </c:pt>
                <c:pt idx="117">
                  <c:v>5.104040431335119E-2</c:v>
                </c:pt>
                <c:pt idx="118">
                  <c:v>5.104040431335119E-2</c:v>
                </c:pt>
                <c:pt idx="119">
                  <c:v>5.104040431335119E-2</c:v>
                </c:pt>
                <c:pt idx="120">
                  <c:v>5.104040431335119E-2</c:v>
                </c:pt>
                <c:pt idx="121">
                  <c:v>5.104040431335119E-2</c:v>
                </c:pt>
                <c:pt idx="122">
                  <c:v>5.0685568191687985E-2</c:v>
                </c:pt>
                <c:pt idx="123">
                  <c:v>5.2842443250733881E-2</c:v>
                </c:pt>
                <c:pt idx="124">
                  <c:v>4.7977711468436532E-2</c:v>
                </c:pt>
                <c:pt idx="125">
                  <c:v>4.7977711468436532E-2</c:v>
                </c:pt>
                <c:pt idx="126">
                  <c:v>4.5637804629862132E-2</c:v>
                </c:pt>
                <c:pt idx="127">
                  <c:v>4.6437849422756333E-2</c:v>
                </c:pt>
                <c:pt idx="128">
                  <c:v>4.7175043077253835E-2</c:v>
                </c:pt>
                <c:pt idx="129">
                  <c:v>4.7770117139131749E-2</c:v>
                </c:pt>
                <c:pt idx="130">
                  <c:v>4.5241823651061656E-2</c:v>
                </c:pt>
                <c:pt idx="131">
                  <c:v>4.7005122764351141E-2</c:v>
                </c:pt>
                <c:pt idx="132">
                  <c:v>5.0455413044038638E-2</c:v>
                </c:pt>
                <c:pt idx="133">
                  <c:v>5.0455413044038638E-2</c:v>
                </c:pt>
                <c:pt idx="134">
                  <c:v>5.2702931345135332E-2</c:v>
                </c:pt>
                <c:pt idx="135">
                  <c:v>5.2702931345135332E-2</c:v>
                </c:pt>
                <c:pt idx="136">
                  <c:v>5.2702931345135332E-2</c:v>
                </c:pt>
                <c:pt idx="137">
                  <c:v>5.2702931345135332E-2</c:v>
                </c:pt>
                <c:pt idx="138">
                  <c:v>5.2702931345135332E-2</c:v>
                </c:pt>
                <c:pt idx="139">
                  <c:v>5.2702931345135332E-2</c:v>
                </c:pt>
                <c:pt idx="140">
                  <c:v>5.2702931345135332E-2</c:v>
                </c:pt>
                <c:pt idx="141">
                  <c:v>5.2702931345135332E-2</c:v>
                </c:pt>
                <c:pt idx="142">
                  <c:v>5.2702931345135332E-2</c:v>
                </c:pt>
                <c:pt idx="143">
                  <c:v>5.2702931345135332E-2</c:v>
                </c:pt>
                <c:pt idx="144">
                  <c:v>5.2702931345135332E-2</c:v>
                </c:pt>
                <c:pt idx="145">
                  <c:v>5.2702931345135332E-2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CWB_ICVT_2!$BJ$22:$BJ$167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3.4385112415986994E-3</c:v>
                </c:pt>
                <c:pt idx="3">
                  <c:v>1.3943574559126988E-3</c:v>
                </c:pt>
                <c:pt idx="4">
                  <c:v>1.0674121281739959E-4</c:v>
                </c:pt>
                <c:pt idx="5">
                  <c:v>4.1787788822000996E-3</c:v>
                </c:pt>
                <c:pt idx="6">
                  <c:v>4.1787788822000996E-3</c:v>
                </c:pt>
                <c:pt idx="7">
                  <c:v>4.1787788822000996E-3</c:v>
                </c:pt>
                <c:pt idx="8">
                  <c:v>4.1787788822000996E-3</c:v>
                </c:pt>
                <c:pt idx="9">
                  <c:v>4.1787788822000996E-3</c:v>
                </c:pt>
                <c:pt idx="10">
                  <c:v>4.1787788822000996E-3</c:v>
                </c:pt>
                <c:pt idx="11">
                  <c:v>4.1787788822000996E-3</c:v>
                </c:pt>
                <c:pt idx="12">
                  <c:v>4.1787788822000996E-3</c:v>
                </c:pt>
                <c:pt idx="13">
                  <c:v>4.1787788822000996E-3</c:v>
                </c:pt>
                <c:pt idx="14">
                  <c:v>4.1787788822000996E-3</c:v>
                </c:pt>
                <c:pt idx="15">
                  <c:v>4.1787788822000996E-3</c:v>
                </c:pt>
                <c:pt idx="16">
                  <c:v>4.1787788822000996E-3</c:v>
                </c:pt>
                <c:pt idx="17">
                  <c:v>4.1787788822000996E-3</c:v>
                </c:pt>
                <c:pt idx="18">
                  <c:v>4.1787788822000996E-3</c:v>
                </c:pt>
                <c:pt idx="19">
                  <c:v>4.1787788822000996E-3</c:v>
                </c:pt>
                <c:pt idx="20">
                  <c:v>8.5207067177144012E-3</c:v>
                </c:pt>
                <c:pt idx="21">
                  <c:v>8.5207067177144012E-3</c:v>
                </c:pt>
                <c:pt idx="22">
                  <c:v>8.5207067177144012E-3</c:v>
                </c:pt>
                <c:pt idx="23">
                  <c:v>8.5207067177144012E-3</c:v>
                </c:pt>
                <c:pt idx="24">
                  <c:v>8.5207067177144012E-3</c:v>
                </c:pt>
                <c:pt idx="25">
                  <c:v>8.5207067177144012E-3</c:v>
                </c:pt>
                <c:pt idx="26">
                  <c:v>8.5207067177144012E-3</c:v>
                </c:pt>
                <c:pt idx="27">
                  <c:v>8.5207067177144012E-3</c:v>
                </c:pt>
                <c:pt idx="28">
                  <c:v>8.5207067177144012E-3</c:v>
                </c:pt>
                <c:pt idx="29">
                  <c:v>8.5207067177144012E-3</c:v>
                </c:pt>
                <c:pt idx="30">
                  <c:v>8.5207067177144012E-3</c:v>
                </c:pt>
                <c:pt idx="31">
                  <c:v>8.5207067177144012E-3</c:v>
                </c:pt>
                <c:pt idx="32">
                  <c:v>8.5207067177144012E-3</c:v>
                </c:pt>
                <c:pt idx="33">
                  <c:v>8.5207067177144012E-3</c:v>
                </c:pt>
                <c:pt idx="34">
                  <c:v>8.5207067177144012E-3</c:v>
                </c:pt>
                <c:pt idx="35">
                  <c:v>8.5207067177144012E-3</c:v>
                </c:pt>
                <c:pt idx="36">
                  <c:v>8.5207067177144012E-3</c:v>
                </c:pt>
                <c:pt idx="37">
                  <c:v>8.5207067177144012E-3</c:v>
                </c:pt>
                <c:pt idx="38">
                  <c:v>8.5207067177144012E-3</c:v>
                </c:pt>
                <c:pt idx="39">
                  <c:v>1.6811333356059461E-2</c:v>
                </c:pt>
                <c:pt idx="40">
                  <c:v>1.6811333356059461E-2</c:v>
                </c:pt>
                <c:pt idx="41">
                  <c:v>1.6811333356059461E-2</c:v>
                </c:pt>
                <c:pt idx="42">
                  <c:v>1.6811333356059461E-2</c:v>
                </c:pt>
                <c:pt idx="43">
                  <c:v>1.6811333356059461E-2</c:v>
                </c:pt>
                <c:pt idx="44">
                  <c:v>1.6811333356059461E-2</c:v>
                </c:pt>
                <c:pt idx="45">
                  <c:v>1.6811333356059461E-2</c:v>
                </c:pt>
                <c:pt idx="46">
                  <c:v>1.6811333356059461E-2</c:v>
                </c:pt>
                <c:pt idx="47">
                  <c:v>1.6811333356059461E-2</c:v>
                </c:pt>
                <c:pt idx="48">
                  <c:v>1.6811333356059461E-2</c:v>
                </c:pt>
                <c:pt idx="49">
                  <c:v>1.6811333356059461E-2</c:v>
                </c:pt>
                <c:pt idx="50">
                  <c:v>1.6811333356059461E-2</c:v>
                </c:pt>
                <c:pt idx="51">
                  <c:v>1.6811333356059461E-2</c:v>
                </c:pt>
                <c:pt idx="52">
                  <c:v>1.6811333356059461E-2</c:v>
                </c:pt>
                <c:pt idx="53">
                  <c:v>1.6811333356059461E-2</c:v>
                </c:pt>
                <c:pt idx="54">
                  <c:v>1.6811333356059461E-2</c:v>
                </c:pt>
                <c:pt idx="55">
                  <c:v>1.6811333356059461E-2</c:v>
                </c:pt>
                <c:pt idx="56">
                  <c:v>1.6811333356059461E-2</c:v>
                </c:pt>
                <c:pt idx="57">
                  <c:v>1.6811333356059461E-2</c:v>
                </c:pt>
                <c:pt idx="58">
                  <c:v>1.6811333356059461E-2</c:v>
                </c:pt>
                <c:pt idx="59">
                  <c:v>1.6811333356059461E-2</c:v>
                </c:pt>
                <c:pt idx="60">
                  <c:v>1.6811333356059461E-2</c:v>
                </c:pt>
                <c:pt idx="61">
                  <c:v>1.6811333356059461E-2</c:v>
                </c:pt>
                <c:pt idx="62">
                  <c:v>1.6811333356059461E-2</c:v>
                </c:pt>
                <c:pt idx="63">
                  <c:v>1.6811333356059461E-2</c:v>
                </c:pt>
                <c:pt idx="64">
                  <c:v>1.996650664977466E-2</c:v>
                </c:pt>
                <c:pt idx="65">
                  <c:v>1.996650664977466E-2</c:v>
                </c:pt>
                <c:pt idx="66">
                  <c:v>2.2591591880305462E-2</c:v>
                </c:pt>
                <c:pt idx="67">
                  <c:v>2.2591591880305462E-2</c:v>
                </c:pt>
                <c:pt idx="68">
                  <c:v>2.2591591880305462E-2</c:v>
                </c:pt>
                <c:pt idx="69">
                  <c:v>2.2591591880305462E-2</c:v>
                </c:pt>
                <c:pt idx="70">
                  <c:v>2.2591591880305462E-2</c:v>
                </c:pt>
                <c:pt idx="71">
                  <c:v>2.2591591880305462E-2</c:v>
                </c:pt>
                <c:pt idx="72">
                  <c:v>2.2591591880305462E-2</c:v>
                </c:pt>
                <c:pt idx="73">
                  <c:v>2.2512236556081963E-2</c:v>
                </c:pt>
                <c:pt idx="74">
                  <c:v>2.4681547557358845E-2</c:v>
                </c:pt>
                <c:pt idx="75">
                  <c:v>2.4681547557358845E-2</c:v>
                </c:pt>
                <c:pt idx="76">
                  <c:v>2.4681547557358845E-2</c:v>
                </c:pt>
                <c:pt idx="77">
                  <c:v>2.4681547557358845E-2</c:v>
                </c:pt>
                <c:pt idx="78">
                  <c:v>2.4681547557358845E-2</c:v>
                </c:pt>
                <c:pt idx="79">
                  <c:v>2.5845698767138228E-2</c:v>
                </c:pt>
                <c:pt idx="80">
                  <c:v>2.9482639521364058E-2</c:v>
                </c:pt>
                <c:pt idx="81">
                  <c:v>2.9482639521364058E-2</c:v>
                </c:pt>
                <c:pt idx="82">
                  <c:v>2.9482639521364058E-2</c:v>
                </c:pt>
                <c:pt idx="83">
                  <c:v>2.9482639521364058E-2</c:v>
                </c:pt>
                <c:pt idx="84">
                  <c:v>2.9482639521364058E-2</c:v>
                </c:pt>
                <c:pt idx="85">
                  <c:v>2.9482639521364058E-2</c:v>
                </c:pt>
                <c:pt idx="86">
                  <c:v>2.9482639521364058E-2</c:v>
                </c:pt>
                <c:pt idx="87">
                  <c:v>2.9482639521364058E-2</c:v>
                </c:pt>
                <c:pt idx="88">
                  <c:v>2.9482639521364058E-2</c:v>
                </c:pt>
                <c:pt idx="89">
                  <c:v>2.9482639521364058E-2</c:v>
                </c:pt>
                <c:pt idx="90">
                  <c:v>2.9482639521364058E-2</c:v>
                </c:pt>
                <c:pt idx="91">
                  <c:v>2.9482639521364058E-2</c:v>
                </c:pt>
                <c:pt idx="92">
                  <c:v>2.9482639521364058E-2</c:v>
                </c:pt>
                <c:pt idx="93">
                  <c:v>2.9482639521364058E-2</c:v>
                </c:pt>
                <c:pt idx="94">
                  <c:v>2.9482639521364058E-2</c:v>
                </c:pt>
                <c:pt idx="95">
                  <c:v>2.9482639521364058E-2</c:v>
                </c:pt>
                <c:pt idx="96">
                  <c:v>2.9482639521364058E-2</c:v>
                </c:pt>
                <c:pt idx="97">
                  <c:v>2.9482639521364058E-2</c:v>
                </c:pt>
                <c:pt idx="98">
                  <c:v>2.9482639521364058E-2</c:v>
                </c:pt>
                <c:pt idx="99">
                  <c:v>2.9482639521364058E-2</c:v>
                </c:pt>
                <c:pt idx="100">
                  <c:v>2.9482639521364058E-2</c:v>
                </c:pt>
                <c:pt idx="101">
                  <c:v>2.9482639521364058E-2</c:v>
                </c:pt>
                <c:pt idx="102">
                  <c:v>2.8140859557766358E-2</c:v>
                </c:pt>
                <c:pt idx="103">
                  <c:v>2.8140859557766358E-2</c:v>
                </c:pt>
                <c:pt idx="104">
                  <c:v>3.1043962495505159E-2</c:v>
                </c:pt>
                <c:pt idx="105">
                  <c:v>3.1043962495505159E-2</c:v>
                </c:pt>
                <c:pt idx="106">
                  <c:v>3.1043962495505159E-2</c:v>
                </c:pt>
                <c:pt idx="107">
                  <c:v>3.1043962495505159E-2</c:v>
                </c:pt>
                <c:pt idx="108">
                  <c:v>3.1043962495505159E-2</c:v>
                </c:pt>
                <c:pt idx="109">
                  <c:v>3.1043962495505159E-2</c:v>
                </c:pt>
                <c:pt idx="110">
                  <c:v>3.1043962495505159E-2</c:v>
                </c:pt>
                <c:pt idx="111">
                  <c:v>3.1043962495505159E-2</c:v>
                </c:pt>
                <c:pt idx="112">
                  <c:v>3.1043962495505159E-2</c:v>
                </c:pt>
                <c:pt idx="113">
                  <c:v>3.1043962495505159E-2</c:v>
                </c:pt>
                <c:pt idx="114">
                  <c:v>3.1043962495505159E-2</c:v>
                </c:pt>
                <c:pt idx="115">
                  <c:v>3.1043962495505159E-2</c:v>
                </c:pt>
                <c:pt idx="116">
                  <c:v>3.1043962495505159E-2</c:v>
                </c:pt>
                <c:pt idx="117">
                  <c:v>3.1043962495505159E-2</c:v>
                </c:pt>
                <c:pt idx="118">
                  <c:v>3.1043962495505159E-2</c:v>
                </c:pt>
                <c:pt idx="119">
                  <c:v>3.1043962495505159E-2</c:v>
                </c:pt>
                <c:pt idx="120">
                  <c:v>3.1043962495505159E-2</c:v>
                </c:pt>
                <c:pt idx="121">
                  <c:v>3.1043962495505159E-2</c:v>
                </c:pt>
                <c:pt idx="122">
                  <c:v>3.1043962495505159E-2</c:v>
                </c:pt>
                <c:pt idx="123">
                  <c:v>3.1043962495505159E-2</c:v>
                </c:pt>
                <c:pt idx="124">
                  <c:v>3.1043962495505159E-2</c:v>
                </c:pt>
                <c:pt idx="125">
                  <c:v>3.1043962495505159E-2</c:v>
                </c:pt>
                <c:pt idx="126">
                  <c:v>3.1043962495505159E-2</c:v>
                </c:pt>
                <c:pt idx="127">
                  <c:v>3.1043962495505159E-2</c:v>
                </c:pt>
                <c:pt idx="128">
                  <c:v>3.1043962495505159E-2</c:v>
                </c:pt>
                <c:pt idx="129">
                  <c:v>3.1043962495505159E-2</c:v>
                </c:pt>
                <c:pt idx="130">
                  <c:v>3.1043962495505159E-2</c:v>
                </c:pt>
                <c:pt idx="131">
                  <c:v>3.1043962495505159E-2</c:v>
                </c:pt>
                <c:pt idx="132">
                  <c:v>3.1043962495505159E-2</c:v>
                </c:pt>
                <c:pt idx="133">
                  <c:v>3.1043962495505159E-2</c:v>
                </c:pt>
                <c:pt idx="134">
                  <c:v>3.1043962495505159E-2</c:v>
                </c:pt>
                <c:pt idx="135">
                  <c:v>3.1043962495505159E-2</c:v>
                </c:pt>
                <c:pt idx="136">
                  <c:v>3.1043962495505159E-2</c:v>
                </c:pt>
                <c:pt idx="137">
                  <c:v>3.1043962495505159E-2</c:v>
                </c:pt>
                <c:pt idx="138">
                  <c:v>3.1043962495505159E-2</c:v>
                </c:pt>
                <c:pt idx="139">
                  <c:v>3.1043962495505159E-2</c:v>
                </c:pt>
                <c:pt idx="140">
                  <c:v>3.1043962495505159E-2</c:v>
                </c:pt>
                <c:pt idx="141">
                  <c:v>3.1043962495505159E-2</c:v>
                </c:pt>
                <c:pt idx="142">
                  <c:v>3.1043962495505159E-2</c:v>
                </c:pt>
                <c:pt idx="143">
                  <c:v>3.1043962495505159E-2</c:v>
                </c:pt>
                <c:pt idx="144">
                  <c:v>3.1043962495505159E-2</c:v>
                </c:pt>
                <c:pt idx="145">
                  <c:v>3.1043962495505159E-2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CWB_ICVT_2!$BV$22:$BV$167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1.3210643006825607E-3</c:v>
                </c:pt>
                <c:pt idx="50">
                  <c:v>4.034665793740711E-3</c:v>
                </c:pt>
                <c:pt idx="51">
                  <c:v>4.034665793740711E-3</c:v>
                </c:pt>
                <c:pt idx="52">
                  <c:v>8.0507079795472322E-3</c:v>
                </c:pt>
                <c:pt idx="53">
                  <c:v>8.0507079795472322E-3</c:v>
                </c:pt>
                <c:pt idx="54">
                  <c:v>8.0507079795472322E-3</c:v>
                </c:pt>
                <c:pt idx="55">
                  <c:v>8.0507079795472322E-3</c:v>
                </c:pt>
                <c:pt idx="56">
                  <c:v>8.0507079795472322E-3</c:v>
                </c:pt>
                <c:pt idx="57">
                  <c:v>1.1044618033177373E-2</c:v>
                </c:pt>
                <c:pt idx="58">
                  <c:v>1.1044618033177373E-2</c:v>
                </c:pt>
                <c:pt idx="59">
                  <c:v>1.1044618033177373E-2</c:v>
                </c:pt>
                <c:pt idx="60">
                  <c:v>1.1044618033177373E-2</c:v>
                </c:pt>
                <c:pt idx="61">
                  <c:v>1.1044618033177373E-2</c:v>
                </c:pt>
                <c:pt idx="62">
                  <c:v>1.1044618033177373E-2</c:v>
                </c:pt>
                <c:pt idx="63">
                  <c:v>1.1044618033177373E-2</c:v>
                </c:pt>
                <c:pt idx="64">
                  <c:v>1.1044618033177373E-2</c:v>
                </c:pt>
                <c:pt idx="65">
                  <c:v>1.1044618033177373E-2</c:v>
                </c:pt>
                <c:pt idx="66">
                  <c:v>1.1044618033177373E-2</c:v>
                </c:pt>
                <c:pt idx="67">
                  <c:v>1.1044618033177373E-2</c:v>
                </c:pt>
                <c:pt idx="68">
                  <c:v>1.1044618033177373E-2</c:v>
                </c:pt>
                <c:pt idx="69">
                  <c:v>1.1044618033177373E-2</c:v>
                </c:pt>
                <c:pt idx="70">
                  <c:v>1.1044618033177373E-2</c:v>
                </c:pt>
                <c:pt idx="71">
                  <c:v>1.1044618033177373E-2</c:v>
                </c:pt>
                <c:pt idx="72">
                  <c:v>1.1044618033177373E-2</c:v>
                </c:pt>
                <c:pt idx="73">
                  <c:v>1.1044618033177373E-2</c:v>
                </c:pt>
                <c:pt idx="74">
                  <c:v>1.1044618033177373E-2</c:v>
                </c:pt>
                <c:pt idx="75">
                  <c:v>1.1044618033177373E-2</c:v>
                </c:pt>
                <c:pt idx="76">
                  <c:v>1.1044618033177373E-2</c:v>
                </c:pt>
                <c:pt idx="77">
                  <c:v>1.1044618033177373E-2</c:v>
                </c:pt>
                <c:pt idx="78">
                  <c:v>1.1044618033177373E-2</c:v>
                </c:pt>
                <c:pt idx="79">
                  <c:v>1.1044618033177373E-2</c:v>
                </c:pt>
                <c:pt idx="80">
                  <c:v>1.1044618033177373E-2</c:v>
                </c:pt>
                <c:pt idx="81">
                  <c:v>1.1044618033177373E-2</c:v>
                </c:pt>
                <c:pt idx="82">
                  <c:v>1.1044618033177373E-2</c:v>
                </c:pt>
                <c:pt idx="83">
                  <c:v>1.1044618033177373E-2</c:v>
                </c:pt>
                <c:pt idx="84">
                  <c:v>1.1044618033177373E-2</c:v>
                </c:pt>
                <c:pt idx="85">
                  <c:v>1.1044618033177373E-2</c:v>
                </c:pt>
                <c:pt idx="86">
                  <c:v>1.1044618033177373E-2</c:v>
                </c:pt>
                <c:pt idx="87">
                  <c:v>1.1044618033177373E-2</c:v>
                </c:pt>
                <c:pt idx="88">
                  <c:v>1.1044618033177373E-2</c:v>
                </c:pt>
                <c:pt idx="89">
                  <c:v>1.1044618033177373E-2</c:v>
                </c:pt>
                <c:pt idx="90">
                  <c:v>1.1044618033177373E-2</c:v>
                </c:pt>
                <c:pt idx="91">
                  <c:v>1.1044618033177373E-2</c:v>
                </c:pt>
                <c:pt idx="92">
                  <c:v>1.1044618033177373E-2</c:v>
                </c:pt>
                <c:pt idx="93">
                  <c:v>1.1044618033177373E-2</c:v>
                </c:pt>
                <c:pt idx="94">
                  <c:v>1.1044618033177373E-2</c:v>
                </c:pt>
                <c:pt idx="95">
                  <c:v>1.1044618033177373E-2</c:v>
                </c:pt>
                <c:pt idx="96">
                  <c:v>1.1044618033177373E-2</c:v>
                </c:pt>
                <c:pt idx="97">
                  <c:v>1.1044618033177373E-2</c:v>
                </c:pt>
                <c:pt idx="98">
                  <c:v>1.1044618033177373E-2</c:v>
                </c:pt>
                <c:pt idx="99">
                  <c:v>1.1044618033177373E-2</c:v>
                </c:pt>
                <c:pt idx="100">
                  <c:v>1.1044618033177373E-2</c:v>
                </c:pt>
                <c:pt idx="101">
                  <c:v>1.1044618033177373E-2</c:v>
                </c:pt>
                <c:pt idx="102">
                  <c:v>1.1044618033177373E-2</c:v>
                </c:pt>
                <c:pt idx="103">
                  <c:v>1.1044618033177373E-2</c:v>
                </c:pt>
                <c:pt idx="104">
                  <c:v>1.1044618033177373E-2</c:v>
                </c:pt>
                <c:pt idx="105">
                  <c:v>1.1044618033177373E-2</c:v>
                </c:pt>
                <c:pt idx="106">
                  <c:v>1.1044618033177373E-2</c:v>
                </c:pt>
                <c:pt idx="107">
                  <c:v>1.1044618033177373E-2</c:v>
                </c:pt>
                <c:pt idx="108">
                  <c:v>1.4380019370490554E-2</c:v>
                </c:pt>
                <c:pt idx="109">
                  <c:v>1.4380019370490554E-2</c:v>
                </c:pt>
                <c:pt idx="110">
                  <c:v>1.4380019370490554E-2</c:v>
                </c:pt>
                <c:pt idx="111">
                  <c:v>1.4380019370490554E-2</c:v>
                </c:pt>
                <c:pt idx="112">
                  <c:v>1.4773607209856605E-2</c:v>
                </c:pt>
                <c:pt idx="113">
                  <c:v>1.4294956952806605E-2</c:v>
                </c:pt>
                <c:pt idx="114">
                  <c:v>1.5579086591429467E-2</c:v>
                </c:pt>
                <c:pt idx="115">
                  <c:v>1.6018640867893646E-2</c:v>
                </c:pt>
                <c:pt idx="116">
                  <c:v>1.9996441817846045E-2</c:v>
                </c:pt>
                <c:pt idx="117">
                  <c:v>1.9996441817846045E-2</c:v>
                </c:pt>
                <c:pt idx="118">
                  <c:v>1.9996441817846045E-2</c:v>
                </c:pt>
                <c:pt idx="119">
                  <c:v>1.9996441817846045E-2</c:v>
                </c:pt>
                <c:pt idx="120">
                  <c:v>1.9996441817846045E-2</c:v>
                </c:pt>
                <c:pt idx="121">
                  <c:v>1.9996441817846045E-2</c:v>
                </c:pt>
                <c:pt idx="122">
                  <c:v>1.9641605696182843E-2</c:v>
                </c:pt>
                <c:pt idx="123">
                  <c:v>2.1798480755228743E-2</c:v>
                </c:pt>
                <c:pt idx="124">
                  <c:v>1.6933748972931394E-2</c:v>
                </c:pt>
                <c:pt idx="125">
                  <c:v>1.6933748972931394E-2</c:v>
                </c:pt>
                <c:pt idx="126">
                  <c:v>1.4593842134356994E-2</c:v>
                </c:pt>
                <c:pt idx="127">
                  <c:v>1.5393886927251193E-2</c:v>
                </c:pt>
                <c:pt idx="128">
                  <c:v>1.6131080581748693E-2</c:v>
                </c:pt>
                <c:pt idx="129">
                  <c:v>1.6726154643626603E-2</c:v>
                </c:pt>
                <c:pt idx="130">
                  <c:v>1.4197861155556513E-2</c:v>
                </c:pt>
                <c:pt idx="131">
                  <c:v>1.5961160268846E-2</c:v>
                </c:pt>
                <c:pt idx="132">
                  <c:v>1.94114505485335E-2</c:v>
                </c:pt>
                <c:pt idx="133">
                  <c:v>1.94114505485335E-2</c:v>
                </c:pt>
                <c:pt idx="134">
                  <c:v>2.165896884963019E-2</c:v>
                </c:pt>
                <c:pt idx="135">
                  <c:v>2.165896884963019E-2</c:v>
                </c:pt>
                <c:pt idx="136">
                  <c:v>2.165896884963019E-2</c:v>
                </c:pt>
                <c:pt idx="137">
                  <c:v>2.165896884963019E-2</c:v>
                </c:pt>
                <c:pt idx="138">
                  <c:v>2.165896884963019E-2</c:v>
                </c:pt>
                <c:pt idx="139">
                  <c:v>2.165896884963019E-2</c:v>
                </c:pt>
                <c:pt idx="140">
                  <c:v>2.165896884963019E-2</c:v>
                </c:pt>
                <c:pt idx="141">
                  <c:v>2.165896884963019E-2</c:v>
                </c:pt>
                <c:pt idx="142">
                  <c:v>2.165896884963019E-2</c:v>
                </c:pt>
                <c:pt idx="143">
                  <c:v>2.165896884963019E-2</c:v>
                </c:pt>
                <c:pt idx="144">
                  <c:v>2.165896884963019E-2</c:v>
                </c:pt>
                <c:pt idx="145">
                  <c:v>2.165896884963019E-2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77</xdr:col>
      <xdr:colOff>198120</xdr:colOff>
      <xdr:row>1</xdr:row>
      <xdr:rowOff>0</xdr:rowOff>
    </xdr:from>
    <xdr:to>
      <xdr:col>87</xdr:col>
      <xdr:colOff>66675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52</xdr:col>
      <xdr:colOff>38100</xdr:colOff>
      <xdr:row>1</xdr:row>
      <xdr:rowOff>0</xdr:rowOff>
    </xdr:from>
    <xdr:to>
      <xdr:col>60</xdr:col>
      <xdr:colOff>485775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64</xdr:col>
      <xdr:colOff>182880</xdr:colOff>
      <xdr:row>1</xdr:row>
      <xdr:rowOff>0</xdr:rowOff>
    </xdr:from>
    <xdr:to>
      <xdr:col>72</xdr:col>
      <xdr:colOff>485775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CX167"/>
  <sheetViews>
    <sheetView tabSelected="1" workbookViewId="0">
      <pane xSplit="3" ySplit="1" topLeftCell="CI2" activePane="bottomRight" state="frozen"/>
      <selection pane="topRight" activeCell="D1" sqref="D1"/>
      <selection pane="bottomLeft" activeCell="A2" sqref="A2"/>
      <selection pane="bottomRight" activeCell="CW11" sqref="CW11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102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>
        <f>BJ167</f>
        <v>3.1043962495505159E-2</v>
      </c>
      <c r="BS1" s="6"/>
      <c r="BT1" s="6"/>
      <c r="BU1" s="6"/>
      <c r="BV1" s="7">
        <f>BV167</f>
        <v>2.165896884963019E-2</v>
      </c>
      <c r="BY1" s="7">
        <f>BY167</f>
        <v>5.2702931345135332E-2</v>
      </c>
    </row>
    <row r="2" spans="1:102" x14ac:dyDescent="0.3">
      <c r="A2" s="1">
        <v>46024</v>
      </c>
      <c r="B2" s="8">
        <v>90.55</v>
      </c>
      <c r="C2" s="8">
        <v>100.03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90.55</v>
      </c>
      <c r="M2" s="8">
        <v>100.03</v>
      </c>
      <c r="N2" s="10">
        <v>1.1046935394809401</v>
      </c>
      <c r="O2" s="10">
        <v>1.1144207265719701</v>
      </c>
      <c r="X2" s="10">
        <v>1.1046935394809401</v>
      </c>
      <c r="Y2" s="10">
        <v>1.1140664646848899</v>
      </c>
    </row>
    <row r="3" spans="1:102" x14ac:dyDescent="0.3">
      <c r="A3" s="1">
        <v>46027</v>
      </c>
      <c r="B3" s="8">
        <v>91.53</v>
      </c>
      <c r="C3" s="8">
        <v>100.93</v>
      </c>
      <c r="D3" s="9">
        <v>1.0764603067265699E-2</v>
      </c>
      <c r="E3" s="9">
        <v>8.9570662536787408E-3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91.53</v>
      </c>
      <c r="M3" s="8">
        <v>100.93</v>
      </c>
      <c r="N3" s="10">
        <v>1.10269856877526</v>
      </c>
      <c r="O3" s="10">
        <v>1.1144207265719701</v>
      </c>
      <c r="R3" s="8">
        <v>102.002929103133</v>
      </c>
      <c r="U3" s="9">
        <v>1.05743223185693E-2</v>
      </c>
      <c r="X3" s="10">
        <v>1.10269856877526</v>
      </c>
      <c r="Y3" s="10">
        <v>1.1140664646848899</v>
      </c>
      <c r="AB3" s="8">
        <v>101.970503512608</v>
      </c>
      <c r="AE3" s="9">
        <v>1.02563829636046E-2</v>
      </c>
      <c r="CL3" s="26">
        <f>BJ11</f>
        <v>3.1973658873033384</v>
      </c>
      <c r="CM3" s="17">
        <v>0</v>
      </c>
      <c r="CN3" s="17">
        <f>CM3-0.001</f>
        <v>-1E-3</v>
      </c>
      <c r="CO3" s="17">
        <f t="shared" ref="CO3:CT3" si="0">CN3-0.001</f>
        <v>-2E-3</v>
      </c>
      <c r="CP3" s="17">
        <f t="shared" si="0"/>
        <v>-3.0000000000000001E-3</v>
      </c>
      <c r="CQ3" s="17">
        <f t="shared" si="0"/>
        <v>-4.0000000000000001E-3</v>
      </c>
      <c r="CR3" s="17">
        <f t="shared" si="0"/>
        <v>-5.0000000000000001E-3</v>
      </c>
      <c r="CS3" s="17">
        <f t="shared" si="0"/>
        <v>-6.0000000000000001E-3</v>
      </c>
      <c r="CT3" s="17">
        <f t="shared" si="0"/>
        <v>-7.0000000000000001E-3</v>
      </c>
      <c r="CU3" t="s">
        <v>33</v>
      </c>
      <c r="CX3" s="17"/>
    </row>
    <row r="4" spans="1:102" x14ac:dyDescent="0.3">
      <c r="A4" s="1">
        <v>46028</v>
      </c>
      <c r="B4" s="8">
        <v>92.69</v>
      </c>
      <c r="C4" s="8">
        <v>102.18</v>
      </c>
      <c r="D4" s="9">
        <v>1.25938044910532E-2</v>
      </c>
      <c r="E4" s="9">
        <v>1.2308756651883799E-2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92.69</v>
      </c>
      <c r="M4" s="8">
        <v>102.18</v>
      </c>
      <c r="N4" s="10">
        <v>1.1023842917251001</v>
      </c>
      <c r="O4" s="10">
        <v>1.1144207265719701</v>
      </c>
      <c r="R4" s="8">
        <v>103.295657145956</v>
      </c>
      <c r="U4" s="9">
        <v>1.0859370157738701E-2</v>
      </c>
      <c r="X4" s="10">
        <v>1.1023842917251001</v>
      </c>
      <c r="Y4" s="10">
        <v>1.1140664646848899</v>
      </c>
      <c r="AB4" s="8">
        <v>103.262820611642</v>
      </c>
      <c r="AE4" s="9">
        <v>1.0541430802774299E-2</v>
      </c>
      <c r="CL4" s="17">
        <v>0</v>
      </c>
      <c r="CM4" s="23">
        <f t="dataTable" ref="CM4:CT11" dt2D="1" dtr="1" r1="BA20" r2="BA21"/>
        <v>2.2888551100473586</v>
      </c>
      <c r="CN4" s="23">
        <v>2.2466658318163151</v>
      </c>
      <c r="CO4" s="23">
        <v>1.3112438561453439</v>
      </c>
      <c r="CP4" s="23">
        <v>1.086976275841004</v>
      </c>
      <c r="CQ4" s="23">
        <v>1.7377597970392655</v>
      </c>
      <c r="CR4" s="23">
        <v>2.170588694551312</v>
      </c>
      <c r="CS4" s="23">
        <v>1.9765073936912074</v>
      </c>
      <c r="CT4" s="23">
        <v>1.4890677929187086</v>
      </c>
      <c r="CV4" t="s">
        <v>34</v>
      </c>
      <c r="CW4" t="s">
        <v>35</v>
      </c>
      <c r="CX4" s="17"/>
    </row>
    <row r="5" spans="1:102" x14ac:dyDescent="0.3">
      <c r="A5" s="1">
        <v>46029</v>
      </c>
      <c r="B5" s="8">
        <v>92.1</v>
      </c>
      <c r="C5" s="8">
        <v>101.62</v>
      </c>
      <c r="D5" s="9">
        <v>-6.3856486264802096E-3</v>
      </c>
      <c r="E5" s="9">
        <v>-5.4955977370661499E-3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92.1</v>
      </c>
      <c r="M5" s="8">
        <v>101.62</v>
      </c>
      <c r="N5" s="10">
        <v>1.10336590662323</v>
      </c>
      <c r="O5" s="10">
        <v>1.1144207265719701</v>
      </c>
      <c r="R5" s="8">
        <v>102.638148917279</v>
      </c>
      <c r="U5" s="9">
        <v>9.9693192683247191E-3</v>
      </c>
      <c r="X5" s="10">
        <v>1.10336590662323</v>
      </c>
      <c r="Y5" s="10">
        <v>1.1140664646848899</v>
      </c>
      <c r="AB5" s="8">
        <v>102.605521397478</v>
      </c>
      <c r="AE5" s="9">
        <v>9.6513799133600194E-3</v>
      </c>
      <c r="CL5" s="17">
        <f>CL4-0.001</f>
        <v>-1E-3</v>
      </c>
      <c r="CM5" s="23">
        <v>2.2888551100473586</v>
      </c>
      <c r="CN5" s="23">
        <v>2.1417492370094808</v>
      </c>
      <c r="CO5" s="23">
        <v>1.2598203015789766</v>
      </c>
      <c r="CP5" s="23">
        <v>1.1558140025648831</v>
      </c>
      <c r="CQ5" s="23">
        <v>1.9211109704163452</v>
      </c>
      <c r="CR5" s="23">
        <v>2.0602050958037799</v>
      </c>
      <c r="CS5" s="23">
        <v>1.6346799375235015</v>
      </c>
      <c r="CT5" s="23">
        <v>1.3137836188886942</v>
      </c>
      <c r="CV5" t="s">
        <v>36</v>
      </c>
      <c r="CW5" t="s">
        <v>37</v>
      </c>
      <c r="CX5" s="17"/>
    </row>
    <row r="6" spans="1:102" ht="15" thickBot="1" x14ac:dyDescent="0.35">
      <c r="A6" s="1">
        <v>46030</v>
      </c>
      <c r="B6" s="8">
        <v>91.83</v>
      </c>
      <c r="C6" s="8">
        <v>101.2</v>
      </c>
      <c r="D6" s="9">
        <v>-2.9359016358303102E-3</v>
      </c>
      <c r="E6" s="9">
        <v>-4.1416093122206999E-3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91.83</v>
      </c>
      <c r="M6" s="8">
        <v>101.2</v>
      </c>
      <c r="N6" s="10">
        <v>1.1020363715561301</v>
      </c>
      <c r="O6" s="10">
        <v>1.1144207265719701</v>
      </c>
      <c r="R6" s="8">
        <v>102.337255321104</v>
      </c>
      <c r="U6" s="9">
        <v>1.1175026944715101E-2</v>
      </c>
      <c r="X6" s="10">
        <v>1.1020363715561301</v>
      </c>
      <c r="Y6" s="10">
        <v>1.1140664646848899</v>
      </c>
      <c r="AB6" s="8">
        <v>102.30472345201299</v>
      </c>
      <c r="AE6" s="9">
        <v>1.08570875897505E-2</v>
      </c>
      <c r="CL6" s="17">
        <f t="shared" ref="CL6:CL11" si="1">CL5-0.001</f>
        <v>-2E-3</v>
      </c>
      <c r="CM6" s="23">
        <v>2.2888551100473586</v>
      </c>
      <c r="CN6" s="24">
        <v>2.1417492370094808</v>
      </c>
      <c r="CO6" s="24">
        <v>1.7428223778795935</v>
      </c>
      <c r="CP6" s="24">
        <v>1.5788183879351863</v>
      </c>
      <c r="CQ6" s="24">
        <v>2.6034998057281329</v>
      </c>
      <c r="CR6" s="24">
        <v>2.8392500733457289</v>
      </c>
      <c r="CS6" s="24">
        <v>1.617211692650057</v>
      </c>
      <c r="CT6" s="24">
        <v>1.3137836188886942</v>
      </c>
      <c r="CX6" s="17"/>
    </row>
    <row r="7" spans="1:102" ht="15" thickBot="1" x14ac:dyDescent="0.35">
      <c r="A7" s="1">
        <v>46031</v>
      </c>
      <c r="B7" s="8">
        <v>92.3</v>
      </c>
      <c r="C7" s="8">
        <v>101.65</v>
      </c>
      <c r="D7" s="9">
        <v>5.1050998833755204E-3</v>
      </c>
      <c r="E7" s="9">
        <v>4.4367832209904999E-3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92.3</v>
      </c>
      <c r="M7" s="8">
        <v>101.65</v>
      </c>
      <c r="N7" s="10">
        <v>1.1013001083423599</v>
      </c>
      <c r="O7" s="10">
        <v>1.1144207265719701</v>
      </c>
      <c r="R7" s="8">
        <v>102.86103306259299</v>
      </c>
      <c r="U7" s="9">
        <v>1.1843343607100199E-2</v>
      </c>
      <c r="X7" s="10">
        <v>1.1013001083423599</v>
      </c>
      <c r="Y7" s="10">
        <v>1.1140664646848899</v>
      </c>
      <c r="AB7" s="8">
        <v>102.82833469041501</v>
      </c>
      <c r="AE7" s="9">
        <v>1.15254042521356E-2</v>
      </c>
      <c r="CL7" s="17">
        <f t="shared" si="1"/>
        <v>-3.0000000000000001E-3</v>
      </c>
      <c r="CM7" s="23">
        <v>2.2888551100473586</v>
      </c>
      <c r="CN7" s="24">
        <v>2.1417492370094808</v>
      </c>
      <c r="CO7" s="24">
        <v>1.7428223778795935</v>
      </c>
      <c r="CP7" s="24">
        <v>1.6769851870268999</v>
      </c>
      <c r="CQ7" s="25">
        <v>3.0007833443915977</v>
      </c>
      <c r="CR7" s="24">
        <v>3.1973658873033384</v>
      </c>
      <c r="CS7" s="24">
        <v>1.617211692650057</v>
      </c>
      <c r="CT7" s="24">
        <v>1.3137836188886942</v>
      </c>
      <c r="CX7" s="17"/>
    </row>
    <row r="8" spans="1:102" x14ac:dyDescent="0.3">
      <c r="A8" s="1">
        <v>46034</v>
      </c>
      <c r="B8" s="8">
        <v>93.13</v>
      </c>
      <c r="C8" s="8">
        <v>102.63</v>
      </c>
      <c r="D8" s="9">
        <v>8.9522250247599106E-3</v>
      </c>
      <c r="E8" s="9">
        <v>9.5947475832672303E-3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93.13</v>
      </c>
      <c r="M8" s="8">
        <v>102.63</v>
      </c>
      <c r="N8" s="10">
        <v>1.1020079458820999</v>
      </c>
      <c r="O8" s="10">
        <v>1.1144207265719701</v>
      </c>
      <c r="R8" s="8">
        <v>103.78600226564799</v>
      </c>
      <c r="U8" s="9">
        <v>1.12008210485929E-2</v>
      </c>
      <c r="X8" s="10">
        <v>1.1020079458820999</v>
      </c>
      <c r="Y8" s="10">
        <v>1.1140664646848899</v>
      </c>
      <c r="AB8" s="8">
        <v>103.753009856104</v>
      </c>
      <c r="AE8" s="9">
        <v>1.0882881693628299E-2</v>
      </c>
      <c r="CL8" s="17">
        <f t="shared" si="1"/>
        <v>-4.0000000000000001E-3</v>
      </c>
      <c r="CM8" s="23">
        <v>2.2888551100473586</v>
      </c>
      <c r="CN8" s="24">
        <v>2.1417492370094808</v>
      </c>
      <c r="CO8" s="24">
        <v>1.7428223778795935</v>
      </c>
      <c r="CP8" s="24">
        <v>1.6769851870268999</v>
      </c>
      <c r="CQ8" s="24">
        <v>3.0176729684801575</v>
      </c>
      <c r="CR8" s="24">
        <v>3.3694894531698747</v>
      </c>
      <c r="CS8" s="24">
        <v>1.7210698640704176</v>
      </c>
      <c r="CT8" s="24">
        <v>1.3137836188886942</v>
      </c>
      <c r="CX8" s="17"/>
    </row>
    <row r="9" spans="1:102" x14ac:dyDescent="0.3">
      <c r="A9" s="1">
        <v>46035</v>
      </c>
      <c r="B9" s="8">
        <v>93.34</v>
      </c>
      <c r="C9" s="8">
        <v>102.88</v>
      </c>
      <c r="D9" s="9">
        <v>2.25237398810308E-3</v>
      </c>
      <c r="E9" s="9">
        <v>2.4329728316863498E-3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93.34</v>
      </c>
      <c r="M9" s="8">
        <v>102.88</v>
      </c>
      <c r="N9" s="10">
        <v>1.10220698521534</v>
      </c>
      <c r="O9" s="10">
        <v>1.1144207265719701</v>
      </c>
      <c r="R9" s="8">
        <v>104.02003061822801</v>
      </c>
      <c r="U9" s="9">
        <v>1.10202222050098E-2</v>
      </c>
      <c r="X9" s="10">
        <v>1.10220698521534</v>
      </c>
      <c r="Y9" s="10">
        <v>1.1140664646848899</v>
      </c>
      <c r="AB9" s="8">
        <v>103.986963813687</v>
      </c>
      <c r="AE9" s="9">
        <v>1.07022828500452E-2</v>
      </c>
      <c r="BJ9" s="12">
        <f>AVERAGE(BI22:BI200)</f>
        <v>2.1262988010619971E-4</v>
      </c>
      <c r="BV9" s="12">
        <f>AVERAGE(BU22:BU200)</f>
        <v>1.4834910170979582E-4</v>
      </c>
      <c r="BY9" s="12">
        <f>AVERAGE(BX22:BX200)</f>
        <v>3.6097898181599545E-4</v>
      </c>
      <c r="CL9" s="17">
        <f t="shared" si="1"/>
        <v>-5.0000000000000001E-3</v>
      </c>
      <c r="CM9" s="23">
        <v>2.2888551100473586</v>
      </c>
      <c r="CN9" s="24">
        <v>2.1417492370094808</v>
      </c>
      <c r="CO9" s="24">
        <v>1.7428223778795935</v>
      </c>
      <c r="CP9" s="24">
        <v>1.6769851870268999</v>
      </c>
      <c r="CQ9" s="24">
        <v>3.0176729684801575</v>
      </c>
      <c r="CR9" s="24">
        <v>3.3694894531698747</v>
      </c>
      <c r="CS9" s="24">
        <v>1.7210698640704176</v>
      </c>
      <c r="CT9" s="24">
        <v>1.3137836188886942</v>
      </c>
      <c r="CX9" s="17"/>
    </row>
    <row r="10" spans="1:102" x14ac:dyDescent="0.3">
      <c r="A10" s="1">
        <v>46036</v>
      </c>
      <c r="B10" s="8">
        <v>93.42</v>
      </c>
      <c r="C10" s="8">
        <v>102.73</v>
      </c>
      <c r="D10" s="9">
        <v>8.5671455229239905E-4</v>
      </c>
      <c r="E10" s="9">
        <v>-1.45907326113683E-3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93.42</v>
      </c>
      <c r="M10" s="8">
        <v>102.73</v>
      </c>
      <c r="N10" s="10">
        <v>1.0996574609291301</v>
      </c>
      <c r="O10" s="10">
        <v>1.1144207265719701</v>
      </c>
      <c r="R10" s="8">
        <v>104.109184276354</v>
      </c>
      <c r="U10" s="9">
        <v>1.33360100184391E-2</v>
      </c>
      <c r="X10" s="10">
        <v>1.0996574609291301</v>
      </c>
      <c r="Y10" s="10">
        <v>1.1140664646848899</v>
      </c>
      <c r="AB10" s="8">
        <v>104.076089130862</v>
      </c>
      <c r="AE10" s="9">
        <v>1.3018070663474501E-2</v>
      </c>
      <c r="AZ10" s="13"/>
      <c r="BJ10" s="12">
        <f>STDEV(BI22:BI200)</f>
        <v>1.0556798387630635E-3</v>
      </c>
      <c r="BL10" s="13"/>
      <c r="BV10" s="12">
        <f>STDEV(BU22:BU200)</f>
        <v>9.1755159590470846E-4</v>
      </c>
      <c r="BY10" s="12">
        <f>STDEV(BX22:BX200)</f>
        <v>1.3758048072327323E-3</v>
      </c>
      <c r="CL10" s="17">
        <f t="shared" si="1"/>
        <v>-6.0000000000000001E-3</v>
      </c>
      <c r="CM10" s="23">
        <v>2.2888551100473586</v>
      </c>
      <c r="CN10" s="24">
        <v>2.1417492370094808</v>
      </c>
      <c r="CO10" s="24">
        <v>1.7428223778795935</v>
      </c>
      <c r="CP10" s="24">
        <v>1.6769851870268999</v>
      </c>
      <c r="CQ10" s="24">
        <v>3.0176729684801575</v>
      </c>
      <c r="CR10" s="24">
        <v>3.3694894531698747</v>
      </c>
      <c r="CS10" s="24">
        <v>1.7210698640704176</v>
      </c>
      <c r="CT10" s="24">
        <v>1.3137836188886942</v>
      </c>
      <c r="CX10" s="17"/>
    </row>
    <row r="11" spans="1:102" x14ac:dyDescent="0.3">
      <c r="A11" s="1">
        <v>46037</v>
      </c>
      <c r="B11" s="8">
        <v>93.62</v>
      </c>
      <c r="C11" s="8">
        <v>103.12</v>
      </c>
      <c r="D11" s="9">
        <v>2.1385807979625898E-3</v>
      </c>
      <c r="E11" s="9">
        <v>3.7891714027595601E-3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93.62</v>
      </c>
      <c r="M11" s="8">
        <v>103.12</v>
      </c>
      <c r="N11" s="10">
        <v>1.10147404400769</v>
      </c>
      <c r="O11" s="10">
        <v>1.1144207265719701</v>
      </c>
      <c r="P11" s="10">
        <v>1.10218252225373</v>
      </c>
      <c r="R11" s="8">
        <v>104.332068421668</v>
      </c>
      <c r="U11" s="9">
        <v>1.16854194136421E-2</v>
      </c>
      <c r="X11" s="10">
        <v>1.10147404400769</v>
      </c>
      <c r="Y11" s="10">
        <v>1.1140664646848899</v>
      </c>
      <c r="Z11" s="10">
        <v>1.10218252225373</v>
      </c>
      <c r="AB11" s="8">
        <v>104.29890242379901</v>
      </c>
      <c r="AE11" s="9">
        <v>1.1367480058677401E-2</v>
      </c>
      <c r="BJ11">
        <f>SQRT(252)*BJ9/BJ10</f>
        <v>3.1973658873033384</v>
      </c>
      <c r="BV11">
        <f>SQRT(252)*BV9/BV10</f>
        <v>2.5665793537655763</v>
      </c>
      <c r="BY11">
        <f>SQRT(252)*BY9/BY10</f>
        <v>4.1650993340868832</v>
      </c>
      <c r="CL11" s="17">
        <f t="shared" si="1"/>
        <v>-7.0000000000000001E-3</v>
      </c>
      <c r="CM11" s="23">
        <v>2.2888551100473586</v>
      </c>
      <c r="CN11" s="24">
        <v>2.1417492370094808</v>
      </c>
      <c r="CO11" s="24">
        <v>1.7428223778795935</v>
      </c>
      <c r="CP11" s="24">
        <v>1.6769851870268999</v>
      </c>
      <c r="CQ11" s="24">
        <v>3.0176729684801575</v>
      </c>
      <c r="CR11" s="24">
        <v>3.3694894531698747</v>
      </c>
      <c r="CS11" s="24">
        <v>1.7210698640704176</v>
      </c>
      <c r="CT11" s="24">
        <v>1.3137836188886942</v>
      </c>
      <c r="CX11" s="17"/>
    </row>
    <row r="12" spans="1:102" x14ac:dyDescent="0.3">
      <c r="A12" s="1">
        <v>46038</v>
      </c>
      <c r="B12" s="8">
        <v>93.89</v>
      </c>
      <c r="C12" s="8">
        <v>103.52</v>
      </c>
      <c r="D12" s="9">
        <v>2.8798483985314799E-3</v>
      </c>
      <c r="E12" s="9">
        <v>3.8714721216583999E-3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93.89</v>
      </c>
      <c r="M12" s="8">
        <v>103.52</v>
      </c>
      <c r="N12" s="10">
        <v>1.1025668335285901</v>
      </c>
      <c r="O12" s="10">
        <v>1.1144207265719701</v>
      </c>
      <c r="P12" s="10">
        <v>1.1019698516584899</v>
      </c>
      <c r="R12" s="8">
        <v>104.632962017842</v>
      </c>
      <c r="S12" s="8">
        <v>103.483917014402</v>
      </c>
      <c r="U12" s="9">
        <v>1.0693795690515101E-2</v>
      </c>
      <c r="V12" s="9">
        <v>-3.4862128681375598E-4</v>
      </c>
      <c r="X12" s="10">
        <v>1.1025668335285901</v>
      </c>
      <c r="Y12" s="10">
        <v>1.1140664646848899</v>
      </c>
      <c r="Z12" s="10">
        <v>1.1019698516584899</v>
      </c>
      <c r="AB12" s="8">
        <v>104.599700369264</v>
      </c>
      <c r="AC12" s="8">
        <v>103.483917014402</v>
      </c>
      <c r="AE12" s="9">
        <v>1.03758563355506E-2</v>
      </c>
      <c r="AF12" s="9">
        <v>-3.4862128681375598E-4</v>
      </c>
      <c r="CL12" t="s">
        <v>38</v>
      </c>
      <c r="CN12" s="18"/>
      <c r="CO12" s="18"/>
      <c r="CP12" s="18"/>
      <c r="CQ12" s="18"/>
      <c r="CR12" s="18"/>
      <c r="CS12" s="18"/>
      <c r="CT12" s="18"/>
    </row>
    <row r="13" spans="1:102" x14ac:dyDescent="0.3">
      <c r="A13" s="1">
        <v>46042</v>
      </c>
      <c r="B13" s="8">
        <v>93.11</v>
      </c>
      <c r="C13" s="8">
        <v>102.81</v>
      </c>
      <c r="D13" s="9">
        <v>-8.3422943700177006E-3</v>
      </c>
      <c r="E13" s="9">
        <v>-6.8822061979632301E-3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93.11</v>
      </c>
      <c r="M13" s="8">
        <v>102.81</v>
      </c>
      <c r="N13" s="10">
        <v>1.1041778541509999</v>
      </c>
      <c r="O13" s="10">
        <v>1.1144207265719701</v>
      </c>
      <c r="P13" s="10">
        <v>1.10211778019607</v>
      </c>
      <c r="R13" s="8">
        <v>103.76371385111599</v>
      </c>
      <c r="S13" s="8">
        <v>102.604412887922</v>
      </c>
      <c r="U13" s="9">
        <v>9.2337075184607195E-3</v>
      </c>
      <c r="V13" s="9">
        <v>-2.0016821393526799E-3</v>
      </c>
      <c r="X13" s="10">
        <v>1.1041778541509999</v>
      </c>
      <c r="Y13" s="10">
        <v>1.1140664646848899</v>
      </c>
      <c r="Z13" s="10">
        <v>1.10211778019607</v>
      </c>
      <c r="AB13" s="8">
        <v>103.73072852681</v>
      </c>
      <c r="AC13" s="8">
        <v>102.604412887922</v>
      </c>
      <c r="AE13" s="9">
        <v>8.9157681634963095E-3</v>
      </c>
      <c r="AF13" s="9">
        <v>-2.0016821393526799E-3</v>
      </c>
      <c r="CN13" s="18"/>
      <c r="CO13" s="18"/>
      <c r="CP13" s="18"/>
      <c r="CQ13" s="18"/>
      <c r="CR13" s="18"/>
      <c r="CS13" s="18"/>
      <c r="CT13" s="18"/>
    </row>
    <row r="14" spans="1:102" x14ac:dyDescent="0.3">
      <c r="A14" s="1">
        <v>46043</v>
      </c>
      <c r="B14" s="8">
        <v>93.84</v>
      </c>
      <c r="C14" s="8">
        <v>103.55</v>
      </c>
      <c r="D14" s="9">
        <v>7.8096144447816302E-3</v>
      </c>
      <c r="E14" s="9">
        <v>7.1719632869658798E-3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93.84</v>
      </c>
      <c r="M14" s="8">
        <v>103.55</v>
      </c>
      <c r="N14" s="10">
        <v>1.1034739982949699</v>
      </c>
      <c r="O14" s="10">
        <v>1.1144207265719701</v>
      </c>
      <c r="P14" s="10">
        <v>1.1022267508530501</v>
      </c>
      <c r="R14" s="8">
        <v>104.577240981514</v>
      </c>
      <c r="S14" s="8">
        <v>103.422732493599</v>
      </c>
      <c r="U14" s="9">
        <v>9.8713586762764899E-3</v>
      </c>
      <c r="V14" s="9">
        <v>-1.22979989593216E-3</v>
      </c>
      <c r="X14" s="10">
        <v>1.1034739982949699</v>
      </c>
      <c r="Y14" s="10">
        <v>1.1140664646848899</v>
      </c>
      <c r="Z14" s="10">
        <v>1.1022267508530501</v>
      </c>
      <c r="AB14" s="8">
        <v>104.54399704603</v>
      </c>
      <c r="AC14" s="8">
        <v>103.422732493599</v>
      </c>
      <c r="AE14" s="9">
        <v>9.5534193213118596E-3</v>
      </c>
      <c r="AF14" s="9">
        <v>-1.22979989593216E-3</v>
      </c>
      <c r="CL14" s="26">
        <f>BV11</f>
        <v>2.5665793537655763</v>
      </c>
      <c r="CM14" s="17">
        <v>0</v>
      </c>
      <c r="CN14" s="19">
        <f>CM14+0.001</f>
        <v>1E-3</v>
      </c>
      <c r="CO14" s="19">
        <f t="shared" ref="CO14:CT14" si="2">CN14+0.001</f>
        <v>2E-3</v>
      </c>
      <c r="CP14" s="19">
        <f t="shared" si="2"/>
        <v>3.0000000000000001E-3</v>
      </c>
      <c r="CQ14" s="19">
        <f t="shared" si="2"/>
        <v>4.0000000000000001E-3</v>
      </c>
      <c r="CR14" s="19">
        <f t="shared" si="2"/>
        <v>5.0000000000000001E-3</v>
      </c>
      <c r="CS14" s="19">
        <f t="shared" si="2"/>
        <v>6.0000000000000001E-3</v>
      </c>
      <c r="CT14" s="19">
        <f t="shared" si="2"/>
        <v>7.0000000000000001E-3</v>
      </c>
      <c r="CU14" t="s">
        <v>33</v>
      </c>
      <c r="CX14" s="17"/>
    </row>
    <row r="15" spans="1:102" x14ac:dyDescent="0.3">
      <c r="A15" s="1">
        <v>46044</v>
      </c>
      <c r="B15" s="8">
        <v>94.22</v>
      </c>
      <c r="C15" s="8">
        <v>103.93</v>
      </c>
      <c r="D15" s="9">
        <v>4.0412689266750299E-3</v>
      </c>
      <c r="E15" s="9">
        <v>3.6630077587372399E-3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94.22</v>
      </c>
      <c r="M15" s="8">
        <v>103.93</v>
      </c>
      <c r="N15" s="10">
        <v>1.10305667586499</v>
      </c>
      <c r="O15" s="10">
        <v>1.1144207265719701</v>
      </c>
      <c r="P15" s="10">
        <v>1.1021958277772299</v>
      </c>
      <c r="R15" s="8">
        <v>105.000720857611</v>
      </c>
      <c r="S15" s="8">
        <v>103.851804465375</v>
      </c>
      <c r="U15" s="9">
        <v>1.02496198442142E-2</v>
      </c>
      <c r="V15" s="9">
        <v>-7.52669739467281E-4</v>
      </c>
      <c r="X15" s="10">
        <v>1.10305667586499</v>
      </c>
      <c r="Y15" s="10">
        <v>1.1140664646848899</v>
      </c>
      <c r="Z15" s="10">
        <v>1.1021958277772299</v>
      </c>
      <c r="AB15" s="8">
        <v>104.96734230261001</v>
      </c>
      <c r="AC15" s="8">
        <v>103.851804465375</v>
      </c>
      <c r="AE15" s="9">
        <v>9.9316804892495298E-3</v>
      </c>
      <c r="AF15" s="9">
        <v>-7.52669739467281E-4</v>
      </c>
      <c r="CL15" s="17">
        <v>0</v>
      </c>
      <c r="CM15" s="20">
        <f t="dataTable" ref="CM15:CT22" dt2D="1" dtr="1" r1="BM20" r2="BM21"/>
        <v>2.8993772873437527</v>
      </c>
      <c r="CN15" s="21">
        <v>2.5576477571229135</v>
      </c>
      <c r="CO15" s="21">
        <v>1.9090529754079659</v>
      </c>
      <c r="CP15" s="21">
        <v>1.9932302816797816</v>
      </c>
      <c r="CQ15" s="21">
        <v>1.3261458658527558</v>
      </c>
      <c r="CR15" s="21">
        <v>0.10330129784988398</v>
      </c>
      <c r="CS15" s="21">
        <v>0.48118750379770919</v>
      </c>
      <c r="CT15" s="21">
        <v>1.2808768262150945</v>
      </c>
      <c r="CV15" t="s">
        <v>34</v>
      </c>
      <c r="CW15" t="s">
        <v>39</v>
      </c>
      <c r="CX15" s="17"/>
    </row>
    <row r="16" spans="1:102" x14ac:dyDescent="0.3">
      <c r="A16" s="1">
        <v>46045</v>
      </c>
      <c r="B16" s="8">
        <v>93.89</v>
      </c>
      <c r="C16" s="8">
        <v>103.78</v>
      </c>
      <c r="D16" s="9">
        <v>-3.50858900143895E-3</v>
      </c>
      <c r="E16" s="9">
        <v>-1.4443216607367699E-3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93.89</v>
      </c>
      <c r="M16" s="8">
        <v>103.78</v>
      </c>
      <c r="N16" s="10">
        <v>1.1053360315262499</v>
      </c>
      <c r="O16" s="10">
        <v>1.1144207265719701</v>
      </c>
      <c r="P16" s="10">
        <v>1.1025257937742401</v>
      </c>
      <c r="R16" s="8">
        <v>104.632962017842</v>
      </c>
      <c r="S16" s="8">
        <v>103.485166270004</v>
      </c>
      <c r="U16" s="9">
        <v>8.1853525035119994E-3</v>
      </c>
      <c r="V16" s="9">
        <v>-2.84499256837346E-3</v>
      </c>
      <c r="X16" s="10">
        <v>1.1053360315262499</v>
      </c>
      <c r="Y16" s="10">
        <v>1.1140664646848899</v>
      </c>
      <c r="Z16" s="10">
        <v>1.1025257937742401</v>
      </c>
      <c r="AB16" s="8">
        <v>104.599700369264</v>
      </c>
      <c r="AC16" s="8">
        <v>103.485166270004</v>
      </c>
      <c r="AE16" s="9">
        <v>7.8674131485474402E-3</v>
      </c>
      <c r="AF16" s="9">
        <v>-2.84499256837346E-3</v>
      </c>
      <c r="CL16" s="17">
        <f>CL15+0.001</f>
        <v>1E-3</v>
      </c>
      <c r="CM16" s="20">
        <v>2.8993772873437527</v>
      </c>
      <c r="CN16" s="21">
        <v>2.8914666746876967</v>
      </c>
      <c r="CO16" s="21">
        <v>2.5696058678935985</v>
      </c>
      <c r="CP16" s="21">
        <v>2.5665793537655763</v>
      </c>
      <c r="CQ16" s="21">
        <v>1.0138171955844679</v>
      </c>
      <c r="CR16" s="21">
        <v>-0.1015727091324569</v>
      </c>
      <c r="CS16" s="21">
        <v>0.32058930747693709</v>
      </c>
      <c r="CT16" s="21">
        <v>1.3214221438467684</v>
      </c>
      <c r="CV16" t="s">
        <v>36</v>
      </c>
      <c r="CW16" t="s">
        <v>40</v>
      </c>
      <c r="CX16" s="17"/>
    </row>
    <row r="17" spans="1:102" x14ac:dyDescent="0.3">
      <c r="A17" s="1">
        <v>46048</v>
      </c>
      <c r="B17" s="8">
        <v>93.7</v>
      </c>
      <c r="C17" s="8">
        <v>103.64</v>
      </c>
      <c r="D17" s="9">
        <v>-2.0256950260795501E-3</v>
      </c>
      <c r="E17" s="9">
        <v>-1.34991824568439E-3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93.7</v>
      </c>
      <c r="M17" s="8">
        <v>103.64</v>
      </c>
      <c r="N17" s="10">
        <v>1.1060832443970099</v>
      </c>
      <c r="O17" s="10">
        <v>1.1144207265719701</v>
      </c>
      <c r="P17" s="10">
        <v>1.1030041073797101</v>
      </c>
      <c r="R17" s="8">
        <v>104.42122207979401</v>
      </c>
      <c r="S17" s="8">
        <v>103.30666687664601</v>
      </c>
      <c r="U17" s="9">
        <v>7.5095757231169302E-3</v>
      </c>
      <c r="V17" s="9">
        <v>-3.22144267074281E-3</v>
      </c>
      <c r="X17" s="10">
        <v>1.1060832443970099</v>
      </c>
      <c r="Y17" s="10">
        <v>1.1140664646848899</v>
      </c>
      <c r="Z17" s="10">
        <v>1.1030041073797101</v>
      </c>
      <c r="AB17" s="8">
        <v>104.388027740974</v>
      </c>
      <c r="AC17" s="8">
        <v>103.30666687664601</v>
      </c>
      <c r="AE17" s="9">
        <v>7.1916363681522599E-3</v>
      </c>
      <c r="AF17" s="9">
        <v>-3.22144267074281E-3</v>
      </c>
      <c r="CL17" s="17">
        <f t="shared" ref="CL17:CL22" si="3">CL16+0.001</f>
        <v>2E-3</v>
      </c>
      <c r="CM17" s="20">
        <v>2.8993772873437527</v>
      </c>
      <c r="CN17" s="21">
        <v>2.8914666746876967</v>
      </c>
      <c r="CO17" s="21">
        <v>2.2688436799936373</v>
      </c>
      <c r="CP17" s="21">
        <v>2.2345639883830772</v>
      </c>
      <c r="CQ17" s="21">
        <v>1.0138171955844679</v>
      </c>
      <c r="CR17" s="21">
        <v>-0.1015727091324569</v>
      </c>
      <c r="CS17" s="21">
        <v>0.32058930747693709</v>
      </c>
      <c r="CT17" s="21">
        <v>1.3214221438467684</v>
      </c>
      <c r="CX17" s="17"/>
    </row>
    <row r="18" spans="1:102" x14ac:dyDescent="0.3">
      <c r="A18" s="1">
        <v>46049</v>
      </c>
      <c r="B18" s="8">
        <v>94.91</v>
      </c>
      <c r="C18" s="8">
        <v>105</v>
      </c>
      <c r="D18" s="9">
        <v>1.2830884898024199E-2</v>
      </c>
      <c r="E18" s="9">
        <v>1.30369944636141E-2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94.91</v>
      </c>
      <c r="M18" s="8">
        <v>105</v>
      </c>
      <c r="N18" s="10">
        <v>1.1063112422294801</v>
      </c>
      <c r="O18" s="10">
        <v>1.1144207265719701</v>
      </c>
      <c r="P18" s="10">
        <v>1.10343443701444</v>
      </c>
      <c r="R18" s="8">
        <v>105.769671158946</v>
      </c>
      <c r="S18" s="8">
        <v>104.68611983140801</v>
      </c>
      <c r="U18" s="9">
        <v>7.3034661575269704E-3</v>
      </c>
      <c r="V18" s="9">
        <v>-2.9938119250238499E-3</v>
      </c>
      <c r="X18" s="10">
        <v>1.1063112422294801</v>
      </c>
      <c r="Y18" s="10">
        <v>1.1140664646848899</v>
      </c>
      <c r="Z18" s="10">
        <v>1.10343443701444</v>
      </c>
      <c r="AB18" s="8">
        <v>105.736048163243</v>
      </c>
      <c r="AC18" s="8">
        <v>104.68611983140801</v>
      </c>
      <c r="AE18" s="9">
        <v>6.98552680256236E-3</v>
      </c>
      <c r="AF18" s="9">
        <v>-2.9938119250238499E-3</v>
      </c>
      <c r="CL18" s="17">
        <f t="shared" si="3"/>
        <v>3.0000000000000001E-3</v>
      </c>
      <c r="CM18" s="20">
        <v>2.8993772873437527</v>
      </c>
      <c r="CN18" s="21">
        <v>2.8914666746876967</v>
      </c>
      <c r="CO18" s="21">
        <v>2.2688436799936373</v>
      </c>
      <c r="CP18" s="21">
        <v>1.8977272510567529</v>
      </c>
      <c r="CQ18" s="21">
        <v>0.63887988710984822</v>
      </c>
      <c r="CR18" s="21">
        <v>-0.1015727091324569</v>
      </c>
      <c r="CS18" s="21">
        <v>0.32058930747693709</v>
      </c>
      <c r="CT18" s="21">
        <v>1.3214221438467684</v>
      </c>
      <c r="CX18" s="17"/>
    </row>
    <row r="19" spans="1:102" x14ac:dyDescent="0.3">
      <c r="A19" s="1">
        <v>46050</v>
      </c>
      <c r="B19" s="8">
        <v>95.73</v>
      </c>
      <c r="C19" s="8">
        <v>105.91</v>
      </c>
      <c r="D19" s="9">
        <v>8.6026548158611195E-3</v>
      </c>
      <c r="E19" s="9">
        <v>8.6293266980544195E-3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95.73</v>
      </c>
      <c r="M19" s="8">
        <v>105.91</v>
      </c>
      <c r="N19" s="10">
        <v>1.10634075002611</v>
      </c>
      <c r="O19" s="10">
        <v>1.1144207265719701</v>
      </c>
      <c r="P19" s="10">
        <v>1.1038478134955201</v>
      </c>
      <c r="R19" s="8">
        <v>106.683496154735</v>
      </c>
      <c r="S19" s="8">
        <v>105.63177865539301</v>
      </c>
      <c r="U19" s="9">
        <v>7.2767942753335499E-3</v>
      </c>
      <c r="V19" s="9">
        <v>-2.63041661836424E-3</v>
      </c>
      <c r="X19" s="10">
        <v>1.10634075002611</v>
      </c>
      <c r="Y19" s="10">
        <v>1.1140664646848899</v>
      </c>
      <c r="Z19" s="10">
        <v>1.1038478134955201</v>
      </c>
      <c r="AB19" s="8">
        <v>106.649582664284</v>
      </c>
      <c r="AC19" s="8">
        <v>105.63177865539301</v>
      </c>
      <c r="AE19" s="9">
        <v>6.9588549203691103E-3</v>
      </c>
      <c r="AF19" s="9">
        <v>-2.63041661836424E-3</v>
      </c>
      <c r="BX19" s="6" t="s">
        <v>41</v>
      </c>
      <c r="BY19" s="6" t="s">
        <v>41</v>
      </c>
      <c r="CL19" s="17">
        <f t="shared" si="3"/>
        <v>4.0000000000000001E-3</v>
      </c>
      <c r="CM19" s="20">
        <v>2.8993772873437527</v>
      </c>
      <c r="CN19" s="21">
        <v>2.8914666746876967</v>
      </c>
      <c r="CO19" s="21">
        <v>2.2688436799936373</v>
      </c>
      <c r="CP19" s="21">
        <v>1.8977272510567529</v>
      </c>
      <c r="CQ19" s="21">
        <v>1.7341377811177319</v>
      </c>
      <c r="CR19" s="21">
        <v>0.97436753100706097</v>
      </c>
      <c r="CS19" s="21">
        <v>1.6550858530247976</v>
      </c>
      <c r="CT19" s="21">
        <v>1.3214221438467684</v>
      </c>
      <c r="CX19" s="17"/>
    </row>
    <row r="20" spans="1:102" x14ac:dyDescent="0.3">
      <c r="A20" s="1">
        <v>46051</v>
      </c>
      <c r="B20" s="8">
        <v>94.82</v>
      </c>
      <c r="C20" s="8">
        <v>105.08</v>
      </c>
      <c r="D20" s="9">
        <v>-9.5513714842896807E-3</v>
      </c>
      <c r="E20" s="9">
        <v>-7.8677120382387201E-3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94.82</v>
      </c>
      <c r="M20" s="8">
        <v>105.08</v>
      </c>
      <c r="N20" s="10">
        <v>1.1082050200379601</v>
      </c>
      <c r="O20" s="10">
        <v>1.1144207265719701</v>
      </c>
      <c r="P20" s="10">
        <v>1.1047025694064001</v>
      </c>
      <c r="R20" s="8">
        <v>105.669373293554</v>
      </c>
      <c r="S20" s="8">
        <v>104.666849675645</v>
      </c>
      <c r="U20" s="9">
        <v>5.5931348292826604E-3</v>
      </c>
      <c r="V20" s="9">
        <v>-3.93951908529347E-3</v>
      </c>
      <c r="X20" s="10">
        <v>1.1082050200379601</v>
      </c>
      <c r="Y20" s="10">
        <v>1.1140664646848899</v>
      </c>
      <c r="Z20" s="10">
        <v>1.1047025694064001</v>
      </c>
      <c r="AB20" s="8">
        <v>105.63578218142101</v>
      </c>
      <c r="AC20" s="8">
        <v>104.666849675645</v>
      </c>
      <c r="AE20" s="9">
        <v>5.2751954743179303E-3</v>
      </c>
      <c r="AF20" s="9">
        <v>-3.93951908529347E-3</v>
      </c>
      <c r="AZ20" s="14" t="s">
        <v>42</v>
      </c>
      <c r="BA20" s="15">
        <v>-5.0000000000000001E-3</v>
      </c>
      <c r="BB20" s="6" t="s">
        <v>43</v>
      </c>
      <c r="BC20" s="6" t="s">
        <v>44</v>
      </c>
      <c r="BD20" s="6" t="s">
        <v>45</v>
      </c>
      <c r="BE20" s="6" t="s">
        <v>46</v>
      </c>
      <c r="BF20" s="6" t="s">
        <v>47</v>
      </c>
      <c r="BG20" s="6" t="str">
        <f>D1</f>
        <v>CWB log rtn</v>
      </c>
      <c r="BH20" s="6" t="str">
        <f>E1</f>
        <v>ICVT log rtn</v>
      </c>
      <c r="BI20" s="6" t="s">
        <v>48</v>
      </c>
      <c r="BJ20" s="6" t="s">
        <v>49</v>
      </c>
      <c r="BL20" s="14" t="s">
        <v>42</v>
      </c>
      <c r="BM20" s="15">
        <v>3.0000000000000001E-3</v>
      </c>
      <c r="BN20" s="6" t="s">
        <v>44</v>
      </c>
      <c r="BO20" s="6" t="s">
        <v>43</v>
      </c>
      <c r="BP20" s="6" t="s">
        <v>45</v>
      </c>
      <c r="BQ20" s="6" t="s">
        <v>46</v>
      </c>
      <c r="BR20" s="6" t="s">
        <v>47</v>
      </c>
      <c r="BS20" s="7" t="str">
        <f>D1</f>
        <v>CWB log rtn</v>
      </c>
      <c r="BT20" s="7" t="str">
        <f>E1</f>
        <v>ICVT log rtn</v>
      </c>
      <c r="BU20" s="6" t="s">
        <v>48</v>
      </c>
      <c r="BV20" s="6" t="s">
        <v>49</v>
      </c>
      <c r="BX20" s="6" t="s">
        <v>48</v>
      </c>
      <c r="BY20" s="6" t="s">
        <v>49</v>
      </c>
      <c r="CL20" s="17">
        <f t="shared" si="3"/>
        <v>5.0000000000000001E-3</v>
      </c>
      <c r="CM20" s="20">
        <v>2.8993772873437527</v>
      </c>
      <c r="CN20" s="21">
        <v>2.8914666746876967</v>
      </c>
      <c r="CO20" s="21">
        <v>2.2688436799936373</v>
      </c>
      <c r="CP20" s="21">
        <v>1.8977272510567529</v>
      </c>
      <c r="CQ20" s="21">
        <v>1.7341377811177319</v>
      </c>
      <c r="CR20" s="21">
        <v>1.1418616625429643</v>
      </c>
      <c r="CS20" s="21">
        <v>2.4590852416278151</v>
      </c>
      <c r="CT20" s="21">
        <v>2.274563767524389</v>
      </c>
      <c r="CX20" s="17"/>
    </row>
    <row r="21" spans="1:102" x14ac:dyDescent="0.3">
      <c r="A21" s="1">
        <v>46052</v>
      </c>
      <c r="B21" s="8">
        <v>93.4</v>
      </c>
      <c r="C21" s="8">
        <v>103.52</v>
      </c>
      <c r="D21" s="9">
        <v>-1.50890122391751E-2</v>
      </c>
      <c r="E21" s="9">
        <v>-1.4957134064748599E-2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93.4</v>
      </c>
      <c r="M21" s="8">
        <v>103.52</v>
      </c>
      <c r="N21" s="10">
        <v>1.10835117773019</v>
      </c>
      <c r="O21" s="10">
        <v>1.1144207265719701</v>
      </c>
      <c r="P21" s="10">
        <v>1.1053902827786499</v>
      </c>
      <c r="Q21" s="10">
        <v>1.1037864025161901</v>
      </c>
      <c r="R21" s="8">
        <v>104.086895861822</v>
      </c>
      <c r="S21" s="8">
        <v>103.179219982558</v>
      </c>
      <c r="U21" s="9">
        <v>5.4612566548561201E-3</v>
      </c>
      <c r="V21" s="9">
        <v>-3.2973547382751998E-3</v>
      </c>
      <c r="X21" s="10">
        <v>1.10835117773019</v>
      </c>
      <c r="Y21" s="10">
        <v>1.1140664646848899</v>
      </c>
      <c r="Z21" s="10">
        <v>1.1053902827786499</v>
      </c>
      <c r="AA21" s="10">
        <v>1.1037864025161901</v>
      </c>
      <c r="AB21" s="8">
        <v>104.05380780156899</v>
      </c>
      <c r="AC21" s="8">
        <v>103.179219982558</v>
      </c>
      <c r="AE21" s="9">
        <v>5.1433172998915696E-3</v>
      </c>
      <c r="AF21" s="9">
        <v>-3.2973547382751998E-3</v>
      </c>
      <c r="BA21" s="15">
        <v>-3.0000000000000001E-3</v>
      </c>
      <c r="BE21">
        <f>IF(F22+H22&gt;0,0,1)</f>
        <v>0</v>
      </c>
      <c r="BF21" s="16">
        <v>0</v>
      </c>
      <c r="BM21" s="15">
        <v>1E-3</v>
      </c>
      <c r="BQ21">
        <f>IF(F22+H22&gt;0,0,1)</f>
        <v>0</v>
      </c>
      <c r="BR21" s="16">
        <v>0</v>
      </c>
      <c r="CL21" s="17">
        <f t="shared" si="3"/>
        <v>6.0000000000000001E-3</v>
      </c>
      <c r="CM21" s="20">
        <v>2.8993772873437527</v>
      </c>
      <c r="CN21" s="21">
        <v>2.8914666746876967</v>
      </c>
      <c r="CO21" s="21">
        <v>2.2688436799936373</v>
      </c>
      <c r="CP21" s="21">
        <v>1.8977272510567529</v>
      </c>
      <c r="CQ21" s="21">
        <v>1.7341377811177319</v>
      </c>
      <c r="CR21" s="21">
        <v>1.1418616625429643</v>
      </c>
      <c r="CS21" s="21">
        <v>2.2403223944288331</v>
      </c>
      <c r="CT21" s="21">
        <v>1.8628327839195304</v>
      </c>
      <c r="CX21" s="17"/>
    </row>
    <row r="22" spans="1:102" x14ac:dyDescent="0.3">
      <c r="A22" s="1">
        <v>46055</v>
      </c>
      <c r="B22" s="8">
        <v>93.82</v>
      </c>
      <c r="C22" s="8">
        <v>103.98</v>
      </c>
      <c r="D22" s="9">
        <v>4.4867076655148398E-3</v>
      </c>
      <c r="E22" s="9">
        <v>4.4337422029793903E-3</v>
      </c>
      <c r="F22" s="8">
        <v>8.6199999999999999E-2</v>
      </c>
      <c r="G22" s="8">
        <v>8.6199999999999999E-2</v>
      </c>
      <c r="H22" s="8">
        <v>0.1074</v>
      </c>
      <c r="I22" s="8">
        <v>0.1074</v>
      </c>
      <c r="J22" s="8">
        <v>8.6199999999999999E-2</v>
      </c>
      <c r="K22" s="8">
        <v>0.1074</v>
      </c>
      <c r="L22" s="8">
        <v>93.906199999999998</v>
      </c>
      <c r="M22" s="8">
        <v>104.0874</v>
      </c>
      <c r="N22" s="10">
        <v>1.10829247495203</v>
      </c>
      <c r="O22" s="10">
        <v>1.1144207265719701</v>
      </c>
      <c r="P22" s="10">
        <v>1.1059628469210001</v>
      </c>
      <c r="Q22" s="10">
        <v>1.10396634928975</v>
      </c>
      <c r="R22" s="8">
        <v>104.554952566982</v>
      </c>
      <c r="S22" s="8">
        <v>103.707716330293</v>
      </c>
      <c r="T22" s="8">
        <v>103.557240284069</v>
      </c>
      <c r="U22" s="9">
        <v>5.5142221173916798E-3</v>
      </c>
      <c r="V22" s="9">
        <v>-2.6220503601897798E-3</v>
      </c>
      <c r="W22" s="9">
        <v>-4.0740669009533999E-3</v>
      </c>
      <c r="X22" s="10">
        <v>1.10841882644596</v>
      </c>
      <c r="Y22" s="10">
        <v>1.1140664646848899</v>
      </c>
      <c r="Z22" s="10">
        <v>1.10597548207039</v>
      </c>
      <c r="AA22" s="10">
        <v>1.1039726668644401</v>
      </c>
      <c r="AB22" s="8">
        <v>104.617748245992</v>
      </c>
      <c r="AC22" s="8">
        <v>103.803000972669</v>
      </c>
      <c r="AD22" s="8">
        <v>103.652386671966</v>
      </c>
      <c r="AE22" s="9">
        <v>5.0822837098798198E-3</v>
      </c>
      <c r="AF22" s="9">
        <v>-2.7360494127369899E-3</v>
      </c>
      <c r="AG22" s="9">
        <v>-4.1880659535006798E-3</v>
      </c>
      <c r="AH22" s="12"/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4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5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  <c r="CL22" s="17">
        <f t="shared" si="3"/>
        <v>7.0000000000000001E-3</v>
      </c>
      <c r="CM22" s="20">
        <v>2.8993772873437527</v>
      </c>
      <c r="CN22" s="20">
        <v>2.8914666746876967</v>
      </c>
      <c r="CO22" s="20">
        <v>2.2688436799936373</v>
      </c>
      <c r="CP22" s="20">
        <v>1.8977272510567529</v>
      </c>
      <c r="CQ22" s="20">
        <v>1.7341377811177319</v>
      </c>
      <c r="CR22" s="20">
        <v>1.1418616625429643</v>
      </c>
      <c r="CS22" s="20">
        <v>2.2403223944288331</v>
      </c>
      <c r="CT22" s="20">
        <v>1.3137836188886938</v>
      </c>
      <c r="CX22" s="17"/>
    </row>
    <row r="23" spans="1:102" x14ac:dyDescent="0.3">
      <c r="A23" s="1">
        <v>46056</v>
      </c>
      <c r="B23" s="8">
        <v>93.85</v>
      </c>
      <c r="C23" s="8">
        <v>104.31</v>
      </c>
      <c r="D23" s="9">
        <v>3.1971013220578599E-4</v>
      </c>
      <c r="E23" s="9">
        <v>3.16866173231003E-3</v>
      </c>
      <c r="F23" s="8">
        <v>0</v>
      </c>
      <c r="G23" s="8">
        <v>8.6199999999999999E-2</v>
      </c>
      <c r="H23" s="8">
        <v>0</v>
      </c>
      <c r="I23" s="8">
        <v>0.1074</v>
      </c>
      <c r="J23" s="8">
        <v>8.6199999999999999E-2</v>
      </c>
      <c r="K23" s="8">
        <v>0.1074</v>
      </c>
      <c r="L23" s="8">
        <v>93.936199999999999</v>
      </c>
      <c r="M23" s="8">
        <v>104.4174</v>
      </c>
      <c r="N23" s="10">
        <v>1.1114544485881701</v>
      </c>
      <c r="O23" s="10">
        <v>1.1144207265719701</v>
      </c>
      <c r="P23" s="10">
        <v>1.1066905063647099</v>
      </c>
      <c r="Q23" s="10">
        <v>1.1044041432803899</v>
      </c>
      <c r="R23" s="8">
        <v>104.58838518877999</v>
      </c>
      <c r="S23" s="8">
        <v>103.794613183536</v>
      </c>
      <c r="T23" s="8">
        <v>103.60724188084301</v>
      </c>
      <c r="U23" s="9">
        <v>2.6652705172876602E-3</v>
      </c>
      <c r="V23" s="9">
        <v>-4.9531614151102797E-3</v>
      </c>
      <c r="W23" s="9">
        <v>-6.7600049808109602E-3</v>
      </c>
      <c r="X23" s="10">
        <v>1.1115778581633</v>
      </c>
      <c r="Y23" s="10">
        <v>1.1140664646848899</v>
      </c>
      <c r="Z23" s="10">
        <v>1.1067154824716201</v>
      </c>
      <c r="AA23" s="10">
        <v>1.1044166313338399</v>
      </c>
      <c r="AB23" s="8">
        <v>104.65117023993299</v>
      </c>
      <c r="AC23" s="8">
        <v>103.891134078861</v>
      </c>
      <c r="AD23" s="8">
        <v>103.702997229112</v>
      </c>
      <c r="AE23" s="9">
        <v>2.2363030185701001E-3</v>
      </c>
      <c r="AF23" s="9">
        <v>-5.0527650546377898E-3</v>
      </c>
      <c r="AG23" s="9">
        <v>-6.8653105256604799E-3</v>
      </c>
      <c r="AH23" s="12"/>
      <c r="AZ23" s="9"/>
      <c r="BB23">
        <f t="shared" ref="BB23:BB86" si="6">IF($AG23&lt;BA$20,1,0)</f>
        <v>1</v>
      </c>
      <c r="BC23">
        <f t="shared" ref="BC23:BC86" si="7">IF($AG23&gt;BA$21,1,0)</f>
        <v>0</v>
      </c>
      <c r="BD23">
        <f t="shared" ref="BD23:BD86" si="8">BF23</f>
        <v>0</v>
      </c>
      <c r="BE23">
        <f t="shared" si="4"/>
        <v>1</v>
      </c>
      <c r="BF23">
        <f t="shared" ref="BF23:BF86" si="9">IF(BB22,1,IF(BC22,0,BD22))*BE22</f>
        <v>0</v>
      </c>
      <c r="BG23" s="9">
        <f t="shared" ref="BG23:BG86" si="10">BF23*D23</f>
        <v>0</v>
      </c>
      <c r="BH23" s="9">
        <f t="shared" ref="BH23:BH86" si="11">-BF23*$E23</f>
        <v>0</v>
      </c>
      <c r="BI23" s="9">
        <f t="shared" ref="BI23:BI86" si="12">BG23+BH23</f>
        <v>0</v>
      </c>
      <c r="BJ23" s="12">
        <f t="shared" ref="BJ23:BJ86" si="13">BJ22+BI23</f>
        <v>0</v>
      </c>
      <c r="BL23" s="9"/>
      <c r="BN23">
        <f t="shared" ref="BN23:BN86" si="14">IF($AG23&gt;BM$20,1,0)</f>
        <v>0</v>
      </c>
      <c r="BO23">
        <f t="shared" ref="BO23:BO86" si="15">IF($AG23&lt;BM$21,1,0)</f>
        <v>1</v>
      </c>
      <c r="BP23">
        <f t="shared" ref="BP23:BP86" si="16">BR23</f>
        <v>0</v>
      </c>
      <c r="BQ23">
        <f t="shared" si="5"/>
        <v>1</v>
      </c>
      <c r="BR23">
        <f t="shared" ref="BR23:BR86" si="17">IF(BN22,1,IF(BO22,0,BP22))*BQ22</f>
        <v>0</v>
      </c>
      <c r="BS23" s="9">
        <f t="shared" ref="BS23:BS86" si="18">-BR23*D23</f>
        <v>0</v>
      </c>
      <c r="BT23" s="9">
        <f t="shared" ref="BT23:BT86" si="19">BR23*$E23</f>
        <v>0</v>
      </c>
      <c r="BU23" s="9">
        <f t="shared" ref="BU23:BU86" si="20">BS23+BT23</f>
        <v>0</v>
      </c>
      <c r="BV23" s="12">
        <f t="shared" ref="BV23:BV86" si="21">BV22+BU23</f>
        <v>0</v>
      </c>
      <c r="BX23" s="12">
        <f t="shared" ref="BX23:BX86" si="22">BI23+BU23</f>
        <v>0</v>
      </c>
      <c r="BY23" s="12">
        <f t="shared" ref="BY23:BY86" si="23">BY22+BX23</f>
        <v>0</v>
      </c>
      <c r="CL23" t="s">
        <v>38</v>
      </c>
    </row>
    <row r="24" spans="1:102" x14ac:dyDescent="0.3">
      <c r="A24" s="1">
        <v>46057</v>
      </c>
      <c r="B24" s="8">
        <v>92.81</v>
      </c>
      <c r="C24" s="8">
        <v>102.8</v>
      </c>
      <c r="D24" s="9">
        <v>-1.11433704252162E-2</v>
      </c>
      <c r="E24" s="9">
        <v>-1.45818816668149E-2</v>
      </c>
      <c r="F24" s="8">
        <v>0</v>
      </c>
      <c r="G24" s="8">
        <v>8.6199999999999999E-2</v>
      </c>
      <c r="H24" s="8">
        <v>0</v>
      </c>
      <c r="I24" s="8">
        <v>0.1074</v>
      </c>
      <c r="J24" s="8">
        <v>8.6199999999999999E-2</v>
      </c>
      <c r="K24" s="8">
        <v>0.1074</v>
      </c>
      <c r="L24" s="8">
        <v>92.896199999999993</v>
      </c>
      <c r="M24" s="8">
        <v>102.9074</v>
      </c>
      <c r="N24" s="10">
        <v>1.1076392630104499</v>
      </c>
      <c r="O24" s="10">
        <v>1.1144207265719701</v>
      </c>
      <c r="P24" s="10">
        <v>1.10710703283626</v>
      </c>
      <c r="Q24" s="10">
        <v>1.10466689184466</v>
      </c>
      <c r="R24" s="8">
        <v>103.429387633145</v>
      </c>
      <c r="S24" s="8">
        <v>102.71194589570899</v>
      </c>
      <c r="T24" s="8">
        <v>102.49974853785299</v>
      </c>
      <c r="U24" s="9">
        <v>6.1037817588862602E-3</v>
      </c>
      <c r="V24" s="9">
        <v>-8.5692448966800797E-4</v>
      </c>
      <c r="W24" s="9">
        <v>-2.9250077348453498E-3</v>
      </c>
      <c r="X24" s="10">
        <v>1.1077675943687599</v>
      </c>
      <c r="Y24" s="10">
        <v>1.1140664646848899</v>
      </c>
      <c r="Z24" s="10">
        <v>1.107144842079</v>
      </c>
      <c r="AA24" s="10">
        <v>1.1046857964660299</v>
      </c>
      <c r="AB24" s="8">
        <v>103.49254111665999</v>
      </c>
      <c r="AC24" s="8">
        <v>102.80966280278</v>
      </c>
      <c r="AD24" s="8">
        <v>102.596108267715</v>
      </c>
      <c r="AE24" s="9">
        <v>5.6699888684565601E-3</v>
      </c>
      <c r="AF24" s="9">
        <v>-9.5020999465597698E-4</v>
      </c>
      <c r="AG24" s="9">
        <v>-3.0295538309775502E-3</v>
      </c>
      <c r="AH24" s="12"/>
      <c r="AZ24" s="9"/>
      <c r="BB24">
        <f t="shared" si="6"/>
        <v>0</v>
      </c>
      <c r="BC24">
        <f t="shared" si="7"/>
        <v>0</v>
      </c>
      <c r="BD24">
        <f t="shared" si="8"/>
        <v>1</v>
      </c>
      <c r="BE24">
        <f t="shared" si="4"/>
        <v>1</v>
      </c>
      <c r="BF24">
        <f t="shared" si="9"/>
        <v>1</v>
      </c>
      <c r="BG24" s="9">
        <f t="shared" si="10"/>
        <v>-1.11433704252162E-2</v>
      </c>
      <c r="BH24" s="9">
        <f t="shared" si="11"/>
        <v>1.45818816668149E-2</v>
      </c>
      <c r="BI24" s="9">
        <f t="shared" si="12"/>
        <v>3.4385112415986994E-3</v>
      </c>
      <c r="BJ24" s="12">
        <f t="shared" si="13"/>
        <v>3.4385112415986994E-3</v>
      </c>
      <c r="BL24" s="9"/>
      <c r="BN24">
        <f t="shared" si="14"/>
        <v>0</v>
      </c>
      <c r="BO24">
        <f t="shared" si="15"/>
        <v>1</v>
      </c>
      <c r="BP24">
        <f t="shared" si="16"/>
        <v>0</v>
      </c>
      <c r="BQ24">
        <f t="shared" si="5"/>
        <v>1</v>
      </c>
      <c r="BR24">
        <f t="shared" si="17"/>
        <v>0</v>
      </c>
      <c r="BS24" s="9">
        <f t="shared" si="18"/>
        <v>0</v>
      </c>
      <c r="BT24" s="9">
        <f t="shared" si="19"/>
        <v>0</v>
      </c>
      <c r="BU24" s="9">
        <f t="shared" si="20"/>
        <v>0</v>
      </c>
      <c r="BV24" s="12">
        <f t="shared" si="21"/>
        <v>0</v>
      </c>
      <c r="BX24" s="12">
        <f t="shared" si="22"/>
        <v>3.4385112415986994E-3</v>
      </c>
      <c r="BY24" s="12">
        <f t="shared" si="23"/>
        <v>3.4385112415986994E-3</v>
      </c>
    </row>
    <row r="25" spans="1:102" x14ac:dyDescent="0.3">
      <c r="A25" s="1">
        <v>46058</v>
      </c>
      <c r="B25" s="8">
        <v>91.26</v>
      </c>
      <c r="C25" s="8">
        <v>101.29</v>
      </c>
      <c r="D25" s="9">
        <v>-1.6841817108044801E-2</v>
      </c>
      <c r="E25" s="9">
        <v>-1.47976633223588E-2</v>
      </c>
      <c r="F25" s="8">
        <v>0</v>
      </c>
      <c r="G25" s="8">
        <v>8.6199999999999999E-2</v>
      </c>
      <c r="H25" s="8">
        <v>0</v>
      </c>
      <c r="I25" s="8">
        <v>0.1074</v>
      </c>
      <c r="J25" s="8">
        <v>8.6199999999999999E-2</v>
      </c>
      <c r="K25" s="8">
        <v>0.1074</v>
      </c>
      <c r="L25" s="8">
        <v>91.346199999999996</v>
      </c>
      <c r="M25" s="8">
        <v>101.3974</v>
      </c>
      <c r="N25" s="10">
        <v>1.1099057637519101</v>
      </c>
      <c r="O25" s="10">
        <v>1.1144207265719701</v>
      </c>
      <c r="P25" s="10">
        <v>1.10779194162496</v>
      </c>
      <c r="Q25" s="10">
        <v>1.1049938847010901</v>
      </c>
      <c r="R25" s="8">
        <v>101.702035506958</v>
      </c>
      <c r="S25" s="8">
        <v>101.034587816637</v>
      </c>
      <c r="T25" s="8">
        <v>100.811900549743</v>
      </c>
      <c r="U25" s="9">
        <v>4.0596279732001E-3</v>
      </c>
      <c r="V25" s="9">
        <v>-2.52477785122995E-3</v>
      </c>
      <c r="W25" s="9">
        <v>-4.7312800207258802E-3</v>
      </c>
      <c r="X25" s="10">
        <v>1.1100341338774899</v>
      </c>
      <c r="Y25" s="10">
        <v>1.1140664646848899</v>
      </c>
      <c r="Z25" s="10">
        <v>1.10784258788025</v>
      </c>
      <c r="AA25" s="10">
        <v>1.10501920782874</v>
      </c>
      <c r="AB25" s="8">
        <v>101.76573809639901</v>
      </c>
      <c r="AC25" s="8">
        <v>101.133474173517</v>
      </c>
      <c r="AD25" s="8">
        <v>100.908849701145</v>
      </c>
      <c r="AE25" s="9">
        <v>3.6260367252696798E-3</v>
      </c>
      <c r="AF25" s="9">
        <v>-2.6062789385264099E-3</v>
      </c>
      <c r="AG25" s="9">
        <v>-4.8298186465621498E-3</v>
      </c>
      <c r="AH25" s="12"/>
      <c r="AZ25" s="9"/>
      <c r="BB25">
        <f t="shared" si="6"/>
        <v>0</v>
      </c>
      <c r="BC25">
        <f t="shared" si="7"/>
        <v>0</v>
      </c>
      <c r="BD25">
        <f t="shared" si="8"/>
        <v>1</v>
      </c>
      <c r="BE25">
        <f t="shared" si="4"/>
        <v>1</v>
      </c>
      <c r="BF25">
        <f t="shared" si="9"/>
        <v>1</v>
      </c>
      <c r="BG25" s="9">
        <f t="shared" si="10"/>
        <v>-1.6841817108044801E-2</v>
      </c>
      <c r="BH25" s="9">
        <f t="shared" si="11"/>
        <v>1.47976633223588E-2</v>
      </c>
      <c r="BI25" s="9">
        <f t="shared" si="12"/>
        <v>-2.0441537856860006E-3</v>
      </c>
      <c r="BJ25" s="12">
        <f t="shared" si="13"/>
        <v>1.3943574559126988E-3</v>
      </c>
      <c r="BL25" s="9"/>
      <c r="BN25">
        <f t="shared" si="14"/>
        <v>0</v>
      </c>
      <c r="BO25">
        <f t="shared" si="15"/>
        <v>1</v>
      </c>
      <c r="BP25">
        <f t="shared" si="16"/>
        <v>0</v>
      </c>
      <c r="BQ25">
        <f t="shared" si="5"/>
        <v>1</v>
      </c>
      <c r="BR25">
        <f t="shared" si="17"/>
        <v>0</v>
      </c>
      <c r="BS25" s="9">
        <f t="shared" si="18"/>
        <v>0</v>
      </c>
      <c r="BT25" s="9">
        <f t="shared" si="19"/>
        <v>0</v>
      </c>
      <c r="BU25" s="9">
        <f t="shared" si="20"/>
        <v>0</v>
      </c>
      <c r="BV25" s="12">
        <f t="shared" si="21"/>
        <v>0</v>
      </c>
      <c r="BX25" s="12">
        <f t="shared" si="22"/>
        <v>-2.0441537856860006E-3</v>
      </c>
      <c r="BY25" s="12">
        <f t="shared" si="23"/>
        <v>1.3943574559126988E-3</v>
      </c>
      <c r="CL25" s="17"/>
      <c r="CM25" s="17"/>
      <c r="CN25" s="17"/>
      <c r="CO25" s="17"/>
      <c r="CP25" s="17"/>
      <c r="CQ25" s="17"/>
      <c r="CR25" s="17"/>
      <c r="CS25" s="17"/>
      <c r="CT25" s="17"/>
      <c r="CX25" s="17"/>
    </row>
    <row r="26" spans="1:102" x14ac:dyDescent="0.3">
      <c r="A26" s="1">
        <v>46059</v>
      </c>
      <c r="B26" s="8">
        <v>93.95</v>
      </c>
      <c r="C26" s="8">
        <v>104.41</v>
      </c>
      <c r="D26" s="9">
        <v>2.90501503602177E-2</v>
      </c>
      <c r="E26" s="9">
        <v>3.0337766603312999E-2</v>
      </c>
      <c r="F26" s="8">
        <v>0</v>
      </c>
      <c r="G26" s="8">
        <v>8.6199999999999999E-2</v>
      </c>
      <c r="H26" s="8">
        <v>0</v>
      </c>
      <c r="I26" s="8">
        <v>0.1074</v>
      </c>
      <c r="J26" s="8">
        <v>8.6199999999999999E-2</v>
      </c>
      <c r="K26" s="8">
        <v>0.1074</v>
      </c>
      <c r="L26" s="8">
        <v>94.036199999999994</v>
      </c>
      <c r="M26" s="8">
        <v>104.51739999999999</v>
      </c>
      <c r="N26" s="10">
        <v>1.1113358169238901</v>
      </c>
      <c r="O26" s="10">
        <v>1.1144207265719701</v>
      </c>
      <c r="P26" s="10">
        <v>1.1083919201647201</v>
      </c>
      <c r="Q26" s="10">
        <v>1.1054588569694801</v>
      </c>
      <c r="R26" s="8">
        <v>104.69982726143699</v>
      </c>
      <c r="S26" s="8">
        <v>104.077052915664</v>
      </c>
      <c r="T26" s="8">
        <v>103.81417546766799</v>
      </c>
      <c r="U26" s="9">
        <v>2.7720117301049899E-3</v>
      </c>
      <c r="V26" s="9">
        <v>-3.1939380668311798E-3</v>
      </c>
      <c r="W26" s="9">
        <v>-5.7229296952945596E-3</v>
      </c>
      <c r="X26" s="10">
        <v>1.1114592040086599</v>
      </c>
      <c r="Y26" s="10">
        <v>1.1140664646848899</v>
      </c>
      <c r="Z26" s="10">
        <v>1.10845490512849</v>
      </c>
      <c r="AA26" s="10">
        <v>1.1054903494513699</v>
      </c>
      <c r="AB26" s="8">
        <v>104.76257688640101</v>
      </c>
      <c r="AC26" s="8">
        <v>104.177307162425</v>
      </c>
      <c r="AD26" s="8">
        <v>103.911807231225</v>
      </c>
      <c r="AE26" s="9">
        <v>2.34305261511918E-3</v>
      </c>
      <c r="AF26" s="9">
        <v>-3.2592406703182502E-3</v>
      </c>
      <c r="AG26" s="9">
        <v>-5.8110327334786301E-3</v>
      </c>
      <c r="AH26" s="12"/>
      <c r="AZ26" s="9"/>
      <c r="BB26">
        <f t="shared" si="6"/>
        <v>1</v>
      </c>
      <c r="BC26">
        <f t="shared" si="7"/>
        <v>0</v>
      </c>
      <c r="BD26">
        <f t="shared" si="8"/>
        <v>1</v>
      </c>
      <c r="BE26">
        <f t="shared" si="4"/>
        <v>1</v>
      </c>
      <c r="BF26">
        <f t="shared" si="9"/>
        <v>1</v>
      </c>
      <c r="BG26" s="9">
        <f t="shared" si="10"/>
        <v>2.90501503602177E-2</v>
      </c>
      <c r="BH26" s="9">
        <f t="shared" si="11"/>
        <v>-3.0337766603312999E-2</v>
      </c>
      <c r="BI26" s="9">
        <f t="shared" si="12"/>
        <v>-1.2876162430952992E-3</v>
      </c>
      <c r="BJ26" s="12">
        <f t="shared" si="13"/>
        <v>1.0674121281739959E-4</v>
      </c>
      <c r="BL26" s="9"/>
      <c r="BN26">
        <f t="shared" si="14"/>
        <v>0</v>
      </c>
      <c r="BO26">
        <f t="shared" si="15"/>
        <v>1</v>
      </c>
      <c r="BP26">
        <f t="shared" si="16"/>
        <v>0</v>
      </c>
      <c r="BQ26">
        <f t="shared" si="5"/>
        <v>1</v>
      </c>
      <c r="BR26">
        <f t="shared" si="17"/>
        <v>0</v>
      </c>
      <c r="BS26" s="9">
        <f t="shared" si="18"/>
        <v>0</v>
      </c>
      <c r="BT26" s="9">
        <f t="shared" si="19"/>
        <v>0</v>
      </c>
      <c r="BU26" s="9">
        <f t="shared" si="20"/>
        <v>0</v>
      </c>
      <c r="BV26" s="12">
        <f t="shared" si="21"/>
        <v>0</v>
      </c>
      <c r="BX26" s="12">
        <f t="shared" si="22"/>
        <v>-1.2876162430952992E-3</v>
      </c>
      <c r="BY26" s="12">
        <f t="shared" si="23"/>
        <v>1.0674121281739959E-4</v>
      </c>
      <c r="CL26" s="17"/>
      <c r="CM26" s="20"/>
      <c r="CN26" s="20"/>
      <c r="CO26" s="20"/>
      <c r="CP26" s="20"/>
      <c r="CQ26" s="20"/>
      <c r="CR26" s="20"/>
      <c r="CS26" s="20"/>
      <c r="CT26" s="20"/>
      <c r="CX26" s="17"/>
    </row>
    <row r="27" spans="1:102" x14ac:dyDescent="0.3">
      <c r="A27" s="1">
        <v>46062</v>
      </c>
      <c r="B27" s="8">
        <v>95.02</v>
      </c>
      <c r="C27" s="8">
        <v>105.17</v>
      </c>
      <c r="D27" s="9">
        <v>1.13246698993009E-2</v>
      </c>
      <c r="E27" s="9">
        <v>7.2526322299182001E-3</v>
      </c>
      <c r="F27" s="8">
        <v>0</v>
      </c>
      <c r="G27" s="8">
        <v>8.6199999999999999E-2</v>
      </c>
      <c r="H27" s="8">
        <v>0</v>
      </c>
      <c r="I27" s="8">
        <v>0.1074</v>
      </c>
      <c r="J27" s="8">
        <v>8.6199999999999999E-2</v>
      </c>
      <c r="K27" s="8">
        <v>0.1074</v>
      </c>
      <c r="L27" s="8">
        <v>95.106200000000001</v>
      </c>
      <c r="M27" s="8">
        <v>105.2774</v>
      </c>
      <c r="N27" s="10">
        <v>1.10681961692275</v>
      </c>
      <c r="O27" s="10">
        <v>1.1144207265719701</v>
      </c>
      <c r="P27" s="10">
        <v>1.1084655574172899</v>
      </c>
      <c r="Q27" s="10">
        <v>1.1057348323984999</v>
      </c>
      <c r="R27" s="8">
        <v>105.892257438869</v>
      </c>
      <c r="S27" s="8">
        <v>105.319400254052</v>
      </c>
      <c r="T27" s="8">
        <v>105.04070058924</v>
      </c>
      <c r="U27" s="9">
        <v>6.8440493994878096E-3</v>
      </c>
      <c r="V27" s="9">
        <v>1.4195515684884601E-3</v>
      </c>
      <c r="W27" s="9">
        <v>-1.2301888220109501E-3</v>
      </c>
      <c r="X27" s="10">
        <v>1.1069457091125401</v>
      </c>
      <c r="Y27" s="10">
        <v>1.1140664646848899</v>
      </c>
      <c r="Z27" s="10">
        <v>1.1085411516000501</v>
      </c>
      <c r="AA27" s="10">
        <v>1.10577262948988</v>
      </c>
      <c r="AB27" s="8">
        <v>105.954628003614</v>
      </c>
      <c r="AC27" s="8">
        <v>105.420933898131</v>
      </c>
      <c r="AD27" s="8">
        <v>105.138986272991</v>
      </c>
      <c r="AE27" s="9">
        <v>6.4121935526074599E-3</v>
      </c>
      <c r="AF27" s="9">
        <v>1.3624589969907499E-3</v>
      </c>
      <c r="AG27" s="9">
        <v>-1.31561756595215E-3</v>
      </c>
      <c r="AH27" s="12"/>
      <c r="AZ27" s="9"/>
      <c r="BB27">
        <f t="shared" si="6"/>
        <v>0</v>
      </c>
      <c r="BC27">
        <f t="shared" si="7"/>
        <v>1</v>
      </c>
      <c r="BD27">
        <f t="shared" si="8"/>
        <v>1</v>
      </c>
      <c r="BE27">
        <f t="shared" si="4"/>
        <v>1</v>
      </c>
      <c r="BF27">
        <f t="shared" si="9"/>
        <v>1</v>
      </c>
      <c r="BG27" s="9">
        <f t="shared" si="10"/>
        <v>1.13246698993009E-2</v>
      </c>
      <c r="BH27" s="9">
        <f t="shared" si="11"/>
        <v>-7.2526322299182001E-3</v>
      </c>
      <c r="BI27" s="9">
        <f t="shared" si="12"/>
        <v>4.0720376693827E-3</v>
      </c>
      <c r="BJ27" s="12">
        <f t="shared" si="13"/>
        <v>4.1787788822000996E-3</v>
      </c>
      <c r="BL27" s="9"/>
      <c r="BN27">
        <f t="shared" si="14"/>
        <v>0</v>
      </c>
      <c r="BO27">
        <f t="shared" si="15"/>
        <v>1</v>
      </c>
      <c r="BP27">
        <f t="shared" si="16"/>
        <v>0</v>
      </c>
      <c r="BQ27">
        <f t="shared" si="5"/>
        <v>1</v>
      </c>
      <c r="BR27">
        <f t="shared" si="17"/>
        <v>0</v>
      </c>
      <c r="BS27" s="9">
        <f t="shared" si="18"/>
        <v>0</v>
      </c>
      <c r="BT27" s="9">
        <f t="shared" si="19"/>
        <v>0</v>
      </c>
      <c r="BU27" s="9">
        <f t="shared" si="20"/>
        <v>0</v>
      </c>
      <c r="BV27" s="12">
        <f t="shared" si="21"/>
        <v>0</v>
      </c>
      <c r="BX27" s="12">
        <f t="shared" si="22"/>
        <v>4.0720376693827E-3</v>
      </c>
      <c r="BY27" s="12">
        <f t="shared" si="23"/>
        <v>4.1787788822000996E-3</v>
      </c>
      <c r="CL27" s="17"/>
      <c r="CM27" s="20"/>
      <c r="CN27" s="20"/>
      <c r="CO27" s="20"/>
      <c r="CP27" s="20"/>
      <c r="CQ27" s="20"/>
      <c r="CR27" s="20"/>
      <c r="CS27" s="20"/>
      <c r="CT27" s="20"/>
      <c r="CX27" s="17"/>
    </row>
    <row r="28" spans="1:102" ht="15" thickBot="1" x14ac:dyDescent="0.35">
      <c r="A28" s="1">
        <v>46063</v>
      </c>
      <c r="B28" s="8">
        <v>94.59</v>
      </c>
      <c r="C28" s="8">
        <v>104.68</v>
      </c>
      <c r="D28" s="9">
        <v>-4.5356335336960403E-3</v>
      </c>
      <c r="E28" s="9">
        <v>-4.6700108699919496E-3</v>
      </c>
      <c r="F28" s="8">
        <v>0</v>
      </c>
      <c r="G28" s="8">
        <v>8.6199999999999999E-2</v>
      </c>
      <c r="H28" s="8">
        <v>0</v>
      </c>
      <c r="I28" s="8">
        <v>0.1074</v>
      </c>
      <c r="J28" s="8">
        <v>8.6199999999999999E-2</v>
      </c>
      <c r="K28" s="8">
        <v>0.1074</v>
      </c>
      <c r="L28" s="8">
        <v>94.676199999999994</v>
      </c>
      <c r="M28" s="8">
        <v>104.78740000000001</v>
      </c>
      <c r="N28" s="10">
        <v>1.1066708954434901</v>
      </c>
      <c r="O28" s="10">
        <v>1.1144207265719701</v>
      </c>
      <c r="P28" s="10">
        <v>1.1085015227386901</v>
      </c>
      <c r="Q28" s="10">
        <v>1.10596797987657</v>
      </c>
      <c r="R28" s="8">
        <v>105.413056526443</v>
      </c>
      <c r="S28" s="8">
        <v>104.84975707610199</v>
      </c>
      <c r="T28" s="8">
        <v>104.59145779657401</v>
      </c>
      <c r="U28" s="9">
        <v>6.9784267357836504E-3</v>
      </c>
      <c r="V28" s="9">
        <v>1.6203628125535301E-3</v>
      </c>
      <c r="W28" s="9">
        <v>-8.46194790642671E-4</v>
      </c>
      <c r="X28" s="10">
        <v>1.1067976957250001</v>
      </c>
      <c r="Y28" s="10">
        <v>1.1140664646848899</v>
      </c>
      <c r="Z28" s="10">
        <v>1.1085897969495999</v>
      </c>
      <c r="AA28" s="10">
        <v>1.1060121169820201</v>
      </c>
      <c r="AB28" s="8">
        <v>105.475579423799</v>
      </c>
      <c r="AC28" s="8">
        <v>104.95246377711599</v>
      </c>
      <c r="AD28" s="8">
        <v>104.690350624109</v>
      </c>
      <c r="AE28" s="9">
        <v>6.5459158145815396E-3</v>
      </c>
      <c r="AF28" s="9">
        <v>1.57398606275384E-3</v>
      </c>
      <c r="AG28" s="9">
        <v>-9.2658416031862301E-4</v>
      </c>
      <c r="AH28" s="12"/>
      <c r="AZ28" s="9"/>
      <c r="BB28">
        <f t="shared" si="6"/>
        <v>0</v>
      </c>
      <c r="BC28">
        <f t="shared" si="7"/>
        <v>1</v>
      </c>
      <c r="BD28">
        <f t="shared" si="8"/>
        <v>0</v>
      </c>
      <c r="BE28">
        <f t="shared" si="4"/>
        <v>1</v>
      </c>
      <c r="BF28">
        <f t="shared" si="9"/>
        <v>0</v>
      </c>
      <c r="BG28" s="9">
        <f t="shared" si="10"/>
        <v>0</v>
      </c>
      <c r="BH28" s="9">
        <f t="shared" si="11"/>
        <v>0</v>
      </c>
      <c r="BI28" s="9">
        <f t="shared" si="12"/>
        <v>0</v>
      </c>
      <c r="BJ28" s="12">
        <f t="shared" si="13"/>
        <v>4.1787788822000996E-3</v>
      </c>
      <c r="BL28" s="9"/>
      <c r="BN28">
        <f t="shared" si="14"/>
        <v>0</v>
      </c>
      <c r="BO28">
        <f t="shared" si="15"/>
        <v>1</v>
      </c>
      <c r="BP28">
        <f t="shared" si="16"/>
        <v>0</v>
      </c>
      <c r="BQ28">
        <f t="shared" si="5"/>
        <v>1</v>
      </c>
      <c r="BR28">
        <f t="shared" si="17"/>
        <v>0</v>
      </c>
      <c r="BS28" s="9">
        <f t="shared" si="18"/>
        <v>0</v>
      </c>
      <c r="BT28" s="9">
        <f t="shared" si="19"/>
        <v>0</v>
      </c>
      <c r="BU28" s="9">
        <f t="shared" si="20"/>
        <v>0</v>
      </c>
      <c r="BV28" s="12">
        <f t="shared" si="21"/>
        <v>0</v>
      </c>
      <c r="BX28" s="12">
        <f t="shared" si="22"/>
        <v>0</v>
      </c>
      <c r="BY28" s="12">
        <f t="shared" si="23"/>
        <v>4.1787788822000996E-3</v>
      </c>
      <c r="CL28" s="17"/>
      <c r="CM28" s="20"/>
      <c r="CN28" s="20"/>
      <c r="CO28" s="20"/>
      <c r="CP28" s="21"/>
      <c r="CQ28" s="20"/>
      <c r="CR28" s="20"/>
      <c r="CS28" s="20"/>
      <c r="CT28" s="20"/>
      <c r="CX28" s="17"/>
    </row>
    <row r="29" spans="1:102" ht="15" thickBot="1" x14ac:dyDescent="0.35">
      <c r="A29" s="1">
        <v>46064</v>
      </c>
      <c r="B29" s="8">
        <v>94.5</v>
      </c>
      <c r="C29" s="8">
        <v>104.4</v>
      </c>
      <c r="D29" s="9">
        <v>-9.5192772538206895E-4</v>
      </c>
      <c r="E29" s="9">
        <v>-2.6784022134067301E-3</v>
      </c>
      <c r="F29" s="8">
        <v>0</v>
      </c>
      <c r="G29" s="8">
        <v>8.6199999999999999E-2</v>
      </c>
      <c r="H29" s="8">
        <v>0</v>
      </c>
      <c r="I29" s="8">
        <v>0.1074</v>
      </c>
      <c r="J29" s="8">
        <v>8.6199999999999999E-2</v>
      </c>
      <c r="K29" s="8">
        <v>0.1074</v>
      </c>
      <c r="L29" s="8">
        <v>94.586200000000005</v>
      </c>
      <c r="M29" s="8">
        <v>104.5074</v>
      </c>
      <c r="N29" s="10">
        <v>1.1047619047618999</v>
      </c>
      <c r="O29" s="10">
        <v>1.1144207265719701</v>
      </c>
      <c r="P29" s="10">
        <v>1.10834363821227</v>
      </c>
      <c r="Q29" s="10">
        <v>1.1060957258538999</v>
      </c>
      <c r="R29" s="8">
        <v>105.31275866105101</v>
      </c>
      <c r="S29" s="8">
        <v>104.753393898807</v>
      </c>
      <c r="T29" s="8">
        <v>104.51397409833601</v>
      </c>
      <c r="U29" s="9">
        <v>8.7049012238081796E-3</v>
      </c>
      <c r="V29" s="9">
        <v>3.3792828174521502E-3</v>
      </c>
      <c r="W29" s="9">
        <v>1.0911104452012599E-3</v>
      </c>
      <c r="X29" s="10">
        <v>1.1048905654313199</v>
      </c>
      <c r="Y29" s="10">
        <v>1.1140664646848899</v>
      </c>
      <c r="Z29" s="10">
        <v>1.1084447784901199</v>
      </c>
      <c r="AA29" s="10">
        <v>1.1061462959928201</v>
      </c>
      <c r="AB29" s="8">
        <v>105.37531344197799</v>
      </c>
      <c r="AC29" s="8">
        <v>104.85729625223399</v>
      </c>
      <c r="AD29" s="8">
        <v>104.61348329928499</v>
      </c>
      <c r="AE29" s="9">
        <v>8.2705085610977804E-3</v>
      </c>
      <c r="AF29" s="9">
        <v>3.3424601592574E-3</v>
      </c>
      <c r="AG29" s="9">
        <v>1.01456446349358E-3</v>
      </c>
      <c r="AH29" s="12"/>
      <c r="AZ29" s="9"/>
      <c r="BB29">
        <f t="shared" si="6"/>
        <v>0</v>
      </c>
      <c r="BC29">
        <f t="shared" si="7"/>
        <v>1</v>
      </c>
      <c r="BD29">
        <f t="shared" si="8"/>
        <v>0</v>
      </c>
      <c r="BE29">
        <f t="shared" si="4"/>
        <v>1</v>
      </c>
      <c r="BF29">
        <f t="shared" si="9"/>
        <v>0</v>
      </c>
      <c r="BG29" s="9">
        <f t="shared" si="10"/>
        <v>0</v>
      </c>
      <c r="BH29" s="9">
        <f t="shared" si="11"/>
        <v>0</v>
      </c>
      <c r="BI29" s="9">
        <f t="shared" si="12"/>
        <v>0</v>
      </c>
      <c r="BJ29" s="12">
        <f t="shared" si="13"/>
        <v>4.1787788822000996E-3</v>
      </c>
      <c r="BL29" s="9"/>
      <c r="BN29">
        <f t="shared" si="14"/>
        <v>0</v>
      </c>
      <c r="BO29">
        <f t="shared" si="15"/>
        <v>0</v>
      </c>
      <c r="BP29">
        <f t="shared" si="16"/>
        <v>0</v>
      </c>
      <c r="BQ29">
        <f t="shared" si="5"/>
        <v>1</v>
      </c>
      <c r="BR29">
        <f t="shared" si="17"/>
        <v>0</v>
      </c>
      <c r="BS29" s="9">
        <f t="shared" si="18"/>
        <v>0</v>
      </c>
      <c r="BT29" s="9">
        <f t="shared" si="19"/>
        <v>0</v>
      </c>
      <c r="BU29" s="9">
        <f t="shared" si="20"/>
        <v>0</v>
      </c>
      <c r="BV29" s="12">
        <f t="shared" si="21"/>
        <v>0</v>
      </c>
      <c r="BX29" s="12">
        <f t="shared" si="22"/>
        <v>0</v>
      </c>
      <c r="BY29" s="12">
        <f t="shared" si="23"/>
        <v>4.1787788822000996E-3</v>
      </c>
      <c r="CL29" s="17"/>
      <c r="CM29" s="20"/>
      <c r="CN29" s="20"/>
      <c r="CO29" s="20"/>
      <c r="CP29" s="20"/>
      <c r="CQ29" s="22"/>
      <c r="CR29" s="20"/>
      <c r="CS29" s="20"/>
      <c r="CT29" s="20"/>
      <c r="CX29" s="17"/>
    </row>
    <row r="30" spans="1:102" x14ac:dyDescent="0.3">
      <c r="A30" s="1">
        <v>46065</v>
      </c>
      <c r="B30" s="8">
        <v>93.91</v>
      </c>
      <c r="C30" s="8">
        <v>103.84</v>
      </c>
      <c r="D30" s="9">
        <v>-6.2629576831748799E-3</v>
      </c>
      <c r="E30" s="9">
        <v>-5.3784224927584997E-3</v>
      </c>
      <c r="F30" s="8">
        <v>0</v>
      </c>
      <c r="G30" s="8">
        <v>8.6199999999999999E-2</v>
      </c>
      <c r="H30" s="8">
        <v>0</v>
      </c>
      <c r="I30" s="8">
        <v>0.1074</v>
      </c>
      <c r="J30" s="8">
        <v>8.6199999999999999E-2</v>
      </c>
      <c r="K30" s="8">
        <v>0.1074</v>
      </c>
      <c r="L30" s="8">
        <v>93.996200000000002</v>
      </c>
      <c r="M30" s="8">
        <v>103.9474</v>
      </c>
      <c r="N30" s="10">
        <v>1.10573953785539</v>
      </c>
      <c r="O30" s="10">
        <v>1.1144207265719701</v>
      </c>
      <c r="P30" s="10">
        <v>1.1080970899940199</v>
      </c>
      <c r="Q30" s="10">
        <v>1.10639982970021</v>
      </c>
      <c r="R30" s="8">
        <v>104.655250432374</v>
      </c>
      <c r="S30" s="8">
        <v>104.084551064515</v>
      </c>
      <c r="T30" s="8">
        <v>103.87344961493901</v>
      </c>
      <c r="U30" s="9">
        <v>7.8203660333918002E-3</v>
      </c>
      <c r="V30" s="9">
        <v>2.3523068923657201E-3</v>
      </c>
      <c r="W30" s="9">
        <v>3.2207462050344598E-4</v>
      </c>
      <c r="X30" s="10">
        <v>1.1058681095618701</v>
      </c>
      <c r="Y30" s="10">
        <v>1.1140664646848899</v>
      </c>
      <c r="Z30" s="10">
        <v>1.10821108744251</v>
      </c>
      <c r="AA30" s="10">
        <v>1.10645682842446</v>
      </c>
      <c r="AB30" s="8">
        <v>104.718014227814</v>
      </c>
      <c r="AC30" s="8">
        <v>104.189597087913</v>
      </c>
      <c r="AD30" s="8">
        <v>103.97354846739999</v>
      </c>
      <c r="AE30" s="9">
        <v>7.3861567724362396E-3</v>
      </c>
      <c r="AF30" s="9">
        <v>2.3272863606074901E-3</v>
      </c>
      <c r="AG30" s="9">
        <v>2.5152316523518998E-4</v>
      </c>
      <c r="AH30" s="12"/>
      <c r="AZ30" s="9"/>
      <c r="BB30">
        <f t="shared" si="6"/>
        <v>0</v>
      </c>
      <c r="BC30">
        <f t="shared" si="7"/>
        <v>1</v>
      </c>
      <c r="BD30">
        <f t="shared" si="8"/>
        <v>0</v>
      </c>
      <c r="BE30">
        <f t="shared" si="4"/>
        <v>1</v>
      </c>
      <c r="BF30">
        <f t="shared" si="9"/>
        <v>0</v>
      </c>
      <c r="BG30" s="9">
        <f t="shared" si="10"/>
        <v>0</v>
      </c>
      <c r="BH30" s="9">
        <f t="shared" si="11"/>
        <v>0</v>
      </c>
      <c r="BI30" s="9">
        <f t="shared" si="12"/>
        <v>0</v>
      </c>
      <c r="BJ30" s="12">
        <f t="shared" si="13"/>
        <v>4.1787788822000996E-3</v>
      </c>
      <c r="BL30" s="9"/>
      <c r="BN30">
        <f t="shared" si="14"/>
        <v>0</v>
      </c>
      <c r="BO30">
        <f t="shared" si="15"/>
        <v>1</v>
      </c>
      <c r="BP30">
        <f t="shared" si="16"/>
        <v>0</v>
      </c>
      <c r="BQ30">
        <f t="shared" si="5"/>
        <v>1</v>
      </c>
      <c r="BR30">
        <f t="shared" si="17"/>
        <v>0</v>
      </c>
      <c r="BS30" s="9">
        <f t="shared" si="18"/>
        <v>0</v>
      </c>
      <c r="BT30" s="9">
        <f t="shared" si="19"/>
        <v>0</v>
      </c>
      <c r="BU30" s="9">
        <f t="shared" si="20"/>
        <v>0</v>
      </c>
      <c r="BV30" s="12">
        <f t="shared" si="21"/>
        <v>0</v>
      </c>
      <c r="BX30" s="12">
        <f t="shared" si="22"/>
        <v>0</v>
      </c>
      <c r="BY30" s="12">
        <f t="shared" si="23"/>
        <v>4.1787788822000996E-3</v>
      </c>
      <c r="CL30" s="17"/>
      <c r="CM30" s="20"/>
      <c r="CN30" s="20"/>
      <c r="CO30" s="20"/>
      <c r="CP30" s="20"/>
      <c r="CQ30" s="20"/>
      <c r="CR30" s="20"/>
      <c r="CS30" s="20"/>
      <c r="CT30" s="20"/>
      <c r="CX30" s="17"/>
    </row>
    <row r="31" spans="1:102" x14ac:dyDescent="0.3">
      <c r="A31" s="1">
        <v>46066</v>
      </c>
      <c r="B31" s="8">
        <v>94.51</v>
      </c>
      <c r="C31" s="8">
        <v>104.73</v>
      </c>
      <c r="D31" s="9">
        <v>6.3687721904426902E-3</v>
      </c>
      <c r="E31" s="9">
        <v>8.53435682927455E-3</v>
      </c>
      <c r="F31" s="8">
        <v>0</v>
      </c>
      <c r="G31" s="8">
        <v>8.6199999999999999E-2</v>
      </c>
      <c r="H31" s="8">
        <v>0</v>
      </c>
      <c r="I31" s="8">
        <v>0.1074</v>
      </c>
      <c r="J31" s="8">
        <v>8.6199999999999999E-2</v>
      </c>
      <c r="K31" s="8">
        <v>0.1074</v>
      </c>
      <c r="L31" s="8">
        <v>94.596199999999996</v>
      </c>
      <c r="M31" s="8">
        <v>104.8374</v>
      </c>
      <c r="N31" s="10">
        <v>1.1081367051105699</v>
      </c>
      <c r="O31" s="10">
        <v>1.1144207265719701</v>
      </c>
      <c r="P31" s="10">
        <v>1.1080756427320499</v>
      </c>
      <c r="Q31" s="10">
        <v>1.1067329627553499</v>
      </c>
      <c r="R31" s="8">
        <v>105.32390286831701</v>
      </c>
      <c r="S31" s="8">
        <v>104.726255975334</v>
      </c>
      <c r="T31" s="8">
        <v>104.565847904967</v>
      </c>
      <c r="U31" s="9">
        <v>5.6547813945599804E-3</v>
      </c>
      <c r="V31" s="9">
        <v>-3.5749943567257801E-5</v>
      </c>
      <c r="W31" s="9">
        <v>-1.5686133321277801E-3</v>
      </c>
      <c r="X31" s="10">
        <v>1.10826227692021</v>
      </c>
      <c r="Y31" s="10">
        <v>1.1140664646848899</v>
      </c>
      <c r="Z31" s="10">
        <v>1.1082021973615099</v>
      </c>
      <c r="AA31" s="10">
        <v>1.1067962400700799</v>
      </c>
      <c r="AB31" s="8">
        <v>105.386454106625</v>
      </c>
      <c r="AC31" s="8">
        <v>104.832557669929</v>
      </c>
      <c r="AD31" s="8">
        <v>104.666611433006</v>
      </c>
      <c r="AE31" s="9">
        <v>5.2235304826088102E-3</v>
      </c>
      <c r="AF31" s="9">
        <v>-4.6190022882519098E-5</v>
      </c>
      <c r="AG31" s="9">
        <v>-1.63040892304374E-3</v>
      </c>
      <c r="AH31" s="12"/>
      <c r="AZ31" s="9"/>
      <c r="BB31">
        <f t="shared" si="6"/>
        <v>0</v>
      </c>
      <c r="BC31">
        <f t="shared" si="7"/>
        <v>1</v>
      </c>
      <c r="BD31">
        <f t="shared" si="8"/>
        <v>0</v>
      </c>
      <c r="BE31">
        <f t="shared" si="4"/>
        <v>1</v>
      </c>
      <c r="BF31">
        <f t="shared" si="9"/>
        <v>0</v>
      </c>
      <c r="BG31" s="9">
        <f t="shared" si="10"/>
        <v>0</v>
      </c>
      <c r="BH31" s="9">
        <f t="shared" si="11"/>
        <v>0</v>
      </c>
      <c r="BI31" s="9">
        <f t="shared" si="12"/>
        <v>0</v>
      </c>
      <c r="BJ31" s="12">
        <f t="shared" si="13"/>
        <v>4.1787788822000996E-3</v>
      </c>
      <c r="BL31" s="9"/>
      <c r="BN31">
        <f t="shared" si="14"/>
        <v>0</v>
      </c>
      <c r="BO31">
        <f t="shared" si="15"/>
        <v>1</v>
      </c>
      <c r="BP31">
        <f t="shared" si="16"/>
        <v>0</v>
      </c>
      <c r="BQ31">
        <f t="shared" si="5"/>
        <v>1</v>
      </c>
      <c r="BR31">
        <f t="shared" si="17"/>
        <v>0</v>
      </c>
      <c r="BS31" s="9">
        <f t="shared" si="18"/>
        <v>0</v>
      </c>
      <c r="BT31" s="9">
        <f t="shared" si="19"/>
        <v>0</v>
      </c>
      <c r="BU31" s="9">
        <f t="shared" si="20"/>
        <v>0</v>
      </c>
      <c r="BV31" s="12">
        <f t="shared" si="21"/>
        <v>0</v>
      </c>
      <c r="BX31" s="12">
        <f t="shared" si="22"/>
        <v>0</v>
      </c>
      <c r="BY31" s="12">
        <f t="shared" si="23"/>
        <v>4.1787788822000996E-3</v>
      </c>
      <c r="CL31" s="17"/>
      <c r="CM31" s="20"/>
      <c r="CN31" s="20"/>
      <c r="CO31" s="20"/>
      <c r="CP31" s="20"/>
      <c r="CQ31" s="20"/>
      <c r="CR31" s="20"/>
      <c r="CS31" s="20"/>
      <c r="CT31" s="20"/>
      <c r="CX31" s="17"/>
    </row>
    <row r="32" spans="1:102" x14ac:dyDescent="0.3">
      <c r="A32" s="1">
        <v>46070</v>
      </c>
      <c r="B32" s="8">
        <v>94.78</v>
      </c>
      <c r="C32" s="8">
        <v>104.81</v>
      </c>
      <c r="D32" s="9">
        <v>2.8527675324774302E-3</v>
      </c>
      <c r="E32" s="9">
        <v>7.6357739703159096E-4</v>
      </c>
      <c r="F32" s="8">
        <v>0</v>
      </c>
      <c r="G32" s="8">
        <v>8.6199999999999999E-2</v>
      </c>
      <c r="H32" s="8">
        <v>0</v>
      </c>
      <c r="I32" s="8">
        <v>0.1074</v>
      </c>
      <c r="J32" s="8">
        <v>8.6199999999999999E-2</v>
      </c>
      <c r="K32" s="8">
        <v>0.1074</v>
      </c>
      <c r="L32" s="8">
        <v>94.866200000000006</v>
      </c>
      <c r="M32" s="8">
        <v>104.9174</v>
      </c>
      <c r="N32" s="10">
        <v>1.10582401350495</v>
      </c>
      <c r="O32" s="10">
        <v>1.1144207265719701</v>
      </c>
      <c r="P32" s="10">
        <v>1.1078287965873499</v>
      </c>
      <c r="Q32" s="10">
        <v>1.10689582175417</v>
      </c>
      <c r="R32" s="8">
        <v>105.624796464491</v>
      </c>
      <c r="S32" s="8">
        <v>105.023409418144</v>
      </c>
      <c r="T32" s="8">
        <v>104.896150209952</v>
      </c>
      <c r="U32" s="9">
        <v>7.7439715300057499E-3</v>
      </c>
      <c r="V32" s="9">
        <v>2.0340849659554899E-3</v>
      </c>
      <c r="W32" s="9">
        <v>8.2162792758470405E-4</v>
      </c>
      <c r="X32" s="10">
        <v>1.10595132934596</v>
      </c>
      <c r="Y32" s="10">
        <v>1.1140664646848899</v>
      </c>
      <c r="Z32" s="10">
        <v>1.1079554476515101</v>
      </c>
      <c r="AA32" s="10">
        <v>1.1069654648609499</v>
      </c>
      <c r="AB32" s="8">
        <v>105.68725205209</v>
      </c>
      <c r="AC32" s="8">
        <v>105.13093129533701</v>
      </c>
      <c r="AD32" s="8">
        <v>104.997553469736</v>
      </c>
      <c r="AE32" s="9">
        <v>7.3109067021433797E-3</v>
      </c>
      <c r="AF32" s="9">
        <v>2.0331641539590799E-3</v>
      </c>
      <c r="AG32" s="9">
        <v>7.6367569158435999E-4</v>
      </c>
      <c r="AH32" s="12"/>
      <c r="AZ32" s="9"/>
      <c r="BB32">
        <f t="shared" si="6"/>
        <v>0</v>
      </c>
      <c r="BC32">
        <f t="shared" si="7"/>
        <v>1</v>
      </c>
      <c r="BD32">
        <f t="shared" si="8"/>
        <v>0</v>
      </c>
      <c r="BE32">
        <f t="shared" si="4"/>
        <v>1</v>
      </c>
      <c r="BF32">
        <f t="shared" si="9"/>
        <v>0</v>
      </c>
      <c r="BG32" s="9">
        <f t="shared" si="10"/>
        <v>0</v>
      </c>
      <c r="BH32" s="9">
        <f t="shared" si="11"/>
        <v>0</v>
      </c>
      <c r="BI32" s="9">
        <f t="shared" si="12"/>
        <v>0</v>
      </c>
      <c r="BJ32" s="12">
        <f t="shared" si="13"/>
        <v>4.1787788822000996E-3</v>
      </c>
      <c r="BL32" s="9"/>
      <c r="BN32">
        <f t="shared" si="14"/>
        <v>0</v>
      </c>
      <c r="BO32">
        <f t="shared" si="15"/>
        <v>1</v>
      </c>
      <c r="BP32">
        <f t="shared" si="16"/>
        <v>0</v>
      </c>
      <c r="BQ32">
        <f t="shared" si="5"/>
        <v>1</v>
      </c>
      <c r="BR32">
        <f t="shared" si="17"/>
        <v>0</v>
      </c>
      <c r="BS32" s="9">
        <f t="shared" si="18"/>
        <v>0</v>
      </c>
      <c r="BT32" s="9">
        <f t="shared" si="19"/>
        <v>0</v>
      </c>
      <c r="BU32" s="9">
        <f t="shared" si="20"/>
        <v>0</v>
      </c>
      <c r="BV32" s="12">
        <f t="shared" si="21"/>
        <v>0</v>
      </c>
      <c r="BX32" s="12">
        <f t="shared" si="22"/>
        <v>0</v>
      </c>
      <c r="BY32" s="12">
        <f t="shared" si="23"/>
        <v>4.1787788822000996E-3</v>
      </c>
      <c r="CL32" s="17"/>
      <c r="CM32" s="20"/>
      <c r="CN32" s="20"/>
      <c r="CO32" s="20"/>
      <c r="CP32" s="20"/>
      <c r="CQ32" s="20"/>
      <c r="CR32" s="20"/>
      <c r="CS32" s="20"/>
      <c r="CT32" s="20"/>
      <c r="CX32" s="17"/>
    </row>
    <row r="33" spans="1:102" x14ac:dyDescent="0.3">
      <c r="A33" s="1">
        <v>46071</v>
      </c>
      <c r="B33" s="8">
        <v>94.91</v>
      </c>
      <c r="C33" s="8">
        <v>105.1</v>
      </c>
      <c r="D33" s="9">
        <v>1.3706576029584401E-3</v>
      </c>
      <c r="E33" s="9">
        <v>2.7630907008194799E-3</v>
      </c>
      <c r="F33" s="8">
        <v>0</v>
      </c>
      <c r="G33" s="8">
        <v>8.6199999999999999E-2</v>
      </c>
      <c r="H33" s="8">
        <v>0</v>
      </c>
      <c r="I33" s="8">
        <v>0.1074</v>
      </c>
      <c r="J33" s="8">
        <v>8.6199999999999999E-2</v>
      </c>
      <c r="K33" s="8">
        <v>0.1074</v>
      </c>
      <c r="L33" s="8">
        <v>94.996200000000002</v>
      </c>
      <c r="M33" s="8">
        <v>105.207399999999</v>
      </c>
      <c r="N33" s="10">
        <v>1.1073648719839799</v>
      </c>
      <c r="O33" s="10">
        <v>1.1144207265719701</v>
      </c>
      <c r="P33" s="10">
        <v>1.1074198389269301</v>
      </c>
      <c r="Q33" s="10">
        <v>1.10705517264582</v>
      </c>
      <c r="R33" s="8">
        <v>105.769671158946</v>
      </c>
      <c r="S33" s="8">
        <v>105.14403108410499</v>
      </c>
      <c r="T33" s="8">
        <v>105.055482442688</v>
      </c>
      <c r="U33" s="9">
        <v>6.3515384321450701E-3</v>
      </c>
      <c r="V33" s="9">
        <v>4.18856930417296E-4</v>
      </c>
      <c r="W33" s="9">
        <v>-4.2366306564551502E-4</v>
      </c>
      <c r="X33" s="10">
        <v>1.10749061541409</v>
      </c>
      <c r="Y33" s="10">
        <v>1.1140664646848899</v>
      </c>
      <c r="Z33" s="10">
        <v>1.1075467233765901</v>
      </c>
      <c r="AA33" s="10">
        <v>1.10713110292411</v>
      </c>
      <c r="AB33" s="8">
        <v>105.83208069249901</v>
      </c>
      <c r="AC33" s="8">
        <v>105.251557296193</v>
      </c>
      <c r="AD33" s="8">
        <v>105.157512693024</v>
      </c>
      <c r="AE33" s="9">
        <v>5.9200535831688203E-3</v>
      </c>
      <c r="AF33" s="9">
        <v>4.1962858134695198E-4</v>
      </c>
      <c r="AG33" s="9">
        <v>-4.7429304889480301E-4</v>
      </c>
      <c r="AH33" s="12"/>
      <c r="AZ33" s="9"/>
      <c r="BB33">
        <f t="shared" si="6"/>
        <v>0</v>
      </c>
      <c r="BC33">
        <f t="shared" si="7"/>
        <v>1</v>
      </c>
      <c r="BD33">
        <f t="shared" si="8"/>
        <v>0</v>
      </c>
      <c r="BE33">
        <f t="shared" si="4"/>
        <v>1</v>
      </c>
      <c r="BF33">
        <f t="shared" si="9"/>
        <v>0</v>
      </c>
      <c r="BG33" s="9">
        <f t="shared" si="10"/>
        <v>0</v>
      </c>
      <c r="BH33" s="9">
        <f t="shared" si="11"/>
        <v>0</v>
      </c>
      <c r="BI33" s="9">
        <f t="shared" si="12"/>
        <v>0</v>
      </c>
      <c r="BJ33" s="12">
        <f t="shared" si="13"/>
        <v>4.1787788822000996E-3</v>
      </c>
      <c r="BL33" s="9"/>
      <c r="BN33">
        <f t="shared" si="14"/>
        <v>0</v>
      </c>
      <c r="BO33">
        <f t="shared" si="15"/>
        <v>1</v>
      </c>
      <c r="BP33">
        <f t="shared" si="16"/>
        <v>0</v>
      </c>
      <c r="BQ33">
        <f t="shared" si="5"/>
        <v>1</v>
      </c>
      <c r="BR33">
        <f t="shared" si="17"/>
        <v>0</v>
      </c>
      <c r="BS33" s="9">
        <f t="shared" si="18"/>
        <v>0</v>
      </c>
      <c r="BT33" s="9">
        <f t="shared" si="19"/>
        <v>0</v>
      </c>
      <c r="BU33" s="9">
        <f t="shared" si="20"/>
        <v>0</v>
      </c>
      <c r="BV33" s="12">
        <f t="shared" si="21"/>
        <v>0</v>
      </c>
      <c r="BX33" s="12">
        <f t="shared" si="22"/>
        <v>0</v>
      </c>
      <c r="BY33" s="12">
        <f t="shared" si="23"/>
        <v>4.1787788822000996E-3</v>
      </c>
      <c r="CL33" s="17"/>
      <c r="CM33" s="20"/>
      <c r="CN33" s="20"/>
      <c r="CO33" s="20"/>
      <c r="CP33" s="20"/>
      <c r="CQ33" s="20"/>
      <c r="CR33" s="20"/>
      <c r="CS33" s="20"/>
      <c r="CT33" s="20"/>
      <c r="CX33" s="17"/>
    </row>
    <row r="34" spans="1:102" x14ac:dyDescent="0.3">
      <c r="A34" s="1">
        <v>46072</v>
      </c>
      <c r="B34" s="8">
        <v>94.98</v>
      </c>
      <c r="C34" s="8">
        <v>105.26</v>
      </c>
      <c r="D34" s="9">
        <v>7.3726897857510399E-4</v>
      </c>
      <c r="E34" s="9">
        <v>1.52120204272754E-3</v>
      </c>
      <c r="F34" s="8">
        <v>0</v>
      </c>
      <c r="G34" s="8">
        <v>8.6199999999999999E-2</v>
      </c>
      <c r="H34" s="8">
        <v>0</v>
      </c>
      <c r="I34" s="8">
        <v>0.1074</v>
      </c>
      <c r="J34" s="8">
        <v>8.6199999999999999E-2</v>
      </c>
      <c r="K34" s="8">
        <v>0.1074</v>
      </c>
      <c r="L34" s="8">
        <v>95.066199999999995</v>
      </c>
      <c r="M34" s="8">
        <v>105.3674</v>
      </c>
      <c r="N34" s="10">
        <v>1.10823331227626</v>
      </c>
      <c r="O34" s="10">
        <v>1.1144207265719701</v>
      </c>
      <c r="P34" s="10">
        <v>1.1074792438535099</v>
      </c>
      <c r="Q34" s="10">
        <v>1.1072931383448901</v>
      </c>
      <c r="R34" s="8">
        <v>105.84768060980601</v>
      </c>
      <c r="S34" s="8">
        <v>105.18273630128</v>
      </c>
      <c r="T34" s="8">
        <v>105.1481002979</v>
      </c>
      <c r="U34" s="9">
        <v>5.5676053679924401E-3</v>
      </c>
      <c r="V34" s="9">
        <v>-7.3429668849226597E-4</v>
      </c>
      <c r="W34" s="9">
        <v>-1.06364453165758E-3</v>
      </c>
      <c r="X34" s="10">
        <v>1.1083581756712599</v>
      </c>
      <c r="Y34" s="10">
        <v>1.1140664646848899</v>
      </c>
      <c r="Z34" s="10">
        <v>1.1076057815068401</v>
      </c>
      <c r="AA34" s="10">
        <v>1.1073753117929199</v>
      </c>
      <c r="AB34" s="8">
        <v>105.91006534502699</v>
      </c>
      <c r="AC34" s="8">
        <v>105.290258313864</v>
      </c>
      <c r="AD34" s="8">
        <v>105.250746856804</v>
      </c>
      <c r="AE34" s="9">
        <v>5.1370034896794899E-3</v>
      </c>
      <c r="AF34" s="9">
        <v>-7.32389130322694E-4</v>
      </c>
      <c r="AG34" s="9">
        <v>-1.1077217881276301E-3</v>
      </c>
      <c r="AH34" s="12"/>
      <c r="AZ34" s="9"/>
      <c r="BB34">
        <f t="shared" si="6"/>
        <v>0</v>
      </c>
      <c r="BC34">
        <f t="shared" si="7"/>
        <v>1</v>
      </c>
      <c r="BD34">
        <f t="shared" si="8"/>
        <v>0</v>
      </c>
      <c r="BE34">
        <f t="shared" si="4"/>
        <v>1</v>
      </c>
      <c r="BF34">
        <f t="shared" si="9"/>
        <v>0</v>
      </c>
      <c r="BG34" s="9">
        <f t="shared" si="10"/>
        <v>0</v>
      </c>
      <c r="BH34" s="9">
        <f t="shared" si="11"/>
        <v>0</v>
      </c>
      <c r="BI34" s="9">
        <f t="shared" si="12"/>
        <v>0</v>
      </c>
      <c r="BJ34" s="12">
        <f t="shared" si="13"/>
        <v>4.1787788822000996E-3</v>
      </c>
      <c r="BL34" s="9"/>
      <c r="BN34">
        <f t="shared" si="14"/>
        <v>0</v>
      </c>
      <c r="BO34">
        <f t="shared" si="15"/>
        <v>1</v>
      </c>
      <c r="BP34">
        <f t="shared" si="16"/>
        <v>0</v>
      </c>
      <c r="BQ34">
        <f t="shared" si="5"/>
        <v>1</v>
      </c>
      <c r="BR34">
        <f t="shared" si="17"/>
        <v>0</v>
      </c>
      <c r="BS34" s="9">
        <f t="shared" si="18"/>
        <v>0</v>
      </c>
      <c r="BT34" s="9">
        <f t="shared" si="19"/>
        <v>0</v>
      </c>
      <c r="BU34" s="9">
        <f t="shared" si="20"/>
        <v>0</v>
      </c>
      <c r="BV34" s="12">
        <f t="shared" si="21"/>
        <v>0</v>
      </c>
      <c r="BX34" s="12">
        <f t="shared" si="22"/>
        <v>0</v>
      </c>
      <c r="BY34" s="12">
        <f t="shared" si="23"/>
        <v>4.1787788822000996E-3</v>
      </c>
    </row>
    <row r="35" spans="1:102" x14ac:dyDescent="0.3">
      <c r="A35" s="1">
        <v>46073</v>
      </c>
      <c r="B35" s="8">
        <v>94.64</v>
      </c>
      <c r="C35" s="8">
        <v>105.05</v>
      </c>
      <c r="D35" s="9">
        <v>-3.5861234508444799E-3</v>
      </c>
      <c r="E35" s="9">
        <v>-1.99705263462352E-3</v>
      </c>
      <c r="F35" s="8">
        <v>0</v>
      </c>
      <c r="G35" s="8">
        <v>8.6199999999999999E-2</v>
      </c>
      <c r="H35" s="8">
        <v>0</v>
      </c>
      <c r="I35" s="8">
        <v>0.1074</v>
      </c>
      <c r="J35" s="8">
        <v>8.6199999999999999E-2</v>
      </c>
      <c r="K35" s="8">
        <v>0.1074</v>
      </c>
      <c r="L35" s="8">
        <v>94.726200000000006</v>
      </c>
      <c r="M35" s="8">
        <v>105.1574</v>
      </c>
      <c r="N35" s="10">
        <v>1.10999577345731</v>
      </c>
      <c r="O35" s="10">
        <v>1.1144207265719701</v>
      </c>
      <c r="P35" s="10">
        <v>1.1074882448240499</v>
      </c>
      <c r="Q35" s="10">
        <v>1.1076400932245001</v>
      </c>
      <c r="R35" s="8">
        <v>105.468777562771</v>
      </c>
      <c r="S35" s="8">
        <v>104.811835638296</v>
      </c>
      <c r="T35" s="8">
        <v>104.79422261296</v>
      </c>
      <c r="U35" s="9">
        <v>3.9785345517714503E-3</v>
      </c>
      <c r="V35" s="9">
        <v>-2.2697263008695399E-3</v>
      </c>
      <c r="W35" s="9">
        <v>-2.4377846625839202E-3</v>
      </c>
      <c r="X35" s="10">
        <v>1.1101194811994901</v>
      </c>
      <c r="Y35" s="10">
        <v>1.1140664646848899</v>
      </c>
      <c r="Z35" s="10">
        <v>1.1076143162390399</v>
      </c>
      <c r="AA35" s="10">
        <v>1.10772845205965</v>
      </c>
      <c r="AB35" s="8">
        <v>105.531282747034</v>
      </c>
      <c r="AC35" s="8">
        <v>104.919286780173</v>
      </c>
      <c r="AD35" s="8">
        <v>104.897455259959</v>
      </c>
      <c r="AE35" s="9">
        <v>3.5491525660194399E-3</v>
      </c>
      <c r="AF35" s="9">
        <v>-2.2669180997298998E-3</v>
      </c>
      <c r="AG35" s="9">
        <v>-2.4750189412661799E-3</v>
      </c>
      <c r="AH35" s="12"/>
      <c r="AZ35" s="9"/>
      <c r="BB35">
        <f t="shared" si="6"/>
        <v>0</v>
      </c>
      <c r="BC35">
        <f t="shared" si="7"/>
        <v>1</v>
      </c>
      <c r="BD35">
        <f t="shared" si="8"/>
        <v>0</v>
      </c>
      <c r="BE35">
        <f t="shared" si="4"/>
        <v>1</v>
      </c>
      <c r="BF35">
        <f t="shared" si="9"/>
        <v>0</v>
      </c>
      <c r="BG35" s="9">
        <f t="shared" si="10"/>
        <v>0</v>
      </c>
      <c r="BH35" s="9">
        <f t="shared" si="11"/>
        <v>0</v>
      </c>
      <c r="BI35" s="9">
        <f t="shared" si="12"/>
        <v>0</v>
      </c>
      <c r="BJ35" s="12">
        <f t="shared" si="13"/>
        <v>4.1787788822000996E-3</v>
      </c>
      <c r="BL35" s="9"/>
      <c r="BN35">
        <f t="shared" si="14"/>
        <v>0</v>
      </c>
      <c r="BO35">
        <f t="shared" si="15"/>
        <v>1</v>
      </c>
      <c r="BP35">
        <f t="shared" si="16"/>
        <v>0</v>
      </c>
      <c r="BQ35">
        <f t="shared" si="5"/>
        <v>1</v>
      </c>
      <c r="BR35">
        <f t="shared" si="17"/>
        <v>0</v>
      </c>
      <c r="BS35" s="9">
        <f t="shared" si="18"/>
        <v>0</v>
      </c>
      <c r="BT35" s="9">
        <f t="shared" si="19"/>
        <v>0</v>
      </c>
      <c r="BU35" s="9">
        <f t="shared" si="20"/>
        <v>0</v>
      </c>
      <c r="BV35" s="12">
        <f t="shared" si="21"/>
        <v>0</v>
      </c>
      <c r="BX35" s="12">
        <f t="shared" si="22"/>
        <v>0</v>
      </c>
      <c r="BY35" s="12">
        <f t="shared" si="23"/>
        <v>4.1787788822000996E-3</v>
      </c>
    </row>
    <row r="36" spans="1:102" x14ac:dyDescent="0.3">
      <c r="A36" s="1">
        <v>46076</v>
      </c>
      <c r="B36" s="8">
        <v>94.13</v>
      </c>
      <c r="C36" s="8">
        <v>104.37</v>
      </c>
      <c r="D36" s="9">
        <v>-5.4034141110024898E-3</v>
      </c>
      <c r="E36" s="9">
        <v>-6.4941494590490404E-3</v>
      </c>
      <c r="F36" s="8">
        <v>0</v>
      </c>
      <c r="G36" s="8">
        <v>8.6199999999999999E-2</v>
      </c>
      <c r="H36" s="8">
        <v>0</v>
      </c>
      <c r="I36" s="8">
        <v>0.1074</v>
      </c>
      <c r="J36" s="8">
        <v>8.6199999999999999E-2</v>
      </c>
      <c r="K36" s="8">
        <v>0.1074</v>
      </c>
      <c r="L36" s="8">
        <v>94.216200000000001</v>
      </c>
      <c r="M36" s="8">
        <v>104.4774</v>
      </c>
      <c r="N36" s="10">
        <v>1.108785721874</v>
      </c>
      <c r="O36" s="10">
        <v>1.1144207265719701</v>
      </c>
      <c r="P36" s="10">
        <v>1.1072332353190599</v>
      </c>
      <c r="Q36" s="10">
        <v>1.1078125777418899</v>
      </c>
      <c r="R36" s="8">
        <v>104.90042299222</v>
      </c>
      <c r="S36" s="8">
        <v>104.247868485288</v>
      </c>
      <c r="T36" s="8">
        <v>104.262161975222</v>
      </c>
      <c r="U36" s="9">
        <v>5.0692698998179801E-3</v>
      </c>
      <c r="V36" s="9">
        <v>-1.1708635463621401E-3</v>
      </c>
      <c r="W36" s="9">
        <v>-1.03376232465588E-3</v>
      </c>
      <c r="X36" s="10">
        <v>1.10891120635304</v>
      </c>
      <c r="Y36" s="10">
        <v>1.1140664646848899</v>
      </c>
      <c r="Z36" s="10">
        <v>1.10735951647348</v>
      </c>
      <c r="AA36" s="10">
        <v>1.10790721080099</v>
      </c>
      <c r="AB36" s="8">
        <v>104.96310885004399</v>
      </c>
      <c r="AC36" s="8">
        <v>104.355211941641</v>
      </c>
      <c r="AD36" s="8">
        <v>104.365965384942</v>
      </c>
      <c r="AE36" s="9">
        <v>4.6381640633740197E-3</v>
      </c>
      <c r="AF36" s="9">
        <v>-1.1702010635804101E-3</v>
      </c>
      <c r="AG36" s="9">
        <v>-1.06715983462142E-3</v>
      </c>
      <c r="AH36" s="12"/>
      <c r="AZ36" s="9"/>
      <c r="BB36">
        <f t="shared" si="6"/>
        <v>0</v>
      </c>
      <c r="BC36">
        <f t="shared" si="7"/>
        <v>1</v>
      </c>
      <c r="BD36">
        <f t="shared" si="8"/>
        <v>0</v>
      </c>
      <c r="BE36">
        <f t="shared" si="4"/>
        <v>1</v>
      </c>
      <c r="BF36">
        <f t="shared" si="9"/>
        <v>0</v>
      </c>
      <c r="BG36" s="9">
        <f t="shared" si="10"/>
        <v>0</v>
      </c>
      <c r="BH36" s="9">
        <f t="shared" si="11"/>
        <v>0</v>
      </c>
      <c r="BI36" s="9">
        <f t="shared" si="12"/>
        <v>0</v>
      </c>
      <c r="BJ36" s="12">
        <f t="shared" si="13"/>
        <v>4.1787788822000996E-3</v>
      </c>
      <c r="BL36" s="9"/>
      <c r="BN36">
        <f t="shared" si="14"/>
        <v>0</v>
      </c>
      <c r="BO36">
        <f t="shared" si="15"/>
        <v>1</v>
      </c>
      <c r="BP36">
        <f t="shared" si="16"/>
        <v>0</v>
      </c>
      <c r="BQ36">
        <f t="shared" si="5"/>
        <v>1</v>
      </c>
      <c r="BR36">
        <f t="shared" si="17"/>
        <v>0</v>
      </c>
      <c r="BS36" s="9">
        <f t="shared" si="18"/>
        <v>0</v>
      </c>
      <c r="BT36" s="9">
        <f t="shared" si="19"/>
        <v>0</v>
      </c>
      <c r="BU36" s="9">
        <f t="shared" si="20"/>
        <v>0</v>
      </c>
      <c r="BV36" s="12">
        <f t="shared" si="21"/>
        <v>0</v>
      </c>
      <c r="BX36" s="12">
        <f t="shared" si="22"/>
        <v>0</v>
      </c>
      <c r="BY36" s="12">
        <f t="shared" si="23"/>
        <v>4.1787788822000996E-3</v>
      </c>
    </row>
    <row r="37" spans="1:102" x14ac:dyDescent="0.3">
      <c r="A37" s="1">
        <v>46077</v>
      </c>
      <c r="B37" s="8">
        <v>94.91</v>
      </c>
      <c r="C37" s="8">
        <v>104.9</v>
      </c>
      <c r="D37" s="9">
        <v>8.2522685832720297E-3</v>
      </c>
      <c r="E37" s="9">
        <v>5.0652375702911296E-3</v>
      </c>
      <c r="F37" s="8">
        <v>0</v>
      </c>
      <c r="G37" s="8">
        <v>8.6199999999999999E-2</v>
      </c>
      <c r="H37" s="8">
        <v>0</v>
      </c>
      <c r="I37" s="8">
        <v>0.1074</v>
      </c>
      <c r="J37" s="8">
        <v>8.6199999999999999E-2</v>
      </c>
      <c r="K37" s="8">
        <v>0.1074</v>
      </c>
      <c r="L37" s="8">
        <v>94.996200000000002</v>
      </c>
      <c r="M37" s="8">
        <v>105.0074</v>
      </c>
      <c r="N37" s="10">
        <v>1.10525761247497</v>
      </c>
      <c r="O37" s="10">
        <v>1.1144207265719701</v>
      </c>
      <c r="P37" s="10">
        <v>1.10707703487428</v>
      </c>
      <c r="Q37" s="10">
        <v>1.10777129614579</v>
      </c>
      <c r="R37" s="8">
        <v>105.769671158946</v>
      </c>
      <c r="S37" s="8">
        <v>105.087506364132</v>
      </c>
      <c r="T37" s="8">
        <v>105.142491753483</v>
      </c>
      <c r="U37" s="9">
        <v>8.2563009127988099E-3</v>
      </c>
      <c r="V37" s="9">
        <v>1.7858816194796601E-3</v>
      </c>
      <c r="W37" s="9">
        <v>2.3089790945967099E-3</v>
      </c>
      <c r="X37" s="10">
        <v>1.1053852680423</v>
      </c>
      <c r="Y37" s="10">
        <v>1.1140664646848899</v>
      </c>
      <c r="Z37" s="10">
        <v>1.1072034723664499</v>
      </c>
      <c r="AA37" s="10">
        <v>1.1078723119832501</v>
      </c>
      <c r="AB37" s="8">
        <v>105.83208069249901</v>
      </c>
      <c r="AC37" s="8">
        <v>105.19494609881799</v>
      </c>
      <c r="AD37" s="8">
        <v>105.246974978693</v>
      </c>
      <c r="AE37" s="9">
        <v>7.82286975353488E-3</v>
      </c>
      <c r="AF37" s="9">
        <v>1.78443439918255E-3</v>
      </c>
      <c r="AG37" s="9">
        <v>2.27890698970416E-3</v>
      </c>
      <c r="AH37" s="12"/>
      <c r="AZ37" s="9"/>
      <c r="BB37">
        <f t="shared" si="6"/>
        <v>0</v>
      </c>
      <c r="BC37">
        <f t="shared" si="7"/>
        <v>1</v>
      </c>
      <c r="BD37">
        <f t="shared" si="8"/>
        <v>0</v>
      </c>
      <c r="BE37">
        <f t="shared" si="4"/>
        <v>1</v>
      </c>
      <c r="BF37">
        <f t="shared" si="9"/>
        <v>0</v>
      </c>
      <c r="BG37" s="9">
        <f t="shared" si="10"/>
        <v>0</v>
      </c>
      <c r="BH37" s="9">
        <f t="shared" si="11"/>
        <v>0</v>
      </c>
      <c r="BI37" s="9">
        <f t="shared" si="12"/>
        <v>0</v>
      </c>
      <c r="BJ37" s="12">
        <f t="shared" si="13"/>
        <v>4.1787788822000996E-3</v>
      </c>
      <c r="BL37" s="9"/>
      <c r="BN37">
        <f t="shared" si="14"/>
        <v>0</v>
      </c>
      <c r="BO37">
        <f t="shared" si="15"/>
        <v>0</v>
      </c>
      <c r="BP37">
        <f t="shared" si="16"/>
        <v>0</v>
      </c>
      <c r="BQ37">
        <f t="shared" si="5"/>
        <v>1</v>
      </c>
      <c r="BR37">
        <f t="shared" si="17"/>
        <v>0</v>
      </c>
      <c r="BS37" s="9">
        <f t="shared" si="18"/>
        <v>0</v>
      </c>
      <c r="BT37" s="9">
        <f t="shared" si="19"/>
        <v>0</v>
      </c>
      <c r="BU37" s="9">
        <f t="shared" si="20"/>
        <v>0</v>
      </c>
      <c r="BV37" s="12">
        <f t="shared" si="21"/>
        <v>0</v>
      </c>
      <c r="BX37" s="12">
        <f t="shared" si="22"/>
        <v>0</v>
      </c>
      <c r="BY37" s="12">
        <f t="shared" si="23"/>
        <v>4.1787788822000996E-3</v>
      </c>
    </row>
    <row r="38" spans="1:102" x14ac:dyDescent="0.3">
      <c r="A38" s="1">
        <v>46078</v>
      </c>
      <c r="B38" s="8">
        <v>95.62</v>
      </c>
      <c r="C38" s="8">
        <v>105.69</v>
      </c>
      <c r="D38" s="9">
        <v>7.4529290555566102E-3</v>
      </c>
      <c r="E38" s="9">
        <v>7.5027656190043302E-3</v>
      </c>
      <c r="F38" s="8">
        <v>0</v>
      </c>
      <c r="G38" s="8">
        <v>8.6199999999999999E-2</v>
      </c>
      <c r="H38" s="8">
        <v>0</v>
      </c>
      <c r="I38" s="8">
        <v>0.1074</v>
      </c>
      <c r="J38" s="8">
        <v>8.6199999999999999E-2</v>
      </c>
      <c r="K38" s="8">
        <v>0.1074</v>
      </c>
      <c r="L38" s="8">
        <v>95.706199999999995</v>
      </c>
      <c r="M38" s="8">
        <v>105.7974</v>
      </c>
      <c r="N38" s="10">
        <v>1.1053126960886801</v>
      </c>
      <c r="O38" s="10">
        <v>1.1144207265719701</v>
      </c>
      <c r="P38" s="10">
        <v>1.1069412149388</v>
      </c>
      <c r="Q38" s="10">
        <v>1.1077213688387499</v>
      </c>
      <c r="R38" s="8">
        <v>106.560909874812</v>
      </c>
      <c r="S38" s="8">
        <v>105.85870607467901</v>
      </c>
      <c r="T38" s="8">
        <v>105.92509133746</v>
      </c>
      <c r="U38" s="9">
        <v>8.2064643493509806E-3</v>
      </c>
      <c r="V38" s="9">
        <v>1.5949623476692501E-3</v>
      </c>
      <c r="W38" s="9">
        <v>2.2218777752593499E-3</v>
      </c>
      <c r="X38" s="10">
        <v>1.1054393550261099</v>
      </c>
      <c r="Y38" s="10">
        <v>1.1140664646848899</v>
      </c>
      <c r="Z38" s="10">
        <v>1.1070676382965601</v>
      </c>
      <c r="AA38" s="10">
        <v>1.1078287176230801</v>
      </c>
      <c r="AB38" s="8">
        <v>106.623067882425</v>
      </c>
      <c r="AC38" s="8">
        <v>105.966236966998</v>
      </c>
      <c r="AD38" s="8">
        <v>106.030249065131</v>
      </c>
      <c r="AE38" s="9">
        <v>7.7739405139591704E-3</v>
      </c>
      <c r="AF38" s="9">
        <v>1.5945797417526301E-3</v>
      </c>
      <c r="AG38" s="9">
        <v>2.19847748813954E-3</v>
      </c>
      <c r="AH38" s="12"/>
      <c r="AZ38" s="9"/>
      <c r="BB38">
        <f t="shared" si="6"/>
        <v>0</v>
      </c>
      <c r="BC38">
        <f t="shared" si="7"/>
        <v>1</v>
      </c>
      <c r="BD38">
        <f t="shared" si="8"/>
        <v>0</v>
      </c>
      <c r="BE38">
        <f t="shared" si="4"/>
        <v>1</v>
      </c>
      <c r="BF38">
        <f t="shared" si="9"/>
        <v>0</v>
      </c>
      <c r="BG38" s="9">
        <f t="shared" si="10"/>
        <v>0</v>
      </c>
      <c r="BH38" s="9">
        <f t="shared" si="11"/>
        <v>0</v>
      </c>
      <c r="BI38" s="9">
        <f t="shared" si="12"/>
        <v>0</v>
      </c>
      <c r="BJ38" s="12">
        <f t="shared" si="13"/>
        <v>4.1787788822000996E-3</v>
      </c>
      <c r="BL38" s="9"/>
      <c r="BN38">
        <f t="shared" si="14"/>
        <v>0</v>
      </c>
      <c r="BO38">
        <f t="shared" si="15"/>
        <v>0</v>
      </c>
      <c r="BP38">
        <f t="shared" si="16"/>
        <v>0</v>
      </c>
      <c r="BQ38">
        <f t="shared" si="5"/>
        <v>1</v>
      </c>
      <c r="BR38">
        <f t="shared" si="17"/>
        <v>0</v>
      </c>
      <c r="BS38" s="9">
        <f t="shared" si="18"/>
        <v>0</v>
      </c>
      <c r="BT38" s="9">
        <f t="shared" si="19"/>
        <v>0</v>
      </c>
      <c r="BU38" s="9">
        <f t="shared" si="20"/>
        <v>0</v>
      </c>
      <c r="BV38" s="12">
        <f t="shared" si="21"/>
        <v>0</v>
      </c>
      <c r="BX38" s="12">
        <f t="shared" si="22"/>
        <v>0</v>
      </c>
      <c r="BY38" s="12">
        <f t="shared" si="23"/>
        <v>4.1787788822000996E-3</v>
      </c>
    </row>
    <row r="39" spans="1:102" x14ac:dyDescent="0.3">
      <c r="A39" s="1">
        <v>46079</v>
      </c>
      <c r="B39" s="8">
        <v>95.07</v>
      </c>
      <c r="C39" s="8">
        <v>105.39</v>
      </c>
      <c r="D39" s="9">
        <v>-5.7685408270183999E-3</v>
      </c>
      <c r="E39" s="9">
        <v>-2.8425260754105998E-3</v>
      </c>
      <c r="F39" s="8">
        <v>0</v>
      </c>
      <c r="G39" s="8">
        <v>8.6199999999999999E-2</v>
      </c>
      <c r="H39" s="8">
        <v>0</v>
      </c>
      <c r="I39" s="8">
        <v>0.1074</v>
      </c>
      <c r="J39" s="8">
        <v>8.6199999999999999E-2</v>
      </c>
      <c r="K39" s="8">
        <v>0.1074</v>
      </c>
      <c r="L39" s="8">
        <v>95.156199999999998</v>
      </c>
      <c r="M39" s="8">
        <v>105.4974</v>
      </c>
      <c r="N39" s="10">
        <v>1.10855159356263</v>
      </c>
      <c r="O39" s="10">
        <v>1.1144207265719701</v>
      </c>
      <c r="P39" s="10">
        <v>1.10732018381887</v>
      </c>
      <c r="Q39" s="10">
        <v>1.1078319110155701</v>
      </c>
      <c r="R39" s="8">
        <v>105.947978475197</v>
      </c>
      <c r="S39" s="8">
        <v>105.23690130423201</v>
      </c>
      <c r="T39" s="8">
        <v>105.31107053549999</v>
      </c>
      <c r="U39" s="9">
        <v>5.2804495977431696E-3</v>
      </c>
      <c r="V39" s="9">
        <v>-1.4537432947317301E-3</v>
      </c>
      <c r="W39" s="9">
        <v>-7.4920804143233002E-4</v>
      </c>
      <c r="X39" s="10">
        <v>1.1086760505358499</v>
      </c>
      <c r="Y39" s="10">
        <v>1.1140664646848899</v>
      </c>
      <c r="Z39" s="10">
        <v>1.10744618680702</v>
      </c>
      <c r="AA39" s="10">
        <v>1.10794548264857</v>
      </c>
      <c r="AB39" s="8">
        <v>106.010331326848</v>
      </c>
      <c r="AC39" s="8">
        <v>105.344349603276</v>
      </c>
      <c r="AD39" s="8">
        <v>105.416771019885</v>
      </c>
      <c r="AE39" s="9">
        <v>4.8502466475814198E-3</v>
      </c>
      <c r="AF39" s="9">
        <v>-1.4518037712592199E-3</v>
      </c>
      <c r="AG39" s="9">
        <v>-7.6456677758478698E-4</v>
      </c>
      <c r="AH39" s="12"/>
      <c r="AZ39" s="9"/>
      <c r="BB39">
        <f t="shared" si="6"/>
        <v>0</v>
      </c>
      <c r="BC39">
        <f t="shared" si="7"/>
        <v>1</v>
      </c>
      <c r="BD39">
        <f t="shared" si="8"/>
        <v>0</v>
      </c>
      <c r="BE39">
        <f t="shared" si="4"/>
        <v>1</v>
      </c>
      <c r="BF39">
        <f t="shared" si="9"/>
        <v>0</v>
      </c>
      <c r="BG39" s="9">
        <f t="shared" si="10"/>
        <v>0</v>
      </c>
      <c r="BH39" s="9">
        <f t="shared" si="11"/>
        <v>0</v>
      </c>
      <c r="BI39" s="9">
        <f t="shared" si="12"/>
        <v>0</v>
      </c>
      <c r="BJ39" s="12">
        <f t="shared" si="13"/>
        <v>4.1787788822000996E-3</v>
      </c>
      <c r="BL39" s="9"/>
      <c r="BN39">
        <f t="shared" si="14"/>
        <v>0</v>
      </c>
      <c r="BO39">
        <f t="shared" si="15"/>
        <v>1</v>
      </c>
      <c r="BP39">
        <f t="shared" si="16"/>
        <v>0</v>
      </c>
      <c r="BQ39">
        <f t="shared" si="5"/>
        <v>1</v>
      </c>
      <c r="BR39">
        <f t="shared" si="17"/>
        <v>0</v>
      </c>
      <c r="BS39" s="9">
        <f t="shared" si="18"/>
        <v>0</v>
      </c>
      <c r="BT39" s="9">
        <f t="shared" si="19"/>
        <v>0</v>
      </c>
      <c r="BU39" s="9">
        <f t="shared" si="20"/>
        <v>0</v>
      </c>
      <c r="BV39" s="12">
        <f t="shared" si="21"/>
        <v>0</v>
      </c>
      <c r="BX39" s="12">
        <f t="shared" si="22"/>
        <v>0</v>
      </c>
      <c r="BY39" s="12">
        <f t="shared" si="23"/>
        <v>4.1787788822000996E-3</v>
      </c>
    </row>
    <row r="40" spans="1:102" x14ac:dyDescent="0.3">
      <c r="A40" s="1">
        <v>46080</v>
      </c>
      <c r="B40" s="8">
        <v>94.38</v>
      </c>
      <c r="C40" s="8">
        <v>104.78</v>
      </c>
      <c r="D40" s="9">
        <v>-7.2842760726976102E-3</v>
      </c>
      <c r="E40" s="9">
        <v>-5.8048409657716999E-3</v>
      </c>
      <c r="F40" s="8">
        <v>0</v>
      </c>
      <c r="G40" s="8">
        <v>8.6199999999999999E-2</v>
      </c>
      <c r="H40" s="8">
        <v>0</v>
      </c>
      <c r="I40" s="8">
        <v>0.1074</v>
      </c>
      <c r="J40" s="8">
        <v>8.6199999999999999E-2</v>
      </c>
      <c r="K40" s="8">
        <v>0.1074</v>
      </c>
      <c r="L40" s="8">
        <v>94.466200000000001</v>
      </c>
      <c r="M40" s="8">
        <v>104.8874</v>
      </c>
      <c r="N40" s="10">
        <v>1.1101928374655601</v>
      </c>
      <c r="O40" s="10">
        <v>1.1144207265719701</v>
      </c>
      <c r="P40" s="10">
        <v>1.1077655137798901</v>
      </c>
      <c r="Q40" s="10">
        <v>1.1079313018869501</v>
      </c>
      <c r="R40" s="8">
        <v>105.179028173863</v>
      </c>
      <c r="S40" s="8">
        <v>104.508878948825</v>
      </c>
      <c r="T40" s="8">
        <v>104.55717576165</v>
      </c>
      <c r="U40" s="9">
        <v>3.8010144908173999E-3</v>
      </c>
      <c r="V40" s="9">
        <v>-2.5908801671436698E-3</v>
      </c>
      <c r="W40" s="9">
        <v>-2.1288557246723198E-3</v>
      </c>
      <c r="X40" s="10">
        <v>1.1103167058693999</v>
      </c>
      <c r="Y40" s="10">
        <v>1.1140664646848899</v>
      </c>
      <c r="Z40" s="10">
        <v>1.10789104643777</v>
      </c>
      <c r="AA40" s="10">
        <v>1.10805106694014</v>
      </c>
      <c r="AB40" s="8">
        <v>105.24162546621599</v>
      </c>
      <c r="AC40" s="8">
        <v>104.61623297214901</v>
      </c>
      <c r="AD40" s="8">
        <v>104.663399552976</v>
      </c>
      <c r="AE40" s="9">
        <v>3.3715075865606899E-3</v>
      </c>
      <c r="AF40" s="9">
        <v>-2.5886632649913801E-3</v>
      </c>
      <c r="AG40" s="9">
        <v>-2.1379115023228202E-3</v>
      </c>
      <c r="AH40" s="12"/>
      <c r="AZ40" s="9"/>
      <c r="BB40">
        <f t="shared" si="6"/>
        <v>0</v>
      </c>
      <c r="BC40">
        <f t="shared" si="7"/>
        <v>1</v>
      </c>
      <c r="BD40">
        <f t="shared" si="8"/>
        <v>0</v>
      </c>
      <c r="BE40">
        <f t="shared" si="4"/>
        <v>0</v>
      </c>
      <c r="BF40">
        <f t="shared" si="9"/>
        <v>0</v>
      </c>
      <c r="BG40" s="9">
        <f t="shared" si="10"/>
        <v>0</v>
      </c>
      <c r="BH40" s="9">
        <f t="shared" si="11"/>
        <v>0</v>
      </c>
      <c r="BI40" s="9">
        <f t="shared" si="12"/>
        <v>0</v>
      </c>
      <c r="BJ40" s="12">
        <f t="shared" si="13"/>
        <v>4.1787788822000996E-3</v>
      </c>
      <c r="BL40" s="9"/>
      <c r="BN40">
        <f t="shared" si="14"/>
        <v>0</v>
      </c>
      <c r="BO40">
        <f t="shared" si="15"/>
        <v>1</v>
      </c>
      <c r="BP40">
        <f t="shared" si="16"/>
        <v>0</v>
      </c>
      <c r="BQ40">
        <f t="shared" si="5"/>
        <v>0</v>
      </c>
      <c r="BR40">
        <f t="shared" si="17"/>
        <v>0</v>
      </c>
      <c r="BS40" s="9">
        <f t="shared" si="18"/>
        <v>0</v>
      </c>
      <c r="BT40" s="9">
        <f t="shared" si="19"/>
        <v>0</v>
      </c>
      <c r="BU40" s="9">
        <f t="shared" si="20"/>
        <v>0</v>
      </c>
      <c r="BV40" s="12">
        <f t="shared" si="21"/>
        <v>0</v>
      </c>
      <c r="BX40" s="12">
        <f t="shared" si="22"/>
        <v>0</v>
      </c>
      <c r="BY40" s="12">
        <f t="shared" si="23"/>
        <v>4.1787788822000996E-3</v>
      </c>
    </row>
    <row r="41" spans="1:102" x14ac:dyDescent="0.3">
      <c r="A41" s="1">
        <v>46083</v>
      </c>
      <c r="B41" s="8">
        <v>94.74</v>
      </c>
      <c r="C41" s="8">
        <v>105.61</v>
      </c>
      <c r="D41" s="9">
        <v>3.8071111973643299E-3</v>
      </c>
      <c r="E41" s="9">
        <v>7.8901497783093692E-3</v>
      </c>
      <c r="F41" s="8">
        <v>0.14649999999999999</v>
      </c>
      <c r="G41" s="8">
        <v>0.23269999999999999</v>
      </c>
      <c r="H41" s="8">
        <v>0.12970000000000001</v>
      </c>
      <c r="I41" s="8">
        <v>0.23710000000000001</v>
      </c>
      <c r="J41" s="8">
        <v>0.23269999999999999</v>
      </c>
      <c r="K41" s="8">
        <v>0.23710000000000001</v>
      </c>
      <c r="L41" s="8">
        <v>94.972699999999904</v>
      </c>
      <c r="M41" s="8">
        <v>105.8471</v>
      </c>
      <c r="N41" s="10">
        <v>1.11473506438674</v>
      </c>
      <c r="O41" s="10">
        <v>1.1144207265719701</v>
      </c>
      <c r="P41" s="10">
        <v>1.1084253497075101</v>
      </c>
      <c r="Q41" s="10">
        <v>1.1082504962197799</v>
      </c>
      <c r="R41" s="8">
        <v>105.580219635429</v>
      </c>
      <c r="S41" s="8">
        <v>104.949704775507</v>
      </c>
      <c r="T41" s="8">
        <v>104.96541154077001</v>
      </c>
      <c r="U41" s="9">
        <v>-2.8202409012792099E-4</v>
      </c>
      <c r="V41" s="9">
        <v>-6.27183049705688E-3</v>
      </c>
      <c r="W41" s="9">
        <v>-6.1221817669601299E-3</v>
      </c>
      <c r="X41" s="10">
        <v>1.11450027218348</v>
      </c>
      <c r="Y41" s="10">
        <v>1.1140664646848899</v>
      </c>
      <c r="Z41" s="10">
        <v>1.1085148459641001</v>
      </c>
      <c r="AA41" s="10">
        <v>1.1083585216628</v>
      </c>
      <c r="AB41" s="8">
        <v>105.805900130578</v>
      </c>
      <c r="AC41" s="8">
        <v>105.21940398602</v>
      </c>
      <c r="AD41" s="8">
        <v>105.234601565186</v>
      </c>
      <c r="AE41" s="9">
        <v>-3.8931524633214597E-4</v>
      </c>
      <c r="AF41" s="9">
        <v>-5.9478681138984404E-3</v>
      </c>
      <c r="AG41" s="9">
        <v>-5.8034415048443897E-3</v>
      </c>
      <c r="AH41" s="12"/>
      <c r="AZ41" s="9"/>
      <c r="BB41">
        <f t="shared" si="6"/>
        <v>1</v>
      </c>
      <c r="BC41">
        <f t="shared" si="7"/>
        <v>0</v>
      </c>
      <c r="BD41">
        <f t="shared" si="8"/>
        <v>0</v>
      </c>
      <c r="BE41">
        <f t="shared" si="4"/>
        <v>1</v>
      </c>
      <c r="BF41">
        <f t="shared" si="9"/>
        <v>0</v>
      </c>
      <c r="BG41" s="9">
        <f t="shared" si="10"/>
        <v>0</v>
      </c>
      <c r="BH41" s="9">
        <f t="shared" si="11"/>
        <v>0</v>
      </c>
      <c r="BI41" s="9">
        <f t="shared" si="12"/>
        <v>0</v>
      </c>
      <c r="BJ41" s="12">
        <f t="shared" si="13"/>
        <v>4.1787788822000996E-3</v>
      </c>
      <c r="BL41" s="9"/>
      <c r="BN41">
        <f t="shared" si="14"/>
        <v>0</v>
      </c>
      <c r="BO41">
        <f t="shared" si="15"/>
        <v>1</v>
      </c>
      <c r="BP41">
        <f t="shared" si="16"/>
        <v>0</v>
      </c>
      <c r="BQ41">
        <f t="shared" si="5"/>
        <v>1</v>
      </c>
      <c r="BR41">
        <f t="shared" si="17"/>
        <v>0</v>
      </c>
      <c r="BS41" s="9">
        <f t="shared" si="18"/>
        <v>0</v>
      </c>
      <c r="BT41" s="9">
        <f t="shared" si="19"/>
        <v>0</v>
      </c>
      <c r="BU41" s="9">
        <f t="shared" si="20"/>
        <v>0</v>
      </c>
      <c r="BV41" s="12">
        <f t="shared" si="21"/>
        <v>0</v>
      </c>
      <c r="BX41" s="12">
        <f t="shared" si="22"/>
        <v>0</v>
      </c>
      <c r="BY41" s="12">
        <f t="shared" si="23"/>
        <v>4.1787788822000996E-3</v>
      </c>
    </row>
    <row r="42" spans="1:102" x14ac:dyDescent="0.3">
      <c r="A42" s="1">
        <v>46084</v>
      </c>
      <c r="B42" s="8">
        <v>93.08</v>
      </c>
      <c r="C42" s="8">
        <v>103.31</v>
      </c>
      <c r="D42" s="9">
        <v>-1.7676959061514699E-2</v>
      </c>
      <c r="E42" s="9">
        <v>-2.2018886897029001E-2</v>
      </c>
      <c r="F42" s="8">
        <v>0</v>
      </c>
      <c r="G42" s="8">
        <v>0.23269999999999999</v>
      </c>
      <c r="H42" s="8">
        <v>0</v>
      </c>
      <c r="I42" s="8">
        <v>0.23710000000000001</v>
      </c>
      <c r="J42" s="8">
        <v>0.23269999999999999</v>
      </c>
      <c r="K42" s="8">
        <v>0.23710000000000001</v>
      </c>
      <c r="L42" s="8">
        <v>93.312699999999893</v>
      </c>
      <c r="M42" s="8">
        <v>103.5471</v>
      </c>
      <c r="N42" s="10">
        <v>1.1099054576708201</v>
      </c>
      <c r="O42" s="10">
        <v>1.1144207265719701</v>
      </c>
      <c r="P42" s="10">
        <v>1.10883349412409</v>
      </c>
      <c r="Q42" s="10">
        <v>1.1083311453557201</v>
      </c>
      <c r="R42" s="8">
        <v>103.730281229319</v>
      </c>
      <c r="S42" s="8">
        <v>103.172231550775</v>
      </c>
      <c r="T42" s="8">
        <v>103.155956188137</v>
      </c>
      <c r="U42" s="9">
        <v>4.0599037453865E-3</v>
      </c>
      <c r="V42" s="9">
        <v>-1.3344341412216301E-3</v>
      </c>
      <c r="W42" s="9">
        <v>-1.4921960335717199E-3</v>
      </c>
      <c r="X42" s="10">
        <v>1.1096785325041501</v>
      </c>
      <c r="Y42" s="10">
        <v>1.1140664646848899</v>
      </c>
      <c r="Z42" s="10">
        <v>1.10888756627992</v>
      </c>
      <c r="AA42" s="10">
        <v>1.10842150696571</v>
      </c>
      <c r="AB42" s="8">
        <v>103.95654979920199</v>
      </c>
      <c r="AC42" s="8">
        <v>103.43851326699399</v>
      </c>
      <c r="AD42" s="8">
        <v>103.423926224365</v>
      </c>
      <c r="AE42" s="9">
        <v>3.9464397952416099E-3</v>
      </c>
      <c r="AF42" s="9">
        <v>-1.0492201970299299E-3</v>
      </c>
      <c r="AG42" s="9">
        <v>-1.1902515286650499E-3</v>
      </c>
      <c r="AH42" s="12"/>
      <c r="AZ42" s="9"/>
      <c r="BB42">
        <f t="shared" si="6"/>
        <v>0</v>
      </c>
      <c r="BC42">
        <f t="shared" si="7"/>
        <v>1</v>
      </c>
      <c r="BD42">
        <f t="shared" si="8"/>
        <v>1</v>
      </c>
      <c r="BE42">
        <f t="shared" si="4"/>
        <v>1</v>
      </c>
      <c r="BF42">
        <f t="shared" si="9"/>
        <v>1</v>
      </c>
      <c r="BG42" s="9">
        <f t="shared" si="10"/>
        <v>-1.7676959061514699E-2</v>
      </c>
      <c r="BH42" s="9">
        <f t="shared" si="11"/>
        <v>2.2018886897029001E-2</v>
      </c>
      <c r="BI42" s="9">
        <f t="shared" si="12"/>
        <v>4.3419278355143025E-3</v>
      </c>
      <c r="BJ42" s="12">
        <f t="shared" si="13"/>
        <v>8.5207067177144012E-3</v>
      </c>
      <c r="BL42" s="9"/>
      <c r="BN42">
        <f t="shared" si="14"/>
        <v>0</v>
      </c>
      <c r="BO42">
        <f t="shared" si="15"/>
        <v>1</v>
      </c>
      <c r="BP42">
        <f t="shared" si="16"/>
        <v>0</v>
      </c>
      <c r="BQ42">
        <f t="shared" si="5"/>
        <v>1</v>
      </c>
      <c r="BR42">
        <f t="shared" si="17"/>
        <v>0</v>
      </c>
      <c r="BS42" s="9">
        <f t="shared" si="18"/>
        <v>0</v>
      </c>
      <c r="BT42" s="9">
        <f t="shared" si="19"/>
        <v>0</v>
      </c>
      <c r="BU42" s="9">
        <f t="shared" si="20"/>
        <v>0</v>
      </c>
      <c r="BV42" s="12">
        <f t="shared" si="21"/>
        <v>0</v>
      </c>
      <c r="BX42" s="12">
        <f t="shared" si="22"/>
        <v>4.3419278355143025E-3</v>
      </c>
      <c r="BY42" s="12">
        <f t="shared" si="23"/>
        <v>8.5207067177144012E-3</v>
      </c>
    </row>
    <row r="43" spans="1:102" x14ac:dyDescent="0.3">
      <c r="A43" s="1">
        <v>46085</v>
      </c>
      <c r="B43" s="8">
        <v>93.99</v>
      </c>
      <c r="C43" s="8">
        <v>104.42</v>
      </c>
      <c r="D43" s="9">
        <v>9.7290551981189296E-3</v>
      </c>
      <c r="E43" s="9">
        <v>1.06870511210523E-2</v>
      </c>
      <c r="F43" s="8">
        <v>0</v>
      </c>
      <c r="G43" s="8">
        <v>0.23269999999999999</v>
      </c>
      <c r="H43" s="8">
        <v>0</v>
      </c>
      <c r="I43" s="8">
        <v>0.23710000000000001</v>
      </c>
      <c r="J43" s="8">
        <v>0.23269999999999999</v>
      </c>
      <c r="K43" s="8">
        <v>0.23710000000000001</v>
      </c>
      <c r="L43" s="8">
        <v>94.222699999999904</v>
      </c>
      <c r="M43" s="8">
        <v>104.6571</v>
      </c>
      <c r="N43" s="10">
        <v>1.1109692520480901</v>
      </c>
      <c r="O43" s="10">
        <v>1.1144207265719701</v>
      </c>
      <c r="P43" s="10">
        <v>1.10919393213051</v>
      </c>
      <c r="Q43" s="10">
        <v>1.1083068855287199</v>
      </c>
      <c r="R43" s="8">
        <v>104.7444040905</v>
      </c>
      <c r="S43" s="8">
        <v>104.219260112724</v>
      </c>
      <c r="T43" s="8">
        <v>104.172044351984</v>
      </c>
      <c r="U43" s="9">
        <v>3.1019078224531599E-3</v>
      </c>
      <c r="V43" s="9">
        <v>-1.9242778095531099E-3</v>
      </c>
      <c r="W43" s="9">
        <v>-2.3774230275721299E-3</v>
      </c>
      <c r="X43" s="10">
        <v>1.1107418912852201</v>
      </c>
      <c r="Y43" s="10">
        <v>1.1140664646848899</v>
      </c>
      <c r="Z43" s="10">
        <v>1.1092126938670299</v>
      </c>
      <c r="AA43" s="10">
        <v>1.1083797086218099</v>
      </c>
      <c r="AB43" s="8">
        <v>104.970350282065</v>
      </c>
      <c r="AC43" s="8">
        <v>104.482380491323</v>
      </c>
      <c r="AD43" s="8">
        <v>104.43846712437799</v>
      </c>
      <c r="AE43" s="9">
        <v>2.9886402263219099E-3</v>
      </c>
      <c r="AF43" s="9">
        <v>-1.6708423384597501E-3</v>
      </c>
      <c r="AG43" s="9">
        <v>-2.0912251589595399E-3</v>
      </c>
      <c r="AH43" s="12"/>
      <c r="AZ43" s="9"/>
      <c r="BB43">
        <f t="shared" si="6"/>
        <v>0</v>
      </c>
      <c r="BC43">
        <f t="shared" si="7"/>
        <v>1</v>
      </c>
      <c r="BD43">
        <f t="shared" si="8"/>
        <v>0</v>
      </c>
      <c r="BE43">
        <f t="shared" si="4"/>
        <v>1</v>
      </c>
      <c r="BF43">
        <f t="shared" si="9"/>
        <v>0</v>
      </c>
      <c r="BG43" s="9">
        <f t="shared" si="10"/>
        <v>0</v>
      </c>
      <c r="BH43" s="9">
        <f t="shared" si="11"/>
        <v>0</v>
      </c>
      <c r="BI43" s="9">
        <f t="shared" si="12"/>
        <v>0</v>
      </c>
      <c r="BJ43" s="12">
        <f t="shared" si="13"/>
        <v>8.5207067177144012E-3</v>
      </c>
      <c r="BL43" s="9"/>
      <c r="BN43">
        <f t="shared" si="14"/>
        <v>0</v>
      </c>
      <c r="BO43">
        <f t="shared" si="15"/>
        <v>1</v>
      </c>
      <c r="BP43">
        <f t="shared" si="16"/>
        <v>0</v>
      </c>
      <c r="BQ43">
        <f t="shared" si="5"/>
        <v>1</v>
      </c>
      <c r="BR43">
        <f t="shared" si="17"/>
        <v>0</v>
      </c>
      <c r="BS43" s="9">
        <f t="shared" si="18"/>
        <v>0</v>
      </c>
      <c r="BT43" s="9">
        <f t="shared" si="19"/>
        <v>0</v>
      </c>
      <c r="BU43" s="9">
        <f t="shared" si="20"/>
        <v>0</v>
      </c>
      <c r="BV43" s="12">
        <f t="shared" si="21"/>
        <v>0</v>
      </c>
      <c r="BX43" s="12">
        <f t="shared" si="22"/>
        <v>0</v>
      </c>
      <c r="BY43" s="12">
        <f t="shared" si="23"/>
        <v>8.5207067177144012E-3</v>
      </c>
    </row>
    <row r="44" spans="1:102" x14ac:dyDescent="0.3">
      <c r="A44" s="1">
        <v>46086</v>
      </c>
      <c r="B44" s="8">
        <v>93.04</v>
      </c>
      <c r="C44" s="8">
        <v>103.31</v>
      </c>
      <c r="D44" s="9">
        <v>-1.0158885421800899E-2</v>
      </c>
      <c r="E44" s="9">
        <v>-1.0687051121052201E-2</v>
      </c>
      <c r="F44" s="8">
        <v>0</v>
      </c>
      <c r="G44" s="8">
        <v>0.23269999999999999</v>
      </c>
      <c r="H44" s="8">
        <v>0</v>
      </c>
      <c r="I44" s="8">
        <v>0.23710000000000001</v>
      </c>
      <c r="J44" s="8">
        <v>0.23269999999999999</v>
      </c>
      <c r="K44" s="8">
        <v>0.23710000000000001</v>
      </c>
      <c r="L44" s="8">
        <v>93.2727</v>
      </c>
      <c r="M44" s="8">
        <v>103.5471</v>
      </c>
      <c r="N44" s="10">
        <v>1.11038263112639</v>
      </c>
      <c r="O44" s="10">
        <v>1.1144207265719701</v>
      </c>
      <c r="P44" s="10">
        <v>1.10940886401552</v>
      </c>
      <c r="Q44" s="10">
        <v>1.10844405393451</v>
      </c>
      <c r="R44" s="8">
        <v>103.685704400256</v>
      </c>
      <c r="S44" s="8">
        <v>103.19940344542201</v>
      </c>
      <c r="T44" s="8">
        <v>103.116872629592</v>
      </c>
      <c r="U44" s="9">
        <v>3.6300735217045001E-3</v>
      </c>
      <c r="V44" s="9">
        <v>-1.0711043982089699E-3</v>
      </c>
      <c r="W44" s="9">
        <v>-1.8711461768084899E-3</v>
      </c>
      <c r="X44" s="10">
        <v>1.1101544181737999</v>
      </c>
      <c r="Y44" s="10">
        <v>1.1140664646848899</v>
      </c>
      <c r="Z44" s="10">
        <v>1.10939231811728</v>
      </c>
      <c r="AA44" s="10">
        <v>1.1084990498120599</v>
      </c>
      <c r="AB44" s="8">
        <v>103.911987140614</v>
      </c>
      <c r="AC44" s="8">
        <v>103.459262831251</v>
      </c>
      <c r="AD44" s="8">
        <v>103.381568048369</v>
      </c>
      <c r="AE44" s="9">
        <v>3.5176816972044499E-3</v>
      </c>
      <c r="AF44" s="9">
        <v>-8.48642262185644E-4</v>
      </c>
      <c r="AG44" s="9">
        <v>-1.5998941905934099E-3</v>
      </c>
      <c r="AH44" s="12"/>
      <c r="AZ44" s="9"/>
      <c r="BB44">
        <f t="shared" si="6"/>
        <v>0</v>
      </c>
      <c r="BC44">
        <f t="shared" si="7"/>
        <v>1</v>
      </c>
      <c r="BD44">
        <f t="shared" si="8"/>
        <v>0</v>
      </c>
      <c r="BE44">
        <f t="shared" si="4"/>
        <v>1</v>
      </c>
      <c r="BF44">
        <f t="shared" si="9"/>
        <v>0</v>
      </c>
      <c r="BG44" s="9">
        <f t="shared" si="10"/>
        <v>0</v>
      </c>
      <c r="BH44" s="9">
        <f t="shared" si="11"/>
        <v>0</v>
      </c>
      <c r="BI44" s="9">
        <f t="shared" si="12"/>
        <v>0</v>
      </c>
      <c r="BJ44" s="12">
        <f t="shared" si="13"/>
        <v>8.5207067177144012E-3</v>
      </c>
      <c r="BL44" s="9"/>
      <c r="BN44">
        <f t="shared" si="14"/>
        <v>0</v>
      </c>
      <c r="BO44">
        <f t="shared" si="15"/>
        <v>1</v>
      </c>
      <c r="BP44">
        <f t="shared" si="16"/>
        <v>0</v>
      </c>
      <c r="BQ44">
        <f t="shared" si="5"/>
        <v>1</v>
      </c>
      <c r="BR44">
        <f t="shared" si="17"/>
        <v>0</v>
      </c>
      <c r="BS44" s="9">
        <f t="shared" si="18"/>
        <v>0</v>
      </c>
      <c r="BT44" s="9">
        <f t="shared" si="19"/>
        <v>0</v>
      </c>
      <c r="BU44" s="9">
        <f t="shared" si="20"/>
        <v>0</v>
      </c>
      <c r="BV44" s="12">
        <f t="shared" si="21"/>
        <v>0</v>
      </c>
      <c r="BX44" s="12">
        <f t="shared" si="22"/>
        <v>0</v>
      </c>
      <c r="BY44" s="12">
        <f t="shared" si="23"/>
        <v>8.5207067177144012E-3</v>
      </c>
    </row>
    <row r="45" spans="1:102" x14ac:dyDescent="0.3">
      <c r="A45" s="1">
        <v>46087</v>
      </c>
      <c r="B45" s="8">
        <v>91.34</v>
      </c>
      <c r="C45" s="8">
        <v>101.28</v>
      </c>
      <c r="D45" s="9">
        <v>-1.8440700453555999E-2</v>
      </c>
      <c r="E45" s="9">
        <v>-1.9845218465488E-2</v>
      </c>
      <c r="F45" s="8">
        <v>0</v>
      </c>
      <c r="G45" s="8">
        <v>0.23269999999999999</v>
      </c>
      <c r="H45" s="8">
        <v>0</v>
      </c>
      <c r="I45" s="8">
        <v>0.23710000000000001</v>
      </c>
      <c r="J45" s="8">
        <v>0.23269999999999999</v>
      </c>
      <c r="K45" s="8">
        <v>0.23710000000000001</v>
      </c>
      <c r="L45" s="8">
        <v>91.572699999999998</v>
      </c>
      <c r="M45" s="8">
        <v>101.5171</v>
      </c>
      <c r="N45" s="10">
        <v>1.10882417341799</v>
      </c>
      <c r="O45" s="10">
        <v>1.1144207265719701</v>
      </c>
      <c r="P45" s="10">
        <v>1.1092917040115899</v>
      </c>
      <c r="Q45" s="10">
        <v>1.1083899744178201</v>
      </c>
      <c r="R45" s="8">
        <v>101.79118916508401</v>
      </c>
      <c r="S45" s="8">
        <v>101.333405639177</v>
      </c>
      <c r="T45" s="8">
        <v>101.245279886378</v>
      </c>
      <c r="U45" s="9">
        <v>5.0345915336363796E-3</v>
      </c>
      <c r="V45" s="9">
        <v>5.2716788650975302E-4</v>
      </c>
      <c r="W45" s="9">
        <v>-3.4287190202318799E-4</v>
      </c>
      <c r="X45" s="10">
        <v>1.1085956840848801</v>
      </c>
      <c r="Y45" s="10">
        <v>1.1140664646848899</v>
      </c>
      <c r="Z45" s="10">
        <v>1.10923993840582</v>
      </c>
      <c r="AA45" s="10">
        <v>1.10842712732243</v>
      </c>
      <c r="AB45" s="8">
        <v>102.01807415064999</v>
      </c>
      <c r="AC45" s="8">
        <v>101.590049929258</v>
      </c>
      <c r="AD45" s="8">
        <v>101.508250938725</v>
      </c>
      <c r="AE45" s="9">
        <v>4.9227379437548303E-3</v>
      </c>
      <c r="AF45" s="9">
        <v>7.1833938314081695E-4</v>
      </c>
      <c r="AG45" s="9">
        <v>-8.7171983590235297E-5</v>
      </c>
      <c r="AH45" s="12"/>
      <c r="AZ45" s="9"/>
      <c r="BB45">
        <f t="shared" si="6"/>
        <v>0</v>
      </c>
      <c r="BC45">
        <f t="shared" si="7"/>
        <v>1</v>
      </c>
      <c r="BD45">
        <f t="shared" si="8"/>
        <v>0</v>
      </c>
      <c r="BE45">
        <f t="shared" si="4"/>
        <v>1</v>
      </c>
      <c r="BF45">
        <f t="shared" si="9"/>
        <v>0</v>
      </c>
      <c r="BG45" s="9">
        <f t="shared" si="10"/>
        <v>0</v>
      </c>
      <c r="BH45" s="9">
        <f t="shared" si="11"/>
        <v>0</v>
      </c>
      <c r="BI45" s="9">
        <f t="shared" si="12"/>
        <v>0</v>
      </c>
      <c r="BJ45" s="12">
        <f t="shared" si="13"/>
        <v>8.5207067177144012E-3</v>
      </c>
      <c r="BL45" s="9"/>
      <c r="BN45">
        <f t="shared" si="14"/>
        <v>0</v>
      </c>
      <c r="BO45">
        <f t="shared" si="15"/>
        <v>1</v>
      </c>
      <c r="BP45">
        <f t="shared" si="16"/>
        <v>0</v>
      </c>
      <c r="BQ45">
        <f t="shared" si="5"/>
        <v>1</v>
      </c>
      <c r="BR45">
        <f t="shared" si="17"/>
        <v>0</v>
      </c>
      <c r="BS45" s="9">
        <f t="shared" si="18"/>
        <v>0</v>
      </c>
      <c r="BT45" s="9">
        <f t="shared" si="19"/>
        <v>0</v>
      </c>
      <c r="BU45" s="9">
        <f t="shared" si="20"/>
        <v>0</v>
      </c>
      <c r="BV45" s="12">
        <f t="shared" si="21"/>
        <v>0</v>
      </c>
      <c r="BX45" s="12">
        <f t="shared" si="22"/>
        <v>0</v>
      </c>
      <c r="BY45" s="12">
        <f t="shared" si="23"/>
        <v>8.5207067177144012E-3</v>
      </c>
    </row>
    <row r="46" spans="1:102" x14ac:dyDescent="0.3">
      <c r="A46" s="1">
        <v>46090</v>
      </c>
      <c r="B46" s="8">
        <v>92.87</v>
      </c>
      <c r="C46" s="8">
        <v>103.18</v>
      </c>
      <c r="D46" s="9">
        <v>1.6611858031063999E-2</v>
      </c>
      <c r="E46" s="9">
        <v>1.8586077420637701E-2</v>
      </c>
      <c r="F46" s="8">
        <v>0</v>
      </c>
      <c r="G46" s="8">
        <v>0.23269999999999999</v>
      </c>
      <c r="H46" s="8">
        <v>0</v>
      </c>
      <c r="I46" s="8">
        <v>0.23710000000000001</v>
      </c>
      <c r="J46" s="8">
        <v>0.23269999999999999</v>
      </c>
      <c r="K46" s="8">
        <v>0.23710000000000001</v>
      </c>
      <c r="L46" s="8">
        <v>93.102699999999999</v>
      </c>
      <c r="M46" s="8">
        <v>103.4171</v>
      </c>
      <c r="N46" s="10">
        <v>1.11101539786798</v>
      </c>
      <c r="O46" s="10">
        <v>1.1144207265719701</v>
      </c>
      <c r="P46" s="10">
        <v>1.10951467161099</v>
      </c>
      <c r="Q46" s="10">
        <v>1.1083739534650201</v>
      </c>
      <c r="R46" s="8">
        <v>103.49625287673901</v>
      </c>
      <c r="S46" s="8">
        <v>103.019920551556</v>
      </c>
      <c r="T46" s="8">
        <v>102.936176924183</v>
      </c>
      <c r="U46" s="9">
        <v>3.0603721440626902E-3</v>
      </c>
      <c r="V46" s="9">
        <v>-1.5526628737270801E-3</v>
      </c>
      <c r="W46" s="9">
        <v>-2.3658811567965599E-3</v>
      </c>
      <c r="X46" s="10">
        <v>1.11078518668094</v>
      </c>
      <c r="Y46" s="10">
        <v>1.1140664646848899</v>
      </c>
      <c r="Z46" s="10">
        <v>1.10942733643861</v>
      </c>
      <c r="AA46" s="10">
        <v>1.10839342645604</v>
      </c>
      <c r="AB46" s="8">
        <v>103.722595841618</v>
      </c>
      <c r="AC46" s="8">
        <v>103.27323321341601</v>
      </c>
      <c r="AD46" s="8">
        <v>103.19755830696199</v>
      </c>
      <c r="AE46" s="9">
        <v>2.9496621772506001E-3</v>
      </c>
      <c r="AF46" s="9">
        <v>-1.3921000327495299E-3</v>
      </c>
      <c r="AG46" s="9">
        <v>-2.1251326257363699E-3</v>
      </c>
      <c r="AH46" s="12"/>
      <c r="AZ46" s="9"/>
      <c r="BB46">
        <f t="shared" si="6"/>
        <v>0</v>
      </c>
      <c r="BC46">
        <f t="shared" si="7"/>
        <v>1</v>
      </c>
      <c r="BD46">
        <f t="shared" si="8"/>
        <v>0</v>
      </c>
      <c r="BE46">
        <f t="shared" si="4"/>
        <v>1</v>
      </c>
      <c r="BF46">
        <f t="shared" si="9"/>
        <v>0</v>
      </c>
      <c r="BG46" s="9">
        <f t="shared" si="10"/>
        <v>0</v>
      </c>
      <c r="BH46" s="9">
        <f t="shared" si="11"/>
        <v>0</v>
      </c>
      <c r="BI46" s="9">
        <f t="shared" si="12"/>
        <v>0</v>
      </c>
      <c r="BJ46" s="12">
        <f t="shared" si="13"/>
        <v>8.5207067177144012E-3</v>
      </c>
      <c r="BL46" s="9"/>
      <c r="BN46">
        <f t="shared" si="14"/>
        <v>0</v>
      </c>
      <c r="BO46">
        <f t="shared" si="15"/>
        <v>1</v>
      </c>
      <c r="BP46">
        <f t="shared" si="16"/>
        <v>0</v>
      </c>
      <c r="BQ46">
        <f t="shared" si="5"/>
        <v>1</v>
      </c>
      <c r="BR46">
        <f t="shared" si="17"/>
        <v>0</v>
      </c>
      <c r="BS46" s="9">
        <f t="shared" si="18"/>
        <v>0</v>
      </c>
      <c r="BT46" s="9">
        <f t="shared" si="19"/>
        <v>0</v>
      </c>
      <c r="BU46" s="9">
        <f t="shared" si="20"/>
        <v>0</v>
      </c>
      <c r="BV46" s="12">
        <f t="shared" si="21"/>
        <v>0</v>
      </c>
      <c r="BX46" s="12">
        <f t="shared" si="22"/>
        <v>0</v>
      </c>
      <c r="BY46" s="12">
        <f t="shared" si="23"/>
        <v>8.5207067177144012E-3</v>
      </c>
    </row>
    <row r="47" spans="1:102" x14ac:dyDescent="0.3">
      <c r="A47" s="1">
        <v>46091</v>
      </c>
      <c r="B47" s="8">
        <v>93.01</v>
      </c>
      <c r="C47" s="8">
        <v>103.5</v>
      </c>
      <c r="D47" s="9">
        <v>1.5063484664587399E-3</v>
      </c>
      <c r="E47" s="9">
        <v>3.09657688891993E-3</v>
      </c>
      <c r="F47" s="8">
        <v>0</v>
      </c>
      <c r="G47" s="8">
        <v>0.23269999999999999</v>
      </c>
      <c r="H47" s="8">
        <v>0</v>
      </c>
      <c r="I47" s="8">
        <v>0.23710000000000001</v>
      </c>
      <c r="J47" s="8">
        <v>0.23269999999999999</v>
      </c>
      <c r="K47" s="8">
        <v>0.23710000000000001</v>
      </c>
      <c r="L47" s="8">
        <v>93.242699999999999</v>
      </c>
      <c r="M47" s="8">
        <v>103.7371</v>
      </c>
      <c r="N47" s="10">
        <v>1.11278357165896</v>
      </c>
      <c r="O47" s="10">
        <v>1.1144207265719701</v>
      </c>
      <c r="P47" s="10">
        <v>1.1102672675293801</v>
      </c>
      <c r="Q47" s="10">
        <v>1.10867215120183</v>
      </c>
      <c r="R47" s="8">
        <v>103.652271778459</v>
      </c>
      <c r="S47" s="8">
        <v>103.195959606538</v>
      </c>
      <c r="T47" s="8">
        <v>103.089861411782</v>
      </c>
      <c r="U47" s="9">
        <v>1.47014372160159E-3</v>
      </c>
      <c r="V47" s="9">
        <v>-2.9419115238217999E-3</v>
      </c>
      <c r="W47" s="9">
        <v>-3.9705639400440798E-3</v>
      </c>
      <c r="X47" s="10">
        <v>1.11254929340312</v>
      </c>
      <c r="Y47" s="10">
        <v>1.1140664646848899</v>
      </c>
      <c r="Z47" s="10">
        <v>1.11014373897469</v>
      </c>
      <c r="AA47" s="10">
        <v>1.1086736056705699</v>
      </c>
      <c r="AB47" s="8">
        <v>103.87856514667401</v>
      </c>
      <c r="AC47" s="8">
        <v>103.44600030334399</v>
      </c>
      <c r="AD47" s="8">
        <v>103.349595745013</v>
      </c>
      <c r="AE47" s="9">
        <v>1.3627600640567299E-3</v>
      </c>
      <c r="AF47" s="9">
        <v>-2.8100736767132498E-3</v>
      </c>
      <c r="AG47" s="9">
        <v>-3.7424394248948699E-3</v>
      </c>
      <c r="AH47" s="12"/>
      <c r="AZ47" s="9"/>
      <c r="BB47">
        <f t="shared" si="6"/>
        <v>0</v>
      </c>
      <c r="BC47">
        <f t="shared" si="7"/>
        <v>0</v>
      </c>
      <c r="BD47">
        <f t="shared" si="8"/>
        <v>0</v>
      </c>
      <c r="BE47">
        <f t="shared" si="4"/>
        <v>1</v>
      </c>
      <c r="BF47">
        <f t="shared" si="9"/>
        <v>0</v>
      </c>
      <c r="BG47" s="9">
        <f t="shared" si="10"/>
        <v>0</v>
      </c>
      <c r="BH47" s="9">
        <f t="shared" si="11"/>
        <v>0</v>
      </c>
      <c r="BI47" s="9">
        <f t="shared" si="12"/>
        <v>0</v>
      </c>
      <c r="BJ47" s="12">
        <f t="shared" si="13"/>
        <v>8.5207067177144012E-3</v>
      </c>
      <c r="BL47" s="9"/>
      <c r="BN47">
        <f t="shared" si="14"/>
        <v>0</v>
      </c>
      <c r="BO47">
        <f t="shared" si="15"/>
        <v>1</v>
      </c>
      <c r="BP47">
        <f t="shared" si="16"/>
        <v>0</v>
      </c>
      <c r="BQ47">
        <f t="shared" si="5"/>
        <v>1</v>
      </c>
      <c r="BR47">
        <f t="shared" si="17"/>
        <v>0</v>
      </c>
      <c r="BS47" s="9">
        <f t="shared" si="18"/>
        <v>0</v>
      </c>
      <c r="BT47" s="9">
        <f t="shared" si="19"/>
        <v>0</v>
      </c>
      <c r="BU47" s="9">
        <f t="shared" si="20"/>
        <v>0</v>
      </c>
      <c r="BV47" s="12">
        <f t="shared" si="21"/>
        <v>0</v>
      </c>
      <c r="BX47" s="12">
        <f t="shared" si="22"/>
        <v>0</v>
      </c>
      <c r="BY47" s="12">
        <f t="shared" si="23"/>
        <v>8.5207067177144012E-3</v>
      </c>
    </row>
    <row r="48" spans="1:102" x14ac:dyDescent="0.3">
      <c r="A48" s="1">
        <v>46092</v>
      </c>
      <c r="B48" s="8">
        <v>93.45</v>
      </c>
      <c r="C48" s="8">
        <v>104.1</v>
      </c>
      <c r="D48" s="9">
        <v>4.71951964719619E-3</v>
      </c>
      <c r="E48" s="9">
        <v>5.7803629154993203E-3</v>
      </c>
      <c r="F48" s="8">
        <v>0</v>
      </c>
      <c r="G48" s="8">
        <v>0.23269999999999999</v>
      </c>
      <c r="H48" s="8">
        <v>0</v>
      </c>
      <c r="I48" s="8">
        <v>0.23710000000000001</v>
      </c>
      <c r="J48" s="8">
        <v>0.23269999999999999</v>
      </c>
      <c r="K48" s="8">
        <v>0.23710000000000001</v>
      </c>
      <c r="L48" s="8">
        <v>93.682699999999997</v>
      </c>
      <c r="M48" s="8">
        <v>104.337099999999</v>
      </c>
      <c r="N48" s="10">
        <v>1.1139646869983899</v>
      </c>
      <c r="O48" s="10">
        <v>1.1144207265719701</v>
      </c>
      <c r="P48" s="10">
        <v>1.1111324666203499</v>
      </c>
      <c r="Q48" s="10">
        <v>1.1090368407795801</v>
      </c>
      <c r="R48" s="8">
        <v>104.142616898151</v>
      </c>
      <c r="S48" s="8">
        <v>103.754476150621</v>
      </c>
      <c r="T48" s="8">
        <v>103.60541252981101</v>
      </c>
      <c r="U48" s="9">
        <v>4.0930045329844102E-4</v>
      </c>
      <c r="V48" s="9">
        <v>-3.3246738203276298E-3</v>
      </c>
      <c r="W48" s="9">
        <v>-4.7624026639844202E-3</v>
      </c>
      <c r="X48" s="10">
        <v>1.11372857528657</v>
      </c>
      <c r="Y48" s="10">
        <v>1.1140664646848899</v>
      </c>
      <c r="Z48" s="10">
        <v>1.11097266100074</v>
      </c>
      <c r="AA48" s="10">
        <v>1.10902014964865</v>
      </c>
      <c r="AB48" s="8">
        <v>104.368754391135</v>
      </c>
      <c r="AC48" s="8">
        <v>104.001262855245</v>
      </c>
      <c r="AD48" s="8">
        <v>103.86353679795501</v>
      </c>
      <c r="AE48" s="9">
        <v>3.0333975508803899E-4</v>
      </c>
      <c r="AF48" s="9">
        <v>-3.2239615502519E-3</v>
      </c>
      <c r="AG48" s="9">
        <v>-4.5491121065159602E-3</v>
      </c>
      <c r="AH48" s="12"/>
      <c r="AZ48" s="9"/>
      <c r="BB48">
        <f t="shared" si="6"/>
        <v>0</v>
      </c>
      <c r="BC48">
        <f t="shared" si="7"/>
        <v>0</v>
      </c>
      <c r="BD48">
        <f t="shared" si="8"/>
        <v>0</v>
      </c>
      <c r="BE48">
        <f t="shared" si="4"/>
        <v>1</v>
      </c>
      <c r="BF48">
        <f t="shared" si="9"/>
        <v>0</v>
      </c>
      <c r="BG48" s="9">
        <f t="shared" si="10"/>
        <v>0</v>
      </c>
      <c r="BH48" s="9">
        <f t="shared" si="11"/>
        <v>0</v>
      </c>
      <c r="BI48" s="9">
        <f t="shared" si="12"/>
        <v>0</v>
      </c>
      <c r="BJ48" s="12">
        <f t="shared" si="13"/>
        <v>8.5207067177144012E-3</v>
      </c>
      <c r="BL48" s="9"/>
      <c r="BN48">
        <f t="shared" si="14"/>
        <v>0</v>
      </c>
      <c r="BO48">
        <f t="shared" si="15"/>
        <v>1</v>
      </c>
      <c r="BP48">
        <f t="shared" si="16"/>
        <v>0</v>
      </c>
      <c r="BQ48">
        <f t="shared" si="5"/>
        <v>1</v>
      </c>
      <c r="BR48">
        <f t="shared" si="17"/>
        <v>0</v>
      </c>
      <c r="BS48" s="9">
        <f t="shared" si="18"/>
        <v>0</v>
      </c>
      <c r="BT48" s="9">
        <f t="shared" si="19"/>
        <v>0</v>
      </c>
      <c r="BU48" s="9">
        <f t="shared" si="20"/>
        <v>0</v>
      </c>
      <c r="BV48" s="12">
        <f t="shared" si="21"/>
        <v>0</v>
      </c>
      <c r="BX48" s="12">
        <f t="shared" si="22"/>
        <v>0</v>
      </c>
      <c r="BY48" s="12">
        <f t="shared" si="23"/>
        <v>8.5207067177144012E-3</v>
      </c>
    </row>
    <row r="49" spans="1:77" x14ac:dyDescent="0.3">
      <c r="A49" s="1">
        <v>46093</v>
      </c>
      <c r="B49" s="8">
        <v>92.03</v>
      </c>
      <c r="C49" s="8">
        <v>102.03</v>
      </c>
      <c r="D49" s="9">
        <v>-1.53119230508063E-2</v>
      </c>
      <c r="E49" s="9">
        <v>-2.0085087933709299E-2</v>
      </c>
      <c r="F49" s="8">
        <v>0</v>
      </c>
      <c r="G49" s="8">
        <v>0.23269999999999999</v>
      </c>
      <c r="H49" s="8">
        <v>0</v>
      </c>
      <c r="I49" s="8">
        <v>0.23710000000000001</v>
      </c>
      <c r="J49" s="8">
        <v>0.23269999999999999</v>
      </c>
      <c r="K49" s="8">
        <v>0.23710000000000001</v>
      </c>
      <c r="L49" s="8">
        <v>92.262699999999995</v>
      </c>
      <c r="M49" s="8">
        <v>102.2671</v>
      </c>
      <c r="N49" s="10">
        <v>1.1086602194936399</v>
      </c>
      <c r="O49" s="10">
        <v>1.1144207265719701</v>
      </c>
      <c r="P49" s="10">
        <v>1.11114332921346</v>
      </c>
      <c r="Q49" s="10">
        <v>1.10923175651616</v>
      </c>
      <c r="R49" s="8">
        <v>102.560139466419</v>
      </c>
      <c r="S49" s="8">
        <v>102.257520903071</v>
      </c>
      <c r="T49" s="8">
        <v>102.06466045694501</v>
      </c>
      <c r="U49" s="9">
        <v>5.18246533620134E-3</v>
      </c>
      <c r="V49" s="9">
        <v>2.2274585950007499E-3</v>
      </c>
      <c r="W49" s="9">
        <v>3.39650799296794E-4</v>
      </c>
      <c r="X49" s="10">
        <v>1.1084338524669199</v>
      </c>
      <c r="Y49" s="10">
        <v>1.1140664646848899</v>
      </c>
      <c r="Z49" s="10">
        <v>1.1109484411938499</v>
      </c>
      <c r="AA49" s="10">
        <v>1.1091973140004301</v>
      </c>
      <c r="AB49" s="8">
        <v>102.786780011282</v>
      </c>
      <c r="AC49" s="8">
        <v>102.501337330113</v>
      </c>
      <c r="AD49" s="8">
        <v>102.321193360989</v>
      </c>
      <c r="AE49" s="9">
        <v>5.0687275353064097E-3</v>
      </c>
      <c r="AF49" s="9">
        <v>2.28782751225835E-3</v>
      </c>
      <c r="AG49" s="9">
        <v>5.2880212607521796E-4</v>
      </c>
      <c r="AH49" s="12"/>
      <c r="AZ49" s="9"/>
      <c r="BB49">
        <f t="shared" si="6"/>
        <v>0</v>
      </c>
      <c r="BC49">
        <f t="shared" si="7"/>
        <v>1</v>
      </c>
      <c r="BD49">
        <f t="shared" si="8"/>
        <v>0</v>
      </c>
      <c r="BE49">
        <f t="shared" si="4"/>
        <v>1</v>
      </c>
      <c r="BF49">
        <f t="shared" si="9"/>
        <v>0</v>
      </c>
      <c r="BG49" s="9">
        <f t="shared" si="10"/>
        <v>0</v>
      </c>
      <c r="BH49" s="9">
        <f t="shared" si="11"/>
        <v>0</v>
      </c>
      <c r="BI49" s="9">
        <f t="shared" si="12"/>
        <v>0</v>
      </c>
      <c r="BJ49" s="12">
        <f t="shared" si="13"/>
        <v>8.5207067177144012E-3</v>
      </c>
      <c r="BL49" s="9"/>
      <c r="BN49">
        <f t="shared" si="14"/>
        <v>0</v>
      </c>
      <c r="BO49">
        <f t="shared" si="15"/>
        <v>1</v>
      </c>
      <c r="BP49">
        <f t="shared" si="16"/>
        <v>0</v>
      </c>
      <c r="BQ49">
        <f t="shared" si="5"/>
        <v>1</v>
      </c>
      <c r="BR49">
        <f t="shared" si="17"/>
        <v>0</v>
      </c>
      <c r="BS49" s="9">
        <f t="shared" si="18"/>
        <v>0</v>
      </c>
      <c r="BT49" s="9">
        <f t="shared" si="19"/>
        <v>0</v>
      </c>
      <c r="BU49" s="9">
        <f t="shared" si="20"/>
        <v>0</v>
      </c>
      <c r="BV49" s="12">
        <f t="shared" si="21"/>
        <v>0</v>
      </c>
      <c r="BX49" s="12">
        <f t="shared" si="22"/>
        <v>0</v>
      </c>
      <c r="BY49" s="12">
        <f t="shared" si="23"/>
        <v>8.5207067177144012E-3</v>
      </c>
    </row>
    <row r="50" spans="1:77" x14ac:dyDescent="0.3">
      <c r="A50" s="1">
        <v>46094</v>
      </c>
      <c r="B50" s="8">
        <v>92.05</v>
      </c>
      <c r="C50" s="8">
        <v>102.4</v>
      </c>
      <c r="D50" s="9">
        <v>2.17296828321313E-4</v>
      </c>
      <c r="E50" s="9">
        <v>3.6198249181936901E-3</v>
      </c>
      <c r="F50" s="8">
        <v>0</v>
      </c>
      <c r="G50" s="8">
        <v>0.23269999999999999</v>
      </c>
      <c r="H50" s="8">
        <v>0</v>
      </c>
      <c r="I50" s="8">
        <v>0.23710000000000001</v>
      </c>
      <c r="J50" s="8">
        <v>0.23269999999999999</v>
      </c>
      <c r="K50" s="8">
        <v>0.23710000000000001</v>
      </c>
      <c r="L50" s="8">
        <v>92.282699999999906</v>
      </c>
      <c r="M50" s="8">
        <v>102.6371</v>
      </c>
      <c r="N50" s="10">
        <v>1.11243889190657</v>
      </c>
      <c r="O50" s="10">
        <v>1.1144207265719701</v>
      </c>
      <c r="P50" s="10">
        <v>1.11136793465756</v>
      </c>
      <c r="Q50" s="10">
        <v>1.1095667242187199</v>
      </c>
      <c r="R50" s="8">
        <v>102.58242788094999</v>
      </c>
      <c r="S50" s="8">
        <v>102.280743454099</v>
      </c>
      <c r="T50" s="8">
        <v>102.104783187313</v>
      </c>
      <c r="U50" s="9">
        <v>1.77993724632884E-3</v>
      </c>
      <c r="V50" s="9">
        <v>-1.1652933967645101E-3</v>
      </c>
      <c r="W50" s="9">
        <v>-2.8871404683295E-3</v>
      </c>
      <c r="X50" s="10">
        <v>1.1122030456412699</v>
      </c>
      <c r="Y50" s="10">
        <v>1.1140664646848899</v>
      </c>
      <c r="Z50" s="10">
        <v>1.1111370751710301</v>
      </c>
      <c r="AA50" s="10">
        <v>1.1095140608044001</v>
      </c>
      <c r="AB50" s="8">
        <v>102.80906134057599</v>
      </c>
      <c r="AC50" s="8">
        <v>102.521321714159</v>
      </c>
      <c r="AD50" s="8">
        <v>102.359722968708</v>
      </c>
      <c r="AE50" s="9">
        <v>1.6740286565868001E-3</v>
      </c>
      <c r="AF50" s="9">
        <v>-1.12867214675941E-3</v>
      </c>
      <c r="AG50" s="9">
        <v>-2.7061609692419098E-3</v>
      </c>
      <c r="AH50" s="12"/>
      <c r="AZ50" s="9"/>
      <c r="BB50">
        <f t="shared" si="6"/>
        <v>0</v>
      </c>
      <c r="BC50">
        <f t="shared" si="7"/>
        <v>1</v>
      </c>
      <c r="BD50">
        <f t="shared" si="8"/>
        <v>0</v>
      </c>
      <c r="BE50">
        <f t="shared" si="4"/>
        <v>1</v>
      </c>
      <c r="BF50">
        <f t="shared" si="9"/>
        <v>0</v>
      </c>
      <c r="BG50" s="9">
        <f t="shared" si="10"/>
        <v>0</v>
      </c>
      <c r="BH50" s="9">
        <f t="shared" si="11"/>
        <v>0</v>
      </c>
      <c r="BI50" s="9">
        <f t="shared" si="12"/>
        <v>0</v>
      </c>
      <c r="BJ50" s="12">
        <f t="shared" si="13"/>
        <v>8.5207067177144012E-3</v>
      </c>
      <c r="BL50" s="9"/>
      <c r="BN50">
        <f t="shared" si="14"/>
        <v>0</v>
      </c>
      <c r="BO50">
        <f t="shared" si="15"/>
        <v>1</v>
      </c>
      <c r="BP50">
        <f t="shared" si="16"/>
        <v>0</v>
      </c>
      <c r="BQ50">
        <f t="shared" si="5"/>
        <v>1</v>
      </c>
      <c r="BR50">
        <f t="shared" si="17"/>
        <v>0</v>
      </c>
      <c r="BS50" s="9">
        <f t="shared" si="18"/>
        <v>0</v>
      </c>
      <c r="BT50" s="9">
        <f t="shared" si="19"/>
        <v>0</v>
      </c>
      <c r="BU50" s="9">
        <f t="shared" si="20"/>
        <v>0</v>
      </c>
      <c r="BV50" s="12">
        <f t="shared" si="21"/>
        <v>0</v>
      </c>
      <c r="BX50" s="12">
        <f t="shared" si="22"/>
        <v>0</v>
      </c>
      <c r="BY50" s="12">
        <f t="shared" si="23"/>
        <v>8.5207067177144012E-3</v>
      </c>
    </row>
    <row r="51" spans="1:77" x14ac:dyDescent="0.3">
      <c r="A51" s="1">
        <v>46097</v>
      </c>
      <c r="B51" s="8">
        <v>93.22</v>
      </c>
      <c r="C51" s="8">
        <v>103.76</v>
      </c>
      <c r="D51" s="9">
        <v>1.2630383265507901E-2</v>
      </c>
      <c r="E51" s="9">
        <v>1.3193827402780901E-2</v>
      </c>
      <c r="F51" s="8">
        <v>0</v>
      </c>
      <c r="G51" s="8">
        <v>0.23269999999999999</v>
      </c>
      <c r="H51" s="8">
        <v>0</v>
      </c>
      <c r="I51" s="8">
        <v>0.23710000000000001</v>
      </c>
      <c r="J51" s="8">
        <v>0.23269999999999999</v>
      </c>
      <c r="K51" s="8">
        <v>0.23710000000000001</v>
      </c>
      <c r="L51" s="8">
        <v>93.452699999999993</v>
      </c>
      <c r="M51" s="8">
        <v>103.9971</v>
      </c>
      <c r="N51" s="10">
        <v>1.11306586569405</v>
      </c>
      <c r="O51" s="10">
        <v>1.1144207265719701</v>
      </c>
      <c r="P51" s="10">
        <v>1.11120101478829</v>
      </c>
      <c r="Q51" s="10">
        <v>1.1098131822479</v>
      </c>
      <c r="R51" s="8">
        <v>103.88630013103899</v>
      </c>
      <c r="S51" s="8">
        <v>103.601718868777</v>
      </c>
      <c r="T51" s="8">
        <v>103.433810031669</v>
      </c>
      <c r="U51" s="9">
        <v>1.2164931090557799E-3</v>
      </c>
      <c r="V51" s="9">
        <v>-1.5266189229718699E-3</v>
      </c>
      <c r="W51" s="9">
        <v>-3.1486484829557002E-3</v>
      </c>
      <c r="X51" s="10">
        <v>1.11283141097046</v>
      </c>
      <c r="Y51" s="10">
        <v>1.1140664646848899</v>
      </c>
      <c r="Z51" s="10">
        <v>1.1109701890497301</v>
      </c>
      <c r="AA51" s="10">
        <v>1.10974251750692</v>
      </c>
      <c r="AB51" s="8">
        <v>104.112519104257</v>
      </c>
      <c r="AC51" s="8">
        <v>103.838759744836</v>
      </c>
      <c r="AD51" s="8">
        <v>103.687084670136</v>
      </c>
      <c r="AE51" s="9">
        <v>1.1092146205315199E-3</v>
      </c>
      <c r="AF51" s="9">
        <v>-1.5237051584109801E-3</v>
      </c>
      <c r="AG51" s="9">
        <v>-2.9854517869834598E-3</v>
      </c>
      <c r="AH51" s="12"/>
      <c r="AZ51" s="9"/>
      <c r="BB51">
        <f t="shared" si="6"/>
        <v>0</v>
      </c>
      <c r="BC51">
        <f t="shared" si="7"/>
        <v>1</v>
      </c>
      <c r="BD51">
        <f t="shared" si="8"/>
        <v>0</v>
      </c>
      <c r="BE51">
        <f t="shared" si="4"/>
        <v>1</v>
      </c>
      <c r="BF51">
        <f t="shared" si="9"/>
        <v>0</v>
      </c>
      <c r="BG51" s="9">
        <f t="shared" si="10"/>
        <v>0</v>
      </c>
      <c r="BH51" s="9">
        <f t="shared" si="11"/>
        <v>0</v>
      </c>
      <c r="BI51" s="9">
        <f t="shared" si="12"/>
        <v>0</v>
      </c>
      <c r="BJ51" s="12">
        <f t="shared" si="13"/>
        <v>8.5207067177144012E-3</v>
      </c>
      <c r="BL51" s="9"/>
      <c r="BN51">
        <f t="shared" si="14"/>
        <v>0</v>
      </c>
      <c r="BO51">
        <f t="shared" si="15"/>
        <v>1</v>
      </c>
      <c r="BP51">
        <f t="shared" si="16"/>
        <v>0</v>
      </c>
      <c r="BQ51">
        <f t="shared" si="5"/>
        <v>1</v>
      </c>
      <c r="BR51">
        <f t="shared" si="17"/>
        <v>0</v>
      </c>
      <c r="BS51" s="9">
        <f t="shared" si="18"/>
        <v>0</v>
      </c>
      <c r="BT51" s="9">
        <f t="shared" si="19"/>
        <v>0</v>
      </c>
      <c r="BU51" s="9">
        <f t="shared" si="20"/>
        <v>0</v>
      </c>
      <c r="BV51" s="12">
        <f t="shared" si="21"/>
        <v>0</v>
      </c>
      <c r="BX51" s="12">
        <f t="shared" si="22"/>
        <v>0</v>
      </c>
      <c r="BY51" s="12">
        <f t="shared" si="23"/>
        <v>8.5207067177144012E-3</v>
      </c>
    </row>
    <row r="52" spans="1:77" x14ac:dyDescent="0.3">
      <c r="A52" s="1">
        <v>46098</v>
      </c>
      <c r="B52" s="8">
        <v>93.91</v>
      </c>
      <c r="C52" s="8">
        <v>104.42</v>
      </c>
      <c r="D52" s="9">
        <v>7.3745858719273302E-3</v>
      </c>
      <c r="E52" s="9">
        <v>6.3406879742177596E-3</v>
      </c>
      <c r="F52" s="8">
        <v>0</v>
      </c>
      <c r="G52" s="8">
        <v>0.23269999999999999</v>
      </c>
      <c r="H52" s="8">
        <v>0</v>
      </c>
      <c r="I52" s="8">
        <v>0.23710000000000001</v>
      </c>
      <c r="J52" s="8">
        <v>0.23269999999999999</v>
      </c>
      <c r="K52" s="8">
        <v>0.23710000000000001</v>
      </c>
      <c r="L52" s="8">
        <v>94.142699999999905</v>
      </c>
      <c r="M52" s="8">
        <v>104.6571</v>
      </c>
      <c r="N52" s="10">
        <v>1.1119156639335499</v>
      </c>
      <c r="O52" s="10">
        <v>1.1144207265719701</v>
      </c>
      <c r="P52" s="10">
        <v>1.11140203541456</v>
      </c>
      <c r="Q52" s="10">
        <v>1.1101177647693301</v>
      </c>
      <c r="R52" s="8">
        <v>104.655250432374</v>
      </c>
      <c r="S52" s="8">
        <v>104.352887298768</v>
      </c>
      <c r="T52" s="8">
        <v>104.22255594489999</v>
      </c>
      <c r="U52" s="9">
        <v>2.2503910067653301E-3</v>
      </c>
      <c r="V52" s="9">
        <v>-6.4292547190009802E-4</v>
      </c>
      <c r="W52" s="9">
        <v>-1.8926542875647499E-3</v>
      </c>
      <c r="X52" s="10">
        <v>1.11168577064392</v>
      </c>
      <c r="Y52" s="10">
        <v>1.1140664646848899</v>
      </c>
      <c r="Z52" s="10">
        <v>1.1111709128637099</v>
      </c>
      <c r="AA52" s="10">
        <v>1.1100292395718101</v>
      </c>
      <c r="AB52" s="8">
        <v>104.88122496489</v>
      </c>
      <c r="AC52" s="8">
        <v>104.58973321665199</v>
      </c>
      <c r="AD52" s="8">
        <v>104.474156902898</v>
      </c>
      <c r="AE52" s="9">
        <v>2.1392272788271099E-3</v>
      </c>
      <c r="AF52" s="9">
        <v>-6.4389777985320495E-4</v>
      </c>
      <c r="AG52" s="9">
        <v>-1.74955333291941E-3</v>
      </c>
      <c r="AH52" s="12"/>
      <c r="AZ52" s="9"/>
      <c r="BB52">
        <f t="shared" si="6"/>
        <v>0</v>
      </c>
      <c r="BC52">
        <f t="shared" si="7"/>
        <v>1</v>
      </c>
      <c r="BD52">
        <f t="shared" si="8"/>
        <v>0</v>
      </c>
      <c r="BE52">
        <f t="shared" si="4"/>
        <v>1</v>
      </c>
      <c r="BF52">
        <f t="shared" si="9"/>
        <v>0</v>
      </c>
      <c r="BG52" s="9">
        <f t="shared" si="10"/>
        <v>0</v>
      </c>
      <c r="BH52" s="9">
        <f t="shared" si="11"/>
        <v>0</v>
      </c>
      <c r="BI52" s="9">
        <f t="shared" si="12"/>
        <v>0</v>
      </c>
      <c r="BJ52" s="12">
        <f t="shared" si="13"/>
        <v>8.5207067177144012E-3</v>
      </c>
      <c r="BL52" s="9"/>
      <c r="BN52">
        <f t="shared" si="14"/>
        <v>0</v>
      </c>
      <c r="BO52">
        <f t="shared" si="15"/>
        <v>1</v>
      </c>
      <c r="BP52">
        <f t="shared" si="16"/>
        <v>0</v>
      </c>
      <c r="BQ52">
        <f t="shared" si="5"/>
        <v>1</v>
      </c>
      <c r="BR52">
        <f t="shared" si="17"/>
        <v>0</v>
      </c>
      <c r="BS52" s="9">
        <f t="shared" si="18"/>
        <v>0</v>
      </c>
      <c r="BT52" s="9">
        <f t="shared" si="19"/>
        <v>0</v>
      </c>
      <c r="BU52" s="9">
        <f t="shared" si="20"/>
        <v>0</v>
      </c>
      <c r="BV52" s="12">
        <f t="shared" si="21"/>
        <v>0</v>
      </c>
      <c r="BX52" s="12">
        <f t="shared" si="22"/>
        <v>0</v>
      </c>
      <c r="BY52" s="12">
        <f t="shared" si="23"/>
        <v>8.5207067177144012E-3</v>
      </c>
    </row>
    <row r="53" spans="1:77" x14ac:dyDescent="0.3">
      <c r="A53" s="1">
        <v>46099</v>
      </c>
      <c r="B53" s="8">
        <v>93.63</v>
      </c>
      <c r="C53" s="8">
        <v>104.23</v>
      </c>
      <c r="D53" s="9">
        <v>-2.98603186572452E-3</v>
      </c>
      <c r="E53" s="9">
        <v>-1.8212322311754101E-3</v>
      </c>
      <c r="F53" s="8">
        <v>0</v>
      </c>
      <c r="G53" s="8">
        <v>0.23269999999999999</v>
      </c>
      <c r="H53" s="8">
        <v>0</v>
      </c>
      <c r="I53" s="8">
        <v>0.23710000000000001</v>
      </c>
      <c r="J53" s="8">
        <v>0.23269999999999999</v>
      </c>
      <c r="K53" s="8">
        <v>0.23710000000000001</v>
      </c>
      <c r="L53" s="8">
        <v>93.862699999999904</v>
      </c>
      <c r="M53" s="8">
        <v>104.4671</v>
      </c>
      <c r="N53" s="10">
        <v>1.11321157748584</v>
      </c>
      <c r="O53" s="10">
        <v>1.1144207265719701</v>
      </c>
      <c r="P53" s="10">
        <v>1.11162626795834</v>
      </c>
      <c r="Q53" s="10">
        <v>1.11041010004442</v>
      </c>
      <c r="R53" s="8">
        <v>104.343212628934</v>
      </c>
      <c r="S53" s="8">
        <v>104.060572575865</v>
      </c>
      <c r="T53" s="8">
        <v>103.940326315352</v>
      </c>
      <c r="U53" s="9">
        <v>1.08559137221631E-3</v>
      </c>
      <c r="V53" s="9">
        <v>-1.6268375414806599E-3</v>
      </c>
      <c r="W53" s="9">
        <v>-2.7830467170157601E-3</v>
      </c>
      <c r="X53" s="10">
        <v>1.1129777856379499</v>
      </c>
      <c r="Y53" s="10">
        <v>1.1140664646848899</v>
      </c>
      <c r="Z53" s="10">
        <v>1.11139450229898</v>
      </c>
      <c r="AA53" s="10">
        <v>1.11030359808301</v>
      </c>
      <c r="AB53" s="8">
        <v>104.569286354778</v>
      </c>
      <c r="AC53" s="8">
        <v>104.297502042853</v>
      </c>
      <c r="AD53" s="8">
        <v>104.19034150515699</v>
      </c>
      <c r="AE53" s="9">
        <v>9.7768971900537294E-4</v>
      </c>
      <c r="AF53" s="9">
        <v>-1.62477731183777E-3</v>
      </c>
      <c r="AG53" s="9">
        <v>-2.65275616478687E-3</v>
      </c>
      <c r="AH53" s="12"/>
      <c r="AZ53" s="9"/>
      <c r="BB53">
        <f t="shared" si="6"/>
        <v>0</v>
      </c>
      <c r="BC53">
        <f t="shared" si="7"/>
        <v>1</v>
      </c>
      <c r="BD53">
        <f t="shared" si="8"/>
        <v>0</v>
      </c>
      <c r="BE53">
        <f t="shared" si="4"/>
        <v>1</v>
      </c>
      <c r="BF53">
        <f t="shared" si="9"/>
        <v>0</v>
      </c>
      <c r="BG53" s="9">
        <f t="shared" si="10"/>
        <v>0</v>
      </c>
      <c r="BH53" s="9">
        <f t="shared" si="11"/>
        <v>0</v>
      </c>
      <c r="BI53" s="9">
        <f t="shared" si="12"/>
        <v>0</v>
      </c>
      <c r="BJ53" s="12">
        <f t="shared" si="13"/>
        <v>8.5207067177144012E-3</v>
      </c>
      <c r="BL53" s="9"/>
      <c r="BN53">
        <f t="shared" si="14"/>
        <v>0</v>
      </c>
      <c r="BO53">
        <f t="shared" si="15"/>
        <v>1</v>
      </c>
      <c r="BP53">
        <f t="shared" si="16"/>
        <v>0</v>
      </c>
      <c r="BQ53">
        <f t="shared" si="5"/>
        <v>1</v>
      </c>
      <c r="BR53">
        <f t="shared" si="17"/>
        <v>0</v>
      </c>
      <c r="BS53" s="9">
        <f t="shared" si="18"/>
        <v>0</v>
      </c>
      <c r="BT53" s="9">
        <f t="shared" si="19"/>
        <v>0</v>
      </c>
      <c r="BU53" s="9">
        <f t="shared" si="20"/>
        <v>0</v>
      </c>
      <c r="BV53" s="12">
        <f t="shared" si="21"/>
        <v>0</v>
      </c>
      <c r="BX53" s="12">
        <f t="shared" si="22"/>
        <v>0</v>
      </c>
      <c r="BY53" s="12">
        <f t="shared" si="23"/>
        <v>8.5207067177144012E-3</v>
      </c>
    </row>
    <row r="54" spans="1:77" x14ac:dyDescent="0.3">
      <c r="A54" s="1">
        <v>46100</v>
      </c>
      <c r="B54" s="8">
        <v>94.11</v>
      </c>
      <c r="C54" s="8">
        <v>104.79</v>
      </c>
      <c r="D54" s="9">
        <v>5.1134659198987702E-3</v>
      </c>
      <c r="E54" s="9">
        <v>5.3583517356194299E-3</v>
      </c>
      <c r="F54" s="8">
        <v>0</v>
      </c>
      <c r="G54" s="8">
        <v>0.23269999999999999</v>
      </c>
      <c r="H54" s="8">
        <v>0</v>
      </c>
      <c r="I54" s="8">
        <v>0.23710000000000001</v>
      </c>
      <c r="J54" s="8">
        <v>0.23269999999999999</v>
      </c>
      <c r="K54" s="8">
        <v>0.23710000000000001</v>
      </c>
      <c r="L54" s="8">
        <v>94.342699999999994</v>
      </c>
      <c r="M54" s="8">
        <v>105.0271</v>
      </c>
      <c r="N54" s="10">
        <v>1.1134842205929201</v>
      </c>
      <c r="O54" s="10">
        <v>1.1144207265719701</v>
      </c>
      <c r="P54" s="10">
        <v>1.1119364269049901</v>
      </c>
      <c r="Q54" s="10">
        <v>1.11067264546025</v>
      </c>
      <c r="R54" s="8">
        <v>104.878134577688</v>
      </c>
      <c r="S54" s="8">
        <v>104.615148077559</v>
      </c>
      <c r="T54" s="8">
        <v>104.50069451518</v>
      </c>
      <c r="U54" s="9">
        <v>8.4070555649567698E-4</v>
      </c>
      <c r="V54" s="9">
        <v>-1.6699872441735999E-3</v>
      </c>
      <c r="W54" s="9">
        <v>-2.7646300257833899E-3</v>
      </c>
      <c r="X54" s="10">
        <v>1.11325094575414</v>
      </c>
      <c r="Y54" s="10">
        <v>1.1140664646848899</v>
      </c>
      <c r="Z54" s="10">
        <v>1.1117041550570199</v>
      </c>
      <c r="AA54" s="10">
        <v>1.11054823658715</v>
      </c>
      <c r="AB54" s="8">
        <v>105.104038257827</v>
      </c>
      <c r="AC54" s="8">
        <v>104.851958112042</v>
      </c>
      <c r="AD54" s="8">
        <v>104.74903926286601</v>
      </c>
      <c r="AE54" s="9">
        <v>7.3228805500740997E-4</v>
      </c>
      <c r="AF54" s="9">
        <v>-1.66897955600995E-3</v>
      </c>
      <c r="AG54" s="9">
        <v>-2.65102504946733E-3</v>
      </c>
      <c r="AH54" s="12"/>
      <c r="AZ54" s="9"/>
      <c r="BB54">
        <f t="shared" si="6"/>
        <v>0</v>
      </c>
      <c r="BC54">
        <f t="shared" si="7"/>
        <v>1</v>
      </c>
      <c r="BD54">
        <f t="shared" si="8"/>
        <v>0</v>
      </c>
      <c r="BE54">
        <f t="shared" si="4"/>
        <v>1</v>
      </c>
      <c r="BF54">
        <f t="shared" si="9"/>
        <v>0</v>
      </c>
      <c r="BG54" s="9">
        <f t="shared" si="10"/>
        <v>0</v>
      </c>
      <c r="BH54" s="9">
        <f t="shared" si="11"/>
        <v>0</v>
      </c>
      <c r="BI54" s="9">
        <f t="shared" si="12"/>
        <v>0</v>
      </c>
      <c r="BJ54" s="12">
        <f t="shared" si="13"/>
        <v>8.5207067177144012E-3</v>
      </c>
      <c r="BL54" s="9"/>
      <c r="BN54">
        <f t="shared" si="14"/>
        <v>0</v>
      </c>
      <c r="BO54">
        <f t="shared" si="15"/>
        <v>1</v>
      </c>
      <c r="BP54">
        <f t="shared" si="16"/>
        <v>0</v>
      </c>
      <c r="BQ54">
        <f t="shared" si="5"/>
        <v>1</v>
      </c>
      <c r="BR54">
        <f t="shared" si="17"/>
        <v>0</v>
      </c>
      <c r="BS54" s="9">
        <f t="shared" si="18"/>
        <v>0</v>
      </c>
      <c r="BT54" s="9">
        <f t="shared" si="19"/>
        <v>0</v>
      </c>
      <c r="BU54" s="9">
        <f t="shared" si="20"/>
        <v>0</v>
      </c>
      <c r="BV54" s="12">
        <f t="shared" si="21"/>
        <v>0</v>
      </c>
      <c r="BX54" s="12">
        <f t="shared" si="22"/>
        <v>0</v>
      </c>
      <c r="BY54" s="12">
        <f t="shared" si="23"/>
        <v>8.5207067177144012E-3</v>
      </c>
    </row>
    <row r="55" spans="1:77" x14ac:dyDescent="0.3">
      <c r="A55" s="1">
        <v>46101</v>
      </c>
      <c r="B55" s="8">
        <v>91.98</v>
      </c>
      <c r="C55" s="8">
        <v>102.46</v>
      </c>
      <c r="D55" s="9">
        <v>-2.28931487589186E-2</v>
      </c>
      <c r="E55" s="9">
        <v>-2.2485868975794101E-2</v>
      </c>
      <c r="F55" s="8">
        <v>0</v>
      </c>
      <c r="G55" s="8">
        <v>0.23269999999999999</v>
      </c>
      <c r="H55" s="8">
        <v>0</v>
      </c>
      <c r="I55" s="8">
        <v>0.23710000000000001</v>
      </c>
      <c r="J55" s="8">
        <v>0.23269999999999999</v>
      </c>
      <c r="K55" s="8">
        <v>0.23710000000000001</v>
      </c>
      <c r="L55" s="8">
        <v>92.212699999999998</v>
      </c>
      <c r="M55" s="8">
        <v>102.697099999999</v>
      </c>
      <c r="N55" s="10">
        <v>1.11393781256794</v>
      </c>
      <c r="O55" s="10">
        <v>1.1144207265719701</v>
      </c>
      <c r="P55" s="10">
        <v>1.1124477908199799</v>
      </c>
      <c r="Q55" s="10">
        <v>1.11086974741579</v>
      </c>
      <c r="R55" s="8">
        <v>102.50441843009</v>
      </c>
      <c r="S55" s="8">
        <v>102.275912546721</v>
      </c>
      <c r="T55" s="8">
        <v>102.159669929434</v>
      </c>
      <c r="U55" s="9">
        <v>4.3342577337116797E-4</v>
      </c>
      <c r="V55" s="9">
        <v>-1.7982922546230999E-3</v>
      </c>
      <c r="W55" s="9">
        <v>-2.9354977098206099E-3</v>
      </c>
      <c r="X55" s="10">
        <v>1.11369800472169</v>
      </c>
      <c r="Y55" s="10">
        <v>1.1140664646848899</v>
      </c>
      <c r="Z55" s="10">
        <v>1.1122143871207</v>
      </c>
      <c r="AA55" s="10">
        <v>1.11072716276326</v>
      </c>
      <c r="AB55" s="8">
        <v>102.73107668804801</v>
      </c>
      <c r="AC55" s="8">
        <v>102.513241739026</v>
      </c>
      <c r="AD55" s="8">
        <v>102.40665137594</v>
      </c>
      <c r="AE55" s="9">
        <v>3.30788978476899E-4</v>
      </c>
      <c r="AF55" s="9">
        <v>-1.7919010183508901E-3</v>
      </c>
      <c r="AG55" s="9">
        <v>-2.8322136115236899E-3</v>
      </c>
      <c r="AH55" s="12"/>
      <c r="AZ55" s="9"/>
      <c r="BB55">
        <f t="shared" si="6"/>
        <v>0</v>
      </c>
      <c r="BC55">
        <f t="shared" si="7"/>
        <v>1</v>
      </c>
      <c r="BD55">
        <f t="shared" si="8"/>
        <v>0</v>
      </c>
      <c r="BE55">
        <f t="shared" si="4"/>
        <v>1</v>
      </c>
      <c r="BF55">
        <f t="shared" si="9"/>
        <v>0</v>
      </c>
      <c r="BG55" s="9">
        <f t="shared" si="10"/>
        <v>0</v>
      </c>
      <c r="BH55" s="9">
        <f t="shared" si="11"/>
        <v>0</v>
      </c>
      <c r="BI55" s="9">
        <f t="shared" si="12"/>
        <v>0</v>
      </c>
      <c r="BJ55" s="12">
        <f t="shared" si="13"/>
        <v>8.5207067177144012E-3</v>
      </c>
      <c r="BL55" s="9"/>
      <c r="BN55">
        <f t="shared" si="14"/>
        <v>0</v>
      </c>
      <c r="BO55">
        <f t="shared" si="15"/>
        <v>1</v>
      </c>
      <c r="BP55">
        <f t="shared" si="16"/>
        <v>0</v>
      </c>
      <c r="BQ55">
        <f t="shared" si="5"/>
        <v>1</v>
      </c>
      <c r="BR55">
        <f t="shared" si="17"/>
        <v>0</v>
      </c>
      <c r="BS55" s="9">
        <f t="shared" si="18"/>
        <v>0</v>
      </c>
      <c r="BT55" s="9">
        <f t="shared" si="19"/>
        <v>0</v>
      </c>
      <c r="BU55" s="9">
        <f t="shared" si="20"/>
        <v>0</v>
      </c>
      <c r="BV55" s="12">
        <f t="shared" si="21"/>
        <v>0</v>
      </c>
      <c r="BX55" s="12">
        <f t="shared" si="22"/>
        <v>0</v>
      </c>
      <c r="BY55" s="12">
        <f t="shared" si="23"/>
        <v>8.5207067177144012E-3</v>
      </c>
    </row>
    <row r="56" spans="1:77" x14ac:dyDescent="0.3">
      <c r="A56" s="1">
        <v>46104</v>
      </c>
      <c r="B56" s="8">
        <v>92.72</v>
      </c>
      <c r="C56" s="8">
        <v>103.16</v>
      </c>
      <c r="D56" s="9">
        <v>8.0130369197184501E-3</v>
      </c>
      <c r="E56" s="9">
        <v>6.8087025020877202E-3</v>
      </c>
      <c r="F56" s="8">
        <v>0</v>
      </c>
      <c r="G56" s="8">
        <v>0.23269999999999999</v>
      </c>
      <c r="H56" s="8">
        <v>0</v>
      </c>
      <c r="I56" s="8">
        <v>0.23710000000000001</v>
      </c>
      <c r="J56" s="8">
        <v>0.23269999999999999</v>
      </c>
      <c r="K56" s="8">
        <v>0.23710000000000001</v>
      </c>
      <c r="L56" s="8">
        <v>92.952699999999993</v>
      </c>
      <c r="M56" s="8">
        <v>103.39709999999999</v>
      </c>
      <c r="N56" s="10">
        <v>1.1125970664365801</v>
      </c>
      <c r="O56" s="10">
        <v>1.1144207265719701</v>
      </c>
      <c r="P56" s="10">
        <v>1.1126059576768399</v>
      </c>
      <c r="Q56" s="10">
        <v>1.11106031464391</v>
      </c>
      <c r="R56" s="8">
        <v>103.329089767753</v>
      </c>
      <c r="S56" s="8">
        <v>103.146159164829</v>
      </c>
      <c r="T56" s="8">
        <v>102.999842980392</v>
      </c>
      <c r="U56" s="9">
        <v>1.6377601910016399E-3</v>
      </c>
      <c r="V56" s="9">
        <v>-1.3417762462734599E-4</v>
      </c>
      <c r="W56" s="9">
        <v>-1.5537172468830501E-3</v>
      </c>
      <c r="X56" s="10">
        <v>1.11236252416551</v>
      </c>
      <c r="Y56" s="10">
        <v>1.1140664646848899</v>
      </c>
      <c r="Z56" s="10">
        <v>1.1123721208691599</v>
      </c>
      <c r="AA56" s="10">
        <v>1.11089972865388</v>
      </c>
      <c r="AB56" s="8">
        <v>103.555485871915</v>
      </c>
      <c r="AC56" s="8">
        <v>103.38333026171399</v>
      </c>
      <c r="AD56" s="8">
        <v>103.245088742184</v>
      </c>
      <c r="AE56" s="9">
        <v>1.5306491791012801E-3</v>
      </c>
      <c r="AF56" s="9">
        <v>-1.3318221930582E-4</v>
      </c>
      <c r="AG56" s="9">
        <v>-1.47125121119127E-3</v>
      </c>
      <c r="AH56" s="12"/>
      <c r="AZ56" s="9"/>
      <c r="BB56">
        <f t="shared" si="6"/>
        <v>0</v>
      </c>
      <c r="BC56">
        <f t="shared" si="7"/>
        <v>1</v>
      </c>
      <c r="BD56">
        <f t="shared" si="8"/>
        <v>0</v>
      </c>
      <c r="BE56">
        <f t="shared" si="4"/>
        <v>1</v>
      </c>
      <c r="BF56">
        <f t="shared" si="9"/>
        <v>0</v>
      </c>
      <c r="BG56" s="9">
        <f t="shared" si="10"/>
        <v>0</v>
      </c>
      <c r="BH56" s="9">
        <f t="shared" si="11"/>
        <v>0</v>
      </c>
      <c r="BI56" s="9">
        <f t="shared" si="12"/>
        <v>0</v>
      </c>
      <c r="BJ56" s="12">
        <f t="shared" si="13"/>
        <v>8.5207067177144012E-3</v>
      </c>
      <c r="BL56" s="9"/>
      <c r="BN56">
        <f t="shared" si="14"/>
        <v>0</v>
      </c>
      <c r="BO56">
        <f t="shared" si="15"/>
        <v>1</v>
      </c>
      <c r="BP56">
        <f t="shared" si="16"/>
        <v>0</v>
      </c>
      <c r="BQ56">
        <f t="shared" si="5"/>
        <v>1</v>
      </c>
      <c r="BR56">
        <f t="shared" si="17"/>
        <v>0</v>
      </c>
      <c r="BS56" s="9">
        <f t="shared" si="18"/>
        <v>0</v>
      </c>
      <c r="BT56" s="9">
        <f t="shared" si="19"/>
        <v>0</v>
      </c>
      <c r="BU56" s="9">
        <f t="shared" si="20"/>
        <v>0</v>
      </c>
      <c r="BV56" s="12">
        <f t="shared" si="21"/>
        <v>0</v>
      </c>
      <c r="BX56" s="12">
        <f t="shared" si="22"/>
        <v>0</v>
      </c>
      <c r="BY56" s="12">
        <f t="shared" si="23"/>
        <v>8.5207067177144012E-3</v>
      </c>
    </row>
    <row r="57" spans="1:77" x14ac:dyDescent="0.3">
      <c r="A57" s="1">
        <v>46105</v>
      </c>
      <c r="B57" s="8">
        <v>92.97</v>
      </c>
      <c r="C57" s="8">
        <v>103.66</v>
      </c>
      <c r="D57" s="9">
        <v>2.6926614362703201E-3</v>
      </c>
      <c r="E57" s="9">
        <v>4.8351317484165704E-3</v>
      </c>
      <c r="F57" s="8">
        <v>0</v>
      </c>
      <c r="G57" s="8">
        <v>0.23269999999999999</v>
      </c>
      <c r="H57" s="8">
        <v>0</v>
      </c>
      <c r="I57" s="8">
        <v>0.23710000000000001</v>
      </c>
      <c r="J57" s="8">
        <v>0.23269999999999999</v>
      </c>
      <c r="K57" s="8">
        <v>0.23710000000000001</v>
      </c>
      <c r="L57" s="8">
        <v>93.202699999999993</v>
      </c>
      <c r="M57" s="8">
        <v>103.89709999999999</v>
      </c>
      <c r="N57" s="10">
        <v>1.1149833279552499</v>
      </c>
      <c r="O57" s="10">
        <v>1.1144207265719701</v>
      </c>
      <c r="P57" s="10">
        <v>1.1128259333064701</v>
      </c>
      <c r="Q57" s="10">
        <v>1.11154660041793</v>
      </c>
      <c r="R57" s="8">
        <v>103.60769494939601</v>
      </c>
      <c r="S57" s="8">
        <v>103.438975885216</v>
      </c>
      <c r="T57" s="8">
        <v>103.29527745244501</v>
      </c>
      <c r="U57" s="9">
        <v>-5.0471012114430705E-4</v>
      </c>
      <c r="V57" s="9">
        <v>-2.1344789152540201E-3</v>
      </c>
      <c r="W57" s="9">
        <v>-3.5246545014858302E-3</v>
      </c>
      <c r="X57" s="10">
        <v>1.11474345700285</v>
      </c>
      <c r="Y57" s="10">
        <v>1.1140664646848899</v>
      </c>
      <c r="Z57" s="10">
        <v>1.11259153722913</v>
      </c>
      <c r="AA57" s="10">
        <v>1.11136763810191</v>
      </c>
      <c r="AB57" s="8">
        <v>103.834002488086</v>
      </c>
      <c r="AC57" s="8">
        <v>103.676085069732</v>
      </c>
      <c r="AD57" s="8">
        <v>103.538854139809</v>
      </c>
      <c r="AE57" s="9">
        <v>-6.0749221563846396E-4</v>
      </c>
      <c r="AF57" s="9">
        <v>-2.1295141153768898E-3</v>
      </c>
      <c r="AG57" s="9">
        <v>-3.4540416857227799E-3</v>
      </c>
      <c r="AH57" s="12"/>
      <c r="AZ57" s="9"/>
      <c r="BB57">
        <f t="shared" si="6"/>
        <v>0</v>
      </c>
      <c r="BC57">
        <f t="shared" si="7"/>
        <v>0</v>
      </c>
      <c r="BD57">
        <f t="shared" si="8"/>
        <v>0</v>
      </c>
      <c r="BE57">
        <f t="shared" si="4"/>
        <v>1</v>
      </c>
      <c r="BF57">
        <f t="shared" si="9"/>
        <v>0</v>
      </c>
      <c r="BG57" s="9">
        <f t="shared" si="10"/>
        <v>0</v>
      </c>
      <c r="BH57" s="9">
        <f t="shared" si="11"/>
        <v>0</v>
      </c>
      <c r="BI57" s="9">
        <f t="shared" si="12"/>
        <v>0</v>
      </c>
      <c r="BJ57" s="12">
        <f t="shared" si="13"/>
        <v>8.5207067177144012E-3</v>
      </c>
      <c r="BL57" s="9"/>
      <c r="BN57">
        <f t="shared" si="14"/>
        <v>0</v>
      </c>
      <c r="BO57">
        <f t="shared" si="15"/>
        <v>1</v>
      </c>
      <c r="BP57">
        <f t="shared" si="16"/>
        <v>0</v>
      </c>
      <c r="BQ57">
        <f t="shared" si="5"/>
        <v>1</v>
      </c>
      <c r="BR57">
        <f t="shared" si="17"/>
        <v>0</v>
      </c>
      <c r="BS57" s="9">
        <f t="shared" si="18"/>
        <v>0</v>
      </c>
      <c r="BT57" s="9">
        <f t="shared" si="19"/>
        <v>0</v>
      </c>
      <c r="BU57" s="9">
        <f t="shared" si="20"/>
        <v>0</v>
      </c>
      <c r="BV57" s="12">
        <f t="shared" si="21"/>
        <v>0</v>
      </c>
      <c r="BX57" s="12">
        <f t="shared" si="22"/>
        <v>0</v>
      </c>
      <c r="BY57" s="12">
        <f t="shared" si="23"/>
        <v>8.5207067177144012E-3</v>
      </c>
    </row>
    <row r="58" spans="1:77" x14ac:dyDescent="0.3">
      <c r="A58" s="1">
        <v>46106</v>
      </c>
      <c r="B58" s="8">
        <v>93.49</v>
      </c>
      <c r="C58" s="8">
        <v>104.32</v>
      </c>
      <c r="D58" s="9">
        <v>5.5776182354575904E-3</v>
      </c>
      <c r="E58" s="9">
        <v>6.3467854167822196E-3</v>
      </c>
      <c r="F58" s="8">
        <v>0</v>
      </c>
      <c r="G58" s="8">
        <v>0.23269999999999999</v>
      </c>
      <c r="H58" s="8">
        <v>0</v>
      </c>
      <c r="I58" s="8">
        <v>0.23710000000000001</v>
      </c>
      <c r="J58" s="8">
        <v>0.23269999999999999</v>
      </c>
      <c r="K58" s="8">
        <v>0.23710000000000001</v>
      </c>
      <c r="L58" s="8">
        <v>93.722699999999904</v>
      </c>
      <c r="M58" s="8">
        <v>104.557099999999</v>
      </c>
      <c r="N58" s="10">
        <v>1.1158412664456001</v>
      </c>
      <c r="O58" s="10">
        <v>1.1144207265719701</v>
      </c>
      <c r="P58" s="10">
        <v>1.11301359125119</v>
      </c>
      <c r="Q58" s="10">
        <v>1.1120730289357701</v>
      </c>
      <c r="R58" s="8">
        <v>104.18719372721399</v>
      </c>
      <c r="S58" s="8">
        <v>104.03809650482199</v>
      </c>
      <c r="T58" s="8">
        <v>103.918491673072</v>
      </c>
      <c r="U58" s="9">
        <v>-1.2738773024689499E-3</v>
      </c>
      <c r="V58" s="9">
        <v>-2.7059535666596698E-3</v>
      </c>
      <c r="W58" s="9">
        <v>-3.85624022971772E-3</v>
      </c>
      <c r="X58" s="10">
        <v>1.11560059622695</v>
      </c>
      <c r="Y58" s="10">
        <v>1.1140664646848899</v>
      </c>
      <c r="Z58" s="10">
        <v>1.1127787393231701</v>
      </c>
      <c r="AA58" s="10">
        <v>1.1118757001619499</v>
      </c>
      <c r="AB58" s="8">
        <v>104.413317049722</v>
      </c>
      <c r="AC58" s="8">
        <v>104.275082866265</v>
      </c>
      <c r="AD58" s="8">
        <v>104.160375735534</v>
      </c>
      <c r="AE58" s="9">
        <v>-1.3761083984700699E-3</v>
      </c>
      <c r="AF58" s="9">
        <v>-2.7008988873622498E-3</v>
      </c>
      <c r="AG58" s="9">
        <v>-3.8015479139718099E-3</v>
      </c>
      <c r="AH58" s="12"/>
      <c r="AZ58" s="9"/>
      <c r="BB58">
        <f t="shared" si="6"/>
        <v>0</v>
      </c>
      <c r="BC58">
        <f t="shared" si="7"/>
        <v>0</v>
      </c>
      <c r="BD58">
        <f t="shared" si="8"/>
        <v>0</v>
      </c>
      <c r="BE58">
        <f t="shared" si="4"/>
        <v>1</v>
      </c>
      <c r="BF58">
        <f t="shared" si="9"/>
        <v>0</v>
      </c>
      <c r="BG58" s="9">
        <f t="shared" si="10"/>
        <v>0</v>
      </c>
      <c r="BH58" s="9">
        <f t="shared" si="11"/>
        <v>0</v>
      </c>
      <c r="BI58" s="9">
        <f t="shared" si="12"/>
        <v>0</v>
      </c>
      <c r="BJ58" s="12">
        <f t="shared" si="13"/>
        <v>8.5207067177144012E-3</v>
      </c>
      <c r="BL58" s="9"/>
      <c r="BN58">
        <f t="shared" si="14"/>
        <v>0</v>
      </c>
      <c r="BO58">
        <f t="shared" si="15"/>
        <v>1</v>
      </c>
      <c r="BP58">
        <f t="shared" si="16"/>
        <v>0</v>
      </c>
      <c r="BQ58">
        <f t="shared" si="5"/>
        <v>1</v>
      </c>
      <c r="BR58">
        <f t="shared" si="17"/>
        <v>0</v>
      </c>
      <c r="BS58" s="9">
        <f t="shared" si="18"/>
        <v>0</v>
      </c>
      <c r="BT58" s="9">
        <f t="shared" si="19"/>
        <v>0</v>
      </c>
      <c r="BU58" s="9">
        <f t="shared" si="20"/>
        <v>0</v>
      </c>
      <c r="BV58" s="12">
        <f t="shared" si="21"/>
        <v>0</v>
      </c>
      <c r="BX58" s="12">
        <f t="shared" si="22"/>
        <v>0</v>
      </c>
      <c r="BY58" s="12">
        <f t="shared" si="23"/>
        <v>8.5207067177144012E-3</v>
      </c>
    </row>
    <row r="59" spans="1:77" x14ac:dyDescent="0.3">
      <c r="A59" s="1">
        <v>46107</v>
      </c>
      <c r="B59" s="8">
        <v>91.43</v>
      </c>
      <c r="C59" s="8">
        <v>102</v>
      </c>
      <c r="D59" s="9">
        <v>-2.2280826526889001E-2</v>
      </c>
      <c r="E59" s="9">
        <v>-2.2490284894071601E-2</v>
      </c>
      <c r="F59" s="8">
        <v>0</v>
      </c>
      <c r="G59" s="8">
        <v>0.23269999999999999</v>
      </c>
      <c r="H59" s="8">
        <v>0</v>
      </c>
      <c r="I59" s="8">
        <v>0.23710000000000001</v>
      </c>
      <c r="J59" s="8">
        <v>0.23269999999999999</v>
      </c>
      <c r="K59" s="8">
        <v>0.23710000000000001</v>
      </c>
      <c r="L59" s="8">
        <v>91.662700000000001</v>
      </c>
      <c r="M59" s="8">
        <v>102.2371</v>
      </c>
      <c r="N59" s="10">
        <v>1.1156075686317399</v>
      </c>
      <c r="O59" s="10">
        <v>1.1144207265719701</v>
      </c>
      <c r="P59" s="10">
        <v>1.113708326165</v>
      </c>
      <c r="Q59" s="10">
        <v>1.11242582768923</v>
      </c>
      <c r="R59" s="8">
        <v>101.89148703047501</v>
      </c>
      <c r="S59" s="8">
        <v>101.762832648097</v>
      </c>
      <c r="T59" s="8">
        <v>101.676837035598</v>
      </c>
      <c r="U59" s="9">
        <v>-1.06441893528628E-3</v>
      </c>
      <c r="V59" s="9">
        <v>-2.32787752232996E-3</v>
      </c>
      <c r="W59" s="9">
        <v>-3.1732939325564199E-3</v>
      </c>
      <c r="X59" s="10">
        <v>1.11536208294104</v>
      </c>
      <c r="Y59" s="10">
        <v>1.1140664646848899</v>
      </c>
      <c r="Z59" s="10">
        <v>1.11347156237058</v>
      </c>
      <c r="AA59" s="10">
        <v>1.1122100017822101</v>
      </c>
      <c r="AB59" s="8">
        <v>102.118340132472</v>
      </c>
      <c r="AC59" s="8">
        <v>102.000303748958</v>
      </c>
      <c r="AD59" s="8">
        <v>101.917528741235</v>
      </c>
      <c r="AE59" s="9">
        <v>-1.1622874421206701E-3</v>
      </c>
      <c r="AF59" s="9">
        <v>-2.3188343839038801E-3</v>
      </c>
      <c r="AG59" s="9">
        <v>-3.1306811092061998E-3</v>
      </c>
      <c r="AH59" s="12"/>
      <c r="AZ59" s="9"/>
      <c r="BB59">
        <f t="shared" si="6"/>
        <v>0</v>
      </c>
      <c r="BC59">
        <f t="shared" si="7"/>
        <v>0</v>
      </c>
      <c r="BD59">
        <f t="shared" si="8"/>
        <v>0</v>
      </c>
      <c r="BE59">
        <f t="shared" si="4"/>
        <v>1</v>
      </c>
      <c r="BF59">
        <f t="shared" si="9"/>
        <v>0</v>
      </c>
      <c r="BG59" s="9">
        <f t="shared" si="10"/>
        <v>0</v>
      </c>
      <c r="BH59" s="9">
        <f t="shared" si="11"/>
        <v>0</v>
      </c>
      <c r="BI59" s="9">
        <f t="shared" si="12"/>
        <v>0</v>
      </c>
      <c r="BJ59" s="12">
        <f t="shared" si="13"/>
        <v>8.5207067177144012E-3</v>
      </c>
      <c r="BL59" s="9"/>
      <c r="BN59">
        <f t="shared" si="14"/>
        <v>0</v>
      </c>
      <c r="BO59">
        <f t="shared" si="15"/>
        <v>1</v>
      </c>
      <c r="BP59">
        <f t="shared" si="16"/>
        <v>0</v>
      </c>
      <c r="BQ59">
        <f t="shared" si="5"/>
        <v>1</v>
      </c>
      <c r="BR59">
        <f t="shared" si="17"/>
        <v>0</v>
      </c>
      <c r="BS59" s="9">
        <f t="shared" si="18"/>
        <v>0</v>
      </c>
      <c r="BT59" s="9">
        <f t="shared" si="19"/>
        <v>0</v>
      </c>
      <c r="BU59" s="9">
        <f t="shared" si="20"/>
        <v>0</v>
      </c>
      <c r="BV59" s="12">
        <f t="shared" si="21"/>
        <v>0</v>
      </c>
      <c r="BX59" s="12">
        <f t="shared" si="22"/>
        <v>0</v>
      </c>
      <c r="BY59" s="12">
        <f t="shared" si="23"/>
        <v>8.5207067177144012E-3</v>
      </c>
    </row>
    <row r="60" spans="1:77" x14ac:dyDescent="0.3">
      <c r="A60" s="1">
        <v>46108</v>
      </c>
      <c r="B60" s="8">
        <v>89.81</v>
      </c>
      <c r="C60" s="8">
        <v>100.84</v>
      </c>
      <c r="D60" s="9">
        <v>-1.7877324493476801E-2</v>
      </c>
      <c r="E60" s="9">
        <v>-1.14377109645519E-2</v>
      </c>
      <c r="F60" s="8">
        <v>0</v>
      </c>
      <c r="G60" s="8">
        <v>0.23269999999999999</v>
      </c>
      <c r="H60" s="8">
        <v>0</v>
      </c>
      <c r="I60" s="8">
        <v>0.23710000000000001</v>
      </c>
      <c r="J60" s="8">
        <v>0.23269999999999999</v>
      </c>
      <c r="K60" s="8">
        <v>0.23710000000000001</v>
      </c>
      <c r="L60" s="8">
        <v>90.042699999999996</v>
      </c>
      <c r="M60" s="8">
        <v>101.0771</v>
      </c>
      <c r="N60" s="10">
        <v>1.1228148313105399</v>
      </c>
      <c r="O60" s="10">
        <v>1.1144207265719701</v>
      </c>
      <c r="P60" s="10">
        <v>1.1147459201054</v>
      </c>
      <c r="Q60" s="10">
        <v>1.1130569273814801</v>
      </c>
      <c r="R60" s="8">
        <v>100.08612545342901</v>
      </c>
      <c r="S60" s="8">
        <v>100.022144772879</v>
      </c>
      <c r="T60" s="8">
        <v>99.906963584770097</v>
      </c>
      <c r="U60" s="9">
        <v>-7.5040324642111703E-3</v>
      </c>
      <c r="V60" s="9">
        <v>-8.14349311876204E-3</v>
      </c>
      <c r="W60" s="9">
        <v>-9.2957135412755597E-3</v>
      </c>
      <c r="X60" s="10">
        <v>1.1225463030317799</v>
      </c>
      <c r="Y60" s="10">
        <v>1.1140664646848899</v>
      </c>
      <c r="Z60" s="10">
        <v>1.1145058881096299</v>
      </c>
      <c r="AA60" s="10">
        <v>1.1128214816403299</v>
      </c>
      <c r="AB60" s="8">
        <v>100.313552459682</v>
      </c>
      <c r="AC60" s="8">
        <v>100.259985849065</v>
      </c>
      <c r="AD60" s="8">
        <v>100.146391527475</v>
      </c>
      <c r="AE60" s="9">
        <v>-7.5827868827896298E-3</v>
      </c>
      <c r="AF60" s="9">
        <v>-8.1169212690294593E-3</v>
      </c>
      <c r="AG60" s="9">
        <v>-9.2505611785218302E-3</v>
      </c>
      <c r="AH60" s="12"/>
      <c r="AZ60" s="9"/>
      <c r="BB60">
        <f t="shared" si="6"/>
        <v>1</v>
      </c>
      <c r="BC60">
        <f t="shared" si="7"/>
        <v>0</v>
      </c>
      <c r="BD60">
        <f t="shared" si="8"/>
        <v>0</v>
      </c>
      <c r="BE60">
        <f t="shared" si="4"/>
        <v>1</v>
      </c>
      <c r="BF60">
        <f t="shared" si="9"/>
        <v>0</v>
      </c>
      <c r="BG60" s="9">
        <f t="shared" si="10"/>
        <v>0</v>
      </c>
      <c r="BH60" s="9">
        <f t="shared" si="11"/>
        <v>0</v>
      </c>
      <c r="BI60" s="9">
        <f t="shared" si="12"/>
        <v>0</v>
      </c>
      <c r="BJ60" s="12">
        <f t="shared" si="13"/>
        <v>8.5207067177144012E-3</v>
      </c>
      <c r="BL60" s="9"/>
      <c r="BN60">
        <f t="shared" si="14"/>
        <v>0</v>
      </c>
      <c r="BO60">
        <f t="shared" si="15"/>
        <v>1</v>
      </c>
      <c r="BP60">
        <f t="shared" si="16"/>
        <v>0</v>
      </c>
      <c r="BQ60">
        <f t="shared" si="5"/>
        <v>1</v>
      </c>
      <c r="BR60">
        <f t="shared" si="17"/>
        <v>0</v>
      </c>
      <c r="BS60" s="9">
        <f t="shared" si="18"/>
        <v>0</v>
      </c>
      <c r="BT60" s="9">
        <f t="shared" si="19"/>
        <v>0</v>
      </c>
      <c r="BU60" s="9">
        <f t="shared" si="20"/>
        <v>0</v>
      </c>
      <c r="BV60" s="12">
        <f t="shared" si="21"/>
        <v>0</v>
      </c>
      <c r="BX60" s="12">
        <f t="shared" si="22"/>
        <v>0</v>
      </c>
      <c r="BY60" s="12">
        <f t="shared" si="23"/>
        <v>8.5207067177144012E-3</v>
      </c>
    </row>
    <row r="61" spans="1:77" x14ac:dyDescent="0.3">
      <c r="A61" s="1">
        <v>46111</v>
      </c>
      <c r="B61" s="8">
        <v>89.04</v>
      </c>
      <c r="C61" s="8">
        <v>99.15</v>
      </c>
      <c r="D61" s="9">
        <v>-8.6106207155689403E-3</v>
      </c>
      <c r="E61" s="9">
        <v>-1.6901247353914E-2</v>
      </c>
      <c r="F61" s="8">
        <v>0</v>
      </c>
      <c r="G61" s="8">
        <v>0.23269999999999999</v>
      </c>
      <c r="H61" s="8">
        <v>0</v>
      </c>
      <c r="I61" s="8">
        <v>0.23710000000000001</v>
      </c>
      <c r="J61" s="8">
        <v>0.23269999999999999</v>
      </c>
      <c r="K61" s="8">
        <v>0.23710000000000001</v>
      </c>
      <c r="L61" s="8">
        <v>89.2727</v>
      </c>
      <c r="M61" s="8">
        <v>99.387100000000004</v>
      </c>
      <c r="N61" s="10">
        <v>1.1135444743935301</v>
      </c>
      <c r="O61" s="10">
        <v>1.1144207265719701</v>
      </c>
      <c r="P61" s="10">
        <v>1.1147937809753501</v>
      </c>
      <c r="Q61" s="10">
        <v>1.1129973978818199</v>
      </c>
      <c r="R61" s="8">
        <v>99.228021493968797</v>
      </c>
      <c r="S61" s="8">
        <v>99.2569767261853</v>
      </c>
      <c r="T61" s="8">
        <v>99.106588814047299</v>
      </c>
      <c r="U61" s="9">
        <v>7.8659417413388802E-4</v>
      </c>
      <c r="V61" s="9">
        <v>1.0783566013357899E-3</v>
      </c>
      <c r="W61" s="9">
        <v>-4.3792932084794602E-4</v>
      </c>
      <c r="X61" s="10">
        <v>1.1132977942864899</v>
      </c>
      <c r="Y61" s="10">
        <v>1.1140664646848899</v>
      </c>
      <c r="Z61" s="10">
        <v>1.1145525264412299</v>
      </c>
      <c r="AA61" s="10">
        <v>1.11276135774548</v>
      </c>
      <c r="AB61" s="8">
        <v>99.4557212818751</v>
      </c>
      <c r="AC61" s="8">
        <v>99.494949797445003</v>
      </c>
      <c r="AD61" s="8">
        <v>99.344578284033304</v>
      </c>
      <c r="AE61" s="9">
        <v>6.9020630623637703E-4</v>
      </c>
      <c r="AF61" s="9">
        <v>1.0845605033391701E-3</v>
      </c>
      <c r="AG61" s="9">
        <v>-4.2793093665518102E-4</v>
      </c>
      <c r="AH61" s="12"/>
      <c r="AZ61" s="9"/>
      <c r="BB61">
        <f t="shared" si="6"/>
        <v>0</v>
      </c>
      <c r="BC61">
        <f t="shared" si="7"/>
        <v>1</v>
      </c>
      <c r="BD61">
        <f t="shared" si="8"/>
        <v>1</v>
      </c>
      <c r="BE61">
        <f t="shared" si="4"/>
        <v>1</v>
      </c>
      <c r="BF61">
        <f t="shared" si="9"/>
        <v>1</v>
      </c>
      <c r="BG61" s="9">
        <f t="shared" si="10"/>
        <v>-8.6106207155689403E-3</v>
      </c>
      <c r="BH61" s="9">
        <f t="shared" si="11"/>
        <v>1.6901247353914E-2</v>
      </c>
      <c r="BI61" s="9">
        <f t="shared" si="12"/>
        <v>8.2906266383450597E-3</v>
      </c>
      <c r="BJ61" s="12">
        <f t="shared" si="13"/>
        <v>1.6811333356059461E-2</v>
      </c>
      <c r="BL61" s="9"/>
      <c r="BN61">
        <f t="shared" si="14"/>
        <v>0</v>
      </c>
      <c r="BO61">
        <f t="shared" si="15"/>
        <v>1</v>
      </c>
      <c r="BP61">
        <f t="shared" si="16"/>
        <v>0</v>
      </c>
      <c r="BQ61">
        <f t="shared" si="5"/>
        <v>1</v>
      </c>
      <c r="BR61">
        <f t="shared" si="17"/>
        <v>0</v>
      </c>
      <c r="BS61" s="9">
        <f t="shared" si="18"/>
        <v>0</v>
      </c>
      <c r="BT61" s="9">
        <f t="shared" si="19"/>
        <v>0</v>
      </c>
      <c r="BU61" s="9">
        <f t="shared" si="20"/>
        <v>0</v>
      </c>
      <c r="BV61" s="12">
        <f t="shared" si="21"/>
        <v>0</v>
      </c>
      <c r="BX61" s="12">
        <f t="shared" si="22"/>
        <v>8.2906266383450597E-3</v>
      </c>
      <c r="BY61" s="12">
        <f t="shared" si="23"/>
        <v>1.6811333356059461E-2</v>
      </c>
    </row>
    <row r="62" spans="1:77" x14ac:dyDescent="0.3">
      <c r="A62" s="1">
        <v>46112</v>
      </c>
      <c r="B62" s="8">
        <v>91.52</v>
      </c>
      <c r="C62" s="8">
        <v>101.79</v>
      </c>
      <c r="D62" s="9">
        <v>2.7471820664198301E-2</v>
      </c>
      <c r="E62" s="9">
        <v>2.6278012498443502E-2</v>
      </c>
      <c r="F62" s="8">
        <v>0</v>
      </c>
      <c r="G62" s="8">
        <v>0.23269999999999999</v>
      </c>
      <c r="H62" s="8">
        <v>0</v>
      </c>
      <c r="I62" s="8">
        <v>0.23710000000000001</v>
      </c>
      <c r="J62" s="8">
        <v>0.23269999999999999</v>
      </c>
      <c r="K62" s="8">
        <v>0.23710000000000001</v>
      </c>
      <c r="L62" s="8">
        <v>91.752699999999905</v>
      </c>
      <c r="M62" s="8">
        <v>102.0271</v>
      </c>
      <c r="N62" s="10">
        <v>1.1122159090909001</v>
      </c>
      <c r="O62" s="10">
        <v>1.1144207265719701</v>
      </c>
      <c r="P62" s="10">
        <v>1.11482380549108</v>
      </c>
      <c r="Q62" s="10">
        <v>1.1131129204528201</v>
      </c>
      <c r="R62" s="8">
        <v>101.991784895867</v>
      </c>
      <c r="S62" s="8">
        <v>102.02592683486399</v>
      </c>
      <c r="T62" s="8">
        <v>101.861521854144</v>
      </c>
      <c r="U62" s="9">
        <v>1.9804023398887899E-3</v>
      </c>
      <c r="V62" s="9">
        <v>2.3150981761094502E-3</v>
      </c>
      <c r="W62" s="9">
        <v>7.0239452603889296E-4</v>
      </c>
      <c r="X62" s="10">
        <v>1.1119792660052501</v>
      </c>
      <c r="Y62" s="10">
        <v>1.1140664646848899</v>
      </c>
      <c r="Z62" s="10">
        <v>1.11458187597737</v>
      </c>
      <c r="AA62" s="10">
        <v>1.11287639442054</v>
      </c>
      <c r="AB62" s="8">
        <v>102.218606114293</v>
      </c>
      <c r="AC62" s="8">
        <v>102.263203592804</v>
      </c>
      <c r="AD62" s="8">
        <v>102.098859028814</v>
      </c>
      <c r="AE62" s="9">
        <v>1.8752528418581301E-3</v>
      </c>
      <c r="AF62" s="9">
        <v>2.3114528078337598E-3</v>
      </c>
      <c r="AG62" s="9">
        <v>7.0308580164772302E-4</v>
      </c>
      <c r="AH62" s="12"/>
      <c r="AZ62" s="9"/>
      <c r="BB62">
        <f t="shared" si="6"/>
        <v>0</v>
      </c>
      <c r="BC62">
        <f t="shared" si="7"/>
        <v>1</v>
      </c>
      <c r="BD62">
        <f t="shared" si="8"/>
        <v>0</v>
      </c>
      <c r="BE62">
        <f t="shared" si="4"/>
        <v>0</v>
      </c>
      <c r="BF62">
        <f t="shared" si="9"/>
        <v>0</v>
      </c>
      <c r="BG62" s="9">
        <f t="shared" si="10"/>
        <v>0</v>
      </c>
      <c r="BH62" s="9">
        <f t="shared" si="11"/>
        <v>0</v>
      </c>
      <c r="BI62" s="9">
        <f t="shared" si="12"/>
        <v>0</v>
      </c>
      <c r="BJ62" s="12">
        <f t="shared" si="13"/>
        <v>1.6811333356059461E-2</v>
      </c>
      <c r="BL62" s="9"/>
      <c r="BN62">
        <f t="shared" si="14"/>
        <v>0</v>
      </c>
      <c r="BO62">
        <f t="shared" si="15"/>
        <v>1</v>
      </c>
      <c r="BP62">
        <f t="shared" si="16"/>
        <v>0</v>
      </c>
      <c r="BQ62">
        <f t="shared" si="5"/>
        <v>0</v>
      </c>
      <c r="BR62">
        <f t="shared" si="17"/>
        <v>0</v>
      </c>
      <c r="BS62" s="9">
        <f t="shared" si="18"/>
        <v>0</v>
      </c>
      <c r="BT62" s="9">
        <f t="shared" si="19"/>
        <v>0</v>
      </c>
      <c r="BU62" s="9">
        <f t="shared" si="20"/>
        <v>0</v>
      </c>
      <c r="BV62" s="12">
        <f t="shared" si="21"/>
        <v>0</v>
      </c>
      <c r="BX62" s="12">
        <f t="shared" si="22"/>
        <v>0</v>
      </c>
      <c r="BY62" s="12">
        <f t="shared" si="23"/>
        <v>1.6811333356059461E-2</v>
      </c>
    </row>
    <row r="63" spans="1:77" x14ac:dyDescent="0.3">
      <c r="A63" s="1">
        <v>46113</v>
      </c>
      <c r="B63" s="8">
        <v>92.47</v>
      </c>
      <c r="C63" s="8">
        <v>102.82</v>
      </c>
      <c r="D63" s="9">
        <v>1.0326739958059499E-2</v>
      </c>
      <c r="E63" s="9">
        <v>1.006801916311E-2</v>
      </c>
      <c r="F63" s="8">
        <v>0.10199999999999999</v>
      </c>
      <c r="G63" s="8">
        <v>0.3347</v>
      </c>
      <c r="H63" s="8">
        <v>0.1338</v>
      </c>
      <c r="I63" s="8">
        <v>0.37090000000000001</v>
      </c>
      <c r="J63" s="8">
        <v>0.3347</v>
      </c>
      <c r="K63" s="8">
        <v>0.37090000000000001</v>
      </c>
      <c r="L63" s="8">
        <v>92.804699999999997</v>
      </c>
      <c r="M63" s="8">
        <v>103.1909</v>
      </c>
      <c r="N63" s="10">
        <v>1.1119281929274301</v>
      </c>
      <c r="O63" s="10">
        <v>1.1144207265719701</v>
      </c>
      <c r="P63" s="10">
        <v>1.11469546703524</v>
      </c>
      <c r="Q63" s="10">
        <v>1.1131608674967901</v>
      </c>
      <c r="R63" s="8">
        <v>103.05048458611</v>
      </c>
      <c r="S63" s="8">
        <v>103.087757293761</v>
      </c>
      <c r="T63" s="8">
        <v>102.929551754272</v>
      </c>
      <c r="U63" s="9">
        <v>2.23912313483822E-3</v>
      </c>
      <c r="V63" s="9">
        <v>2.60075140639646E-3</v>
      </c>
      <c r="W63" s="9">
        <v>1.064904041751E-3</v>
      </c>
      <c r="X63" s="10">
        <v>1.11191459053259</v>
      </c>
      <c r="Y63" s="10">
        <v>1.1140664646848899</v>
      </c>
      <c r="Z63" s="10">
        <v>1.1144755564668301</v>
      </c>
      <c r="AA63" s="10">
        <v>1.1129350293829099</v>
      </c>
      <c r="AB63" s="8">
        <v>103.390604035142</v>
      </c>
      <c r="AC63" s="8">
        <v>103.438436625517</v>
      </c>
      <c r="AD63" s="8">
        <v>103.28015992128</v>
      </c>
      <c r="AE63" s="9">
        <v>1.93341701411627E-3</v>
      </c>
      <c r="AF63" s="9">
        <v>2.3959496553243201E-3</v>
      </c>
      <c r="AG63" s="9">
        <v>8.6462409671275698E-4</v>
      </c>
      <c r="AH63" s="12"/>
      <c r="AZ63" s="9"/>
      <c r="BB63">
        <f t="shared" si="6"/>
        <v>0</v>
      </c>
      <c r="BC63">
        <f t="shared" si="7"/>
        <v>1</v>
      </c>
      <c r="BD63">
        <f t="shared" si="8"/>
        <v>0</v>
      </c>
      <c r="BE63">
        <f t="shared" si="4"/>
        <v>1</v>
      </c>
      <c r="BF63">
        <f t="shared" si="9"/>
        <v>0</v>
      </c>
      <c r="BG63" s="9">
        <f t="shared" si="10"/>
        <v>0</v>
      </c>
      <c r="BH63" s="9">
        <f t="shared" si="11"/>
        <v>0</v>
      </c>
      <c r="BI63" s="9">
        <f t="shared" si="12"/>
        <v>0</v>
      </c>
      <c r="BJ63" s="12">
        <f t="shared" si="13"/>
        <v>1.6811333356059461E-2</v>
      </c>
      <c r="BL63" s="9"/>
      <c r="BN63">
        <f t="shared" si="14"/>
        <v>0</v>
      </c>
      <c r="BO63">
        <f t="shared" si="15"/>
        <v>1</v>
      </c>
      <c r="BP63">
        <f t="shared" si="16"/>
        <v>0</v>
      </c>
      <c r="BQ63">
        <f t="shared" si="5"/>
        <v>1</v>
      </c>
      <c r="BR63">
        <f t="shared" si="17"/>
        <v>0</v>
      </c>
      <c r="BS63" s="9">
        <f t="shared" si="18"/>
        <v>0</v>
      </c>
      <c r="BT63" s="9">
        <f t="shared" si="19"/>
        <v>0</v>
      </c>
      <c r="BU63" s="9">
        <f t="shared" si="20"/>
        <v>0</v>
      </c>
      <c r="BV63" s="12">
        <f t="shared" si="21"/>
        <v>0</v>
      </c>
      <c r="BX63" s="12">
        <f t="shared" si="22"/>
        <v>0</v>
      </c>
      <c r="BY63" s="12">
        <f t="shared" si="23"/>
        <v>1.6811333356059461E-2</v>
      </c>
    </row>
    <row r="64" spans="1:77" x14ac:dyDescent="0.3">
      <c r="A64" s="1">
        <v>46114</v>
      </c>
      <c r="B64" s="8">
        <v>93.3</v>
      </c>
      <c r="C64" s="8">
        <v>103.89</v>
      </c>
      <c r="D64" s="9">
        <v>8.9358402637509503E-3</v>
      </c>
      <c r="E64" s="9">
        <v>1.03527604550816E-2</v>
      </c>
      <c r="F64" s="8">
        <v>0</v>
      </c>
      <c r="G64" s="8">
        <v>0.3347</v>
      </c>
      <c r="H64" s="8">
        <v>0</v>
      </c>
      <c r="I64" s="8">
        <v>0.37090000000000001</v>
      </c>
      <c r="J64" s="8">
        <v>0.3347</v>
      </c>
      <c r="K64" s="8">
        <v>0.37090000000000001</v>
      </c>
      <c r="L64" s="8">
        <v>93.634699999999995</v>
      </c>
      <c r="M64" s="8">
        <v>104.26090000000001</v>
      </c>
      <c r="N64" s="10">
        <v>1.11350482315112</v>
      </c>
      <c r="O64" s="10">
        <v>1.1144207265719701</v>
      </c>
      <c r="P64" s="10">
        <v>1.11469752729106</v>
      </c>
      <c r="Q64" s="10">
        <v>1.11331697709803</v>
      </c>
      <c r="R64" s="8">
        <v>103.975453789165</v>
      </c>
      <c r="S64" s="8">
        <v>104.001087074388</v>
      </c>
      <c r="T64" s="8">
        <v>103.85790893745001</v>
      </c>
      <c r="U64" s="9">
        <v>8.2220294350752099E-4</v>
      </c>
      <c r="V64" s="9">
        <v>1.0687046426561099E-3</v>
      </c>
      <c r="W64" s="9">
        <v>-3.0894234236536E-4</v>
      </c>
      <c r="X64" s="10">
        <v>1.11348570561981</v>
      </c>
      <c r="Y64" s="10">
        <v>1.1140664646848899</v>
      </c>
      <c r="Z64" s="10">
        <v>1.1144990324534001</v>
      </c>
      <c r="AA64" s="10">
        <v>1.11310159375521</v>
      </c>
      <c r="AB64" s="8">
        <v>104.31527920083001</v>
      </c>
      <c r="AC64" s="8">
        <v>104.353584387105</v>
      </c>
      <c r="AD64" s="8">
        <v>104.20933759576</v>
      </c>
      <c r="AE64" s="9">
        <v>5.2143252667728301E-4</v>
      </c>
      <c r="AF64" s="9">
        <v>8.8857102588630298E-4</v>
      </c>
      <c r="AG64" s="9">
        <v>-4.9467402048366496E-4</v>
      </c>
      <c r="AH64" s="12"/>
      <c r="AZ64" s="9"/>
      <c r="BB64">
        <f t="shared" si="6"/>
        <v>0</v>
      </c>
      <c r="BC64">
        <f t="shared" si="7"/>
        <v>1</v>
      </c>
      <c r="BD64">
        <f t="shared" si="8"/>
        <v>0</v>
      </c>
      <c r="BE64">
        <f t="shared" si="4"/>
        <v>1</v>
      </c>
      <c r="BF64">
        <f t="shared" si="9"/>
        <v>0</v>
      </c>
      <c r="BG64" s="9">
        <f t="shared" si="10"/>
        <v>0</v>
      </c>
      <c r="BH64" s="9">
        <f t="shared" si="11"/>
        <v>0</v>
      </c>
      <c r="BI64" s="9">
        <f t="shared" si="12"/>
        <v>0</v>
      </c>
      <c r="BJ64" s="12">
        <f t="shared" si="13"/>
        <v>1.6811333356059461E-2</v>
      </c>
      <c r="BL64" s="9"/>
      <c r="BN64">
        <f t="shared" si="14"/>
        <v>0</v>
      </c>
      <c r="BO64">
        <f t="shared" si="15"/>
        <v>1</v>
      </c>
      <c r="BP64">
        <f t="shared" si="16"/>
        <v>0</v>
      </c>
      <c r="BQ64">
        <f t="shared" si="5"/>
        <v>1</v>
      </c>
      <c r="BR64">
        <f t="shared" si="17"/>
        <v>0</v>
      </c>
      <c r="BS64" s="9">
        <f t="shared" si="18"/>
        <v>0</v>
      </c>
      <c r="BT64" s="9">
        <f t="shared" si="19"/>
        <v>0</v>
      </c>
      <c r="BU64" s="9">
        <f t="shared" si="20"/>
        <v>0</v>
      </c>
      <c r="BV64" s="12">
        <f t="shared" si="21"/>
        <v>0</v>
      </c>
      <c r="BX64" s="12">
        <f t="shared" si="22"/>
        <v>0</v>
      </c>
      <c r="BY64" s="12">
        <f t="shared" si="23"/>
        <v>1.6811333356059461E-2</v>
      </c>
    </row>
    <row r="65" spans="1:77" x14ac:dyDescent="0.3">
      <c r="A65" s="1">
        <v>46118</v>
      </c>
      <c r="B65" s="8">
        <v>93.22</v>
      </c>
      <c r="C65" s="8">
        <v>103.94</v>
      </c>
      <c r="D65" s="9">
        <v>-8.5781690870326104E-4</v>
      </c>
      <c r="E65" s="9">
        <v>4.81162497855546E-4</v>
      </c>
      <c r="F65" s="8">
        <v>0</v>
      </c>
      <c r="G65" s="8">
        <v>0.3347</v>
      </c>
      <c r="H65" s="8">
        <v>0</v>
      </c>
      <c r="I65" s="8">
        <v>0.37090000000000001</v>
      </c>
      <c r="J65" s="8">
        <v>0.3347</v>
      </c>
      <c r="K65" s="8">
        <v>0.37090000000000001</v>
      </c>
      <c r="L65" s="8">
        <v>93.554699999999997</v>
      </c>
      <c r="M65" s="8">
        <v>104.3109</v>
      </c>
      <c r="N65" s="10">
        <v>1.1149967818064701</v>
      </c>
      <c r="O65" s="10">
        <v>1.1144207265719701</v>
      </c>
      <c r="P65" s="10">
        <v>1.1148034242149201</v>
      </c>
      <c r="Q65" s="10">
        <v>1.11362560751745</v>
      </c>
      <c r="R65" s="8">
        <v>103.88630013103899</v>
      </c>
      <c r="S65" s="8">
        <v>103.91210349407299</v>
      </c>
      <c r="T65" s="8">
        <v>103.78340860507799</v>
      </c>
      <c r="U65" s="9">
        <v>-5.1677646305145096E-4</v>
      </c>
      <c r="V65" s="9">
        <v>-2.6842649773713899E-4</v>
      </c>
      <c r="W65" s="9">
        <v>-1.5076916524320099E-3</v>
      </c>
      <c r="X65" s="10">
        <v>1.1149723103168501</v>
      </c>
      <c r="Y65" s="10">
        <v>1.1140664646848899</v>
      </c>
      <c r="Z65" s="10">
        <v>1.1146264630129099</v>
      </c>
      <c r="AA65" s="10">
        <v>1.11342042506681</v>
      </c>
      <c r="AB65" s="8">
        <v>104.226153883655</v>
      </c>
      <c r="AC65" s="8">
        <v>104.266622631468</v>
      </c>
      <c r="AD65" s="8">
        <v>104.13588567329001</v>
      </c>
      <c r="AE65" s="9">
        <v>-8.1276798948807995E-4</v>
      </c>
      <c r="AF65" s="9">
        <v>-4.2456510786364598E-4</v>
      </c>
      <c r="AG65" s="9">
        <v>-1.6792234744162601E-3</v>
      </c>
      <c r="AH65" s="12"/>
      <c r="AZ65" s="9"/>
      <c r="BB65">
        <f t="shared" si="6"/>
        <v>0</v>
      </c>
      <c r="BC65">
        <f t="shared" si="7"/>
        <v>1</v>
      </c>
      <c r="BD65">
        <f t="shared" si="8"/>
        <v>0</v>
      </c>
      <c r="BE65">
        <f t="shared" si="4"/>
        <v>1</v>
      </c>
      <c r="BF65">
        <f t="shared" si="9"/>
        <v>0</v>
      </c>
      <c r="BG65" s="9">
        <f t="shared" si="10"/>
        <v>0</v>
      </c>
      <c r="BH65" s="9">
        <f t="shared" si="11"/>
        <v>0</v>
      </c>
      <c r="BI65" s="9">
        <f t="shared" si="12"/>
        <v>0</v>
      </c>
      <c r="BJ65" s="12">
        <f t="shared" si="13"/>
        <v>1.6811333356059461E-2</v>
      </c>
      <c r="BL65" s="9"/>
      <c r="BN65">
        <f t="shared" si="14"/>
        <v>0</v>
      </c>
      <c r="BO65">
        <f t="shared" si="15"/>
        <v>1</v>
      </c>
      <c r="BP65">
        <f t="shared" si="16"/>
        <v>0</v>
      </c>
      <c r="BQ65">
        <f t="shared" si="5"/>
        <v>1</v>
      </c>
      <c r="BR65">
        <f t="shared" si="17"/>
        <v>0</v>
      </c>
      <c r="BS65" s="9">
        <f t="shared" si="18"/>
        <v>0</v>
      </c>
      <c r="BT65" s="9">
        <f t="shared" si="19"/>
        <v>0</v>
      </c>
      <c r="BU65" s="9">
        <f t="shared" si="20"/>
        <v>0</v>
      </c>
      <c r="BV65" s="12">
        <f t="shared" si="21"/>
        <v>0</v>
      </c>
      <c r="BX65" s="12">
        <f t="shared" si="22"/>
        <v>0</v>
      </c>
      <c r="BY65" s="12">
        <f t="shared" si="23"/>
        <v>1.6811333356059461E-2</v>
      </c>
    </row>
    <row r="66" spans="1:77" x14ac:dyDescent="0.3">
      <c r="A66" s="1">
        <v>46119</v>
      </c>
      <c r="B66" s="8">
        <v>93.84</v>
      </c>
      <c r="C66" s="8">
        <v>104.53</v>
      </c>
      <c r="D66" s="9">
        <v>6.6289134006252198E-3</v>
      </c>
      <c r="E66" s="9">
        <v>5.6603019643200799E-3</v>
      </c>
      <c r="F66" s="8">
        <v>0</v>
      </c>
      <c r="G66" s="8">
        <v>0.3347</v>
      </c>
      <c r="H66" s="8">
        <v>0</v>
      </c>
      <c r="I66" s="8">
        <v>0.37090000000000001</v>
      </c>
      <c r="J66" s="8">
        <v>0.3347</v>
      </c>
      <c r="K66" s="8">
        <v>0.37090000000000001</v>
      </c>
      <c r="L66" s="8">
        <v>94.174700000000001</v>
      </c>
      <c r="M66" s="8">
        <v>104.90089999999999</v>
      </c>
      <c r="N66" s="10">
        <v>1.11391730605285</v>
      </c>
      <c r="O66" s="10">
        <v>1.1144207265719701</v>
      </c>
      <c r="P66" s="10">
        <v>1.1149354481765399</v>
      </c>
      <c r="Q66" s="10">
        <v>1.1137707029266899</v>
      </c>
      <c r="R66" s="8">
        <v>104.577240981514</v>
      </c>
      <c r="S66" s="8">
        <v>104.613153328328</v>
      </c>
      <c r="T66" s="8">
        <v>104.50262700943701</v>
      </c>
      <c r="U66" s="9">
        <v>4.51834973253863E-4</v>
      </c>
      <c r="V66" s="9">
        <v>7.9518101727428904E-4</v>
      </c>
      <c r="W66" s="9">
        <v>-2.6190160942911198E-4</v>
      </c>
      <c r="X66" s="10">
        <v>1.1138968321640501</v>
      </c>
      <c r="Y66" s="10">
        <v>1.1140664646848899</v>
      </c>
      <c r="Z66" s="10">
        <v>1.11477989381276</v>
      </c>
      <c r="AA66" s="10">
        <v>1.11357600734096</v>
      </c>
      <c r="AB66" s="8">
        <v>104.91687509176001</v>
      </c>
      <c r="AC66" s="8">
        <v>104.96961276630201</v>
      </c>
      <c r="AD66" s="8">
        <v>104.856034504539</v>
      </c>
      <c r="AE66" s="9">
        <v>1.5227586685005501E-4</v>
      </c>
      <c r="AF66" s="9">
        <v>6.5481108186161302E-4</v>
      </c>
      <c r="AG66" s="9">
        <v>-4.2778558192427198E-4</v>
      </c>
      <c r="AH66" s="12"/>
      <c r="AZ66" s="9"/>
      <c r="BB66">
        <f t="shared" si="6"/>
        <v>0</v>
      </c>
      <c r="BC66">
        <f t="shared" si="7"/>
        <v>1</v>
      </c>
      <c r="BD66">
        <f t="shared" si="8"/>
        <v>0</v>
      </c>
      <c r="BE66">
        <f t="shared" si="4"/>
        <v>1</v>
      </c>
      <c r="BF66">
        <f t="shared" si="9"/>
        <v>0</v>
      </c>
      <c r="BG66" s="9">
        <f t="shared" si="10"/>
        <v>0</v>
      </c>
      <c r="BH66" s="9">
        <f t="shared" si="11"/>
        <v>0</v>
      </c>
      <c r="BI66" s="9">
        <f t="shared" si="12"/>
        <v>0</v>
      </c>
      <c r="BJ66" s="12">
        <f t="shared" si="13"/>
        <v>1.6811333356059461E-2</v>
      </c>
      <c r="BL66" s="9"/>
      <c r="BN66">
        <f t="shared" si="14"/>
        <v>0</v>
      </c>
      <c r="BO66">
        <f t="shared" si="15"/>
        <v>1</v>
      </c>
      <c r="BP66">
        <f t="shared" si="16"/>
        <v>0</v>
      </c>
      <c r="BQ66">
        <f t="shared" si="5"/>
        <v>1</v>
      </c>
      <c r="BR66">
        <f t="shared" si="17"/>
        <v>0</v>
      </c>
      <c r="BS66" s="9">
        <f t="shared" si="18"/>
        <v>0</v>
      </c>
      <c r="BT66" s="9">
        <f t="shared" si="19"/>
        <v>0</v>
      </c>
      <c r="BU66" s="9">
        <f t="shared" si="20"/>
        <v>0</v>
      </c>
      <c r="BV66" s="12">
        <f t="shared" si="21"/>
        <v>0</v>
      </c>
      <c r="BX66" s="12">
        <f t="shared" si="22"/>
        <v>0</v>
      </c>
      <c r="BY66" s="12">
        <f t="shared" si="23"/>
        <v>1.6811333356059461E-2</v>
      </c>
    </row>
    <row r="67" spans="1:77" x14ac:dyDescent="0.3">
      <c r="A67" s="1">
        <v>46120</v>
      </c>
      <c r="B67" s="8">
        <v>96.39</v>
      </c>
      <c r="C67" s="8">
        <v>107.39</v>
      </c>
      <c r="D67" s="9">
        <v>2.6811257450656701E-2</v>
      </c>
      <c r="E67" s="9">
        <v>2.6992956325509399E-2</v>
      </c>
      <c r="F67" s="8">
        <v>0</v>
      </c>
      <c r="G67" s="8">
        <v>0.3347</v>
      </c>
      <c r="H67" s="8">
        <v>0</v>
      </c>
      <c r="I67" s="8">
        <v>0.37090000000000001</v>
      </c>
      <c r="J67" s="8">
        <v>0.3347</v>
      </c>
      <c r="K67" s="8">
        <v>0.37090000000000001</v>
      </c>
      <c r="L67" s="8">
        <v>96.724699999999999</v>
      </c>
      <c r="M67" s="8">
        <v>107.76090000000001</v>
      </c>
      <c r="N67" s="10">
        <v>1.11411972196285</v>
      </c>
      <c r="O67" s="10">
        <v>1.1144207265719701</v>
      </c>
      <c r="P67" s="10">
        <v>1.1148490875773001</v>
      </c>
      <c r="Q67" s="10">
        <v>1.1138375104418901</v>
      </c>
      <c r="R67" s="8">
        <v>107.41901383427199</v>
      </c>
      <c r="S67" s="8">
        <v>107.468627849737</v>
      </c>
      <c r="T67" s="8">
        <v>107.356358055104</v>
      </c>
      <c r="U67" s="9">
        <v>2.7013609840112598E-4</v>
      </c>
      <c r="V67" s="9">
        <v>7.3190314984659304E-4</v>
      </c>
      <c r="W67" s="9">
        <v>-3.1331795775653301E-4</v>
      </c>
      <c r="X67" s="10">
        <v>1.1140990874099299</v>
      </c>
      <c r="Y67" s="10">
        <v>1.1140664646848899</v>
      </c>
      <c r="Z67" s="10">
        <v>1.1147154568534701</v>
      </c>
      <c r="AA67" s="10">
        <v>1.1136534970412999</v>
      </c>
      <c r="AB67" s="8">
        <v>107.757744576706</v>
      </c>
      <c r="AC67" s="8">
        <v>107.826750795072</v>
      </c>
      <c r="AD67" s="8">
        <v>107.710305237252</v>
      </c>
      <c r="AE67" s="9">
        <v>-2.9282137510509298E-5</v>
      </c>
      <c r="AF67" s="9">
        <v>6.10895817799194E-4</v>
      </c>
      <c r="AG67" s="9">
        <v>-4.6961972131205002E-4</v>
      </c>
      <c r="AH67" s="12"/>
      <c r="AZ67" s="9"/>
      <c r="BB67">
        <f t="shared" si="6"/>
        <v>0</v>
      </c>
      <c r="BC67">
        <f t="shared" si="7"/>
        <v>1</v>
      </c>
      <c r="BD67">
        <f t="shared" si="8"/>
        <v>0</v>
      </c>
      <c r="BE67">
        <f t="shared" si="4"/>
        <v>1</v>
      </c>
      <c r="BF67">
        <f t="shared" si="9"/>
        <v>0</v>
      </c>
      <c r="BG67" s="9">
        <f t="shared" si="10"/>
        <v>0</v>
      </c>
      <c r="BH67" s="9">
        <f t="shared" si="11"/>
        <v>0</v>
      </c>
      <c r="BI67" s="9">
        <f t="shared" si="12"/>
        <v>0</v>
      </c>
      <c r="BJ67" s="12">
        <f t="shared" si="13"/>
        <v>1.6811333356059461E-2</v>
      </c>
      <c r="BL67" s="9"/>
      <c r="BN67">
        <f t="shared" si="14"/>
        <v>0</v>
      </c>
      <c r="BO67">
        <f t="shared" si="15"/>
        <v>1</v>
      </c>
      <c r="BP67">
        <f t="shared" si="16"/>
        <v>0</v>
      </c>
      <c r="BQ67">
        <f t="shared" si="5"/>
        <v>1</v>
      </c>
      <c r="BR67">
        <f t="shared" si="17"/>
        <v>0</v>
      </c>
      <c r="BS67" s="9">
        <f t="shared" si="18"/>
        <v>0</v>
      </c>
      <c r="BT67" s="9">
        <f t="shared" si="19"/>
        <v>0</v>
      </c>
      <c r="BU67" s="9">
        <f t="shared" si="20"/>
        <v>0</v>
      </c>
      <c r="BV67" s="12">
        <f t="shared" si="21"/>
        <v>0</v>
      </c>
      <c r="BX67" s="12">
        <f t="shared" si="22"/>
        <v>0</v>
      </c>
      <c r="BY67" s="12">
        <f t="shared" si="23"/>
        <v>1.6811333356059461E-2</v>
      </c>
    </row>
    <row r="68" spans="1:77" x14ac:dyDescent="0.3">
      <c r="A68" s="1">
        <v>46121</v>
      </c>
      <c r="B68" s="8">
        <v>96.51</v>
      </c>
      <c r="C68" s="8">
        <v>107.56</v>
      </c>
      <c r="D68" s="9">
        <v>1.24416812316803E-3</v>
      </c>
      <c r="E68" s="9">
        <v>1.58176353053883E-3</v>
      </c>
      <c r="F68" s="8">
        <v>0</v>
      </c>
      <c r="G68" s="8">
        <v>0.3347</v>
      </c>
      <c r="H68" s="8">
        <v>0</v>
      </c>
      <c r="I68" s="8">
        <v>0.37090000000000001</v>
      </c>
      <c r="J68" s="8">
        <v>0.3347</v>
      </c>
      <c r="K68" s="8">
        <v>0.37090000000000001</v>
      </c>
      <c r="L68" s="8">
        <v>96.844700000000003</v>
      </c>
      <c r="M68" s="8">
        <v>107.93089999999999</v>
      </c>
      <c r="N68" s="10">
        <v>1.1144959071598699</v>
      </c>
      <c r="O68" s="10">
        <v>1.1144207265719701</v>
      </c>
      <c r="P68" s="10">
        <v>1.11471455164873</v>
      </c>
      <c r="Q68" s="10">
        <v>1.1138640714499599</v>
      </c>
      <c r="R68" s="8">
        <v>107.55274432146101</v>
      </c>
      <c r="S68" s="8">
        <v>107.594085442086</v>
      </c>
      <c r="T68" s="8">
        <v>107.49645813274699</v>
      </c>
      <c r="U68" s="9">
        <v>-6.7459308969656994E-5</v>
      </c>
      <c r="V68" s="9">
        <v>3.1684680587147201E-4</v>
      </c>
      <c r="W68" s="9">
        <v>-5.9093197808254697E-4</v>
      </c>
      <c r="X68" s="10">
        <v>1.11447399806081</v>
      </c>
      <c r="Y68" s="10">
        <v>1.1140664646848899</v>
      </c>
      <c r="Z68" s="10">
        <v>1.1146027970368599</v>
      </c>
      <c r="AA68" s="10">
        <v>1.1136907681800099</v>
      </c>
      <c r="AB68" s="8">
        <v>107.891432552469</v>
      </c>
      <c r="AC68" s="8">
        <v>107.95428400433801</v>
      </c>
      <c r="AD68" s="8">
        <v>107.851438824916</v>
      </c>
      <c r="AE68" s="9">
        <v>-3.6574016696108702E-4</v>
      </c>
      <c r="AF68" s="9">
        <v>2.1663371238121401E-4</v>
      </c>
      <c r="AG68" s="9">
        <v>-7.3649381231404303E-4</v>
      </c>
      <c r="AH68" s="12"/>
      <c r="AZ68" s="9"/>
      <c r="BB68">
        <f t="shared" si="6"/>
        <v>0</v>
      </c>
      <c r="BC68">
        <f t="shared" si="7"/>
        <v>1</v>
      </c>
      <c r="BD68">
        <f t="shared" si="8"/>
        <v>0</v>
      </c>
      <c r="BE68">
        <f t="shared" si="4"/>
        <v>1</v>
      </c>
      <c r="BF68">
        <f t="shared" si="9"/>
        <v>0</v>
      </c>
      <c r="BG68" s="9">
        <f t="shared" si="10"/>
        <v>0</v>
      </c>
      <c r="BH68" s="9">
        <f t="shared" si="11"/>
        <v>0</v>
      </c>
      <c r="BI68" s="9">
        <f t="shared" si="12"/>
        <v>0</v>
      </c>
      <c r="BJ68" s="12">
        <f t="shared" si="13"/>
        <v>1.6811333356059461E-2</v>
      </c>
      <c r="BL68" s="9"/>
      <c r="BN68">
        <f t="shared" si="14"/>
        <v>0</v>
      </c>
      <c r="BO68">
        <f t="shared" si="15"/>
        <v>1</v>
      </c>
      <c r="BP68">
        <f t="shared" si="16"/>
        <v>0</v>
      </c>
      <c r="BQ68">
        <f t="shared" si="5"/>
        <v>1</v>
      </c>
      <c r="BR68">
        <f t="shared" si="17"/>
        <v>0</v>
      </c>
      <c r="BS68" s="9">
        <f t="shared" si="18"/>
        <v>0</v>
      </c>
      <c r="BT68" s="9">
        <f t="shared" si="19"/>
        <v>0</v>
      </c>
      <c r="BU68" s="9">
        <f t="shared" si="20"/>
        <v>0</v>
      </c>
      <c r="BV68" s="12">
        <f t="shared" si="21"/>
        <v>0</v>
      </c>
      <c r="BX68" s="12">
        <f t="shared" si="22"/>
        <v>0</v>
      </c>
      <c r="BY68" s="12">
        <f t="shared" si="23"/>
        <v>1.6811333356059461E-2</v>
      </c>
    </row>
    <row r="69" spans="1:77" x14ac:dyDescent="0.3">
      <c r="A69" s="1">
        <v>46122</v>
      </c>
      <c r="B69" s="8">
        <v>96.5</v>
      </c>
      <c r="C69" s="8">
        <v>107.64</v>
      </c>
      <c r="D69" s="9">
        <v>-1.0362157410451699E-4</v>
      </c>
      <c r="E69" s="9">
        <v>7.4349445804120699E-4</v>
      </c>
      <c r="F69" s="8">
        <v>0</v>
      </c>
      <c r="G69" s="8">
        <v>0.3347</v>
      </c>
      <c r="H69" s="8">
        <v>0</v>
      </c>
      <c r="I69" s="8">
        <v>0.37090000000000001</v>
      </c>
      <c r="J69" s="8">
        <v>0.3347</v>
      </c>
      <c r="K69" s="8">
        <v>0.37090000000000001</v>
      </c>
      <c r="L69" s="8">
        <v>96.834699999999998</v>
      </c>
      <c r="M69" s="8">
        <v>108.01090000000001</v>
      </c>
      <c r="N69" s="10">
        <v>1.1154404145077701</v>
      </c>
      <c r="O69" s="10">
        <v>1.1144207265719701</v>
      </c>
      <c r="P69" s="10">
        <v>1.11469783623633</v>
      </c>
      <c r="Q69" s="10">
        <v>1.11420308120067</v>
      </c>
      <c r="R69" s="8">
        <v>107.54160011419501</v>
      </c>
      <c r="S69" s="8">
        <v>107.56995423410299</v>
      </c>
      <c r="T69" s="8">
        <v>107.487882894921</v>
      </c>
      <c r="U69" s="9">
        <v>-9.14575341115318E-4</v>
      </c>
      <c r="V69" s="9">
        <v>-6.5095286711700905E-4</v>
      </c>
      <c r="W69" s="9">
        <v>-1.41420190059557E-3</v>
      </c>
      <c r="X69" s="10">
        <v>1.1154152385456799</v>
      </c>
      <c r="Y69" s="10">
        <v>1.1140664646848899</v>
      </c>
      <c r="Z69" s="10">
        <v>1.11460811259732</v>
      </c>
      <c r="AA69" s="10">
        <v>1.11403983748395</v>
      </c>
      <c r="AB69" s="8">
        <v>107.880291887822</v>
      </c>
      <c r="AC69" s="8">
        <v>107.932227470225</v>
      </c>
      <c r="AD69" s="8">
        <v>107.843911429481</v>
      </c>
      <c r="AE69" s="9">
        <v>-1.2099440182756699E-3</v>
      </c>
      <c r="AF69" s="9">
        <v>-7.2864123231675105E-4</v>
      </c>
      <c r="AG69" s="9">
        <v>-1.54723077725905E-3</v>
      </c>
      <c r="AH69" s="12"/>
      <c r="AZ69" s="9"/>
      <c r="BB69">
        <f t="shared" si="6"/>
        <v>0</v>
      </c>
      <c r="BC69">
        <f t="shared" si="7"/>
        <v>1</v>
      </c>
      <c r="BD69">
        <f t="shared" si="8"/>
        <v>0</v>
      </c>
      <c r="BE69">
        <f t="shared" si="4"/>
        <v>1</v>
      </c>
      <c r="BF69">
        <f t="shared" si="9"/>
        <v>0</v>
      </c>
      <c r="BG69" s="9">
        <f t="shared" si="10"/>
        <v>0</v>
      </c>
      <c r="BH69" s="9">
        <f t="shared" si="11"/>
        <v>0</v>
      </c>
      <c r="BI69" s="9">
        <f t="shared" si="12"/>
        <v>0</v>
      </c>
      <c r="BJ69" s="12">
        <f t="shared" si="13"/>
        <v>1.6811333356059461E-2</v>
      </c>
      <c r="BL69" s="9"/>
      <c r="BN69">
        <f t="shared" si="14"/>
        <v>0</v>
      </c>
      <c r="BO69">
        <f t="shared" si="15"/>
        <v>1</v>
      </c>
      <c r="BP69">
        <f t="shared" si="16"/>
        <v>0</v>
      </c>
      <c r="BQ69">
        <f t="shared" si="5"/>
        <v>1</v>
      </c>
      <c r="BR69">
        <f t="shared" si="17"/>
        <v>0</v>
      </c>
      <c r="BS69" s="9">
        <f t="shared" si="18"/>
        <v>0</v>
      </c>
      <c r="BT69" s="9">
        <f t="shared" si="19"/>
        <v>0</v>
      </c>
      <c r="BU69" s="9">
        <f t="shared" si="20"/>
        <v>0</v>
      </c>
      <c r="BV69" s="12">
        <f t="shared" si="21"/>
        <v>0</v>
      </c>
      <c r="BX69" s="12">
        <f t="shared" si="22"/>
        <v>0</v>
      </c>
      <c r="BY69" s="12">
        <f t="shared" si="23"/>
        <v>1.6811333356059461E-2</v>
      </c>
    </row>
    <row r="70" spans="1:77" x14ac:dyDescent="0.3">
      <c r="A70" s="1">
        <v>46125</v>
      </c>
      <c r="B70" s="8">
        <v>97.88</v>
      </c>
      <c r="C70" s="8">
        <v>108.59</v>
      </c>
      <c r="D70" s="9">
        <v>1.4199230229530501E-2</v>
      </c>
      <c r="E70" s="9">
        <v>8.78699637010401E-3</v>
      </c>
      <c r="F70" s="8">
        <v>0</v>
      </c>
      <c r="G70" s="8">
        <v>0.3347</v>
      </c>
      <c r="H70" s="8">
        <v>0</v>
      </c>
      <c r="I70" s="8">
        <v>0.37090000000000001</v>
      </c>
      <c r="J70" s="8">
        <v>0.3347</v>
      </c>
      <c r="K70" s="8">
        <v>0.37090000000000001</v>
      </c>
      <c r="L70" s="8">
        <v>98.214699999999993</v>
      </c>
      <c r="M70" s="8">
        <v>108.9609</v>
      </c>
      <c r="N70" s="10">
        <v>1.1094196975888799</v>
      </c>
      <c r="O70" s="10">
        <v>1.1144207265719701</v>
      </c>
      <c r="P70" s="10">
        <v>1.1133583228641699</v>
      </c>
      <c r="Q70" s="10">
        <v>1.1140521214847801</v>
      </c>
      <c r="R70" s="8">
        <v>109.079500716865</v>
      </c>
      <c r="S70" s="8">
        <v>109.106624210812</v>
      </c>
      <c r="T70" s="8">
        <v>109.058197587921</v>
      </c>
      <c r="U70" s="9">
        <v>4.4976585183112896E-3</v>
      </c>
      <c r="V70" s="9">
        <v>4.7462856397332501E-3</v>
      </c>
      <c r="W70" s="9">
        <v>4.3023403392307199E-3</v>
      </c>
      <c r="X70" s="10">
        <v>1.1094153930114301</v>
      </c>
      <c r="Y70" s="10">
        <v>1.1140664646848899</v>
      </c>
      <c r="Z70" s="10">
        <v>1.1132950215952899</v>
      </c>
      <c r="AA70" s="10">
        <v>1.11390045485246</v>
      </c>
      <c r="AB70" s="8">
        <v>109.417703609087</v>
      </c>
      <c r="AC70" s="8">
        <v>109.470901396312</v>
      </c>
      <c r="AD70" s="8">
        <v>109.41508842653499</v>
      </c>
      <c r="AE70" s="9">
        <v>4.1835991970360399E-3</v>
      </c>
      <c r="AF70" s="9">
        <v>4.6696709893200902E-3</v>
      </c>
      <c r="AG70" s="9">
        <v>4.1596980026334003E-3</v>
      </c>
      <c r="AH70" s="12"/>
      <c r="AZ70" s="9"/>
      <c r="BB70">
        <f t="shared" si="6"/>
        <v>0</v>
      </c>
      <c r="BC70">
        <f t="shared" si="7"/>
        <v>1</v>
      </c>
      <c r="BD70">
        <f t="shared" si="8"/>
        <v>0</v>
      </c>
      <c r="BE70">
        <f t="shared" si="4"/>
        <v>1</v>
      </c>
      <c r="BF70">
        <f t="shared" si="9"/>
        <v>0</v>
      </c>
      <c r="BG70" s="9">
        <f t="shared" si="10"/>
        <v>0</v>
      </c>
      <c r="BH70" s="9">
        <f t="shared" si="11"/>
        <v>0</v>
      </c>
      <c r="BI70" s="9">
        <f t="shared" si="12"/>
        <v>0</v>
      </c>
      <c r="BJ70" s="12">
        <f t="shared" si="13"/>
        <v>1.6811333356059461E-2</v>
      </c>
      <c r="BL70" s="9"/>
      <c r="BN70">
        <f t="shared" si="14"/>
        <v>1</v>
      </c>
      <c r="BO70">
        <f t="shared" si="15"/>
        <v>0</v>
      </c>
      <c r="BP70">
        <f t="shared" si="16"/>
        <v>0</v>
      </c>
      <c r="BQ70">
        <f t="shared" si="5"/>
        <v>1</v>
      </c>
      <c r="BR70">
        <f t="shared" si="17"/>
        <v>0</v>
      </c>
      <c r="BS70" s="9">
        <f t="shared" si="18"/>
        <v>0</v>
      </c>
      <c r="BT70" s="9">
        <f t="shared" si="19"/>
        <v>0</v>
      </c>
      <c r="BU70" s="9">
        <f t="shared" si="20"/>
        <v>0</v>
      </c>
      <c r="BV70" s="12">
        <f t="shared" si="21"/>
        <v>0</v>
      </c>
      <c r="BX70" s="12">
        <f t="shared" si="22"/>
        <v>0</v>
      </c>
      <c r="BY70" s="12">
        <f t="shared" si="23"/>
        <v>1.6811333356059461E-2</v>
      </c>
    </row>
    <row r="71" spans="1:77" x14ac:dyDescent="0.3">
      <c r="A71" s="1">
        <v>46126</v>
      </c>
      <c r="B71" s="8">
        <v>98.84</v>
      </c>
      <c r="C71" s="8">
        <v>109.8</v>
      </c>
      <c r="D71" s="9">
        <v>9.7601425459384397E-3</v>
      </c>
      <c r="E71" s="9">
        <v>1.1081206846621E-2</v>
      </c>
      <c r="F71" s="8">
        <v>0</v>
      </c>
      <c r="G71" s="8">
        <v>0.3347</v>
      </c>
      <c r="H71" s="8">
        <v>0</v>
      </c>
      <c r="I71" s="8">
        <v>0.37090000000000001</v>
      </c>
      <c r="J71" s="8">
        <v>0.3347</v>
      </c>
      <c r="K71" s="8">
        <v>0.37090000000000001</v>
      </c>
      <c r="L71" s="8">
        <v>99.174700000000001</v>
      </c>
      <c r="M71" s="8">
        <v>110.1709</v>
      </c>
      <c r="N71" s="10">
        <v>1.11088628085795</v>
      </c>
      <c r="O71" s="10">
        <v>1.1144207265719701</v>
      </c>
      <c r="P71" s="10">
        <v>1.1130925035106101</v>
      </c>
      <c r="Q71" s="10">
        <v>1.11394314224298</v>
      </c>
      <c r="R71" s="8">
        <v>110.149344614374</v>
      </c>
      <c r="S71" s="8">
        <v>110.044336631894</v>
      </c>
      <c r="T71" s="8">
        <v>110.11291168755599</v>
      </c>
      <c r="U71" s="9">
        <v>3.17659421762881E-3</v>
      </c>
      <c r="V71" s="9">
        <v>2.22281579996073E-3</v>
      </c>
      <c r="W71" s="9">
        <v>2.8457801438828501E-3</v>
      </c>
      <c r="X71" s="10">
        <v>1.11087706844588</v>
      </c>
      <c r="Y71" s="10">
        <v>1.1140664646848899</v>
      </c>
      <c r="Z71" s="10">
        <v>1.11305294901123</v>
      </c>
      <c r="AA71" s="10">
        <v>1.1138027377262301</v>
      </c>
      <c r="AB71" s="8">
        <v>110.487207415184</v>
      </c>
      <c r="AC71" s="8">
        <v>110.41069977820599</v>
      </c>
      <c r="AD71" s="8">
        <v>110.47074343985599</v>
      </c>
      <c r="AE71" s="9">
        <v>2.86694774594626E-3</v>
      </c>
      <c r="AF71" s="9">
        <v>2.17425091590853E-3</v>
      </c>
      <c r="AG71" s="9">
        <v>2.7179241394637101E-3</v>
      </c>
      <c r="AH71" s="12"/>
      <c r="AZ71" s="9"/>
      <c r="BB71">
        <f t="shared" si="6"/>
        <v>0</v>
      </c>
      <c r="BC71">
        <f t="shared" si="7"/>
        <v>1</v>
      </c>
      <c r="BD71">
        <f t="shared" si="8"/>
        <v>0</v>
      </c>
      <c r="BE71">
        <f t="shared" si="4"/>
        <v>1</v>
      </c>
      <c r="BF71">
        <f t="shared" si="9"/>
        <v>0</v>
      </c>
      <c r="BG71" s="9">
        <f t="shared" si="10"/>
        <v>0</v>
      </c>
      <c r="BH71" s="9">
        <f t="shared" si="11"/>
        <v>0</v>
      </c>
      <c r="BI71" s="9">
        <f t="shared" si="12"/>
        <v>0</v>
      </c>
      <c r="BJ71" s="12">
        <f t="shared" si="13"/>
        <v>1.6811333356059461E-2</v>
      </c>
      <c r="BL71" s="9"/>
      <c r="BN71">
        <f t="shared" si="14"/>
        <v>0</v>
      </c>
      <c r="BO71">
        <f t="shared" si="15"/>
        <v>0</v>
      </c>
      <c r="BP71">
        <f t="shared" si="16"/>
        <v>1</v>
      </c>
      <c r="BQ71">
        <f t="shared" si="5"/>
        <v>1</v>
      </c>
      <c r="BR71">
        <f t="shared" si="17"/>
        <v>1</v>
      </c>
      <c r="BS71" s="9">
        <f t="shared" si="18"/>
        <v>-9.7601425459384397E-3</v>
      </c>
      <c r="BT71" s="9">
        <f t="shared" si="19"/>
        <v>1.1081206846621E-2</v>
      </c>
      <c r="BU71" s="9">
        <f t="shared" si="20"/>
        <v>1.3210643006825607E-3</v>
      </c>
      <c r="BV71" s="12">
        <f t="shared" si="21"/>
        <v>1.3210643006825607E-3</v>
      </c>
      <c r="BX71" s="12">
        <f t="shared" si="22"/>
        <v>1.3210643006825607E-3</v>
      </c>
      <c r="BY71" s="12">
        <f t="shared" si="23"/>
        <v>1.8132397656742023E-2</v>
      </c>
    </row>
    <row r="72" spans="1:77" x14ac:dyDescent="0.3">
      <c r="A72" s="1">
        <v>46127</v>
      </c>
      <c r="B72" s="8">
        <v>99.03</v>
      </c>
      <c r="C72" s="8">
        <v>110.31</v>
      </c>
      <c r="D72" s="9">
        <v>1.9204534128019299E-3</v>
      </c>
      <c r="E72" s="9">
        <v>4.63405490586008E-3</v>
      </c>
      <c r="F72" s="8">
        <v>0</v>
      </c>
      <c r="G72" s="8">
        <v>0.3347</v>
      </c>
      <c r="H72" s="8">
        <v>0</v>
      </c>
      <c r="I72" s="8">
        <v>0.37090000000000001</v>
      </c>
      <c r="J72" s="8">
        <v>0.3347</v>
      </c>
      <c r="K72" s="8">
        <v>0.37090000000000001</v>
      </c>
      <c r="L72" s="8">
        <v>99.364699999999999</v>
      </c>
      <c r="M72" s="8">
        <v>110.68089999999999</v>
      </c>
      <c r="N72" s="10">
        <v>1.1139048773099001</v>
      </c>
      <c r="O72" s="10">
        <v>1.1144207265719701</v>
      </c>
      <c r="P72" s="10">
        <v>1.1132614003325101</v>
      </c>
      <c r="Q72" s="10">
        <v>1.1140426029118</v>
      </c>
      <c r="R72" s="8">
        <v>110.361084552422</v>
      </c>
      <c r="S72" s="8">
        <v>110.22955062265601</v>
      </c>
      <c r="T72" s="8">
        <v>110.31378937632201</v>
      </c>
      <c r="U72" s="9">
        <v>4.6299272457046798E-4</v>
      </c>
      <c r="V72" s="9">
        <v>-7.2956873889535201E-4</v>
      </c>
      <c r="W72" s="9">
        <v>3.4351475276990097E-5</v>
      </c>
      <c r="X72" s="10">
        <v>1.11388551467472</v>
      </c>
      <c r="Y72" s="10">
        <v>1.1140664646848899</v>
      </c>
      <c r="Z72" s="10">
        <v>1.1132435738781701</v>
      </c>
      <c r="AA72" s="10">
        <v>1.11391272492777</v>
      </c>
      <c r="AB72" s="8">
        <v>110.698880043475</v>
      </c>
      <c r="AC72" s="8">
        <v>110.598172362616</v>
      </c>
      <c r="AD72" s="8">
        <v>110.672674893346</v>
      </c>
      <c r="AE72" s="9">
        <v>1.6243618555444099E-4</v>
      </c>
      <c r="AF72" s="9">
        <v>-7.4772223468486598E-4</v>
      </c>
      <c r="AG72" s="9">
        <v>-7.4316456481374698E-5</v>
      </c>
      <c r="AH72" s="12"/>
      <c r="AZ72" s="9"/>
      <c r="BB72">
        <f t="shared" si="6"/>
        <v>0</v>
      </c>
      <c r="BC72">
        <f t="shared" si="7"/>
        <v>1</v>
      </c>
      <c r="BD72">
        <f t="shared" si="8"/>
        <v>0</v>
      </c>
      <c r="BE72">
        <f t="shared" si="4"/>
        <v>1</v>
      </c>
      <c r="BF72">
        <f t="shared" si="9"/>
        <v>0</v>
      </c>
      <c r="BG72" s="9">
        <f t="shared" si="10"/>
        <v>0</v>
      </c>
      <c r="BH72" s="9">
        <f t="shared" si="11"/>
        <v>0</v>
      </c>
      <c r="BI72" s="9">
        <f t="shared" si="12"/>
        <v>0</v>
      </c>
      <c r="BJ72" s="12">
        <f t="shared" si="13"/>
        <v>1.6811333356059461E-2</v>
      </c>
      <c r="BL72" s="9"/>
      <c r="BN72">
        <f t="shared" si="14"/>
        <v>0</v>
      </c>
      <c r="BO72">
        <f t="shared" si="15"/>
        <v>1</v>
      </c>
      <c r="BP72">
        <f t="shared" si="16"/>
        <v>1</v>
      </c>
      <c r="BQ72">
        <f t="shared" si="5"/>
        <v>1</v>
      </c>
      <c r="BR72">
        <f t="shared" si="17"/>
        <v>1</v>
      </c>
      <c r="BS72" s="9">
        <f t="shared" si="18"/>
        <v>-1.9204534128019299E-3</v>
      </c>
      <c r="BT72" s="9">
        <f t="shared" si="19"/>
        <v>4.63405490586008E-3</v>
      </c>
      <c r="BU72" s="9">
        <f t="shared" si="20"/>
        <v>2.7136014930581502E-3</v>
      </c>
      <c r="BV72" s="12">
        <f t="shared" si="21"/>
        <v>4.034665793740711E-3</v>
      </c>
      <c r="BX72" s="12">
        <f t="shared" si="22"/>
        <v>2.7136014930581502E-3</v>
      </c>
      <c r="BY72" s="12">
        <f t="shared" si="23"/>
        <v>2.0845999149800173E-2</v>
      </c>
    </row>
    <row r="73" spans="1:77" x14ac:dyDescent="0.3">
      <c r="A73" s="1">
        <v>46128</v>
      </c>
      <c r="B73" s="8">
        <v>100.14</v>
      </c>
      <c r="C73" s="8">
        <v>111.2</v>
      </c>
      <c r="D73" s="9">
        <v>1.1146372368587299E-2</v>
      </c>
      <c r="E73" s="9">
        <v>8.0357978351915903E-3</v>
      </c>
      <c r="F73" s="8">
        <v>0</v>
      </c>
      <c r="G73" s="8">
        <v>0.3347</v>
      </c>
      <c r="H73" s="8">
        <v>0</v>
      </c>
      <c r="I73" s="8">
        <v>0.37090000000000001</v>
      </c>
      <c r="J73" s="8">
        <v>0.3347</v>
      </c>
      <c r="K73" s="8">
        <v>0.37090000000000001</v>
      </c>
      <c r="L73" s="8">
        <v>100.4747</v>
      </c>
      <c r="M73" s="8">
        <v>111.57089999999999</v>
      </c>
      <c r="N73" s="10">
        <v>1.1104453764729301</v>
      </c>
      <c r="O73" s="10">
        <v>1.1144207265719701</v>
      </c>
      <c r="P73" s="10">
        <v>1.11311311868706</v>
      </c>
      <c r="Q73" s="10">
        <v>1.11390429286115</v>
      </c>
      <c r="R73" s="8">
        <v>111.59809155891701</v>
      </c>
      <c r="S73" s="8">
        <v>111.481996629298</v>
      </c>
      <c r="T73" s="8">
        <v>111.560226255587</v>
      </c>
      <c r="U73" s="9">
        <v>3.5735672579662002E-3</v>
      </c>
      <c r="V73" s="9">
        <v>2.5327308386922198E-3</v>
      </c>
      <c r="W73" s="9">
        <v>3.2342090474891802E-3</v>
      </c>
      <c r="X73" s="10">
        <v>1.11043775199129</v>
      </c>
      <c r="Y73" s="10">
        <v>1.1140664646848899</v>
      </c>
      <c r="Z73" s="10">
        <v>1.11309589002405</v>
      </c>
      <c r="AA73" s="10">
        <v>1.11378572324544</v>
      </c>
      <c r="AB73" s="8">
        <v>111.935493819275</v>
      </c>
      <c r="AC73" s="8">
        <v>111.852814112337</v>
      </c>
      <c r="AD73" s="8">
        <v>111.9200468633</v>
      </c>
      <c r="AE73" s="9">
        <v>3.2624940739791101E-3</v>
      </c>
      <c r="AF73" s="9">
        <v>2.5235840615360598E-3</v>
      </c>
      <c r="AG73" s="9">
        <v>3.1244858214070502E-3</v>
      </c>
      <c r="AH73" s="12"/>
      <c r="AZ73" s="9"/>
      <c r="BB73">
        <f t="shared" si="6"/>
        <v>0</v>
      </c>
      <c r="BC73">
        <f t="shared" si="7"/>
        <v>1</v>
      </c>
      <c r="BD73">
        <f t="shared" si="8"/>
        <v>0</v>
      </c>
      <c r="BE73">
        <f t="shared" si="4"/>
        <v>1</v>
      </c>
      <c r="BF73">
        <f t="shared" si="9"/>
        <v>0</v>
      </c>
      <c r="BG73" s="9">
        <f t="shared" si="10"/>
        <v>0</v>
      </c>
      <c r="BH73" s="9">
        <f t="shared" si="11"/>
        <v>0</v>
      </c>
      <c r="BI73" s="9">
        <f t="shared" si="12"/>
        <v>0</v>
      </c>
      <c r="BJ73" s="12">
        <f t="shared" si="13"/>
        <v>1.6811333356059461E-2</v>
      </c>
      <c r="BL73" s="9"/>
      <c r="BN73">
        <f t="shared" si="14"/>
        <v>1</v>
      </c>
      <c r="BO73">
        <f t="shared" si="15"/>
        <v>0</v>
      </c>
      <c r="BP73">
        <f t="shared" si="16"/>
        <v>0</v>
      </c>
      <c r="BQ73">
        <f t="shared" si="5"/>
        <v>1</v>
      </c>
      <c r="BR73">
        <f t="shared" si="17"/>
        <v>0</v>
      </c>
      <c r="BS73" s="9">
        <f t="shared" si="18"/>
        <v>0</v>
      </c>
      <c r="BT73" s="9">
        <f t="shared" si="19"/>
        <v>0</v>
      </c>
      <c r="BU73" s="9">
        <f t="shared" si="20"/>
        <v>0</v>
      </c>
      <c r="BV73" s="12">
        <f t="shared" si="21"/>
        <v>4.034665793740711E-3</v>
      </c>
      <c r="BX73" s="12">
        <f t="shared" si="22"/>
        <v>0</v>
      </c>
      <c r="BY73" s="12">
        <f t="shared" si="23"/>
        <v>2.0845999149800173E-2</v>
      </c>
    </row>
    <row r="74" spans="1:77" x14ac:dyDescent="0.3">
      <c r="A74" s="1">
        <v>46129</v>
      </c>
      <c r="B74" s="8">
        <v>100.51</v>
      </c>
      <c r="C74" s="8">
        <v>112.06</v>
      </c>
      <c r="D74" s="9">
        <v>3.6880181348499098E-3</v>
      </c>
      <c r="E74" s="9">
        <v>7.7040603206564298E-3</v>
      </c>
      <c r="F74" s="8">
        <v>0</v>
      </c>
      <c r="G74" s="8">
        <v>0.3347</v>
      </c>
      <c r="H74" s="8">
        <v>0</v>
      </c>
      <c r="I74" s="8">
        <v>0.37090000000000001</v>
      </c>
      <c r="J74" s="8">
        <v>0.3347</v>
      </c>
      <c r="K74" s="8">
        <v>0.37090000000000001</v>
      </c>
      <c r="L74" s="8">
        <v>100.8447</v>
      </c>
      <c r="M74" s="8">
        <v>112.43089999999999</v>
      </c>
      <c r="N74" s="10">
        <v>1.1149139389115501</v>
      </c>
      <c r="O74" s="10">
        <v>1.1144207265719701</v>
      </c>
      <c r="P74" s="10">
        <v>1.1132540302631</v>
      </c>
      <c r="Q74" s="10">
        <v>1.1139757787770801</v>
      </c>
      <c r="R74" s="8">
        <v>112.01042722774901</v>
      </c>
      <c r="S74" s="8">
        <v>111.87899955923599</v>
      </c>
      <c r="T74" s="8">
        <v>111.958520475474</v>
      </c>
      <c r="U74" s="9">
        <v>-4.4247492784041398E-4</v>
      </c>
      <c r="V74" s="9">
        <v>-1.61651593098132E-3</v>
      </c>
      <c r="W74" s="9">
        <v>-9.0599233716158998E-4</v>
      </c>
      <c r="X74" s="10">
        <v>1.1148915114031701</v>
      </c>
      <c r="Y74" s="10">
        <v>1.1140664646848899</v>
      </c>
      <c r="Z74" s="10">
        <v>1.1132364706023801</v>
      </c>
      <c r="AA74" s="10">
        <v>1.1138677515278901</v>
      </c>
      <c r="AB74" s="8">
        <v>112.347698411208</v>
      </c>
      <c r="AC74" s="8">
        <v>112.249821100708</v>
      </c>
      <c r="AD74" s="8">
        <v>112.319387124969</v>
      </c>
      <c r="AE74" s="9">
        <v>-7.4029817054849603E-4</v>
      </c>
      <c r="AF74" s="9">
        <v>-1.61187784702119E-3</v>
      </c>
      <c r="AG74" s="9">
        <v>-9.9232695635290504E-4</v>
      </c>
      <c r="AH74" s="12"/>
      <c r="AZ74" s="9"/>
      <c r="BB74">
        <f t="shared" si="6"/>
        <v>0</v>
      </c>
      <c r="BC74">
        <f t="shared" si="7"/>
        <v>1</v>
      </c>
      <c r="BD74">
        <f t="shared" si="8"/>
        <v>0</v>
      </c>
      <c r="BE74">
        <f t="shared" si="4"/>
        <v>1</v>
      </c>
      <c r="BF74">
        <f t="shared" si="9"/>
        <v>0</v>
      </c>
      <c r="BG74" s="9">
        <f t="shared" si="10"/>
        <v>0</v>
      </c>
      <c r="BH74" s="9">
        <f t="shared" si="11"/>
        <v>0</v>
      </c>
      <c r="BI74" s="9">
        <f t="shared" si="12"/>
        <v>0</v>
      </c>
      <c r="BJ74" s="12">
        <f t="shared" si="13"/>
        <v>1.6811333356059461E-2</v>
      </c>
      <c r="BL74" s="9"/>
      <c r="BN74">
        <f t="shared" si="14"/>
        <v>0</v>
      </c>
      <c r="BO74">
        <f t="shared" si="15"/>
        <v>1</v>
      </c>
      <c r="BP74">
        <f t="shared" si="16"/>
        <v>1</v>
      </c>
      <c r="BQ74">
        <f t="shared" si="5"/>
        <v>1</v>
      </c>
      <c r="BR74">
        <f t="shared" si="17"/>
        <v>1</v>
      </c>
      <c r="BS74" s="9">
        <f t="shared" si="18"/>
        <v>-3.6880181348499098E-3</v>
      </c>
      <c r="BT74" s="9">
        <f t="shared" si="19"/>
        <v>7.7040603206564298E-3</v>
      </c>
      <c r="BU74" s="9">
        <f t="shared" si="20"/>
        <v>4.0160421858065204E-3</v>
      </c>
      <c r="BV74" s="12">
        <f t="shared" si="21"/>
        <v>8.0507079795472322E-3</v>
      </c>
      <c r="BX74" s="12">
        <f t="shared" si="22"/>
        <v>4.0160421858065204E-3</v>
      </c>
      <c r="BY74" s="12">
        <f t="shared" si="23"/>
        <v>2.4862041335606693E-2</v>
      </c>
    </row>
    <row r="75" spans="1:77" x14ac:dyDescent="0.3">
      <c r="A75" s="1">
        <v>46132</v>
      </c>
      <c r="B75" s="8">
        <v>100.89</v>
      </c>
      <c r="C75" s="8">
        <v>112.35</v>
      </c>
      <c r="D75" s="9">
        <v>3.7735893836394799E-3</v>
      </c>
      <c r="E75" s="9">
        <v>2.5845564941995502E-3</v>
      </c>
      <c r="F75" s="8">
        <v>0</v>
      </c>
      <c r="G75" s="8">
        <v>0.3347</v>
      </c>
      <c r="H75" s="8">
        <v>0</v>
      </c>
      <c r="I75" s="8">
        <v>0.37090000000000001</v>
      </c>
      <c r="J75" s="8">
        <v>0.3347</v>
      </c>
      <c r="K75" s="8">
        <v>0.37090000000000001</v>
      </c>
      <c r="L75" s="8">
        <v>101.2247</v>
      </c>
      <c r="M75" s="8">
        <v>112.7209</v>
      </c>
      <c r="N75" s="10">
        <v>1.11358905738923</v>
      </c>
      <c r="O75" s="10">
        <v>1.1144207265719701</v>
      </c>
      <c r="P75" s="10">
        <v>1.11311325782138</v>
      </c>
      <c r="Q75" s="10">
        <v>1.1139583410181499</v>
      </c>
      <c r="R75" s="8">
        <v>112.433907103846</v>
      </c>
      <c r="S75" s="8">
        <v>112.316199113244</v>
      </c>
      <c r="T75" s="8">
        <v>112.38901632082001</v>
      </c>
      <c r="U75" s="9">
        <v>7.4655796159942402E-4</v>
      </c>
      <c r="V75" s="9">
        <v>-3.00898730147365E-4</v>
      </c>
      <c r="W75" s="9">
        <v>3.4721448772983199E-4</v>
      </c>
      <c r="X75" s="10">
        <v>1.1135710948019599</v>
      </c>
      <c r="Y75" s="10">
        <v>1.1140664646848899</v>
      </c>
      <c r="Z75" s="10">
        <v>1.1130963490508901</v>
      </c>
      <c r="AA75" s="10">
        <v>1.1138614060319001</v>
      </c>
      <c r="AB75" s="8">
        <v>112.77104366778801</v>
      </c>
      <c r="AC75" s="8">
        <v>112.687027765785</v>
      </c>
      <c r="AD75" s="8">
        <v>112.75092898808499</v>
      </c>
      <c r="AE75" s="9">
        <v>4.4474909213949599E-4</v>
      </c>
      <c r="AF75" s="9">
        <v>-3.0054164292560802E-4</v>
      </c>
      <c r="AG75" s="9">
        <v>2.6636576638286501E-4</v>
      </c>
      <c r="AH75" s="12"/>
      <c r="AZ75" s="9"/>
      <c r="BB75">
        <f t="shared" si="6"/>
        <v>0</v>
      </c>
      <c r="BC75">
        <f t="shared" si="7"/>
        <v>1</v>
      </c>
      <c r="BD75">
        <f t="shared" si="8"/>
        <v>0</v>
      </c>
      <c r="BE75">
        <f t="shared" si="4"/>
        <v>1</v>
      </c>
      <c r="BF75">
        <f t="shared" si="9"/>
        <v>0</v>
      </c>
      <c r="BG75" s="9">
        <f t="shared" si="10"/>
        <v>0</v>
      </c>
      <c r="BH75" s="9">
        <f t="shared" si="11"/>
        <v>0</v>
      </c>
      <c r="BI75" s="9">
        <f t="shared" si="12"/>
        <v>0</v>
      </c>
      <c r="BJ75" s="12">
        <f t="shared" si="13"/>
        <v>1.6811333356059461E-2</v>
      </c>
      <c r="BL75" s="9"/>
      <c r="BN75">
        <f t="shared" si="14"/>
        <v>0</v>
      </c>
      <c r="BO75">
        <f t="shared" si="15"/>
        <v>1</v>
      </c>
      <c r="BP75">
        <f t="shared" si="16"/>
        <v>0</v>
      </c>
      <c r="BQ75">
        <f t="shared" si="5"/>
        <v>1</v>
      </c>
      <c r="BR75">
        <f t="shared" si="17"/>
        <v>0</v>
      </c>
      <c r="BS75" s="9">
        <f t="shared" si="18"/>
        <v>0</v>
      </c>
      <c r="BT75" s="9">
        <f t="shared" si="19"/>
        <v>0</v>
      </c>
      <c r="BU75" s="9">
        <f t="shared" si="20"/>
        <v>0</v>
      </c>
      <c r="BV75" s="12">
        <f t="shared" si="21"/>
        <v>8.0507079795472322E-3</v>
      </c>
      <c r="BX75" s="12">
        <f t="shared" si="22"/>
        <v>0</v>
      </c>
      <c r="BY75" s="12">
        <f t="shared" si="23"/>
        <v>2.4862041335606693E-2</v>
      </c>
    </row>
    <row r="76" spans="1:77" x14ac:dyDescent="0.3">
      <c r="A76" s="1">
        <v>46133</v>
      </c>
      <c r="B76" s="8">
        <v>99.9</v>
      </c>
      <c r="C76" s="8">
        <v>111.32</v>
      </c>
      <c r="D76" s="9">
        <v>-9.8611287657800698E-3</v>
      </c>
      <c r="E76" s="9">
        <v>-9.2100619736481797E-3</v>
      </c>
      <c r="F76" s="8">
        <v>0</v>
      </c>
      <c r="G76" s="8">
        <v>0.3347</v>
      </c>
      <c r="H76" s="8">
        <v>0</v>
      </c>
      <c r="I76" s="8">
        <v>0.37090000000000001</v>
      </c>
      <c r="J76" s="8">
        <v>0.3347</v>
      </c>
      <c r="K76" s="8">
        <v>0.37090000000000001</v>
      </c>
      <c r="L76" s="8">
        <v>100.2347</v>
      </c>
      <c r="M76" s="8">
        <v>111.6909</v>
      </c>
      <c r="N76" s="10">
        <v>1.1143143143143099</v>
      </c>
      <c r="O76" s="10">
        <v>1.1144207265719701</v>
      </c>
      <c r="P76" s="10">
        <v>1.11315295864752</v>
      </c>
      <c r="Q76" s="10">
        <v>1.1140442034120299</v>
      </c>
      <c r="R76" s="8">
        <v>111.33063058454</v>
      </c>
      <c r="S76" s="8">
        <v>111.200014456356</v>
      </c>
      <c r="T76" s="8">
        <v>111.284438267713</v>
      </c>
      <c r="U76" s="9">
        <v>9.5491169467484395E-5</v>
      </c>
      <c r="V76" s="9">
        <v>-1.07842483801312E-3</v>
      </c>
      <c r="W76" s="9">
        <v>-3.1950605177353799E-4</v>
      </c>
      <c r="X76" s="10">
        <v>1.1142937525627299</v>
      </c>
      <c r="Y76" s="10">
        <v>1.1140664646848899</v>
      </c>
      <c r="Z76" s="10">
        <v>1.11313604109076</v>
      </c>
      <c r="AA76" s="10">
        <v>1.1139579674517599</v>
      </c>
      <c r="AB76" s="8">
        <v>111.66811786775</v>
      </c>
      <c r="AC76" s="8">
        <v>111.570878618211</v>
      </c>
      <c r="AD76" s="8">
        <v>111.64756387518599</v>
      </c>
      <c r="AE76" s="9">
        <v>-2.0399563488029301E-4</v>
      </c>
      <c r="AF76" s="9">
        <v>-1.0751629239243101E-3</v>
      </c>
      <c r="AG76" s="9">
        <v>-3.8807578959394002E-4</v>
      </c>
      <c r="AH76" s="12"/>
      <c r="AZ76" s="9"/>
      <c r="BB76">
        <f t="shared" si="6"/>
        <v>0</v>
      </c>
      <c r="BC76">
        <f t="shared" si="7"/>
        <v>1</v>
      </c>
      <c r="BD76">
        <f t="shared" si="8"/>
        <v>0</v>
      </c>
      <c r="BE76">
        <f t="shared" si="4"/>
        <v>1</v>
      </c>
      <c r="BF76">
        <f t="shared" si="9"/>
        <v>0</v>
      </c>
      <c r="BG76" s="9">
        <f t="shared" si="10"/>
        <v>0</v>
      </c>
      <c r="BH76" s="9">
        <f t="shared" si="11"/>
        <v>0</v>
      </c>
      <c r="BI76" s="9">
        <f t="shared" si="12"/>
        <v>0</v>
      </c>
      <c r="BJ76" s="12">
        <f t="shared" si="13"/>
        <v>1.6811333356059461E-2</v>
      </c>
      <c r="BL76" s="9"/>
      <c r="BN76">
        <f t="shared" si="14"/>
        <v>0</v>
      </c>
      <c r="BO76">
        <f t="shared" si="15"/>
        <v>1</v>
      </c>
      <c r="BP76">
        <f t="shared" si="16"/>
        <v>0</v>
      </c>
      <c r="BQ76">
        <f t="shared" si="5"/>
        <v>1</v>
      </c>
      <c r="BR76">
        <f t="shared" si="17"/>
        <v>0</v>
      </c>
      <c r="BS76" s="9">
        <f t="shared" si="18"/>
        <v>0</v>
      </c>
      <c r="BT76" s="9">
        <f t="shared" si="19"/>
        <v>0</v>
      </c>
      <c r="BU76" s="9">
        <f t="shared" si="20"/>
        <v>0</v>
      </c>
      <c r="BV76" s="12">
        <f t="shared" si="21"/>
        <v>8.0507079795472322E-3</v>
      </c>
      <c r="BX76" s="12">
        <f t="shared" si="22"/>
        <v>0</v>
      </c>
      <c r="BY76" s="12">
        <f t="shared" si="23"/>
        <v>2.4862041335606693E-2</v>
      </c>
    </row>
    <row r="77" spans="1:77" x14ac:dyDescent="0.3">
      <c r="A77" s="1">
        <v>46134</v>
      </c>
      <c r="B77" s="8">
        <v>101</v>
      </c>
      <c r="C77" s="8">
        <v>112.33</v>
      </c>
      <c r="D77" s="9">
        <v>1.09508311867514E-2</v>
      </c>
      <c r="E77" s="9">
        <v>9.0320309957878098E-3</v>
      </c>
      <c r="F77" s="8">
        <v>0</v>
      </c>
      <c r="G77" s="8">
        <v>0.3347</v>
      </c>
      <c r="H77" s="8">
        <v>0</v>
      </c>
      <c r="I77" s="8">
        <v>0.37090000000000001</v>
      </c>
      <c r="J77" s="8">
        <v>0.3347</v>
      </c>
      <c r="K77" s="8">
        <v>0.37090000000000001</v>
      </c>
      <c r="L77" s="8">
        <v>101.3347</v>
      </c>
      <c r="M77" s="8">
        <v>112.7009</v>
      </c>
      <c r="N77" s="10">
        <v>1.1121782178217801</v>
      </c>
      <c r="O77" s="10">
        <v>1.1144207265719701</v>
      </c>
      <c r="P77" s="10">
        <v>1.1129588082334201</v>
      </c>
      <c r="Q77" s="10">
        <v>1.1139039479053601</v>
      </c>
      <c r="R77" s="8">
        <v>112.55649338376899</v>
      </c>
      <c r="S77" s="8">
        <v>112.4284488234</v>
      </c>
      <c r="T77" s="8">
        <v>112.518464544615</v>
      </c>
      <c r="U77" s="9">
        <v>2.0142913604310401E-3</v>
      </c>
      <c r="V77" s="9">
        <v>8.7604119188422697E-4</v>
      </c>
      <c r="W77" s="9">
        <v>1.67636980873425E-3</v>
      </c>
      <c r="X77" s="10">
        <v>1.1121649346176501</v>
      </c>
      <c r="Y77" s="10">
        <v>1.1140664646848899</v>
      </c>
      <c r="Z77" s="10">
        <v>1.11294262581153</v>
      </c>
      <c r="AA77" s="10">
        <v>1.1138290413325</v>
      </c>
      <c r="AB77" s="8">
        <v>112.893590978904</v>
      </c>
      <c r="AC77" s="8">
        <v>112.79930678312</v>
      </c>
      <c r="AD77" s="8">
        <v>112.882596444334</v>
      </c>
      <c r="AE77" s="9">
        <v>1.70829549009434E-3</v>
      </c>
      <c r="AF77" s="9">
        <v>8.7278668850051297E-4</v>
      </c>
      <c r="AG77" s="9">
        <v>1.61090227335333E-3</v>
      </c>
      <c r="AH77" s="12"/>
      <c r="AZ77" s="9"/>
      <c r="BB77">
        <f t="shared" si="6"/>
        <v>0</v>
      </c>
      <c r="BC77">
        <f t="shared" si="7"/>
        <v>1</v>
      </c>
      <c r="BD77">
        <f t="shared" si="8"/>
        <v>0</v>
      </c>
      <c r="BE77">
        <f t="shared" si="4"/>
        <v>1</v>
      </c>
      <c r="BF77">
        <f t="shared" si="9"/>
        <v>0</v>
      </c>
      <c r="BG77" s="9">
        <f t="shared" si="10"/>
        <v>0</v>
      </c>
      <c r="BH77" s="9">
        <f t="shared" si="11"/>
        <v>0</v>
      </c>
      <c r="BI77" s="9">
        <f t="shared" si="12"/>
        <v>0</v>
      </c>
      <c r="BJ77" s="12">
        <f t="shared" si="13"/>
        <v>1.6811333356059461E-2</v>
      </c>
      <c r="BL77" s="9"/>
      <c r="BN77">
        <f t="shared" si="14"/>
        <v>0</v>
      </c>
      <c r="BO77">
        <f t="shared" si="15"/>
        <v>0</v>
      </c>
      <c r="BP77">
        <f t="shared" si="16"/>
        <v>0</v>
      </c>
      <c r="BQ77">
        <f t="shared" si="5"/>
        <v>1</v>
      </c>
      <c r="BR77">
        <f t="shared" si="17"/>
        <v>0</v>
      </c>
      <c r="BS77" s="9">
        <f t="shared" si="18"/>
        <v>0</v>
      </c>
      <c r="BT77" s="9">
        <f t="shared" si="19"/>
        <v>0</v>
      </c>
      <c r="BU77" s="9">
        <f t="shared" si="20"/>
        <v>0</v>
      </c>
      <c r="BV77" s="12">
        <f t="shared" si="21"/>
        <v>8.0507079795472322E-3</v>
      </c>
      <c r="BX77" s="12">
        <f t="shared" si="22"/>
        <v>0</v>
      </c>
      <c r="BY77" s="12">
        <f t="shared" si="23"/>
        <v>2.4862041335606693E-2</v>
      </c>
    </row>
    <row r="78" spans="1:77" x14ac:dyDescent="0.3">
      <c r="A78" s="1">
        <v>46135</v>
      </c>
      <c r="B78" s="8">
        <v>100.92</v>
      </c>
      <c r="C78" s="8">
        <v>112.01</v>
      </c>
      <c r="D78" s="9">
        <v>-7.9239306840245499E-4</v>
      </c>
      <c r="E78" s="9">
        <v>-2.8528146298296901E-3</v>
      </c>
      <c r="F78" s="8">
        <v>0</v>
      </c>
      <c r="G78" s="8">
        <v>0.3347</v>
      </c>
      <c r="H78" s="8">
        <v>0</v>
      </c>
      <c r="I78" s="8">
        <v>0.37090000000000001</v>
      </c>
      <c r="J78" s="8">
        <v>0.3347</v>
      </c>
      <c r="K78" s="8">
        <v>0.37090000000000001</v>
      </c>
      <c r="L78" s="8">
        <v>101.2547</v>
      </c>
      <c r="M78" s="8">
        <v>112.3809</v>
      </c>
      <c r="N78" s="10">
        <v>1.10988902100673</v>
      </c>
      <c r="O78" s="10">
        <v>1.1144207265719701</v>
      </c>
      <c r="P78" s="10">
        <v>1.1124981196181001</v>
      </c>
      <c r="Q78" s="10">
        <v>1.11360633563342</v>
      </c>
      <c r="R78" s="8">
        <v>112.467339725643</v>
      </c>
      <c r="S78" s="8">
        <v>112.319802926916</v>
      </c>
      <c r="T78" s="8">
        <v>112.415186422609</v>
      </c>
      <c r="U78" s="9">
        <v>4.0747129218583703E-3</v>
      </c>
      <c r="V78" s="9">
        <v>2.7620326842660099E-3</v>
      </c>
      <c r="W78" s="9">
        <v>3.6108858307744101E-3</v>
      </c>
      <c r="X78" s="10">
        <v>1.1098832943063299</v>
      </c>
      <c r="Y78" s="10">
        <v>1.1140664646848899</v>
      </c>
      <c r="Z78" s="10">
        <v>1.1124835554360899</v>
      </c>
      <c r="AA78" s="10">
        <v>1.11354317623647</v>
      </c>
      <c r="AB78" s="8">
        <v>112.804465661729</v>
      </c>
      <c r="AC78" s="8">
        <v>112.690671693759</v>
      </c>
      <c r="AD78" s="8">
        <v>112.78042543140999</v>
      </c>
      <c r="AE78" s="9">
        <v>3.7619332856271802E-3</v>
      </c>
      <c r="AF78" s="9">
        <v>2.7526522965627899E-3</v>
      </c>
      <c r="AG78" s="9">
        <v>3.5487964013849599E-3</v>
      </c>
      <c r="AH78" s="12"/>
      <c r="AZ78" s="9"/>
      <c r="BB78">
        <f t="shared" si="6"/>
        <v>0</v>
      </c>
      <c r="BC78">
        <f t="shared" si="7"/>
        <v>1</v>
      </c>
      <c r="BD78">
        <f t="shared" si="8"/>
        <v>0</v>
      </c>
      <c r="BE78">
        <f t="shared" si="4"/>
        <v>1</v>
      </c>
      <c r="BF78">
        <f t="shared" si="9"/>
        <v>0</v>
      </c>
      <c r="BG78" s="9">
        <f t="shared" si="10"/>
        <v>0</v>
      </c>
      <c r="BH78" s="9">
        <f t="shared" si="11"/>
        <v>0</v>
      </c>
      <c r="BI78" s="9">
        <f t="shared" si="12"/>
        <v>0</v>
      </c>
      <c r="BJ78" s="12">
        <f t="shared" si="13"/>
        <v>1.6811333356059461E-2</v>
      </c>
      <c r="BL78" s="9"/>
      <c r="BN78">
        <f t="shared" si="14"/>
        <v>1</v>
      </c>
      <c r="BO78">
        <f t="shared" si="15"/>
        <v>0</v>
      </c>
      <c r="BP78">
        <f t="shared" si="16"/>
        <v>0</v>
      </c>
      <c r="BQ78">
        <f t="shared" si="5"/>
        <v>1</v>
      </c>
      <c r="BR78">
        <f t="shared" si="17"/>
        <v>0</v>
      </c>
      <c r="BS78" s="9">
        <f t="shared" si="18"/>
        <v>0</v>
      </c>
      <c r="BT78" s="9">
        <f t="shared" si="19"/>
        <v>0</v>
      </c>
      <c r="BU78" s="9">
        <f t="shared" si="20"/>
        <v>0</v>
      </c>
      <c r="BV78" s="12">
        <f t="shared" si="21"/>
        <v>8.0507079795472322E-3</v>
      </c>
      <c r="BX78" s="12">
        <f t="shared" si="22"/>
        <v>0</v>
      </c>
      <c r="BY78" s="12">
        <f t="shared" si="23"/>
        <v>2.4862041335606693E-2</v>
      </c>
    </row>
    <row r="79" spans="1:77" x14ac:dyDescent="0.3">
      <c r="A79" s="1">
        <v>46136</v>
      </c>
      <c r="B79" s="8">
        <v>100.78</v>
      </c>
      <c r="C79" s="8">
        <v>112.19</v>
      </c>
      <c r="D79" s="9">
        <v>-1.3882005204049299E-3</v>
      </c>
      <c r="E79" s="9">
        <v>1.6057095332252099E-3</v>
      </c>
      <c r="F79" s="8">
        <v>0</v>
      </c>
      <c r="G79" s="8">
        <v>0.3347</v>
      </c>
      <c r="H79" s="8">
        <v>0</v>
      </c>
      <c r="I79" s="8">
        <v>0.37090000000000001</v>
      </c>
      <c r="J79" s="8">
        <v>0.3347</v>
      </c>
      <c r="K79" s="8">
        <v>0.37090000000000001</v>
      </c>
      <c r="L79" s="8">
        <v>101.1147</v>
      </c>
      <c r="M79" s="8">
        <v>112.5609</v>
      </c>
      <c r="N79" s="10">
        <v>1.1132169081166801</v>
      </c>
      <c r="O79" s="10">
        <v>1.1144207265719701</v>
      </c>
      <c r="P79" s="10">
        <v>1.1122757689789899</v>
      </c>
      <c r="Q79" s="10">
        <v>1.1134868026076601</v>
      </c>
      <c r="R79" s="8">
        <v>112.311320823923</v>
      </c>
      <c r="S79" s="8">
        <v>112.117560495112</v>
      </c>
      <c r="T79" s="8">
        <v>112.229246505136</v>
      </c>
      <c r="U79" s="9">
        <v>1.0808028682282699E-3</v>
      </c>
      <c r="V79" s="9">
        <v>-6.4589447850609796E-4</v>
      </c>
      <c r="W79" s="9">
        <v>3.4976060340202302E-4</v>
      </c>
      <c r="X79" s="10">
        <v>1.1132001578405499</v>
      </c>
      <c r="Y79" s="10">
        <v>1.1140664646848899</v>
      </c>
      <c r="Z79" s="10">
        <v>1.11226204736557</v>
      </c>
      <c r="AA79" s="10">
        <v>1.1134350799814501</v>
      </c>
      <c r="AB79" s="8">
        <v>112.64849635667299</v>
      </c>
      <c r="AC79" s="8">
        <v>112.48844096285301</v>
      </c>
      <c r="AD79" s="8">
        <v>112.595584202198</v>
      </c>
      <c r="AE79" s="9">
        <v>7.7791035816516597E-4</v>
      </c>
      <c r="AF79" s="9">
        <v>-6.4393914099197705E-4</v>
      </c>
      <c r="AG79" s="9">
        <v>3.0808975007517899E-4</v>
      </c>
      <c r="AH79" s="12"/>
      <c r="AZ79" s="9"/>
      <c r="BB79">
        <f t="shared" si="6"/>
        <v>0</v>
      </c>
      <c r="BC79">
        <f t="shared" si="7"/>
        <v>1</v>
      </c>
      <c r="BD79">
        <f t="shared" si="8"/>
        <v>0</v>
      </c>
      <c r="BE79">
        <f t="shared" si="4"/>
        <v>1</v>
      </c>
      <c r="BF79">
        <f t="shared" si="9"/>
        <v>0</v>
      </c>
      <c r="BG79" s="9">
        <f t="shared" si="10"/>
        <v>0</v>
      </c>
      <c r="BH79" s="9">
        <f t="shared" si="11"/>
        <v>0</v>
      </c>
      <c r="BI79" s="9">
        <f t="shared" si="12"/>
        <v>0</v>
      </c>
      <c r="BJ79" s="12">
        <f t="shared" si="13"/>
        <v>1.6811333356059461E-2</v>
      </c>
      <c r="BL79" s="9"/>
      <c r="BN79">
        <f t="shared" si="14"/>
        <v>0</v>
      </c>
      <c r="BO79">
        <f t="shared" si="15"/>
        <v>1</v>
      </c>
      <c r="BP79">
        <f t="shared" si="16"/>
        <v>1</v>
      </c>
      <c r="BQ79">
        <f t="shared" si="5"/>
        <v>1</v>
      </c>
      <c r="BR79">
        <f t="shared" si="17"/>
        <v>1</v>
      </c>
      <c r="BS79" s="9">
        <f t="shared" si="18"/>
        <v>1.3882005204049299E-3</v>
      </c>
      <c r="BT79" s="9">
        <f t="shared" si="19"/>
        <v>1.6057095332252099E-3</v>
      </c>
      <c r="BU79" s="9">
        <f t="shared" si="20"/>
        <v>2.9939100536301401E-3</v>
      </c>
      <c r="BV79" s="12">
        <f t="shared" si="21"/>
        <v>1.1044618033177373E-2</v>
      </c>
      <c r="BX79" s="12">
        <f t="shared" si="22"/>
        <v>2.9939100536301401E-3</v>
      </c>
      <c r="BY79" s="12">
        <f t="shared" si="23"/>
        <v>2.7855951389236834E-2</v>
      </c>
    </row>
    <row r="80" spans="1:77" x14ac:dyDescent="0.3">
      <c r="A80" s="1">
        <v>46139</v>
      </c>
      <c r="B80" s="8">
        <v>100.71</v>
      </c>
      <c r="C80" s="8">
        <v>111.95</v>
      </c>
      <c r="D80" s="9">
        <v>-6.9482359239888603E-4</v>
      </c>
      <c r="E80" s="9">
        <v>-2.14151951210945E-3</v>
      </c>
      <c r="F80" s="8">
        <v>0</v>
      </c>
      <c r="G80" s="8">
        <v>0.3347</v>
      </c>
      <c r="H80" s="8">
        <v>0</v>
      </c>
      <c r="I80" s="8">
        <v>0.37090000000000001</v>
      </c>
      <c r="J80" s="8">
        <v>0.3347</v>
      </c>
      <c r="K80" s="8">
        <v>0.37090000000000001</v>
      </c>
      <c r="L80" s="8">
        <v>101.044699999999</v>
      </c>
      <c r="M80" s="8">
        <v>112.32089999999999</v>
      </c>
      <c r="N80" s="10">
        <v>1.11160758613841</v>
      </c>
      <c r="O80" s="10">
        <v>1.1144207265719701</v>
      </c>
      <c r="P80" s="10">
        <v>1.11249455783395</v>
      </c>
      <c r="Q80" s="10">
        <v>1.11292644034906</v>
      </c>
      <c r="R80" s="8">
        <v>112.233311373063</v>
      </c>
      <c r="S80" s="8">
        <v>112.017292693874</v>
      </c>
      <c r="T80" s="8">
        <v>112.139255890618</v>
      </c>
      <c r="U80" s="9">
        <v>2.52749878793884E-3</v>
      </c>
      <c r="V80" s="9">
        <v>6.0091538447900803E-4</v>
      </c>
      <c r="W80" s="9">
        <v>1.68911208940676E-3</v>
      </c>
      <c r="X80" s="10">
        <v>1.1115961549690301</v>
      </c>
      <c r="Y80" s="10">
        <v>1.1140664646848899</v>
      </c>
      <c r="Z80" s="10">
        <v>1.11248012356133</v>
      </c>
      <c r="AA80" s="10">
        <v>1.1128875725783101</v>
      </c>
      <c r="AB80" s="8">
        <v>112.57051170414501</v>
      </c>
      <c r="AC80" s="8">
        <v>112.38818489744</v>
      </c>
      <c r="AD80" s="8">
        <v>112.50671362620101</v>
      </c>
      <c r="AE80" s="9">
        <v>2.2198429433584002E-3</v>
      </c>
      <c r="AF80" s="9">
        <v>5.9886229773099104E-4</v>
      </c>
      <c r="AG80" s="9">
        <v>1.6529434753310599E-3</v>
      </c>
      <c r="AH80" s="12"/>
      <c r="AZ80" s="9"/>
      <c r="BB80">
        <f t="shared" si="6"/>
        <v>0</v>
      </c>
      <c r="BC80">
        <f t="shared" si="7"/>
        <v>1</v>
      </c>
      <c r="BD80">
        <f t="shared" si="8"/>
        <v>0</v>
      </c>
      <c r="BE80">
        <f t="shared" si="4"/>
        <v>1</v>
      </c>
      <c r="BF80">
        <f t="shared" si="9"/>
        <v>0</v>
      </c>
      <c r="BG80" s="9">
        <f t="shared" si="10"/>
        <v>0</v>
      </c>
      <c r="BH80" s="9">
        <f t="shared" si="11"/>
        <v>0</v>
      </c>
      <c r="BI80" s="9">
        <f t="shared" si="12"/>
        <v>0</v>
      </c>
      <c r="BJ80" s="12">
        <f t="shared" si="13"/>
        <v>1.6811333356059461E-2</v>
      </c>
      <c r="BL80" s="9"/>
      <c r="BN80">
        <f t="shared" si="14"/>
        <v>0</v>
      </c>
      <c r="BO80">
        <f t="shared" si="15"/>
        <v>0</v>
      </c>
      <c r="BP80">
        <f t="shared" si="16"/>
        <v>0</v>
      </c>
      <c r="BQ80">
        <f t="shared" si="5"/>
        <v>1</v>
      </c>
      <c r="BR80">
        <f t="shared" si="17"/>
        <v>0</v>
      </c>
      <c r="BS80" s="9">
        <f t="shared" si="18"/>
        <v>0</v>
      </c>
      <c r="BT80" s="9">
        <f t="shared" si="19"/>
        <v>0</v>
      </c>
      <c r="BU80" s="9">
        <f t="shared" si="20"/>
        <v>0</v>
      </c>
      <c r="BV80" s="12">
        <f t="shared" si="21"/>
        <v>1.1044618033177373E-2</v>
      </c>
      <c r="BX80" s="12">
        <f t="shared" si="22"/>
        <v>0</v>
      </c>
      <c r="BY80" s="12">
        <f t="shared" si="23"/>
        <v>2.7855951389236834E-2</v>
      </c>
    </row>
    <row r="81" spans="1:77" x14ac:dyDescent="0.3">
      <c r="A81" s="1">
        <v>46140</v>
      </c>
      <c r="B81" s="8">
        <v>99.17</v>
      </c>
      <c r="C81" s="8">
        <v>110.1</v>
      </c>
      <c r="D81" s="9">
        <v>-1.5409550462019399E-2</v>
      </c>
      <c r="E81" s="9">
        <v>-1.6663299316129501E-2</v>
      </c>
      <c r="F81" s="8">
        <v>0</v>
      </c>
      <c r="G81" s="8">
        <v>0.3347</v>
      </c>
      <c r="H81" s="8">
        <v>0</v>
      </c>
      <c r="I81" s="8">
        <v>0.37090000000000001</v>
      </c>
      <c r="J81" s="8">
        <v>0.3347</v>
      </c>
      <c r="K81" s="8">
        <v>0.37090000000000001</v>
      </c>
      <c r="L81" s="8">
        <v>99.5047</v>
      </c>
      <c r="M81" s="8">
        <v>110.4709</v>
      </c>
      <c r="N81" s="10">
        <v>1.11021478269638</v>
      </c>
      <c r="O81" s="10">
        <v>1.1144207265719701</v>
      </c>
      <c r="P81" s="10">
        <v>1.1124274080177901</v>
      </c>
      <c r="Q81" s="10">
        <v>1.1127599557642001</v>
      </c>
      <c r="R81" s="8">
        <v>110.517103454142</v>
      </c>
      <c r="S81" s="8">
        <v>110.326085300393</v>
      </c>
      <c r="T81" s="8">
        <v>110.36891508941601</v>
      </c>
      <c r="U81" s="9">
        <v>3.7812476420489398E-3</v>
      </c>
      <c r="V81" s="9">
        <v>2.0513486810430702E-3</v>
      </c>
      <c r="W81" s="9">
        <v>2.4394842480976501E-3</v>
      </c>
      <c r="X81" s="10">
        <v>1.1102078595282401</v>
      </c>
      <c r="Y81" s="10">
        <v>1.1140664646848899</v>
      </c>
      <c r="Z81" s="10">
        <v>1.1124132026695699</v>
      </c>
      <c r="AA81" s="10">
        <v>1.1127330758403999</v>
      </c>
      <c r="AB81" s="8">
        <v>110.85484934853</v>
      </c>
      <c r="AC81" s="8">
        <v>110.697000950933</v>
      </c>
      <c r="AD81" s="8">
        <v>110.737544043133</v>
      </c>
      <c r="AE81" s="9">
        <v>3.4695441883086102E-3</v>
      </c>
      <c r="AF81" s="9">
        <v>2.0446098075552698E-3</v>
      </c>
      <c r="AG81" s="9">
        <v>2.4107956043906802E-3</v>
      </c>
      <c r="AH81" s="12"/>
      <c r="AZ81" s="9"/>
      <c r="BB81">
        <f t="shared" si="6"/>
        <v>0</v>
      </c>
      <c r="BC81">
        <f t="shared" si="7"/>
        <v>1</v>
      </c>
      <c r="BD81">
        <f t="shared" si="8"/>
        <v>0</v>
      </c>
      <c r="BE81">
        <f t="shared" si="4"/>
        <v>1</v>
      </c>
      <c r="BF81">
        <f t="shared" si="9"/>
        <v>0</v>
      </c>
      <c r="BG81" s="9">
        <f t="shared" si="10"/>
        <v>0</v>
      </c>
      <c r="BH81" s="9">
        <f t="shared" si="11"/>
        <v>0</v>
      </c>
      <c r="BI81" s="9">
        <f t="shared" si="12"/>
        <v>0</v>
      </c>
      <c r="BJ81" s="12">
        <f t="shared" si="13"/>
        <v>1.6811333356059461E-2</v>
      </c>
      <c r="BL81" s="9"/>
      <c r="BN81">
        <f t="shared" si="14"/>
        <v>0</v>
      </c>
      <c r="BO81">
        <f t="shared" si="15"/>
        <v>0</v>
      </c>
      <c r="BP81">
        <f t="shared" si="16"/>
        <v>0</v>
      </c>
      <c r="BQ81">
        <f t="shared" si="5"/>
        <v>1</v>
      </c>
      <c r="BR81">
        <f t="shared" si="17"/>
        <v>0</v>
      </c>
      <c r="BS81" s="9">
        <f t="shared" si="18"/>
        <v>0</v>
      </c>
      <c r="BT81" s="9">
        <f t="shared" si="19"/>
        <v>0</v>
      </c>
      <c r="BU81" s="9">
        <f t="shared" si="20"/>
        <v>0</v>
      </c>
      <c r="BV81" s="12">
        <f t="shared" si="21"/>
        <v>1.1044618033177373E-2</v>
      </c>
      <c r="BX81" s="12">
        <f t="shared" si="22"/>
        <v>0</v>
      </c>
      <c r="BY81" s="12">
        <f t="shared" si="23"/>
        <v>2.7855951389236834E-2</v>
      </c>
    </row>
    <row r="82" spans="1:77" x14ac:dyDescent="0.3">
      <c r="A82" s="1">
        <v>46141</v>
      </c>
      <c r="B82" s="8">
        <v>99.75</v>
      </c>
      <c r="C82" s="8">
        <v>111.18</v>
      </c>
      <c r="D82" s="9">
        <v>5.8315065719391204E-3</v>
      </c>
      <c r="E82" s="9">
        <v>9.7614657966892705E-3</v>
      </c>
      <c r="F82" s="8">
        <v>0</v>
      </c>
      <c r="G82" s="8">
        <v>0.3347</v>
      </c>
      <c r="H82" s="8">
        <v>0</v>
      </c>
      <c r="I82" s="8">
        <v>0.37090000000000001</v>
      </c>
      <c r="J82" s="8">
        <v>0.3347</v>
      </c>
      <c r="K82" s="8">
        <v>0.37090000000000001</v>
      </c>
      <c r="L82" s="8">
        <v>100.0847</v>
      </c>
      <c r="M82" s="8">
        <v>111.5509</v>
      </c>
      <c r="N82" s="10">
        <v>1.1145864661654099</v>
      </c>
      <c r="O82" s="10">
        <v>1.1144207265719701</v>
      </c>
      <c r="P82" s="10">
        <v>1.1124955669033401</v>
      </c>
      <c r="Q82" s="10">
        <v>1.11287848361793</v>
      </c>
      <c r="R82" s="8">
        <v>111.163467475554</v>
      </c>
      <c r="S82" s="8">
        <v>110.96463394977501</v>
      </c>
      <c r="T82" s="8">
        <v>110.99780558747899</v>
      </c>
      <c r="U82" s="9">
        <v>-1.4871158270102699E-4</v>
      </c>
      <c r="V82" s="9">
        <v>-1.9389720460053501E-3</v>
      </c>
      <c r="W82" s="9">
        <v>-1.64007789057519E-3</v>
      </c>
      <c r="X82" s="10">
        <v>1.11456496347593</v>
      </c>
      <c r="Y82" s="10">
        <v>1.1140664646848899</v>
      </c>
      <c r="Z82" s="10">
        <v>1.1124811475496901</v>
      </c>
      <c r="AA82" s="10">
        <v>1.1128623607139301</v>
      </c>
      <c r="AB82" s="8">
        <v>111.501007898048</v>
      </c>
      <c r="AC82" s="8">
        <v>111.335541665223</v>
      </c>
      <c r="AD82" s="8">
        <v>111.367556075563</v>
      </c>
      <c r="AE82" s="9">
        <v>-4.47358673181316E-4</v>
      </c>
      <c r="AF82" s="9">
        <v>-1.932449548626E-3</v>
      </c>
      <c r="AG82" s="9">
        <v>-1.64494200260805E-3</v>
      </c>
      <c r="AH82" s="12"/>
      <c r="AZ82" s="9"/>
      <c r="BB82">
        <f t="shared" si="6"/>
        <v>0</v>
      </c>
      <c r="BC82">
        <f t="shared" si="7"/>
        <v>1</v>
      </c>
      <c r="BD82">
        <f t="shared" si="8"/>
        <v>0</v>
      </c>
      <c r="BE82">
        <f t="shared" si="4"/>
        <v>1</v>
      </c>
      <c r="BF82">
        <f t="shared" si="9"/>
        <v>0</v>
      </c>
      <c r="BG82" s="9">
        <f t="shared" si="10"/>
        <v>0</v>
      </c>
      <c r="BH82" s="9">
        <f t="shared" si="11"/>
        <v>0</v>
      </c>
      <c r="BI82" s="9">
        <f t="shared" si="12"/>
        <v>0</v>
      </c>
      <c r="BJ82" s="12">
        <f t="shared" si="13"/>
        <v>1.6811333356059461E-2</v>
      </c>
      <c r="BL82" s="9"/>
      <c r="BN82">
        <f t="shared" si="14"/>
        <v>0</v>
      </c>
      <c r="BO82">
        <f t="shared" si="15"/>
        <v>1</v>
      </c>
      <c r="BP82">
        <f t="shared" si="16"/>
        <v>0</v>
      </c>
      <c r="BQ82">
        <f t="shared" si="5"/>
        <v>1</v>
      </c>
      <c r="BR82">
        <f t="shared" si="17"/>
        <v>0</v>
      </c>
      <c r="BS82" s="9">
        <f t="shared" si="18"/>
        <v>0</v>
      </c>
      <c r="BT82" s="9">
        <f t="shared" si="19"/>
        <v>0</v>
      </c>
      <c r="BU82" s="9">
        <f t="shared" si="20"/>
        <v>0</v>
      </c>
      <c r="BV82" s="12">
        <f t="shared" si="21"/>
        <v>1.1044618033177373E-2</v>
      </c>
      <c r="BX82" s="12">
        <f t="shared" si="22"/>
        <v>0</v>
      </c>
      <c r="BY82" s="12">
        <f t="shared" si="23"/>
        <v>2.7855951389236834E-2</v>
      </c>
    </row>
    <row r="83" spans="1:77" x14ac:dyDescent="0.3">
      <c r="A83" s="1">
        <v>46142</v>
      </c>
      <c r="B83" s="8">
        <v>101.04</v>
      </c>
      <c r="C83" s="8">
        <v>112.71</v>
      </c>
      <c r="D83" s="9">
        <v>1.28494222722628E-2</v>
      </c>
      <c r="E83" s="9">
        <v>1.3667638728663599E-2</v>
      </c>
      <c r="F83" s="8">
        <v>0</v>
      </c>
      <c r="G83" s="8">
        <v>0.3347</v>
      </c>
      <c r="H83" s="8">
        <v>0</v>
      </c>
      <c r="I83" s="8">
        <v>0.37090000000000001</v>
      </c>
      <c r="J83" s="8">
        <v>0.3347</v>
      </c>
      <c r="K83" s="8">
        <v>0.37090000000000001</v>
      </c>
      <c r="L83" s="8">
        <v>101.3747</v>
      </c>
      <c r="M83" s="8">
        <v>113.0809</v>
      </c>
      <c r="N83" s="10">
        <v>1.1154988123515399</v>
      </c>
      <c r="O83" s="10">
        <v>1.1144207265719701</v>
      </c>
      <c r="P83" s="10">
        <v>1.1130009104912</v>
      </c>
      <c r="Q83" s="10">
        <v>1.1130570145891301</v>
      </c>
      <c r="R83" s="8">
        <v>112.601070212832</v>
      </c>
      <c r="S83" s="8">
        <v>112.40655207991399</v>
      </c>
      <c r="T83" s="8">
        <v>112.445241984755</v>
      </c>
      <c r="U83" s="9">
        <v>-9.6692803910181904E-4</v>
      </c>
      <c r="V83" s="9">
        <v>-2.69591996741359E-3</v>
      </c>
      <c r="W83" s="9">
        <v>-2.3517830181454999E-3</v>
      </c>
      <c r="X83" s="10">
        <v>1.11547457107148</v>
      </c>
      <c r="Y83" s="10">
        <v>1.1140664646848899</v>
      </c>
      <c r="Z83" s="10">
        <v>1.11298482945771</v>
      </c>
      <c r="AA83" s="10">
        <v>1.11304035974088</v>
      </c>
      <c r="AB83" s="8">
        <v>112.938153637491</v>
      </c>
      <c r="AC83" s="8">
        <v>112.777442588505</v>
      </c>
      <c r="AD83" s="8">
        <v>112.816087958667</v>
      </c>
      <c r="AE83" s="9">
        <v>-1.26313582143139E-3</v>
      </c>
      <c r="AF83" s="9">
        <v>-2.6871497471907999E-3</v>
      </c>
      <c r="AG83" s="9">
        <v>-2.34453911961222E-3</v>
      </c>
      <c r="AH83" s="12"/>
      <c r="AZ83" s="9"/>
      <c r="BB83">
        <f t="shared" si="6"/>
        <v>0</v>
      </c>
      <c r="BC83">
        <f t="shared" si="7"/>
        <v>1</v>
      </c>
      <c r="BD83">
        <f t="shared" si="8"/>
        <v>0</v>
      </c>
      <c r="BE83">
        <f t="shared" si="4"/>
        <v>0</v>
      </c>
      <c r="BF83">
        <f t="shared" si="9"/>
        <v>0</v>
      </c>
      <c r="BG83" s="9">
        <f t="shared" si="10"/>
        <v>0</v>
      </c>
      <c r="BH83" s="9">
        <f t="shared" si="11"/>
        <v>0</v>
      </c>
      <c r="BI83" s="9">
        <f t="shared" si="12"/>
        <v>0</v>
      </c>
      <c r="BJ83" s="12">
        <f t="shared" si="13"/>
        <v>1.6811333356059461E-2</v>
      </c>
      <c r="BL83" s="9"/>
      <c r="BN83">
        <f t="shared" si="14"/>
        <v>0</v>
      </c>
      <c r="BO83">
        <f t="shared" si="15"/>
        <v>1</v>
      </c>
      <c r="BP83">
        <f t="shared" si="16"/>
        <v>0</v>
      </c>
      <c r="BQ83">
        <f t="shared" si="5"/>
        <v>0</v>
      </c>
      <c r="BR83">
        <f t="shared" si="17"/>
        <v>0</v>
      </c>
      <c r="BS83" s="9">
        <f t="shared" si="18"/>
        <v>0</v>
      </c>
      <c r="BT83" s="9">
        <f t="shared" si="19"/>
        <v>0</v>
      </c>
      <c r="BU83" s="9">
        <f t="shared" si="20"/>
        <v>0</v>
      </c>
      <c r="BV83" s="12">
        <f t="shared" si="21"/>
        <v>1.1044618033177373E-2</v>
      </c>
      <c r="BX83" s="12">
        <f t="shared" si="22"/>
        <v>0</v>
      </c>
      <c r="BY83" s="12">
        <f t="shared" si="23"/>
        <v>2.7855951389236834E-2</v>
      </c>
    </row>
    <row r="84" spans="1:77" x14ac:dyDescent="0.3">
      <c r="A84" s="1">
        <v>46143</v>
      </c>
      <c r="B84" s="8">
        <v>101.87</v>
      </c>
      <c r="C84" s="8">
        <v>113.59</v>
      </c>
      <c r="D84" s="9">
        <v>8.1810125597394107E-3</v>
      </c>
      <c r="E84" s="9">
        <v>7.7773259893430197E-3</v>
      </c>
      <c r="F84" s="8">
        <v>0.12470000000000001</v>
      </c>
      <c r="G84" s="8">
        <v>0.45939999999999998</v>
      </c>
      <c r="H84" s="8">
        <v>0.1215</v>
      </c>
      <c r="I84" s="8">
        <v>0.4924</v>
      </c>
      <c r="J84" s="8">
        <v>0.45939999999999998</v>
      </c>
      <c r="K84" s="8">
        <v>0.4924</v>
      </c>
      <c r="L84" s="8">
        <v>102.32940000000001</v>
      </c>
      <c r="M84" s="8">
        <v>114.08240000000001</v>
      </c>
      <c r="N84" s="10">
        <v>1.1150485913418999</v>
      </c>
      <c r="O84" s="10">
        <v>1.1144207265719701</v>
      </c>
      <c r="P84" s="10">
        <v>1.1130143757342399</v>
      </c>
      <c r="Q84" s="10">
        <v>1.1131342029986699</v>
      </c>
      <c r="R84" s="8">
        <v>113.526039415887</v>
      </c>
      <c r="S84" s="8">
        <v>113.381402751739</v>
      </c>
      <c r="T84" s="8">
        <v>113.38711807619499</v>
      </c>
      <c r="U84" s="9">
        <v>-5.6324146870567803E-4</v>
      </c>
      <c r="V84" s="9">
        <v>-1.83809329688336E-3</v>
      </c>
      <c r="W84" s="9">
        <v>-1.78768661401225E-3</v>
      </c>
      <c r="X84" s="10">
        <v>1.11485457747235</v>
      </c>
      <c r="Y84" s="10">
        <v>1.1140664646848899</v>
      </c>
      <c r="Z84" s="10">
        <v>1.11298113606463</v>
      </c>
      <c r="AA84" s="10">
        <v>1.1131088033334999</v>
      </c>
      <c r="AB84" s="8">
        <v>114.00175289132601</v>
      </c>
      <c r="AC84" s="8">
        <v>113.891069807509</v>
      </c>
      <c r="AD84" s="8">
        <v>113.89675218806801</v>
      </c>
      <c r="AE84" s="9">
        <v>-7.0716979686850402E-4</v>
      </c>
      <c r="AF84" s="9">
        <v>-1.6785307305604901E-3</v>
      </c>
      <c r="AG84" s="9">
        <v>-1.62863885741342E-3</v>
      </c>
      <c r="AH84" s="12"/>
      <c r="AZ84" s="9"/>
      <c r="BB84">
        <f t="shared" si="6"/>
        <v>0</v>
      </c>
      <c r="BC84">
        <f t="shared" si="7"/>
        <v>1</v>
      </c>
      <c r="BD84">
        <f t="shared" si="8"/>
        <v>0</v>
      </c>
      <c r="BE84">
        <f t="shared" si="4"/>
        <v>1</v>
      </c>
      <c r="BF84">
        <f t="shared" si="9"/>
        <v>0</v>
      </c>
      <c r="BG84" s="9">
        <f t="shared" si="10"/>
        <v>0</v>
      </c>
      <c r="BH84" s="9">
        <f t="shared" si="11"/>
        <v>0</v>
      </c>
      <c r="BI84" s="9">
        <f t="shared" si="12"/>
        <v>0</v>
      </c>
      <c r="BJ84" s="12">
        <f t="shared" si="13"/>
        <v>1.6811333356059461E-2</v>
      </c>
      <c r="BL84" s="9"/>
      <c r="BN84">
        <f t="shared" si="14"/>
        <v>0</v>
      </c>
      <c r="BO84">
        <f t="shared" si="15"/>
        <v>1</v>
      </c>
      <c r="BP84">
        <f t="shared" si="16"/>
        <v>0</v>
      </c>
      <c r="BQ84">
        <f t="shared" si="5"/>
        <v>1</v>
      </c>
      <c r="BR84">
        <f t="shared" si="17"/>
        <v>0</v>
      </c>
      <c r="BS84" s="9">
        <f t="shared" si="18"/>
        <v>0</v>
      </c>
      <c r="BT84" s="9">
        <f t="shared" si="19"/>
        <v>0</v>
      </c>
      <c r="BU84" s="9">
        <f t="shared" si="20"/>
        <v>0</v>
      </c>
      <c r="BV84" s="12">
        <f t="shared" si="21"/>
        <v>1.1044618033177373E-2</v>
      </c>
      <c r="BX84" s="12">
        <f t="shared" si="22"/>
        <v>0</v>
      </c>
      <c r="BY84" s="12">
        <f t="shared" si="23"/>
        <v>2.7855951389236834E-2</v>
      </c>
    </row>
    <row r="85" spans="1:77" x14ac:dyDescent="0.3">
      <c r="A85" s="1">
        <v>46146</v>
      </c>
      <c r="B85" s="8">
        <v>102.42</v>
      </c>
      <c r="C85" s="8">
        <v>114.62</v>
      </c>
      <c r="D85" s="9">
        <v>5.3845154324291796E-3</v>
      </c>
      <c r="E85" s="9">
        <v>9.0268348802612208E-3</v>
      </c>
      <c r="F85" s="8">
        <v>0</v>
      </c>
      <c r="G85" s="8">
        <v>0.45939999999999998</v>
      </c>
      <c r="H85" s="8">
        <v>0</v>
      </c>
      <c r="I85" s="8">
        <v>0.4924</v>
      </c>
      <c r="J85" s="8">
        <v>0.45939999999999998</v>
      </c>
      <c r="K85" s="8">
        <v>0.4924</v>
      </c>
      <c r="L85" s="8">
        <v>102.8794</v>
      </c>
      <c r="M85" s="8">
        <v>115.11239999999999</v>
      </c>
      <c r="N85" s="10">
        <v>1.1191173598906401</v>
      </c>
      <c r="O85" s="10">
        <v>1.1144207265719701</v>
      </c>
      <c r="P85" s="10">
        <v>1.11356720598438</v>
      </c>
      <c r="Q85" s="10">
        <v>1.11334023190288</v>
      </c>
      <c r="R85" s="8">
        <v>114.138970815501</v>
      </c>
      <c r="S85" s="8">
        <v>113.99493236270099</v>
      </c>
      <c r="T85" s="8">
        <v>114.00720507112401</v>
      </c>
      <c r="U85" s="9">
        <v>-4.2055609165375296E-3</v>
      </c>
      <c r="V85" s="9">
        <v>-5.46831467592045E-3</v>
      </c>
      <c r="W85" s="9">
        <v>-5.3606603479990304E-3</v>
      </c>
      <c r="X85" s="10">
        <v>1.11890621446081</v>
      </c>
      <c r="Y85" s="10">
        <v>1.1140664646848899</v>
      </c>
      <c r="Z85" s="10">
        <v>1.11351464803051</v>
      </c>
      <c r="AA85" s="10">
        <v>1.1133054985407</v>
      </c>
      <c r="AB85" s="8">
        <v>114.61448944690299</v>
      </c>
      <c r="AC85" s="8">
        <v>114.50283148964699</v>
      </c>
      <c r="AD85" s="8">
        <v>114.515965821669</v>
      </c>
      <c r="AE85" s="9">
        <v>-4.3348110790582097E-3</v>
      </c>
      <c r="AF85" s="9">
        <v>-5.3094904759603302E-3</v>
      </c>
      <c r="AG85" s="9">
        <v>-5.1947895676470596E-3</v>
      </c>
      <c r="AH85" s="12"/>
      <c r="AZ85" s="9"/>
      <c r="BB85">
        <f t="shared" si="6"/>
        <v>1</v>
      </c>
      <c r="BC85">
        <f t="shared" si="7"/>
        <v>0</v>
      </c>
      <c r="BD85">
        <f t="shared" si="8"/>
        <v>0</v>
      </c>
      <c r="BE85">
        <f t="shared" si="4"/>
        <v>1</v>
      </c>
      <c r="BF85">
        <f t="shared" si="9"/>
        <v>0</v>
      </c>
      <c r="BG85" s="9">
        <f t="shared" si="10"/>
        <v>0</v>
      </c>
      <c r="BH85" s="9">
        <f t="shared" si="11"/>
        <v>0</v>
      </c>
      <c r="BI85" s="9">
        <f t="shared" si="12"/>
        <v>0</v>
      </c>
      <c r="BJ85" s="12">
        <f t="shared" si="13"/>
        <v>1.6811333356059461E-2</v>
      </c>
      <c r="BL85" s="9"/>
      <c r="BN85">
        <f t="shared" si="14"/>
        <v>0</v>
      </c>
      <c r="BO85">
        <f t="shared" si="15"/>
        <v>1</v>
      </c>
      <c r="BP85">
        <f t="shared" si="16"/>
        <v>0</v>
      </c>
      <c r="BQ85">
        <f t="shared" si="5"/>
        <v>1</v>
      </c>
      <c r="BR85">
        <f t="shared" si="17"/>
        <v>0</v>
      </c>
      <c r="BS85" s="9">
        <f t="shared" si="18"/>
        <v>0</v>
      </c>
      <c r="BT85" s="9">
        <f t="shared" si="19"/>
        <v>0</v>
      </c>
      <c r="BU85" s="9">
        <f t="shared" si="20"/>
        <v>0</v>
      </c>
      <c r="BV85" s="12">
        <f t="shared" si="21"/>
        <v>1.1044618033177373E-2</v>
      </c>
      <c r="BX85" s="12">
        <f t="shared" si="22"/>
        <v>0</v>
      </c>
      <c r="BY85" s="12">
        <f t="shared" si="23"/>
        <v>2.7855951389236834E-2</v>
      </c>
    </row>
    <row r="86" spans="1:77" x14ac:dyDescent="0.3">
      <c r="A86" s="1">
        <v>46147</v>
      </c>
      <c r="B86" s="8">
        <v>103.9</v>
      </c>
      <c r="C86" s="8">
        <v>115.91</v>
      </c>
      <c r="D86" s="9">
        <v>1.43468920707774E-2</v>
      </c>
      <c r="E86" s="9">
        <v>1.1191718777062201E-2</v>
      </c>
      <c r="F86" s="8">
        <v>0</v>
      </c>
      <c r="G86" s="8">
        <v>0.45939999999999998</v>
      </c>
      <c r="H86" s="8">
        <v>0</v>
      </c>
      <c r="I86" s="8">
        <v>0.4924</v>
      </c>
      <c r="J86" s="8">
        <v>0.45939999999999998</v>
      </c>
      <c r="K86" s="8">
        <v>0.4924</v>
      </c>
      <c r="L86" s="8">
        <v>104.35939999999999</v>
      </c>
      <c r="M86" s="8">
        <v>116.4024</v>
      </c>
      <c r="N86" s="10">
        <v>1.1155919153031699</v>
      </c>
      <c r="O86" s="10">
        <v>1.1144207265719701</v>
      </c>
      <c r="P86" s="10">
        <v>1.11369496608326</v>
      </c>
      <c r="Q86" s="10">
        <v>1.1134239623653901</v>
      </c>
      <c r="R86" s="8">
        <v>115.788313490828</v>
      </c>
      <c r="S86" s="8">
        <v>115.69963270177701</v>
      </c>
      <c r="T86" s="8">
        <v>115.676050094709</v>
      </c>
      <c r="U86" s="9">
        <v>-1.05038762282234E-3</v>
      </c>
      <c r="V86" s="9">
        <v>-1.81656828015479E-3</v>
      </c>
      <c r="W86" s="9">
        <v>-2.02041517421459E-3</v>
      </c>
      <c r="X86" s="10">
        <v>1.11539928362945</v>
      </c>
      <c r="Y86" s="10">
        <v>1.1140664646848899</v>
      </c>
      <c r="Z86" s="10">
        <v>1.1136252011371801</v>
      </c>
      <c r="AA86" s="10">
        <v>1.1133806211139701</v>
      </c>
      <c r="AB86" s="8">
        <v>116.26330781463599</v>
      </c>
      <c r="AC86" s="8">
        <v>116.205720559675</v>
      </c>
      <c r="AD86" s="8">
        <v>116.183893844408</v>
      </c>
      <c r="AE86" s="9">
        <v>-1.1956399010386099E-3</v>
      </c>
      <c r="AF86" s="9">
        <v>-1.69108014563009E-3</v>
      </c>
      <c r="AG86" s="9">
        <v>-1.87892602150517E-3</v>
      </c>
      <c r="AH86" s="12"/>
      <c r="AZ86" s="9"/>
      <c r="BB86">
        <f t="shared" si="6"/>
        <v>0</v>
      </c>
      <c r="BC86">
        <f t="shared" si="7"/>
        <v>1</v>
      </c>
      <c r="BD86">
        <f t="shared" si="8"/>
        <v>1</v>
      </c>
      <c r="BE86">
        <f t="shared" ref="BE86:BE149" si="24">IF(F87+H87&gt;0,0,1)</f>
        <v>1</v>
      </c>
      <c r="BF86">
        <f t="shared" si="9"/>
        <v>1</v>
      </c>
      <c r="BG86" s="9">
        <f t="shared" si="10"/>
        <v>1.43468920707774E-2</v>
      </c>
      <c r="BH86" s="9">
        <f t="shared" si="11"/>
        <v>-1.1191718777062201E-2</v>
      </c>
      <c r="BI86" s="9">
        <f t="shared" si="12"/>
        <v>3.1551732937151987E-3</v>
      </c>
      <c r="BJ86" s="12">
        <f t="shared" si="13"/>
        <v>1.996650664977466E-2</v>
      </c>
      <c r="BL86" s="9"/>
      <c r="BN86">
        <f t="shared" si="14"/>
        <v>0</v>
      </c>
      <c r="BO86">
        <f t="shared" si="15"/>
        <v>1</v>
      </c>
      <c r="BP86">
        <f t="shared" si="16"/>
        <v>0</v>
      </c>
      <c r="BQ86">
        <f t="shared" ref="BQ86:BQ149" si="25">IF(F87+H87&gt;0,0,1)</f>
        <v>1</v>
      </c>
      <c r="BR86">
        <f t="shared" si="17"/>
        <v>0</v>
      </c>
      <c r="BS86" s="9">
        <f t="shared" si="18"/>
        <v>0</v>
      </c>
      <c r="BT86" s="9">
        <f t="shared" si="19"/>
        <v>0</v>
      </c>
      <c r="BU86" s="9">
        <f t="shared" si="20"/>
        <v>0</v>
      </c>
      <c r="BV86" s="12">
        <f t="shared" si="21"/>
        <v>1.1044618033177373E-2</v>
      </c>
      <c r="BX86" s="12">
        <f t="shared" si="22"/>
        <v>3.1551732937151987E-3</v>
      </c>
      <c r="BY86" s="12">
        <f t="shared" si="23"/>
        <v>3.1011124682952033E-2</v>
      </c>
    </row>
    <row r="87" spans="1:77" x14ac:dyDescent="0.3">
      <c r="A87" s="1">
        <v>46148</v>
      </c>
      <c r="B87" s="8">
        <v>105.65</v>
      </c>
      <c r="C87" s="8">
        <v>118.29</v>
      </c>
      <c r="D87" s="9">
        <v>1.6702845956883899E-2</v>
      </c>
      <c r="E87" s="9">
        <v>2.0325208656991899E-2</v>
      </c>
      <c r="F87" s="8">
        <v>0</v>
      </c>
      <c r="G87" s="8">
        <v>0.45939999999999998</v>
      </c>
      <c r="H87" s="8">
        <v>0</v>
      </c>
      <c r="I87" s="8">
        <v>0.4924</v>
      </c>
      <c r="J87" s="8">
        <v>0.45939999999999998</v>
      </c>
      <c r="K87" s="8">
        <v>0.4924</v>
      </c>
      <c r="L87" s="8">
        <v>106.10939999999999</v>
      </c>
      <c r="M87" s="8">
        <v>118.7824</v>
      </c>
      <c r="N87" s="10">
        <v>1.1196403218173201</v>
      </c>
      <c r="O87" s="10">
        <v>1.1144207265719701</v>
      </c>
      <c r="P87" s="10">
        <v>1.1144411764828199</v>
      </c>
      <c r="Q87" s="10">
        <v>1.1136999923581199</v>
      </c>
      <c r="R87" s="8">
        <v>117.738549762329</v>
      </c>
      <c r="S87" s="8">
        <v>117.66187316669701</v>
      </c>
      <c r="T87" s="8">
        <v>117.633241623904</v>
      </c>
      <c r="U87" s="9">
        <v>-4.6727503229302501E-3</v>
      </c>
      <c r="V87" s="9">
        <v>-5.3242070823503601E-3</v>
      </c>
      <c r="W87" s="9">
        <v>-5.5675741659360596E-3</v>
      </c>
      <c r="X87" s="10">
        <v>1.11943333955332</v>
      </c>
      <c r="Y87" s="10">
        <v>1.1140664646848899</v>
      </c>
      <c r="Z87" s="10">
        <v>1.11435204163075</v>
      </c>
      <c r="AA87" s="10">
        <v>1.1136473337211401</v>
      </c>
      <c r="AB87" s="8">
        <v>118.212924127835</v>
      </c>
      <c r="AC87" s="8">
        <v>118.166101917546</v>
      </c>
      <c r="AD87" s="8">
        <v>118.14014967803099</v>
      </c>
      <c r="AE87" s="9">
        <v>-4.8058076276497799E-3</v>
      </c>
      <c r="AF87" s="9">
        <v>-5.2019697718522799E-3</v>
      </c>
      <c r="AG87" s="9">
        <v>-5.4216189723624497E-3</v>
      </c>
      <c r="AH87" s="12"/>
      <c r="AZ87" s="9"/>
      <c r="BB87">
        <f t="shared" ref="BB87:BB150" si="26">IF($AG87&lt;BA$20,1,0)</f>
        <v>1</v>
      </c>
      <c r="BC87">
        <f t="shared" ref="BC87:BC150" si="27">IF($AG87&gt;BA$21,1,0)</f>
        <v>0</v>
      </c>
      <c r="BD87">
        <f t="shared" ref="BD87:BD150" si="28">BF87</f>
        <v>0</v>
      </c>
      <c r="BE87">
        <f t="shared" si="24"/>
        <v>1</v>
      </c>
      <c r="BF87">
        <f t="shared" ref="BF87:BF150" si="29">IF(BB86,1,IF(BC86,0,BD86))*BE86</f>
        <v>0</v>
      </c>
      <c r="BG87" s="9">
        <f t="shared" ref="BG87:BG150" si="30">BF87*D87</f>
        <v>0</v>
      </c>
      <c r="BH87" s="9">
        <f t="shared" ref="BH87:BH150" si="31">-BF87*$E87</f>
        <v>0</v>
      </c>
      <c r="BI87" s="9">
        <f t="shared" ref="BI87:BI150" si="32">BG87+BH87</f>
        <v>0</v>
      </c>
      <c r="BJ87" s="12">
        <f t="shared" ref="BJ87:BJ150" si="33">BJ86+BI87</f>
        <v>1.996650664977466E-2</v>
      </c>
      <c r="BL87" s="9"/>
      <c r="BN87">
        <f t="shared" ref="BN87:BN150" si="34">IF($AG87&gt;BM$20,1,0)</f>
        <v>0</v>
      </c>
      <c r="BO87">
        <f t="shared" ref="BO87:BO150" si="35">IF($AG87&lt;BM$21,1,0)</f>
        <v>1</v>
      </c>
      <c r="BP87">
        <f t="shared" ref="BP87:BP150" si="36">BR87</f>
        <v>0</v>
      </c>
      <c r="BQ87">
        <f t="shared" si="25"/>
        <v>1</v>
      </c>
      <c r="BR87">
        <f t="shared" ref="BR87:BR150" si="37">IF(BN86,1,IF(BO86,0,BP86))*BQ86</f>
        <v>0</v>
      </c>
      <c r="BS87" s="9">
        <f t="shared" ref="BS87:BS150" si="38">-BR87*D87</f>
        <v>0</v>
      </c>
      <c r="BT87" s="9">
        <f t="shared" ref="BT87:BT150" si="39">BR87*$E87</f>
        <v>0</v>
      </c>
      <c r="BU87" s="9">
        <f t="shared" ref="BU87:BU150" si="40">BS87+BT87</f>
        <v>0</v>
      </c>
      <c r="BV87" s="12">
        <f t="shared" ref="BV87:BV150" si="41">BV86+BU87</f>
        <v>1.1044618033177373E-2</v>
      </c>
      <c r="BX87" s="12">
        <f t="shared" ref="BX87:BX150" si="42">BI87+BU87</f>
        <v>0</v>
      </c>
      <c r="BY87" s="12">
        <f t="shared" ref="BY87:BY150" si="43">BY86+BX87</f>
        <v>3.1011124682952033E-2</v>
      </c>
    </row>
    <row r="88" spans="1:77" x14ac:dyDescent="0.3">
      <c r="A88" s="1">
        <v>46149</v>
      </c>
      <c r="B88" s="8">
        <v>104.28</v>
      </c>
      <c r="C88" s="8">
        <v>116.45</v>
      </c>
      <c r="D88" s="9">
        <v>-1.30521549967647E-2</v>
      </c>
      <c r="E88" s="9">
        <v>-1.56772402272955E-2</v>
      </c>
      <c r="F88" s="8">
        <v>0</v>
      </c>
      <c r="G88" s="8">
        <v>0.45939999999999998</v>
      </c>
      <c r="H88" s="8">
        <v>0</v>
      </c>
      <c r="I88" s="8">
        <v>0.4924</v>
      </c>
      <c r="J88" s="8">
        <v>0.45939999999999998</v>
      </c>
      <c r="K88" s="8">
        <v>0.4924</v>
      </c>
      <c r="L88" s="8">
        <v>104.7394</v>
      </c>
      <c r="M88" s="8">
        <v>116.94240000000001</v>
      </c>
      <c r="N88" s="10">
        <v>1.11670502493287</v>
      </c>
      <c r="O88" s="10">
        <v>1.1144207265719701</v>
      </c>
      <c r="P88" s="10">
        <v>1.1151227768754299</v>
      </c>
      <c r="Q88" s="10">
        <v>1.1138104482467699</v>
      </c>
      <c r="R88" s="8">
        <v>116.21179336692499</v>
      </c>
      <c r="S88" s="8">
        <v>116.21392588362799</v>
      </c>
      <c r="T88" s="8">
        <v>116.136635203105</v>
      </c>
      <c r="U88" s="9">
        <v>-2.0476650923994602E-3</v>
      </c>
      <c r="V88" s="9">
        <v>-2.0293150000776101E-3</v>
      </c>
      <c r="W88" s="9">
        <v>-2.69460870983364E-3</v>
      </c>
      <c r="X88" s="10">
        <v>1.1165082098999899</v>
      </c>
      <c r="Y88" s="10">
        <v>1.1140664646848899</v>
      </c>
      <c r="Z88" s="10">
        <v>1.11501453319012</v>
      </c>
      <c r="AA88" s="10">
        <v>1.1137490443131</v>
      </c>
      <c r="AB88" s="8">
        <v>116.686653071216</v>
      </c>
      <c r="AC88" s="8">
        <v>116.71656422917999</v>
      </c>
      <c r="AD88" s="8">
        <v>116.642753545552</v>
      </c>
      <c r="AE88" s="9">
        <v>-2.18934270010841E-3</v>
      </c>
      <c r="AF88" s="9">
        <v>-1.93303810865462E-3</v>
      </c>
      <c r="AG88" s="9">
        <v>-2.5656306855695301E-3</v>
      </c>
      <c r="AH88" s="12"/>
      <c r="AZ88" s="9"/>
      <c r="BB88">
        <f t="shared" si="26"/>
        <v>0</v>
      </c>
      <c r="BC88">
        <f t="shared" si="27"/>
        <v>1</v>
      </c>
      <c r="BD88">
        <f t="shared" si="28"/>
        <v>1</v>
      </c>
      <c r="BE88">
        <f t="shared" si="24"/>
        <v>1</v>
      </c>
      <c r="BF88">
        <f t="shared" si="29"/>
        <v>1</v>
      </c>
      <c r="BG88" s="9">
        <f t="shared" si="30"/>
        <v>-1.30521549967647E-2</v>
      </c>
      <c r="BH88" s="9">
        <f t="shared" si="31"/>
        <v>1.56772402272955E-2</v>
      </c>
      <c r="BI88" s="9">
        <f t="shared" si="32"/>
        <v>2.6250852305308003E-3</v>
      </c>
      <c r="BJ88" s="12">
        <f t="shared" si="33"/>
        <v>2.2591591880305462E-2</v>
      </c>
      <c r="BL88" s="9"/>
      <c r="BN88">
        <f t="shared" si="34"/>
        <v>0</v>
      </c>
      <c r="BO88">
        <f t="shared" si="35"/>
        <v>1</v>
      </c>
      <c r="BP88">
        <f t="shared" si="36"/>
        <v>0</v>
      </c>
      <c r="BQ88">
        <f t="shared" si="25"/>
        <v>1</v>
      </c>
      <c r="BR88">
        <f t="shared" si="37"/>
        <v>0</v>
      </c>
      <c r="BS88" s="9">
        <f t="shared" si="38"/>
        <v>0</v>
      </c>
      <c r="BT88" s="9">
        <f t="shared" si="39"/>
        <v>0</v>
      </c>
      <c r="BU88" s="9">
        <f t="shared" si="40"/>
        <v>0</v>
      </c>
      <c r="BV88" s="12">
        <f t="shared" si="41"/>
        <v>1.1044618033177373E-2</v>
      </c>
      <c r="BX88" s="12">
        <f t="shared" si="42"/>
        <v>2.6250852305308003E-3</v>
      </c>
      <c r="BY88" s="12">
        <f t="shared" si="43"/>
        <v>3.3636209913482831E-2</v>
      </c>
    </row>
    <row r="89" spans="1:77" x14ac:dyDescent="0.3">
      <c r="A89" s="1">
        <v>46150</v>
      </c>
      <c r="B89" s="8">
        <v>104.68</v>
      </c>
      <c r="C89" s="8">
        <v>116.76</v>
      </c>
      <c r="D89" s="9">
        <v>3.8284885966442402E-3</v>
      </c>
      <c r="E89" s="9">
        <v>2.65854965556412E-3</v>
      </c>
      <c r="F89" s="8">
        <v>0</v>
      </c>
      <c r="G89" s="8">
        <v>0.45939999999999998</v>
      </c>
      <c r="H89" s="8">
        <v>0</v>
      </c>
      <c r="I89" s="8">
        <v>0.4924</v>
      </c>
      <c r="J89" s="8">
        <v>0.45939999999999998</v>
      </c>
      <c r="K89" s="8">
        <v>0.4924</v>
      </c>
      <c r="L89" s="8">
        <v>105.13939999999999</v>
      </c>
      <c r="M89" s="8">
        <v>117.25239999999999</v>
      </c>
      <c r="N89" s="10">
        <v>1.11539931218953</v>
      </c>
      <c r="O89" s="10">
        <v>1.1144207265719701</v>
      </c>
      <c r="P89" s="10">
        <v>1.1153410172827201</v>
      </c>
      <c r="Q89" s="10">
        <v>1.11380839313086</v>
      </c>
      <c r="R89" s="8">
        <v>116.657561657554</v>
      </c>
      <c r="S89" s="8">
        <v>116.73105228332</v>
      </c>
      <c r="T89" s="8">
        <v>116.59367772247199</v>
      </c>
      <c r="U89" s="9">
        <v>-8.7772615131936102E-4</v>
      </c>
      <c r="V89" s="9">
        <v>-2.4795568433561401E-4</v>
      </c>
      <c r="W89" s="9">
        <v>-1.4254954737857599E-3</v>
      </c>
      <c r="X89" s="10">
        <v>1.1152089511638801</v>
      </c>
      <c r="Y89" s="10">
        <v>1.1140664646848899</v>
      </c>
      <c r="Z89" s="10">
        <v>1.11521541252245</v>
      </c>
      <c r="AA89" s="10">
        <v>1.11373872994401</v>
      </c>
      <c r="AB89" s="8">
        <v>117.13227965709</v>
      </c>
      <c r="AC89" s="8">
        <v>117.231959010889</v>
      </c>
      <c r="AD89" s="8">
        <v>117.098906269653</v>
      </c>
      <c r="AE89" s="9">
        <v>-1.0249846841636199E-3</v>
      </c>
      <c r="AF89" s="9">
        <v>-1.7434842348197001E-4</v>
      </c>
      <c r="AG89" s="9">
        <v>-1.3099457795990601E-3</v>
      </c>
      <c r="AH89" s="12"/>
      <c r="AZ89" s="9"/>
      <c r="BB89">
        <f t="shared" si="26"/>
        <v>0</v>
      </c>
      <c r="BC89">
        <f t="shared" si="27"/>
        <v>1</v>
      </c>
      <c r="BD89">
        <f t="shared" si="28"/>
        <v>0</v>
      </c>
      <c r="BE89">
        <f t="shared" si="24"/>
        <v>1</v>
      </c>
      <c r="BF89">
        <f t="shared" si="29"/>
        <v>0</v>
      </c>
      <c r="BG89" s="9">
        <f t="shared" si="30"/>
        <v>0</v>
      </c>
      <c r="BH89" s="9">
        <f t="shared" si="31"/>
        <v>0</v>
      </c>
      <c r="BI89" s="9">
        <f t="shared" si="32"/>
        <v>0</v>
      </c>
      <c r="BJ89" s="12">
        <f t="shared" si="33"/>
        <v>2.2591591880305462E-2</v>
      </c>
      <c r="BL89" s="9"/>
      <c r="BN89">
        <f t="shared" si="34"/>
        <v>0</v>
      </c>
      <c r="BO89">
        <f t="shared" si="35"/>
        <v>1</v>
      </c>
      <c r="BP89">
        <f t="shared" si="36"/>
        <v>0</v>
      </c>
      <c r="BQ89">
        <f t="shared" si="25"/>
        <v>1</v>
      </c>
      <c r="BR89">
        <f t="shared" si="37"/>
        <v>0</v>
      </c>
      <c r="BS89" s="9">
        <f t="shared" si="38"/>
        <v>0</v>
      </c>
      <c r="BT89" s="9">
        <f t="shared" si="39"/>
        <v>0</v>
      </c>
      <c r="BU89" s="9">
        <f t="shared" si="40"/>
        <v>0</v>
      </c>
      <c r="BV89" s="12">
        <f t="shared" si="41"/>
        <v>1.1044618033177373E-2</v>
      </c>
      <c r="BX89" s="12">
        <f t="shared" si="42"/>
        <v>0</v>
      </c>
      <c r="BY89" s="12">
        <f t="shared" si="43"/>
        <v>3.3636209913482831E-2</v>
      </c>
    </row>
    <row r="90" spans="1:77" x14ac:dyDescent="0.3">
      <c r="A90" s="1">
        <v>46153</v>
      </c>
      <c r="B90" s="8">
        <v>106</v>
      </c>
      <c r="C90" s="8">
        <v>118.47</v>
      </c>
      <c r="D90" s="9">
        <v>1.2531016450121999E-2</v>
      </c>
      <c r="E90" s="9">
        <v>1.4539217980753701E-2</v>
      </c>
      <c r="F90" s="8">
        <v>0</v>
      </c>
      <c r="G90" s="8">
        <v>0.45939999999999998</v>
      </c>
      <c r="H90" s="8">
        <v>0</v>
      </c>
      <c r="I90" s="8">
        <v>0.4924</v>
      </c>
      <c r="J90" s="8">
        <v>0.45939999999999998</v>
      </c>
      <c r="K90" s="8">
        <v>0.4924</v>
      </c>
      <c r="L90" s="8">
        <v>106.4594</v>
      </c>
      <c r="M90" s="8">
        <v>118.9624</v>
      </c>
      <c r="N90" s="10">
        <v>1.11764150943396</v>
      </c>
      <c r="O90" s="10">
        <v>1.1144207265719701</v>
      </c>
      <c r="P90" s="10">
        <v>1.1159444096122699</v>
      </c>
      <c r="Q90" s="10">
        <v>1.1142194837231101</v>
      </c>
      <c r="R90" s="8">
        <v>118.128597016629</v>
      </c>
      <c r="S90" s="8">
        <v>118.22614783196801</v>
      </c>
      <c r="T90" s="8">
        <v>118.063689671871</v>
      </c>
      <c r="U90" s="9">
        <v>-2.8859276819511301E-3</v>
      </c>
      <c r="V90" s="9">
        <v>-2.0604666069854302E-3</v>
      </c>
      <c r="W90" s="9">
        <v>-3.4355421278953599E-3</v>
      </c>
      <c r="X90" s="10">
        <v>1.11744383304809</v>
      </c>
      <c r="Y90" s="10">
        <v>1.1140664646848899</v>
      </c>
      <c r="Z90" s="10">
        <v>1.1158001803303501</v>
      </c>
      <c r="AA90" s="10">
        <v>1.11414015194584</v>
      </c>
      <c r="AB90" s="8">
        <v>118.602847390474</v>
      </c>
      <c r="AC90" s="8">
        <v>118.72516368789201</v>
      </c>
      <c r="AD90" s="8">
        <v>118.567956946601</v>
      </c>
      <c r="AE90" s="9">
        <v>-3.0269821702584802E-3</v>
      </c>
      <c r="AF90" s="9">
        <v>-1.9962036482262901E-3</v>
      </c>
      <c r="AG90" s="9">
        <v>-3.3212042539781401E-3</v>
      </c>
      <c r="AH90" s="12"/>
      <c r="AZ90" s="9"/>
      <c r="BB90">
        <f t="shared" si="26"/>
        <v>0</v>
      </c>
      <c r="BC90">
        <f t="shared" si="27"/>
        <v>0</v>
      </c>
      <c r="BD90">
        <f t="shared" si="28"/>
        <v>0</v>
      </c>
      <c r="BE90">
        <f t="shared" si="24"/>
        <v>1</v>
      </c>
      <c r="BF90">
        <f t="shared" si="29"/>
        <v>0</v>
      </c>
      <c r="BG90" s="9">
        <f t="shared" si="30"/>
        <v>0</v>
      </c>
      <c r="BH90" s="9">
        <f t="shared" si="31"/>
        <v>0</v>
      </c>
      <c r="BI90" s="9">
        <f t="shared" si="32"/>
        <v>0</v>
      </c>
      <c r="BJ90" s="12">
        <f t="shared" si="33"/>
        <v>2.2591591880305462E-2</v>
      </c>
      <c r="BL90" s="9"/>
      <c r="BN90">
        <f t="shared" si="34"/>
        <v>0</v>
      </c>
      <c r="BO90">
        <f t="shared" si="35"/>
        <v>1</v>
      </c>
      <c r="BP90">
        <f t="shared" si="36"/>
        <v>0</v>
      </c>
      <c r="BQ90">
        <f t="shared" si="25"/>
        <v>1</v>
      </c>
      <c r="BR90">
        <f t="shared" si="37"/>
        <v>0</v>
      </c>
      <c r="BS90" s="9">
        <f t="shared" si="38"/>
        <v>0</v>
      </c>
      <c r="BT90" s="9">
        <f t="shared" si="39"/>
        <v>0</v>
      </c>
      <c r="BU90" s="9">
        <f t="shared" si="40"/>
        <v>0</v>
      </c>
      <c r="BV90" s="12">
        <f t="shared" si="41"/>
        <v>1.1044618033177373E-2</v>
      </c>
      <c r="BX90" s="12">
        <f t="shared" si="42"/>
        <v>0</v>
      </c>
      <c r="BY90" s="12">
        <f t="shared" si="43"/>
        <v>3.3636209913482831E-2</v>
      </c>
    </row>
    <row r="91" spans="1:77" x14ac:dyDescent="0.3">
      <c r="A91" s="1">
        <v>46154</v>
      </c>
      <c r="B91" s="8">
        <v>104.81</v>
      </c>
      <c r="C91" s="8">
        <v>116.96</v>
      </c>
      <c r="D91" s="9">
        <v>-1.12899069299811E-2</v>
      </c>
      <c r="E91" s="9">
        <v>-1.28277679651994E-2</v>
      </c>
      <c r="F91" s="8">
        <v>0</v>
      </c>
      <c r="G91" s="8">
        <v>0.45939999999999998</v>
      </c>
      <c r="H91" s="8">
        <v>0</v>
      </c>
      <c r="I91" s="8">
        <v>0.4924</v>
      </c>
      <c r="J91" s="8">
        <v>0.45939999999999998</v>
      </c>
      <c r="K91" s="8">
        <v>0.4924</v>
      </c>
      <c r="L91" s="8">
        <v>105.2694</v>
      </c>
      <c r="M91" s="8">
        <v>117.4524</v>
      </c>
      <c r="N91" s="10">
        <v>1.1159240530483701</v>
      </c>
      <c r="O91" s="10">
        <v>1.1144207265719701</v>
      </c>
      <c r="P91" s="10">
        <v>1.11651533664747</v>
      </c>
      <c r="Q91" s="10">
        <v>1.1144713723326301</v>
      </c>
      <c r="R91" s="8">
        <v>116.802436352008</v>
      </c>
      <c r="S91" s="8">
        <v>116.962133571462</v>
      </c>
      <c r="T91" s="8">
        <v>116.781344089019</v>
      </c>
      <c r="U91" s="9">
        <v>-1.34806664673276E-3</v>
      </c>
      <c r="V91" s="9">
        <v>1.8241723688572298E-5</v>
      </c>
      <c r="W91" s="9">
        <v>-1.5286636300237101E-3</v>
      </c>
      <c r="X91" s="10">
        <v>1.1157316371139101</v>
      </c>
      <c r="Y91" s="10">
        <v>1.1140664646848899</v>
      </c>
      <c r="Z91" s="10">
        <v>1.11635255808892</v>
      </c>
      <c r="AA91" s="10">
        <v>1.1143828803792499</v>
      </c>
      <c r="AB91" s="8">
        <v>117.277108297499</v>
      </c>
      <c r="AC91" s="8">
        <v>117.459615503268</v>
      </c>
      <c r="AD91" s="8">
        <v>117.284865311248</v>
      </c>
      <c r="AE91" s="9">
        <v>-1.49356368832524E-3</v>
      </c>
      <c r="AF91" s="9">
        <v>6.1431538574616601E-5</v>
      </c>
      <c r="AG91" s="9">
        <v>-1.42742326810429E-3</v>
      </c>
      <c r="AH91" s="12"/>
      <c r="AZ91" s="9"/>
      <c r="BB91">
        <f t="shared" si="26"/>
        <v>0</v>
      </c>
      <c r="BC91">
        <f t="shared" si="27"/>
        <v>1</v>
      </c>
      <c r="BD91">
        <f t="shared" si="28"/>
        <v>0</v>
      </c>
      <c r="BE91">
        <f t="shared" si="24"/>
        <v>1</v>
      </c>
      <c r="BF91">
        <f t="shared" si="29"/>
        <v>0</v>
      </c>
      <c r="BG91" s="9">
        <f t="shared" si="30"/>
        <v>0</v>
      </c>
      <c r="BH91" s="9">
        <f t="shared" si="31"/>
        <v>0</v>
      </c>
      <c r="BI91" s="9">
        <f t="shared" si="32"/>
        <v>0</v>
      </c>
      <c r="BJ91" s="12">
        <f t="shared" si="33"/>
        <v>2.2591591880305462E-2</v>
      </c>
      <c r="BL91" s="9"/>
      <c r="BN91">
        <f t="shared" si="34"/>
        <v>0</v>
      </c>
      <c r="BO91">
        <f t="shared" si="35"/>
        <v>1</v>
      </c>
      <c r="BP91">
        <f t="shared" si="36"/>
        <v>0</v>
      </c>
      <c r="BQ91">
        <f t="shared" si="25"/>
        <v>1</v>
      </c>
      <c r="BR91">
        <f t="shared" si="37"/>
        <v>0</v>
      </c>
      <c r="BS91" s="9">
        <f t="shared" si="38"/>
        <v>0</v>
      </c>
      <c r="BT91" s="9">
        <f t="shared" si="39"/>
        <v>0</v>
      </c>
      <c r="BU91" s="9">
        <f t="shared" si="40"/>
        <v>0</v>
      </c>
      <c r="BV91" s="12">
        <f t="shared" si="41"/>
        <v>1.1044618033177373E-2</v>
      </c>
      <c r="BX91" s="12">
        <f t="shared" si="42"/>
        <v>0</v>
      </c>
      <c r="BY91" s="12">
        <f t="shared" si="43"/>
        <v>3.3636209913482831E-2</v>
      </c>
    </row>
    <row r="92" spans="1:77" x14ac:dyDescent="0.3">
      <c r="A92" s="1">
        <v>46155</v>
      </c>
      <c r="B92" s="8">
        <v>106.04</v>
      </c>
      <c r="C92" s="8">
        <v>118.62</v>
      </c>
      <c r="D92" s="9">
        <v>1.16671942387388E-2</v>
      </c>
      <c r="E92" s="9">
        <v>1.40931104091123E-2</v>
      </c>
      <c r="F92" s="8">
        <v>0</v>
      </c>
      <c r="G92" s="8">
        <v>0.45939999999999998</v>
      </c>
      <c r="H92" s="8">
        <v>0</v>
      </c>
      <c r="I92" s="8">
        <v>0.4924</v>
      </c>
      <c r="J92" s="8">
        <v>0.45939999999999998</v>
      </c>
      <c r="K92" s="8">
        <v>0.4924</v>
      </c>
      <c r="L92" s="8">
        <v>106.49939999999999</v>
      </c>
      <c r="M92" s="8">
        <v>119.11239999999999</v>
      </c>
      <c r="N92" s="10">
        <v>1.1186344775556301</v>
      </c>
      <c r="O92" s="10">
        <v>1.1144207265719701</v>
      </c>
      <c r="P92" s="10">
        <v>1.1169201377864899</v>
      </c>
      <c r="Q92" s="10">
        <v>1.1147078523449201</v>
      </c>
      <c r="R92" s="8">
        <v>118.17317384569201</v>
      </c>
      <c r="S92" s="8">
        <v>118.395286298098</v>
      </c>
      <c r="T92" s="8">
        <v>118.17854432215201</v>
      </c>
      <c r="U92" s="9">
        <v>-3.7739828171062298E-3</v>
      </c>
      <c r="V92" s="9">
        <v>-1.89619642464856E-3</v>
      </c>
      <c r="W92" s="9">
        <v>-3.72853803250534E-3</v>
      </c>
      <c r="X92" s="10">
        <v>1.1184325921085001</v>
      </c>
      <c r="Y92" s="10">
        <v>1.1140664646848899</v>
      </c>
      <c r="Z92" s="10">
        <v>1.1167393209521801</v>
      </c>
      <c r="AA92" s="10">
        <v>1.1146102342509301</v>
      </c>
      <c r="AB92" s="8">
        <v>118.647410049062</v>
      </c>
      <c r="AC92" s="8">
        <v>118.890877624935</v>
      </c>
      <c r="AD92" s="8">
        <v>118.681108130661</v>
      </c>
      <c r="AE92" s="9">
        <v>-3.9114309830269103E-3</v>
      </c>
      <c r="AF92" s="9">
        <v>-1.8615074653019501E-3</v>
      </c>
      <c r="AG92" s="9">
        <v>-3.6274526218552398E-3</v>
      </c>
      <c r="AH92" s="12"/>
      <c r="AZ92" s="9"/>
      <c r="BB92">
        <f t="shared" si="26"/>
        <v>0</v>
      </c>
      <c r="BC92">
        <f t="shared" si="27"/>
        <v>0</v>
      </c>
      <c r="BD92">
        <f t="shared" si="28"/>
        <v>0</v>
      </c>
      <c r="BE92">
        <f t="shared" si="24"/>
        <v>1</v>
      </c>
      <c r="BF92">
        <f t="shared" si="29"/>
        <v>0</v>
      </c>
      <c r="BG92" s="9">
        <f t="shared" si="30"/>
        <v>0</v>
      </c>
      <c r="BH92" s="9">
        <f t="shared" si="31"/>
        <v>0</v>
      </c>
      <c r="BI92" s="9">
        <f t="shared" si="32"/>
        <v>0</v>
      </c>
      <c r="BJ92" s="12">
        <f t="shared" si="33"/>
        <v>2.2591591880305462E-2</v>
      </c>
      <c r="BL92" s="9"/>
      <c r="BN92">
        <f t="shared" si="34"/>
        <v>0</v>
      </c>
      <c r="BO92">
        <f t="shared" si="35"/>
        <v>1</v>
      </c>
      <c r="BP92">
        <f t="shared" si="36"/>
        <v>0</v>
      </c>
      <c r="BQ92">
        <f t="shared" si="25"/>
        <v>1</v>
      </c>
      <c r="BR92">
        <f t="shared" si="37"/>
        <v>0</v>
      </c>
      <c r="BS92" s="9">
        <f t="shared" si="38"/>
        <v>0</v>
      </c>
      <c r="BT92" s="9">
        <f t="shared" si="39"/>
        <v>0</v>
      </c>
      <c r="BU92" s="9">
        <f t="shared" si="40"/>
        <v>0</v>
      </c>
      <c r="BV92" s="12">
        <f t="shared" si="41"/>
        <v>1.1044618033177373E-2</v>
      </c>
      <c r="BX92" s="12">
        <f t="shared" si="42"/>
        <v>0</v>
      </c>
      <c r="BY92" s="12">
        <f t="shared" si="43"/>
        <v>3.3636209913482831E-2</v>
      </c>
    </row>
    <row r="93" spans="1:77" x14ac:dyDescent="0.3">
      <c r="A93" s="1">
        <v>46156</v>
      </c>
      <c r="B93" s="8">
        <v>106.57</v>
      </c>
      <c r="C93" s="8">
        <v>119.18</v>
      </c>
      <c r="D93" s="9">
        <v>4.9856648120398901E-3</v>
      </c>
      <c r="E93" s="9">
        <v>4.7098489082522598E-3</v>
      </c>
      <c r="F93" s="8">
        <v>0</v>
      </c>
      <c r="G93" s="8">
        <v>0.45939999999999998</v>
      </c>
      <c r="H93" s="8">
        <v>0</v>
      </c>
      <c r="I93" s="8">
        <v>0.4924</v>
      </c>
      <c r="J93" s="8">
        <v>0.45939999999999998</v>
      </c>
      <c r="K93" s="8">
        <v>0.4924</v>
      </c>
      <c r="L93" s="8">
        <v>107.0294</v>
      </c>
      <c r="M93" s="8">
        <v>119.6724</v>
      </c>
      <c r="N93" s="10">
        <v>1.11832598292202</v>
      </c>
      <c r="O93" s="10">
        <v>1.1144207265719701</v>
      </c>
      <c r="P93" s="10">
        <v>1.11720285484354</v>
      </c>
      <c r="Q93" s="10">
        <v>1.11510188266737</v>
      </c>
      <c r="R93" s="8">
        <v>118.763816830775</v>
      </c>
      <c r="S93" s="8">
        <v>119.030179083907</v>
      </c>
      <c r="T93" s="8">
        <v>118.794415824398</v>
      </c>
      <c r="U93" s="9">
        <v>-3.49816691331863E-3</v>
      </c>
      <c r="V93" s="9">
        <v>-1.25788861268746E-3</v>
      </c>
      <c r="W93" s="9">
        <v>-3.24055434018313E-3</v>
      </c>
      <c r="X93" s="10">
        <v>1.1181264213384301</v>
      </c>
      <c r="Y93" s="10">
        <v>1.1140664646848899</v>
      </c>
      <c r="Z93" s="10">
        <v>1.11700450597887</v>
      </c>
      <c r="AA93" s="10">
        <v>1.11499466771829</v>
      </c>
      <c r="AB93" s="8">
        <v>119.237865275345</v>
      </c>
      <c r="AC93" s="8">
        <v>119.523939477919</v>
      </c>
      <c r="AD93" s="8">
        <v>119.296064605737</v>
      </c>
      <c r="AE93" s="9">
        <v>-3.6376436426207499E-3</v>
      </c>
      <c r="AF93" s="9">
        <v>-1.24132786871188E-3</v>
      </c>
      <c r="AG93" s="9">
        <v>-3.14966835477866E-3</v>
      </c>
      <c r="AH93" s="12"/>
      <c r="AZ93" s="9"/>
      <c r="BB93">
        <f t="shared" si="26"/>
        <v>0</v>
      </c>
      <c r="BC93">
        <f t="shared" si="27"/>
        <v>0</v>
      </c>
      <c r="BD93">
        <f t="shared" si="28"/>
        <v>0</v>
      </c>
      <c r="BE93">
        <f t="shared" si="24"/>
        <v>1</v>
      </c>
      <c r="BF93">
        <f t="shared" si="29"/>
        <v>0</v>
      </c>
      <c r="BG93" s="9">
        <f t="shared" si="30"/>
        <v>0</v>
      </c>
      <c r="BH93" s="9">
        <f t="shared" si="31"/>
        <v>0</v>
      </c>
      <c r="BI93" s="9">
        <f t="shared" si="32"/>
        <v>0</v>
      </c>
      <c r="BJ93" s="12">
        <f t="shared" si="33"/>
        <v>2.2591591880305462E-2</v>
      </c>
      <c r="BL93" s="9"/>
      <c r="BN93">
        <f t="shared" si="34"/>
        <v>0</v>
      </c>
      <c r="BO93">
        <f t="shared" si="35"/>
        <v>1</v>
      </c>
      <c r="BP93">
        <f t="shared" si="36"/>
        <v>0</v>
      </c>
      <c r="BQ93">
        <f t="shared" si="25"/>
        <v>1</v>
      </c>
      <c r="BR93">
        <f t="shared" si="37"/>
        <v>0</v>
      </c>
      <c r="BS93" s="9">
        <f t="shared" si="38"/>
        <v>0</v>
      </c>
      <c r="BT93" s="9">
        <f t="shared" si="39"/>
        <v>0</v>
      </c>
      <c r="BU93" s="9">
        <f t="shared" si="40"/>
        <v>0</v>
      </c>
      <c r="BV93" s="12">
        <f t="shared" si="41"/>
        <v>1.1044618033177373E-2</v>
      </c>
      <c r="BX93" s="12">
        <f t="shared" si="42"/>
        <v>0</v>
      </c>
      <c r="BY93" s="12">
        <f t="shared" si="43"/>
        <v>3.3636209913482831E-2</v>
      </c>
    </row>
    <row r="94" spans="1:77" x14ac:dyDescent="0.3">
      <c r="A94" s="1">
        <v>46157</v>
      </c>
      <c r="B94" s="8">
        <v>104.5</v>
      </c>
      <c r="C94" s="8">
        <v>117.19</v>
      </c>
      <c r="D94" s="9">
        <v>-1.9614974827999E-2</v>
      </c>
      <c r="E94" s="9">
        <v>-1.6838406048321899E-2</v>
      </c>
      <c r="F94" s="8">
        <v>0</v>
      </c>
      <c r="G94" s="8">
        <v>0.45939999999999998</v>
      </c>
      <c r="H94" s="8">
        <v>0</v>
      </c>
      <c r="I94" s="8">
        <v>0.4924</v>
      </c>
      <c r="J94" s="8">
        <v>0.45939999999999998</v>
      </c>
      <c r="K94" s="8">
        <v>0.4924</v>
      </c>
      <c r="L94" s="8">
        <v>104.9594</v>
      </c>
      <c r="M94" s="8">
        <v>117.6824</v>
      </c>
      <c r="N94" s="10">
        <v>1.1214354066985599</v>
      </c>
      <c r="O94" s="10">
        <v>1.1144207265719701</v>
      </c>
      <c r="P94" s="10">
        <v>1.11784153637921</v>
      </c>
      <c r="Q94" s="10">
        <v>1.11542795605672</v>
      </c>
      <c r="R94" s="8">
        <v>116.45696592677101</v>
      </c>
      <c r="S94" s="8">
        <v>116.74769833115</v>
      </c>
      <c r="T94" s="8">
        <v>116.52814673874001</v>
      </c>
      <c r="U94" s="9">
        <v>-6.2747356929956999E-3</v>
      </c>
      <c r="V94" s="9">
        <v>-3.7813674241849999E-3</v>
      </c>
      <c r="W94" s="9">
        <v>-5.6637025383919296E-3</v>
      </c>
      <c r="X94" s="10">
        <v>1.1212182996472899</v>
      </c>
      <c r="Y94" s="10">
        <v>1.1140664646848899</v>
      </c>
      <c r="Z94" s="10">
        <v>1.11764087819637</v>
      </c>
      <c r="AA94" s="10">
        <v>1.1153110071304999</v>
      </c>
      <c r="AB94" s="8">
        <v>116.93174769344699</v>
      </c>
      <c r="AC94" s="8">
        <v>117.240122744839</v>
      </c>
      <c r="AD94" s="8">
        <v>117.029171326911</v>
      </c>
      <c r="AE94" s="9">
        <v>-6.3990588411100896E-3</v>
      </c>
      <c r="AF94" s="9">
        <v>-3.7653075790808998E-3</v>
      </c>
      <c r="AG94" s="9">
        <v>-5.5662390735781702E-3</v>
      </c>
      <c r="AH94" s="12"/>
      <c r="AZ94" s="9"/>
      <c r="BB94">
        <f t="shared" si="26"/>
        <v>1</v>
      </c>
      <c r="BC94">
        <f t="shared" si="27"/>
        <v>0</v>
      </c>
      <c r="BD94">
        <f t="shared" si="28"/>
        <v>0</v>
      </c>
      <c r="BE94">
        <f t="shared" si="24"/>
        <v>1</v>
      </c>
      <c r="BF94">
        <f t="shared" si="29"/>
        <v>0</v>
      </c>
      <c r="BG94" s="9">
        <f t="shared" si="30"/>
        <v>0</v>
      </c>
      <c r="BH94" s="9">
        <f t="shared" si="31"/>
        <v>0</v>
      </c>
      <c r="BI94" s="9">
        <f t="shared" si="32"/>
        <v>0</v>
      </c>
      <c r="BJ94" s="12">
        <f t="shared" si="33"/>
        <v>2.2591591880305462E-2</v>
      </c>
      <c r="BL94" s="9"/>
      <c r="BN94">
        <f t="shared" si="34"/>
        <v>0</v>
      </c>
      <c r="BO94">
        <f t="shared" si="35"/>
        <v>1</v>
      </c>
      <c r="BP94">
        <f t="shared" si="36"/>
        <v>0</v>
      </c>
      <c r="BQ94">
        <f t="shared" si="25"/>
        <v>1</v>
      </c>
      <c r="BR94">
        <f t="shared" si="37"/>
        <v>0</v>
      </c>
      <c r="BS94" s="9">
        <f t="shared" si="38"/>
        <v>0</v>
      </c>
      <c r="BT94" s="9">
        <f t="shared" si="39"/>
        <v>0</v>
      </c>
      <c r="BU94" s="9">
        <f t="shared" si="40"/>
        <v>0</v>
      </c>
      <c r="BV94" s="12">
        <f t="shared" si="41"/>
        <v>1.1044618033177373E-2</v>
      </c>
      <c r="BX94" s="12">
        <f t="shared" si="42"/>
        <v>0</v>
      </c>
      <c r="BY94" s="12">
        <f t="shared" si="43"/>
        <v>3.3636209913482831E-2</v>
      </c>
    </row>
    <row r="95" spans="1:77" x14ac:dyDescent="0.3">
      <c r="A95" s="1">
        <v>46160</v>
      </c>
      <c r="B95" s="8">
        <v>102.86</v>
      </c>
      <c r="C95" s="8">
        <v>115.36</v>
      </c>
      <c r="D95" s="9">
        <v>-1.5818231058095499E-2</v>
      </c>
      <c r="E95" s="9">
        <v>-1.5738875733872001E-2</v>
      </c>
      <c r="F95" s="8">
        <v>0</v>
      </c>
      <c r="G95" s="8">
        <v>0.45939999999999998</v>
      </c>
      <c r="H95" s="8">
        <v>0</v>
      </c>
      <c r="I95" s="8">
        <v>0.4924</v>
      </c>
      <c r="J95" s="8">
        <v>0.45939999999999998</v>
      </c>
      <c r="K95" s="8">
        <v>0.4924</v>
      </c>
      <c r="L95" s="8">
        <v>103.3194</v>
      </c>
      <c r="M95" s="8">
        <v>115.8524</v>
      </c>
      <c r="N95" s="10">
        <v>1.12152440209994</v>
      </c>
      <c r="O95" s="10">
        <v>1.1144207265719701</v>
      </c>
      <c r="P95" s="10">
        <v>1.1180822406001401</v>
      </c>
      <c r="Q95" s="10">
        <v>1.11582472329226</v>
      </c>
      <c r="R95" s="8">
        <v>114.62931593519301</v>
      </c>
      <c r="S95" s="8">
        <v>114.981180431965</v>
      </c>
      <c r="T95" s="8">
        <v>114.732919559994</v>
      </c>
      <c r="U95" s="9">
        <v>-6.3540910172191802E-3</v>
      </c>
      <c r="V95" s="9">
        <v>-3.2892069829422799E-3</v>
      </c>
      <c r="W95" s="9">
        <v>-5.4506848254899098E-3</v>
      </c>
      <c r="X95" s="10">
        <v>1.1213034531752899</v>
      </c>
      <c r="Y95" s="10">
        <v>1.1140664646848899</v>
      </c>
      <c r="Z95" s="10">
        <v>1.11788060206782</v>
      </c>
      <c r="AA95" s="10">
        <v>1.1156976250491599</v>
      </c>
      <c r="AB95" s="8">
        <v>115.104678691364</v>
      </c>
      <c r="AC95" s="8">
        <v>115.473984950722</v>
      </c>
      <c r="AD95" s="8">
        <v>115.23326407011901</v>
      </c>
      <c r="AE95" s="9">
        <v>-6.4750032799462199E-3</v>
      </c>
      <c r="AF95" s="9">
        <v>-3.2717010375221301E-3</v>
      </c>
      <c r="AG95" s="9">
        <v>-5.3585099174499199E-3</v>
      </c>
      <c r="AH95" s="12"/>
      <c r="AZ95" s="9"/>
      <c r="BB95">
        <f t="shared" si="26"/>
        <v>1</v>
      </c>
      <c r="BC95">
        <f t="shared" si="27"/>
        <v>0</v>
      </c>
      <c r="BD95">
        <f t="shared" si="28"/>
        <v>1</v>
      </c>
      <c r="BE95">
        <f t="shared" si="24"/>
        <v>1</v>
      </c>
      <c r="BF95">
        <f t="shared" si="29"/>
        <v>1</v>
      </c>
      <c r="BG95" s="9">
        <f t="shared" si="30"/>
        <v>-1.5818231058095499E-2</v>
      </c>
      <c r="BH95" s="9">
        <f t="shared" si="31"/>
        <v>1.5738875733872001E-2</v>
      </c>
      <c r="BI95" s="9">
        <f t="shared" si="32"/>
        <v>-7.9355324223498447E-5</v>
      </c>
      <c r="BJ95" s="12">
        <f t="shared" si="33"/>
        <v>2.2512236556081963E-2</v>
      </c>
      <c r="BL95" s="9"/>
      <c r="BN95">
        <f t="shared" si="34"/>
        <v>0</v>
      </c>
      <c r="BO95">
        <f t="shared" si="35"/>
        <v>1</v>
      </c>
      <c r="BP95">
        <f t="shared" si="36"/>
        <v>0</v>
      </c>
      <c r="BQ95">
        <f t="shared" si="25"/>
        <v>1</v>
      </c>
      <c r="BR95">
        <f t="shared" si="37"/>
        <v>0</v>
      </c>
      <c r="BS95" s="9">
        <f t="shared" si="38"/>
        <v>0</v>
      </c>
      <c r="BT95" s="9">
        <f t="shared" si="39"/>
        <v>0</v>
      </c>
      <c r="BU95" s="9">
        <f t="shared" si="40"/>
        <v>0</v>
      </c>
      <c r="BV95" s="12">
        <f t="shared" si="41"/>
        <v>1.1044618033177373E-2</v>
      </c>
      <c r="BX95" s="12">
        <f t="shared" si="42"/>
        <v>-7.9355324223498447E-5</v>
      </c>
      <c r="BY95" s="12">
        <f t="shared" si="43"/>
        <v>3.3556854589259333E-2</v>
      </c>
    </row>
    <row r="96" spans="1:77" x14ac:dyDescent="0.3">
      <c r="A96" s="1">
        <v>46161</v>
      </c>
      <c r="B96" s="8">
        <v>102.44</v>
      </c>
      <c r="C96" s="8">
        <v>114.64</v>
      </c>
      <c r="D96" s="9">
        <v>-4.0915790154456497E-3</v>
      </c>
      <c r="E96" s="9">
        <v>-6.2608900167225303E-3</v>
      </c>
      <c r="F96" s="8">
        <v>0</v>
      </c>
      <c r="G96" s="8">
        <v>0.45939999999999998</v>
      </c>
      <c r="H96" s="8">
        <v>0</v>
      </c>
      <c r="I96" s="8">
        <v>0.4924</v>
      </c>
      <c r="J96" s="8">
        <v>0.45939999999999998</v>
      </c>
      <c r="K96" s="8">
        <v>0.4924</v>
      </c>
      <c r="L96" s="8">
        <v>102.8994</v>
      </c>
      <c r="M96" s="8">
        <v>115.1324</v>
      </c>
      <c r="N96" s="10">
        <v>1.1190941038656701</v>
      </c>
      <c r="O96" s="10">
        <v>1.1144207265719701</v>
      </c>
      <c r="P96" s="10">
        <v>1.1184324594563899</v>
      </c>
      <c r="Q96" s="10">
        <v>1.1160637127698201</v>
      </c>
      <c r="R96" s="8">
        <v>114.161259230033</v>
      </c>
      <c r="S96" s="8">
        <v>114.536344727078</v>
      </c>
      <c r="T96" s="8">
        <v>114.305084654059</v>
      </c>
      <c r="U96" s="9">
        <v>-4.1847800159423897E-3</v>
      </c>
      <c r="V96" s="9">
        <v>-9.0458969588090403E-4</v>
      </c>
      <c r="W96" s="9">
        <v>-2.92572854621334E-3</v>
      </c>
      <c r="X96" s="10">
        <v>1.1188831033028299</v>
      </c>
      <c r="Y96" s="10">
        <v>1.1140664646848899</v>
      </c>
      <c r="Z96" s="10">
        <v>1.11822898403515</v>
      </c>
      <c r="AA96" s="10">
        <v>1.11592709258617</v>
      </c>
      <c r="AB96" s="8">
        <v>114.636770776196</v>
      </c>
      <c r="AC96" s="8">
        <v>115.029243224417</v>
      </c>
      <c r="AD96" s="8">
        <v>114.80461619898399</v>
      </c>
      <c r="AE96" s="9">
        <v>-4.31415573157289E-3</v>
      </c>
      <c r="AF96" s="9">
        <v>-8.9638552318789197E-4</v>
      </c>
      <c r="AG96" s="9">
        <v>-2.8510765988911798E-3</v>
      </c>
      <c r="AH96" s="12"/>
      <c r="AZ96" s="9"/>
      <c r="BB96">
        <f t="shared" si="26"/>
        <v>0</v>
      </c>
      <c r="BC96">
        <f t="shared" si="27"/>
        <v>1</v>
      </c>
      <c r="BD96">
        <f t="shared" si="28"/>
        <v>1</v>
      </c>
      <c r="BE96">
        <f t="shared" si="24"/>
        <v>1</v>
      </c>
      <c r="BF96">
        <f t="shared" si="29"/>
        <v>1</v>
      </c>
      <c r="BG96" s="9">
        <f t="shared" si="30"/>
        <v>-4.0915790154456497E-3</v>
      </c>
      <c r="BH96" s="9">
        <f t="shared" si="31"/>
        <v>6.2608900167225303E-3</v>
      </c>
      <c r="BI96" s="9">
        <f t="shared" si="32"/>
        <v>2.1693110012768807E-3</v>
      </c>
      <c r="BJ96" s="12">
        <f t="shared" si="33"/>
        <v>2.4681547557358845E-2</v>
      </c>
      <c r="BL96" s="9"/>
      <c r="BN96">
        <f t="shared" si="34"/>
        <v>0</v>
      </c>
      <c r="BO96">
        <f t="shared" si="35"/>
        <v>1</v>
      </c>
      <c r="BP96">
        <f t="shared" si="36"/>
        <v>0</v>
      </c>
      <c r="BQ96">
        <f t="shared" si="25"/>
        <v>1</v>
      </c>
      <c r="BR96">
        <f t="shared" si="37"/>
        <v>0</v>
      </c>
      <c r="BS96" s="9">
        <f t="shared" si="38"/>
        <v>0</v>
      </c>
      <c r="BT96" s="9">
        <f t="shared" si="39"/>
        <v>0</v>
      </c>
      <c r="BU96" s="9">
        <f t="shared" si="40"/>
        <v>0</v>
      </c>
      <c r="BV96" s="12">
        <f t="shared" si="41"/>
        <v>1.1044618033177373E-2</v>
      </c>
      <c r="BX96" s="12">
        <f t="shared" si="42"/>
        <v>2.1693110012768807E-3</v>
      </c>
      <c r="BY96" s="12">
        <f t="shared" si="43"/>
        <v>3.5726165590536214E-2</v>
      </c>
    </row>
    <row r="97" spans="1:77" x14ac:dyDescent="0.3">
      <c r="A97" s="1">
        <v>46162</v>
      </c>
      <c r="B97" s="8">
        <v>103.11</v>
      </c>
      <c r="C97" s="8">
        <v>115.57</v>
      </c>
      <c r="D97" s="9">
        <v>6.5191181985277697E-3</v>
      </c>
      <c r="E97" s="9">
        <v>8.0796234674335304E-3</v>
      </c>
      <c r="F97" s="8">
        <v>0</v>
      </c>
      <c r="G97" s="8">
        <v>0.45939999999999998</v>
      </c>
      <c r="H97" s="8">
        <v>0</v>
      </c>
      <c r="I97" s="8">
        <v>0.4924</v>
      </c>
      <c r="J97" s="8">
        <v>0.45939999999999998</v>
      </c>
      <c r="K97" s="8">
        <v>0.4924</v>
      </c>
      <c r="L97" s="8">
        <v>103.5694</v>
      </c>
      <c r="M97" s="8">
        <v>116.0624</v>
      </c>
      <c r="N97" s="10">
        <v>1.12084181941615</v>
      </c>
      <c r="O97" s="10">
        <v>1.1144207265719701</v>
      </c>
      <c r="P97" s="10">
        <v>1.1185526092162701</v>
      </c>
      <c r="Q97" s="10">
        <v>1.11649689284954</v>
      </c>
      <c r="R97" s="8">
        <v>114.90792111683599</v>
      </c>
      <c r="S97" s="8">
        <v>115.321570894548</v>
      </c>
      <c r="T97" s="8">
        <v>115.07732942369699</v>
      </c>
      <c r="U97" s="9">
        <v>-5.7452852848481799E-3</v>
      </c>
      <c r="V97" s="9">
        <v>-2.1519122621612599E-3</v>
      </c>
      <c r="W97" s="9">
        <v>-4.2720748324209298E-3</v>
      </c>
      <c r="X97" s="10">
        <v>1.12062443154059</v>
      </c>
      <c r="Y97" s="10">
        <v>1.1140664646848899</v>
      </c>
      <c r="Z97" s="10">
        <v>1.1183480932338801</v>
      </c>
      <c r="AA97" s="10">
        <v>1.1163500674323199</v>
      </c>
      <c r="AB97" s="8">
        <v>115.383195307535</v>
      </c>
      <c r="AC97" s="8">
        <v>115.81430493913</v>
      </c>
      <c r="AD97" s="8">
        <v>115.575899422894</v>
      </c>
      <c r="AE97" s="9">
        <v>-5.8692552894768699E-3</v>
      </c>
      <c r="AF97" s="9">
        <v>-2.1398885722963001E-3</v>
      </c>
      <c r="AG97" s="9">
        <v>-4.2005255059483597E-3</v>
      </c>
      <c r="AH97" s="12"/>
      <c r="AZ97" s="9"/>
      <c r="BB97">
        <f t="shared" si="26"/>
        <v>0</v>
      </c>
      <c r="BC97">
        <f t="shared" si="27"/>
        <v>0</v>
      </c>
      <c r="BD97">
        <f t="shared" si="28"/>
        <v>0</v>
      </c>
      <c r="BE97">
        <f t="shared" si="24"/>
        <v>1</v>
      </c>
      <c r="BF97">
        <f t="shared" si="29"/>
        <v>0</v>
      </c>
      <c r="BG97" s="9">
        <f t="shared" si="30"/>
        <v>0</v>
      </c>
      <c r="BH97" s="9">
        <f t="shared" si="31"/>
        <v>0</v>
      </c>
      <c r="BI97" s="9">
        <f t="shared" si="32"/>
        <v>0</v>
      </c>
      <c r="BJ97" s="12">
        <f t="shared" si="33"/>
        <v>2.4681547557358845E-2</v>
      </c>
      <c r="BL97" s="9"/>
      <c r="BN97">
        <f t="shared" si="34"/>
        <v>0</v>
      </c>
      <c r="BO97">
        <f t="shared" si="35"/>
        <v>1</v>
      </c>
      <c r="BP97">
        <f t="shared" si="36"/>
        <v>0</v>
      </c>
      <c r="BQ97">
        <f t="shared" si="25"/>
        <v>1</v>
      </c>
      <c r="BR97">
        <f t="shared" si="37"/>
        <v>0</v>
      </c>
      <c r="BS97" s="9">
        <f t="shared" si="38"/>
        <v>0</v>
      </c>
      <c r="BT97" s="9">
        <f t="shared" si="39"/>
        <v>0</v>
      </c>
      <c r="BU97" s="9">
        <f t="shared" si="40"/>
        <v>0</v>
      </c>
      <c r="BV97" s="12">
        <f t="shared" si="41"/>
        <v>1.1044618033177373E-2</v>
      </c>
      <c r="BX97" s="12">
        <f t="shared" si="42"/>
        <v>0</v>
      </c>
      <c r="BY97" s="12">
        <f t="shared" si="43"/>
        <v>3.5726165590536214E-2</v>
      </c>
    </row>
    <row r="98" spans="1:77" x14ac:dyDescent="0.3">
      <c r="A98" s="1">
        <v>46163</v>
      </c>
      <c r="B98" s="8">
        <v>105.37</v>
      </c>
      <c r="C98" s="8">
        <v>117.99</v>
      </c>
      <c r="D98" s="9">
        <v>2.1681586081583999E-2</v>
      </c>
      <c r="E98" s="9">
        <v>2.0723468124477899E-2</v>
      </c>
      <c r="F98" s="8">
        <v>0</v>
      </c>
      <c r="G98" s="8">
        <v>0.45939999999999998</v>
      </c>
      <c r="H98" s="8">
        <v>0</v>
      </c>
      <c r="I98" s="8">
        <v>0.4924</v>
      </c>
      <c r="J98" s="8">
        <v>0.45939999999999998</v>
      </c>
      <c r="K98" s="8">
        <v>0.4924</v>
      </c>
      <c r="L98" s="8">
        <v>105.82940000000001</v>
      </c>
      <c r="M98" s="8">
        <v>118.4824</v>
      </c>
      <c r="N98" s="10">
        <v>1.11976843503843</v>
      </c>
      <c r="O98" s="10">
        <v>1.1144207265719701</v>
      </c>
      <c r="P98" s="10">
        <v>1.11885895022683</v>
      </c>
      <c r="Q98" s="10">
        <v>1.1169908635511301</v>
      </c>
      <c r="R98" s="8">
        <v>117.42651195888899</v>
      </c>
      <c r="S98" s="8">
        <v>117.861888433118</v>
      </c>
      <c r="T98" s="8">
        <v>117.645277599556</v>
      </c>
      <c r="U98" s="9">
        <v>-4.78716732774197E-3</v>
      </c>
      <c r="V98" s="9">
        <v>-1.08637314996378E-3</v>
      </c>
      <c r="W98" s="9">
        <v>-2.9259001443445801E-3</v>
      </c>
      <c r="X98" s="10">
        <v>1.11956034901454</v>
      </c>
      <c r="Y98" s="10">
        <v>1.1140664646848899</v>
      </c>
      <c r="Z98" s="10">
        <v>1.11865330714533</v>
      </c>
      <c r="AA98" s="10">
        <v>1.11683392016773</v>
      </c>
      <c r="AB98" s="8">
        <v>117.900985517723</v>
      </c>
      <c r="AC98" s="8">
        <v>118.354107698086</v>
      </c>
      <c r="AD98" s="8">
        <v>118.142657826321</v>
      </c>
      <c r="AE98" s="9">
        <v>-4.91925990042902E-3</v>
      </c>
      <c r="AF98" s="9">
        <v>-1.0833829269741499E-3</v>
      </c>
      <c r="AG98" s="9">
        <v>-2.87156745152515E-3</v>
      </c>
      <c r="AH98" s="12"/>
      <c r="AZ98" s="9"/>
      <c r="BB98">
        <f t="shared" si="26"/>
        <v>0</v>
      </c>
      <c r="BC98">
        <f t="shared" si="27"/>
        <v>1</v>
      </c>
      <c r="BD98">
        <f t="shared" si="28"/>
        <v>0</v>
      </c>
      <c r="BE98">
        <f t="shared" si="24"/>
        <v>1</v>
      </c>
      <c r="BF98">
        <f t="shared" si="29"/>
        <v>0</v>
      </c>
      <c r="BG98" s="9">
        <f t="shared" si="30"/>
        <v>0</v>
      </c>
      <c r="BH98" s="9">
        <f t="shared" si="31"/>
        <v>0</v>
      </c>
      <c r="BI98" s="9">
        <f t="shared" si="32"/>
        <v>0</v>
      </c>
      <c r="BJ98" s="12">
        <f t="shared" si="33"/>
        <v>2.4681547557358845E-2</v>
      </c>
      <c r="BL98" s="9"/>
      <c r="BN98">
        <f t="shared" si="34"/>
        <v>0</v>
      </c>
      <c r="BO98">
        <f t="shared" si="35"/>
        <v>1</v>
      </c>
      <c r="BP98">
        <f t="shared" si="36"/>
        <v>0</v>
      </c>
      <c r="BQ98">
        <f t="shared" si="25"/>
        <v>1</v>
      </c>
      <c r="BR98">
        <f t="shared" si="37"/>
        <v>0</v>
      </c>
      <c r="BS98" s="9">
        <f t="shared" si="38"/>
        <v>0</v>
      </c>
      <c r="BT98" s="9">
        <f t="shared" si="39"/>
        <v>0</v>
      </c>
      <c r="BU98" s="9">
        <f t="shared" si="40"/>
        <v>0</v>
      </c>
      <c r="BV98" s="12">
        <f t="shared" si="41"/>
        <v>1.1044618033177373E-2</v>
      </c>
      <c r="BX98" s="12">
        <f t="shared" si="42"/>
        <v>0</v>
      </c>
      <c r="BY98" s="12">
        <f t="shared" si="43"/>
        <v>3.5726165590536214E-2</v>
      </c>
    </row>
    <row r="99" spans="1:77" x14ac:dyDescent="0.3">
      <c r="A99" s="1">
        <v>46164</v>
      </c>
      <c r="B99" s="8">
        <v>105.65</v>
      </c>
      <c r="C99" s="8">
        <v>118.38</v>
      </c>
      <c r="D99" s="9">
        <v>2.6537784506294299E-3</v>
      </c>
      <c r="E99" s="9">
        <v>3.29991415075114E-3</v>
      </c>
      <c r="F99" s="8">
        <v>0</v>
      </c>
      <c r="G99" s="8">
        <v>0.45939999999999998</v>
      </c>
      <c r="H99" s="8">
        <v>0</v>
      </c>
      <c r="I99" s="8">
        <v>0.4924</v>
      </c>
      <c r="J99" s="8">
        <v>0.45939999999999998</v>
      </c>
      <c r="K99" s="8">
        <v>0.4924</v>
      </c>
      <c r="L99" s="8">
        <v>106.10939999999999</v>
      </c>
      <c r="M99" s="8">
        <v>118.8724</v>
      </c>
      <c r="N99" s="10">
        <v>1.12049219119734</v>
      </c>
      <c r="O99" s="10">
        <v>1.1144207265719701</v>
      </c>
      <c r="P99" s="10">
        <v>1.11936823812761</v>
      </c>
      <c r="Q99" s="10">
        <v>1.11735462770516</v>
      </c>
      <c r="R99" s="8">
        <v>117.738549762329</v>
      </c>
      <c r="S99" s="8">
        <v>118.207448091464</v>
      </c>
      <c r="T99" s="8">
        <v>118.010084734177</v>
      </c>
      <c r="U99" s="9">
        <v>-5.4333030278636701E-3</v>
      </c>
      <c r="V99" s="9">
        <v>-1.4586736576485499E-3</v>
      </c>
      <c r="W99" s="9">
        <v>-3.1297045997808999E-3</v>
      </c>
      <c r="X99" s="10">
        <v>1.12028152077007</v>
      </c>
      <c r="Y99" s="10">
        <v>1.1140664646848899</v>
      </c>
      <c r="Z99" s="10">
        <v>1.1191605641059501</v>
      </c>
      <c r="AA99" s="10">
        <v>1.1171879883142</v>
      </c>
      <c r="AB99" s="8">
        <v>118.212924127835</v>
      </c>
      <c r="AC99" s="8">
        <v>118.699631229207</v>
      </c>
      <c r="AD99" s="8">
        <v>118.50657716864499</v>
      </c>
      <c r="AE99" s="9">
        <v>-5.5632087346537797E-3</v>
      </c>
      <c r="AF99" s="9">
        <v>-1.4544540479379401E-3</v>
      </c>
      <c r="AG99" s="9">
        <v>-3.08218634458229E-3</v>
      </c>
      <c r="AH99" s="12"/>
      <c r="AZ99" s="9"/>
      <c r="BB99">
        <f t="shared" si="26"/>
        <v>0</v>
      </c>
      <c r="BC99">
        <f t="shared" si="27"/>
        <v>0</v>
      </c>
      <c r="BD99">
        <f t="shared" si="28"/>
        <v>0</v>
      </c>
      <c r="BE99">
        <f t="shared" si="24"/>
        <v>1</v>
      </c>
      <c r="BF99">
        <f t="shared" si="29"/>
        <v>0</v>
      </c>
      <c r="BG99" s="9">
        <f t="shared" si="30"/>
        <v>0</v>
      </c>
      <c r="BH99" s="9">
        <f t="shared" si="31"/>
        <v>0</v>
      </c>
      <c r="BI99" s="9">
        <f t="shared" si="32"/>
        <v>0</v>
      </c>
      <c r="BJ99" s="12">
        <f t="shared" si="33"/>
        <v>2.4681547557358845E-2</v>
      </c>
      <c r="BL99" s="9"/>
      <c r="BN99">
        <f t="shared" si="34"/>
        <v>0</v>
      </c>
      <c r="BO99">
        <f t="shared" si="35"/>
        <v>1</v>
      </c>
      <c r="BP99">
        <f t="shared" si="36"/>
        <v>0</v>
      </c>
      <c r="BQ99">
        <f t="shared" si="25"/>
        <v>1</v>
      </c>
      <c r="BR99">
        <f t="shared" si="37"/>
        <v>0</v>
      </c>
      <c r="BS99" s="9">
        <f t="shared" si="38"/>
        <v>0</v>
      </c>
      <c r="BT99" s="9">
        <f t="shared" si="39"/>
        <v>0</v>
      </c>
      <c r="BU99" s="9">
        <f t="shared" si="40"/>
        <v>0</v>
      </c>
      <c r="BV99" s="12">
        <f t="shared" si="41"/>
        <v>1.1044618033177373E-2</v>
      </c>
      <c r="BX99" s="12">
        <f t="shared" si="42"/>
        <v>0</v>
      </c>
      <c r="BY99" s="12">
        <f t="shared" si="43"/>
        <v>3.5726165590536214E-2</v>
      </c>
    </row>
    <row r="100" spans="1:77" x14ac:dyDescent="0.3">
      <c r="A100" s="1">
        <v>46168</v>
      </c>
      <c r="B100" s="8">
        <v>106.75</v>
      </c>
      <c r="C100" s="8">
        <v>119.9</v>
      </c>
      <c r="D100" s="9">
        <v>1.0357908046668E-2</v>
      </c>
      <c r="E100" s="9">
        <v>1.27582727708897E-2</v>
      </c>
      <c r="F100" s="8">
        <v>0</v>
      </c>
      <c r="G100" s="8">
        <v>0.45939999999999998</v>
      </c>
      <c r="H100" s="8">
        <v>0</v>
      </c>
      <c r="I100" s="8">
        <v>0.4924</v>
      </c>
      <c r="J100" s="8">
        <v>0.45939999999999998</v>
      </c>
      <c r="K100" s="8">
        <v>0.4924</v>
      </c>
      <c r="L100" s="8">
        <v>107.2094</v>
      </c>
      <c r="M100" s="8">
        <v>120.39239999999999</v>
      </c>
      <c r="N100" s="10">
        <v>1.1231850117096001</v>
      </c>
      <c r="O100" s="10">
        <v>1.1144207265719701</v>
      </c>
      <c r="P100" s="10">
        <v>1.11992258835517</v>
      </c>
      <c r="Q100" s="10">
        <v>1.11793349898372</v>
      </c>
      <c r="R100" s="8">
        <v>118.96441256155801</v>
      </c>
      <c r="S100" s="8">
        <v>119.49255942012201</v>
      </c>
      <c r="T100" s="8">
        <v>119.277606507526</v>
      </c>
      <c r="U100" s="9">
        <v>-7.8336677520851102E-3</v>
      </c>
      <c r="V100" s="9">
        <v>-3.4039568671593401E-3</v>
      </c>
      <c r="W100" s="9">
        <v>-5.2044579459316603E-3</v>
      </c>
      <c r="X100" s="10">
        <v>1.1229649638930901</v>
      </c>
      <c r="Y100" s="10">
        <v>1.1140664646848899</v>
      </c>
      <c r="Z100" s="10">
        <v>1.11971267719045</v>
      </c>
      <c r="AA100" s="10">
        <v>1.1177564287604</v>
      </c>
      <c r="AB100" s="8">
        <v>119.438397238988</v>
      </c>
      <c r="AC100" s="8">
        <v>119.984532581461</v>
      </c>
      <c r="AD100" s="8">
        <v>119.77305391437299</v>
      </c>
      <c r="AE100" s="9">
        <v>-7.9556737814886602E-3</v>
      </c>
      <c r="AF100" s="9">
        <v>-3.3935686389342198E-3</v>
      </c>
      <c r="AG100" s="9">
        <v>-5.1576731665425E-3</v>
      </c>
      <c r="AH100" s="12"/>
      <c r="AZ100" s="9"/>
      <c r="BB100">
        <f t="shared" si="26"/>
        <v>1</v>
      </c>
      <c r="BC100">
        <f t="shared" si="27"/>
        <v>0</v>
      </c>
      <c r="BD100">
        <f t="shared" si="28"/>
        <v>0</v>
      </c>
      <c r="BE100">
        <f t="shared" si="24"/>
        <v>1</v>
      </c>
      <c r="BF100">
        <f t="shared" si="29"/>
        <v>0</v>
      </c>
      <c r="BG100" s="9">
        <f t="shared" si="30"/>
        <v>0</v>
      </c>
      <c r="BH100" s="9">
        <f t="shared" si="31"/>
        <v>0</v>
      </c>
      <c r="BI100" s="9">
        <f t="shared" si="32"/>
        <v>0</v>
      </c>
      <c r="BJ100" s="12">
        <f t="shared" si="33"/>
        <v>2.4681547557358845E-2</v>
      </c>
      <c r="BL100" s="9"/>
      <c r="BN100">
        <f t="shared" si="34"/>
        <v>0</v>
      </c>
      <c r="BO100">
        <f t="shared" si="35"/>
        <v>1</v>
      </c>
      <c r="BP100">
        <f t="shared" si="36"/>
        <v>0</v>
      </c>
      <c r="BQ100">
        <f t="shared" si="25"/>
        <v>1</v>
      </c>
      <c r="BR100">
        <f t="shared" si="37"/>
        <v>0</v>
      </c>
      <c r="BS100" s="9">
        <f t="shared" si="38"/>
        <v>0</v>
      </c>
      <c r="BT100" s="9">
        <f t="shared" si="39"/>
        <v>0</v>
      </c>
      <c r="BU100" s="9">
        <f t="shared" si="40"/>
        <v>0</v>
      </c>
      <c r="BV100" s="12">
        <f t="shared" si="41"/>
        <v>1.1044618033177373E-2</v>
      </c>
      <c r="BX100" s="12">
        <f t="shared" si="42"/>
        <v>0</v>
      </c>
      <c r="BY100" s="12">
        <f t="shared" si="43"/>
        <v>3.5726165590536214E-2</v>
      </c>
    </row>
    <row r="101" spans="1:77" x14ac:dyDescent="0.3">
      <c r="A101" s="1">
        <v>46169</v>
      </c>
      <c r="B101" s="8">
        <v>106.91</v>
      </c>
      <c r="C101" s="8">
        <v>119.94</v>
      </c>
      <c r="D101" s="9">
        <v>1.4977069166745101E-3</v>
      </c>
      <c r="E101" s="9">
        <v>3.3355570689512498E-4</v>
      </c>
      <c r="F101" s="8">
        <v>0</v>
      </c>
      <c r="G101" s="8">
        <v>0.45939999999999998</v>
      </c>
      <c r="H101" s="8">
        <v>0</v>
      </c>
      <c r="I101" s="8">
        <v>0.4924</v>
      </c>
      <c r="J101" s="8">
        <v>0.45939999999999998</v>
      </c>
      <c r="K101" s="8">
        <v>0.4924</v>
      </c>
      <c r="L101" s="8">
        <v>107.3694</v>
      </c>
      <c r="M101" s="8">
        <v>120.4324</v>
      </c>
      <c r="N101" s="10">
        <v>1.1218782153212901</v>
      </c>
      <c r="O101" s="10">
        <v>1.1144207265719701</v>
      </c>
      <c r="P101" s="10">
        <v>1.1205180045824601</v>
      </c>
      <c r="Q101" s="10">
        <v>1.1185166706149701</v>
      </c>
      <c r="R101" s="8">
        <v>119.14271987780999</v>
      </c>
      <c r="S101" s="8">
        <v>119.730923921051</v>
      </c>
      <c r="T101" s="8">
        <v>119.51827037635</v>
      </c>
      <c r="U101" s="9">
        <v>-6.6695165423056599E-3</v>
      </c>
      <c r="V101" s="9">
        <v>-1.7446933367003001E-3</v>
      </c>
      <c r="W101" s="9">
        <v>-3.5223678766484298E-3</v>
      </c>
      <c r="X101" s="10">
        <v>1.1216640867882199</v>
      </c>
      <c r="Y101" s="10">
        <v>1.1140664646848899</v>
      </c>
      <c r="Z101" s="10">
        <v>1.1203059221578799</v>
      </c>
      <c r="AA101" s="10">
        <v>1.1183292401234</v>
      </c>
      <c r="AB101" s="8">
        <v>119.616647873338</v>
      </c>
      <c r="AC101" s="8">
        <v>120.222878322333</v>
      </c>
      <c r="AD101" s="8">
        <v>120.012837102147</v>
      </c>
      <c r="AE101" s="9">
        <v>-6.7965715680389201E-3</v>
      </c>
      <c r="AF101" s="9">
        <v>-1.7412602130843699E-3</v>
      </c>
      <c r="AG101" s="9">
        <v>-3.4898867512690398E-3</v>
      </c>
      <c r="AH101" s="12"/>
      <c r="AZ101" s="9"/>
      <c r="BB101">
        <f t="shared" si="26"/>
        <v>0</v>
      </c>
      <c r="BC101">
        <f t="shared" si="27"/>
        <v>0</v>
      </c>
      <c r="BD101">
        <f t="shared" si="28"/>
        <v>1</v>
      </c>
      <c r="BE101">
        <f t="shared" si="24"/>
        <v>1</v>
      </c>
      <c r="BF101">
        <f t="shared" si="29"/>
        <v>1</v>
      </c>
      <c r="BG101" s="9">
        <f t="shared" si="30"/>
        <v>1.4977069166745101E-3</v>
      </c>
      <c r="BH101" s="9">
        <f t="shared" si="31"/>
        <v>-3.3355570689512498E-4</v>
      </c>
      <c r="BI101" s="9">
        <f t="shared" si="32"/>
        <v>1.164151209779385E-3</v>
      </c>
      <c r="BJ101" s="12">
        <f t="shared" si="33"/>
        <v>2.5845698767138228E-2</v>
      </c>
      <c r="BL101" s="9"/>
      <c r="BN101">
        <f t="shared" si="34"/>
        <v>0</v>
      </c>
      <c r="BO101">
        <f t="shared" si="35"/>
        <v>1</v>
      </c>
      <c r="BP101">
        <f t="shared" si="36"/>
        <v>0</v>
      </c>
      <c r="BQ101">
        <f t="shared" si="25"/>
        <v>1</v>
      </c>
      <c r="BR101">
        <f t="shared" si="37"/>
        <v>0</v>
      </c>
      <c r="BS101" s="9">
        <f t="shared" si="38"/>
        <v>0</v>
      </c>
      <c r="BT101" s="9">
        <f t="shared" si="39"/>
        <v>0</v>
      </c>
      <c r="BU101" s="9">
        <f t="shared" si="40"/>
        <v>0</v>
      </c>
      <c r="BV101" s="12">
        <f t="shared" si="41"/>
        <v>1.1044618033177373E-2</v>
      </c>
      <c r="BX101" s="12">
        <f t="shared" si="42"/>
        <v>1.164151209779385E-3</v>
      </c>
      <c r="BY101" s="12">
        <f t="shared" si="43"/>
        <v>3.6890316800315598E-2</v>
      </c>
    </row>
    <row r="102" spans="1:77" x14ac:dyDescent="0.3">
      <c r="A102" s="1">
        <v>46170</v>
      </c>
      <c r="B102" s="8">
        <v>107.72</v>
      </c>
      <c r="C102" s="8">
        <v>120.41</v>
      </c>
      <c r="D102" s="9">
        <v>7.5479089179896998E-3</v>
      </c>
      <c r="E102" s="9">
        <v>3.9109681637638704E-3</v>
      </c>
      <c r="F102" s="8">
        <v>0</v>
      </c>
      <c r="G102" s="8">
        <v>0.45939999999999998</v>
      </c>
      <c r="H102" s="8">
        <v>0</v>
      </c>
      <c r="I102" s="8">
        <v>0.4924</v>
      </c>
      <c r="J102" s="8">
        <v>0.45939999999999998</v>
      </c>
      <c r="K102" s="8">
        <v>0.4924</v>
      </c>
      <c r="L102" s="8">
        <v>108.1794</v>
      </c>
      <c r="M102" s="8">
        <v>120.9024</v>
      </c>
      <c r="N102" s="10">
        <v>1.11780542146305</v>
      </c>
      <c r="O102" s="10">
        <v>1.1144207265719701</v>
      </c>
      <c r="P102" s="10">
        <v>1.1204350989732099</v>
      </c>
      <c r="Q102" s="10">
        <v>1.1186776183798499</v>
      </c>
      <c r="R102" s="8">
        <v>120.04540066633299</v>
      </c>
      <c r="S102" s="8">
        <v>120.702199453623</v>
      </c>
      <c r="T102" s="8">
        <v>120.48661575864401</v>
      </c>
      <c r="U102" s="9">
        <v>-3.03257578807989E-3</v>
      </c>
      <c r="V102" s="9">
        <v>2.4237645157130202E-3</v>
      </c>
      <c r="W102" s="9">
        <v>6.3608831520336302E-4</v>
      </c>
      <c r="X102" s="10">
        <v>1.1176101919589101</v>
      </c>
      <c r="Y102" s="10">
        <v>1.1140664646848899</v>
      </c>
      <c r="Z102" s="10">
        <v>1.1202236821429301</v>
      </c>
      <c r="AA102" s="10">
        <v>1.11848150154755</v>
      </c>
      <c r="AB102" s="8">
        <v>120.51904170973199</v>
      </c>
      <c r="AC102" s="8">
        <v>121.194022475487</v>
      </c>
      <c r="AD102" s="8">
        <v>120.980186199006</v>
      </c>
      <c r="AE102" s="9">
        <v>-3.1758456064591499E-3</v>
      </c>
      <c r="AF102" s="9">
        <v>2.40914436944396E-3</v>
      </c>
      <c r="AG102" s="9">
        <v>6.4317322639962304E-4</v>
      </c>
      <c r="AH102" s="12"/>
      <c r="AZ102" s="9"/>
      <c r="BB102">
        <f t="shared" si="26"/>
        <v>0</v>
      </c>
      <c r="BC102">
        <f t="shared" si="27"/>
        <v>1</v>
      </c>
      <c r="BD102">
        <f t="shared" si="28"/>
        <v>1</v>
      </c>
      <c r="BE102">
        <f t="shared" si="24"/>
        <v>1</v>
      </c>
      <c r="BF102">
        <f t="shared" si="29"/>
        <v>1</v>
      </c>
      <c r="BG102" s="9">
        <f t="shared" si="30"/>
        <v>7.5479089179896998E-3</v>
      </c>
      <c r="BH102" s="9">
        <f t="shared" si="31"/>
        <v>-3.9109681637638704E-3</v>
      </c>
      <c r="BI102" s="9">
        <f t="shared" si="32"/>
        <v>3.6369407542258293E-3</v>
      </c>
      <c r="BJ102" s="12">
        <f t="shared" si="33"/>
        <v>2.9482639521364058E-2</v>
      </c>
      <c r="BL102" s="9"/>
      <c r="BN102">
        <f t="shared" si="34"/>
        <v>0</v>
      </c>
      <c r="BO102">
        <f t="shared" si="35"/>
        <v>1</v>
      </c>
      <c r="BP102">
        <f t="shared" si="36"/>
        <v>0</v>
      </c>
      <c r="BQ102">
        <f t="shared" si="25"/>
        <v>1</v>
      </c>
      <c r="BR102">
        <f t="shared" si="37"/>
        <v>0</v>
      </c>
      <c r="BS102" s="9">
        <f t="shared" si="38"/>
        <v>0</v>
      </c>
      <c r="BT102" s="9">
        <f t="shared" si="39"/>
        <v>0</v>
      </c>
      <c r="BU102" s="9">
        <f t="shared" si="40"/>
        <v>0</v>
      </c>
      <c r="BV102" s="12">
        <f t="shared" si="41"/>
        <v>1.1044618033177373E-2</v>
      </c>
      <c r="BX102" s="12">
        <f t="shared" si="42"/>
        <v>3.6369407542258293E-3</v>
      </c>
      <c r="BY102" s="12">
        <f t="shared" si="43"/>
        <v>4.0527257554541424E-2</v>
      </c>
    </row>
    <row r="103" spans="1:77" x14ac:dyDescent="0.3">
      <c r="A103" s="1">
        <v>46171</v>
      </c>
      <c r="B103" s="8">
        <v>108.1</v>
      </c>
      <c r="C103" s="8">
        <v>120.68</v>
      </c>
      <c r="D103" s="9">
        <v>3.52145670176446E-3</v>
      </c>
      <c r="E103" s="9">
        <v>2.2398283867328399E-3</v>
      </c>
      <c r="F103" s="8">
        <v>0</v>
      </c>
      <c r="G103" s="8">
        <v>0.45939999999999998</v>
      </c>
      <c r="H103" s="8">
        <v>0</v>
      </c>
      <c r="I103" s="8">
        <v>0.4924</v>
      </c>
      <c r="J103" s="8">
        <v>0.45939999999999998</v>
      </c>
      <c r="K103" s="8">
        <v>0.4924</v>
      </c>
      <c r="L103" s="8">
        <v>108.5594</v>
      </c>
      <c r="M103" s="8">
        <v>121.1724</v>
      </c>
      <c r="N103" s="10">
        <v>1.1163737280296</v>
      </c>
      <c r="O103" s="10">
        <v>1.1144207265719701</v>
      </c>
      <c r="P103" s="10">
        <v>1.12023987348396</v>
      </c>
      <c r="Q103" s="10">
        <v>1.1187213641637499</v>
      </c>
      <c r="R103" s="8">
        <v>120.46888054243</v>
      </c>
      <c r="S103" s="8">
        <v>121.11903419900401</v>
      </c>
      <c r="T103" s="8">
        <v>120.929050546862</v>
      </c>
      <c r="U103" s="9">
        <v>-1.75094747304832E-3</v>
      </c>
      <c r="V103" s="9">
        <v>3.6314014480915298E-3</v>
      </c>
      <c r="W103" s="9">
        <v>2.0616002133025798E-3</v>
      </c>
      <c r="X103" s="10">
        <v>1.1161852405227</v>
      </c>
      <c r="Y103" s="10">
        <v>1.1140664646848899</v>
      </c>
      <c r="Z103" s="10">
        <v>1.12002956406135</v>
      </c>
      <c r="AA103" s="10">
        <v>1.1185170350201099</v>
      </c>
      <c r="AB103" s="8">
        <v>120.94238696631299</v>
      </c>
      <c r="AC103" s="8">
        <v>121.610810799227</v>
      </c>
      <c r="AD103" s="8">
        <v>121.421680719101</v>
      </c>
      <c r="AE103" s="9">
        <v>-1.90003349871236E-3</v>
      </c>
      <c r="AF103" s="9">
        <v>3.6115452490260301E-3</v>
      </c>
      <c r="AG103" s="9">
        <v>2.0551268695452201E-3</v>
      </c>
      <c r="AH103" s="12"/>
      <c r="AZ103" s="9"/>
      <c r="BB103">
        <f t="shared" si="26"/>
        <v>0</v>
      </c>
      <c r="BC103">
        <f t="shared" si="27"/>
        <v>1</v>
      </c>
      <c r="BD103">
        <f t="shared" si="28"/>
        <v>0</v>
      </c>
      <c r="BE103">
        <f t="shared" si="24"/>
        <v>0</v>
      </c>
      <c r="BF103">
        <f t="shared" si="29"/>
        <v>0</v>
      </c>
      <c r="BG103" s="9">
        <f t="shared" si="30"/>
        <v>0</v>
      </c>
      <c r="BH103" s="9">
        <f t="shared" si="31"/>
        <v>0</v>
      </c>
      <c r="BI103" s="9">
        <f t="shared" si="32"/>
        <v>0</v>
      </c>
      <c r="BJ103" s="12">
        <f t="shared" si="33"/>
        <v>2.9482639521364058E-2</v>
      </c>
      <c r="BL103" s="9"/>
      <c r="BN103">
        <f t="shared" si="34"/>
        <v>0</v>
      </c>
      <c r="BO103">
        <f t="shared" si="35"/>
        <v>0</v>
      </c>
      <c r="BP103">
        <f t="shared" si="36"/>
        <v>0</v>
      </c>
      <c r="BQ103">
        <f t="shared" si="25"/>
        <v>0</v>
      </c>
      <c r="BR103">
        <f t="shared" si="37"/>
        <v>0</v>
      </c>
      <c r="BS103" s="9">
        <f t="shared" si="38"/>
        <v>0</v>
      </c>
      <c r="BT103" s="9">
        <f t="shared" si="39"/>
        <v>0</v>
      </c>
      <c r="BU103" s="9">
        <f t="shared" si="40"/>
        <v>0</v>
      </c>
      <c r="BV103" s="12">
        <f t="shared" si="41"/>
        <v>1.1044618033177373E-2</v>
      </c>
      <c r="BX103" s="12">
        <f t="shared" si="42"/>
        <v>0</v>
      </c>
      <c r="BY103" s="12">
        <f t="shared" si="43"/>
        <v>4.0527257554541424E-2</v>
      </c>
    </row>
    <row r="104" spans="1:77" x14ac:dyDescent="0.3">
      <c r="A104" s="1">
        <v>46174</v>
      </c>
      <c r="B104" s="8">
        <v>109.43</v>
      </c>
      <c r="C104" s="8">
        <v>122.63</v>
      </c>
      <c r="D104" s="9">
        <v>1.2228350785189201E-2</v>
      </c>
      <c r="E104" s="9">
        <v>1.60292774830741E-2</v>
      </c>
      <c r="F104" s="8">
        <v>0.1552</v>
      </c>
      <c r="G104" s="8">
        <v>0.61460000000000004</v>
      </c>
      <c r="H104" s="8">
        <v>0.1295</v>
      </c>
      <c r="I104" s="8">
        <v>0.62190000000000001</v>
      </c>
      <c r="J104" s="8">
        <v>0.61460000000000004</v>
      </c>
      <c r="K104" s="8">
        <v>0.62190000000000001</v>
      </c>
      <c r="L104" s="8">
        <v>110.0446</v>
      </c>
      <c r="M104" s="8">
        <v>123.251899999999</v>
      </c>
      <c r="N104" s="10">
        <v>1.1206250571141301</v>
      </c>
      <c r="O104" s="10">
        <v>1.1144207265719701</v>
      </c>
      <c r="P104" s="10">
        <v>1.1201588385255199</v>
      </c>
      <c r="Q104" s="10">
        <v>1.1190001874523601</v>
      </c>
      <c r="R104" s="8">
        <v>121.951060108771</v>
      </c>
      <c r="S104" s="8">
        <v>122.58784935535</v>
      </c>
      <c r="T104" s="8">
        <v>122.421678880439</v>
      </c>
      <c r="U104" s="9">
        <v>-5.5518741709334601E-3</v>
      </c>
      <c r="V104" s="9">
        <v>-3.43781214746613E-4</v>
      </c>
      <c r="W104" s="9">
        <v>-1.7002223424516299E-3</v>
      </c>
      <c r="X104" s="10">
        <v>1.12001770191358</v>
      </c>
      <c r="Y104" s="10">
        <v>1.1140664646848899</v>
      </c>
      <c r="Z104" s="10">
        <v>1.1199095042879801</v>
      </c>
      <c r="AA104" s="10">
        <v>1.11877519124217</v>
      </c>
      <c r="AB104" s="8">
        <v>122.596998479663</v>
      </c>
      <c r="AC104" s="8">
        <v>123.253205365306</v>
      </c>
      <c r="AD104" s="8">
        <v>123.086759711974</v>
      </c>
      <c r="AE104" s="9">
        <v>-5.3276876444050903E-3</v>
      </c>
      <c r="AF104" s="9">
        <v>1.05909798867157E-5</v>
      </c>
      <c r="AG104" s="9">
        <v>-1.3407583929918501E-3</v>
      </c>
      <c r="AH104" s="12"/>
      <c r="AZ104" s="9"/>
      <c r="BB104">
        <f t="shared" si="26"/>
        <v>0</v>
      </c>
      <c r="BC104">
        <f t="shared" si="27"/>
        <v>1</v>
      </c>
      <c r="BD104">
        <f t="shared" si="28"/>
        <v>0</v>
      </c>
      <c r="BE104">
        <f t="shared" si="24"/>
        <v>1</v>
      </c>
      <c r="BF104">
        <f t="shared" si="29"/>
        <v>0</v>
      </c>
      <c r="BG104" s="9">
        <f t="shared" si="30"/>
        <v>0</v>
      </c>
      <c r="BH104" s="9">
        <f t="shared" si="31"/>
        <v>0</v>
      </c>
      <c r="BI104" s="9">
        <f t="shared" si="32"/>
        <v>0</v>
      </c>
      <c r="BJ104" s="12">
        <f t="shared" si="33"/>
        <v>2.9482639521364058E-2</v>
      </c>
      <c r="BL104" s="9"/>
      <c r="BN104">
        <f t="shared" si="34"/>
        <v>0</v>
      </c>
      <c r="BO104">
        <f t="shared" si="35"/>
        <v>1</v>
      </c>
      <c r="BP104">
        <f t="shared" si="36"/>
        <v>0</v>
      </c>
      <c r="BQ104">
        <f t="shared" si="25"/>
        <v>1</v>
      </c>
      <c r="BR104">
        <f t="shared" si="37"/>
        <v>0</v>
      </c>
      <c r="BS104" s="9">
        <f t="shared" si="38"/>
        <v>0</v>
      </c>
      <c r="BT104" s="9">
        <f t="shared" si="39"/>
        <v>0</v>
      </c>
      <c r="BU104" s="9">
        <f t="shared" si="40"/>
        <v>0</v>
      </c>
      <c r="BV104" s="12">
        <f t="shared" si="41"/>
        <v>1.1044618033177373E-2</v>
      </c>
      <c r="BX104" s="12">
        <f t="shared" si="42"/>
        <v>0</v>
      </c>
      <c r="BY104" s="12">
        <f t="shared" si="43"/>
        <v>4.0527257554541424E-2</v>
      </c>
    </row>
    <row r="105" spans="1:77" x14ac:dyDescent="0.3">
      <c r="A105" s="1">
        <v>46175</v>
      </c>
      <c r="B105" s="8">
        <v>110.74</v>
      </c>
      <c r="C105" s="8">
        <v>123.9</v>
      </c>
      <c r="D105" s="9">
        <v>1.19000359644694E-2</v>
      </c>
      <c r="E105" s="9">
        <v>1.0303096861162099E-2</v>
      </c>
      <c r="F105" s="8">
        <v>0</v>
      </c>
      <c r="G105" s="8">
        <v>0.61460000000000004</v>
      </c>
      <c r="H105" s="8">
        <v>0</v>
      </c>
      <c r="I105" s="8">
        <v>0.62190000000000001</v>
      </c>
      <c r="J105" s="8">
        <v>0.61460000000000004</v>
      </c>
      <c r="K105" s="8">
        <v>0.62190000000000001</v>
      </c>
      <c r="L105" s="8">
        <v>111.354599999999</v>
      </c>
      <c r="M105" s="8">
        <v>124.5219</v>
      </c>
      <c r="N105" s="10">
        <v>1.1188369152970901</v>
      </c>
      <c r="O105" s="10">
        <v>1.1144207265719701</v>
      </c>
      <c r="P105" s="10">
        <v>1.11989008984524</v>
      </c>
      <c r="Q105" s="10">
        <v>1.11898616522269</v>
      </c>
      <c r="R105" s="8">
        <v>123.41095126058001</v>
      </c>
      <c r="S105" s="8">
        <v>124.046389778316</v>
      </c>
      <c r="T105" s="8">
        <v>123.918080758475</v>
      </c>
      <c r="U105" s="9">
        <v>-3.9549350676261396E-3</v>
      </c>
      <c r="V105" s="9">
        <v>1.18081812328241E-3</v>
      </c>
      <c r="W105" s="9">
        <v>1.4591960725389799E-4</v>
      </c>
      <c r="X105" s="10">
        <v>1.11824657445673</v>
      </c>
      <c r="Y105" s="10">
        <v>1.1140664646848899</v>
      </c>
      <c r="Z105" s="10">
        <v>1.1196038164161299</v>
      </c>
      <c r="AA105" s="10">
        <v>1.1187422092419701</v>
      </c>
      <c r="AB105" s="8">
        <v>124.0564255484</v>
      </c>
      <c r="AC105" s="8">
        <v>124.707074886187</v>
      </c>
      <c r="AD105" s="8">
        <v>124.58076391069601</v>
      </c>
      <c r="AE105" s="9">
        <v>-3.7450972012542799E-3</v>
      </c>
      <c r="AF105" s="9">
        <v>1.4859822807199001E-3</v>
      </c>
      <c r="AG105" s="9">
        <v>4.7260764592322999E-4</v>
      </c>
      <c r="AH105" s="12"/>
      <c r="AZ105" s="9"/>
      <c r="BB105">
        <f t="shared" si="26"/>
        <v>0</v>
      </c>
      <c r="BC105">
        <f t="shared" si="27"/>
        <v>1</v>
      </c>
      <c r="BD105">
        <f t="shared" si="28"/>
        <v>0</v>
      </c>
      <c r="BE105">
        <f t="shared" si="24"/>
        <v>1</v>
      </c>
      <c r="BF105">
        <f t="shared" si="29"/>
        <v>0</v>
      </c>
      <c r="BG105" s="9">
        <f t="shared" si="30"/>
        <v>0</v>
      </c>
      <c r="BH105" s="9">
        <f t="shared" si="31"/>
        <v>0</v>
      </c>
      <c r="BI105" s="9">
        <f t="shared" si="32"/>
        <v>0</v>
      </c>
      <c r="BJ105" s="12">
        <f t="shared" si="33"/>
        <v>2.9482639521364058E-2</v>
      </c>
      <c r="BL105" s="9"/>
      <c r="BN105">
        <f t="shared" si="34"/>
        <v>0</v>
      </c>
      <c r="BO105">
        <f t="shared" si="35"/>
        <v>1</v>
      </c>
      <c r="BP105">
        <f t="shared" si="36"/>
        <v>0</v>
      </c>
      <c r="BQ105">
        <f t="shared" si="25"/>
        <v>1</v>
      </c>
      <c r="BR105">
        <f t="shared" si="37"/>
        <v>0</v>
      </c>
      <c r="BS105" s="9">
        <f t="shared" si="38"/>
        <v>0</v>
      </c>
      <c r="BT105" s="9">
        <f t="shared" si="39"/>
        <v>0</v>
      </c>
      <c r="BU105" s="9">
        <f t="shared" si="40"/>
        <v>0</v>
      </c>
      <c r="BV105" s="12">
        <f t="shared" si="41"/>
        <v>1.1044618033177373E-2</v>
      </c>
      <c r="BX105" s="12">
        <f t="shared" si="42"/>
        <v>0</v>
      </c>
      <c r="BY105" s="12">
        <f t="shared" si="43"/>
        <v>4.0527257554541424E-2</v>
      </c>
    </row>
    <row r="106" spans="1:77" x14ac:dyDescent="0.3">
      <c r="A106" s="1">
        <v>46176</v>
      </c>
      <c r="B106" s="8">
        <v>109.46</v>
      </c>
      <c r="C106" s="8">
        <v>122.7</v>
      </c>
      <c r="D106" s="9">
        <v>-1.1625925679049E-2</v>
      </c>
      <c r="E106" s="9">
        <v>-9.7324369182310005E-3</v>
      </c>
      <c r="F106" s="8">
        <v>0</v>
      </c>
      <c r="G106" s="8">
        <v>0.61460000000000004</v>
      </c>
      <c r="H106" s="8">
        <v>0</v>
      </c>
      <c r="I106" s="8">
        <v>0.62190000000000001</v>
      </c>
      <c r="J106" s="8">
        <v>0.61460000000000004</v>
      </c>
      <c r="K106" s="8">
        <v>0.62190000000000001</v>
      </c>
      <c r="L106" s="8">
        <v>110.07459999999899</v>
      </c>
      <c r="M106" s="8">
        <v>123.3219</v>
      </c>
      <c r="N106" s="10">
        <v>1.1209574273707199</v>
      </c>
      <c r="O106" s="10">
        <v>1.1144207265719701</v>
      </c>
      <c r="P106" s="10">
        <v>1.12007642219574</v>
      </c>
      <c r="Q106" s="10">
        <v>1.1192544408260601</v>
      </c>
      <c r="R106" s="8">
        <v>121.98449273056799</v>
      </c>
      <c r="S106" s="8">
        <v>122.58316923446</v>
      </c>
      <c r="T106" s="8">
        <v>122.484225645275</v>
      </c>
      <c r="U106" s="9">
        <v>-5.8484238284442699E-3</v>
      </c>
      <c r="V106" s="9">
        <v>-9.5261957630285595E-4</v>
      </c>
      <c r="W106" s="9">
        <v>-1.76010026633105E-3</v>
      </c>
      <c r="X106" s="10">
        <v>1.12034838191553</v>
      </c>
      <c r="Y106" s="10">
        <v>1.1140664646848899</v>
      </c>
      <c r="Z106" s="10">
        <v>1.1197503442773999</v>
      </c>
      <c r="AA106" s="10">
        <v>1.11898966415627</v>
      </c>
      <c r="AB106" s="8">
        <v>122.630420473603</v>
      </c>
      <c r="AC106" s="8">
        <v>123.23994225047799</v>
      </c>
      <c r="AD106" s="8">
        <v>123.145101185426</v>
      </c>
      <c r="AE106" s="9">
        <v>-5.6228894033836102E-3</v>
      </c>
      <c r="AF106" s="9">
        <v>-6.6480483591057097E-4</v>
      </c>
      <c r="AG106" s="9">
        <v>-1.4346654444434199E-3</v>
      </c>
      <c r="AH106" s="12"/>
      <c r="AZ106" s="9"/>
      <c r="BB106">
        <f t="shared" si="26"/>
        <v>0</v>
      </c>
      <c r="BC106">
        <f t="shared" si="27"/>
        <v>1</v>
      </c>
      <c r="BD106">
        <f t="shared" si="28"/>
        <v>0</v>
      </c>
      <c r="BE106">
        <f t="shared" si="24"/>
        <v>1</v>
      </c>
      <c r="BF106">
        <f t="shared" si="29"/>
        <v>0</v>
      </c>
      <c r="BG106" s="9">
        <f t="shared" si="30"/>
        <v>0</v>
      </c>
      <c r="BH106" s="9">
        <f t="shared" si="31"/>
        <v>0</v>
      </c>
      <c r="BI106" s="9">
        <f t="shared" si="32"/>
        <v>0</v>
      </c>
      <c r="BJ106" s="12">
        <f t="shared" si="33"/>
        <v>2.9482639521364058E-2</v>
      </c>
      <c r="BL106" s="9"/>
      <c r="BN106">
        <f t="shared" si="34"/>
        <v>0</v>
      </c>
      <c r="BO106">
        <f t="shared" si="35"/>
        <v>1</v>
      </c>
      <c r="BP106">
        <f t="shared" si="36"/>
        <v>0</v>
      </c>
      <c r="BQ106">
        <f t="shared" si="25"/>
        <v>1</v>
      </c>
      <c r="BR106">
        <f t="shared" si="37"/>
        <v>0</v>
      </c>
      <c r="BS106" s="9">
        <f t="shared" si="38"/>
        <v>0</v>
      </c>
      <c r="BT106" s="9">
        <f t="shared" si="39"/>
        <v>0</v>
      </c>
      <c r="BU106" s="9">
        <f t="shared" si="40"/>
        <v>0</v>
      </c>
      <c r="BV106" s="12">
        <f t="shared" si="41"/>
        <v>1.1044618033177373E-2</v>
      </c>
      <c r="BX106" s="12">
        <f t="shared" si="42"/>
        <v>0</v>
      </c>
      <c r="BY106" s="12">
        <f t="shared" si="43"/>
        <v>4.0527257554541424E-2</v>
      </c>
    </row>
    <row r="107" spans="1:77" x14ac:dyDescent="0.3">
      <c r="A107" s="1">
        <v>46177</v>
      </c>
      <c r="B107" s="8">
        <v>109.66</v>
      </c>
      <c r="C107" s="8">
        <v>122.8</v>
      </c>
      <c r="D107" s="9">
        <v>1.82548426013036E-3</v>
      </c>
      <c r="E107" s="9">
        <v>8.1466399617628304E-4</v>
      </c>
      <c r="F107" s="8">
        <v>0</v>
      </c>
      <c r="G107" s="8">
        <v>0.61460000000000004</v>
      </c>
      <c r="H107" s="8">
        <v>0</v>
      </c>
      <c r="I107" s="8">
        <v>0.62190000000000001</v>
      </c>
      <c r="J107" s="8">
        <v>0.61460000000000004</v>
      </c>
      <c r="K107" s="8">
        <v>0.62190000000000001</v>
      </c>
      <c r="L107" s="8">
        <v>110.274599999999</v>
      </c>
      <c r="M107" s="8">
        <v>123.42189999999999</v>
      </c>
      <c r="N107" s="10">
        <v>1.11982491336859</v>
      </c>
      <c r="O107" s="10">
        <v>1.1144207265719701</v>
      </c>
      <c r="P107" s="10">
        <v>1.11997473159098</v>
      </c>
      <c r="Q107" s="10">
        <v>1.1192636704036301</v>
      </c>
      <c r="R107" s="8">
        <v>122.207376875883</v>
      </c>
      <c r="S107" s="8">
        <v>122.82758045798499</v>
      </c>
      <c r="T107" s="8">
        <v>122.73744198098601</v>
      </c>
      <c r="U107" s="9">
        <v>-4.8376035644900504E-3</v>
      </c>
      <c r="V107" s="9">
        <v>2.2457134536705401E-4</v>
      </c>
      <c r="W107" s="9">
        <v>-5.0955992586930801E-4</v>
      </c>
      <c r="X107" s="10">
        <v>1.1192232844190699</v>
      </c>
      <c r="Y107" s="10">
        <v>1.1140664646848899</v>
      </c>
      <c r="Z107" s="10">
        <v>1.1196102295652399</v>
      </c>
      <c r="AA107" s="10">
        <v>1.1189791613995601</v>
      </c>
      <c r="AB107" s="8">
        <v>122.85323376654</v>
      </c>
      <c r="AC107" s="8">
        <v>123.480021315052</v>
      </c>
      <c r="AD107" s="8">
        <v>123.396137618968</v>
      </c>
      <c r="AE107" s="9">
        <v>-4.6181458553006599E-3</v>
      </c>
      <c r="AF107" s="9">
        <v>4.70804891404931E-4</v>
      </c>
      <c r="AG107" s="9">
        <v>-2.0875606478374601E-4</v>
      </c>
      <c r="AH107" s="12"/>
      <c r="AZ107" s="9"/>
      <c r="BB107">
        <f t="shared" si="26"/>
        <v>0</v>
      </c>
      <c r="BC107">
        <f t="shared" si="27"/>
        <v>1</v>
      </c>
      <c r="BD107">
        <f t="shared" si="28"/>
        <v>0</v>
      </c>
      <c r="BE107">
        <f t="shared" si="24"/>
        <v>1</v>
      </c>
      <c r="BF107">
        <f t="shared" si="29"/>
        <v>0</v>
      </c>
      <c r="BG107" s="9">
        <f t="shared" si="30"/>
        <v>0</v>
      </c>
      <c r="BH107" s="9">
        <f t="shared" si="31"/>
        <v>0</v>
      </c>
      <c r="BI107" s="9">
        <f t="shared" si="32"/>
        <v>0</v>
      </c>
      <c r="BJ107" s="12">
        <f t="shared" si="33"/>
        <v>2.9482639521364058E-2</v>
      </c>
      <c r="BL107" s="9"/>
      <c r="BN107">
        <f t="shared" si="34"/>
        <v>0</v>
      </c>
      <c r="BO107">
        <f t="shared" si="35"/>
        <v>1</v>
      </c>
      <c r="BP107">
        <f t="shared" si="36"/>
        <v>0</v>
      </c>
      <c r="BQ107">
        <f t="shared" si="25"/>
        <v>1</v>
      </c>
      <c r="BR107">
        <f t="shared" si="37"/>
        <v>0</v>
      </c>
      <c r="BS107" s="9">
        <f t="shared" si="38"/>
        <v>0</v>
      </c>
      <c r="BT107" s="9">
        <f t="shared" si="39"/>
        <v>0</v>
      </c>
      <c r="BU107" s="9">
        <f t="shared" si="40"/>
        <v>0</v>
      </c>
      <c r="BV107" s="12">
        <f t="shared" si="41"/>
        <v>1.1044618033177373E-2</v>
      </c>
      <c r="BX107" s="12">
        <f t="shared" si="42"/>
        <v>0</v>
      </c>
      <c r="BY107" s="12">
        <f t="shared" si="43"/>
        <v>4.0527257554541424E-2</v>
      </c>
    </row>
    <row r="108" spans="1:77" x14ac:dyDescent="0.3">
      <c r="A108" s="1">
        <v>46178</v>
      </c>
      <c r="B108" s="8">
        <v>105.23</v>
      </c>
      <c r="C108" s="8">
        <v>117.65</v>
      </c>
      <c r="D108" s="9">
        <v>-4.1236239223181502E-2</v>
      </c>
      <c r="E108" s="9">
        <v>-4.2842900539670499E-2</v>
      </c>
      <c r="F108" s="8">
        <v>0</v>
      </c>
      <c r="G108" s="8">
        <v>0.61460000000000004</v>
      </c>
      <c r="H108" s="8">
        <v>0</v>
      </c>
      <c r="I108" s="8">
        <v>0.62190000000000001</v>
      </c>
      <c r="J108" s="8">
        <v>0.61460000000000004</v>
      </c>
      <c r="K108" s="8">
        <v>0.62190000000000001</v>
      </c>
      <c r="L108" s="8">
        <v>105.8446</v>
      </c>
      <c r="M108" s="8">
        <v>118.2719</v>
      </c>
      <c r="N108" s="10">
        <v>1.1180271785612399</v>
      </c>
      <c r="O108" s="10">
        <v>1.1144207265719701</v>
      </c>
      <c r="P108" s="10">
        <v>1.1198006059432699</v>
      </c>
      <c r="Q108" s="10">
        <v>1.11932977808505</v>
      </c>
      <c r="R108" s="8">
        <v>117.27049305716901</v>
      </c>
      <c r="S108" s="8">
        <v>117.85494100531901</v>
      </c>
      <c r="T108" s="8">
        <v>117.780116036574</v>
      </c>
      <c r="U108" s="9">
        <v>-3.2309422480010798E-3</v>
      </c>
      <c r="V108" s="9">
        <v>1.7404395523735799E-3</v>
      </c>
      <c r="W108" s="9">
        <v>1.10534754017491E-3</v>
      </c>
      <c r="X108" s="10">
        <v>1.11741080792029</v>
      </c>
      <c r="Y108" s="10">
        <v>1.1140664646848899</v>
      </c>
      <c r="Z108" s="10">
        <v>1.1193952754558201</v>
      </c>
      <c r="AA108" s="10">
        <v>1.1190242913005799</v>
      </c>
      <c r="AB108" s="8">
        <v>117.917919327986</v>
      </c>
      <c r="AC108" s="8">
        <v>118.504696904241</v>
      </c>
      <c r="AD108" s="8">
        <v>118.437901746672</v>
      </c>
      <c r="AE108" s="9">
        <v>-2.9974275610254401E-3</v>
      </c>
      <c r="AF108" s="9">
        <v>1.9663850422555001E-3</v>
      </c>
      <c r="AG108" s="9">
        <v>1.40257625718222E-3</v>
      </c>
      <c r="AH108" s="12"/>
      <c r="AZ108" s="9"/>
      <c r="BB108">
        <f t="shared" si="26"/>
        <v>0</v>
      </c>
      <c r="BC108">
        <f t="shared" si="27"/>
        <v>1</v>
      </c>
      <c r="BD108">
        <f t="shared" si="28"/>
        <v>0</v>
      </c>
      <c r="BE108">
        <f t="shared" si="24"/>
        <v>1</v>
      </c>
      <c r="BF108">
        <f t="shared" si="29"/>
        <v>0</v>
      </c>
      <c r="BG108" s="9">
        <f t="shared" si="30"/>
        <v>0</v>
      </c>
      <c r="BH108" s="9">
        <f t="shared" si="31"/>
        <v>0</v>
      </c>
      <c r="BI108" s="9">
        <f t="shared" si="32"/>
        <v>0</v>
      </c>
      <c r="BJ108" s="12">
        <f t="shared" si="33"/>
        <v>2.9482639521364058E-2</v>
      </c>
      <c r="BL108" s="9"/>
      <c r="BN108">
        <f t="shared" si="34"/>
        <v>0</v>
      </c>
      <c r="BO108">
        <f t="shared" si="35"/>
        <v>0</v>
      </c>
      <c r="BP108">
        <f t="shared" si="36"/>
        <v>0</v>
      </c>
      <c r="BQ108">
        <f t="shared" si="25"/>
        <v>1</v>
      </c>
      <c r="BR108">
        <f t="shared" si="37"/>
        <v>0</v>
      </c>
      <c r="BS108" s="9">
        <f t="shared" si="38"/>
        <v>0</v>
      </c>
      <c r="BT108" s="9">
        <f t="shared" si="39"/>
        <v>0</v>
      </c>
      <c r="BU108" s="9">
        <f t="shared" si="40"/>
        <v>0</v>
      </c>
      <c r="BV108" s="12">
        <f t="shared" si="41"/>
        <v>1.1044618033177373E-2</v>
      </c>
      <c r="BX108" s="12">
        <f t="shared" si="42"/>
        <v>0</v>
      </c>
      <c r="BY108" s="12">
        <f t="shared" si="43"/>
        <v>4.0527257554541424E-2</v>
      </c>
    </row>
    <row r="109" spans="1:77" x14ac:dyDescent="0.3">
      <c r="A109" s="1">
        <v>46181</v>
      </c>
      <c r="B109" s="8">
        <v>105.56</v>
      </c>
      <c r="C109" s="8">
        <v>118.25</v>
      </c>
      <c r="D109" s="9">
        <v>3.1310808824024199E-3</v>
      </c>
      <c r="E109" s="9">
        <v>5.08691219867088E-3</v>
      </c>
      <c r="F109" s="8">
        <v>0</v>
      </c>
      <c r="G109" s="8">
        <v>0.61460000000000004</v>
      </c>
      <c r="H109" s="8">
        <v>0</v>
      </c>
      <c r="I109" s="8">
        <v>0.62190000000000001</v>
      </c>
      <c r="J109" s="8">
        <v>0.61460000000000004</v>
      </c>
      <c r="K109" s="8">
        <v>0.62190000000000001</v>
      </c>
      <c r="L109" s="8">
        <v>106.1746</v>
      </c>
      <c r="M109" s="8">
        <v>118.8719</v>
      </c>
      <c r="N109" s="10">
        <v>1.1202159909056399</v>
      </c>
      <c r="O109" s="10">
        <v>1.1144207265719701</v>
      </c>
      <c r="P109" s="10">
        <v>1.1197729859140999</v>
      </c>
      <c r="Q109" s="10">
        <v>1.11957061202085</v>
      </c>
      <c r="R109" s="8">
        <v>117.63825189693701</v>
      </c>
      <c r="S109" s="8">
        <v>118.206151963371</v>
      </c>
      <c r="T109" s="8">
        <v>118.156451374657</v>
      </c>
      <c r="U109" s="9">
        <v>-5.18677356426951E-3</v>
      </c>
      <c r="V109" s="9">
        <v>-3.7087668700434698E-4</v>
      </c>
      <c r="W109" s="9">
        <v>-7.9142197415466497E-4</v>
      </c>
      <c r="X109" s="10">
        <v>1.11958886588694</v>
      </c>
      <c r="Y109" s="10">
        <v>1.1140664646848899</v>
      </c>
      <c r="Z109" s="10">
        <v>1.11932600996751</v>
      </c>
      <c r="AA109" s="10">
        <v>1.1192432870367299</v>
      </c>
      <c r="AB109" s="8">
        <v>118.28556126133201</v>
      </c>
      <c r="AC109" s="8">
        <v>118.851345613411</v>
      </c>
      <c r="AD109" s="8">
        <v>118.81195651912201</v>
      </c>
      <c r="AE109" s="9">
        <v>-4.9447310679693003E-3</v>
      </c>
      <c r="AF109" s="9">
        <v>-1.7292702349161999E-4</v>
      </c>
      <c r="AG109" s="9">
        <v>-5.0439674806723798E-4</v>
      </c>
      <c r="AH109" s="12"/>
      <c r="AZ109" s="9"/>
      <c r="BB109">
        <f t="shared" si="26"/>
        <v>0</v>
      </c>
      <c r="BC109">
        <f t="shared" si="27"/>
        <v>1</v>
      </c>
      <c r="BD109">
        <f t="shared" si="28"/>
        <v>0</v>
      </c>
      <c r="BE109">
        <f t="shared" si="24"/>
        <v>1</v>
      </c>
      <c r="BF109">
        <f t="shared" si="29"/>
        <v>0</v>
      </c>
      <c r="BG109" s="9">
        <f t="shared" si="30"/>
        <v>0</v>
      </c>
      <c r="BH109" s="9">
        <f t="shared" si="31"/>
        <v>0</v>
      </c>
      <c r="BI109" s="9">
        <f t="shared" si="32"/>
        <v>0</v>
      </c>
      <c r="BJ109" s="12">
        <f t="shared" si="33"/>
        <v>2.9482639521364058E-2</v>
      </c>
      <c r="BL109" s="9"/>
      <c r="BN109">
        <f t="shared" si="34"/>
        <v>0</v>
      </c>
      <c r="BO109">
        <f t="shared" si="35"/>
        <v>1</v>
      </c>
      <c r="BP109">
        <f t="shared" si="36"/>
        <v>0</v>
      </c>
      <c r="BQ109">
        <f t="shared" si="25"/>
        <v>1</v>
      </c>
      <c r="BR109">
        <f t="shared" si="37"/>
        <v>0</v>
      </c>
      <c r="BS109" s="9">
        <f t="shared" si="38"/>
        <v>0</v>
      </c>
      <c r="BT109" s="9">
        <f t="shared" si="39"/>
        <v>0</v>
      </c>
      <c r="BU109" s="9">
        <f t="shared" si="40"/>
        <v>0</v>
      </c>
      <c r="BV109" s="12">
        <f t="shared" si="41"/>
        <v>1.1044618033177373E-2</v>
      </c>
      <c r="BX109" s="12">
        <f t="shared" si="42"/>
        <v>0</v>
      </c>
      <c r="BY109" s="12">
        <f t="shared" si="43"/>
        <v>4.0527257554541424E-2</v>
      </c>
    </row>
    <row r="110" spans="1:77" x14ac:dyDescent="0.3">
      <c r="A110" s="1">
        <v>46182</v>
      </c>
      <c r="B110" s="8">
        <v>104.68</v>
      </c>
      <c r="C110" s="8">
        <v>117.37</v>
      </c>
      <c r="D110" s="9">
        <v>-8.3714339731781207E-3</v>
      </c>
      <c r="E110" s="9">
        <v>-7.4696892600097098E-3</v>
      </c>
      <c r="F110" s="8">
        <v>0</v>
      </c>
      <c r="G110" s="8">
        <v>0.61460000000000004</v>
      </c>
      <c r="H110" s="8">
        <v>0</v>
      </c>
      <c r="I110" s="8">
        <v>0.62190000000000001</v>
      </c>
      <c r="J110" s="8">
        <v>0.61460000000000004</v>
      </c>
      <c r="K110" s="8">
        <v>0.62190000000000001</v>
      </c>
      <c r="L110" s="8">
        <v>105.2946</v>
      </c>
      <c r="M110" s="8">
        <v>117.9919</v>
      </c>
      <c r="N110" s="10">
        <v>1.1212265953381699</v>
      </c>
      <c r="O110" s="10">
        <v>1.1144207265719701</v>
      </c>
      <c r="P110" s="10">
        <v>1.11957714427695</v>
      </c>
      <c r="Q110" s="10">
        <v>1.1197498663160601</v>
      </c>
      <c r="R110" s="8">
        <v>116.657561657554</v>
      </c>
      <c r="S110" s="8">
        <v>117.217836165488</v>
      </c>
      <c r="T110" s="8">
        <v>117.196651666343</v>
      </c>
      <c r="U110" s="9">
        <v>-6.0885182774378698E-3</v>
      </c>
      <c r="V110" s="9">
        <v>-1.2972868358360401E-3</v>
      </c>
      <c r="W110" s="9">
        <v>-1.47803077703523E-3</v>
      </c>
      <c r="X110" s="10">
        <v>1.12058833026574</v>
      </c>
      <c r="Y110" s="10">
        <v>1.1140664646848899</v>
      </c>
      <c r="Z110" s="10">
        <v>1.1190883466047701</v>
      </c>
      <c r="AA110" s="10">
        <v>1.11940051189761</v>
      </c>
      <c r="AB110" s="8">
        <v>117.30518277241001</v>
      </c>
      <c r="AC110" s="8">
        <v>117.85898448912501</v>
      </c>
      <c r="AD110" s="8">
        <v>117.85027421121799</v>
      </c>
      <c r="AE110" s="9">
        <v>-5.8370394503929101E-3</v>
      </c>
      <c r="AF110" s="9">
        <v>-1.1271149161390199E-3</v>
      </c>
      <c r="AG110" s="9">
        <v>-1.2010218806670801E-3</v>
      </c>
      <c r="AH110" s="12"/>
      <c r="AZ110" s="9"/>
      <c r="BB110">
        <f t="shared" si="26"/>
        <v>0</v>
      </c>
      <c r="BC110">
        <f t="shared" si="27"/>
        <v>1</v>
      </c>
      <c r="BD110">
        <f t="shared" si="28"/>
        <v>0</v>
      </c>
      <c r="BE110">
        <f t="shared" si="24"/>
        <v>1</v>
      </c>
      <c r="BF110">
        <f t="shared" si="29"/>
        <v>0</v>
      </c>
      <c r="BG110" s="9">
        <f t="shared" si="30"/>
        <v>0</v>
      </c>
      <c r="BH110" s="9">
        <f t="shared" si="31"/>
        <v>0</v>
      </c>
      <c r="BI110" s="9">
        <f t="shared" si="32"/>
        <v>0</v>
      </c>
      <c r="BJ110" s="12">
        <f t="shared" si="33"/>
        <v>2.9482639521364058E-2</v>
      </c>
      <c r="BL110" s="9"/>
      <c r="BN110">
        <f t="shared" si="34"/>
        <v>0</v>
      </c>
      <c r="BO110">
        <f t="shared" si="35"/>
        <v>1</v>
      </c>
      <c r="BP110">
        <f t="shared" si="36"/>
        <v>0</v>
      </c>
      <c r="BQ110">
        <f t="shared" si="25"/>
        <v>1</v>
      </c>
      <c r="BR110">
        <f t="shared" si="37"/>
        <v>0</v>
      </c>
      <c r="BS110" s="9">
        <f t="shared" si="38"/>
        <v>0</v>
      </c>
      <c r="BT110" s="9">
        <f t="shared" si="39"/>
        <v>0</v>
      </c>
      <c r="BU110" s="9">
        <f t="shared" si="40"/>
        <v>0</v>
      </c>
      <c r="BV110" s="12">
        <f t="shared" si="41"/>
        <v>1.1044618033177373E-2</v>
      </c>
      <c r="BX110" s="12">
        <f t="shared" si="42"/>
        <v>0</v>
      </c>
      <c r="BY110" s="12">
        <f t="shared" si="43"/>
        <v>4.0527257554541424E-2</v>
      </c>
    </row>
    <row r="111" spans="1:77" x14ac:dyDescent="0.3">
      <c r="A111" s="1">
        <v>46183</v>
      </c>
      <c r="B111" s="8">
        <v>103.36</v>
      </c>
      <c r="C111" s="8">
        <v>115.55</v>
      </c>
      <c r="D111" s="9">
        <v>-1.2690037627653399E-2</v>
      </c>
      <c r="E111" s="9">
        <v>-1.5628001391642801E-2</v>
      </c>
      <c r="F111" s="8">
        <v>0</v>
      </c>
      <c r="G111" s="8">
        <v>0.61460000000000004</v>
      </c>
      <c r="H111" s="8">
        <v>0</v>
      </c>
      <c r="I111" s="8">
        <v>0.62190000000000001</v>
      </c>
      <c r="J111" s="8">
        <v>0.61460000000000004</v>
      </c>
      <c r="K111" s="8">
        <v>0.62190000000000001</v>
      </c>
      <c r="L111" s="8">
        <v>103.9746</v>
      </c>
      <c r="M111" s="8">
        <v>116.17189999999999</v>
      </c>
      <c r="N111" s="10">
        <v>1.1179373065015401</v>
      </c>
      <c r="O111" s="10">
        <v>1.1144207265719701</v>
      </c>
      <c r="P111" s="10">
        <v>1.11918305339498</v>
      </c>
      <c r="Q111" s="10">
        <v>1.11985052898872</v>
      </c>
      <c r="R111" s="8">
        <v>115.186526298479</v>
      </c>
      <c r="S111" s="8">
        <v>115.719493632466</v>
      </c>
      <c r="T111" s="8">
        <v>115.737346182428</v>
      </c>
      <c r="U111" s="9">
        <v>-3.1505545134485201E-3</v>
      </c>
      <c r="V111" s="9">
        <v>1.46576757833608E-3</v>
      </c>
      <c r="W111" s="9">
        <v>1.62003003186371E-3</v>
      </c>
      <c r="X111" s="10">
        <v>1.11731038157396</v>
      </c>
      <c r="Y111" s="10">
        <v>1.1140664646848899</v>
      </c>
      <c r="Z111" s="10">
        <v>1.1186529760833399</v>
      </c>
      <c r="AA111" s="10">
        <v>1.1194794491206099</v>
      </c>
      <c r="AB111" s="8">
        <v>115.834615039025</v>
      </c>
      <c r="AC111" s="8">
        <v>116.356763202892</v>
      </c>
      <c r="AD111" s="8">
        <v>116.38922046435</v>
      </c>
      <c r="AE111" s="9">
        <v>-2.9075493723109301E-3</v>
      </c>
      <c r="AF111" s="9">
        <v>1.5900254127294E-3</v>
      </c>
      <c r="AG111" s="9">
        <v>1.8689325814462399E-3</v>
      </c>
      <c r="AH111" s="12"/>
      <c r="AZ111" s="9"/>
      <c r="BB111">
        <f t="shared" si="26"/>
        <v>0</v>
      </c>
      <c r="BC111">
        <f t="shared" si="27"/>
        <v>1</v>
      </c>
      <c r="BD111">
        <f t="shared" si="28"/>
        <v>0</v>
      </c>
      <c r="BE111">
        <f t="shared" si="24"/>
        <v>1</v>
      </c>
      <c r="BF111">
        <f t="shared" si="29"/>
        <v>0</v>
      </c>
      <c r="BG111" s="9">
        <f t="shared" si="30"/>
        <v>0</v>
      </c>
      <c r="BH111" s="9">
        <f t="shared" si="31"/>
        <v>0</v>
      </c>
      <c r="BI111" s="9">
        <f t="shared" si="32"/>
        <v>0</v>
      </c>
      <c r="BJ111" s="12">
        <f t="shared" si="33"/>
        <v>2.9482639521364058E-2</v>
      </c>
      <c r="BL111" s="9"/>
      <c r="BN111">
        <f t="shared" si="34"/>
        <v>0</v>
      </c>
      <c r="BO111">
        <f t="shared" si="35"/>
        <v>0</v>
      </c>
      <c r="BP111">
        <f t="shared" si="36"/>
        <v>0</v>
      </c>
      <c r="BQ111">
        <f t="shared" si="25"/>
        <v>1</v>
      </c>
      <c r="BR111">
        <f t="shared" si="37"/>
        <v>0</v>
      </c>
      <c r="BS111" s="9">
        <f t="shared" si="38"/>
        <v>0</v>
      </c>
      <c r="BT111" s="9">
        <f t="shared" si="39"/>
        <v>0</v>
      </c>
      <c r="BU111" s="9">
        <f t="shared" si="40"/>
        <v>0</v>
      </c>
      <c r="BV111" s="12">
        <f t="shared" si="41"/>
        <v>1.1044618033177373E-2</v>
      </c>
      <c r="BX111" s="12">
        <f t="shared" si="42"/>
        <v>0</v>
      </c>
      <c r="BY111" s="12">
        <f t="shared" si="43"/>
        <v>4.0527257554541424E-2</v>
      </c>
    </row>
    <row r="112" spans="1:77" x14ac:dyDescent="0.3">
      <c r="A112" s="1">
        <v>46184</v>
      </c>
      <c r="B112" s="8">
        <v>105.62</v>
      </c>
      <c r="C112" s="8">
        <v>118.15</v>
      </c>
      <c r="D112" s="9">
        <v>2.1629707244495401E-2</v>
      </c>
      <c r="E112" s="9">
        <v>2.2251666912527002E-2</v>
      </c>
      <c r="F112" s="8">
        <v>0</v>
      </c>
      <c r="G112" s="8">
        <v>0.61460000000000004</v>
      </c>
      <c r="H112" s="8">
        <v>0</v>
      </c>
      <c r="I112" s="8">
        <v>0.62190000000000001</v>
      </c>
      <c r="J112" s="8">
        <v>0.61460000000000004</v>
      </c>
      <c r="K112" s="8">
        <v>0.62190000000000001</v>
      </c>
      <c r="L112" s="8">
        <v>106.2346</v>
      </c>
      <c r="M112" s="8">
        <v>118.7719</v>
      </c>
      <c r="N112" s="10">
        <v>1.11863283469039</v>
      </c>
      <c r="O112" s="10">
        <v>1.1144207265719701</v>
      </c>
      <c r="P112" s="10">
        <v>1.11926579471771</v>
      </c>
      <c r="Q112" s="10">
        <v>1.11985044684546</v>
      </c>
      <c r="R112" s="8">
        <v>117.705117140532</v>
      </c>
      <c r="S112" s="8">
        <v>118.208114099578</v>
      </c>
      <c r="T112" s="8">
        <v>118.27861287178899</v>
      </c>
      <c r="U112" s="9">
        <v>-3.7725141814802898E-3</v>
      </c>
      <c r="V112" s="9">
        <v>4.9174618752121496E-4</v>
      </c>
      <c r="W112" s="9">
        <v>1.0879637867278599E-3</v>
      </c>
      <c r="X112" s="10">
        <v>1.1180152229122999</v>
      </c>
      <c r="Y112" s="10">
        <v>1.1140664646848899</v>
      </c>
      <c r="Z112" s="10">
        <v>1.11869347917868</v>
      </c>
      <c r="AA112" s="10">
        <v>1.1194585806608099</v>
      </c>
      <c r="AB112" s="8">
        <v>118.35240524921301</v>
      </c>
      <c r="AC112" s="8">
        <v>118.839651453024</v>
      </c>
      <c r="AD112" s="8">
        <v>118.927451485549</v>
      </c>
      <c r="AE112" s="9">
        <v>-3.5381880231572E-3</v>
      </c>
      <c r="AF112" s="9">
        <v>5.70270716604671E-4</v>
      </c>
      <c r="AG112" s="9">
        <v>1.3088088527117799E-3</v>
      </c>
      <c r="AH112" s="12"/>
      <c r="AZ112" s="9"/>
      <c r="BB112">
        <f t="shared" si="26"/>
        <v>0</v>
      </c>
      <c r="BC112">
        <f t="shared" si="27"/>
        <v>1</v>
      </c>
      <c r="BD112">
        <f t="shared" si="28"/>
        <v>0</v>
      </c>
      <c r="BE112">
        <f t="shared" si="24"/>
        <v>1</v>
      </c>
      <c r="BF112">
        <f t="shared" si="29"/>
        <v>0</v>
      </c>
      <c r="BG112" s="9">
        <f t="shared" si="30"/>
        <v>0</v>
      </c>
      <c r="BH112" s="9">
        <f t="shared" si="31"/>
        <v>0</v>
      </c>
      <c r="BI112" s="9">
        <f t="shared" si="32"/>
        <v>0</v>
      </c>
      <c r="BJ112" s="12">
        <f t="shared" si="33"/>
        <v>2.9482639521364058E-2</v>
      </c>
      <c r="BL112" s="9"/>
      <c r="BN112">
        <f t="shared" si="34"/>
        <v>0</v>
      </c>
      <c r="BO112">
        <f t="shared" si="35"/>
        <v>0</v>
      </c>
      <c r="BP112">
        <f t="shared" si="36"/>
        <v>0</v>
      </c>
      <c r="BQ112">
        <f t="shared" si="25"/>
        <v>1</v>
      </c>
      <c r="BR112">
        <f t="shared" si="37"/>
        <v>0</v>
      </c>
      <c r="BS112" s="9">
        <f t="shared" si="38"/>
        <v>0</v>
      </c>
      <c r="BT112" s="9">
        <f t="shared" si="39"/>
        <v>0</v>
      </c>
      <c r="BU112" s="9">
        <f t="shared" si="40"/>
        <v>0</v>
      </c>
      <c r="BV112" s="12">
        <f t="shared" si="41"/>
        <v>1.1044618033177373E-2</v>
      </c>
      <c r="BX112" s="12">
        <f t="shared" si="42"/>
        <v>0</v>
      </c>
      <c r="BY112" s="12">
        <f t="shared" si="43"/>
        <v>4.0527257554541424E-2</v>
      </c>
    </row>
    <row r="113" spans="1:77" x14ac:dyDescent="0.3">
      <c r="A113" s="1">
        <v>46185</v>
      </c>
      <c r="B113" s="8">
        <v>106.88</v>
      </c>
      <c r="C113" s="8">
        <v>119.75</v>
      </c>
      <c r="D113" s="9">
        <v>1.18589625095483E-2</v>
      </c>
      <c r="E113" s="9">
        <v>1.34512326581078E-2</v>
      </c>
      <c r="F113" s="8">
        <v>0</v>
      </c>
      <c r="G113" s="8">
        <v>0.61460000000000004</v>
      </c>
      <c r="H113" s="8">
        <v>0</v>
      </c>
      <c r="I113" s="8">
        <v>0.62190000000000001</v>
      </c>
      <c r="J113" s="8">
        <v>0.61460000000000004</v>
      </c>
      <c r="K113" s="8">
        <v>0.62190000000000001</v>
      </c>
      <c r="L113" s="8">
        <v>107.494599999999</v>
      </c>
      <c r="M113" s="8">
        <v>120.3719</v>
      </c>
      <c r="N113" s="10">
        <v>1.12041541916167</v>
      </c>
      <c r="O113" s="10">
        <v>1.1144207265719701</v>
      </c>
      <c r="P113" s="10">
        <v>1.11966996383092</v>
      </c>
      <c r="Q113" s="10">
        <v>1.11995491865744</v>
      </c>
      <c r="R113" s="8">
        <v>119.109287256012</v>
      </c>
      <c r="S113" s="8">
        <v>119.627128139429</v>
      </c>
      <c r="T113" s="8">
        <v>119.689615758843</v>
      </c>
      <c r="U113" s="9">
        <v>-5.36478433003954E-3</v>
      </c>
      <c r="V113" s="9">
        <v>-1.0265965868726001E-3</v>
      </c>
      <c r="W113" s="9">
        <v>-5.04379713821646E-4</v>
      </c>
      <c r="X113" s="10">
        <v>1.1197948548113099</v>
      </c>
      <c r="Y113" s="10">
        <v>1.1140664646848899</v>
      </c>
      <c r="Z113" s="10">
        <v>1.11905444060755</v>
      </c>
      <c r="AA113" s="10">
        <v>1.11954200233445</v>
      </c>
      <c r="AB113" s="8">
        <v>119.75612899471599</v>
      </c>
      <c r="AC113" s="8">
        <v>120.253508066921</v>
      </c>
      <c r="AD113" s="8">
        <v>120.33575234470101</v>
      </c>
      <c r="AE113" s="9">
        <v>-5.1287003654541703E-3</v>
      </c>
      <c r="AF113" s="9">
        <v>-9.8403525698365492E-4</v>
      </c>
      <c r="AG113" s="9">
        <v>-3.0034488075578099E-4</v>
      </c>
      <c r="AH113" s="12"/>
      <c r="AZ113" s="9"/>
      <c r="BB113">
        <f t="shared" si="26"/>
        <v>0</v>
      </c>
      <c r="BC113">
        <f t="shared" si="27"/>
        <v>1</v>
      </c>
      <c r="BD113">
        <f t="shared" si="28"/>
        <v>0</v>
      </c>
      <c r="BE113">
        <f t="shared" si="24"/>
        <v>1</v>
      </c>
      <c r="BF113">
        <f t="shared" si="29"/>
        <v>0</v>
      </c>
      <c r="BG113" s="9">
        <f t="shared" si="30"/>
        <v>0</v>
      </c>
      <c r="BH113" s="9">
        <f t="shared" si="31"/>
        <v>0</v>
      </c>
      <c r="BI113" s="9">
        <f t="shared" si="32"/>
        <v>0</v>
      </c>
      <c r="BJ113" s="12">
        <f t="shared" si="33"/>
        <v>2.9482639521364058E-2</v>
      </c>
      <c r="BL113" s="9"/>
      <c r="BN113">
        <f t="shared" si="34"/>
        <v>0</v>
      </c>
      <c r="BO113">
        <f t="shared" si="35"/>
        <v>1</v>
      </c>
      <c r="BP113">
        <f t="shared" si="36"/>
        <v>0</v>
      </c>
      <c r="BQ113">
        <f t="shared" si="25"/>
        <v>1</v>
      </c>
      <c r="BR113">
        <f t="shared" si="37"/>
        <v>0</v>
      </c>
      <c r="BS113" s="9">
        <f t="shared" si="38"/>
        <v>0</v>
      </c>
      <c r="BT113" s="9">
        <f t="shared" si="39"/>
        <v>0</v>
      </c>
      <c r="BU113" s="9">
        <f t="shared" si="40"/>
        <v>0</v>
      </c>
      <c r="BV113" s="12">
        <f t="shared" si="41"/>
        <v>1.1044618033177373E-2</v>
      </c>
      <c r="BX113" s="12">
        <f t="shared" si="42"/>
        <v>0</v>
      </c>
      <c r="BY113" s="12">
        <f t="shared" si="43"/>
        <v>4.0527257554541424E-2</v>
      </c>
    </row>
    <row r="114" spans="1:77" x14ac:dyDescent="0.3">
      <c r="A114" s="1">
        <v>46188</v>
      </c>
      <c r="B114" s="8">
        <v>109.77</v>
      </c>
      <c r="C114" s="8">
        <v>123.18</v>
      </c>
      <c r="D114" s="9">
        <v>2.66805579108895E-2</v>
      </c>
      <c r="E114" s="9">
        <v>2.8240463967872598E-2</v>
      </c>
      <c r="F114" s="8">
        <v>0</v>
      </c>
      <c r="G114" s="8">
        <v>0.61460000000000004</v>
      </c>
      <c r="H114" s="8">
        <v>0</v>
      </c>
      <c r="I114" s="8">
        <v>0.62190000000000001</v>
      </c>
      <c r="J114" s="8">
        <v>0.61460000000000004</v>
      </c>
      <c r="K114" s="8">
        <v>0.62190000000000001</v>
      </c>
      <c r="L114" s="8">
        <v>110.384599999999</v>
      </c>
      <c r="M114" s="8">
        <v>123.8019</v>
      </c>
      <c r="N114" s="10">
        <v>1.1221645258267201</v>
      </c>
      <c r="O114" s="10">
        <v>1.1144207265719701</v>
      </c>
      <c r="P114" s="10">
        <v>1.1198239107021799</v>
      </c>
      <c r="Q114" s="10">
        <v>1.1199913746138499</v>
      </c>
      <c r="R114" s="8">
        <v>122.329963155805</v>
      </c>
      <c r="S114" s="8">
        <v>122.90617192972</v>
      </c>
      <c r="T114" s="8">
        <v>122.93745142102701</v>
      </c>
      <c r="U114" s="9">
        <v>-6.9246903870225701E-3</v>
      </c>
      <c r="V114" s="9">
        <v>-2.2254658288826698E-3</v>
      </c>
      <c r="W114" s="9">
        <v>-1.9709992614788899E-3</v>
      </c>
      <c r="X114" s="10">
        <v>1.1215504699025001</v>
      </c>
      <c r="Y114" s="10">
        <v>1.1140664646848899</v>
      </c>
      <c r="Z114" s="10">
        <v>1.1192077174064401</v>
      </c>
      <c r="AA114" s="10">
        <v>1.11955861084721</v>
      </c>
      <c r="AB114" s="8">
        <v>122.97578107765599</v>
      </c>
      <c r="AC114" s="8">
        <v>123.526376804688</v>
      </c>
      <c r="AD114" s="8">
        <v>123.580196110887</v>
      </c>
      <c r="AE114" s="9">
        <v>-6.6952732900993003E-3</v>
      </c>
      <c r="AF114" s="9">
        <v>-2.2279968376074499E-3</v>
      </c>
      <c r="AG114" s="9">
        <v>-1.79240092111243E-3</v>
      </c>
      <c r="AH114" s="12"/>
      <c r="AZ114" s="9"/>
      <c r="BB114">
        <f t="shared" si="26"/>
        <v>0</v>
      </c>
      <c r="BC114">
        <f t="shared" si="27"/>
        <v>1</v>
      </c>
      <c r="BD114">
        <f t="shared" si="28"/>
        <v>0</v>
      </c>
      <c r="BE114">
        <f t="shared" si="24"/>
        <v>1</v>
      </c>
      <c r="BF114">
        <f t="shared" si="29"/>
        <v>0</v>
      </c>
      <c r="BG114" s="9">
        <f t="shared" si="30"/>
        <v>0</v>
      </c>
      <c r="BH114" s="9">
        <f t="shared" si="31"/>
        <v>0</v>
      </c>
      <c r="BI114" s="9">
        <f t="shared" si="32"/>
        <v>0</v>
      </c>
      <c r="BJ114" s="12">
        <f t="shared" si="33"/>
        <v>2.9482639521364058E-2</v>
      </c>
      <c r="BL114" s="9"/>
      <c r="BN114">
        <f t="shared" si="34"/>
        <v>0</v>
      </c>
      <c r="BO114">
        <f t="shared" si="35"/>
        <v>1</v>
      </c>
      <c r="BP114">
        <f t="shared" si="36"/>
        <v>0</v>
      </c>
      <c r="BQ114">
        <f t="shared" si="25"/>
        <v>1</v>
      </c>
      <c r="BR114">
        <f t="shared" si="37"/>
        <v>0</v>
      </c>
      <c r="BS114" s="9">
        <f t="shared" si="38"/>
        <v>0</v>
      </c>
      <c r="BT114" s="9">
        <f t="shared" si="39"/>
        <v>0</v>
      </c>
      <c r="BU114" s="9">
        <f t="shared" si="40"/>
        <v>0</v>
      </c>
      <c r="BV114" s="12">
        <f t="shared" si="41"/>
        <v>1.1044618033177373E-2</v>
      </c>
      <c r="BX114" s="12">
        <f t="shared" si="42"/>
        <v>0</v>
      </c>
      <c r="BY114" s="12">
        <f t="shared" si="43"/>
        <v>4.0527257554541424E-2</v>
      </c>
    </row>
    <row r="115" spans="1:77" x14ac:dyDescent="0.3">
      <c r="A115" s="1">
        <v>46189</v>
      </c>
      <c r="B115" s="8">
        <v>109.48</v>
      </c>
      <c r="C115" s="8">
        <v>122.76</v>
      </c>
      <c r="D115" s="9">
        <v>-2.6453835267467802E-3</v>
      </c>
      <c r="E115" s="9">
        <v>-3.4154705073617701E-3</v>
      </c>
      <c r="F115" s="8">
        <v>0</v>
      </c>
      <c r="G115" s="8">
        <v>0.61460000000000004</v>
      </c>
      <c r="H115" s="8">
        <v>0</v>
      </c>
      <c r="I115" s="8">
        <v>0.62190000000000001</v>
      </c>
      <c r="J115" s="8">
        <v>0.61460000000000004</v>
      </c>
      <c r="K115" s="8">
        <v>0.62190000000000001</v>
      </c>
      <c r="L115" s="8">
        <v>110.0946</v>
      </c>
      <c r="M115" s="8">
        <v>123.3819</v>
      </c>
      <c r="N115" s="10">
        <v>1.12130069419071</v>
      </c>
      <c r="O115" s="10">
        <v>1.1144207265719701</v>
      </c>
      <c r="P115" s="10">
        <v>1.1200702885915399</v>
      </c>
      <c r="Q115" s="10">
        <v>1.11998018921839</v>
      </c>
      <c r="R115" s="8">
        <v>122.00678114510001</v>
      </c>
      <c r="S115" s="8">
        <v>122.598321743675</v>
      </c>
      <c r="T115" s="8">
        <v>122.616655692724</v>
      </c>
      <c r="U115" s="9">
        <v>-6.1546034064075203E-3</v>
      </c>
      <c r="V115" s="9">
        <v>-1.3178952201567901E-3</v>
      </c>
      <c r="W115" s="9">
        <v>-1.1683615393386501E-3</v>
      </c>
      <c r="X115" s="10">
        <v>1.1206898430985699</v>
      </c>
      <c r="Y115" s="10">
        <v>1.1140664646848899</v>
      </c>
      <c r="Z115" s="10">
        <v>1.11945204427062</v>
      </c>
      <c r="AA115" s="10">
        <v>1.1195279303433701</v>
      </c>
      <c r="AB115" s="8">
        <v>122.652701802897</v>
      </c>
      <c r="AC115" s="8">
        <v>123.218725964775</v>
      </c>
      <c r="AD115" s="8">
        <v>123.25735743777901</v>
      </c>
      <c r="AE115" s="9">
        <v>-5.9276242194750096E-3</v>
      </c>
      <c r="AF115" s="9">
        <v>-1.32338722499967E-3</v>
      </c>
      <c r="AG115" s="9">
        <v>-1.00991686481279E-3</v>
      </c>
      <c r="AH115" s="12"/>
      <c r="AZ115" s="9"/>
      <c r="BB115">
        <f t="shared" si="26"/>
        <v>0</v>
      </c>
      <c r="BC115">
        <f t="shared" si="27"/>
        <v>1</v>
      </c>
      <c r="BD115">
        <f t="shared" si="28"/>
        <v>0</v>
      </c>
      <c r="BE115">
        <f t="shared" si="24"/>
        <v>1</v>
      </c>
      <c r="BF115">
        <f t="shared" si="29"/>
        <v>0</v>
      </c>
      <c r="BG115" s="9">
        <f t="shared" si="30"/>
        <v>0</v>
      </c>
      <c r="BH115" s="9">
        <f t="shared" si="31"/>
        <v>0</v>
      </c>
      <c r="BI115" s="9">
        <f t="shared" si="32"/>
        <v>0</v>
      </c>
      <c r="BJ115" s="12">
        <f t="shared" si="33"/>
        <v>2.9482639521364058E-2</v>
      </c>
      <c r="BL115" s="9"/>
      <c r="BN115">
        <f t="shared" si="34"/>
        <v>0</v>
      </c>
      <c r="BO115">
        <f t="shared" si="35"/>
        <v>1</v>
      </c>
      <c r="BP115">
        <f t="shared" si="36"/>
        <v>0</v>
      </c>
      <c r="BQ115">
        <f t="shared" si="25"/>
        <v>1</v>
      </c>
      <c r="BR115">
        <f t="shared" si="37"/>
        <v>0</v>
      </c>
      <c r="BS115" s="9">
        <f t="shared" si="38"/>
        <v>0</v>
      </c>
      <c r="BT115" s="9">
        <f t="shared" si="39"/>
        <v>0</v>
      </c>
      <c r="BU115" s="9">
        <f t="shared" si="40"/>
        <v>0</v>
      </c>
      <c r="BV115" s="12">
        <f t="shared" si="41"/>
        <v>1.1044618033177373E-2</v>
      </c>
      <c r="BX115" s="12">
        <f t="shared" si="42"/>
        <v>0</v>
      </c>
      <c r="BY115" s="12">
        <f t="shared" si="43"/>
        <v>4.0527257554541424E-2</v>
      </c>
    </row>
    <row r="116" spans="1:77" x14ac:dyDescent="0.3">
      <c r="A116" s="1">
        <v>46190</v>
      </c>
      <c r="B116" s="8">
        <v>109.54</v>
      </c>
      <c r="C116" s="8">
        <v>122.97</v>
      </c>
      <c r="D116" s="9">
        <v>5.4789518309695498E-4</v>
      </c>
      <c r="E116" s="9">
        <v>1.70919343282045E-3</v>
      </c>
      <c r="F116" s="8">
        <v>0</v>
      </c>
      <c r="G116" s="8">
        <v>0.61460000000000004</v>
      </c>
      <c r="H116" s="8">
        <v>0</v>
      </c>
      <c r="I116" s="8">
        <v>0.62190000000000001</v>
      </c>
      <c r="J116" s="8">
        <v>0.61460000000000004</v>
      </c>
      <c r="K116" s="8">
        <v>0.62190000000000001</v>
      </c>
      <c r="L116" s="8">
        <v>110.1546</v>
      </c>
      <c r="M116" s="8">
        <v>123.5919</v>
      </c>
      <c r="N116" s="10">
        <v>1.1226036151177601</v>
      </c>
      <c r="O116" s="10">
        <v>1.1144207265719701</v>
      </c>
      <c r="P116" s="10">
        <v>1.1202349073662401</v>
      </c>
      <c r="Q116" s="10">
        <v>1.12015566478099</v>
      </c>
      <c r="R116" s="8">
        <v>122.073646388694</v>
      </c>
      <c r="S116" s="8">
        <v>122.69249941231701</v>
      </c>
      <c r="T116" s="8">
        <v>122.682629926982</v>
      </c>
      <c r="U116" s="9">
        <v>-7.3159016561309799E-3</v>
      </c>
      <c r="V116" s="9">
        <v>-2.2592028199341502E-3</v>
      </c>
      <c r="W116" s="9">
        <v>-2.3396468760785299E-3</v>
      </c>
      <c r="X116" s="10">
        <v>1.1219858271919601</v>
      </c>
      <c r="Y116" s="10">
        <v>1.1140664646848899</v>
      </c>
      <c r="Z116" s="10">
        <v>1.1196157887982601</v>
      </c>
      <c r="AA116" s="10">
        <v>1.1196830665378299</v>
      </c>
      <c r="AB116" s="8">
        <v>122.719545790778</v>
      </c>
      <c r="AC116" s="8">
        <v>123.312792155813</v>
      </c>
      <c r="AD116" s="8">
        <v>123.321151355802</v>
      </c>
      <c r="AE116" s="9">
        <v>-7.0833724668216301E-3</v>
      </c>
      <c r="AF116" s="9">
        <v>-2.2608558844104802E-3</v>
      </c>
      <c r="AG116" s="9">
        <v>-2.1930695945448198E-3</v>
      </c>
      <c r="AH116" s="12"/>
      <c r="AZ116" s="9"/>
      <c r="BB116">
        <f t="shared" si="26"/>
        <v>0</v>
      </c>
      <c r="BC116">
        <f t="shared" si="27"/>
        <v>1</v>
      </c>
      <c r="BD116">
        <f t="shared" si="28"/>
        <v>0</v>
      </c>
      <c r="BE116">
        <f t="shared" si="24"/>
        <v>1</v>
      </c>
      <c r="BF116">
        <f t="shared" si="29"/>
        <v>0</v>
      </c>
      <c r="BG116" s="9">
        <f t="shared" si="30"/>
        <v>0</v>
      </c>
      <c r="BH116" s="9">
        <f t="shared" si="31"/>
        <v>0</v>
      </c>
      <c r="BI116" s="9">
        <f t="shared" si="32"/>
        <v>0</v>
      </c>
      <c r="BJ116" s="12">
        <f t="shared" si="33"/>
        <v>2.9482639521364058E-2</v>
      </c>
      <c r="BL116" s="9"/>
      <c r="BN116">
        <f t="shared" si="34"/>
        <v>0</v>
      </c>
      <c r="BO116">
        <f t="shared" si="35"/>
        <v>1</v>
      </c>
      <c r="BP116">
        <f t="shared" si="36"/>
        <v>0</v>
      </c>
      <c r="BQ116">
        <f t="shared" si="25"/>
        <v>1</v>
      </c>
      <c r="BR116">
        <f t="shared" si="37"/>
        <v>0</v>
      </c>
      <c r="BS116" s="9">
        <f t="shared" si="38"/>
        <v>0</v>
      </c>
      <c r="BT116" s="9">
        <f t="shared" si="39"/>
        <v>0</v>
      </c>
      <c r="BU116" s="9">
        <f t="shared" si="40"/>
        <v>0</v>
      </c>
      <c r="BV116" s="12">
        <f t="shared" si="41"/>
        <v>1.1044618033177373E-2</v>
      </c>
      <c r="BX116" s="12">
        <f t="shared" si="42"/>
        <v>0</v>
      </c>
      <c r="BY116" s="12">
        <f t="shared" si="43"/>
        <v>4.0527257554541424E-2</v>
      </c>
    </row>
    <row r="117" spans="1:77" x14ac:dyDescent="0.3">
      <c r="A117" s="1">
        <v>46191</v>
      </c>
      <c r="B117" s="8">
        <v>110.58</v>
      </c>
      <c r="C117" s="8">
        <v>124.25</v>
      </c>
      <c r="D117" s="9">
        <v>9.4494615542115804E-3</v>
      </c>
      <c r="E117" s="9">
        <v>1.03552417923821E-2</v>
      </c>
      <c r="F117" s="8">
        <v>0</v>
      </c>
      <c r="G117" s="8">
        <v>0.61460000000000004</v>
      </c>
      <c r="H117" s="8">
        <v>0</v>
      </c>
      <c r="I117" s="8">
        <v>0.62190000000000001</v>
      </c>
      <c r="J117" s="8">
        <v>0.61460000000000004</v>
      </c>
      <c r="K117" s="8">
        <v>0.62190000000000001</v>
      </c>
      <c r="L117" s="8">
        <v>111.19459999999999</v>
      </c>
      <c r="M117" s="8">
        <v>124.8719</v>
      </c>
      <c r="N117" s="10">
        <v>1.12362090793995</v>
      </c>
      <c r="O117" s="10">
        <v>1.1144207265719701</v>
      </c>
      <c r="P117" s="10">
        <v>1.1206145068233799</v>
      </c>
      <c r="Q117" s="10">
        <v>1.1202946192071801</v>
      </c>
      <c r="R117" s="8">
        <v>123.232643944329</v>
      </c>
      <c r="S117" s="8">
        <v>123.875576056559</v>
      </c>
      <c r="T117" s="8">
        <v>123.866813411482</v>
      </c>
      <c r="U117" s="9">
        <v>-8.2216818943017297E-3</v>
      </c>
      <c r="V117" s="9">
        <v>-3.0180220321723702E-3</v>
      </c>
      <c r="W117" s="9">
        <v>-3.0887620060595501E-3</v>
      </c>
      <c r="X117" s="10">
        <v>1.1230032753389101</v>
      </c>
      <c r="Y117" s="10">
        <v>1.1140664646848899</v>
      </c>
      <c r="Z117" s="10">
        <v>1.1199937878902499</v>
      </c>
      <c r="AA117" s="10">
        <v>1.11980200872775</v>
      </c>
      <c r="AB117" s="8">
        <v>123.87817491405001</v>
      </c>
      <c r="AC117" s="8">
        <v>124.495229789107</v>
      </c>
      <c r="AD117" s="8">
        <v>124.502710710447</v>
      </c>
      <c r="AE117" s="9">
        <v>-7.98978953179472E-3</v>
      </c>
      <c r="AF117" s="9">
        <v>-3.0210116119498802E-3</v>
      </c>
      <c r="AG117" s="9">
        <v>-2.9609233933310399E-3</v>
      </c>
      <c r="AH117" s="12"/>
      <c r="AZ117" s="9"/>
      <c r="BB117">
        <f t="shared" si="26"/>
        <v>0</v>
      </c>
      <c r="BC117">
        <f t="shared" si="27"/>
        <v>1</v>
      </c>
      <c r="BD117">
        <f t="shared" si="28"/>
        <v>0</v>
      </c>
      <c r="BE117">
        <f t="shared" si="24"/>
        <v>1</v>
      </c>
      <c r="BF117">
        <f t="shared" si="29"/>
        <v>0</v>
      </c>
      <c r="BG117" s="9">
        <f t="shared" si="30"/>
        <v>0</v>
      </c>
      <c r="BH117" s="9">
        <f t="shared" si="31"/>
        <v>0</v>
      </c>
      <c r="BI117" s="9">
        <f t="shared" si="32"/>
        <v>0</v>
      </c>
      <c r="BJ117" s="12">
        <f t="shared" si="33"/>
        <v>2.9482639521364058E-2</v>
      </c>
      <c r="BL117" s="9"/>
      <c r="BN117">
        <f t="shared" si="34"/>
        <v>0</v>
      </c>
      <c r="BO117">
        <f t="shared" si="35"/>
        <v>1</v>
      </c>
      <c r="BP117">
        <f t="shared" si="36"/>
        <v>0</v>
      </c>
      <c r="BQ117">
        <f t="shared" si="25"/>
        <v>1</v>
      </c>
      <c r="BR117">
        <f t="shared" si="37"/>
        <v>0</v>
      </c>
      <c r="BS117" s="9">
        <f t="shared" si="38"/>
        <v>0</v>
      </c>
      <c r="BT117" s="9">
        <f t="shared" si="39"/>
        <v>0</v>
      </c>
      <c r="BU117" s="9">
        <f t="shared" si="40"/>
        <v>0</v>
      </c>
      <c r="BV117" s="12">
        <f t="shared" si="41"/>
        <v>1.1044618033177373E-2</v>
      </c>
      <c r="BX117" s="12">
        <f t="shared" si="42"/>
        <v>0</v>
      </c>
      <c r="BY117" s="12">
        <f t="shared" si="43"/>
        <v>4.0527257554541424E-2</v>
      </c>
    </row>
    <row r="118" spans="1:77" x14ac:dyDescent="0.3">
      <c r="A118" s="1">
        <v>46195</v>
      </c>
      <c r="B118" s="8">
        <v>110.42</v>
      </c>
      <c r="C118" s="8">
        <v>124.27</v>
      </c>
      <c r="D118" s="9">
        <v>-1.44796405388838E-3</v>
      </c>
      <c r="E118" s="9">
        <v>1.60952841165038E-4</v>
      </c>
      <c r="F118" s="8">
        <v>0</v>
      </c>
      <c r="G118" s="8">
        <v>0.61460000000000004</v>
      </c>
      <c r="H118" s="8">
        <v>0</v>
      </c>
      <c r="I118" s="8">
        <v>0.62190000000000001</v>
      </c>
      <c r="J118" s="8">
        <v>0.61460000000000004</v>
      </c>
      <c r="K118" s="8">
        <v>0.62190000000000001</v>
      </c>
      <c r="L118" s="8">
        <v>111.0346</v>
      </c>
      <c r="M118" s="8">
        <v>124.891899999999</v>
      </c>
      <c r="N118" s="10">
        <v>1.1254301756928</v>
      </c>
      <c r="O118" s="10">
        <v>1.1144207265719701</v>
      </c>
      <c r="P118" s="10">
        <v>1.12135480653654</v>
      </c>
      <c r="Q118" s="10">
        <v>1.1205777062399001</v>
      </c>
      <c r="R118" s="8">
        <v>123.054336628077</v>
      </c>
      <c r="S118" s="8">
        <v>123.738253843438</v>
      </c>
      <c r="T118" s="8">
        <v>123.70293185285701</v>
      </c>
      <c r="U118" s="9">
        <v>-9.8305987893550703E-3</v>
      </c>
      <c r="V118" s="9">
        <v>-4.2881393110059101E-3</v>
      </c>
      <c r="W118" s="9">
        <v>-4.5736373837792898E-3</v>
      </c>
      <c r="X118" s="10">
        <v>1.1248016384082</v>
      </c>
      <c r="Y118" s="10">
        <v>1.1140664646848899</v>
      </c>
      <c r="Z118" s="10">
        <v>1.1207328709390401</v>
      </c>
      <c r="AA118" s="10">
        <v>1.1200640731974301</v>
      </c>
      <c r="AB118" s="8">
        <v>123.69992427970099</v>
      </c>
      <c r="AC118" s="8">
        <v>124.358062240878</v>
      </c>
      <c r="AD118" s="8">
        <v>124.336768118282</v>
      </c>
      <c r="AE118" s="9">
        <v>-9.5898958773239697E-3</v>
      </c>
      <c r="AF118" s="9">
        <v>-4.2835599299486E-3</v>
      </c>
      <c r="AG118" s="9">
        <v>-4.4548069367156204E-3</v>
      </c>
      <c r="AH118" s="12"/>
      <c r="AZ118" s="9"/>
      <c r="BB118">
        <f t="shared" si="26"/>
        <v>0</v>
      </c>
      <c r="BC118">
        <f t="shared" si="27"/>
        <v>0</v>
      </c>
      <c r="BD118">
        <f t="shared" si="28"/>
        <v>0</v>
      </c>
      <c r="BE118">
        <f t="shared" si="24"/>
        <v>1</v>
      </c>
      <c r="BF118">
        <f t="shared" si="29"/>
        <v>0</v>
      </c>
      <c r="BG118" s="9">
        <f t="shared" si="30"/>
        <v>0</v>
      </c>
      <c r="BH118" s="9">
        <f t="shared" si="31"/>
        <v>0</v>
      </c>
      <c r="BI118" s="9">
        <f t="shared" si="32"/>
        <v>0</v>
      </c>
      <c r="BJ118" s="12">
        <f t="shared" si="33"/>
        <v>2.9482639521364058E-2</v>
      </c>
      <c r="BL118" s="9"/>
      <c r="BN118">
        <f t="shared" si="34"/>
        <v>0</v>
      </c>
      <c r="BO118">
        <f t="shared" si="35"/>
        <v>1</v>
      </c>
      <c r="BP118">
        <f t="shared" si="36"/>
        <v>0</v>
      </c>
      <c r="BQ118">
        <f t="shared" si="25"/>
        <v>1</v>
      </c>
      <c r="BR118">
        <f t="shared" si="37"/>
        <v>0</v>
      </c>
      <c r="BS118" s="9">
        <f t="shared" si="38"/>
        <v>0</v>
      </c>
      <c r="BT118" s="9">
        <f t="shared" si="39"/>
        <v>0</v>
      </c>
      <c r="BU118" s="9">
        <f t="shared" si="40"/>
        <v>0</v>
      </c>
      <c r="BV118" s="12">
        <f t="shared" si="41"/>
        <v>1.1044618033177373E-2</v>
      </c>
      <c r="BX118" s="12">
        <f t="shared" si="42"/>
        <v>0</v>
      </c>
      <c r="BY118" s="12">
        <f t="shared" si="43"/>
        <v>4.0527257554541424E-2</v>
      </c>
    </row>
    <row r="119" spans="1:77" x14ac:dyDescent="0.3">
      <c r="A119" s="1">
        <v>46196</v>
      </c>
      <c r="B119" s="8">
        <v>108.24</v>
      </c>
      <c r="C119" s="8">
        <v>121.85</v>
      </c>
      <c r="D119" s="9">
        <v>-1.9940292993365898E-2</v>
      </c>
      <c r="E119" s="9">
        <v>-1.9665837746688002E-2</v>
      </c>
      <c r="F119" s="8">
        <v>0</v>
      </c>
      <c r="G119" s="8">
        <v>0.61460000000000004</v>
      </c>
      <c r="H119" s="8">
        <v>0</v>
      </c>
      <c r="I119" s="8">
        <v>0.62190000000000001</v>
      </c>
      <c r="J119" s="8">
        <v>0.61460000000000004</v>
      </c>
      <c r="K119" s="8">
        <v>0.62190000000000001</v>
      </c>
      <c r="L119" s="8">
        <v>108.854599999999</v>
      </c>
      <c r="M119" s="8">
        <v>122.471899999999</v>
      </c>
      <c r="N119" s="10">
        <v>1.1257390983000699</v>
      </c>
      <c r="O119" s="10">
        <v>1.1144207265719701</v>
      </c>
      <c r="P119" s="10">
        <v>1.12190711727598</v>
      </c>
      <c r="Q119" s="10">
        <v>1.1208400515950401</v>
      </c>
      <c r="R119" s="8">
        <v>120.62489944415</v>
      </c>
      <c r="S119" s="8">
        <v>121.37544425951501</v>
      </c>
      <c r="T119" s="8">
        <v>121.291330923407</v>
      </c>
      <c r="U119" s="9">
        <v>-1.0105054036033E-2</v>
      </c>
      <c r="V119" s="9">
        <v>-3.9021932438477098E-3</v>
      </c>
      <c r="W119" s="9">
        <v>-4.5954347427144904E-3</v>
      </c>
      <c r="X119" s="10">
        <v>1.1250962292819899</v>
      </c>
      <c r="Y119" s="10">
        <v>1.1140664646848899</v>
      </c>
      <c r="Z119" s="10">
        <v>1.1212836072785399</v>
      </c>
      <c r="AA119" s="10">
        <v>1.1203048086230201</v>
      </c>
      <c r="AB119" s="8">
        <v>121.271259386688</v>
      </c>
      <c r="AC119" s="8">
        <v>121.996928372921</v>
      </c>
      <c r="AD119" s="8">
        <v>121.924126662277</v>
      </c>
      <c r="AE119" s="9">
        <v>-9.8517663201582902E-3</v>
      </c>
      <c r="AF119" s="9">
        <v>-3.8857487711183099E-3</v>
      </c>
      <c r="AG119" s="9">
        <v>-4.4826772551731396E-3</v>
      </c>
      <c r="AH119" s="12"/>
      <c r="AZ119" s="9"/>
      <c r="BB119">
        <f t="shared" si="26"/>
        <v>0</v>
      </c>
      <c r="BC119">
        <f t="shared" si="27"/>
        <v>0</v>
      </c>
      <c r="BD119">
        <f t="shared" si="28"/>
        <v>0</v>
      </c>
      <c r="BE119">
        <f t="shared" si="24"/>
        <v>1</v>
      </c>
      <c r="BF119">
        <f t="shared" si="29"/>
        <v>0</v>
      </c>
      <c r="BG119" s="9">
        <f t="shared" si="30"/>
        <v>0</v>
      </c>
      <c r="BH119" s="9">
        <f t="shared" si="31"/>
        <v>0</v>
      </c>
      <c r="BI119" s="9">
        <f t="shared" si="32"/>
        <v>0</v>
      </c>
      <c r="BJ119" s="12">
        <f t="shared" si="33"/>
        <v>2.9482639521364058E-2</v>
      </c>
      <c r="BL119" s="9"/>
      <c r="BN119">
        <f t="shared" si="34"/>
        <v>0</v>
      </c>
      <c r="BO119">
        <f t="shared" si="35"/>
        <v>1</v>
      </c>
      <c r="BP119">
        <f t="shared" si="36"/>
        <v>0</v>
      </c>
      <c r="BQ119">
        <f t="shared" si="25"/>
        <v>1</v>
      </c>
      <c r="BR119">
        <f t="shared" si="37"/>
        <v>0</v>
      </c>
      <c r="BS119" s="9">
        <f t="shared" si="38"/>
        <v>0</v>
      </c>
      <c r="BT119" s="9">
        <f t="shared" si="39"/>
        <v>0</v>
      </c>
      <c r="BU119" s="9">
        <f t="shared" si="40"/>
        <v>0</v>
      </c>
      <c r="BV119" s="12">
        <f t="shared" si="41"/>
        <v>1.1044618033177373E-2</v>
      </c>
      <c r="BX119" s="12">
        <f t="shared" si="42"/>
        <v>0</v>
      </c>
      <c r="BY119" s="12">
        <f t="shared" si="43"/>
        <v>4.0527257554541424E-2</v>
      </c>
    </row>
    <row r="120" spans="1:77" x14ac:dyDescent="0.3">
      <c r="A120" s="1">
        <v>46197</v>
      </c>
      <c r="B120" s="8">
        <v>107.13</v>
      </c>
      <c r="C120" s="8">
        <v>120.56</v>
      </c>
      <c r="D120" s="9">
        <v>-1.0307933588065799E-2</v>
      </c>
      <c r="E120" s="9">
        <v>-1.06432257529751E-2</v>
      </c>
      <c r="F120" s="8">
        <v>0</v>
      </c>
      <c r="G120" s="8">
        <v>0.61460000000000004</v>
      </c>
      <c r="H120" s="8">
        <v>0</v>
      </c>
      <c r="I120" s="8">
        <v>0.62190000000000001</v>
      </c>
      <c r="J120" s="8">
        <v>0.61460000000000004</v>
      </c>
      <c r="K120" s="8">
        <v>0.62190000000000001</v>
      </c>
      <c r="L120" s="8">
        <v>107.744599999999</v>
      </c>
      <c r="M120" s="8">
        <v>121.1819</v>
      </c>
      <c r="N120" s="10">
        <v>1.12536171007187</v>
      </c>
      <c r="O120" s="10">
        <v>1.1144207265719701</v>
      </c>
      <c r="P120" s="10">
        <v>1.1223206287493499</v>
      </c>
      <c r="Q120" s="10">
        <v>1.1209488865131501</v>
      </c>
      <c r="R120" s="8">
        <v>119.387892437655</v>
      </c>
      <c r="S120" s="8">
        <v>120.189909473776</v>
      </c>
      <c r="T120" s="8">
        <v>120.075594727376</v>
      </c>
      <c r="U120" s="9">
        <v>-9.7697618711237305E-3</v>
      </c>
      <c r="V120" s="9">
        <v>-3.0744835464691501E-3</v>
      </c>
      <c r="W120" s="9">
        <v>-4.0260538137475502E-3</v>
      </c>
      <c r="X120" s="10">
        <v>1.12471437083621</v>
      </c>
      <c r="Y120" s="10">
        <v>1.1140664646848899</v>
      </c>
      <c r="Z120" s="10">
        <v>1.1216962113355899</v>
      </c>
      <c r="AA120" s="10">
        <v>1.1203922789701799</v>
      </c>
      <c r="AB120" s="8">
        <v>120.034645610887</v>
      </c>
      <c r="AC120" s="8">
        <v>120.812253752784</v>
      </c>
      <c r="AD120" s="8">
        <v>120.70679348316401</v>
      </c>
      <c r="AE120" s="9">
        <v>-9.5123080124902004E-3</v>
      </c>
      <c r="AF120" s="9">
        <v>-3.0550038418459E-3</v>
      </c>
      <c r="AG120" s="9">
        <v>-3.9283119931404599E-3</v>
      </c>
      <c r="AH120" s="12"/>
      <c r="AZ120" s="9"/>
      <c r="BB120">
        <f t="shared" si="26"/>
        <v>0</v>
      </c>
      <c r="BC120">
        <f t="shared" si="27"/>
        <v>0</v>
      </c>
      <c r="BD120">
        <f t="shared" si="28"/>
        <v>0</v>
      </c>
      <c r="BE120">
        <f t="shared" si="24"/>
        <v>1</v>
      </c>
      <c r="BF120">
        <f t="shared" si="29"/>
        <v>0</v>
      </c>
      <c r="BG120" s="9">
        <f t="shared" si="30"/>
        <v>0</v>
      </c>
      <c r="BH120" s="9">
        <f t="shared" si="31"/>
        <v>0</v>
      </c>
      <c r="BI120" s="9">
        <f t="shared" si="32"/>
        <v>0</v>
      </c>
      <c r="BJ120" s="12">
        <f t="shared" si="33"/>
        <v>2.9482639521364058E-2</v>
      </c>
      <c r="BL120" s="9"/>
      <c r="BN120">
        <f t="shared" si="34"/>
        <v>0</v>
      </c>
      <c r="BO120">
        <f t="shared" si="35"/>
        <v>1</v>
      </c>
      <c r="BP120">
        <f t="shared" si="36"/>
        <v>0</v>
      </c>
      <c r="BQ120">
        <f t="shared" si="25"/>
        <v>1</v>
      </c>
      <c r="BR120">
        <f t="shared" si="37"/>
        <v>0</v>
      </c>
      <c r="BS120" s="9">
        <f t="shared" si="38"/>
        <v>0</v>
      </c>
      <c r="BT120" s="9">
        <f t="shared" si="39"/>
        <v>0</v>
      </c>
      <c r="BU120" s="9">
        <f t="shared" si="40"/>
        <v>0</v>
      </c>
      <c r="BV120" s="12">
        <f t="shared" si="41"/>
        <v>1.1044618033177373E-2</v>
      </c>
      <c r="BX120" s="12">
        <f t="shared" si="42"/>
        <v>0</v>
      </c>
      <c r="BY120" s="12">
        <f t="shared" si="43"/>
        <v>4.0527257554541424E-2</v>
      </c>
    </row>
    <row r="121" spans="1:77" x14ac:dyDescent="0.3">
      <c r="A121" s="1">
        <v>46198</v>
      </c>
      <c r="B121" s="8">
        <v>107.52</v>
      </c>
      <c r="C121" s="8">
        <v>121.04</v>
      </c>
      <c r="D121" s="9">
        <v>3.6338265003726701E-3</v>
      </c>
      <c r="E121" s="9">
        <v>3.9735151618605297E-3</v>
      </c>
      <c r="F121" s="8">
        <v>0</v>
      </c>
      <c r="G121" s="8">
        <v>0.61460000000000004</v>
      </c>
      <c r="H121" s="8">
        <v>0</v>
      </c>
      <c r="I121" s="8">
        <v>0.62190000000000001</v>
      </c>
      <c r="J121" s="8">
        <v>0.61460000000000004</v>
      </c>
      <c r="K121" s="8">
        <v>0.62190000000000001</v>
      </c>
      <c r="L121" s="8">
        <v>108.134599999999</v>
      </c>
      <c r="M121" s="8">
        <v>121.6619</v>
      </c>
      <c r="N121" s="10">
        <v>1.1257440476190399</v>
      </c>
      <c r="O121" s="10">
        <v>1.1144207265719701</v>
      </c>
      <c r="P121" s="10">
        <v>1.1231013028611001</v>
      </c>
      <c r="Q121" s="10">
        <v>1.12114217812804</v>
      </c>
      <c r="R121" s="8">
        <v>119.822516521018</v>
      </c>
      <c r="S121" s="8">
        <v>120.67191400313</v>
      </c>
      <c r="T121" s="8">
        <v>120.524424277894</v>
      </c>
      <c r="U121" s="9">
        <v>-1.0109450532611501E-2</v>
      </c>
      <c r="V121" s="9">
        <v>-3.0456610541474702E-3</v>
      </c>
      <c r="W121" s="9">
        <v>-4.2686459855978296E-3</v>
      </c>
      <c r="X121" s="10">
        <v>1.1250968700120001</v>
      </c>
      <c r="Y121" s="10">
        <v>1.1140664646848899</v>
      </c>
      <c r="Z121" s="10">
        <v>1.1224748601793899</v>
      </c>
      <c r="AA121" s="10">
        <v>1.12056391813137</v>
      </c>
      <c r="AB121" s="8">
        <v>120.469131532115</v>
      </c>
      <c r="AC121" s="8">
        <v>121.29417113429</v>
      </c>
      <c r="AD121" s="8">
        <v>121.153170929529</v>
      </c>
      <c r="AE121" s="9">
        <v>-9.8523358090678893E-3</v>
      </c>
      <c r="AF121" s="9">
        <v>-3.0271245727631199E-3</v>
      </c>
      <c r="AG121" s="9">
        <v>-4.1902655621173504E-3</v>
      </c>
      <c r="AH121" s="12"/>
      <c r="AZ121" s="9"/>
      <c r="BB121">
        <f t="shared" si="26"/>
        <v>0</v>
      </c>
      <c r="BC121">
        <f t="shared" si="27"/>
        <v>0</v>
      </c>
      <c r="BD121">
        <f t="shared" si="28"/>
        <v>0</v>
      </c>
      <c r="BE121">
        <f t="shared" si="24"/>
        <v>1</v>
      </c>
      <c r="BF121">
        <f t="shared" si="29"/>
        <v>0</v>
      </c>
      <c r="BG121" s="9">
        <f t="shared" si="30"/>
        <v>0</v>
      </c>
      <c r="BH121" s="9">
        <f t="shared" si="31"/>
        <v>0</v>
      </c>
      <c r="BI121" s="9">
        <f t="shared" si="32"/>
        <v>0</v>
      </c>
      <c r="BJ121" s="12">
        <f t="shared" si="33"/>
        <v>2.9482639521364058E-2</v>
      </c>
      <c r="BL121" s="9"/>
      <c r="BN121">
        <f t="shared" si="34"/>
        <v>0</v>
      </c>
      <c r="BO121">
        <f t="shared" si="35"/>
        <v>1</v>
      </c>
      <c r="BP121">
        <f t="shared" si="36"/>
        <v>0</v>
      </c>
      <c r="BQ121">
        <f t="shared" si="25"/>
        <v>1</v>
      </c>
      <c r="BR121">
        <f t="shared" si="37"/>
        <v>0</v>
      </c>
      <c r="BS121" s="9">
        <f t="shared" si="38"/>
        <v>0</v>
      </c>
      <c r="BT121" s="9">
        <f t="shared" si="39"/>
        <v>0</v>
      </c>
      <c r="BU121" s="9">
        <f t="shared" si="40"/>
        <v>0</v>
      </c>
      <c r="BV121" s="12">
        <f t="shared" si="41"/>
        <v>1.1044618033177373E-2</v>
      </c>
      <c r="BX121" s="12">
        <f t="shared" si="42"/>
        <v>0</v>
      </c>
      <c r="BY121" s="12">
        <f t="shared" si="43"/>
        <v>4.0527257554541424E-2</v>
      </c>
    </row>
    <row r="122" spans="1:77" x14ac:dyDescent="0.3">
      <c r="A122" s="1">
        <v>46199</v>
      </c>
      <c r="B122" s="8">
        <v>105.5</v>
      </c>
      <c r="C122" s="8">
        <v>118.81</v>
      </c>
      <c r="D122" s="9">
        <v>-1.8965923858718099E-2</v>
      </c>
      <c r="E122" s="9">
        <v>-1.8595491009904399E-2</v>
      </c>
      <c r="F122" s="8">
        <v>0</v>
      </c>
      <c r="G122" s="8">
        <v>0.61460000000000004</v>
      </c>
      <c r="H122" s="8">
        <v>0</v>
      </c>
      <c r="I122" s="8">
        <v>0.62190000000000001</v>
      </c>
      <c r="J122" s="8">
        <v>0.61460000000000004</v>
      </c>
      <c r="K122" s="8">
        <v>0.62190000000000001</v>
      </c>
      <c r="L122" s="8">
        <v>106.1146</v>
      </c>
      <c r="M122" s="8">
        <v>119.4319</v>
      </c>
      <c r="N122" s="10">
        <v>1.1261611374407501</v>
      </c>
      <c r="O122" s="10">
        <v>1.1144207265719701</v>
      </c>
      <c r="P122" s="10">
        <v>1.12385413313614</v>
      </c>
      <c r="Q122" s="10">
        <v>1.12155996392692</v>
      </c>
      <c r="R122" s="8">
        <v>117.571386653343</v>
      </c>
      <c r="S122" s="8">
        <v>118.487187451846</v>
      </c>
      <c r="T122" s="8">
        <v>118.280499792508</v>
      </c>
      <c r="U122" s="9">
        <v>-1.04798833814253E-2</v>
      </c>
      <c r="V122" s="9">
        <v>-2.72074650992559E-3</v>
      </c>
      <c r="W122" s="9">
        <v>-4.4666579917309697E-3</v>
      </c>
      <c r="X122" s="10">
        <v>1.1254992244233999</v>
      </c>
      <c r="Y122" s="10">
        <v>1.1140664646848899</v>
      </c>
      <c r="Z122" s="10">
        <v>1.1232232603304999</v>
      </c>
      <c r="AA122" s="10">
        <v>1.12095836975459</v>
      </c>
      <c r="AB122" s="8">
        <v>118.21871727345101</v>
      </c>
      <c r="AC122" s="8">
        <v>119.110970797992</v>
      </c>
      <c r="AD122" s="8">
        <v>118.90819194694301</v>
      </c>
      <c r="AE122" s="9">
        <v>-1.0209889451575501E-2</v>
      </c>
      <c r="AF122" s="9">
        <v>-2.6907481624926198E-3</v>
      </c>
      <c r="AG122" s="9">
        <v>-4.3946353434264496E-3</v>
      </c>
      <c r="AH122" s="12"/>
      <c r="AZ122" s="9"/>
      <c r="BB122">
        <f t="shared" si="26"/>
        <v>0</v>
      </c>
      <c r="BC122">
        <f t="shared" si="27"/>
        <v>0</v>
      </c>
      <c r="BD122">
        <f t="shared" si="28"/>
        <v>0</v>
      </c>
      <c r="BE122">
        <f t="shared" si="24"/>
        <v>1</v>
      </c>
      <c r="BF122">
        <f t="shared" si="29"/>
        <v>0</v>
      </c>
      <c r="BG122" s="9">
        <f t="shared" si="30"/>
        <v>0</v>
      </c>
      <c r="BH122" s="9">
        <f t="shared" si="31"/>
        <v>0</v>
      </c>
      <c r="BI122" s="9">
        <f t="shared" si="32"/>
        <v>0</v>
      </c>
      <c r="BJ122" s="12">
        <f t="shared" si="33"/>
        <v>2.9482639521364058E-2</v>
      </c>
      <c r="BL122" s="9"/>
      <c r="BN122">
        <f t="shared" si="34"/>
        <v>0</v>
      </c>
      <c r="BO122">
        <f t="shared" si="35"/>
        <v>1</v>
      </c>
      <c r="BP122">
        <f t="shared" si="36"/>
        <v>0</v>
      </c>
      <c r="BQ122">
        <f t="shared" si="25"/>
        <v>1</v>
      </c>
      <c r="BR122">
        <f t="shared" si="37"/>
        <v>0</v>
      </c>
      <c r="BS122" s="9">
        <f t="shared" si="38"/>
        <v>0</v>
      </c>
      <c r="BT122" s="9">
        <f t="shared" si="39"/>
        <v>0</v>
      </c>
      <c r="BU122" s="9">
        <f t="shared" si="40"/>
        <v>0</v>
      </c>
      <c r="BV122" s="12">
        <f t="shared" si="41"/>
        <v>1.1044618033177373E-2</v>
      </c>
      <c r="BX122" s="12">
        <f t="shared" si="42"/>
        <v>0</v>
      </c>
      <c r="BY122" s="12">
        <f t="shared" si="43"/>
        <v>4.0527257554541424E-2</v>
      </c>
    </row>
    <row r="123" spans="1:77" x14ac:dyDescent="0.3">
      <c r="A123" s="1">
        <v>46202</v>
      </c>
      <c r="B123" s="8">
        <v>107.14</v>
      </c>
      <c r="C123" s="8">
        <v>120.81</v>
      </c>
      <c r="D123" s="9">
        <v>1.54254375366931E-2</v>
      </c>
      <c r="E123" s="9">
        <v>1.6693485061276499E-2</v>
      </c>
      <c r="F123" s="8">
        <v>0</v>
      </c>
      <c r="G123" s="8">
        <v>0.61460000000000004</v>
      </c>
      <c r="H123" s="8">
        <v>0</v>
      </c>
      <c r="I123" s="8">
        <v>0.62190000000000001</v>
      </c>
      <c r="J123" s="8">
        <v>0.61460000000000004</v>
      </c>
      <c r="K123" s="8">
        <v>0.62190000000000001</v>
      </c>
      <c r="L123" s="8">
        <v>107.7546</v>
      </c>
      <c r="M123" s="8">
        <v>121.4319</v>
      </c>
      <c r="N123" s="10">
        <v>1.1275900690684999</v>
      </c>
      <c r="O123" s="10">
        <v>1.1144207265719701</v>
      </c>
      <c r="P123" s="10">
        <v>1.1245715981268201</v>
      </c>
      <c r="Q123" s="10">
        <v>1.12212078097887</v>
      </c>
      <c r="R123" s="8">
        <v>119.399036644921</v>
      </c>
      <c r="S123" s="8">
        <v>120.40973182420601</v>
      </c>
      <c r="T123" s="8">
        <v>120.16393453513101</v>
      </c>
      <c r="U123" s="9">
        <v>-1.17479309060086E-2</v>
      </c>
      <c r="V123" s="9">
        <v>-3.3187048185459702E-3</v>
      </c>
      <c r="W123" s="9">
        <v>-5.3621319178108499E-3</v>
      </c>
      <c r="X123" s="10">
        <v>1.1269300800151401</v>
      </c>
      <c r="Y123" s="10">
        <v>1.1140664646848899</v>
      </c>
      <c r="Z123" s="10">
        <v>1.1239367828508899</v>
      </c>
      <c r="AA123" s="10">
        <v>1.1214956117292201</v>
      </c>
      <c r="AB123" s="8">
        <v>120.045786275534</v>
      </c>
      <c r="AC123" s="8">
        <v>121.03247312760899</v>
      </c>
      <c r="AD123" s="8">
        <v>120.788420749558</v>
      </c>
      <c r="AE123" s="9">
        <v>-1.1480389512456401E-2</v>
      </c>
      <c r="AF123" s="9">
        <v>-3.2947292714439001E-3</v>
      </c>
      <c r="AG123" s="9">
        <v>-5.3131856338960396E-3</v>
      </c>
      <c r="AH123" s="12"/>
      <c r="AZ123" s="9"/>
      <c r="BB123">
        <f t="shared" si="26"/>
        <v>1</v>
      </c>
      <c r="BC123">
        <f t="shared" si="27"/>
        <v>0</v>
      </c>
      <c r="BD123">
        <f t="shared" si="28"/>
        <v>0</v>
      </c>
      <c r="BE123">
        <f t="shared" si="24"/>
        <v>1</v>
      </c>
      <c r="BF123">
        <f t="shared" si="29"/>
        <v>0</v>
      </c>
      <c r="BG123" s="9">
        <f t="shared" si="30"/>
        <v>0</v>
      </c>
      <c r="BH123" s="9">
        <f t="shared" si="31"/>
        <v>0</v>
      </c>
      <c r="BI123" s="9">
        <f t="shared" si="32"/>
        <v>0</v>
      </c>
      <c r="BJ123" s="12">
        <f t="shared" si="33"/>
        <v>2.9482639521364058E-2</v>
      </c>
      <c r="BL123" s="9"/>
      <c r="BN123">
        <f t="shared" si="34"/>
        <v>0</v>
      </c>
      <c r="BO123">
        <f t="shared" si="35"/>
        <v>1</v>
      </c>
      <c r="BP123">
        <f t="shared" si="36"/>
        <v>0</v>
      </c>
      <c r="BQ123">
        <f t="shared" si="25"/>
        <v>1</v>
      </c>
      <c r="BR123">
        <f t="shared" si="37"/>
        <v>0</v>
      </c>
      <c r="BS123" s="9">
        <f t="shared" si="38"/>
        <v>0</v>
      </c>
      <c r="BT123" s="9">
        <f t="shared" si="39"/>
        <v>0</v>
      </c>
      <c r="BU123" s="9">
        <f t="shared" si="40"/>
        <v>0</v>
      </c>
      <c r="BV123" s="12">
        <f t="shared" si="41"/>
        <v>1.1044618033177373E-2</v>
      </c>
      <c r="BX123" s="12">
        <f t="shared" si="42"/>
        <v>0</v>
      </c>
      <c r="BY123" s="12">
        <f t="shared" si="43"/>
        <v>4.0527257554541424E-2</v>
      </c>
    </row>
    <row r="124" spans="1:77" x14ac:dyDescent="0.3">
      <c r="A124" s="1">
        <v>46203</v>
      </c>
      <c r="B124" s="8">
        <v>107.82</v>
      </c>
      <c r="C124" s="8">
        <v>121.74</v>
      </c>
      <c r="D124" s="9">
        <v>6.3267795707082197E-3</v>
      </c>
      <c r="E124" s="9">
        <v>7.66855953430592E-3</v>
      </c>
      <c r="F124" s="8">
        <v>0</v>
      </c>
      <c r="G124" s="8">
        <v>0.61460000000000004</v>
      </c>
      <c r="H124" s="8">
        <v>0</v>
      </c>
      <c r="I124" s="8">
        <v>0.62190000000000001</v>
      </c>
      <c r="J124" s="8">
        <v>0.61460000000000004</v>
      </c>
      <c r="K124" s="8">
        <v>0.62190000000000001</v>
      </c>
      <c r="L124" s="8">
        <v>108.43459999999899</v>
      </c>
      <c r="M124" s="8">
        <v>122.361899999999</v>
      </c>
      <c r="N124" s="10">
        <v>1.12910406232609</v>
      </c>
      <c r="O124" s="10">
        <v>1.1144207265719701</v>
      </c>
      <c r="P124" s="10">
        <v>1.12526555177676</v>
      </c>
      <c r="Q124" s="10">
        <v>1.1225447312394701</v>
      </c>
      <c r="R124" s="8">
        <v>120.15684273898999</v>
      </c>
      <c r="S124" s="8">
        <v>121.25130971003399</v>
      </c>
      <c r="T124" s="8">
        <v>120.987062605142</v>
      </c>
      <c r="U124" s="9">
        <v>-1.30897108696062E-2</v>
      </c>
      <c r="V124" s="9">
        <v>-4.0222915742837897E-3</v>
      </c>
      <c r="W124" s="9">
        <v>-6.2040038041137301E-3</v>
      </c>
      <c r="X124" s="10">
        <v>1.12843963089272</v>
      </c>
      <c r="Y124" s="10">
        <v>1.1140664646848899</v>
      </c>
      <c r="Z124" s="10">
        <v>1.1246256989499099</v>
      </c>
      <c r="AA124" s="10">
        <v>1.12191670817817</v>
      </c>
      <c r="AB124" s="8">
        <v>120.80335147152</v>
      </c>
      <c r="AC124" s="8">
        <v>121.873635473723</v>
      </c>
      <c r="AD124" s="8">
        <v>121.60892805961301</v>
      </c>
      <c r="AE124" s="9">
        <v>-1.28190180270569E-2</v>
      </c>
      <c r="AF124" s="9">
        <v>-3.9983139701602203E-3</v>
      </c>
      <c r="AG124" s="9">
        <v>-6.1726587327448398E-3</v>
      </c>
      <c r="AH124" s="12"/>
      <c r="AZ124" s="9"/>
      <c r="BB124">
        <f t="shared" si="26"/>
        <v>1</v>
      </c>
      <c r="BC124">
        <f t="shared" si="27"/>
        <v>0</v>
      </c>
      <c r="BD124">
        <f t="shared" si="28"/>
        <v>1</v>
      </c>
      <c r="BE124">
        <f t="shared" si="24"/>
        <v>0</v>
      </c>
      <c r="BF124">
        <f t="shared" si="29"/>
        <v>1</v>
      </c>
      <c r="BG124" s="9">
        <f t="shared" si="30"/>
        <v>6.3267795707082197E-3</v>
      </c>
      <c r="BH124" s="9">
        <f t="shared" si="31"/>
        <v>-7.66855953430592E-3</v>
      </c>
      <c r="BI124" s="9">
        <f t="shared" si="32"/>
        <v>-1.3417799635977003E-3</v>
      </c>
      <c r="BJ124" s="12">
        <f t="shared" si="33"/>
        <v>2.8140859557766358E-2</v>
      </c>
      <c r="BL124" s="9"/>
      <c r="BN124">
        <f t="shared" si="34"/>
        <v>0</v>
      </c>
      <c r="BO124">
        <f t="shared" si="35"/>
        <v>1</v>
      </c>
      <c r="BP124">
        <f t="shared" si="36"/>
        <v>0</v>
      </c>
      <c r="BQ124">
        <f t="shared" si="25"/>
        <v>0</v>
      </c>
      <c r="BR124">
        <f t="shared" si="37"/>
        <v>0</v>
      </c>
      <c r="BS124" s="9">
        <f t="shared" si="38"/>
        <v>0</v>
      </c>
      <c r="BT124" s="9">
        <f t="shared" si="39"/>
        <v>0</v>
      </c>
      <c r="BU124" s="9">
        <f t="shared" si="40"/>
        <v>0</v>
      </c>
      <c r="BV124" s="12">
        <f t="shared" si="41"/>
        <v>1.1044618033177373E-2</v>
      </c>
      <c r="BX124" s="12">
        <f t="shared" si="42"/>
        <v>-1.3417799635977003E-3</v>
      </c>
      <c r="BY124" s="12">
        <f t="shared" si="43"/>
        <v>3.9185477590943721E-2</v>
      </c>
    </row>
    <row r="125" spans="1:77" x14ac:dyDescent="0.3">
      <c r="A125" s="1">
        <v>46204</v>
      </c>
      <c r="B125" s="8">
        <v>105.85</v>
      </c>
      <c r="C125" s="8">
        <v>119.43</v>
      </c>
      <c r="D125" s="9">
        <v>-1.8440172442648499E-2</v>
      </c>
      <c r="E125" s="9">
        <v>-1.9157197385442699E-2</v>
      </c>
      <c r="F125" s="8">
        <v>9.11E-2</v>
      </c>
      <c r="G125" s="8">
        <v>0.70569999999999999</v>
      </c>
      <c r="H125" s="8">
        <v>0.1201</v>
      </c>
      <c r="I125" s="8">
        <v>0.74199999999999999</v>
      </c>
      <c r="J125" s="8">
        <v>0.70569999999999999</v>
      </c>
      <c r="K125" s="8">
        <v>0.74199999999999999</v>
      </c>
      <c r="L125" s="8">
        <v>106.55569999999901</v>
      </c>
      <c r="M125" s="8">
        <v>120.172</v>
      </c>
      <c r="N125" s="10">
        <v>1.12829475673122</v>
      </c>
      <c r="O125" s="10">
        <v>1.1144207265719701</v>
      </c>
      <c r="P125" s="10">
        <v>1.12596495803081</v>
      </c>
      <c r="Q125" s="10">
        <v>1.1230176233111699</v>
      </c>
      <c r="R125" s="8">
        <v>117.961433907643</v>
      </c>
      <c r="S125" s="8">
        <v>119.10935865557001</v>
      </c>
      <c r="T125" s="8">
        <v>118.82135980169799</v>
      </c>
      <c r="U125" s="9">
        <v>-1.2372685926811899E-2</v>
      </c>
      <c r="V125" s="9">
        <v>-2.6883742737697299E-3</v>
      </c>
      <c r="W125" s="9">
        <v>-5.1092386026201199E-3</v>
      </c>
      <c r="X125" s="10">
        <v>1.12778574961264</v>
      </c>
      <c r="Y125" s="10">
        <v>1.1140664646848899</v>
      </c>
      <c r="Z125" s="10">
        <v>1.12533528960132</v>
      </c>
      <c r="AA125" s="10">
        <v>1.12239366693597</v>
      </c>
      <c r="AB125" s="8">
        <v>118.710131991024</v>
      </c>
      <c r="AC125" s="8">
        <v>119.835278589597</v>
      </c>
      <c r="AD125" s="8">
        <v>119.54662018162099</v>
      </c>
      <c r="AE125" s="9">
        <v>-1.2239393930958299E-2</v>
      </c>
      <c r="AF125" s="9">
        <v>-2.8059284977121602E-3</v>
      </c>
      <c r="AG125" s="9">
        <v>-5.2176275390160703E-3</v>
      </c>
      <c r="AH125" s="12"/>
      <c r="AZ125" s="9"/>
      <c r="BB125">
        <f t="shared" si="26"/>
        <v>1</v>
      </c>
      <c r="BC125">
        <f t="shared" si="27"/>
        <v>0</v>
      </c>
      <c r="BD125">
        <f t="shared" si="28"/>
        <v>0</v>
      </c>
      <c r="BE125">
        <f t="shared" si="24"/>
        <v>1</v>
      </c>
      <c r="BF125">
        <f t="shared" si="29"/>
        <v>0</v>
      </c>
      <c r="BG125" s="9">
        <f t="shared" si="30"/>
        <v>0</v>
      </c>
      <c r="BH125" s="9">
        <f t="shared" si="31"/>
        <v>0</v>
      </c>
      <c r="BI125" s="9">
        <f t="shared" si="32"/>
        <v>0</v>
      </c>
      <c r="BJ125" s="12">
        <f t="shared" si="33"/>
        <v>2.8140859557766358E-2</v>
      </c>
      <c r="BL125" s="9"/>
      <c r="BN125">
        <f t="shared" si="34"/>
        <v>0</v>
      </c>
      <c r="BO125">
        <f t="shared" si="35"/>
        <v>1</v>
      </c>
      <c r="BP125">
        <f t="shared" si="36"/>
        <v>0</v>
      </c>
      <c r="BQ125">
        <f t="shared" si="25"/>
        <v>1</v>
      </c>
      <c r="BR125">
        <f t="shared" si="37"/>
        <v>0</v>
      </c>
      <c r="BS125" s="9">
        <f t="shared" si="38"/>
        <v>0</v>
      </c>
      <c r="BT125" s="9">
        <f t="shared" si="39"/>
        <v>0</v>
      </c>
      <c r="BU125" s="9">
        <f t="shared" si="40"/>
        <v>0</v>
      </c>
      <c r="BV125" s="12">
        <f t="shared" si="41"/>
        <v>1.1044618033177373E-2</v>
      </c>
      <c r="BX125" s="12">
        <f t="shared" si="42"/>
        <v>0</v>
      </c>
      <c r="BY125" s="12">
        <f t="shared" si="43"/>
        <v>3.9185477590943721E-2</v>
      </c>
    </row>
    <row r="126" spans="1:77" x14ac:dyDescent="0.3">
      <c r="A126" s="1">
        <v>46205</v>
      </c>
      <c r="B126" s="8">
        <v>104.38</v>
      </c>
      <c r="C126" s="8">
        <v>117.43</v>
      </c>
      <c r="D126" s="9">
        <v>-1.39849113656069E-2</v>
      </c>
      <c r="E126" s="9">
        <v>-1.6888014303345699E-2</v>
      </c>
      <c r="F126" s="8">
        <v>0</v>
      </c>
      <c r="G126" s="8">
        <v>0.70569999999999999</v>
      </c>
      <c r="H126" s="8">
        <v>0</v>
      </c>
      <c r="I126" s="8">
        <v>0.74199999999999999</v>
      </c>
      <c r="J126" s="8">
        <v>0.70569999999999999</v>
      </c>
      <c r="K126" s="8">
        <v>0.74199999999999999</v>
      </c>
      <c r="L126" s="8">
        <v>105.08569999999899</v>
      </c>
      <c r="M126" s="8">
        <v>118.172</v>
      </c>
      <c r="N126" s="10">
        <v>1.1250239509484501</v>
      </c>
      <c r="O126" s="10">
        <v>1.1144207265719701</v>
      </c>
      <c r="P126" s="10">
        <v>1.1262069916138799</v>
      </c>
      <c r="Q126" s="10">
        <v>1.12322094949006</v>
      </c>
      <c r="R126" s="8">
        <v>116.32323543958201</v>
      </c>
      <c r="S126" s="8">
        <v>117.528222319256</v>
      </c>
      <c r="T126" s="8">
        <v>117.22057952122</v>
      </c>
      <c r="U126" s="9">
        <v>-9.4695829890730603E-3</v>
      </c>
      <c r="V126" s="9">
        <v>8.3608331735108004E-4</v>
      </c>
      <c r="W126" s="9">
        <v>-1.7849564642782099E-3</v>
      </c>
      <c r="X126" s="10">
        <v>1.12452978854401</v>
      </c>
      <c r="Y126" s="10">
        <v>1.1140664646848899</v>
      </c>
      <c r="Z126" s="10">
        <v>1.12558968573652</v>
      </c>
      <c r="AA126" s="10">
        <v>1.1226027372673899</v>
      </c>
      <c r="AB126" s="8">
        <v>117.07245428793701</v>
      </c>
      <c r="AC126" s="8">
        <v>118.256646642457</v>
      </c>
      <c r="AD126" s="8">
        <v>117.947524165533</v>
      </c>
      <c r="AE126" s="9">
        <v>-9.3481797280212196E-3</v>
      </c>
      <c r="AF126" s="9">
        <v>7.1604390818403305E-4</v>
      </c>
      <c r="AG126" s="9">
        <v>-1.9013751860398199E-3</v>
      </c>
      <c r="AH126" s="12"/>
      <c r="AZ126" s="9"/>
      <c r="BB126">
        <f t="shared" si="26"/>
        <v>0</v>
      </c>
      <c r="BC126">
        <f t="shared" si="27"/>
        <v>1</v>
      </c>
      <c r="BD126">
        <f t="shared" si="28"/>
        <v>1</v>
      </c>
      <c r="BE126">
        <f t="shared" si="24"/>
        <v>1</v>
      </c>
      <c r="BF126">
        <f t="shared" si="29"/>
        <v>1</v>
      </c>
      <c r="BG126" s="9">
        <f t="shared" si="30"/>
        <v>-1.39849113656069E-2</v>
      </c>
      <c r="BH126" s="9">
        <f t="shared" si="31"/>
        <v>1.6888014303345699E-2</v>
      </c>
      <c r="BI126" s="9">
        <f t="shared" si="32"/>
        <v>2.9031029377387992E-3</v>
      </c>
      <c r="BJ126" s="12">
        <f t="shared" si="33"/>
        <v>3.1043962495505159E-2</v>
      </c>
      <c r="BL126" s="9"/>
      <c r="BN126">
        <f t="shared" si="34"/>
        <v>0</v>
      </c>
      <c r="BO126">
        <f t="shared" si="35"/>
        <v>1</v>
      </c>
      <c r="BP126">
        <f t="shared" si="36"/>
        <v>0</v>
      </c>
      <c r="BQ126">
        <f t="shared" si="25"/>
        <v>1</v>
      </c>
      <c r="BR126">
        <f t="shared" si="37"/>
        <v>0</v>
      </c>
      <c r="BS126" s="9">
        <f t="shared" si="38"/>
        <v>0</v>
      </c>
      <c r="BT126" s="9">
        <f t="shared" si="39"/>
        <v>0</v>
      </c>
      <c r="BU126" s="9">
        <f t="shared" si="40"/>
        <v>0</v>
      </c>
      <c r="BV126" s="12">
        <f t="shared" si="41"/>
        <v>1.1044618033177373E-2</v>
      </c>
      <c r="BX126" s="12">
        <f t="shared" si="42"/>
        <v>2.9031029377387992E-3</v>
      </c>
      <c r="BY126" s="12">
        <f t="shared" si="43"/>
        <v>4.2088580528682522E-2</v>
      </c>
    </row>
    <row r="127" spans="1:77" x14ac:dyDescent="0.3">
      <c r="A127" s="1">
        <v>46209</v>
      </c>
      <c r="B127" s="8">
        <v>105.33</v>
      </c>
      <c r="C127" s="8">
        <v>118.19</v>
      </c>
      <c r="D127" s="9">
        <v>9.0601926331833303E-3</v>
      </c>
      <c r="E127" s="9">
        <v>6.4510876471593403E-3</v>
      </c>
      <c r="F127" s="8">
        <v>0</v>
      </c>
      <c r="G127" s="8">
        <v>0.70569999999999999</v>
      </c>
      <c r="H127" s="8">
        <v>0</v>
      </c>
      <c r="I127" s="8">
        <v>0.74199999999999999</v>
      </c>
      <c r="J127" s="8">
        <v>0.70569999999999999</v>
      </c>
      <c r="K127" s="8">
        <v>0.74199999999999999</v>
      </c>
      <c r="L127" s="8">
        <v>106.035699999999</v>
      </c>
      <c r="M127" s="8">
        <v>118.932</v>
      </c>
      <c r="N127" s="10">
        <v>1.1220924712807301</v>
      </c>
      <c r="O127" s="10">
        <v>1.1144207265719701</v>
      </c>
      <c r="P127" s="10">
        <v>1.12605414794795</v>
      </c>
      <c r="Q127" s="10">
        <v>1.12333432738567</v>
      </c>
      <c r="R127" s="8">
        <v>117.381935129826</v>
      </c>
      <c r="S127" s="8">
        <v>118.62338242669</v>
      </c>
      <c r="T127" s="8">
        <v>118.30886260978799</v>
      </c>
      <c r="U127" s="9">
        <v>-6.8604780030491102E-3</v>
      </c>
      <c r="V127" s="9">
        <v>3.6601217892836299E-3</v>
      </c>
      <c r="W127" s="9">
        <v>1.00518555129727E-3</v>
      </c>
      <c r="X127" s="10">
        <v>1.12162224609258</v>
      </c>
      <c r="Y127" s="10">
        <v>1.1140664646848899</v>
      </c>
      <c r="Z127" s="10">
        <v>1.1254515828118901</v>
      </c>
      <c r="AA127" s="10">
        <v>1.1227226853510699</v>
      </c>
      <c r="AB127" s="8">
        <v>118.13081742938699</v>
      </c>
      <c r="AC127" s="8">
        <v>119.352690239852</v>
      </c>
      <c r="AD127" s="8">
        <v>119.035967068064</v>
      </c>
      <c r="AE127" s="9">
        <v>-6.7592685318368199E-3</v>
      </c>
      <c r="AF127" s="9">
        <v>3.5309920794571398E-3</v>
      </c>
      <c r="AG127" s="9">
        <v>8.7379050181030603E-4</v>
      </c>
      <c r="AH127" s="12"/>
      <c r="AZ127" s="9"/>
      <c r="BB127">
        <f t="shared" si="26"/>
        <v>0</v>
      </c>
      <c r="BC127">
        <f t="shared" si="27"/>
        <v>1</v>
      </c>
      <c r="BD127">
        <f t="shared" si="28"/>
        <v>0</v>
      </c>
      <c r="BE127">
        <f t="shared" si="24"/>
        <v>1</v>
      </c>
      <c r="BF127">
        <f t="shared" si="29"/>
        <v>0</v>
      </c>
      <c r="BG127" s="9">
        <f t="shared" si="30"/>
        <v>0</v>
      </c>
      <c r="BH127" s="9">
        <f t="shared" si="31"/>
        <v>0</v>
      </c>
      <c r="BI127" s="9">
        <f t="shared" si="32"/>
        <v>0</v>
      </c>
      <c r="BJ127" s="12">
        <f t="shared" si="33"/>
        <v>3.1043962495505159E-2</v>
      </c>
      <c r="BL127" s="9"/>
      <c r="BN127">
        <f t="shared" si="34"/>
        <v>0</v>
      </c>
      <c r="BO127">
        <f t="shared" si="35"/>
        <v>1</v>
      </c>
      <c r="BP127">
        <f t="shared" si="36"/>
        <v>0</v>
      </c>
      <c r="BQ127">
        <f t="shared" si="25"/>
        <v>1</v>
      </c>
      <c r="BR127">
        <f t="shared" si="37"/>
        <v>0</v>
      </c>
      <c r="BS127" s="9">
        <f t="shared" si="38"/>
        <v>0</v>
      </c>
      <c r="BT127" s="9">
        <f t="shared" si="39"/>
        <v>0</v>
      </c>
      <c r="BU127" s="9">
        <f t="shared" si="40"/>
        <v>0</v>
      </c>
      <c r="BV127" s="12">
        <f t="shared" si="41"/>
        <v>1.1044618033177373E-2</v>
      </c>
      <c r="BX127" s="12">
        <f t="shared" si="42"/>
        <v>0</v>
      </c>
      <c r="BY127" s="12">
        <f t="shared" si="43"/>
        <v>4.2088580528682522E-2</v>
      </c>
    </row>
    <row r="128" spans="1:77" x14ac:dyDescent="0.3">
      <c r="A128" s="1">
        <v>46210</v>
      </c>
      <c r="B128" s="8">
        <v>103.85</v>
      </c>
      <c r="C128" s="8">
        <v>116.3</v>
      </c>
      <c r="D128" s="9">
        <v>-1.41507285263292E-2</v>
      </c>
      <c r="E128" s="9">
        <v>-1.61204394995304E-2</v>
      </c>
      <c r="F128" s="8">
        <v>0</v>
      </c>
      <c r="G128" s="8">
        <v>0.70569999999999999</v>
      </c>
      <c r="H128" s="8">
        <v>0</v>
      </c>
      <c r="I128" s="8">
        <v>0.74199999999999999</v>
      </c>
      <c r="J128" s="8">
        <v>0.70569999999999999</v>
      </c>
      <c r="K128" s="8">
        <v>0.74199999999999999</v>
      </c>
      <c r="L128" s="8">
        <v>104.55569999999901</v>
      </c>
      <c r="M128" s="8">
        <v>117.042</v>
      </c>
      <c r="N128" s="10">
        <v>1.11988444872412</v>
      </c>
      <c r="O128" s="10">
        <v>1.1144207265719701</v>
      </c>
      <c r="P128" s="10">
        <v>1.1254995752510899</v>
      </c>
      <c r="Q128" s="10">
        <v>1.12342719089381</v>
      </c>
      <c r="R128" s="8">
        <v>115.732592454499</v>
      </c>
      <c r="S128" s="8">
        <v>116.940723264395</v>
      </c>
      <c r="T128" s="8">
        <v>116.65826989900199</v>
      </c>
      <c r="U128" s="9">
        <v>-4.8907670298478801E-3</v>
      </c>
      <c r="V128" s="9">
        <v>5.4941081225028396E-3</v>
      </c>
      <c r="W128" s="9">
        <v>3.0758314063332802E-3</v>
      </c>
      <c r="X128" s="10">
        <v>1.1194224705109299</v>
      </c>
      <c r="Y128" s="10">
        <v>1.1140664646848899</v>
      </c>
      <c r="Z128" s="10">
        <v>1.1249136660221599</v>
      </c>
      <c r="AA128" s="10">
        <v>1.1228232684806001</v>
      </c>
      <c r="AB128" s="8">
        <v>116.48199906165399</v>
      </c>
      <c r="AC128" s="8">
        <v>117.67237805700501</v>
      </c>
      <c r="AD128" s="8">
        <v>117.387056272761</v>
      </c>
      <c r="AE128" s="9">
        <v>-4.7960981659268499E-3</v>
      </c>
      <c r="AF128" s="9">
        <v>5.3714610744639898E-3</v>
      </c>
      <c r="AG128" s="9">
        <v>2.9438033615357901E-3</v>
      </c>
      <c r="AH128" s="12"/>
      <c r="AZ128" s="9"/>
      <c r="BB128">
        <f t="shared" si="26"/>
        <v>0</v>
      </c>
      <c r="BC128">
        <f t="shared" si="27"/>
        <v>1</v>
      </c>
      <c r="BD128">
        <f t="shared" si="28"/>
        <v>0</v>
      </c>
      <c r="BE128">
        <f t="shared" si="24"/>
        <v>1</v>
      </c>
      <c r="BF128">
        <f t="shared" si="29"/>
        <v>0</v>
      </c>
      <c r="BG128" s="9">
        <f t="shared" si="30"/>
        <v>0</v>
      </c>
      <c r="BH128" s="9">
        <f t="shared" si="31"/>
        <v>0</v>
      </c>
      <c r="BI128" s="9">
        <f t="shared" si="32"/>
        <v>0</v>
      </c>
      <c r="BJ128" s="12">
        <f t="shared" si="33"/>
        <v>3.1043962495505159E-2</v>
      </c>
      <c r="BL128" s="9"/>
      <c r="BN128">
        <f t="shared" si="34"/>
        <v>0</v>
      </c>
      <c r="BO128">
        <f t="shared" si="35"/>
        <v>0</v>
      </c>
      <c r="BP128">
        <f t="shared" si="36"/>
        <v>0</v>
      </c>
      <c r="BQ128">
        <f t="shared" si="25"/>
        <v>1</v>
      </c>
      <c r="BR128">
        <f t="shared" si="37"/>
        <v>0</v>
      </c>
      <c r="BS128" s="9">
        <f t="shared" si="38"/>
        <v>0</v>
      </c>
      <c r="BT128" s="9">
        <f t="shared" si="39"/>
        <v>0</v>
      </c>
      <c r="BU128" s="9">
        <f t="shared" si="40"/>
        <v>0</v>
      </c>
      <c r="BV128" s="12">
        <f t="shared" si="41"/>
        <v>1.1044618033177373E-2</v>
      </c>
      <c r="BX128" s="12">
        <f t="shared" si="42"/>
        <v>0</v>
      </c>
      <c r="BY128" s="12">
        <f t="shared" si="43"/>
        <v>4.2088580528682522E-2</v>
      </c>
    </row>
    <row r="129" spans="1:77" x14ac:dyDescent="0.3">
      <c r="A129" s="1">
        <v>46211</v>
      </c>
      <c r="B129" s="8">
        <v>104.65</v>
      </c>
      <c r="C129" s="8">
        <v>117.08</v>
      </c>
      <c r="D129" s="9">
        <v>7.6738985698875904E-3</v>
      </c>
      <c r="E129" s="9">
        <v>6.6844022990664E-3</v>
      </c>
      <c r="F129" s="8">
        <v>0</v>
      </c>
      <c r="G129" s="8">
        <v>0.70569999999999999</v>
      </c>
      <c r="H129" s="8">
        <v>0</v>
      </c>
      <c r="I129" s="8">
        <v>0.74199999999999999</v>
      </c>
      <c r="J129" s="8">
        <v>0.70569999999999999</v>
      </c>
      <c r="K129" s="8">
        <v>0.74199999999999999</v>
      </c>
      <c r="L129" s="8">
        <v>105.3557</v>
      </c>
      <c r="M129" s="8">
        <v>117.822</v>
      </c>
      <c r="N129" s="10">
        <v>1.11877687529861</v>
      </c>
      <c r="O129" s="10">
        <v>1.1144207265719701</v>
      </c>
      <c r="P129" s="10">
        <v>1.12480335295094</v>
      </c>
      <c r="Q129" s="10">
        <v>1.1233552351134599</v>
      </c>
      <c r="R129" s="8">
        <v>116.62412903575699</v>
      </c>
      <c r="S129" s="8">
        <v>117.783530550026</v>
      </c>
      <c r="T129" s="8">
        <v>117.566655527037</v>
      </c>
      <c r="U129" s="9">
        <v>-3.9012707590268302E-3</v>
      </c>
      <c r="V129" s="9">
        <v>5.9909910460433802E-3</v>
      </c>
      <c r="W129" s="9">
        <v>4.1479919986152696E-3</v>
      </c>
      <c r="X129" s="10">
        <v>1.11832582385196</v>
      </c>
      <c r="Y129" s="10">
        <v>1.1140664646848899</v>
      </c>
      <c r="Z129" s="10">
        <v>1.12423662547916</v>
      </c>
      <c r="AA129" s="10">
        <v>1.1227601163788501</v>
      </c>
      <c r="AB129" s="8">
        <v>117.373252233402</v>
      </c>
      <c r="AC129" s="8">
        <v>118.51606672333099</v>
      </c>
      <c r="AD129" s="8">
        <v>118.295831427062</v>
      </c>
      <c r="AE129" s="9">
        <v>-3.81596402883216E-3</v>
      </c>
      <c r="AF129" s="9">
        <v>5.8735245514723996E-3</v>
      </c>
      <c r="AG129" s="9">
        <v>4.0135220644040102E-3</v>
      </c>
      <c r="AH129" s="12"/>
      <c r="AZ129" s="9"/>
      <c r="BB129">
        <f t="shared" si="26"/>
        <v>0</v>
      </c>
      <c r="BC129">
        <f t="shared" si="27"/>
        <v>1</v>
      </c>
      <c r="BD129">
        <f t="shared" si="28"/>
        <v>0</v>
      </c>
      <c r="BE129">
        <f t="shared" si="24"/>
        <v>1</v>
      </c>
      <c r="BF129">
        <f t="shared" si="29"/>
        <v>0</v>
      </c>
      <c r="BG129" s="9">
        <f t="shared" si="30"/>
        <v>0</v>
      </c>
      <c r="BH129" s="9">
        <f t="shared" si="31"/>
        <v>0</v>
      </c>
      <c r="BI129" s="9">
        <f t="shared" si="32"/>
        <v>0</v>
      </c>
      <c r="BJ129" s="12">
        <f t="shared" si="33"/>
        <v>3.1043962495505159E-2</v>
      </c>
      <c r="BL129" s="9"/>
      <c r="BN129">
        <f t="shared" si="34"/>
        <v>1</v>
      </c>
      <c r="BO129">
        <f t="shared" si="35"/>
        <v>0</v>
      </c>
      <c r="BP129">
        <f t="shared" si="36"/>
        <v>0</v>
      </c>
      <c r="BQ129">
        <f t="shared" si="25"/>
        <v>1</v>
      </c>
      <c r="BR129">
        <f t="shared" si="37"/>
        <v>0</v>
      </c>
      <c r="BS129" s="9">
        <f t="shared" si="38"/>
        <v>0</v>
      </c>
      <c r="BT129" s="9">
        <f t="shared" si="39"/>
        <v>0</v>
      </c>
      <c r="BU129" s="9">
        <f t="shared" si="40"/>
        <v>0</v>
      </c>
      <c r="BV129" s="12">
        <f t="shared" si="41"/>
        <v>1.1044618033177373E-2</v>
      </c>
      <c r="BX129" s="12">
        <f t="shared" si="42"/>
        <v>0</v>
      </c>
      <c r="BY129" s="12">
        <f t="shared" si="43"/>
        <v>4.2088580528682522E-2</v>
      </c>
    </row>
    <row r="130" spans="1:77" x14ac:dyDescent="0.3">
      <c r="A130" s="1">
        <v>46212</v>
      </c>
      <c r="B130" s="8">
        <v>105.62</v>
      </c>
      <c r="C130" s="8">
        <v>118.56</v>
      </c>
      <c r="D130" s="9">
        <v>9.2262983867784192E-3</v>
      </c>
      <c r="E130" s="9">
        <v>1.25616997240916E-2</v>
      </c>
      <c r="F130" s="8">
        <v>0</v>
      </c>
      <c r="G130" s="8">
        <v>0.70569999999999999</v>
      </c>
      <c r="H130" s="8">
        <v>0</v>
      </c>
      <c r="I130" s="8">
        <v>0.74199999999999999</v>
      </c>
      <c r="J130" s="8">
        <v>0.70569999999999999</v>
      </c>
      <c r="K130" s="8">
        <v>0.74199999999999999</v>
      </c>
      <c r="L130" s="8">
        <v>106.3257</v>
      </c>
      <c r="M130" s="8">
        <v>119.30200000000001</v>
      </c>
      <c r="N130" s="10">
        <v>1.1225146752508901</v>
      </c>
      <c r="O130" s="10">
        <v>1.1144207265719701</v>
      </c>
      <c r="P130" s="10">
        <v>1.1245186494688399</v>
      </c>
      <c r="Q130" s="10">
        <v>1.1234196391091</v>
      </c>
      <c r="R130" s="8">
        <v>117.705117140532</v>
      </c>
      <c r="S130" s="8">
        <v>118.801730138678</v>
      </c>
      <c r="T130" s="8">
        <v>118.64877993268399</v>
      </c>
      <c r="U130" s="9">
        <v>-7.2366720963401403E-3</v>
      </c>
      <c r="V130" s="9">
        <v>2.0368087316134601E-3</v>
      </c>
      <c r="W130" s="9">
        <v>7.4853837075224399E-4</v>
      </c>
      <c r="X130" s="10">
        <v>1.12204293035456</v>
      </c>
      <c r="Y130" s="10">
        <v>1.1140664646848899</v>
      </c>
      <c r="Z130" s="10">
        <v>1.12396948143099</v>
      </c>
      <c r="AA130" s="10">
        <v>1.12283284638329</v>
      </c>
      <c r="AB130" s="8">
        <v>118.453896704146</v>
      </c>
      <c r="AC130" s="8">
        <v>119.535246169709</v>
      </c>
      <c r="AD130" s="8">
        <v>119.378255306063</v>
      </c>
      <c r="AE130" s="9">
        <v>-7.1342658989287204E-3</v>
      </c>
      <c r="AF130" s="9">
        <v>1.95318148740912E-3</v>
      </c>
      <c r="AG130" s="9">
        <v>6.3897458597983404E-4</v>
      </c>
      <c r="AH130" s="12"/>
      <c r="AZ130" s="9"/>
      <c r="BB130">
        <f t="shared" si="26"/>
        <v>0</v>
      </c>
      <c r="BC130">
        <f t="shared" si="27"/>
        <v>1</v>
      </c>
      <c r="BD130">
        <f t="shared" si="28"/>
        <v>0</v>
      </c>
      <c r="BE130">
        <f t="shared" si="24"/>
        <v>1</v>
      </c>
      <c r="BF130">
        <f t="shared" si="29"/>
        <v>0</v>
      </c>
      <c r="BG130" s="9">
        <f t="shared" si="30"/>
        <v>0</v>
      </c>
      <c r="BH130" s="9">
        <f t="shared" si="31"/>
        <v>0</v>
      </c>
      <c r="BI130" s="9">
        <f t="shared" si="32"/>
        <v>0</v>
      </c>
      <c r="BJ130" s="12">
        <f t="shared" si="33"/>
        <v>3.1043962495505159E-2</v>
      </c>
      <c r="BL130" s="9"/>
      <c r="BN130">
        <f t="shared" si="34"/>
        <v>0</v>
      </c>
      <c r="BO130">
        <f t="shared" si="35"/>
        <v>1</v>
      </c>
      <c r="BP130">
        <f t="shared" si="36"/>
        <v>1</v>
      </c>
      <c r="BQ130">
        <f t="shared" si="25"/>
        <v>1</v>
      </c>
      <c r="BR130">
        <f t="shared" si="37"/>
        <v>1</v>
      </c>
      <c r="BS130" s="9">
        <f t="shared" si="38"/>
        <v>-9.2262983867784192E-3</v>
      </c>
      <c r="BT130" s="9">
        <f t="shared" si="39"/>
        <v>1.25616997240916E-2</v>
      </c>
      <c r="BU130" s="9">
        <f t="shared" si="40"/>
        <v>3.3354013373131809E-3</v>
      </c>
      <c r="BV130" s="12">
        <f t="shared" si="41"/>
        <v>1.4380019370490554E-2</v>
      </c>
      <c r="BX130" s="12">
        <f t="shared" si="42"/>
        <v>3.3354013373131809E-3</v>
      </c>
      <c r="BY130" s="12">
        <f t="shared" si="43"/>
        <v>4.5423981865995701E-2</v>
      </c>
    </row>
    <row r="131" spans="1:77" x14ac:dyDescent="0.3">
      <c r="A131" s="1">
        <v>46213</v>
      </c>
      <c r="B131" s="8">
        <v>105.24</v>
      </c>
      <c r="C131" s="8">
        <v>117.92</v>
      </c>
      <c r="D131" s="9">
        <v>-3.6042911066952298E-3</v>
      </c>
      <c r="E131" s="9">
        <v>-5.4127331067503302E-3</v>
      </c>
      <c r="F131" s="8">
        <v>0</v>
      </c>
      <c r="G131" s="8">
        <v>0.70569999999999999</v>
      </c>
      <c r="H131" s="8">
        <v>0</v>
      </c>
      <c r="I131" s="8">
        <v>0.74199999999999999</v>
      </c>
      <c r="J131" s="8">
        <v>0.70569999999999999</v>
      </c>
      <c r="K131" s="8">
        <v>0.74199999999999999</v>
      </c>
      <c r="L131" s="8">
        <v>105.94569999999899</v>
      </c>
      <c r="M131" s="8">
        <v>118.66200000000001</v>
      </c>
      <c r="N131" s="10">
        <v>1.12048650703154</v>
      </c>
      <c r="O131" s="10">
        <v>1.1144207265719701</v>
      </c>
      <c r="P131" s="10">
        <v>1.12399289541009</v>
      </c>
      <c r="Q131" s="10">
        <v>1.1235470991356</v>
      </c>
      <c r="R131" s="8">
        <v>117.281637264434</v>
      </c>
      <c r="S131" s="8">
        <v>118.344342670101</v>
      </c>
      <c r="T131" s="8">
        <v>118.228682819841</v>
      </c>
      <c r="U131" s="9">
        <v>-5.4282300962850902E-3</v>
      </c>
      <c r="V131" s="9">
        <v>3.5921046873833599E-3</v>
      </c>
      <c r="W131" s="9">
        <v>2.6143105433966301E-3</v>
      </c>
      <c r="X131" s="10">
        <v>1.12002657965353</v>
      </c>
      <c r="Y131" s="10">
        <v>1.1140664646848899</v>
      </c>
      <c r="Z131" s="10">
        <v>1.12346245239515</v>
      </c>
      <c r="AA131" s="10">
        <v>1.1229686562872701</v>
      </c>
      <c r="AB131" s="8">
        <v>118.030551447566</v>
      </c>
      <c r="AC131" s="8">
        <v>119.079733488844</v>
      </c>
      <c r="AD131" s="8">
        <v>118.95931189306999</v>
      </c>
      <c r="AE131" s="9">
        <v>-5.3356140412403599E-3</v>
      </c>
      <c r="AF131" s="9">
        <v>3.5141824921777701E-3</v>
      </c>
      <c r="AG131" s="9">
        <v>2.50240221173677E-3</v>
      </c>
      <c r="AH131" s="12"/>
      <c r="AZ131" s="9"/>
      <c r="BB131">
        <f t="shared" si="26"/>
        <v>0</v>
      </c>
      <c r="BC131">
        <f t="shared" si="27"/>
        <v>1</v>
      </c>
      <c r="BD131">
        <f t="shared" si="28"/>
        <v>0</v>
      </c>
      <c r="BE131">
        <f t="shared" si="24"/>
        <v>1</v>
      </c>
      <c r="BF131">
        <f t="shared" si="29"/>
        <v>0</v>
      </c>
      <c r="BG131" s="9">
        <f t="shared" si="30"/>
        <v>0</v>
      </c>
      <c r="BH131" s="9">
        <f t="shared" si="31"/>
        <v>0</v>
      </c>
      <c r="BI131" s="9">
        <f t="shared" si="32"/>
        <v>0</v>
      </c>
      <c r="BJ131" s="12">
        <f t="shared" si="33"/>
        <v>3.1043962495505159E-2</v>
      </c>
      <c r="BL131" s="9"/>
      <c r="BN131">
        <f t="shared" si="34"/>
        <v>0</v>
      </c>
      <c r="BO131">
        <f t="shared" si="35"/>
        <v>0</v>
      </c>
      <c r="BP131">
        <f t="shared" si="36"/>
        <v>0</v>
      </c>
      <c r="BQ131">
        <f t="shared" si="25"/>
        <v>1</v>
      </c>
      <c r="BR131">
        <f t="shared" si="37"/>
        <v>0</v>
      </c>
      <c r="BS131" s="9">
        <f t="shared" si="38"/>
        <v>0</v>
      </c>
      <c r="BT131" s="9">
        <f t="shared" si="39"/>
        <v>0</v>
      </c>
      <c r="BU131" s="9">
        <f t="shared" si="40"/>
        <v>0</v>
      </c>
      <c r="BV131" s="12">
        <f t="shared" si="41"/>
        <v>1.4380019370490554E-2</v>
      </c>
      <c r="BX131" s="12">
        <f t="shared" si="42"/>
        <v>0</v>
      </c>
      <c r="BY131" s="12">
        <f t="shared" si="43"/>
        <v>4.5423981865995701E-2</v>
      </c>
    </row>
    <row r="132" spans="1:77" x14ac:dyDescent="0.3">
      <c r="A132" s="1">
        <v>46216</v>
      </c>
      <c r="B132" s="8">
        <v>103.86</v>
      </c>
      <c r="C132" s="8">
        <v>116.38</v>
      </c>
      <c r="D132" s="9">
        <v>-1.3199617755919E-2</v>
      </c>
      <c r="E132" s="9">
        <v>-1.3145729212502601E-2</v>
      </c>
      <c r="F132" s="8">
        <v>0</v>
      </c>
      <c r="G132" s="8">
        <v>0.70569999999999999</v>
      </c>
      <c r="H132" s="8">
        <v>0</v>
      </c>
      <c r="I132" s="8">
        <v>0.74199999999999999</v>
      </c>
      <c r="J132" s="8">
        <v>0.70569999999999999</v>
      </c>
      <c r="K132" s="8">
        <v>0.74199999999999999</v>
      </c>
      <c r="L132" s="8">
        <v>104.565699999999</v>
      </c>
      <c r="M132" s="8">
        <v>117.122</v>
      </c>
      <c r="N132" s="10">
        <v>1.1205468900442901</v>
      </c>
      <c r="O132" s="10">
        <v>1.1144207265719701</v>
      </c>
      <c r="P132" s="10">
        <v>1.12343147067044</v>
      </c>
      <c r="Q132" s="10">
        <v>1.12364280190329</v>
      </c>
      <c r="R132" s="8">
        <v>115.743736661765</v>
      </c>
      <c r="S132" s="8">
        <v>116.73790211729199</v>
      </c>
      <c r="T132" s="8">
        <v>116.691601716223</v>
      </c>
      <c r="U132" s="9">
        <v>-5.4821186397014899E-3</v>
      </c>
      <c r="V132" s="9">
        <v>3.0705698296491302E-3</v>
      </c>
      <c r="W132" s="9">
        <v>2.6738727462393501E-3</v>
      </c>
      <c r="X132" s="10">
        <v>1.1200804852834101</v>
      </c>
      <c r="Y132" s="10">
        <v>1.1140664646848899</v>
      </c>
      <c r="Z132" s="10">
        <v>1.12292057848115</v>
      </c>
      <c r="AA132" s="10">
        <v>1.1230719194058301</v>
      </c>
      <c r="AB132" s="8">
        <v>116.493139726301</v>
      </c>
      <c r="AC132" s="8">
        <v>117.475637758415</v>
      </c>
      <c r="AD132" s="8">
        <v>117.424003622738</v>
      </c>
      <c r="AE132" s="9">
        <v>-5.3837417675705801E-3</v>
      </c>
      <c r="AF132" s="9">
        <v>3.0148472904910602E-3</v>
      </c>
      <c r="AG132" s="9">
        <v>2.575220084546E-3</v>
      </c>
      <c r="AH132" s="12"/>
      <c r="AZ132" s="9"/>
      <c r="BB132">
        <f t="shared" si="26"/>
        <v>0</v>
      </c>
      <c r="BC132">
        <f t="shared" si="27"/>
        <v>1</v>
      </c>
      <c r="BD132">
        <f t="shared" si="28"/>
        <v>0</v>
      </c>
      <c r="BE132">
        <f t="shared" si="24"/>
        <v>1</v>
      </c>
      <c r="BF132">
        <f t="shared" si="29"/>
        <v>0</v>
      </c>
      <c r="BG132" s="9">
        <f t="shared" si="30"/>
        <v>0</v>
      </c>
      <c r="BH132" s="9">
        <f t="shared" si="31"/>
        <v>0</v>
      </c>
      <c r="BI132" s="9">
        <f t="shared" si="32"/>
        <v>0</v>
      </c>
      <c r="BJ132" s="12">
        <f t="shared" si="33"/>
        <v>3.1043962495505159E-2</v>
      </c>
      <c r="BL132" s="9"/>
      <c r="BN132">
        <f t="shared" si="34"/>
        <v>0</v>
      </c>
      <c r="BO132">
        <f t="shared" si="35"/>
        <v>0</v>
      </c>
      <c r="BP132">
        <f t="shared" si="36"/>
        <v>0</v>
      </c>
      <c r="BQ132">
        <f t="shared" si="25"/>
        <v>1</v>
      </c>
      <c r="BR132">
        <f t="shared" si="37"/>
        <v>0</v>
      </c>
      <c r="BS132" s="9">
        <f t="shared" si="38"/>
        <v>0</v>
      </c>
      <c r="BT132" s="9">
        <f t="shared" si="39"/>
        <v>0</v>
      </c>
      <c r="BU132" s="9">
        <f t="shared" si="40"/>
        <v>0</v>
      </c>
      <c r="BV132" s="12">
        <f t="shared" si="41"/>
        <v>1.4380019370490554E-2</v>
      </c>
      <c r="BX132" s="12">
        <f t="shared" si="42"/>
        <v>0</v>
      </c>
      <c r="BY132" s="12">
        <f t="shared" si="43"/>
        <v>4.5423981865995701E-2</v>
      </c>
    </row>
    <row r="133" spans="1:77" x14ac:dyDescent="0.3">
      <c r="A133" s="1">
        <v>46217</v>
      </c>
      <c r="B133" s="8">
        <v>104.14</v>
      </c>
      <c r="C133" s="8">
        <v>116.57</v>
      </c>
      <c r="D133" s="9">
        <v>2.69230931858015E-3</v>
      </c>
      <c r="E133" s="9">
        <v>1.63125170321701E-3</v>
      </c>
      <c r="F133" s="8">
        <v>0</v>
      </c>
      <c r="G133" s="8">
        <v>0.70569999999999999</v>
      </c>
      <c r="H133" s="8">
        <v>0</v>
      </c>
      <c r="I133" s="8">
        <v>0.74199999999999999</v>
      </c>
      <c r="J133" s="8">
        <v>0.70569999999999999</v>
      </c>
      <c r="K133" s="8">
        <v>0.74199999999999999</v>
      </c>
      <c r="L133" s="8">
        <v>104.84569999999999</v>
      </c>
      <c r="M133" s="8">
        <v>117.312</v>
      </c>
      <c r="N133" s="10">
        <v>1.1193585557902801</v>
      </c>
      <c r="O133" s="10">
        <v>1.1144207265719701</v>
      </c>
      <c r="P133" s="10">
        <v>1.12260831934262</v>
      </c>
      <c r="Q133" s="10">
        <v>1.12358995873472</v>
      </c>
      <c r="R133" s="8">
        <v>116.055774465205</v>
      </c>
      <c r="S133" s="8">
        <v>116.99415335562</v>
      </c>
      <c r="T133" s="8">
        <v>117.01616139020901</v>
      </c>
      <c r="U133" s="9">
        <v>-4.4210610243383503E-3</v>
      </c>
      <c r="V133" s="9">
        <v>3.6320112979255801E-3</v>
      </c>
      <c r="W133" s="9">
        <v>3.8201058669818798E-3</v>
      </c>
      <c r="X133" s="10">
        <v>1.11890139509774</v>
      </c>
      <c r="Y133" s="10">
        <v>1.1140664646848899</v>
      </c>
      <c r="Z133" s="10">
        <v>1.12211770998941</v>
      </c>
      <c r="AA133" s="10">
        <v>1.1230272464201501</v>
      </c>
      <c r="AB133" s="8">
        <v>116.805078336412</v>
      </c>
      <c r="AC133" s="8">
        <v>117.733394095261</v>
      </c>
      <c r="AD133" s="8">
        <v>117.74926154044699</v>
      </c>
      <c r="AE133" s="9">
        <v>-4.3305038606483498E-3</v>
      </c>
      <c r="AF133" s="9">
        <v>3.5856439422391698E-3</v>
      </c>
      <c r="AG133" s="9">
        <v>3.72040924092073E-3</v>
      </c>
      <c r="AH133" s="12"/>
      <c r="AZ133" s="9"/>
      <c r="BB133">
        <f t="shared" si="26"/>
        <v>0</v>
      </c>
      <c r="BC133">
        <f t="shared" si="27"/>
        <v>1</v>
      </c>
      <c r="BD133">
        <f t="shared" si="28"/>
        <v>0</v>
      </c>
      <c r="BE133">
        <f t="shared" si="24"/>
        <v>1</v>
      </c>
      <c r="BF133">
        <f t="shared" si="29"/>
        <v>0</v>
      </c>
      <c r="BG133" s="9">
        <f t="shared" si="30"/>
        <v>0</v>
      </c>
      <c r="BH133" s="9">
        <f t="shared" si="31"/>
        <v>0</v>
      </c>
      <c r="BI133" s="9">
        <f t="shared" si="32"/>
        <v>0</v>
      </c>
      <c r="BJ133" s="12">
        <f t="shared" si="33"/>
        <v>3.1043962495505159E-2</v>
      </c>
      <c r="BL133" s="9"/>
      <c r="BN133">
        <f t="shared" si="34"/>
        <v>1</v>
      </c>
      <c r="BO133">
        <f t="shared" si="35"/>
        <v>0</v>
      </c>
      <c r="BP133">
        <f t="shared" si="36"/>
        <v>0</v>
      </c>
      <c r="BQ133">
        <f t="shared" si="25"/>
        <v>1</v>
      </c>
      <c r="BR133">
        <f t="shared" si="37"/>
        <v>0</v>
      </c>
      <c r="BS133" s="9">
        <f t="shared" si="38"/>
        <v>0</v>
      </c>
      <c r="BT133" s="9">
        <f t="shared" si="39"/>
        <v>0</v>
      </c>
      <c r="BU133" s="9">
        <f t="shared" si="40"/>
        <v>0</v>
      </c>
      <c r="BV133" s="12">
        <f t="shared" si="41"/>
        <v>1.4380019370490554E-2</v>
      </c>
      <c r="BX133" s="12">
        <f t="shared" si="42"/>
        <v>0</v>
      </c>
      <c r="BY133" s="12">
        <f t="shared" si="43"/>
        <v>4.5423981865995701E-2</v>
      </c>
    </row>
    <row r="134" spans="1:77" x14ac:dyDescent="0.3">
      <c r="A134" s="1">
        <v>46218</v>
      </c>
      <c r="B134" s="8">
        <v>103.59</v>
      </c>
      <c r="C134" s="8">
        <v>116</v>
      </c>
      <c r="D134" s="9">
        <v>-5.2953476647423503E-3</v>
      </c>
      <c r="E134" s="9">
        <v>-4.9017598253762997E-3</v>
      </c>
      <c r="F134" s="8">
        <v>0</v>
      </c>
      <c r="G134" s="8">
        <v>0.70569999999999999</v>
      </c>
      <c r="H134" s="8">
        <v>0</v>
      </c>
      <c r="I134" s="8">
        <v>0.74199999999999999</v>
      </c>
      <c r="J134" s="8">
        <v>0.70569999999999999</v>
      </c>
      <c r="K134" s="8">
        <v>0.74199999999999999</v>
      </c>
      <c r="L134" s="8">
        <v>104.2957</v>
      </c>
      <c r="M134" s="8">
        <v>116.742</v>
      </c>
      <c r="N134" s="10">
        <v>1.1197992084177999</v>
      </c>
      <c r="O134" s="10">
        <v>1.1144207265719701</v>
      </c>
      <c r="P134" s="10">
        <v>1.1216778339517901</v>
      </c>
      <c r="Q134" s="10">
        <v>1.1234716928642701</v>
      </c>
      <c r="R134" s="8">
        <v>115.44284306559101</v>
      </c>
      <c r="S134" s="8">
        <v>116.29099580070201</v>
      </c>
      <c r="T134" s="8">
        <v>116.39268382533</v>
      </c>
      <c r="U134" s="9">
        <v>-4.8146488637043601E-3</v>
      </c>
      <c r="V134" s="9">
        <v>2.5054432430383E-3</v>
      </c>
      <c r="W134" s="9">
        <v>3.3794884813179802E-3</v>
      </c>
      <c r="X134" s="10">
        <v>1.1193366552983399</v>
      </c>
      <c r="Y134" s="10">
        <v>1.1140664646848899</v>
      </c>
      <c r="Z134" s="10">
        <v>1.12120741242997</v>
      </c>
      <c r="AA134" s="10">
        <v>1.1229165556899401</v>
      </c>
      <c r="AB134" s="8">
        <v>116.192341780836</v>
      </c>
      <c r="AC134" s="8">
        <v>117.03205204574201</v>
      </c>
      <c r="AD134" s="8">
        <v>117.12691278446199</v>
      </c>
      <c r="AE134" s="9">
        <v>-4.7194349718946999E-3</v>
      </c>
      <c r="AF134" s="9">
        <v>2.4814746721699499E-3</v>
      </c>
      <c r="AG134" s="9">
        <v>3.2916998452925802E-3</v>
      </c>
      <c r="AH134" s="12"/>
      <c r="AZ134" s="9"/>
      <c r="BB134">
        <f t="shared" si="26"/>
        <v>0</v>
      </c>
      <c r="BC134">
        <f t="shared" si="27"/>
        <v>1</v>
      </c>
      <c r="BD134">
        <f t="shared" si="28"/>
        <v>0</v>
      </c>
      <c r="BE134">
        <f t="shared" si="24"/>
        <v>1</v>
      </c>
      <c r="BF134">
        <f t="shared" si="29"/>
        <v>0</v>
      </c>
      <c r="BG134" s="9">
        <f t="shared" si="30"/>
        <v>0</v>
      </c>
      <c r="BH134" s="9">
        <f t="shared" si="31"/>
        <v>0</v>
      </c>
      <c r="BI134" s="9">
        <f t="shared" si="32"/>
        <v>0</v>
      </c>
      <c r="BJ134" s="12">
        <f t="shared" si="33"/>
        <v>3.1043962495505159E-2</v>
      </c>
      <c r="BL134" s="9"/>
      <c r="BN134">
        <f t="shared" si="34"/>
        <v>1</v>
      </c>
      <c r="BO134">
        <f t="shared" si="35"/>
        <v>0</v>
      </c>
      <c r="BP134">
        <f t="shared" si="36"/>
        <v>1</v>
      </c>
      <c r="BQ134">
        <f t="shared" si="25"/>
        <v>1</v>
      </c>
      <c r="BR134">
        <f t="shared" si="37"/>
        <v>1</v>
      </c>
      <c r="BS134" s="9">
        <f t="shared" si="38"/>
        <v>5.2953476647423503E-3</v>
      </c>
      <c r="BT134" s="9">
        <f t="shared" si="39"/>
        <v>-4.9017598253762997E-3</v>
      </c>
      <c r="BU134" s="9">
        <f t="shared" si="40"/>
        <v>3.9358783936605055E-4</v>
      </c>
      <c r="BV134" s="12">
        <f t="shared" si="41"/>
        <v>1.4773607209856605E-2</v>
      </c>
      <c r="BX134" s="12">
        <f t="shared" si="42"/>
        <v>3.9358783936605055E-4</v>
      </c>
      <c r="BY134" s="12">
        <f t="shared" si="43"/>
        <v>4.5817569705361751E-2</v>
      </c>
    </row>
    <row r="135" spans="1:77" x14ac:dyDescent="0.3">
      <c r="A135" s="1">
        <v>46219</v>
      </c>
      <c r="B135" s="8">
        <v>101.54</v>
      </c>
      <c r="C135" s="8">
        <v>113.65</v>
      </c>
      <c r="D135" s="9">
        <v>-1.9987990550762301E-2</v>
      </c>
      <c r="E135" s="9">
        <v>-2.0466640807812301E-2</v>
      </c>
      <c r="F135" s="8">
        <v>0</v>
      </c>
      <c r="G135" s="8">
        <v>0.70569999999999999</v>
      </c>
      <c r="H135" s="8">
        <v>0</v>
      </c>
      <c r="I135" s="8">
        <v>0.74199999999999999</v>
      </c>
      <c r="J135" s="8">
        <v>0.70569999999999999</v>
      </c>
      <c r="K135" s="8">
        <v>0.74199999999999999</v>
      </c>
      <c r="L135" s="8">
        <v>102.2457</v>
      </c>
      <c r="M135" s="8">
        <v>114.392</v>
      </c>
      <c r="N135" s="10">
        <v>1.1192633444947799</v>
      </c>
      <c r="O135" s="10">
        <v>1.1144207265719701</v>
      </c>
      <c r="P135" s="10">
        <v>1.1207746927281499</v>
      </c>
      <c r="Q135" s="10">
        <v>1.1233698253794799</v>
      </c>
      <c r="R135" s="8">
        <v>113.158280576118</v>
      </c>
      <c r="S135" s="8">
        <v>113.895167259465</v>
      </c>
      <c r="T135" s="8">
        <v>114.077315693438</v>
      </c>
      <c r="U135" s="9">
        <v>-4.3359986066543003E-3</v>
      </c>
      <c r="V135" s="9">
        <v>2.1548895745733699E-3</v>
      </c>
      <c r="W135" s="9">
        <v>3.7528760541227701E-3</v>
      </c>
      <c r="X135" s="10">
        <v>1.11879521583792</v>
      </c>
      <c r="Y135" s="10">
        <v>1.1140664646848899</v>
      </c>
      <c r="Z135" s="10">
        <v>1.1203083590525</v>
      </c>
      <c r="AA135" s="10">
        <v>1.1228218243269099</v>
      </c>
      <c r="AB135" s="8">
        <v>113.908505528232</v>
      </c>
      <c r="AC135" s="8">
        <v>114.638636729091</v>
      </c>
      <c r="AD135" s="8">
        <v>114.813389278107</v>
      </c>
      <c r="AE135" s="9">
        <v>-4.2356033639666902E-3</v>
      </c>
      <c r="AF135" s="9">
        <v>2.1537452626575501E-3</v>
      </c>
      <c r="AG135" s="9">
        <v>3.6769619964127798E-3</v>
      </c>
      <c r="AH135" s="12"/>
      <c r="AZ135" s="9"/>
      <c r="BB135">
        <f t="shared" si="26"/>
        <v>0</v>
      </c>
      <c r="BC135">
        <f t="shared" si="27"/>
        <v>1</v>
      </c>
      <c r="BD135">
        <f t="shared" si="28"/>
        <v>0</v>
      </c>
      <c r="BE135">
        <f t="shared" si="24"/>
        <v>1</v>
      </c>
      <c r="BF135">
        <f t="shared" si="29"/>
        <v>0</v>
      </c>
      <c r="BG135" s="9">
        <f t="shared" si="30"/>
        <v>0</v>
      </c>
      <c r="BH135" s="9">
        <f t="shared" si="31"/>
        <v>0</v>
      </c>
      <c r="BI135" s="9">
        <f t="shared" si="32"/>
        <v>0</v>
      </c>
      <c r="BJ135" s="12">
        <f t="shared" si="33"/>
        <v>3.1043962495505159E-2</v>
      </c>
      <c r="BL135" s="9"/>
      <c r="BN135">
        <f t="shared" si="34"/>
        <v>1</v>
      </c>
      <c r="BO135">
        <f t="shared" si="35"/>
        <v>0</v>
      </c>
      <c r="BP135">
        <f t="shared" si="36"/>
        <v>1</v>
      </c>
      <c r="BQ135">
        <f t="shared" si="25"/>
        <v>1</v>
      </c>
      <c r="BR135">
        <f t="shared" si="37"/>
        <v>1</v>
      </c>
      <c r="BS135" s="9">
        <f t="shared" si="38"/>
        <v>1.9987990550762301E-2</v>
      </c>
      <c r="BT135" s="9">
        <f t="shared" si="39"/>
        <v>-2.0466640807812301E-2</v>
      </c>
      <c r="BU135" s="9">
        <f t="shared" si="40"/>
        <v>-4.7865025704999994E-4</v>
      </c>
      <c r="BV135" s="12">
        <f t="shared" si="41"/>
        <v>1.4294956952806605E-2</v>
      </c>
      <c r="BX135" s="12">
        <f t="shared" si="42"/>
        <v>-4.7865025704999994E-4</v>
      </c>
      <c r="BY135" s="12">
        <f t="shared" si="43"/>
        <v>4.5338919448311754E-2</v>
      </c>
    </row>
    <row r="136" spans="1:77" x14ac:dyDescent="0.3">
      <c r="A136" s="1">
        <v>46220</v>
      </c>
      <c r="B136" s="8">
        <v>101.49</v>
      </c>
      <c r="C136" s="8">
        <v>113.74</v>
      </c>
      <c r="D136" s="9">
        <v>-4.9253805852153196E-4</v>
      </c>
      <c r="E136" s="9">
        <v>7.9159158010132897E-4</v>
      </c>
      <c r="F136" s="8">
        <v>0</v>
      </c>
      <c r="G136" s="8">
        <v>0.70569999999999999</v>
      </c>
      <c r="H136" s="8">
        <v>0</v>
      </c>
      <c r="I136" s="8">
        <v>0.74199999999999999</v>
      </c>
      <c r="J136" s="8">
        <v>0.70569999999999999</v>
      </c>
      <c r="K136" s="8">
        <v>0.74199999999999999</v>
      </c>
      <c r="L136" s="8">
        <v>102.19569999999899</v>
      </c>
      <c r="M136" s="8">
        <v>114.482</v>
      </c>
      <c r="N136" s="10">
        <v>1.12070154695043</v>
      </c>
      <c r="O136" s="10">
        <v>1.1144207265719701</v>
      </c>
      <c r="P136" s="10">
        <v>1.1203424523283501</v>
      </c>
      <c r="Q136" s="10">
        <v>1.1232747219711099</v>
      </c>
      <c r="R136" s="8">
        <v>113.102559539789</v>
      </c>
      <c r="S136" s="8">
        <v>113.74742356498</v>
      </c>
      <c r="T136" s="8">
        <v>114.010803577763</v>
      </c>
      <c r="U136" s="9">
        <v>-5.6201282452772797E-3</v>
      </c>
      <c r="V136" s="9">
        <v>6.5265717696166595E-5</v>
      </c>
      <c r="W136" s="9">
        <v>2.37807025161417E-3</v>
      </c>
      <c r="X136" s="10">
        <v>1.1202232579257201</v>
      </c>
      <c r="Y136" s="10">
        <v>1.1140664646848899</v>
      </c>
      <c r="Z136" s="10">
        <v>1.1198777059906699</v>
      </c>
      <c r="AA136" s="10">
        <v>1.1227336958636001</v>
      </c>
      <c r="AB136" s="8">
        <v>113.852802204997</v>
      </c>
      <c r="AC136" s="8">
        <v>114.490696969222</v>
      </c>
      <c r="AD136" s="8">
        <v>114.74756231236501</v>
      </c>
      <c r="AE136" s="9">
        <v>-5.5112000579349302E-3</v>
      </c>
      <c r="AF136" s="9">
        <v>7.5965120219992905E-5</v>
      </c>
      <c r="AG136" s="9">
        <v>2.3169998537072201E-3</v>
      </c>
      <c r="AH136" s="12"/>
      <c r="AZ136" s="9"/>
      <c r="BB136">
        <f t="shared" si="26"/>
        <v>0</v>
      </c>
      <c r="BC136">
        <f t="shared" si="27"/>
        <v>1</v>
      </c>
      <c r="BD136">
        <f t="shared" si="28"/>
        <v>0</v>
      </c>
      <c r="BE136">
        <f t="shared" si="24"/>
        <v>1</v>
      </c>
      <c r="BF136">
        <f t="shared" si="29"/>
        <v>0</v>
      </c>
      <c r="BG136" s="9">
        <f t="shared" si="30"/>
        <v>0</v>
      </c>
      <c r="BH136" s="9">
        <f t="shared" si="31"/>
        <v>0</v>
      </c>
      <c r="BI136" s="9">
        <f t="shared" si="32"/>
        <v>0</v>
      </c>
      <c r="BJ136" s="12">
        <f t="shared" si="33"/>
        <v>3.1043962495505159E-2</v>
      </c>
      <c r="BL136" s="9"/>
      <c r="BN136">
        <f t="shared" si="34"/>
        <v>0</v>
      </c>
      <c r="BO136">
        <f t="shared" si="35"/>
        <v>0</v>
      </c>
      <c r="BP136">
        <f t="shared" si="36"/>
        <v>1</v>
      </c>
      <c r="BQ136">
        <f t="shared" si="25"/>
        <v>1</v>
      </c>
      <c r="BR136">
        <f t="shared" si="37"/>
        <v>1</v>
      </c>
      <c r="BS136" s="9">
        <f t="shared" si="38"/>
        <v>4.9253805852153196E-4</v>
      </c>
      <c r="BT136" s="9">
        <f t="shared" si="39"/>
        <v>7.9159158010132897E-4</v>
      </c>
      <c r="BU136" s="9">
        <f t="shared" si="40"/>
        <v>1.2841296386228609E-3</v>
      </c>
      <c r="BV136" s="12">
        <f t="shared" si="41"/>
        <v>1.5579086591429467E-2</v>
      </c>
      <c r="BX136" s="12">
        <f t="shared" si="42"/>
        <v>1.2841296386228609E-3</v>
      </c>
      <c r="BY136" s="12">
        <f t="shared" si="43"/>
        <v>4.6623049086934612E-2</v>
      </c>
    </row>
    <row r="137" spans="1:77" x14ac:dyDescent="0.3">
      <c r="A137" s="1">
        <v>46223</v>
      </c>
      <c r="B137" s="8">
        <v>101.82</v>
      </c>
      <c r="C137" s="8">
        <v>114.16</v>
      </c>
      <c r="D137" s="9">
        <v>3.2462770134631101E-3</v>
      </c>
      <c r="E137" s="9">
        <v>3.6858312899272902E-3</v>
      </c>
      <c r="F137" s="8">
        <v>0</v>
      </c>
      <c r="G137" s="8">
        <v>0.70569999999999999</v>
      </c>
      <c r="H137" s="8">
        <v>0</v>
      </c>
      <c r="I137" s="8">
        <v>0.74199999999999999</v>
      </c>
      <c r="J137" s="8">
        <v>0.70569999999999999</v>
      </c>
      <c r="K137" s="8">
        <v>0.74199999999999999</v>
      </c>
      <c r="L137" s="8">
        <v>102.52569999999901</v>
      </c>
      <c r="M137" s="8">
        <v>114.902</v>
      </c>
      <c r="N137" s="10">
        <v>1.1211942643881301</v>
      </c>
      <c r="O137" s="10">
        <v>1.1144207265719701</v>
      </c>
      <c r="P137" s="10">
        <v>1.1202526316390899</v>
      </c>
      <c r="Q137" s="10">
        <v>1.12315338979352</v>
      </c>
      <c r="R137" s="8">
        <v>113.47031837955799</v>
      </c>
      <c r="S137" s="8">
        <v>114.073268496072</v>
      </c>
      <c r="T137" s="8">
        <v>114.371832191099</v>
      </c>
      <c r="U137" s="9">
        <v>-6.0596825217415001E-3</v>
      </c>
      <c r="V137" s="9">
        <v>-7.6002511530191504E-4</v>
      </c>
      <c r="W137" s="9">
        <v>1.85385335369948E-3</v>
      </c>
      <c r="X137" s="10">
        <v>1.1207141233856399</v>
      </c>
      <c r="Y137" s="10">
        <v>1.1140664646848899</v>
      </c>
      <c r="Z137" s="10">
        <v>1.11978689371998</v>
      </c>
      <c r="AA137" s="10">
        <v>1.1226192382659299</v>
      </c>
      <c r="AB137" s="8">
        <v>114.220444138343</v>
      </c>
      <c r="AC137" s="8">
        <v>114.81624572108799</v>
      </c>
      <c r="AD137" s="8">
        <v>115.10905808200199</v>
      </c>
      <c r="AE137" s="9">
        <v>-5.9492894680791102E-3</v>
      </c>
      <c r="AF137" s="9">
        <v>-7.4660402029530601E-4</v>
      </c>
      <c r="AG137" s="9">
        <v>1.80041898560099E-3</v>
      </c>
      <c r="AH137" s="12"/>
      <c r="AZ137" s="9"/>
      <c r="BB137">
        <f t="shared" si="26"/>
        <v>0</v>
      </c>
      <c r="BC137">
        <f t="shared" si="27"/>
        <v>1</v>
      </c>
      <c r="BD137">
        <f t="shared" si="28"/>
        <v>0</v>
      </c>
      <c r="BE137">
        <f t="shared" si="24"/>
        <v>1</v>
      </c>
      <c r="BF137">
        <f t="shared" si="29"/>
        <v>0</v>
      </c>
      <c r="BG137" s="9">
        <f t="shared" si="30"/>
        <v>0</v>
      </c>
      <c r="BH137" s="9">
        <f t="shared" si="31"/>
        <v>0</v>
      </c>
      <c r="BI137" s="9">
        <f t="shared" si="32"/>
        <v>0</v>
      </c>
      <c r="BJ137" s="12">
        <f t="shared" si="33"/>
        <v>3.1043962495505159E-2</v>
      </c>
      <c r="BL137" s="9"/>
      <c r="BN137">
        <f t="shared" si="34"/>
        <v>0</v>
      </c>
      <c r="BO137">
        <f t="shared" si="35"/>
        <v>0</v>
      </c>
      <c r="BP137">
        <f t="shared" si="36"/>
        <v>1</v>
      </c>
      <c r="BQ137">
        <f t="shared" si="25"/>
        <v>1</v>
      </c>
      <c r="BR137">
        <f t="shared" si="37"/>
        <v>1</v>
      </c>
      <c r="BS137" s="9">
        <f t="shared" si="38"/>
        <v>-3.2462770134631101E-3</v>
      </c>
      <c r="BT137" s="9">
        <f t="shared" si="39"/>
        <v>3.6858312899272902E-3</v>
      </c>
      <c r="BU137" s="9">
        <f t="shared" si="40"/>
        <v>4.3955427646418009E-4</v>
      </c>
      <c r="BV137" s="12">
        <f t="shared" si="41"/>
        <v>1.6018640867893646E-2</v>
      </c>
      <c r="BX137" s="12">
        <f t="shared" si="42"/>
        <v>4.3955427646418009E-4</v>
      </c>
      <c r="BY137" s="12">
        <f t="shared" si="43"/>
        <v>4.7062603363398792E-2</v>
      </c>
    </row>
    <row r="138" spans="1:77" x14ac:dyDescent="0.3">
      <c r="A138" s="1">
        <v>46224</v>
      </c>
      <c r="B138" s="8">
        <v>103.69</v>
      </c>
      <c r="C138" s="8">
        <v>116.72</v>
      </c>
      <c r="D138" s="9">
        <v>1.8199130095996802E-2</v>
      </c>
      <c r="E138" s="9">
        <v>2.21769310459492E-2</v>
      </c>
      <c r="F138" s="8">
        <v>0</v>
      </c>
      <c r="G138" s="8">
        <v>0.70569999999999999</v>
      </c>
      <c r="H138" s="8">
        <v>0</v>
      </c>
      <c r="I138" s="8">
        <v>0.74199999999999999</v>
      </c>
      <c r="J138" s="8">
        <v>0.70569999999999999</v>
      </c>
      <c r="K138" s="8">
        <v>0.74199999999999999</v>
      </c>
      <c r="L138" s="8">
        <v>104.395699999999</v>
      </c>
      <c r="M138" s="8">
        <v>117.462</v>
      </c>
      <c r="N138" s="10">
        <v>1.1256630340437801</v>
      </c>
      <c r="O138" s="10">
        <v>1.1144207265719701</v>
      </c>
      <c r="P138" s="10">
        <v>1.12083049017105</v>
      </c>
      <c r="Q138" s="10">
        <v>1.12316503271107</v>
      </c>
      <c r="R138" s="8">
        <v>115.55428513824801</v>
      </c>
      <c r="S138" s="8">
        <v>116.158995374657</v>
      </c>
      <c r="T138" s="8">
        <v>116.45977498769</v>
      </c>
      <c r="U138" s="9">
        <v>-1.0037483471693901E-2</v>
      </c>
      <c r="V138" s="9">
        <v>-4.8180018095920199E-3</v>
      </c>
      <c r="W138" s="9">
        <v>-2.2319699069367799E-3</v>
      </c>
      <c r="X138" s="10">
        <v>1.1251612853786099</v>
      </c>
      <c r="Y138" s="10">
        <v>1.1140664646848899</v>
      </c>
      <c r="Z138" s="10">
        <v>1.1203607752067399</v>
      </c>
      <c r="AA138" s="10">
        <v>1.1226372206144499</v>
      </c>
      <c r="AB138" s="8">
        <v>116.303748427304</v>
      </c>
      <c r="AC138" s="8">
        <v>116.900936620723</v>
      </c>
      <c r="AD138" s="8">
        <v>117.19662121223899</v>
      </c>
      <c r="AE138" s="9">
        <v>-9.9095873439393693E-3</v>
      </c>
      <c r="AF138" s="9">
        <v>-4.7879964232159398E-3</v>
      </c>
      <c r="AG138" s="9">
        <v>-2.2618295422232701E-3</v>
      </c>
      <c r="AH138" s="12"/>
      <c r="AZ138" s="9"/>
      <c r="BB138">
        <f t="shared" si="26"/>
        <v>0</v>
      </c>
      <c r="BC138">
        <f t="shared" si="27"/>
        <v>1</v>
      </c>
      <c r="BD138">
        <f t="shared" si="28"/>
        <v>0</v>
      </c>
      <c r="BE138">
        <f t="shared" si="24"/>
        <v>1</v>
      </c>
      <c r="BF138">
        <f t="shared" si="29"/>
        <v>0</v>
      </c>
      <c r="BG138" s="9">
        <f t="shared" si="30"/>
        <v>0</v>
      </c>
      <c r="BH138" s="9">
        <f t="shared" si="31"/>
        <v>0</v>
      </c>
      <c r="BI138" s="9">
        <f t="shared" si="32"/>
        <v>0</v>
      </c>
      <c r="BJ138" s="12">
        <f t="shared" si="33"/>
        <v>3.1043962495505159E-2</v>
      </c>
      <c r="BL138" s="9"/>
      <c r="BN138">
        <f t="shared" si="34"/>
        <v>0</v>
      </c>
      <c r="BO138">
        <f t="shared" si="35"/>
        <v>1</v>
      </c>
      <c r="BP138">
        <f t="shared" si="36"/>
        <v>1</v>
      </c>
      <c r="BQ138">
        <f t="shared" si="25"/>
        <v>1</v>
      </c>
      <c r="BR138">
        <f t="shared" si="37"/>
        <v>1</v>
      </c>
      <c r="BS138" s="9">
        <f t="shared" si="38"/>
        <v>-1.8199130095996802E-2</v>
      </c>
      <c r="BT138" s="9">
        <f t="shared" si="39"/>
        <v>2.21769310459492E-2</v>
      </c>
      <c r="BU138" s="9">
        <f t="shared" si="40"/>
        <v>3.9778009499523981E-3</v>
      </c>
      <c r="BV138" s="12">
        <f t="shared" si="41"/>
        <v>1.9996441817846045E-2</v>
      </c>
      <c r="BX138" s="12">
        <f t="shared" si="42"/>
        <v>3.9778009499523981E-3</v>
      </c>
      <c r="BY138" s="12">
        <f t="shared" si="43"/>
        <v>5.104040431335119E-2</v>
      </c>
    </row>
    <row r="139" spans="1:77" x14ac:dyDescent="0.3">
      <c r="A139" s="1">
        <v>46225</v>
      </c>
      <c r="B139" s="8">
        <v>104</v>
      </c>
      <c r="C139" s="8">
        <v>116.51</v>
      </c>
      <c r="D139" s="9">
        <v>2.9852205711858098E-3</v>
      </c>
      <c r="E139" s="9">
        <v>-1.8007979826804299E-3</v>
      </c>
      <c r="F139" s="8">
        <v>0</v>
      </c>
      <c r="G139" s="8">
        <v>0.70569999999999999</v>
      </c>
      <c r="H139" s="8">
        <v>0</v>
      </c>
      <c r="I139" s="8">
        <v>0.74199999999999999</v>
      </c>
      <c r="J139" s="8">
        <v>0.70569999999999999</v>
      </c>
      <c r="K139" s="8">
        <v>0.74199999999999999</v>
      </c>
      <c r="L139" s="8">
        <v>104.70569999999999</v>
      </c>
      <c r="M139" s="8">
        <v>117.252</v>
      </c>
      <c r="N139" s="10">
        <v>1.1202884615384601</v>
      </c>
      <c r="O139" s="10">
        <v>1.1144207265719701</v>
      </c>
      <c r="P139" s="10">
        <v>1.1209816487950399</v>
      </c>
      <c r="Q139" s="10">
        <v>1.12289250087299</v>
      </c>
      <c r="R139" s="8">
        <v>115.899755563485</v>
      </c>
      <c r="S139" s="8">
        <v>116.56637097778901</v>
      </c>
      <c r="T139" s="8">
        <v>116.809163401951</v>
      </c>
      <c r="U139" s="9">
        <v>-5.2514649178275301E-3</v>
      </c>
      <c r="V139" s="9">
        <v>4.8371251579582702E-4</v>
      </c>
      <c r="W139" s="9">
        <v>2.5644148687723402E-3</v>
      </c>
      <c r="X139" s="10">
        <v>1.11982442216612</v>
      </c>
      <c r="Y139" s="10">
        <v>1.1140664646848899</v>
      </c>
      <c r="Z139" s="10">
        <v>1.12051063503816</v>
      </c>
      <c r="AA139" s="10">
        <v>1.12237363025866</v>
      </c>
      <c r="AB139" s="8">
        <v>116.649109031357</v>
      </c>
      <c r="AC139" s="8">
        <v>117.308159220565</v>
      </c>
      <c r="AD139" s="8">
        <v>117.54651603049101</v>
      </c>
      <c r="AE139" s="9">
        <v>-5.15510427715708E-3</v>
      </c>
      <c r="AF139" s="9">
        <v>4.7884706273188302E-4</v>
      </c>
      <c r="AG139" s="9">
        <v>2.5086716043193698E-3</v>
      </c>
      <c r="AH139" s="12"/>
      <c r="AZ139" s="9"/>
      <c r="BB139">
        <f t="shared" si="26"/>
        <v>0</v>
      </c>
      <c r="BC139">
        <f t="shared" si="27"/>
        <v>1</v>
      </c>
      <c r="BD139">
        <f t="shared" si="28"/>
        <v>0</v>
      </c>
      <c r="BE139">
        <f t="shared" si="24"/>
        <v>1</v>
      </c>
      <c r="BF139">
        <f t="shared" si="29"/>
        <v>0</v>
      </c>
      <c r="BG139" s="9">
        <f t="shared" si="30"/>
        <v>0</v>
      </c>
      <c r="BH139" s="9">
        <f t="shared" si="31"/>
        <v>0</v>
      </c>
      <c r="BI139" s="9">
        <f t="shared" si="32"/>
        <v>0</v>
      </c>
      <c r="BJ139" s="12">
        <f t="shared" si="33"/>
        <v>3.1043962495505159E-2</v>
      </c>
      <c r="BL139" s="9"/>
      <c r="BN139">
        <f t="shared" si="34"/>
        <v>0</v>
      </c>
      <c r="BO139">
        <f t="shared" si="35"/>
        <v>0</v>
      </c>
      <c r="BP139">
        <f t="shared" si="36"/>
        <v>0</v>
      </c>
      <c r="BQ139">
        <f t="shared" si="25"/>
        <v>1</v>
      </c>
      <c r="BR139">
        <f t="shared" si="37"/>
        <v>0</v>
      </c>
      <c r="BS139" s="9">
        <f t="shared" si="38"/>
        <v>0</v>
      </c>
      <c r="BT139" s="9">
        <f t="shared" si="39"/>
        <v>0</v>
      </c>
      <c r="BU139" s="9">
        <f t="shared" si="40"/>
        <v>0</v>
      </c>
      <c r="BV139" s="12">
        <f t="shared" si="41"/>
        <v>1.9996441817846045E-2</v>
      </c>
      <c r="BX139" s="12">
        <f t="shared" si="42"/>
        <v>0</v>
      </c>
      <c r="BY139" s="12">
        <f t="shared" si="43"/>
        <v>5.104040431335119E-2</v>
      </c>
    </row>
    <row r="140" spans="1:77" x14ac:dyDescent="0.3">
      <c r="A140" s="1">
        <v>46226</v>
      </c>
      <c r="B140" s="8">
        <v>103.17</v>
      </c>
      <c r="C140" s="8">
        <v>115.9</v>
      </c>
      <c r="D140" s="9">
        <v>-8.0127860290880801E-3</v>
      </c>
      <c r="E140" s="9">
        <v>-5.2493558861436704E-3</v>
      </c>
      <c r="F140" s="8">
        <v>0</v>
      </c>
      <c r="G140" s="8">
        <v>0.70569999999999999</v>
      </c>
      <c r="H140" s="8">
        <v>0</v>
      </c>
      <c r="I140" s="8">
        <v>0.74199999999999999</v>
      </c>
      <c r="J140" s="8">
        <v>0.70569999999999999</v>
      </c>
      <c r="K140" s="8">
        <v>0.74199999999999999</v>
      </c>
      <c r="L140" s="8">
        <v>103.87569999999999</v>
      </c>
      <c r="M140" s="8">
        <v>116.642</v>
      </c>
      <c r="N140" s="10">
        <v>1.1233885819521101</v>
      </c>
      <c r="O140" s="10">
        <v>1.1144207265719701</v>
      </c>
      <c r="P140" s="10">
        <v>1.1210690394651599</v>
      </c>
      <c r="Q140" s="10">
        <v>1.122793844467</v>
      </c>
      <c r="R140" s="8">
        <v>114.97478636043</v>
      </c>
      <c r="S140" s="8">
        <v>115.65167670618401</v>
      </c>
      <c r="T140" s="8">
        <v>115.848819315066</v>
      </c>
      <c r="U140" s="9">
        <v>-8.0148950607719701E-3</v>
      </c>
      <c r="V140" s="9">
        <v>-2.14486366540368E-3</v>
      </c>
      <c r="W140" s="9">
        <v>-4.4169101630489301E-4</v>
      </c>
      <c r="X140" s="10">
        <v>1.1228997734792601</v>
      </c>
      <c r="Y140" s="10">
        <v>1.1140664646848899</v>
      </c>
      <c r="Z140" s="10">
        <v>1.1205963193506301</v>
      </c>
      <c r="AA140" s="10">
        <v>1.1222829003908099</v>
      </c>
      <c r="AB140" s="8">
        <v>115.724433865668</v>
      </c>
      <c r="AC140" s="8">
        <v>116.39382657203301</v>
      </c>
      <c r="AD140" s="8">
        <v>116.587346504659</v>
      </c>
      <c r="AE140" s="9">
        <v>-7.8976200503260204E-3</v>
      </c>
      <c r="AF140" s="9">
        <v>-2.1299173216202602E-3</v>
      </c>
      <c r="AG140" s="9">
        <v>-4.6866740536287302E-4</v>
      </c>
      <c r="AH140" s="12"/>
      <c r="AZ140" s="9"/>
      <c r="BB140">
        <f t="shared" si="26"/>
        <v>0</v>
      </c>
      <c r="BC140">
        <f t="shared" si="27"/>
        <v>1</v>
      </c>
      <c r="BD140">
        <f t="shared" si="28"/>
        <v>0</v>
      </c>
      <c r="BE140">
        <f t="shared" si="24"/>
        <v>1</v>
      </c>
      <c r="BF140">
        <f t="shared" si="29"/>
        <v>0</v>
      </c>
      <c r="BG140" s="9">
        <f t="shared" si="30"/>
        <v>0</v>
      </c>
      <c r="BH140" s="9">
        <f t="shared" si="31"/>
        <v>0</v>
      </c>
      <c r="BI140" s="9">
        <f t="shared" si="32"/>
        <v>0</v>
      </c>
      <c r="BJ140" s="12">
        <f t="shared" si="33"/>
        <v>3.1043962495505159E-2</v>
      </c>
      <c r="BL140" s="9"/>
      <c r="BN140">
        <f t="shared" si="34"/>
        <v>0</v>
      </c>
      <c r="BO140">
        <f t="shared" si="35"/>
        <v>1</v>
      </c>
      <c r="BP140">
        <f t="shared" si="36"/>
        <v>0</v>
      </c>
      <c r="BQ140">
        <f t="shared" si="25"/>
        <v>1</v>
      </c>
      <c r="BR140">
        <f t="shared" si="37"/>
        <v>0</v>
      </c>
      <c r="BS140" s="9">
        <f t="shared" si="38"/>
        <v>0</v>
      </c>
      <c r="BT140" s="9">
        <f t="shared" si="39"/>
        <v>0</v>
      </c>
      <c r="BU140" s="9">
        <f t="shared" si="40"/>
        <v>0</v>
      </c>
      <c r="BV140" s="12">
        <f t="shared" si="41"/>
        <v>1.9996441817846045E-2</v>
      </c>
      <c r="BX140" s="12">
        <f t="shared" si="42"/>
        <v>0</v>
      </c>
      <c r="BY140" s="12">
        <f t="shared" si="43"/>
        <v>5.104040431335119E-2</v>
      </c>
    </row>
    <row r="141" spans="1:77" x14ac:dyDescent="0.3">
      <c r="A141" s="1">
        <v>46227</v>
      </c>
      <c r="B141" s="8">
        <v>101.48</v>
      </c>
      <c r="C141" s="8">
        <v>113.75</v>
      </c>
      <c r="D141" s="9">
        <v>-1.65163783812034E-2</v>
      </c>
      <c r="E141" s="9">
        <v>-1.8724692514646198E-2</v>
      </c>
      <c r="F141" s="8">
        <v>0</v>
      </c>
      <c r="G141" s="8">
        <v>0.70569999999999999</v>
      </c>
      <c r="H141" s="8">
        <v>0</v>
      </c>
      <c r="I141" s="8">
        <v>0.74199999999999999</v>
      </c>
      <c r="J141" s="8">
        <v>0.70569999999999999</v>
      </c>
      <c r="K141" s="8">
        <v>0.74199999999999999</v>
      </c>
      <c r="L141" s="8">
        <v>102.1857</v>
      </c>
      <c r="M141" s="8">
        <v>114.492</v>
      </c>
      <c r="N141" s="10">
        <v>1.1209105242412201</v>
      </c>
      <c r="O141" s="10">
        <v>1.1144207265719701</v>
      </c>
      <c r="P141" s="10">
        <v>1.12111144118613</v>
      </c>
      <c r="Q141" s="10">
        <v>1.1225521682981101</v>
      </c>
      <c r="R141" s="8">
        <v>113.09141533252399</v>
      </c>
      <c r="S141" s="8">
        <v>113.766086124924</v>
      </c>
      <c r="T141" s="8">
        <v>113.94111933651099</v>
      </c>
      <c r="U141" s="9">
        <v>-5.8065809273290404E-3</v>
      </c>
      <c r="V141" s="9">
        <v>1.4140648448772699E-4</v>
      </c>
      <c r="W141" s="9">
        <v>1.6787600847459601E-3</v>
      </c>
      <c r="X141" s="10">
        <v>1.1204307452021101</v>
      </c>
      <c r="Y141" s="10">
        <v>1.1140664646848899</v>
      </c>
      <c r="Z141" s="10">
        <v>1.1206367359054901</v>
      </c>
      <c r="AA141" s="10">
        <v>1.1220495941503199</v>
      </c>
      <c r="AB141" s="8">
        <v>113.841661540351</v>
      </c>
      <c r="AC141" s="8">
        <v>114.508919310268</v>
      </c>
      <c r="AD141" s="8">
        <v>114.68126377446499</v>
      </c>
      <c r="AE141" s="9">
        <v>-5.6964024824911596E-3</v>
      </c>
      <c r="AF141" s="9">
        <v>1.47766308973897E-4</v>
      </c>
      <c r="AG141" s="9">
        <v>1.6517094042908E-3</v>
      </c>
      <c r="AH141" s="12"/>
      <c r="AZ141" s="9"/>
      <c r="BB141">
        <f t="shared" si="26"/>
        <v>0</v>
      </c>
      <c r="BC141">
        <f t="shared" si="27"/>
        <v>1</v>
      </c>
      <c r="BD141">
        <f t="shared" si="28"/>
        <v>0</v>
      </c>
      <c r="BE141">
        <f t="shared" si="24"/>
        <v>1</v>
      </c>
      <c r="BF141">
        <f t="shared" si="29"/>
        <v>0</v>
      </c>
      <c r="BG141" s="9">
        <f t="shared" si="30"/>
        <v>0</v>
      </c>
      <c r="BH141" s="9">
        <f t="shared" si="31"/>
        <v>0</v>
      </c>
      <c r="BI141" s="9">
        <f t="shared" si="32"/>
        <v>0</v>
      </c>
      <c r="BJ141" s="12">
        <f t="shared" si="33"/>
        <v>3.1043962495505159E-2</v>
      </c>
      <c r="BL141" s="9"/>
      <c r="BN141">
        <f t="shared" si="34"/>
        <v>0</v>
      </c>
      <c r="BO141">
        <f t="shared" si="35"/>
        <v>0</v>
      </c>
      <c r="BP141">
        <f t="shared" si="36"/>
        <v>0</v>
      </c>
      <c r="BQ141">
        <f t="shared" si="25"/>
        <v>1</v>
      </c>
      <c r="BR141">
        <f t="shared" si="37"/>
        <v>0</v>
      </c>
      <c r="BS141" s="9">
        <f t="shared" si="38"/>
        <v>0</v>
      </c>
      <c r="BT141" s="9">
        <f t="shared" si="39"/>
        <v>0</v>
      </c>
      <c r="BU141" s="9">
        <f t="shared" si="40"/>
        <v>0</v>
      </c>
      <c r="BV141" s="12">
        <f t="shared" si="41"/>
        <v>1.9996441817846045E-2</v>
      </c>
      <c r="BX141" s="12">
        <f t="shared" si="42"/>
        <v>0</v>
      </c>
      <c r="BY141" s="12">
        <f t="shared" si="43"/>
        <v>5.104040431335119E-2</v>
      </c>
    </row>
    <row r="142" spans="1:77" x14ac:dyDescent="0.3">
      <c r="A142" s="1">
        <v>46230</v>
      </c>
      <c r="B142" s="8">
        <v>101.34</v>
      </c>
      <c r="C142" s="8">
        <v>113.44</v>
      </c>
      <c r="D142" s="9">
        <v>-1.3805346833174099E-3</v>
      </c>
      <c r="E142" s="9">
        <v>-2.7289950472424301E-3</v>
      </c>
      <c r="F142" s="8">
        <v>0</v>
      </c>
      <c r="G142" s="8">
        <v>0.70569999999999999</v>
      </c>
      <c r="H142" s="8">
        <v>0</v>
      </c>
      <c r="I142" s="8">
        <v>0.74199999999999999</v>
      </c>
      <c r="J142" s="8">
        <v>0.70569999999999999</v>
      </c>
      <c r="K142" s="8">
        <v>0.74199999999999999</v>
      </c>
      <c r="L142" s="8">
        <v>102.0457</v>
      </c>
      <c r="M142" s="8">
        <v>114.182</v>
      </c>
      <c r="N142" s="10">
        <v>1.1194000394710799</v>
      </c>
      <c r="O142" s="10">
        <v>1.1144207265719701</v>
      </c>
      <c r="P142" s="10">
        <v>1.1209967561288099</v>
      </c>
      <c r="Q142" s="10">
        <v>1.12221411339963</v>
      </c>
      <c r="R142" s="8">
        <v>112.935396430804</v>
      </c>
      <c r="S142" s="8">
        <v>113.613433449802</v>
      </c>
      <c r="T142" s="8">
        <v>113.75943673533</v>
      </c>
      <c r="U142" s="9">
        <v>-4.4581205634040798E-3</v>
      </c>
      <c r="V142" s="9">
        <v>1.5276887109603799E-3</v>
      </c>
      <c r="W142" s="9">
        <v>2.8119519168274699E-3</v>
      </c>
      <c r="X142" s="10">
        <v>1.1189300480079001</v>
      </c>
      <c r="Y142" s="10">
        <v>1.1140664646848899</v>
      </c>
      <c r="Z142" s="10">
        <v>1.12052169217794</v>
      </c>
      <c r="AA142" s="10">
        <v>1.12172113532954</v>
      </c>
      <c r="AB142" s="8">
        <v>113.68569223529499</v>
      </c>
      <c r="AC142" s="8">
        <v>114.356160161191</v>
      </c>
      <c r="AD142" s="8">
        <v>114.500336269785</v>
      </c>
      <c r="AE142" s="9">
        <v>-4.3561116071511299E-3</v>
      </c>
      <c r="AF142" s="9">
        <v>1.5241235405256499E-3</v>
      </c>
      <c r="AG142" s="9">
        <v>2.7840932588108999E-3</v>
      </c>
      <c r="AH142" s="12"/>
      <c r="AZ142" s="9"/>
      <c r="BB142">
        <f t="shared" si="26"/>
        <v>0</v>
      </c>
      <c r="BC142">
        <f t="shared" si="27"/>
        <v>1</v>
      </c>
      <c r="BD142">
        <f t="shared" si="28"/>
        <v>0</v>
      </c>
      <c r="BE142">
        <f t="shared" si="24"/>
        <v>1</v>
      </c>
      <c r="BF142">
        <f t="shared" si="29"/>
        <v>0</v>
      </c>
      <c r="BG142" s="9">
        <f t="shared" si="30"/>
        <v>0</v>
      </c>
      <c r="BH142" s="9">
        <f t="shared" si="31"/>
        <v>0</v>
      </c>
      <c r="BI142" s="9">
        <f t="shared" si="32"/>
        <v>0</v>
      </c>
      <c r="BJ142" s="12">
        <f t="shared" si="33"/>
        <v>3.1043962495505159E-2</v>
      </c>
      <c r="BL142" s="9"/>
      <c r="BN142">
        <f t="shared" si="34"/>
        <v>0</v>
      </c>
      <c r="BO142">
        <f t="shared" si="35"/>
        <v>0</v>
      </c>
      <c r="BP142">
        <f t="shared" si="36"/>
        <v>0</v>
      </c>
      <c r="BQ142">
        <f t="shared" si="25"/>
        <v>1</v>
      </c>
      <c r="BR142">
        <f t="shared" si="37"/>
        <v>0</v>
      </c>
      <c r="BS142" s="9">
        <f t="shared" si="38"/>
        <v>0</v>
      </c>
      <c r="BT142" s="9">
        <f t="shared" si="39"/>
        <v>0</v>
      </c>
      <c r="BU142" s="9">
        <f t="shared" si="40"/>
        <v>0</v>
      </c>
      <c r="BV142" s="12">
        <f t="shared" si="41"/>
        <v>1.9996441817846045E-2</v>
      </c>
      <c r="BX142" s="12">
        <f t="shared" si="42"/>
        <v>0</v>
      </c>
      <c r="BY142" s="12">
        <f t="shared" si="43"/>
        <v>5.104040431335119E-2</v>
      </c>
    </row>
    <row r="143" spans="1:77" x14ac:dyDescent="0.3">
      <c r="A143" s="1">
        <v>46231</v>
      </c>
      <c r="B143" s="8">
        <v>100.31</v>
      </c>
      <c r="C143" s="8">
        <v>111.86</v>
      </c>
      <c r="D143" s="9">
        <v>-1.0215809152369901E-2</v>
      </c>
      <c r="E143" s="9">
        <v>-1.4025973390375399E-2</v>
      </c>
      <c r="F143" s="8">
        <v>0</v>
      </c>
      <c r="G143" s="8">
        <v>0.70569999999999999</v>
      </c>
      <c r="H143" s="8">
        <v>0</v>
      </c>
      <c r="I143" s="8">
        <v>0.74199999999999999</v>
      </c>
      <c r="J143" s="8">
        <v>0.70569999999999999</v>
      </c>
      <c r="K143" s="8">
        <v>0.74199999999999999</v>
      </c>
      <c r="L143" s="8">
        <v>101.0157</v>
      </c>
      <c r="M143" s="8">
        <v>112.602</v>
      </c>
      <c r="N143" s="10">
        <v>1.11514305652477</v>
      </c>
      <c r="O143" s="10">
        <v>1.1144207265719701</v>
      </c>
      <c r="P143" s="10">
        <v>1.12057520620226</v>
      </c>
      <c r="Q143" s="10">
        <v>1.1215917627724401</v>
      </c>
      <c r="R143" s="8">
        <v>111.78754308243499</v>
      </c>
      <c r="S143" s="8">
        <v>112.447184607281</v>
      </c>
      <c r="T143" s="8">
        <v>112.56929771511599</v>
      </c>
      <c r="U143" s="9">
        <v>-6.4795632539849698E-4</v>
      </c>
      <c r="V143" s="9">
        <v>5.2355518579143999E-3</v>
      </c>
      <c r="W143" s="9">
        <v>6.3209223033436502E-3</v>
      </c>
      <c r="X143" s="10">
        <v>1.1146980122891701</v>
      </c>
      <c r="Y143" s="10">
        <v>1.1140664646848899</v>
      </c>
      <c r="Z143" s="10">
        <v>1.1201013538970801</v>
      </c>
      <c r="AA143" s="10">
        <v>1.12110953194324</v>
      </c>
      <c r="AB143" s="8">
        <v>112.53820377666899</v>
      </c>
      <c r="AC143" s="8">
        <v>113.19028310053901</v>
      </c>
      <c r="AD143" s="8">
        <v>113.311445690109</v>
      </c>
      <c r="AE143" s="9">
        <v>-5.6672441409857997E-4</v>
      </c>
      <c r="AF143" s="9">
        <v>5.2108462131133897E-3</v>
      </c>
      <c r="AG143" s="9">
        <v>6.2807064898844703E-3</v>
      </c>
      <c r="AH143" s="12"/>
      <c r="AZ143" s="9"/>
      <c r="BB143">
        <f t="shared" si="26"/>
        <v>0</v>
      </c>
      <c r="BC143">
        <f t="shared" si="27"/>
        <v>1</v>
      </c>
      <c r="BD143">
        <f t="shared" si="28"/>
        <v>0</v>
      </c>
      <c r="BE143">
        <f t="shared" si="24"/>
        <v>1</v>
      </c>
      <c r="BF143">
        <f t="shared" si="29"/>
        <v>0</v>
      </c>
      <c r="BG143" s="9">
        <f t="shared" si="30"/>
        <v>0</v>
      </c>
      <c r="BH143" s="9">
        <f t="shared" si="31"/>
        <v>0</v>
      </c>
      <c r="BI143" s="9">
        <f t="shared" si="32"/>
        <v>0</v>
      </c>
      <c r="BJ143" s="12">
        <f t="shared" si="33"/>
        <v>3.1043962495505159E-2</v>
      </c>
      <c r="BL143" s="9"/>
      <c r="BN143">
        <f t="shared" si="34"/>
        <v>1</v>
      </c>
      <c r="BO143">
        <f t="shared" si="35"/>
        <v>0</v>
      </c>
      <c r="BP143">
        <f t="shared" si="36"/>
        <v>0</v>
      </c>
      <c r="BQ143">
        <f t="shared" si="25"/>
        <v>1</v>
      </c>
      <c r="BR143">
        <f t="shared" si="37"/>
        <v>0</v>
      </c>
      <c r="BS143" s="9">
        <f t="shared" si="38"/>
        <v>0</v>
      </c>
      <c r="BT143" s="9">
        <f t="shared" si="39"/>
        <v>0</v>
      </c>
      <c r="BU143" s="9">
        <f t="shared" si="40"/>
        <v>0</v>
      </c>
      <c r="BV143" s="12">
        <f t="shared" si="41"/>
        <v>1.9996441817846045E-2</v>
      </c>
      <c r="BX143" s="12">
        <f t="shared" si="42"/>
        <v>0</v>
      </c>
      <c r="BY143" s="12">
        <f t="shared" si="43"/>
        <v>5.104040431335119E-2</v>
      </c>
    </row>
    <row r="144" spans="1:77" x14ac:dyDescent="0.3">
      <c r="A144" s="1">
        <v>46232</v>
      </c>
      <c r="B144" s="8">
        <v>98.39</v>
      </c>
      <c r="C144" s="8">
        <v>109.68</v>
      </c>
      <c r="D144" s="9">
        <v>-1.9326218017719599E-2</v>
      </c>
      <c r="E144" s="9">
        <v>-1.96810541393828E-2</v>
      </c>
      <c r="F144" s="8">
        <v>0</v>
      </c>
      <c r="G144" s="8">
        <v>0.70569999999999999</v>
      </c>
      <c r="H144" s="8">
        <v>0</v>
      </c>
      <c r="I144" s="8">
        <v>0.74199999999999999</v>
      </c>
      <c r="J144" s="8">
        <v>0.70569999999999999</v>
      </c>
      <c r="K144" s="8">
        <v>0.74199999999999999</v>
      </c>
      <c r="L144" s="8">
        <v>99.095699999999994</v>
      </c>
      <c r="M144" s="8">
        <v>110.422</v>
      </c>
      <c r="N144" s="10">
        <v>1.11474743368228</v>
      </c>
      <c r="O144" s="10">
        <v>1.1144207265719701</v>
      </c>
      <c r="P144" s="10">
        <v>1.1200700287287</v>
      </c>
      <c r="Q144" s="10">
        <v>1.12087393134025</v>
      </c>
      <c r="R144" s="8">
        <v>109.64785528741599</v>
      </c>
      <c r="S144" s="8">
        <v>110.25339453824</v>
      </c>
      <c r="T144" s="8">
        <v>110.35341353918</v>
      </c>
      <c r="U144" s="9">
        <v>-2.9312020373536897E-4</v>
      </c>
      <c r="V144" s="9">
        <v>5.2142680614091202E-3</v>
      </c>
      <c r="W144" s="9">
        <v>6.1210307190541404E-3</v>
      </c>
      <c r="X144" s="10">
        <v>1.1142965840091901</v>
      </c>
      <c r="Y144" s="10">
        <v>1.1140664646848899</v>
      </c>
      <c r="Z144" s="10">
        <v>1.1195973467681699</v>
      </c>
      <c r="AA144" s="10">
        <v>1.1204023795990701</v>
      </c>
      <c r="AB144" s="8">
        <v>110.39919616447401</v>
      </c>
      <c r="AC144" s="8">
        <v>110.997227735379</v>
      </c>
      <c r="AD144" s="8">
        <v>111.097133844588</v>
      </c>
      <c r="AE144" s="9">
        <v>-2.0653665501632501E-4</v>
      </c>
      <c r="AF144" s="9">
        <v>5.1958362908860198E-3</v>
      </c>
      <c r="AG144" s="9">
        <v>6.0955089816945801E-3</v>
      </c>
      <c r="AH144" s="12"/>
      <c r="AZ144" s="9"/>
      <c r="BB144">
        <f t="shared" si="26"/>
        <v>0</v>
      </c>
      <c r="BC144">
        <f t="shared" si="27"/>
        <v>1</v>
      </c>
      <c r="BD144">
        <f t="shared" si="28"/>
        <v>0</v>
      </c>
      <c r="BE144">
        <f t="shared" si="24"/>
        <v>1</v>
      </c>
      <c r="BF144">
        <f t="shared" si="29"/>
        <v>0</v>
      </c>
      <c r="BG144" s="9">
        <f t="shared" si="30"/>
        <v>0</v>
      </c>
      <c r="BH144" s="9">
        <f t="shared" si="31"/>
        <v>0</v>
      </c>
      <c r="BI144" s="9">
        <f t="shared" si="32"/>
        <v>0</v>
      </c>
      <c r="BJ144" s="12">
        <f t="shared" si="33"/>
        <v>3.1043962495505159E-2</v>
      </c>
      <c r="BL144" s="9"/>
      <c r="BN144">
        <f t="shared" si="34"/>
        <v>1</v>
      </c>
      <c r="BO144">
        <f t="shared" si="35"/>
        <v>0</v>
      </c>
      <c r="BP144">
        <f t="shared" si="36"/>
        <v>1</v>
      </c>
      <c r="BQ144">
        <f t="shared" si="25"/>
        <v>1</v>
      </c>
      <c r="BR144">
        <f t="shared" si="37"/>
        <v>1</v>
      </c>
      <c r="BS144" s="9">
        <f t="shared" si="38"/>
        <v>1.9326218017719599E-2</v>
      </c>
      <c r="BT144" s="9">
        <f t="shared" si="39"/>
        <v>-1.96810541393828E-2</v>
      </c>
      <c r="BU144" s="9">
        <f t="shared" si="40"/>
        <v>-3.5483612166320108E-4</v>
      </c>
      <c r="BV144" s="12">
        <f t="shared" si="41"/>
        <v>1.9641605696182843E-2</v>
      </c>
      <c r="BX144" s="12">
        <f t="shared" si="42"/>
        <v>-3.5483612166320108E-4</v>
      </c>
      <c r="BY144" s="12">
        <f t="shared" si="43"/>
        <v>5.0685568191687985E-2</v>
      </c>
    </row>
    <row r="145" spans="1:77" x14ac:dyDescent="0.3">
      <c r="A145" s="1">
        <v>46233</v>
      </c>
      <c r="B145" s="8">
        <v>101.49</v>
      </c>
      <c r="C145" s="8">
        <v>113.38</v>
      </c>
      <c r="D145" s="9">
        <v>3.10210985830526E-2</v>
      </c>
      <c r="E145" s="9">
        <v>3.3177973642098499E-2</v>
      </c>
      <c r="F145" s="8">
        <v>0</v>
      </c>
      <c r="G145" s="8">
        <v>0.70569999999999999</v>
      </c>
      <c r="H145" s="8">
        <v>0</v>
      </c>
      <c r="I145" s="8">
        <v>0.74199999999999999</v>
      </c>
      <c r="J145" s="8">
        <v>0.70569999999999999</v>
      </c>
      <c r="K145" s="8">
        <v>0.74199999999999999</v>
      </c>
      <c r="L145" s="8">
        <v>102.19569999999899</v>
      </c>
      <c r="M145" s="8">
        <v>114.122</v>
      </c>
      <c r="N145" s="10">
        <v>1.11715439944822</v>
      </c>
      <c r="O145" s="10">
        <v>1.1144207265719701</v>
      </c>
      <c r="P145" s="10">
        <v>1.11985913422405</v>
      </c>
      <c r="Q145" s="10">
        <v>1.1203169134761</v>
      </c>
      <c r="R145" s="8">
        <v>113.102559539789</v>
      </c>
      <c r="S145" s="8">
        <v>113.67590721567601</v>
      </c>
      <c r="T145" s="8">
        <v>113.75749529172199</v>
      </c>
      <c r="U145" s="9">
        <v>-2.4499952627812802E-3</v>
      </c>
      <c r="V145" s="9">
        <v>2.6064715675588501E-3</v>
      </c>
      <c r="W145" s="9">
        <v>3.3239394385571599E-3</v>
      </c>
      <c r="X145" s="10">
        <v>1.1167006048199599</v>
      </c>
      <c r="Y145" s="10">
        <v>1.1140664646848899</v>
      </c>
      <c r="Z145" s="10">
        <v>1.1193878856663699</v>
      </c>
      <c r="AA145" s="10">
        <v>1.1198481223594301</v>
      </c>
      <c r="AB145" s="8">
        <v>113.852802204997</v>
      </c>
      <c r="AC145" s="8">
        <v>114.418034571115</v>
      </c>
      <c r="AD145" s="8">
        <v>114.50030546479201</v>
      </c>
      <c r="AE145" s="9">
        <v>-2.3616462654323799E-3</v>
      </c>
      <c r="AF145" s="9">
        <v>2.5906597698866899E-3</v>
      </c>
      <c r="AG145" s="9">
        <v>3.3094392019434298E-3</v>
      </c>
      <c r="AH145" s="12"/>
      <c r="AZ145" s="9"/>
      <c r="BB145">
        <f t="shared" si="26"/>
        <v>0</v>
      </c>
      <c r="BC145">
        <f t="shared" si="27"/>
        <v>1</v>
      </c>
      <c r="BD145">
        <f t="shared" si="28"/>
        <v>0</v>
      </c>
      <c r="BE145">
        <f t="shared" si="24"/>
        <v>1</v>
      </c>
      <c r="BF145">
        <f t="shared" si="29"/>
        <v>0</v>
      </c>
      <c r="BG145" s="9">
        <f t="shared" si="30"/>
        <v>0</v>
      </c>
      <c r="BH145" s="9">
        <f t="shared" si="31"/>
        <v>0</v>
      </c>
      <c r="BI145" s="9">
        <f t="shared" si="32"/>
        <v>0</v>
      </c>
      <c r="BJ145" s="12">
        <f t="shared" si="33"/>
        <v>3.1043962495505159E-2</v>
      </c>
      <c r="BL145" s="9"/>
      <c r="BN145">
        <f t="shared" si="34"/>
        <v>1</v>
      </c>
      <c r="BO145">
        <f t="shared" si="35"/>
        <v>0</v>
      </c>
      <c r="BP145">
        <f t="shared" si="36"/>
        <v>1</v>
      </c>
      <c r="BQ145">
        <f t="shared" si="25"/>
        <v>1</v>
      </c>
      <c r="BR145">
        <f t="shared" si="37"/>
        <v>1</v>
      </c>
      <c r="BS145" s="9">
        <f t="shared" si="38"/>
        <v>-3.10210985830526E-2</v>
      </c>
      <c r="BT145" s="9">
        <f t="shared" si="39"/>
        <v>3.3177973642098499E-2</v>
      </c>
      <c r="BU145" s="9">
        <f t="shared" si="40"/>
        <v>2.1568750590458992E-3</v>
      </c>
      <c r="BV145" s="12">
        <f t="shared" si="41"/>
        <v>2.1798480755228743E-2</v>
      </c>
      <c r="BX145" s="12">
        <f t="shared" si="42"/>
        <v>2.1568750590458992E-3</v>
      </c>
      <c r="BY145" s="12">
        <f t="shared" si="43"/>
        <v>5.2842443250733881E-2</v>
      </c>
    </row>
    <row r="146" spans="1:77" x14ac:dyDescent="0.3">
      <c r="A146" s="1">
        <v>46234</v>
      </c>
      <c r="B146" s="8">
        <v>101.85</v>
      </c>
      <c r="C146" s="8">
        <v>113.23</v>
      </c>
      <c r="D146" s="9">
        <v>3.5408712120879099E-3</v>
      </c>
      <c r="E146" s="9">
        <v>-1.32386057020944E-3</v>
      </c>
      <c r="F146" s="8">
        <v>0</v>
      </c>
      <c r="G146" s="8">
        <v>0.70569999999999999</v>
      </c>
      <c r="H146" s="8">
        <v>0</v>
      </c>
      <c r="I146" s="8">
        <v>0.74199999999999999</v>
      </c>
      <c r="J146" s="8">
        <v>0.70569999999999999</v>
      </c>
      <c r="K146" s="8">
        <v>0.74199999999999999</v>
      </c>
      <c r="L146" s="8">
        <v>102.55569999999901</v>
      </c>
      <c r="M146" s="8">
        <v>113.97199999999999</v>
      </c>
      <c r="N146" s="10">
        <v>1.11173294059892</v>
      </c>
      <c r="O146" s="10">
        <v>1.1144207265719701</v>
      </c>
      <c r="P146" s="10">
        <v>1.1189622735889</v>
      </c>
      <c r="Q146" s="10">
        <v>1.1196523629586199</v>
      </c>
      <c r="R146" s="8">
        <v>113.503751001355</v>
      </c>
      <c r="S146" s="8">
        <v>114.057652820719</v>
      </c>
      <c r="T146" s="8">
        <v>114.104277637541</v>
      </c>
      <c r="U146" s="9">
        <v>2.4147365195161998E-3</v>
      </c>
      <c r="V146" s="9">
        <v>7.2828987295430704E-3</v>
      </c>
      <c r="W146" s="9">
        <v>7.6915980894811898E-3</v>
      </c>
      <c r="X146" s="10">
        <v>1.11131804473081</v>
      </c>
      <c r="Y146" s="10">
        <v>1.1140664646848899</v>
      </c>
      <c r="Z146" s="10">
        <v>1.1184973643468801</v>
      </c>
      <c r="AA146" s="10">
        <v>1.1191875351687699</v>
      </c>
      <c r="AB146" s="8">
        <v>114.253866132284</v>
      </c>
      <c r="AC146" s="8">
        <v>114.79960818603401</v>
      </c>
      <c r="AD146" s="8">
        <v>114.846808082257</v>
      </c>
      <c r="AE146" s="9">
        <v>2.4700642426892698E-3</v>
      </c>
      <c r="AF146" s="9">
        <v>7.2352666746680703E-3</v>
      </c>
      <c r="AG146" s="9">
        <v>7.6463325005981702E-3</v>
      </c>
      <c r="AH146" s="12"/>
      <c r="AZ146" s="9"/>
      <c r="BB146">
        <f t="shared" si="26"/>
        <v>0</v>
      </c>
      <c r="BC146">
        <f t="shared" si="27"/>
        <v>1</v>
      </c>
      <c r="BD146">
        <f t="shared" si="28"/>
        <v>0</v>
      </c>
      <c r="BE146">
        <f t="shared" si="24"/>
        <v>0</v>
      </c>
      <c r="BF146">
        <f t="shared" si="29"/>
        <v>0</v>
      </c>
      <c r="BG146" s="9">
        <f t="shared" si="30"/>
        <v>0</v>
      </c>
      <c r="BH146" s="9">
        <f t="shared" si="31"/>
        <v>0</v>
      </c>
      <c r="BI146" s="9">
        <f t="shared" si="32"/>
        <v>0</v>
      </c>
      <c r="BJ146" s="12">
        <f t="shared" si="33"/>
        <v>3.1043962495505159E-2</v>
      </c>
      <c r="BL146" s="9"/>
      <c r="BN146">
        <f t="shared" si="34"/>
        <v>1</v>
      </c>
      <c r="BO146">
        <f t="shared" si="35"/>
        <v>0</v>
      </c>
      <c r="BP146">
        <f t="shared" si="36"/>
        <v>1</v>
      </c>
      <c r="BQ146">
        <f t="shared" si="25"/>
        <v>0</v>
      </c>
      <c r="BR146">
        <f t="shared" si="37"/>
        <v>1</v>
      </c>
      <c r="BS146" s="9">
        <f t="shared" si="38"/>
        <v>-3.5408712120879099E-3</v>
      </c>
      <c r="BT146" s="9">
        <f t="shared" si="39"/>
        <v>-1.32386057020944E-3</v>
      </c>
      <c r="BU146" s="9">
        <f t="shared" si="40"/>
        <v>-4.8647317822973499E-3</v>
      </c>
      <c r="BV146" s="12">
        <f t="shared" si="41"/>
        <v>1.6933748972931394E-2</v>
      </c>
      <c r="BX146" s="12">
        <f t="shared" si="42"/>
        <v>-4.8647317822973499E-3</v>
      </c>
      <c r="BY146" s="12">
        <f t="shared" si="43"/>
        <v>4.7977711468436532E-2</v>
      </c>
    </row>
    <row r="147" spans="1:77" x14ac:dyDescent="0.3">
      <c r="A147" s="1">
        <v>46237</v>
      </c>
      <c r="B147" s="8">
        <v>103.3</v>
      </c>
      <c r="C147" s="8">
        <v>115.11</v>
      </c>
      <c r="D147" s="9">
        <v>1.41362334527779E-2</v>
      </c>
      <c r="E147" s="9">
        <v>1.6467044601022499E-2</v>
      </c>
      <c r="F147" s="8">
        <v>0.21049999999999999</v>
      </c>
      <c r="G147" s="8">
        <v>0.91620000000000001</v>
      </c>
      <c r="H147" s="8">
        <v>0.13900000000000001</v>
      </c>
      <c r="I147" s="8">
        <v>0.88100000000000001</v>
      </c>
      <c r="J147" s="8">
        <v>0.91620000000000001</v>
      </c>
      <c r="K147" s="8">
        <v>0.88100000000000001</v>
      </c>
      <c r="L147" s="8">
        <v>104.2162</v>
      </c>
      <c r="M147" s="8">
        <v>115.991</v>
      </c>
      <c r="N147" s="10">
        <v>1.1143272023233299</v>
      </c>
      <c r="O147" s="10">
        <v>1.1144207265719701</v>
      </c>
      <c r="P147" s="10">
        <v>1.1182755673824201</v>
      </c>
      <c r="Q147" s="10">
        <v>1.1192640995107499</v>
      </c>
      <c r="R147" s="8">
        <v>115.119661054885</v>
      </c>
      <c r="S147" s="8">
        <v>115.588802861733</v>
      </c>
      <c r="T147" s="8">
        <v>115.660089093626</v>
      </c>
      <c r="U147" s="9">
        <v>8.3925371271551501E-5</v>
      </c>
      <c r="V147" s="9">
        <v>4.1508975623030398E-3</v>
      </c>
      <c r="W147" s="9">
        <v>4.7674301090998997E-3</v>
      </c>
      <c r="X147" s="10">
        <v>1.11298435368013</v>
      </c>
      <c r="Y147" s="10">
        <v>1.1140664646848899</v>
      </c>
      <c r="Z147" s="10">
        <v>1.1177243873763301</v>
      </c>
      <c r="AA147" s="10">
        <v>1.11875564054815</v>
      </c>
      <c r="AB147" s="8">
        <v>116.103773496893</v>
      </c>
      <c r="AC147" s="8">
        <v>116.56554502224699</v>
      </c>
      <c r="AD147" s="8">
        <v>116.637472002656</v>
      </c>
      <c r="AE147" s="9">
        <v>9.7178841272233202E-4</v>
      </c>
      <c r="AF147" s="9">
        <v>4.9411311226803404E-3</v>
      </c>
      <c r="AG147" s="9">
        <v>5.5579926333699497E-3</v>
      </c>
      <c r="AH147" s="12"/>
      <c r="AZ147" s="9"/>
      <c r="BB147">
        <f t="shared" si="26"/>
        <v>0</v>
      </c>
      <c r="BC147">
        <f t="shared" si="27"/>
        <v>1</v>
      </c>
      <c r="BD147">
        <f t="shared" si="28"/>
        <v>0</v>
      </c>
      <c r="BE147">
        <f t="shared" si="24"/>
        <v>1</v>
      </c>
      <c r="BF147">
        <f t="shared" si="29"/>
        <v>0</v>
      </c>
      <c r="BG147" s="9">
        <f t="shared" si="30"/>
        <v>0</v>
      </c>
      <c r="BH147" s="9">
        <f t="shared" si="31"/>
        <v>0</v>
      </c>
      <c r="BI147" s="9">
        <f t="shared" si="32"/>
        <v>0</v>
      </c>
      <c r="BJ147" s="12">
        <f t="shared" si="33"/>
        <v>3.1043962495505159E-2</v>
      </c>
      <c r="BL147" s="9"/>
      <c r="BN147">
        <f t="shared" si="34"/>
        <v>1</v>
      </c>
      <c r="BO147">
        <f t="shared" si="35"/>
        <v>0</v>
      </c>
      <c r="BP147">
        <f t="shared" si="36"/>
        <v>0</v>
      </c>
      <c r="BQ147">
        <f t="shared" si="25"/>
        <v>1</v>
      </c>
      <c r="BR147">
        <f t="shared" si="37"/>
        <v>0</v>
      </c>
      <c r="BS147" s="9">
        <f t="shared" si="38"/>
        <v>0</v>
      </c>
      <c r="BT147" s="9">
        <f t="shared" si="39"/>
        <v>0</v>
      </c>
      <c r="BU147" s="9">
        <f t="shared" si="40"/>
        <v>0</v>
      </c>
      <c r="BV147" s="12">
        <f t="shared" si="41"/>
        <v>1.6933748972931394E-2</v>
      </c>
      <c r="BX147" s="12">
        <f t="shared" si="42"/>
        <v>0</v>
      </c>
      <c r="BY147" s="12">
        <f t="shared" si="43"/>
        <v>4.7977711468436532E-2</v>
      </c>
    </row>
    <row r="148" spans="1:77" x14ac:dyDescent="0.3">
      <c r="A148" s="1">
        <v>46238</v>
      </c>
      <c r="B148" s="8">
        <v>105.35</v>
      </c>
      <c r="C148" s="8">
        <v>117.12</v>
      </c>
      <c r="D148" s="9">
        <v>1.9650764124605199E-2</v>
      </c>
      <c r="E148" s="9">
        <v>1.7310857286030799E-2</v>
      </c>
      <c r="F148" s="8">
        <v>0</v>
      </c>
      <c r="G148" s="8">
        <v>0.91620000000000001</v>
      </c>
      <c r="H148" s="8">
        <v>0</v>
      </c>
      <c r="I148" s="8">
        <v>0.88100000000000001</v>
      </c>
      <c r="J148" s="8">
        <v>0.91620000000000001</v>
      </c>
      <c r="K148" s="8">
        <v>0.88100000000000001</v>
      </c>
      <c r="L148" s="8">
        <v>106.2662</v>
      </c>
      <c r="M148" s="8">
        <v>118.001</v>
      </c>
      <c r="N148" s="10">
        <v>1.1117228286663501</v>
      </c>
      <c r="O148" s="10">
        <v>1.1144207265719701</v>
      </c>
      <c r="P148" s="10">
        <v>1.11688154684467</v>
      </c>
      <c r="Q148" s="10">
        <v>1.11885601850786</v>
      </c>
      <c r="R148" s="8">
        <v>117.404223544357</v>
      </c>
      <c r="S148" s="8">
        <v>117.810331023738</v>
      </c>
      <c r="T148" s="8">
        <v>117.914472883458</v>
      </c>
      <c r="U148" s="9">
        <v>2.4238322098462002E-3</v>
      </c>
      <c r="V148" s="9">
        <v>5.8769168512653597E-3</v>
      </c>
      <c r="W148" s="9">
        <v>6.7605053813601301E-3</v>
      </c>
      <c r="X148" s="10">
        <v>1.11042833939672</v>
      </c>
      <c r="Y148" s="10">
        <v>1.1140664646848899</v>
      </c>
      <c r="Z148" s="10">
        <v>1.1162510927781399</v>
      </c>
      <c r="AA148" s="10">
        <v>1.1183059339924399</v>
      </c>
      <c r="AB148" s="8">
        <v>118.387609749497</v>
      </c>
      <c r="AC148" s="8">
        <v>118.77632329380999</v>
      </c>
      <c r="AD148" s="8">
        <v>118.885910649618</v>
      </c>
      <c r="AE148" s="9">
        <v>3.2709705819605498E-3</v>
      </c>
      <c r="AF148" s="9">
        <v>6.5489891862113301E-3</v>
      </c>
      <c r="AG148" s="9">
        <v>7.4712001892481899E-3</v>
      </c>
      <c r="AH148" s="12"/>
      <c r="AZ148" s="9"/>
      <c r="BB148">
        <f t="shared" si="26"/>
        <v>0</v>
      </c>
      <c r="BC148">
        <f t="shared" si="27"/>
        <v>1</v>
      </c>
      <c r="BD148">
        <f t="shared" si="28"/>
        <v>0</v>
      </c>
      <c r="BE148">
        <f t="shared" si="24"/>
        <v>1</v>
      </c>
      <c r="BF148">
        <f t="shared" si="29"/>
        <v>0</v>
      </c>
      <c r="BG148" s="9">
        <f t="shared" si="30"/>
        <v>0</v>
      </c>
      <c r="BH148" s="9">
        <f t="shared" si="31"/>
        <v>0</v>
      </c>
      <c r="BI148" s="9">
        <f t="shared" si="32"/>
        <v>0</v>
      </c>
      <c r="BJ148" s="12">
        <f t="shared" si="33"/>
        <v>3.1043962495505159E-2</v>
      </c>
      <c r="BL148" s="9"/>
      <c r="BN148">
        <f t="shared" si="34"/>
        <v>1</v>
      </c>
      <c r="BO148">
        <f t="shared" si="35"/>
        <v>0</v>
      </c>
      <c r="BP148">
        <f t="shared" si="36"/>
        <v>1</v>
      </c>
      <c r="BQ148">
        <f t="shared" si="25"/>
        <v>1</v>
      </c>
      <c r="BR148">
        <f t="shared" si="37"/>
        <v>1</v>
      </c>
      <c r="BS148" s="9">
        <f t="shared" si="38"/>
        <v>-1.9650764124605199E-2</v>
      </c>
      <c r="BT148" s="9">
        <f t="shared" si="39"/>
        <v>1.7310857286030799E-2</v>
      </c>
      <c r="BU148" s="9">
        <f t="shared" si="40"/>
        <v>-2.3399068385744001E-3</v>
      </c>
      <c r="BV148" s="12">
        <f t="shared" si="41"/>
        <v>1.4593842134356994E-2</v>
      </c>
      <c r="BX148" s="12">
        <f t="shared" si="42"/>
        <v>-2.3399068385744001E-3</v>
      </c>
      <c r="BY148" s="12">
        <f t="shared" si="43"/>
        <v>4.5637804629862132E-2</v>
      </c>
    </row>
    <row r="149" spans="1:77" x14ac:dyDescent="0.3">
      <c r="A149" s="1">
        <v>46239</v>
      </c>
      <c r="B149" s="8">
        <v>104.34</v>
      </c>
      <c r="C149" s="8">
        <v>116.09</v>
      </c>
      <c r="D149" s="9">
        <v>-9.6333426559512599E-3</v>
      </c>
      <c r="E149" s="9">
        <v>-8.8332978630570602E-3</v>
      </c>
      <c r="F149" s="8">
        <v>0</v>
      </c>
      <c r="G149" s="8">
        <v>0.91620000000000001</v>
      </c>
      <c r="H149" s="8">
        <v>0</v>
      </c>
      <c r="I149" s="8">
        <v>0.88100000000000001</v>
      </c>
      <c r="J149" s="8">
        <v>0.91620000000000001</v>
      </c>
      <c r="K149" s="8">
        <v>0.88100000000000001</v>
      </c>
      <c r="L149" s="8">
        <v>105.25620000000001</v>
      </c>
      <c r="M149" s="8">
        <v>116.971</v>
      </c>
      <c r="N149" s="10">
        <v>1.1126126126126099</v>
      </c>
      <c r="O149" s="10">
        <v>1.1144207265719701</v>
      </c>
      <c r="P149" s="10">
        <v>1.1161139619520899</v>
      </c>
      <c r="Q149" s="10">
        <v>1.11854780537356</v>
      </c>
      <c r="R149" s="8">
        <v>116.27865861052</v>
      </c>
      <c r="S149" s="8">
        <v>116.535420597773</v>
      </c>
      <c r="T149" s="8">
        <v>116.74143697111001</v>
      </c>
      <c r="U149" s="9">
        <v>1.62378741695184E-3</v>
      </c>
      <c r="V149" s="9">
        <v>3.8295139110472499E-3</v>
      </c>
      <c r="W149" s="9">
        <v>5.59579650799478E-3</v>
      </c>
      <c r="X149" s="10">
        <v>1.1112979567949399</v>
      </c>
      <c r="Y149" s="10">
        <v>1.1140664646848899</v>
      </c>
      <c r="Z149" s="10">
        <v>1.11539844624102</v>
      </c>
      <c r="AA149" s="10">
        <v>1.1179545406395901</v>
      </c>
      <c r="AB149" s="8">
        <v>117.262402620166</v>
      </c>
      <c r="AC149" s="8">
        <v>117.492348271674</v>
      </c>
      <c r="AD149" s="8">
        <v>117.70863304949501</v>
      </c>
      <c r="AE149" s="9">
        <v>2.4881401819045199E-3</v>
      </c>
      <c r="AF149" s="9">
        <v>4.4471695448924696E-3</v>
      </c>
      <c r="AG149" s="9">
        <v>6.28631866383515E-3</v>
      </c>
      <c r="AH149" s="12"/>
      <c r="AZ149" s="9"/>
      <c r="BB149">
        <f t="shared" si="26"/>
        <v>0</v>
      </c>
      <c r="BC149">
        <f t="shared" si="27"/>
        <v>1</v>
      </c>
      <c r="BD149">
        <f t="shared" si="28"/>
        <v>0</v>
      </c>
      <c r="BE149">
        <f t="shared" si="24"/>
        <v>1</v>
      </c>
      <c r="BF149">
        <f t="shared" si="29"/>
        <v>0</v>
      </c>
      <c r="BG149" s="9">
        <f t="shared" si="30"/>
        <v>0</v>
      </c>
      <c r="BH149" s="9">
        <f t="shared" si="31"/>
        <v>0</v>
      </c>
      <c r="BI149" s="9">
        <f t="shared" si="32"/>
        <v>0</v>
      </c>
      <c r="BJ149" s="12">
        <f t="shared" si="33"/>
        <v>3.1043962495505159E-2</v>
      </c>
      <c r="BL149" s="9"/>
      <c r="BN149">
        <f t="shared" si="34"/>
        <v>1</v>
      </c>
      <c r="BO149">
        <f t="shared" si="35"/>
        <v>0</v>
      </c>
      <c r="BP149">
        <f t="shared" si="36"/>
        <v>1</v>
      </c>
      <c r="BQ149">
        <f t="shared" si="25"/>
        <v>1</v>
      </c>
      <c r="BR149">
        <f t="shared" si="37"/>
        <v>1</v>
      </c>
      <c r="BS149" s="9">
        <f t="shared" si="38"/>
        <v>9.6333426559512599E-3</v>
      </c>
      <c r="BT149" s="9">
        <f t="shared" si="39"/>
        <v>-8.8332978630570602E-3</v>
      </c>
      <c r="BU149" s="9">
        <f t="shared" si="40"/>
        <v>8.0004479289419971E-4</v>
      </c>
      <c r="BV149" s="12">
        <f t="shared" si="41"/>
        <v>1.5393886927251193E-2</v>
      </c>
      <c r="BX149" s="12">
        <f t="shared" si="42"/>
        <v>8.0004479289419971E-4</v>
      </c>
      <c r="BY149" s="12">
        <f t="shared" si="43"/>
        <v>4.6437849422756333E-2</v>
      </c>
    </row>
    <row r="150" spans="1:77" x14ac:dyDescent="0.3">
      <c r="A150" s="1">
        <v>46240</v>
      </c>
      <c r="B150" s="8">
        <v>102.88</v>
      </c>
      <c r="C150" s="8">
        <v>114.55</v>
      </c>
      <c r="D150" s="9">
        <v>-1.40915371049374E-2</v>
      </c>
      <c r="E150" s="9">
        <v>-1.33543434504399E-2</v>
      </c>
      <c r="F150" s="8">
        <v>0</v>
      </c>
      <c r="G150" s="8">
        <v>0.91620000000000001</v>
      </c>
      <c r="H150" s="8">
        <v>0</v>
      </c>
      <c r="I150" s="8">
        <v>0.88100000000000001</v>
      </c>
      <c r="J150" s="8">
        <v>0.91620000000000001</v>
      </c>
      <c r="K150" s="8">
        <v>0.88100000000000001</v>
      </c>
      <c r="L150" s="8">
        <v>103.7962</v>
      </c>
      <c r="M150" s="8">
        <v>115.431</v>
      </c>
      <c r="N150" s="10">
        <v>1.1134331259720001</v>
      </c>
      <c r="O150" s="10">
        <v>1.1144207265719701</v>
      </c>
      <c r="P150" s="10">
        <v>1.1151184163540799</v>
      </c>
      <c r="Q150" s="10">
        <v>1.1180937279096199</v>
      </c>
      <c r="R150" s="8">
        <v>114.651604349724</v>
      </c>
      <c r="S150" s="8">
        <v>114.825804405631</v>
      </c>
      <c r="T150" s="8">
        <v>115.076198216832</v>
      </c>
      <c r="U150" s="9">
        <v>8.8659376245418299E-4</v>
      </c>
      <c r="V150" s="9">
        <v>2.4048267799222098E-3</v>
      </c>
      <c r="W150" s="9">
        <v>4.58309323564462E-3</v>
      </c>
      <c r="X150" s="10">
        <v>1.1120927355721999</v>
      </c>
      <c r="Y150" s="10">
        <v>1.1140664646848899</v>
      </c>
      <c r="Z150" s="10">
        <v>1.1143177424503099</v>
      </c>
      <c r="AA150" s="10">
        <v>1.1174570309004701</v>
      </c>
      <c r="AB150" s="8">
        <v>115.63586558172599</v>
      </c>
      <c r="AC150" s="8">
        <v>115.774120205722</v>
      </c>
      <c r="AD150" s="8">
        <v>116.039433091135</v>
      </c>
      <c r="AE150" s="9">
        <v>1.77321516774089E-3</v>
      </c>
      <c r="AF150" s="9">
        <v>2.9681043163274001E-3</v>
      </c>
      <c r="AG150" s="9">
        <v>5.2571249321147102E-3</v>
      </c>
      <c r="AH150" s="12"/>
      <c r="AZ150" s="9"/>
      <c r="BB150">
        <f t="shared" si="26"/>
        <v>0</v>
      </c>
      <c r="BC150">
        <f t="shared" si="27"/>
        <v>1</v>
      </c>
      <c r="BD150">
        <f t="shared" si="28"/>
        <v>0</v>
      </c>
      <c r="BE150">
        <f t="shared" ref="BE150:BE167" si="44">IF(F151+H151&gt;0,0,1)</f>
        <v>1</v>
      </c>
      <c r="BF150">
        <f t="shared" si="29"/>
        <v>0</v>
      </c>
      <c r="BG150" s="9">
        <f t="shared" si="30"/>
        <v>0</v>
      </c>
      <c r="BH150" s="9">
        <f t="shared" si="31"/>
        <v>0</v>
      </c>
      <c r="BI150" s="9">
        <f t="shared" si="32"/>
        <v>0</v>
      </c>
      <c r="BJ150" s="12">
        <f t="shared" si="33"/>
        <v>3.1043962495505159E-2</v>
      </c>
      <c r="BL150" s="9"/>
      <c r="BN150">
        <f t="shared" si="34"/>
        <v>1</v>
      </c>
      <c r="BO150">
        <f t="shared" si="35"/>
        <v>0</v>
      </c>
      <c r="BP150">
        <f t="shared" si="36"/>
        <v>1</v>
      </c>
      <c r="BQ150">
        <f t="shared" ref="BQ150:BQ167" si="45">IF(F151+H151&gt;0,0,1)</f>
        <v>1</v>
      </c>
      <c r="BR150">
        <f t="shared" si="37"/>
        <v>1</v>
      </c>
      <c r="BS150" s="9">
        <f t="shared" si="38"/>
        <v>1.40915371049374E-2</v>
      </c>
      <c r="BT150" s="9">
        <f t="shared" si="39"/>
        <v>-1.33543434504399E-2</v>
      </c>
      <c r="BU150" s="9">
        <f t="shared" si="40"/>
        <v>7.3719365449750017E-4</v>
      </c>
      <c r="BV150" s="12">
        <f t="shared" si="41"/>
        <v>1.6131080581748693E-2</v>
      </c>
      <c r="BX150" s="12">
        <f t="shared" si="42"/>
        <v>7.3719365449750017E-4</v>
      </c>
      <c r="BY150" s="12">
        <f t="shared" si="43"/>
        <v>4.7175043077253835E-2</v>
      </c>
    </row>
    <row r="151" spans="1:77" x14ac:dyDescent="0.3">
      <c r="A151" s="1">
        <v>46241</v>
      </c>
      <c r="B151" s="8">
        <v>103.86</v>
      </c>
      <c r="C151" s="8">
        <v>115.71</v>
      </c>
      <c r="D151" s="9">
        <v>9.4805779268636904E-3</v>
      </c>
      <c r="E151" s="9">
        <v>1.00756519887416E-2</v>
      </c>
      <c r="F151" s="8">
        <v>0</v>
      </c>
      <c r="G151" s="8">
        <v>0.91620000000000001</v>
      </c>
      <c r="H151" s="8">
        <v>0</v>
      </c>
      <c r="I151" s="8">
        <v>0.88100000000000001</v>
      </c>
      <c r="J151" s="8">
        <v>0.91620000000000001</v>
      </c>
      <c r="K151" s="8">
        <v>0.88100000000000001</v>
      </c>
      <c r="L151" s="8">
        <v>104.7762</v>
      </c>
      <c r="M151" s="8">
        <v>116.59099999999999</v>
      </c>
      <c r="N151" s="10">
        <v>1.11409589832466</v>
      </c>
      <c r="O151" s="10">
        <v>1.1144207265719701</v>
      </c>
      <c r="P151" s="10">
        <v>1.1144369537624199</v>
      </c>
      <c r="Q151" s="10">
        <v>1.1177741974742701</v>
      </c>
      <c r="R151" s="8">
        <v>115.743736661765</v>
      </c>
      <c r="S151" s="8">
        <v>115.816198722534</v>
      </c>
      <c r="T151" s="8">
        <v>116.125214580693</v>
      </c>
      <c r="U151" s="9">
        <v>2.91519700576273E-4</v>
      </c>
      <c r="V151" s="9">
        <v>9.17379809013546E-4</v>
      </c>
      <c r="W151" s="9">
        <v>3.5819840864037699E-3</v>
      </c>
      <c r="X151" s="10">
        <v>1.1127622494421401</v>
      </c>
      <c r="Y151" s="10">
        <v>1.1140664646848899</v>
      </c>
      <c r="Z151" s="10">
        <v>1.1135508928743201</v>
      </c>
      <c r="AA151" s="10">
        <v>1.1170938143899001</v>
      </c>
      <c r="AB151" s="8">
        <v>116.727650717117</v>
      </c>
      <c r="AC151" s="8">
        <v>116.753978646523</v>
      </c>
      <c r="AD151" s="8">
        <v>117.082901361034</v>
      </c>
      <c r="AE151" s="9">
        <v>1.1713657037034999E-3</v>
      </c>
      <c r="AF151" s="9">
        <v>1.39689033781815E-3</v>
      </c>
      <c r="AG151" s="9">
        <v>4.2101585565735402E-3</v>
      </c>
      <c r="AH151" s="12"/>
      <c r="AZ151" s="9"/>
      <c r="BB151">
        <f t="shared" ref="BB151:BB167" si="46">IF($AG151&lt;BA$20,1,0)</f>
        <v>0</v>
      </c>
      <c r="BC151">
        <f t="shared" ref="BC151:BC167" si="47">IF($AG151&gt;BA$21,1,0)</f>
        <v>1</v>
      </c>
      <c r="BD151">
        <f t="shared" ref="BD151:BD167" si="48">BF151</f>
        <v>0</v>
      </c>
      <c r="BE151">
        <f t="shared" si="44"/>
        <v>1</v>
      </c>
      <c r="BF151">
        <f t="shared" ref="BF151:BF167" si="49">IF(BB150,1,IF(BC150,0,BD150))*BE150</f>
        <v>0</v>
      </c>
      <c r="BG151" s="9">
        <f t="shared" ref="BG151:BG167" si="50">BF151*D151</f>
        <v>0</v>
      </c>
      <c r="BH151" s="9">
        <f t="shared" ref="BH151:BH167" si="51">-BF151*$E151</f>
        <v>0</v>
      </c>
      <c r="BI151" s="9">
        <f t="shared" ref="BI151:BI167" si="52">BG151+BH151</f>
        <v>0</v>
      </c>
      <c r="BJ151" s="12">
        <f t="shared" ref="BJ151:BJ167" si="53">BJ150+BI151</f>
        <v>3.1043962495505159E-2</v>
      </c>
      <c r="BL151" s="9"/>
      <c r="BN151">
        <f t="shared" ref="BN151:BN167" si="54">IF($AG151&gt;BM$20,1,0)</f>
        <v>1</v>
      </c>
      <c r="BO151">
        <f t="shared" ref="BO151:BO167" si="55">IF($AG151&lt;BM$21,1,0)</f>
        <v>0</v>
      </c>
      <c r="BP151">
        <f t="shared" ref="BP151:BP167" si="56">BR151</f>
        <v>1</v>
      </c>
      <c r="BQ151">
        <f t="shared" si="45"/>
        <v>1</v>
      </c>
      <c r="BR151">
        <f t="shared" ref="BR151:BR167" si="57">IF(BN150,1,IF(BO150,0,BP150))*BQ150</f>
        <v>1</v>
      </c>
      <c r="BS151" s="9">
        <f t="shared" ref="BS151:BS167" si="58">-BR151*D151</f>
        <v>-9.4805779268636904E-3</v>
      </c>
      <c r="BT151" s="9">
        <f t="shared" ref="BT151:BT167" si="59">BR151*$E151</f>
        <v>1.00756519887416E-2</v>
      </c>
      <c r="BU151" s="9">
        <f t="shared" ref="BU151:BU167" si="60">BS151+BT151</f>
        <v>5.9507406187791004E-4</v>
      </c>
      <c r="BV151" s="12">
        <f t="shared" ref="BV151:BV167" si="61">BV150+BU151</f>
        <v>1.6726154643626603E-2</v>
      </c>
      <c r="BX151" s="12">
        <f t="shared" ref="BX151:BX167" si="62">BI151+BU151</f>
        <v>5.9507406187791004E-4</v>
      </c>
      <c r="BY151" s="12">
        <f t="shared" ref="BY151:BY167" si="63">BY150+BX151</f>
        <v>4.7770117139131749E-2</v>
      </c>
    </row>
    <row r="152" spans="1:77" x14ac:dyDescent="0.3">
      <c r="A152" s="1">
        <v>46244</v>
      </c>
      <c r="B152" s="8">
        <v>103.61</v>
      </c>
      <c r="C152" s="8">
        <v>115.14</v>
      </c>
      <c r="D152" s="9">
        <v>-2.4099881525124702E-3</v>
      </c>
      <c r="E152" s="9">
        <v>-4.9382816405825602E-3</v>
      </c>
      <c r="F152" s="8">
        <v>0</v>
      </c>
      <c r="G152" s="8">
        <v>0.91620000000000001</v>
      </c>
      <c r="H152" s="8">
        <v>0</v>
      </c>
      <c r="I152" s="8">
        <v>0.88100000000000001</v>
      </c>
      <c r="J152" s="8">
        <v>0.91620000000000001</v>
      </c>
      <c r="K152" s="8">
        <v>0.88100000000000001</v>
      </c>
      <c r="L152" s="8">
        <v>104.5262</v>
      </c>
      <c r="M152" s="8">
        <v>116.021</v>
      </c>
      <c r="N152" s="10">
        <v>1.1112826947205801</v>
      </c>
      <c r="O152" s="10">
        <v>1.1144207265719701</v>
      </c>
      <c r="P152" s="10">
        <v>1.1136252192873699</v>
      </c>
      <c r="Q152" s="10">
        <v>1.11731098770809</v>
      </c>
      <c r="R152" s="8">
        <v>115.465131480122</v>
      </c>
      <c r="S152" s="8">
        <v>115.466812779324</v>
      </c>
      <c r="T152" s="8">
        <v>115.81258460031</v>
      </c>
      <c r="U152" s="9">
        <v>2.8198131886464899E-3</v>
      </c>
      <c r="V152" s="9">
        <v>2.8343741815639598E-3</v>
      </c>
      <c r="W152" s="9">
        <v>5.82445529142059E-3</v>
      </c>
      <c r="X152" s="10">
        <v>1.10997051456955</v>
      </c>
      <c r="Y152" s="10">
        <v>1.1140664646848899</v>
      </c>
      <c r="Z152" s="10">
        <v>1.1126549395304799</v>
      </c>
      <c r="AA152" s="10">
        <v>1.11658831585421</v>
      </c>
      <c r="AB152" s="8">
        <v>116.449134100946</v>
      </c>
      <c r="AC152" s="8">
        <v>116.395243338759</v>
      </c>
      <c r="AD152" s="8">
        <v>116.765571461682</v>
      </c>
      <c r="AE152" s="9">
        <v>3.6833512971102102E-3</v>
      </c>
      <c r="AF152" s="9">
        <v>3.2204604707046498E-3</v>
      </c>
      <c r="AG152" s="9">
        <v>6.3970528552046001E-3</v>
      </c>
      <c r="AH152" s="12"/>
      <c r="AZ152" s="9"/>
      <c r="BB152">
        <f t="shared" si="46"/>
        <v>0</v>
      </c>
      <c r="BC152">
        <f t="shared" si="47"/>
        <v>1</v>
      </c>
      <c r="BD152">
        <f t="shared" si="48"/>
        <v>0</v>
      </c>
      <c r="BE152">
        <f t="shared" si="44"/>
        <v>1</v>
      </c>
      <c r="BF152">
        <f t="shared" si="49"/>
        <v>0</v>
      </c>
      <c r="BG152" s="9">
        <f t="shared" si="50"/>
        <v>0</v>
      </c>
      <c r="BH152" s="9">
        <f t="shared" si="51"/>
        <v>0</v>
      </c>
      <c r="BI152" s="9">
        <f t="shared" si="52"/>
        <v>0</v>
      </c>
      <c r="BJ152" s="12">
        <f t="shared" si="53"/>
        <v>3.1043962495505159E-2</v>
      </c>
      <c r="BL152" s="9"/>
      <c r="BN152">
        <f t="shared" si="54"/>
        <v>1</v>
      </c>
      <c r="BO152">
        <f t="shared" si="55"/>
        <v>0</v>
      </c>
      <c r="BP152">
        <f t="shared" si="56"/>
        <v>1</v>
      </c>
      <c r="BQ152">
        <f t="shared" si="45"/>
        <v>1</v>
      </c>
      <c r="BR152">
        <f t="shared" si="57"/>
        <v>1</v>
      </c>
      <c r="BS152" s="9">
        <f t="shared" si="58"/>
        <v>2.4099881525124702E-3</v>
      </c>
      <c r="BT152" s="9">
        <f t="shared" si="59"/>
        <v>-4.9382816405825602E-3</v>
      </c>
      <c r="BU152" s="9">
        <f t="shared" si="60"/>
        <v>-2.52829348807009E-3</v>
      </c>
      <c r="BV152" s="12">
        <f t="shared" si="61"/>
        <v>1.4197861155556513E-2</v>
      </c>
      <c r="BX152" s="12">
        <f t="shared" si="62"/>
        <v>-2.52829348807009E-3</v>
      </c>
      <c r="BY152" s="12">
        <f t="shared" si="63"/>
        <v>4.5241823651061656E-2</v>
      </c>
    </row>
    <row r="153" spans="1:77" x14ac:dyDescent="0.3">
      <c r="A153" s="1">
        <v>46245</v>
      </c>
      <c r="B153" s="8">
        <v>103.67</v>
      </c>
      <c r="C153" s="8">
        <v>115.41</v>
      </c>
      <c r="D153" s="9">
        <v>5.7892707136039299E-4</v>
      </c>
      <c r="E153" s="9">
        <v>2.3422261846498798E-3</v>
      </c>
      <c r="F153" s="8">
        <v>0</v>
      </c>
      <c r="G153" s="8">
        <v>0.91620000000000001</v>
      </c>
      <c r="H153" s="8">
        <v>0</v>
      </c>
      <c r="I153" s="8">
        <v>0.88100000000000001</v>
      </c>
      <c r="J153" s="8">
        <v>0.91620000000000001</v>
      </c>
      <c r="K153" s="8">
        <v>0.88100000000000001</v>
      </c>
      <c r="L153" s="8">
        <v>104.58620000000001</v>
      </c>
      <c r="M153" s="8">
        <v>116.291</v>
      </c>
      <c r="N153" s="10">
        <v>1.11324394713996</v>
      </c>
      <c r="O153" s="10">
        <v>1.1144207265719701</v>
      </c>
      <c r="P153" s="10">
        <v>1.1134353083488899</v>
      </c>
      <c r="Q153" s="10">
        <v>1.11700525727557</v>
      </c>
      <c r="R153" s="8">
        <v>115.53199672371601</v>
      </c>
      <c r="S153" s="8">
        <v>115.44952648352201</v>
      </c>
      <c r="T153" s="8">
        <v>115.831630095698</v>
      </c>
      <c r="U153" s="9">
        <v>1.0565140753569201E-3</v>
      </c>
      <c r="V153" s="9">
        <v>3.4242887448058602E-4</v>
      </c>
      <c r="W153" s="9">
        <v>3.6466665865147398E-3</v>
      </c>
      <c r="X153" s="10">
        <v>1.1119153387349301</v>
      </c>
      <c r="Y153" s="10">
        <v>1.1140664646848899</v>
      </c>
      <c r="Z153" s="10">
        <v>1.1123766721750601</v>
      </c>
      <c r="AA153" s="10">
        <v>1.11623901303607</v>
      </c>
      <c r="AB153" s="8">
        <v>116.515978088827</v>
      </c>
      <c r="AC153" s="8">
        <v>116.368352036723</v>
      </c>
      <c r="AD153" s="8">
        <v>116.779728919592</v>
      </c>
      <c r="AE153" s="9">
        <v>1.93274411882271E-3</v>
      </c>
      <c r="AF153" s="9">
        <v>6.64938150100803E-4</v>
      </c>
      <c r="AG153" s="9">
        <v>4.1938311016572801E-3</v>
      </c>
      <c r="AH153" s="12"/>
      <c r="AZ153" s="9"/>
      <c r="BB153">
        <f t="shared" si="46"/>
        <v>0</v>
      </c>
      <c r="BC153">
        <f t="shared" si="47"/>
        <v>1</v>
      </c>
      <c r="BD153">
        <f t="shared" si="48"/>
        <v>0</v>
      </c>
      <c r="BE153">
        <f t="shared" si="44"/>
        <v>1</v>
      </c>
      <c r="BF153">
        <f t="shared" si="49"/>
        <v>0</v>
      </c>
      <c r="BG153" s="9">
        <f t="shared" si="50"/>
        <v>0</v>
      </c>
      <c r="BH153" s="9">
        <f t="shared" si="51"/>
        <v>0</v>
      </c>
      <c r="BI153" s="9">
        <f t="shared" si="52"/>
        <v>0</v>
      </c>
      <c r="BJ153" s="12">
        <f t="shared" si="53"/>
        <v>3.1043962495505159E-2</v>
      </c>
      <c r="BL153" s="9"/>
      <c r="BN153">
        <f t="shared" si="54"/>
        <v>1</v>
      </c>
      <c r="BO153">
        <f t="shared" si="55"/>
        <v>0</v>
      </c>
      <c r="BP153">
        <f t="shared" si="56"/>
        <v>1</v>
      </c>
      <c r="BQ153">
        <f t="shared" si="45"/>
        <v>1</v>
      </c>
      <c r="BR153">
        <f t="shared" si="57"/>
        <v>1</v>
      </c>
      <c r="BS153" s="9">
        <f t="shared" si="58"/>
        <v>-5.7892707136039299E-4</v>
      </c>
      <c r="BT153" s="9">
        <f t="shared" si="59"/>
        <v>2.3422261846498798E-3</v>
      </c>
      <c r="BU153" s="9">
        <f t="shared" si="60"/>
        <v>1.7632991132894868E-3</v>
      </c>
      <c r="BV153" s="12">
        <f t="shared" si="61"/>
        <v>1.5961160268846E-2</v>
      </c>
      <c r="BX153" s="12">
        <f t="shared" si="62"/>
        <v>1.7632991132894868E-3</v>
      </c>
      <c r="BY153" s="12">
        <f t="shared" si="63"/>
        <v>4.7005122764351141E-2</v>
      </c>
    </row>
    <row r="154" spans="1:77" x14ac:dyDescent="0.3">
      <c r="A154" s="1">
        <v>46246</v>
      </c>
      <c r="B154" s="8">
        <v>105.9</v>
      </c>
      <c r="C154" s="8">
        <v>118.3</v>
      </c>
      <c r="D154" s="9">
        <v>2.12824752723401E-2</v>
      </c>
      <c r="E154" s="9">
        <v>2.4732765552027601E-2</v>
      </c>
      <c r="F154" s="8">
        <v>0</v>
      </c>
      <c r="G154" s="8">
        <v>0.91620000000000001</v>
      </c>
      <c r="H154" s="8">
        <v>0</v>
      </c>
      <c r="I154" s="8">
        <v>0.88100000000000001</v>
      </c>
      <c r="J154" s="8">
        <v>0.91620000000000001</v>
      </c>
      <c r="K154" s="8">
        <v>0.88100000000000001</v>
      </c>
      <c r="L154" s="8">
        <v>106.81619999999999</v>
      </c>
      <c r="M154" s="8">
        <v>119.181</v>
      </c>
      <c r="N154" s="10">
        <v>1.11709159584513</v>
      </c>
      <c r="O154" s="10">
        <v>1.1144207265719701</v>
      </c>
      <c r="P154" s="10">
        <v>1.1136697245651701</v>
      </c>
      <c r="Q154" s="10">
        <v>1.11686987664694</v>
      </c>
      <c r="R154" s="8">
        <v>118.017154943972</v>
      </c>
      <c r="S154" s="8">
        <v>117.912799154147</v>
      </c>
      <c r="T154" s="8">
        <v>118.290856745483</v>
      </c>
      <c r="U154" s="9">
        <v>-2.3937762043307101E-3</v>
      </c>
      <c r="V154" s="9">
        <v>-3.2784099256307001E-3</v>
      </c>
      <c r="W154" s="9">
        <v>-7.7291697968843396E-5</v>
      </c>
      <c r="X154" s="10">
        <v>1.11575772214327</v>
      </c>
      <c r="Y154" s="10">
        <v>1.1140664646848899</v>
      </c>
      <c r="Z154" s="10">
        <v>1.1125227859884701</v>
      </c>
      <c r="AA154" s="10">
        <v>1.11606006637832</v>
      </c>
      <c r="AB154" s="8">
        <v>119.000346305074</v>
      </c>
      <c r="AC154" s="8">
        <v>118.81984909038501</v>
      </c>
      <c r="AD154" s="8">
        <v>119.232409664263</v>
      </c>
      <c r="AE154" s="9">
        <v>-1.51694271923498E-3</v>
      </c>
      <c r="AF154" s="9">
        <v>-3.03487309554819E-3</v>
      </c>
      <c r="AG154" s="9">
        <v>4.31264878373447E-4</v>
      </c>
      <c r="AH154" s="12"/>
      <c r="AZ154" s="9"/>
      <c r="BB154">
        <f t="shared" si="46"/>
        <v>0</v>
      </c>
      <c r="BC154">
        <f t="shared" si="47"/>
        <v>1</v>
      </c>
      <c r="BD154">
        <f t="shared" si="48"/>
        <v>0</v>
      </c>
      <c r="BE154">
        <f t="shared" si="44"/>
        <v>1</v>
      </c>
      <c r="BF154">
        <f t="shared" si="49"/>
        <v>0</v>
      </c>
      <c r="BG154" s="9">
        <f t="shared" si="50"/>
        <v>0</v>
      </c>
      <c r="BH154" s="9">
        <f t="shared" si="51"/>
        <v>0</v>
      </c>
      <c r="BI154" s="9">
        <f t="shared" si="52"/>
        <v>0</v>
      </c>
      <c r="BJ154" s="12">
        <f t="shared" si="53"/>
        <v>3.1043962495505159E-2</v>
      </c>
      <c r="BL154" s="9"/>
      <c r="BN154">
        <f t="shared" si="54"/>
        <v>0</v>
      </c>
      <c r="BO154">
        <f t="shared" si="55"/>
        <v>1</v>
      </c>
      <c r="BP154">
        <f t="shared" si="56"/>
        <v>1</v>
      </c>
      <c r="BQ154">
        <f t="shared" si="45"/>
        <v>1</v>
      </c>
      <c r="BR154">
        <f t="shared" si="57"/>
        <v>1</v>
      </c>
      <c r="BS154" s="9">
        <f t="shared" si="58"/>
        <v>-2.12824752723401E-2</v>
      </c>
      <c r="BT154" s="9">
        <f t="shared" si="59"/>
        <v>2.4732765552027601E-2</v>
      </c>
      <c r="BU154" s="9">
        <f t="shared" si="60"/>
        <v>3.4502902796875005E-3</v>
      </c>
      <c r="BV154" s="12">
        <f t="shared" si="61"/>
        <v>1.94114505485335E-2</v>
      </c>
      <c r="BX154" s="12">
        <f t="shared" si="62"/>
        <v>3.4502902796875005E-3</v>
      </c>
      <c r="BY154" s="12">
        <f t="shared" si="63"/>
        <v>5.0455413044038638E-2</v>
      </c>
    </row>
    <row r="155" spans="1:77" x14ac:dyDescent="0.3">
      <c r="A155" s="1">
        <v>46247</v>
      </c>
      <c r="B155" s="8">
        <v>106.4</v>
      </c>
      <c r="C155" s="8">
        <v>118.53</v>
      </c>
      <c r="D155" s="9">
        <v>4.7103243001831302E-3</v>
      </c>
      <c r="E155" s="9">
        <v>1.94232210706805E-3</v>
      </c>
      <c r="F155" s="8">
        <v>0</v>
      </c>
      <c r="G155" s="8">
        <v>0.91620000000000001</v>
      </c>
      <c r="H155" s="8">
        <v>0</v>
      </c>
      <c r="I155" s="8">
        <v>0.88100000000000001</v>
      </c>
      <c r="J155" s="8">
        <v>0.91620000000000001</v>
      </c>
      <c r="K155" s="8">
        <v>0.88100000000000001</v>
      </c>
      <c r="L155" s="8">
        <v>107.31619999999999</v>
      </c>
      <c r="M155" s="8">
        <v>119.411</v>
      </c>
      <c r="N155" s="10">
        <v>1.1140037593984899</v>
      </c>
      <c r="O155" s="10">
        <v>1.1144207265719701</v>
      </c>
      <c r="P155" s="10">
        <v>1.1133546605602</v>
      </c>
      <c r="Q155" s="10">
        <v>1.1166068973921299</v>
      </c>
      <c r="R155" s="8">
        <v>118.57436530725801</v>
      </c>
      <c r="S155" s="8">
        <v>118.494458693735</v>
      </c>
      <c r="T155" s="8">
        <v>118.834954875234</v>
      </c>
      <c r="U155" s="9">
        <v>3.7422598878453499E-4</v>
      </c>
      <c r="V155" s="9">
        <v>-2.99895687787888E-4</v>
      </c>
      <c r="W155" s="9">
        <v>2.5695035156308899E-3</v>
      </c>
      <c r="X155" s="10">
        <v>1.1127024624427599</v>
      </c>
      <c r="Y155" s="10">
        <v>1.1140664646848899</v>
      </c>
      <c r="Z155" s="10">
        <v>1.1121229717507399</v>
      </c>
      <c r="AA155" s="10">
        <v>1.11575542870856</v>
      </c>
      <c r="AB155" s="8">
        <v>119.557379537416</v>
      </c>
      <c r="AC155" s="8">
        <v>119.391717805695</v>
      </c>
      <c r="AD155" s="8">
        <v>119.771325295469</v>
      </c>
      <c r="AE155" s="9">
        <v>1.22509560476795E-3</v>
      </c>
      <c r="AF155" s="9">
        <v>-1.61490577018797E-4</v>
      </c>
      <c r="AG155" s="9">
        <v>3.01297821744273E-3</v>
      </c>
      <c r="AH155" s="12"/>
      <c r="AZ155" s="9"/>
      <c r="BB155">
        <f t="shared" si="46"/>
        <v>0</v>
      </c>
      <c r="BC155">
        <f t="shared" si="47"/>
        <v>1</v>
      </c>
      <c r="BD155">
        <f t="shared" si="48"/>
        <v>0</v>
      </c>
      <c r="BE155">
        <f t="shared" si="44"/>
        <v>1</v>
      </c>
      <c r="BF155">
        <f t="shared" si="49"/>
        <v>0</v>
      </c>
      <c r="BG155" s="9">
        <f t="shared" si="50"/>
        <v>0</v>
      </c>
      <c r="BH155" s="9">
        <f t="shared" si="51"/>
        <v>0</v>
      </c>
      <c r="BI155" s="9">
        <f t="shared" si="52"/>
        <v>0</v>
      </c>
      <c r="BJ155" s="12">
        <f t="shared" si="53"/>
        <v>3.1043962495505159E-2</v>
      </c>
      <c r="BL155" s="9"/>
      <c r="BN155">
        <f t="shared" si="54"/>
        <v>1</v>
      </c>
      <c r="BO155">
        <f t="shared" si="55"/>
        <v>0</v>
      </c>
      <c r="BP155">
        <f t="shared" si="56"/>
        <v>0</v>
      </c>
      <c r="BQ155">
        <f t="shared" si="45"/>
        <v>1</v>
      </c>
      <c r="BR155">
        <f t="shared" si="57"/>
        <v>0</v>
      </c>
      <c r="BS155" s="9">
        <f t="shared" si="58"/>
        <v>0</v>
      </c>
      <c r="BT155" s="9">
        <f t="shared" si="59"/>
        <v>0</v>
      </c>
      <c r="BU155" s="9">
        <f t="shared" si="60"/>
        <v>0</v>
      </c>
      <c r="BV155" s="12">
        <f t="shared" si="61"/>
        <v>1.94114505485335E-2</v>
      </c>
      <c r="BX155" s="12">
        <f t="shared" si="62"/>
        <v>0</v>
      </c>
      <c r="BY155" s="12">
        <f t="shared" si="63"/>
        <v>5.0455413044038638E-2</v>
      </c>
    </row>
    <row r="156" spans="1:77" x14ac:dyDescent="0.3">
      <c r="A156" s="1">
        <v>46248</v>
      </c>
      <c r="B156" s="8">
        <v>106.6</v>
      </c>
      <c r="C156" s="8">
        <v>119.02</v>
      </c>
      <c r="D156" s="9">
        <v>1.87793482420011E-3</v>
      </c>
      <c r="E156" s="9">
        <v>4.1254531252968001E-3</v>
      </c>
      <c r="F156" s="8">
        <v>0</v>
      </c>
      <c r="G156" s="8">
        <v>0.91620000000000001</v>
      </c>
      <c r="H156" s="8">
        <v>0</v>
      </c>
      <c r="I156" s="8">
        <v>0.88100000000000001</v>
      </c>
      <c r="J156" s="8">
        <v>0.91620000000000001</v>
      </c>
      <c r="K156" s="8">
        <v>0.88100000000000001</v>
      </c>
      <c r="L156" s="8">
        <v>107.5162</v>
      </c>
      <c r="M156" s="8">
        <v>119.901</v>
      </c>
      <c r="N156" s="10">
        <v>1.1165103189493399</v>
      </c>
      <c r="O156" s="10">
        <v>1.1144207265719701</v>
      </c>
      <c r="P156" s="10">
        <v>1.1138323983952401</v>
      </c>
      <c r="Q156" s="10">
        <v>1.11639733599207</v>
      </c>
      <c r="R156" s="8">
        <v>118.797249452572</v>
      </c>
      <c r="S156" s="8">
        <v>118.68360681571799</v>
      </c>
      <c r="T156" s="8">
        <v>119.030295262001</v>
      </c>
      <c r="U156" s="9">
        <v>-1.87329231231233E-3</v>
      </c>
      <c r="V156" s="9">
        <v>-2.8303601561370999E-3</v>
      </c>
      <c r="W156" s="9">
        <v>8.6496527938938802E-5</v>
      </c>
      <c r="X156" s="10">
        <v>1.1151900829828401</v>
      </c>
      <c r="Y156" s="10">
        <v>1.1140664646848899</v>
      </c>
      <c r="Z156" s="10">
        <v>1.1125101755759501</v>
      </c>
      <c r="AA156" s="10">
        <v>1.1155037699614101</v>
      </c>
      <c r="AB156" s="8">
        <v>119.780192830353</v>
      </c>
      <c r="AC156" s="8">
        <v>119.571235855347</v>
      </c>
      <c r="AD156" s="8">
        <v>119.961783824115</v>
      </c>
      <c r="AE156" s="9">
        <v>-1.00806557619103E-3</v>
      </c>
      <c r="AF156" s="9">
        <v>-2.7540925728889E-3</v>
      </c>
      <c r="AG156" s="9">
        <v>5.0682164567199695E-4</v>
      </c>
      <c r="AH156" s="12"/>
      <c r="AZ156" s="9"/>
      <c r="BB156">
        <f t="shared" si="46"/>
        <v>0</v>
      </c>
      <c r="BC156">
        <f t="shared" si="47"/>
        <v>1</v>
      </c>
      <c r="BD156">
        <f t="shared" si="48"/>
        <v>0</v>
      </c>
      <c r="BE156">
        <f t="shared" si="44"/>
        <v>1</v>
      </c>
      <c r="BF156">
        <f t="shared" si="49"/>
        <v>0</v>
      </c>
      <c r="BG156" s="9">
        <f t="shared" si="50"/>
        <v>0</v>
      </c>
      <c r="BH156" s="9">
        <f t="shared" si="51"/>
        <v>0</v>
      </c>
      <c r="BI156" s="9">
        <f t="shared" si="52"/>
        <v>0</v>
      </c>
      <c r="BJ156" s="12">
        <f t="shared" si="53"/>
        <v>3.1043962495505159E-2</v>
      </c>
      <c r="BL156" s="9"/>
      <c r="BN156">
        <f t="shared" si="54"/>
        <v>0</v>
      </c>
      <c r="BO156">
        <f t="shared" si="55"/>
        <v>1</v>
      </c>
      <c r="BP156">
        <f t="shared" si="56"/>
        <v>1</v>
      </c>
      <c r="BQ156">
        <f t="shared" si="45"/>
        <v>1</v>
      </c>
      <c r="BR156">
        <f t="shared" si="57"/>
        <v>1</v>
      </c>
      <c r="BS156" s="9">
        <f t="shared" si="58"/>
        <v>-1.87793482420011E-3</v>
      </c>
      <c r="BT156" s="9">
        <f t="shared" si="59"/>
        <v>4.1254531252968001E-3</v>
      </c>
      <c r="BU156" s="9">
        <f t="shared" si="60"/>
        <v>2.2475183010966901E-3</v>
      </c>
      <c r="BV156" s="12">
        <f t="shared" si="61"/>
        <v>2.165896884963019E-2</v>
      </c>
      <c r="BX156" s="12">
        <f t="shared" si="62"/>
        <v>2.2475183010966901E-3</v>
      </c>
      <c r="BY156" s="12">
        <f t="shared" si="63"/>
        <v>5.2702931345135332E-2</v>
      </c>
    </row>
    <row r="157" spans="1:77" x14ac:dyDescent="0.3">
      <c r="A157" s="1">
        <v>46251</v>
      </c>
      <c r="B157" s="8">
        <v>106.5</v>
      </c>
      <c r="C157" s="8">
        <v>119.12</v>
      </c>
      <c r="D157" s="9">
        <v>-9.3852658226427702E-4</v>
      </c>
      <c r="E157" s="9">
        <v>8.3984215904768999E-4</v>
      </c>
      <c r="F157" s="8">
        <v>0</v>
      </c>
      <c r="G157" s="8">
        <v>0.91620000000000001</v>
      </c>
      <c r="H157" s="8">
        <v>0</v>
      </c>
      <c r="I157" s="8">
        <v>0.88100000000000001</v>
      </c>
      <c r="J157" s="8">
        <v>0.91620000000000001</v>
      </c>
      <c r="K157" s="8">
        <v>0.88100000000000001</v>
      </c>
      <c r="L157" s="8">
        <v>107.4162</v>
      </c>
      <c r="M157" s="8">
        <v>120.001</v>
      </c>
      <c r="N157" s="10">
        <v>1.1184976525821499</v>
      </c>
      <c r="O157" s="10">
        <v>1.1144207265719701</v>
      </c>
      <c r="P157" s="10">
        <v>1.1142494434211301</v>
      </c>
      <c r="Q157" s="10">
        <v>1.1162625054017701</v>
      </c>
      <c r="R157" s="8">
        <v>118.685807379915</v>
      </c>
      <c r="S157" s="8">
        <v>118.623150429094</v>
      </c>
      <c r="T157" s="8">
        <v>118.896316283156</v>
      </c>
      <c r="U157" s="9">
        <v>-3.6516610536242401E-3</v>
      </c>
      <c r="V157" s="9">
        <v>-4.1797233135235602E-3</v>
      </c>
      <c r="W157" s="9">
        <v>-1.8795667976795199E-3</v>
      </c>
      <c r="X157" s="10">
        <v>1.11715923668869</v>
      </c>
      <c r="Y157" s="10">
        <v>1.1140664646848899</v>
      </c>
      <c r="Z157" s="10">
        <v>1.1129276638768</v>
      </c>
      <c r="AA157" s="10">
        <v>1.11532602562657</v>
      </c>
      <c r="AB157" s="8">
        <v>119.668786183885</v>
      </c>
      <c r="AC157" s="8">
        <v>119.501615521701</v>
      </c>
      <c r="AD157" s="8">
        <v>119.82317605492899</v>
      </c>
      <c r="AE157" s="9">
        <v>-2.7722645742868498E-3</v>
      </c>
      <c r="AF157" s="9">
        <v>-4.1701857904176496E-3</v>
      </c>
      <c r="AG157" s="9">
        <v>-1.4829528914387601E-3</v>
      </c>
      <c r="AH157" s="12"/>
      <c r="BB157">
        <f t="shared" si="46"/>
        <v>0</v>
      </c>
      <c r="BC157">
        <f t="shared" si="47"/>
        <v>1</v>
      </c>
      <c r="BD157">
        <f t="shared" si="48"/>
        <v>0</v>
      </c>
      <c r="BE157">
        <f t="shared" si="44"/>
        <v>1</v>
      </c>
      <c r="BF157">
        <f t="shared" si="49"/>
        <v>0</v>
      </c>
      <c r="BG157" s="9">
        <f t="shared" si="50"/>
        <v>0</v>
      </c>
      <c r="BH157" s="9">
        <f t="shared" si="51"/>
        <v>0</v>
      </c>
      <c r="BI157" s="9">
        <f t="shared" si="52"/>
        <v>0</v>
      </c>
      <c r="BJ157" s="12">
        <f t="shared" si="53"/>
        <v>3.1043962495505159E-2</v>
      </c>
      <c r="BL157" s="9"/>
      <c r="BN157">
        <f t="shared" si="54"/>
        <v>0</v>
      </c>
      <c r="BO157">
        <f t="shared" si="55"/>
        <v>1</v>
      </c>
      <c r="BP157">
        <f t="shared" si="56"/>
        <v>0</v>
      </c>
      <c r="BQ157">
        <f t="shared" si="45"/>
        <v>1</v>
      </c>
      <c r="BR157">
        <f t="shared" si="57"/>
        <v>0</v>
      </c>
      <c r="BS157" s="9">
        <f t="shared" si="58"/>
        <v>0</v>
      </c>
      <c r="BT157" s="9">
        <f t="shared" si="59"/>
        <v>0</v>
      </c>
      <c r="BU157" s="9">
        <f t="shared" si="60"/>
        <v>0</v>
      </c>
      <c r="BV157" s="12">
        <f t="shared" si="61"/>
        <v>2.165896884963019E-2</v>
      </c>
      <c r="BX157" s="12">
        <f t="shared" si="62"/>
        <v>0</v>
      </c>
      <c r="BY157" s="12">
        <f t="shared" si="63"/>
        <v>5.2702931345135332E-2</v>
      </c>
    </row>
    <row r="158" spans="1:77" x14ac:dyDescent="0.3">
      <c r="A158" s="1">
        <v>46252</v>
      </c>
      <c r="B158" s="8">
        <v>104.45</v>
      </c>
      <c r="C158" s="8">
        <v>116.42</v>
      </c>
      <c r="D158" s="9">
        <v>-1.9436497146904999E-2</v>
      </c>
      <c r="E158" s="9">
        <v>-2.2927046532164101E-2</v>
      </c>
      <c r="F158" s="8">
        <v>0</v>
      </c>
      <c r="G158" s="8">
        <v>0.91620000000000001</v>
      </c>
      <c r="H158" s="8">
        <v>0</v>
      </c>
      <c r="I158" s="8">
        <v>0.88100000000000001</v>
      </c>
      <c r="J158" s="8">
        <v>0.91620000000000001</v>
      </c>
      <c r="K158" s="8">
        <v>0.88100000000000001</v>
      </c>
      <c r="L158" s="8">
        <v>105.36620000000001</v>
      </c>
      <c r="M158" s="8">
        <v>117.301</v>
      </c>
      <c r="N158" s="10">
        <v>1.1146002872187599</v>
      </c>
      <c r="O158" s="10">
        <v>1.1144207265719701</v>
      </c>
      <c r="P158" s="10">
        <v>1.11453718927637</v>
      </c>
      <c r="Q158" s="10">
        <v>1.1157093680605199</v>
      </c>
      <c r="R158" s="8">
        <v>116.401244890443</v>
      </c>
      <c r="S158" s="8">
        <v>116.383354365337</v>
      </c>
      <c r="T158" s="8">
        <v>116.59361868921501</v>
      </c>
      <c r="U158" s="9">
        <v>-1.6111166836510699E-4</v>
      </c>
      <c r="V158" s="9">
        <v>-3.1482050647684999E-4</v>
      </c>
      <c r="W158" s="9">
        <v>1.49020235230782E-3</v>
      </c>
      <c r="X158" s="10">
        <v>1.1132697202708199</v>
      </c>
      <c r="Y158" s="10">
        <v>1.1140664646848899</v>
      </c>
      <c r="Z158" s="10">
        <v>1.1132118019642101</v>
      </c>
      <c r="AA158" s="10">
        <v>1.11473144737118</v>
      </c>
      <c r="AB158" s="8">
        <v>117.384949931281</v>
      </c>
      <c r="AC158" s="8">
        <v>117.264958817576</v>
      </c>
      <c r="AD158" s="8">
        <v>117.51766508137401</v>
      </c>
      <c r="AE158" s="9">
        <v>7.1542361088685095E-4</v>
      </c>
      <c r="AF158" s="9">
        <v>-3.0730104989448498E-4</v>
      </c>
      <c r="AG158" s="9">
        <v>1.8453826299184E-3</v>
      </c>
      <c r="AH158" s="12"/>
      <c r="BB158">
        <f t="shared" si="46"/>
        <v>0</v>
      </c>
      <c r="BC158">
        <f t="shared" si="47"/>
        <v>1</v>
      </c>
      <c r="BD158">
        <f t="shared" si="48"/>
        <v>0</v>
      </c>
      <c r="BE158">
        <f t="shared" si="44"/>
        <v>1</v>
      </c>
      <c r="BF158">
        <f t="shared" si="49"/>
        <v>0</v>
      </c>
      <c r="BG158" s="9">
        <f t="shared" si="50"/>
        <v>0</v>
      </c>
      <c r="BH158" s="9">
        <f t="shared" si="51"/>
        <v>0</v>
      </c>
      <c r="BI158" s="9">
        <f t="shared" si="52"/>
        <v>0</v>
      </c>
      <c r="BJ158" s="12">
        <f t="shared" si="53"/>
        <v>3.1043962495505159E-2</v>
      </c>
      <c r="BL158" s="9"/>
      <c r="BN158">
        <f t="shared" si="54"/>
        <v>0</v>
      </c>
      <c r="BO158">
        <f t="shared" si="55"/>
        <v>0</v>
      </c>
      <c r="BP158">
        <f t="shared" si="56"/>
        <v>0</v>
      </c>
      <c r="BQ158">
        <f t="shared" si="45"/>
        <v>1</v>
      </c>
      <c r="BR158">
        <f t="shared" si="57"/>
        <v>0</v>
      </c>
      <c r="BS158" s="9">
        <f t="shared" si="58"/>
        <v>0</v>
      </c>
      <c r="BT158" s="9">
        <f t="shared" si="59"/>
        <v>0</v>
      </c>
      <c r="BU158" s="9">
        <f t="shared" si="60"/>
        <v>0</v>
      </c>
      <c r="BV158" s="12">
        <f t="shared" si="61"/>
        <v>2.165896884963019E-2</v>
      </c>
      <c r="BX158" s="12">
        <f t="shared" si="62"/>
        <v>0</v>
      </c>
      <c r="BY158" s="12">
        <f t="shared" si="63"/>
        <v>5.2702931345135332E-2</v>
      </c>
    </row>
    <row r="159" spans="1:77" x14ac:dyDescent="0.3">
      <c r="A159" s="1">
        <v>46253</v>
      </c>
      <c r="B159" s="8">
        <v>103.73</v>
      </c>
      <c r="C159" s="8">
        <v>115.84</v>
      </c>
      <c r="D159" s="9">
        <v>-6.9171185588380998E-3</v>
      </c>
      <c r="E159" s="9">
        <v>-4.9944132061832203E-3</v>
      </c>
      <c r="F159" s="8">
        <v>0</v>
      </c>
      <c r="G159" s="8">
        <v>0.91620000000000001</v>
      </c>
      <c r="H159" s="8">
        <v>0</v>
      </c>
      <c r="I159" s="8">
        <v>0.88100000000000001</v>
      </c>
      <c r="J159" s="8">
        <v>0.91620000000000001</v>
      </c>
      <c r="K159" s="8">
        <v>0.88100000000000001</v>
      </c>
      <c r="L159" s="8">
        <v>104.64619999999999</v>
      </c>
      <c r="M159" s="8">
        <v>116.721</v>
      </c>
      <c r="N159" s="10">
        <v>1.1167453967029699</v>
      </c>
      <c r="O159" s="10">
        <v>1.1144207265719701</v>
      </c>
      <c r="P159" s="10">
        <v>1.1149504676854101</v>
      </c>
      <c r="Q159" s="10">
        <v>1.1155322148187501</v>
      </c>
      <c r="R159" s="8">
        <v>115.598861967311</v>
      </c>
      <c r="S159" s="8">
        <v>115.610942643638</v>
      </c>
      <c r="T159" s="8">
        <v>115.732532748918</v>
      </c>
      <c r="U159" s="9">
        <v>-2.0838170210200199E-3</v>
      </c>
      <c r="V159" s="9">
        <v>-1.9793173320176599E-3</v>
      </c>
      <c r="W159" s="9">
        <v>-9.2815203531192701E-4</v>
      </c>
      <c r="X159" s="10">
        <v>1.1153868941251499</v>
      </c>
      <c r="Y159" s="10">
        <v>1.1140664646848899</v>
      </c>
      <c r="Z159" s="10">
        <v>1.1136206956972301</v>
      </c>
      <c r="AA159" s="10">
        <v>1.1145095709691299</v>
      </c>
      <c r="AB159" s="8">
        <v>116.582822076708</v>
      </c>
      <c r="AC159" s="8">
        <v>116.493384870708</v>
      </c>
      <c r="AD159" s="8">
        <v>116.652409987894</v>
      </c>
      <c r="AE159" s="9">
        <v>-1.1845321539815201E-3</v>
      </c>
      <c r="AF159" s="9">
        <v>-1.95198252192245E-3</v>
      </c>
      <c r="AG159" s="9">
        <v>-5.8781344528036701E-4</v>
      </c>
      <c r="AH159" s="12"/>
      <c r="BB159">
        <f t="shared" si="46"/>
        <v>0</v>
      </c>
      <c r="BC159">
        <f t="shared" si="47"/>
        <v>1</v>
      </c>
      <c r="BD159">
        <f t="shared" si="48"/>
        <v>0</v>
      </c>
      <c r="BE159">
        <f t="shared" si="44"/>
        <v>1</v>
      </c>
      <c r="BF159">
        <f t="shared" si="49"/>
        <v>0</v>
      </c>
      <c r="BG159" s="9">
        <f t="shared" si="50"/>
        <v>0</v>
      </c>
      <c r="BH159" s="9">
        <f t="shared" si="51"/>
        <v>0</v>
      </c>
      <c r="BI159" s="9">
        <f t="shared" si="52"/>
        <v>0</v>
      </c>
      <c r="BJ159" s="12">
        <f t="shared" si="53"/>
        <v>3.1043962495505159E-2</v>
      </c>
      <c r="BL159" s="9"/>
      <c r="BN159">
        <f t="shared" si="54"/>
        <v>0</v>
      </c>
      <c r="BO159">
        <f t="shared" si="55"/>
        <v>1</v>
      </c>
      <c r="BP159">
        <f t="shared" si="56"/>
        <v>0</v>
      </c>
      <c r="BQ159">
        <f t="shared" si="45"/>
        <v>1</v>
      </c>
      <c r="BR159">
        <f t="shared" si="57"/>
        <v>0</v>
      </c>
      <c r="BS159" s="9">
        <f t="shared" si="58"/>
        <v>0</v>
      </c>
      <c r="BT159" s="9">
        <f t="shared" si="59"/>
        <v>0</v>
      </c>
      <c r="BU159" s="9">
        <f t="shared" si="60"/>
        <v>0</v>
      </c>
      <c r="BV159" s="12">
        <f t="shared" si="61"/>
        <v>2.165896884963019E-2</v>
      </c>
      <c r="BX159" s="12">
        <f t="shared" si="62"/>
        <v>0</v>
      </c>
      <c r="BY159" s="12">
        <f t="shared" si="63"/>
        <v>5.2702931345135332E-2</v>
      </c>
    </row>
    <row r="160" spans="1:77" x14ac:dyDescent="0.3">
      <c r="A160" s="1">
        <v>46254</v>
      </c>
      <c r="B160" s="8">
        <v>103.57</v>
      </c>
      <c r="C160" s="8">
        <v>115.62</v>
      </c>
      <c r="D160" s="9">
        <v>-1.5436568429493501E-3</v>
      </c>
      <c r="E160" s="9">
        <v>-1.90097698307623E-3</v>
      </c>
      <c r="F160" s="8">
        <v>0</v>
      </c>
      <c r="G160" s="8">
        <v>0.91620000000000001</v>
      </c>
      <c r="H160" s="8">
        <v>0</v>
      </c>
      <c r="I160" s="8">
        <v>0.88100000000000001</v>
      </c>
      <c r="J160" s="8">
        <v>0.91620000000000001</v>
      </c>
      <c r="K160" s="8">
        <v>0.88100000000000001</v>
      </c>
      <c r="L160" s="8">
        <v>104.4862</v>
      </c>
      <c r="M160" s="8">
        <v>116.501</v>
      </c>
      <c r="N160" s="10">
        <v>1.11634643236458</v>
      </c>
      <c r="O160" s="10">
        <v>1.1144207265719701</v>
      </c>
      <c r="P160" s="10">
        <v>1.1152417983246601</v>
      </c>
      <c r="Q160" s="10">
        <v>1.1151801073393699</v>
      </c>
      <c r="R160" s="8">
        <v>115.42055465105901</v>
      </c>
      <c r="S160" s="8">
        <v>115.475419938177</v>
      </c>
      <c r="T160" s="8">
        <v>115.53567148877799</v>
      </c>
      <c r="U160" s="9">
        <v>-1.7264968808931101E-3</v>
      </c>
      <c r="V160" s="9">
        <v>-1.25125872874679E-3</v>
      </c>
      <c r="W160" s="9">
        <v>-7.2962531630588298E-4</v>
      </c>
      <c r="X160" s="10">
        <v>1.1149893478755999</v>
      </c>
      <c r="Y160" s="10">
        <v>1.1140664646848899</v>
      </c>
      <c r="Z160" s="10">
        <v>1.1139103569275699</v>
      </c>
      <c r="AA160" s="10">
        <v>1.1141140496889399</v>
      </c>
      <c r="AB160" s="8">
        <v>116.40457144235801</v>
      </c>
      <c r="AC160" s="8">
        <v>116.35799473476</v>
      </c>
      <c r="AD160" s="8">
        <v>116.450869934194</v>
      </c>
      <c r="AE160" s="9">
        <v>-8.2804857396848598E-4</v>
      </c>
      <c r="AF160" s="9">
        <v>-1.2282564680850701E-3</v>
      </c>
      <c r="AG160" s="9">
        <v>-4.3038990494536299E-4</v>
      </c>
      <c r="AH160" s="12"/>
      <c r="BB160">
        <f t="shared" si="46"/>
        <v>0</v>
      </c>
      <c r="BC160">
        <f t="shared" si="47"/>
        <v>1</v>
      </c>
      <c r="BD160">
        <f t="shared" si="48"/>
        <v>0</v>
      </c>
      <c r="BE160">
        <f t="shared" si="44"/>
        <v>1</v>
      </c>
      <c r="BF160">
        <f t="shared" si="49"/>
        <v>0</v>
      </c>
      <c r="BG160" s="9">
        <f t="shared" si="50"/>
        <v>0</v>
      </c>
      <c r="BH160" s="9">
        <f t="shared" si="51"/>
        <v>0</v>
      </c>
      <c r="BI160" s="9">
        <f t="shared" si="52"/>
        <v>0</v>
      </c>
      <c r="BJ160" s="12">
        <f t="shared" si="53"/>
        <v>3.1043962495505159E-2</v>
      </c>
      <c r="BL160" s="9"/>
      <c r="BN160">
        <f t="shared" si="54"/>
        <v>0</v>
      </c>
      <c r="BO160">
        <f t="shared" si="55"/>
        <v>1</v>
      </c>
      <c r="BP160">
        <f t="shared" si="56"/>
        <v>0</v>
      </c>
      <c r="BQ160">
        <f t="shared" si="45"/>
        <v>1</v>
      </c>
      <c r="BR160">
        <f t="shared" si="57"/>
        <v>0</v>
      </c>
      <c r="BS160" s="9">
        <f t="shared" si="58"/>
        <v>0</v>
      </c>
      <c r="BT160" s="9">
        <f t="shared" si="59"/>
        <v>0</v>
      </c>
      <c r="BU160" s="9">
        <f t="shared" si="60"/>
        <v>0</v>
      </c>
      <c r="BV160" s="12">
        <f t="shared" si="61"/>
        <v>2.165896884963019E-2</v>
      </c>
      <c r="BX160" s="12">
        <f t="shared" si="62"/>
        <v>0</v>
      </c>
      <c r="BY160" s="12">
        <f t="shared" si="63"/>
        <v>5.2702931345135332E-2</v>
      </c>
    </row>
    <row r="161" spans="1:77" x14ac:dyDescent="0.3">
      <c r="A161" s="1">
        <v>46255</v>
      </c>
      <c r="B161" s="8">
        <v>103.69</v>
      </c>
      <c r="C161" s="8">
        <v>115.86</v>
      </c>
      <c r="D161" s="9">
        <v>1.1579659693993799E-3</v>
      </c>
      <c r="E161" s="9">
        <v>2.07361401414789E-3</v>
      </c>
      <c r="F161" s="8">
        <v>0</v>
      </c>
      <c r="G161" s="8">
        <v>0.91620000000000001</v>
      </c>
      <c r="H161" s="8">
        <v>0</v>
      </c>
      <c r="I161" s="8">
        <v>0.88100000000000001</v>
      </c>
      <c r="J161" s="8">
        <v>0.91620000000000001</v>
      </c>
      <c r="K161" s="8">
        <v>0.88100000000000001</v>
      </c>
      <c r="L161" s="8">
        <v>104.6062</v>
      </c>
      <c r="M161" s="8">
        <v>116.741</v>
      </c>
      <c r="N161" s="10">
        <v>1.11736908091426</v>
      </c>
      <c r="O161" s="10">
        <v>1.1144207265719701</v>
      </c>
      <c r="P161" s="10">
        <v>1.1155691165836199</v>
      </c>
      <c r="Q161" s="10">
        <v>1.11500303517302</v>
      </c>
      <c r="R161" s="8">
        <v>115.55428513824801</v>
      </c>
      <c r="S161" s="8">
        <v>115.63942206828401</v>
      </c>
      <c r="T161" s="8">
        <v>115.633025330019</v>
      </c>
      <c r="U161" s="9">
        <v>-2.6421449256418201E-3</v>
      </c>
      <c r="V161" s="9">
        <v>-1.90564621282064E-3</v>
      </c>
      <c r="W161" s="9">
        <v>-1.96096398490022E-3</v>
      </c>
      <c r="X161" s="10">
        <v>1.11600459628587</v>
      </c>
      <c r="Y161" s="10">
        <v>1.1140664646848899</v>
      </c>
      <c r="Z161" s="10">
        <v>1.11423459161195</v>
      </c>
      <c r="AA161" s="10">
        <v>1.11389274224313</v>
      </c>
      <c r="AB161" s="8">
        <v>116.53825941812001</v>
      </c>
      <c r="AC161" s="8">
        <v>116.521929578837</v>
      </c>
      <c r="AD161" s="8">
        <v>116.543237104572</v>
      </c>
      <c r="AE161" s="9">
        <v>-1.7381796686877101E-3</v>
      </c>
      <c r="AF161" s="9">
        <v>-1.8783137634911999E-3</v>
      </c>
      <c r="AG161" s="9">
        <v>-1.6954676857439701E-3</v>
      </c>
      <c r="AH161" s="12"/>
      <c r="BB161">
        <f t="shared" si="46"/>
        <v>0</v>
      </c>
      <c r="BC161">
        <f t="shared" si="47"/>
        <v>1</v>
      </c>
      <c r="BD161">
        <f t="shared" si="48"/>
        <v>0</v>
      </c>
      <c r="BE161">
        <f t="shared" si="44"/>
        <v>1</v>
      </c>
      <c r="BF161">
        <f t="shared" si="49"/>
        <v>0</v>
      </c>
      <c r="BG161" s="9">
        <f t="shared" si="50"/>
        <v>0</v>
      </c>
      <c r="BH161" s="9">
        <f t="shared" si="51"/>
        <v>0</v>
      </c>
      <c r="BI161" s="9">
        <f t="shared" si="52"/>
        <v>0</v>
      </c>
      <c r="BJ161" s="12">
        <f t="shared" si="53"/>
        <v>3.1043962495505159E-2</v>
      </c>
      <c r="BL161" s="9"/>
      <c r="BN161">
        <f t="shared" si="54"/>
        <v>0</v>
      </c>
      <c r="BO161">
        <f t="shared" si="55"/>
        <v>1</v>
      </c>
      <c r="BP161">
        <f t="shared" si="56"/>
        <v>0</v>
      </c>
      <c r="BQ161">
        <f t="shared" si="45"/>
        <v>1</v>
      </c>
      <c r="BR161">
        <f t="shared" si="57"/>
        <v>0</v>
      </c>
      <c r="BS161" s="9">
        <f t="shared" si="58"/>
        <v>0</v>
      </c>
      <c r="BT161" s="9">
        <f t="shared" si="59"/>
        <v>0</v>
      </c>
      <c r="BU161" s="9">
        <f t="shared" si="60"/>
        <v>0</v>
      </c>
      <c r="BV161" s="12">
        <f t="shared" si="61"/>
        <v>2.165896884963019E-2</v>
      </c>
      <c r="BX161" s="12">
        <f t="shared" si="62"/>
        <v>0</v>
      </c>
      <c r="BY161" s="12">
        <f t="shared" si="63"/>
        <v>5.2702931345135332E-2</v>
      </c>
    </row>
    <row r="162" spans="1:77" x14ac:dyDescent="0.3">
      <c r="A162" s="1">
        <v>46258</v>
      </c>
      <c r="B162" s="8">
        <v>102.66</v>
      </c>
      <c r="C162" s="8">
        <v>114.72</v>
      </c>
      <c r="D162" s="9">
        <v>-9.98312143802969E-3</v>
      </c>
      <c r="E162" s="9">
        <v>-9.8881888171677996E-3</v>
      </c>
      <c r="F162" s="8">
        <v>0</v>
      </c>
      <c r="G162" s="8">
        <v>0.91620000000000001</v>
      </c>
      <c r="H162" s="8">
        <v>0</v>
      </c>
      <c r="I162" s="8">
        <v>0.88100000000000001</v>
      </c>
      <c r="J162" s="8">
        <v>0.91620000000000001</v>
      </c>
      <c r="K162" s="8">
        <v>0.88100000000000001</v>
      </c>
      <c r="L162" s="8">
        <v>103.5762</v>
      </c>
      <c r="M162" s="8">
        <v>115.601</v>
      </c>
      <c r="N162" s="10">
        <v>1.11747516072472</v>
      </c>
      <c r="O162" s="10">
        <v>1.1144207265719701</v>
      </c>
      <c r="P162" s="10">
        <v>1.1161883631840399</v>
      </c>
      <c r="Q162" s="10">
        <v>1.1149067912357</v>
      </c>
      <c r="R162" s="8">
        <v>114.40643178987899</v>
      </c>
      <c r="S162" s="8">
        <v>114.524325508475</v>
      </c>
      <c r="T162" s="8">
        <v>114.466211590862</v>
      </c>
      <c r="U162" s="9">
        <v>-2.7370775465036302E-3</v>
      </c>
      <c r="V162" s="9">
        <v>-1.7071265656119401E-3</v>
      </c>
      <c r="W162" s="9">
        <v>-2.21469268250102E-3</v>
      </c>
      <c r="X162" s="10">
        <v>1.1160961688109801</v>
      </c>
      <c r="Y162" s="10">
        <v>1.1140664646848899</v>
      </c>
      <c r="Z162" s="10">
        <v>1.1148471570360901</v>
      </c>
      <c r="AA162" s="10">
        <v>1.11375104828329</v>
      </c>
      <c r="AB162" s="8">
        <v>115.390770959495</v>
      </c>
      <c r="AC162" s="8">
        <v>115.408184907717</v>
      </c>
      <c r="AD162" s="8">
        <v>115.37277744912301</v>
      </c>
      <c r="AE162" s="9">
        <v>-1.8202301984713101E-3</v>
      </c>
      <c r="AF162" s="9">
        <v>-1.66932875101828E-3</v>
      </c>
      <c r="AG162" s="9">
        <v>-1.9761777953285799E-3</v>
      </c>
      <c r="AH162" s="12"/>
      <c r="BB162">
        <f t="shared" si="46"/>
        <v>0</v>
      </c>
      <c r="BC162">
        <f t="shared" si="47"/>
        <v>1</v>
      </c>
      <c r="BD162">
        <f t="shared" si="48"/>
        <v>0</v>
      </c>
      <c r="BE162">
        <f t="shared" si="44"/>
        <v>1</v>
      </c>
      <c r="BF162">
        <f t="shared" si="49"/>
        <v>0</v>
      </c>
      <c r="BG162" s="9">
        <f t="shared" si="50"/>
        <v>0</v>
      </c>
      <c r="BH162" s="9">
        <f t="shared" si="51"/>
        <v>0</v>
      </c>
      <c r="BI162" s="9">
        <f t="shared" si="52"/>
        <v>0</v>
      </c>
      <c r="BJ162" s="12">
        <f t="shared" si="53"/>
        <v>3.1043962495505159E-2</v>
      </c>
      <c r="BL162" s="9"/>
      <c r="BN162">
        <f t="shared" si="54"/>
        <v>0</v>
      </c>
      <c r="BO162">
        <f t="shared" si="55"/>
        <v>1</v>
      </c>
      <c r="BP162">
        <f t="shared" si="56"/>
        <v>0</v>
      </c>
      <c r="BQ162">
        <f t="shared" si="45"/>
        <v>1</v>
      </c>
      <c r="BR162">
        <f t="shared" si="57"/>
        <v>0</v>
      </c>
      <c r="BS162" s="9">
        <f t="shared" si="58"/>
        <v>0</v>
      </c>
      <c r="BT162" s="9">
        <f t="shared" si="59"/>
        <v>0</v>
      </c>
      <c r="BU162" s="9">
        <f t="shared" si="60"/>
        <v>0</v>
      </c>
      <c r="BV162" s="12">
        <f t="shared" si="61"/>
        <v>2.165896884963019E-2</v>
      </c>
      <c r="BX162" s="12">
        <f t="shared" si="62"/>
        <v>0</v>
      </c>
      <c r="BY162" s="12">
        <f t="shared" si="63"/>
        <v>5.2702931345135332E-2</v>
      </c>
    </row>
    <row r="163" spans="1:77" x14ac:dyDescent="0.3">
      <c r="A163" s="1">
        <v>46259</v>
      </c>
      <c r="B163" s="8">
        <v>103.68</v>
      </c>
      <c r="C163" s="8">
        <v>115.84</v>
      </c>
      <c r="D163" s="9">
        <v>9.8866754718074899E-3</v>
      </c>
      <c r="E163" s="9">
        <v>9.7155517860959707E-3</v>
      </c>
      <c r="F163" s="8">
        <v>0</v>
      </c>
      <c r="G163" s="8">
        <v>0.91620000000000001</v>
      </c>
      <c r="H163" s="8">
        <v>0</v>
      </c>
      <c r="I163" s="8">
        <v>0.88100000000000001</v>
      </c>
      <c r="J163" s="8">
        <v>0.91620000000000001</v>
      </c>
      <c r="K163" s="8">
        <v>0.88100000000000001</v>
      </c>
      <c r="L163" s="8">
        <v>104.5962</v>
      </c>
      <c r="M163" s="8">
        <v>116.721</v>
      </c>
      <c r="N163" s="10">
        <v>1.11728395061728</v>
      </c>
      <c r="O163" s="10">
        <v>1.1144207265719701</v>
      </c>
      <c r="P163" s="10">
        <v>1.11659236353177</v>
      </c>
      <c r="Q163" s="10">
        <v>1.1150138359403301</v>
      </c>
      <c r="R163" s="8">
        <v>115.54314093098201</v>
      </c>
      <c r="S163" s="8">
        <v>115.726409494921</v>
      </c>
      <c r="T163" s="8">
        <v>115.593536115318</v>
      </c>
      <c r="U163" s="9">
        <v>-2.5659538607920602E-3</v>
      </c>
      <c r="V163" s="9">
        <v>-9.8106210168460105E-4</v>
      </c>
      <c r="W163" s="9">
        <v>-2.1298899199392002E-3</v>
      </c>
      <c r="X163" s="10">
        <v>1.1159200812266601</v>
      </c>
      <c r="Y163" s="10">
        <v>1.1140664646848899</v>
      </c>
      <c r="Z163" s="10">
        <v>1.1152476312852599</v>
      </c>
      <c r="AA163" s="10">
        <v>1.11381215173016</v>
      </c>
      <c r="AB163" s="8">
        <v>116.527118753474</v>
      </c>
      <c r="AC163" s="8">
        <v>116.608776206778</v>
      </c>
      <c r="AD163" s="8">
        <v>116.49412739644799</v>
      </c>
      <c r="AE163" s="9">
        <v>-1.6624467731186201E-3</v>
      </c>
      <c r="AF163" s="9">
        <v>-9.61932966285256E-4</v>
      </c>
      <c r="AG163" s="9">
        <v>-1.94560856879883E-3</v>
      </c>
      <c r="AH163" s="12"/>
      <c r="BB163">
        <f t="shared" si="46"/>
        <v>0</v>
      </c>
      <c r="BC163">
        <f t="shared" si="47"/>
        <v>1</v>
      </c>
      <c r="BD163">
        <f t="shared" si="48"/>
        <v>0</v>
      </c>
      <c r="BE163">
        <f t="shared" si="44"/>
        <v>1</v>
      </c>
      <c r="BF163">
        <f t="shared" si="49"/>
        <v>0</v>
      </c>
      <c r="BG163" s="9">
        <f t="shared" si="50"/>
        <v>0</v>
      </c>
      <c r="BH163" s="9">
        <f t="shared" si="51"/>
        <v>0</v>
      </c>
      <c r="BI163" s="9">
        <f t="shared" si="52"/>
        <v>0</v>
      </c>
      <c r="BJ163" s="12">
        <f t="shared" si="53"/>
        <v>3.1043962495505159E-2</v>
      </c>
      <c r="BL163" s="9"/>
      <c r="BN163">
        <f t="shared" si="54"/>
        <v>0</v>
      </c>
      <c r="BO163">
        <f t="shared" si="55"/>
        <v>1</v>
      </c>
      <c r="BP163">
        <f t="shared" si="56"/>
        <v>0</v>
      </c>
      <c r="BQ163">
        <f t="shared" si="45"/>
        <v>1</v>
      </c>
      <c r="BR163">
        <f t="shared" si="57"/>
        <v>0</v>
      </c>
      <c r="BS163" s="9">
        <f t="shared" si="58"/>
        <v>0</v>
      </c>
      <c r="BT163" s="9">
        <f t="shared" si="59"/>
        <v>0</v>
      </c>
      <c r="BU163" s="9">
        <f t="shared" si="60"/>
        <v>0</v>
      </c>
      <c r="BV163" s="12">
        <f t="shared" si="61"/>
        <v>2.165896884963019E-2</v>
      </c>
      <c r="BX163" s="12">
        <f t="shared" si="62"/>
        <v>0</v>
      </c>
      <c r="BY163" s="12">
        <f t="shared" si="63"/>
        <v>5.2702931345135332E-2</v>
      </c>
    </row>
    <row r="164" spans="1:77" x14ac:dyDescent="0.3">
      <c r="A164" s="1">
        <v>46260</v>
      </c>
      <c r="B164" s="8">
        <v>103.75</v>
      </c>
      <c r="C164" s="8">
        <v>115.5</v>
      </c>
      <c r="D164" s="9">
        <v>6.7492650684298702E-4</v>
      </c>
      <c r="E164" s="9">
        <v>-2.9393986755580298E-3</v>
      </c>
      <c r="F164" s="8">
        <v>0</v>
      </c>
      <c r="G164" s="8">
        <v>0.91620000000000001</v>
      </c>
      <c r="H164" s="8">
        <v>0</v>
      </c>
      <c r="I164" s="8">
        <v>0.88100000000000001</v>
      </c>
      <c r="J164" s="8">
        <v>0.91620000000000001</v>
      </c>
      <c r="K164" s="8">
        <v>0.88100000000000001</v>
      </c>
      <c r="L164" s="8">
        <v>104.6662</v>
      </c>
      <c r="M164" s="8">
        <v>116.381</v>
      </c>
      <c r="N164" s="10">
        <v>1.11325301204819</v>
      </c>
      <c r="O164" s="10">
        <v>1.1144207265719701</v>
      </c>
      <c r="P164" s="10">
        <v>1.11620850515207</v>
      </c>
      <c r="Q164" s="10">
        <v>1.1149391148586201</v>
      </c>
      <c r="R164" s="8">
        <v>115.621150381842</v>
      </c>
      <c r="S164" s="8">
        <v>115.846457716421</v>
      </c>
      <c r="T164" s="8">
        <v>115.68268547880901</v>
      </c>
      <c r="U164" s="9">
        <v>1.04837132160886E-3</v>
      </c>
      <c r="V164" s="9">
        <v>2.9951439831327302E-3</v>
      </c>
      <c r="W164" s="9">
        <v>1.5804428991491801E-3</v>
      </c>
      <c r="X164" s="10">
        <v>1.1119253397944999</v>
      </c>
      <c r="Y164" s="10">
        <v>1.1140664646848899</v>
      </c>
      <c r="Z164" s="10">
        <v>1.1148643930503901</v>
      </c>
      <c r="AA164" s="10">
        <v>1.11369358951943</v>
      </c>
      <c r="AB164" s="8">
        <v>116.605103406002</v>
      </c>
      <c r="AC164" s="8">
        <v>116.72873162563</v>
      </c>
      <c r="AD164" s="8">
        <v>116.578485435419</v>
      </c>
      <c r="AE164" s="9">
        <v>1.9237497158809201E-3</v>
      </c>
      <c r="AF164" s="9">
        <v>2.9834179905639702E-3</v>
      </c>
      <c r="AG164" s="9">
        <v>1.6954491666865601E-3</v>
      </c>
      <c r="AH164" s="12"/>
      <c r="BB164">
        <f t="shared" si="46"/>
        <v>0</v>
      </c>
      <c r="BC164">
        <f t="shared" si="47"/>
        <v>1</v>
      </c>
      <c r="BD164">
        <f t="shared" si="48"/>
        <v>0</v>
      </c>
      <c r="BE164">
        <f t="shared" si="44"/>
        <v>1</v>
      </c>
      <c r="BF164">
        <f t="shared" si="49"/>
        <v>0</v>
      </c>
      <c r="BG164" s="9">
        <f t="shared" si="50"/>
        <v>0</v>
      </c>
      <c r="BH164" s="9">
        <f t="shared" si="51"/>
        <v>0</v>
      </c>
      <c r="BI164" s="9">
        <f t="shared" si="52"/>
        <v>0</v>
      </c>
      <c r="BJ164" s="12">
        <f t="shared" si="53"/>
        <v>3.1043962495505159E-2</v>
      </c>
      <c r="BL164" s="9"/>
      <c r="BN164">
        <f t="shared" si="54"/>
        <v>0</v>
      </c>
      <c r="BO164">
        <f t="shared" si="55"/>
        <v>0</v>
      </c>
      <c r="BP164">
        <f t="shared" si="56"/>
        <v>0</v>
      </c>
      <c r="BQ164">
        <f t="shared" si="45"/>
        <v>1</v>
      </c>
      <c r="BR164">
        <f t="shared" si="57"/>
        <v>0</v>
      </c>
      <c r="BS164" s="9">
        <f t="shared" si="58"/>
        <v>0</v>
      </c>
      <c r="BT164" s="9">
        <f t="shared" si="59"/>
        <v>0</v>
      </c>
      <c r="BU164" s="9">
        <f t="shared" si="60"/>
        <v>0</v>
      </c>
      <c r="BV164" s="12">
        <f t="shared" si="61"/>
        <v>2.165896884963019E-2</v>
      </c>
      <c r="BX164" s="12">
        <f t="shared" si="62"/>
        <v>0</v>
      </c>
      <c r="BY164" s="12">
        <f t="shared" si="63"/>
        <v>5.2702931345135332E-2</v>
      </c>
    </row>
    <row r="165" spans="1:77" x14ac:dyDescent="0.3">
      <c r="A165" s="1">
        <v>46261</v>
      </c>
      <c r="B165" s="8">
        <v>104.04</v>
      </c>
      <c r="C165" s="8">
        <v>116.17</v>
      </c>
      <c r="D165" s="9">
        <v>2.7912814696431898E-3</v>
      </c>
      <c r="E165" s="9">
        <v>5.7841055635353203E-3</v>
      </c>
      <c r="F165" s="8">
        <v>0</v>
      </c>
      <c r="G165" s="8">
        <v>0.91620000000000001</v>
      </c>
      <c r="H165" s="8">
        <v>0</v>
      </c>
      <c r="I165" s="8">
        <v>0.88100000000000001</v>
      </c>
      <c r="J165" s="8">
        <v>0.91620000000000001</v>
      </c>
      <c r="K165" s="8">
        <v>0.88100000000000001</v>
      </c>
      <c r="L165" s="8">
        <v>104.9562</v>
      </c>
      <c r="M165" s="8">
        <v>117.051</v>
      </c>
      <c r="N165" s="10">
        <v>1.1165897731641601</v>
      </c>
      <c r="O165" s="10">
        <v>1.1144207265719701</v>
      </c>
      <c r="P165" s="10">
        <v>1.11646710652864</v>
      </c>
      <c r="Q165" s="10">
        <v>1.1149108835444199</v>
      </c>
      <c r="R165" s="8">
        <v>115.94433239254801</v>
      </c>
      <c r="S165" s="8">
        <v>116.130332876022</v>
      </c>
      <c r="T165" s="8">
        <v>115.998265509891</v>
      </c>
      <c r="U165" s="9">
        <v>-1.94445277228312E-3</v>
      </c>
      <c r="V165" s="9">
        <v>-3.4151586329743199E-4</v>
      </c>
      <c r="W165" s="9">
        <v>-1.4793970317412101E-3</v>
      </c>
      <c r="X165" s="10">
        <v>1.11523664157048</v>
      </c>
      <c r="Y165" s="10">
        <v>1.1140664646848899</v>
      </c>
      <c r="Z165" s="10">
        <v>1.1151178109631601</v>
      </c>
      <c r="AA165" s="10">
        <v>1.11362039135695</v>
      </c>
      <c r="AB165" s="8">
        <v>116.92818268076</v>
      </c>
      <c r="AC165" s="8">
        <v>117.011930209875</v>
      </c>
      <c r="AD165" s="8">
        <v>116.88904712031901</v>
      </c>
      <c r="AE165" s="9">
        <v>-1.0498141681841799E-3</v>
      </c>
      <c r="AF165" s="9">
        <v>-3.3384005277792397E-4</v>
      </c>
      <c r="AG165" s="9">
        <v>-1.38456760650082E-3</v>
      </c>
      <c r="AH165" s="12"/>
      <c r="BB165">
        <f t="shared" si="46"/>
        <v>0</v>
      </c>
      <c r="BC165">
        <f t="shared" si="47"/>
        <v>1</v>
      </c>
      <c r="BD165">
        <f t="shared" si="48"/>
        <v>0</v>
      </c>
      <c r="BE165">
        <f t="shared" si="44"/>
        <v>1</v>
      </c>
      <c r="BF165">
        <f t="shared" si="49"/>
        <v>0</v>
      </c>
      <c r="BG165" s="9">
        <f t="shared" si="50"/>
        <v>0</v>
      </c>
      <c r="BH165" s="9">
        <f t="shared" si="51"/>
        <v>0</v>
      </c>
      <c r="BI165" s="9">
        <f t="shared" si="52"/>
        <v>0</v>
      </c>
      <c r="BJ165" s="12">
        <f t="shared" si="53"/>
        <v>3.1043962495505159E-2</v>
      </c>
      <c r="BL165" s="9"/>
      <c r="BN165">
        <f t="shared" si="54"/>
        <v>0</v>
      </c>
      <c r="BO165">
        <f t="shared" si="55"/>
        <v>1</v>
      </c>
      <c r="BP165">
        <f t="shared" si="56"/>
        <v>0</v>
      </c>
      <c r="BQ165">
        <f t="shared" si="45"/>
        <v>1</v>
      </c>
      <c r="BR165">
        <f t="shared" si="57"/>
        <v>0</v>
      </c>
      <c r="BS165" s="9">
        <f t="shared" si="58"/>
        <v>0</v>
      </c>
      <c r="BT165" s="9">
        <f t="shared" si="59"/>
        <v>0</v>
      </c>
      <c r="BU165" s="9">
        <f t="shared" si="60"/>
        <v>0</v>
      </c>
      <c r="BV165" s="12">
        <f t="shared" si="61"/>
        <v>2.165896884963019E-2</v>
      </c>
      <c r="BX165" s="12">
        <f t="shared" si="62"/>
        <v>0</v>
      </c>
      <c r="BY165" s="12">
        <f t="shared" si="63"/>
        <v>5.2702931345135332E-2</v>
      </c>
    </row>
    <row r="166" spans="1:77" x14ac:dyDescent="0.3">
      <c r="A166" s="1">
        <v>46262</v>
      </c>
      <c r="B166" s="8">
        <v>102.46</v>
      </c>
      <c r="C166" s="8">
        <v>114.25</v>
      </c>
      <c r="D166" s="9">
        <v>-1.5302962069394599E-2</v>
      </c>
      <c r="E166" s="9">
        <v>-1.6665605751069301E-2</v>
      </c>
      <c r="F166" s="8">
        <v>0</v>
      </c>
      <c r="G166" s="8">
        <v>0.91620000000000001</v>
      </c>
      <c r="H166" s="8">
        <v>0</v>
      </c>
      <c r="I166" s="8">
        <v>0.88100000000000001</v>
      </c>
      <c r="J166" s="8">
        <v>0.91620000000000001</v>
      </c>
      <c r="K166" s="8">
        <v>0.88100000000000001</v>
      </c>
      <c r="L166" s="8">
        <v>103.3762</v>
      </c>
      <c r="M166" s="8">
        <v>115.131</v>
      </c>
      <c r="N166" s="10">
        <v>1.1150692953347601</v>
      </c>
      <c r="O166" s="10">
        <v>1.1144207265719701</v>
      </c>
      <c r="P166" s="10">
        <v>1.1163230041671801</v>
      </c>
      <c r="Q166" s="10">
        <v>1.1150777012812101</v>
      </c>
      <c r="R166" s="8">
        <v>114.183547644564</v>
      </c>
      <c r="S166" s="8">
        <v>114.393219734925</v>
      </c>
      <c r="T166" s="8">
        <v>114.233769127961</v>
      </c>
      <c r="U166" s="9">
        <v>-5.8180909060840497E-4</v>
      </c>
      <c r="V166" s="9">
        <v>1.2527793636086799E-3</v>
      </c>
      <c r="W166" s="9">
        <v>-1.4207461761778901E-4</v>
      </c>
      <c r="X166" s="10">
        <v>1.1137089581547699</v>
      </c>
      <c r="Y166" s="10">
        <v>1.1140664646848899</v>
      </c>
      <c r="Z166" s="10">
        <v>1.1149696984803501</v>
      </c>
      <c r="AA166" s="10">
        <v>1.11373993702815</v>
      </c>
      <c r="AB166" s="8">
        <v>115.167957666558</v>
      </c>
      <c r="AC166" s="8">
        <v>115.27664184968999</v>
      </c>
      <c r="AD166" s="8">
        <v>115.12184430099499</v>
      </c>
      <c r="AE166" s="9">
        <v>3.2095383539930899E-4</v>
      </c>
      <c r="AF166" s="9">
        <v>1.26421040481513E-3</v>
      </c>
      <c r="AG166" s="9">
        <v>-7.9527347751942598E-5</v>
      </c>
      <c r="AH166" s="12"/>
      <c r="BB166">
        <f t="shared" si="46"/>
        <v>0</v>
      </c>
      <c r="BC166">
        <f t="shared" si="47"/>
        <v>1</v>
      </c>
      <c r="BD166">
        <f t="shared" si="48"/>
        <v>0</v>
      </c>
      <c r="BE166">
        <f t="shared" si="44"/>
        <v>1</v>
      </c>
      <c r="BF166">
        <f t="shared" si="49"/>
        <v>0</v>
      </c>
      <c r="BG166" s="9">
        <f t="shared" si="50"/>
        <v>0</v>
      </c>
      <c r="BH166" s="9">
        <f t="shared" si="51"/>
        <v>0</v>
      </c>
      <c r="BI166" s="9">
        <f t="shared" si="52"/>
        <v>0</v>
      </c>
      <c r="BJ166" s="12">
        <f t="shared" si="53"/>
        <v>3.1043962495505159E-2</v>
      </c>
      <c r="BL166" s="9"/>
      <c r="BN166">
        <f t="shared" si="54"/>
        <v>0</v>
      </c>
      <c r="BO166">
        <f t="shared" si="55"/>
        <v>1</v>
      </c>
      <c r="BP166">
        <f t="shared" si="56"/>
        <v>0</v>
      </c>
      <c r="BQ166">
        <f t="shared" si="45"/>
        <v>1</v>
      </c>
      <c r="BR166">
        <f t="shared" si="57"/>
        <v>0</v>
      </c>
      <c r="BS166" s="9">
        <f t="shared" si="58"/>
        <v>0</v>
      </c>
      <c r="BT166" s="9">
        <f t="shared" si="59"/>
        <v>0</v>
      </c>
      <c r="BU166" s="9">
        <f t="shared" si="60"/>
        <v>0</v>
      </c>
      <c r="BV166" s="12">
        <f t="shared" si="61"/>
        <v>2.165896884963019E-2</v>
      </c>
      <c r="BX166" s="12">
        <f t="shared" si="62"/>
        <v>0</v>
      </c>
      <c r="BY166" s="12">
        <f t="shared" si="63"/>
        <v>5.2702931345135332E-2</v>
      </c>
    </row>
    <row r="167" spans="1:77" x14ac:dyDescent="0.3">
      <c r="A167" s="1">
        <v>46265</v>
      </c>
      <c r="B167" s="8">
        <v>102.19</v>
      </c>
      <c r="C167" s="8">
        <v>113.84</v>
      </c>
      <c r="D167" s="9">
        <v>-2.6386528869384502E-3</v>
      </c>
      <c r="E167" s="9">
        <v>-3.5950759927170801E-3</v>
      </c>
      <c r="F167" s="8">
        <v>0</v>
      </c>
      <c r="G167" s="8">
        <v>0.91620000000000001</v>
      </c>
      <c r="H167" s="8">
        <v>0</v>
      </c>
      <c r="I167" s="8">
        <v>0.88100000000000001</v>
      </c>
      <c r="J167" s="8">
        <v>0.91620000000000001</v>
      </c>
      <c r="K167" s="8">
        <v>0.88100000000000001</v>
      </c>
      <c r="L167" s="8">
        <v>103.1062</v>
      </c>
      <c r="M167" s="8">
        <v>114.721</v>
      </c>
      <c r="N167" s="10">
        <v>1.1140033271357199</v>
      </c>
      <c r="O167" s="10">
        <v>1.1144207265719701</v>
      </c>
      <c r="P167" s="10">
        <v>1.1158735716225401</v>
      </c>
      <c r="Q167" s="10">
        <v>1.11506150752183</v>
      </c>
      <c r="R167" s="8">
        <v>113.88265404838999</v>
      </c>
      <c r="S167" s="8">
        <v>114.077047795844</v>
      </c>
      <c r="T167" s="8">
        <v>113.94979029392699</v>
      </c>
      <c r="U167" s="9">
        <v>3.7461401517016601E-4</v>
      </c>
      <c r="V167" s="9">
        <v>2.0801241821203501E-3</v>
      </c>
      <c r="W167" s="9">
        <v>9.6396157428912499E-4</v>
      </c>
      <c r="X167" s="10">
        <v>1.11264889987217</v>
      </c>
      <c r="Y167" s="10">
        <v>1.1140664646848899</v>
      </c>
      <c r="Z167" s="10">
        <v>1.1145186647987</v>
      </c>
      <c r="AA167" s="10">
        <v>1.1137231643377501</v>
      </c>
      <c r="AB167" s="8">
        <v>114.867159721093</v>
      </c>
      <c r="AC167" s="8">
        <v>114.960288725455</v>
      </c>
      <c r="AD167" s="8">
        <v>114.833492695212</v>
      </c>
      <c r="AE167" s="9">
        <v>1.27323413381959E-3</v>
      </c>
      <c r="AF167" s="9">
        <v>2.0836596081350699E-3</v>
      </c>
      <c r="AG167" s="9">
        <v>9.8009586217611203E-4</v>
      </c>
      <c r="AH167" s="12"/>
      <c r="BB167">
        <f t="shared" si="46"/>
        <v>0</v>
      </c>
      <c r="BC167">
        <f t="shared" si="47"/>
        <v>1</v>
      </c>
      <c r="BD167">
        <f t="shared" si="48"/>
        <v>0</v>
      </c>
      <c r="BE167">
        <f t="shared" si="44"/>
        <v>1</v>
      </c>
      <c r="BF167">
        <f t="shared" si="49"/>
        <v>0</v>
      </c>
      <c r="BG167" s="9">
        <f t="shared" si="50"/>
        <v>0</v>
      </c>
      <c r="BH167" s="9">
        <f t="shared" si="51"/>
        <v>0</v>
      </c>
      <c r="BI167" s="9">
        <f t="shared" si="52"/>
        <v>0</v>
      </c>
      <c r="BJ167" s="12">
        <f t="shared" si="53"/>
        <v>3.1043962495505159E-2</v>
      </c>
      <c r="BL167" s="9"/>
      <c r="BN167">
        <f t="shared" si="54"/>
        <v>0</v>
      </c>
      <c r="BO167">
        <f t="shared" si="55"/>
        <v>1</v>
      </c>
      <c r="BP167">
        <f t="shared" si="56"/>
        <v>0</v>
      </c>
      <c r="BQ167">
        <f t="shared" si="45"/>
        <v>1</v>
      </c>
      <c r="BR167">
        <f t="shared" si="57"/>
        <v>0</v>
      </c>
      <c r="BS167" s="9">
        <f t="shared" si="58"/>
        <v>0</v>
      </c>
      <c r="BT167" s="9">
        <f t="shared" si="59"/>
        <v>0</v>
      </c>
      <c r="BU167" s="9">
        <f t="shared" si="60"/>
        <v>0</v>
      </c>
      <c r="BV167" s="12">
        <f t="shared" si="61"/>
        <v>2.165896884963019E-2</v>
      </c>
      <c r="BX167" s="12">
        <f t="shared" si="62"/>
        <v>0</v>
      </c>
      <c r="BY167" s="12">
        <f t="shared" si="63"/>
        <v>5.2702931345135332E-2</v>
      </c>
    </row>
  </sheetData>
  <conditionalFormatting sqref="CM4:CT11">
    <cfRule type="top10" dxfId="2" priority="3" rank="3"/>
  </conditionalFormatting>
  <conditionalFormatting sqref="CM15:CT22">
    <cfRule type="top10" dxfId="1" priority="2" rank="3"/>
  </conditionalFormatting>
  <conditionalFormatting sqref="CM26:CT33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CWB_ICVT_2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2026-09-04T16:43:14Z</dcterms:modified>
</cp:coreProperties>
</file>