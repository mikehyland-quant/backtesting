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projects\backtesting\backtests\"/>
    </mc:Choice>
  </mc:AlternateContent>
  <xr:revisionPtr revIDLastSave="0" documentId="13_ncr:9_{30EFD520-DF67-46E0-AEFB-D929A74A857E}" xr6:coauthVersionLast="47" xr6:coauthVersionMax="47" xr10:uidLastSave="{00000000-0000-0000-0000-000000000000}"/>
  <bookViews>
    <workbookView xWindow="30645" yWindow="1590" windowWidth="24930" windowHeight="9690" xr2:uid="{DADB7709-5FD1-49F6-939D-E5B6FAB54BB6}"/>
  </bookViews>
  <sheets>
    <sheet name="Sheet1" sheetId="1" r:id="rId1"/>
  </sheets>
  <externalReferences>
    <externalReference r:id="rId2"/>
  </externalReferences>
  <calcPr calcId="0"/>
</workbook>
</file>

<file path=xl/calcChain.xml><?xml version="1.0" encoding="utf-8"?>
<calcChain xmlns="http://schemas.openxmlformats.org/spreadsheetml/2006/main">
  <c r="AX176" i="1" l="1"/>
  <c r="AV176" i="1"/>
  <c r="AU176" i="1"/>
  <c r="AM176" i="1"/>
  <c r="AK176" i="1"/>
  <c r="AJ176" i="1"/>
  <c r="AX175" i="1"/>
  <c r="AV175" i="1"/>
  <c r="AU175" i="1"/>
  <c r="AY176" i="1" s="1"/>
  <c r="AM175" i="1"/>
  <c r="AK175" i="1"/>
  <c r="AJ175" i="1"/>
  <c r="AN176" i="1" s="1"/>
  <c r="AX174" i="1"/>
  <c r="AV174" i="1"/>
  <c r="AU174" i="1"/>
  <c r="AM174" i="1"/>
  <c r="AK174" i="1"/>
  <c r="AJ174" i="1"/>
  <c r="AX173" i="1"/>
  <c r="AV173" i="1"/>
  <c r="AU173" i="1"/>
  <c r="AM173" i="1"/>
  <c r="AK173" i="1"/>
  <c r="AJ173" i="1"/>
  <c r="AN174" i="1" s="1"/>
  <c r="AX172" i="1"/>
  <c r="AV172" i="1"/>
  <c r="AU172" i="1"/>
  <c r="AM172" i="1"/>
  <c r="AK172" i="1"/>
  <c r="AJ172" i="1"/>
  <c r="AN173" i="1" s="1"/>
  <c r="AX171" i="1"/>
  <c r="AV171" i="1"/>
  <c r="AU171" i="1"/>
  <c r="AY172" i="1" s="1"/>
  <c r="AM171" i="1"/>
  <c r="AK171" i="1"/>
  <c r="AJ171" i="1"/>
  <c r="AX170" i="1"/>
  <c r="AV170" i="1"/>
  <c r="AU170" i="1"/>
  <c r="AY171" i="1" s="1"/>
  <c r="AM170" i="1"/>
  <c r="AK170" i="1"/>
  <c r="AJ170" i="1"/>
  <c r="AX169" i="1"/>
  <c r="AV169" i="1"/>
  <c r="AU169" i="1"/>
  <c r="AM169" i="1"/>
  <c r="AK169" i="1"/>
  <c r="AJ169" i="1"/>
  <c r="AX168" i="1"/>
  <c r="AV168" i="1"/>
  <c r="AU168" i="1"/>
  <c r="AM168" i="1"/>
  <c r="AK168" i="1"/>
  <c r="AJ168" i="1"/>
  <c r="AN169" i="1" s="1"/>
  <c r="AX167" i="1"/>
  <c r="AV167" i="1"/>
  <c r="AU167" i="1"/>
  <c r="AM167" i="1"/>
  <c r="AK167" i="1"/>
  <c r="AJ167" i="1"/>
  <c r="AX166" i="1"/>
  <c r="AV166" i="1"/>
  <c r="AU166" i="1"/>
  <c r="AM166" i="1"/>
  <c r="AK166" i="1"/>
  <c r="AJ166" i="1"/>
  <c r="AN167" i="1" s="1"/>
  <c r="AX165" i="1"/>
  <c r="AV165" i="1"/>
  <c r="AU165" i="1"/>
  <c r="AM165" i="1"/>
  <c r="AK165" i="1"/>
  <c r="AJ165" i="1"/>
  <c r="AN166" i="1" s="1"/>
  <c r="AX164" i="1"/>
  <c r="AV164" i="1"/>
  <c r="AU164" i="1"/>
  <c r="AY165" i="1" s="1"/>
  <c r="AM164" i="1"/>
  <c r="AK164" i="1"/>
  <c r="AJ164" i="1"/>
  <c r="AN165" i="1" s="1"/>
  <c r="AX163" i="1"/>
  <c r="AV163" i="1"/>
  <c r="AU163" i="1"/>
  <c r="AY164" i="1" s="1"/>
  <c r="AM163" i="1"/>
  <c r="AK163" i="1"/>
  <c r="AJ163" i="1"/>
  <c r="AX162" i="1"/>
  <c r="AV162" i="1"/>
  <c r="AU162" i="1"/>
  <c r="AY163" i="1" s="1"/>
  <c r="AM162" i="1"/>
  <c r="AK162" i="1"/>
  <c r="AJ162" i="1"/>
  <c r="AX161" i="1"/>
  <c r="AV161" i="1"/>
  <c r="AU161" i="1"/>
  <c r="AY162" i="1" s="1"/>
  <c r="AM161" i="1"/>
  <c r="AK161" i="1"/>
  <c r="AJ161" i="1"/>
  <c r="AN162" i="1" s="1"/>
  <c r="AX160" i="1"/>
  <c r="AV160" i="1"/>
  <c r="AU160" i="1"/>
  <c r="AM160" i="1"/>
  <c r="AK160" i="1"/>
  <c r="AJ160" i="1"/>
  <c r="AN161" i="1" s="1"/>
  <c r="AX159" i="1"/>
  <c r="AV159" i="1"/>
  <c r="AU159" i="1"/>
  <c r="AM159" i="1"/>
  <c r="AK159" i="1"/>
  <c r="AJ159" i="1"/>
  <c r="AX158" i="1"/>
  <c r="AV158" i="1"/>
  <c r="AU158" i="1"/>
  <c r="AM158" i="1"/>
  <c r="AK158" i="1"/>
  <c r="AJ158" i="1"/>
  <c r="AN159" i="1" s="1"/>
  <c r="AX157" i="1"/>
  <c r="AV157" i="1"/>
  <c r="AU157" i="1"/>
  <c r="AM157" i="1"/>
  <c r="AK157" i="1"/>
  <c r="AJ157" i="1"/>
  <c r="AN158" i="1" s="1"/>
  <c r="AX156" i="1"/>
  <c r="AV156" i="1"/>
  <c r="AU156" i="1"/>
  <c r="AY157" i="1" s="1"/>
  <c r="AM156" i="1"/>
  <c r="AK156" i="1"/>
  <c r="AJ156" i="1"/>
  <c r="AN157" i="1" s="1"/>
  <c r="AX155" i="1"/>
  <c r="AV155" i="1"/>
  <c r="AU155" i="1"/>
  <c r="AY156" i="1" s="1"/>
  <c r="AM155" i="1"/>
  <c r="AK155" i="1"/>
  <c r="AJ155" i="1"/>
  <c r="AX154" i="1"/>
  <c r="AV154" i="1"/>
  <c r="AU154" i="1"/>
  <c r="AY155" i="1" s="1"/>
  <c r="AM154" i="1"/>
  <c r="AK154" i="1"/>
  <c r="AJ154" i="1"/>
  <c r="AX153" i="1"/>
  <c r="AV153" i="1"/>
  <c r="AU153" i="1"/>
  <c r="AY154" i="1" s="1"/>
  <c r="AM153" i="1"/>
  <c r="AK153" i="1"/>
  <c r="AJ153" i="1"/>
  <c r="AX152" i="1"/>
  <c r="AV152" i="1"/>
  <c r="AU152" i="1"/>
  <c r="AY153" i="1" s="1"/>
  <c r="AM152" i="1"/>
  <c r="AK152" i="1"/>
  <c r="AJ152" i="1"/>
  <c r="AX151" i="1"/>
  <c r="AV151" i="1"/>
  <c r="AU151" i="1"/>
  <c r="AY152" i="1" s="1"/>
  <c r="AM151" i="1"/>
  <c r="AK151" i="1"/>
  <c r="AJ151" i="1"/>
  <c r="AX150" i="1"/>
  <c r="AV150" i="1"/>
  <c r="AU150" i="1"/>
  <c r="AY151" i="1" s="1"/>
  <c r="AM150" i="1"/>
  <c r="AK150" i="1"/>
  <c r="AJ150" i="1"/>
  <c r="AX149" i="1"/>
  <c r="AV149" i="1"/>
  <c r="AU149" i="1"/>
  <c r="AM149" i="1"/>
  <c r="AK149" i="1"/>
  <c r="AJ149" i="1"/>
  <c r="AN150" i="1" s="1"/>
  <c r="AX148" i="1"/>
  <c r="AV148" i="1"/>
  <c r="AU148" i="1"/>
  <c r="AM148" i="1"/>
  <c r="AK148" i="1"/>
  <c r="AJ148" i="1"/>
  <c r="AN149" i="1" s="1"/>
  <c r="AX147" i="1"/>
  <c r="AV147" i="1"/>
  <c r="AU147" i="1"/>
  <c r="AM147" i="1"/>
  <c r="AK147" i="1"/>
  <c r="AJ147" i="1"/>
  <c r="AN148" i="1" s="1"/>
  <c r="AX146" i="1"/>
  <c r="AV146" i="1"/>
  <c r="AU146" i="1"/>
  <c r="AY147" i="1" s="1"/>
  <c r="AM146" i="1"/>
  <c r="AK146" i="1"/>
  <c r="AJ146" i="1"/>
  <c r="AX145" i="1"/>
  <c r="AV145" i="1"/>
  <c r="AU145" i="1"/>
  <c r="AM145" i="1"/>
  <c r="AK145" i="1"/>
  <c r="AJ145" i="1"/>
  <c r="AX144" i="1"/>
  <c r="AV144" i="1"/>
  <c r="AU144" i="1"/>
  <c r="AY145" i="1" s="1"/>
  <c r="AM144" i="1"/>
  <c r="AK144" i="1"/>
  <c r="AJ144" i="1"/>
  <c r="AX143" i="1"/>
  <c r="AV143" i="1"/>
  <c r="AU143" i="1"/>
  <c r="AY144" i="1" s="1"/>
  <c r="AM143" i="1"/>
  <c r="AK143" i="1"/>
  <c r="AJ143" i="1"/>
  <c r="AX142" i="1"/>
  <c r="AV142" i="1"/>
  <c r="AU142" i="1"/>
  <c r="AY143" i="1" s="1"/>
  <c r="AM142" i="1"/>
  <c r="AK142" i="1"/>
  <c r="AJ142" i="1"/>
  <c r="AX141" i="1"/>
  <c r="AV141" i="1"/>
  <c r="AU141" i="1"/>
  <c r="AY142" i="1" s="1"/>
  <c r="AM141" i="1"/>
  <c r="AK141" i="1"/>
  <c r="AJ141" i="1"/>
  <c r="AX140" i="1"/>
  <c r="AV140" i="1"/>
  <c r="AU140" i="1"/>
  <c r="AM140" i="1"/>
  <c r="AK140" i="1"/>
  <c r="AJ140" i="1"/>
  <c r="AN141" i="1" s="1"/>
  <c r="AX139" i="1"/>
  <c r="AV139" i="1"/>
  <c r="AU139" i="1"/>
  <c r="AM139" i="1"/>
  <c r="AK139" i="1"/>
  <c r="AJ139" i="1"/>
  <c r="AN140" i="1" s="1"/>
  <c r="AX138" i="1"/>
  <c r="AV138" i="1"/>
  <c r="AU138" i="1"/>
  <c r="AM138" i="1"/>
  <c r="AK138" i="1"/>
  <c r="AJ138" i="1"/>
  <c r="AN139" i="1" s="1"/>
  <c r="AX137" i="1"/>
  <c r="AV137" i="1"/>
  <c r="AU137" i="1"/>
  <c r="AM137" i="1"/>
  <c r="AK137" i="1"/>
  <c r="AJ137" i="1"/>
  <c r="AN138" i="1" s="1"/>
  <c r="AX136" i="1"/>
  <c r="AV136" i="1"/>
  <c r="AU136" i="1"/>
  <c r="AM136" i="1"/>
  <c r="AK136" i="1"/>
  <c r="AJ136" i="1"/>
  <c r="AN137" i="1" s="1"/>
  <c r="AX135" i="1"/>
  <c r="AV135" i="1"/>
  <c r="AU135" i="1"/>
  <c r="AM135" i="1"/>
  <c r="AK135" i="1"/>
  <c r="AJ135" i="1"/>
  <c r="AX134" i="1"/>
  <c r="AV134" i="1"/>
  <c r="AU134" i="1"/>
  <c r="AY135" i="1" s="1"/>
  <c r="AM134" i="1"/>
  <c r="AK134" i="1"/>
  <c r="AJ134" i="1"/>
  <c r="AN135" i="1" s="1"/>
  <c r="AX133" i="1"/>
  <c r="AV133" i="1"/>
  <c r="AU133" i="1"/>
  <c r="AM133" i="1"/>
  <c r="AK133" i="1"/>
  <c r="AJ133" i="1"/>
  <c r="AN134" i="1" s="1"/>
  <c r="AX132" i="1"/>
  <c r="AV132" i="1"/>
  <c r="AU132" i="1"/>
  <c r="AY133" i="1" s="1"/>
  <c r="AM132" i="1"/>
  <c r="AK132" i="1"/>
  <c r="AJ132" i="1"/>
  <c r="AN133" i="1" s="1"/>
  <c r="AX131" i="1"/>
  <c r="AV131" i="1"/>
  <c r="AU131" i="1"/>
  <c r="AM131" i="1"/>
  <c r="AK131" i="1"/>
  <c r="AJ131" i="1"/>
  <c r="AN132" i="1" s="1"/>
  <c r="AX130" i="1"/>
  <c r="AV130" i="1"/>
  <c r="AU130" i="1"/>
  <c r="AY131" i="1" s="1"/>
  <c r="AM130" i="1"/>
  <c r="AK130" i="1"/>
  <c r="AJ130" i="1"/>
  <c r="AN131" i="1" s="1"/>
  <c r="AX129" i="1"/>
  <c r="AV129" i="1"/>
  <c r="AU129" i="1"/>
  <c r="AY130" i="1" s="1"/>
  <c r="AM129" i="1"/>
  <c r="AK129" i="1"/>
  <c r="AJ129" i="1"/>
  <c r="AN130" i="1" s="1"/>
  <c r="AX128" i="1"/>
  <c r="AV128" i="1"/>
  <c r="AU128" i="1"/>
  <c r="AY129" i="1" s="1"/>
  <c r="AM128" i="1"/>
  <c r="AK128" i="1"/>
  <c r="AJ128" i="1"/>
  <c r="AX127" i="1"/>
  <c r="AV127" i="1"/>
  <c r="AU127" i="1"/>
  <c r="AY128" i="1" s="1"/>
  <c r="AM127" i="1"/>
  <c r="AK127" i="1"/>
  <c r="AJ127" i="1"/>
  <c r="AN128" i="1" s="1"/>
  <c r="AX126" i="1"/>
  <c r="AV126" i="1"/>
  <c r="AU126" i="1"/>
  <c r="AY127" i="1" s="1"/>
  <c r="AM126" i="1"/>
  <c r="AK126" i="1"/>
  <c r="AJ126" i="1"/>
  <c r="AX125" i="1"/>
  <c r="AV125" i="1"/>
  <c r="AU125" i="1"/>
  <c r="AY126" i="1" s="1"/>
  <c r="AM125" i="1"/>
  <c r="AK125" i="1"/>
  <c r="AJ125" i="1"/>
  <c r="AX124" i="1"/>
  <c r="AV124" i="1"/>
  <c r="AU124" i="1"/>
  <c r="AY125" i="1" s="1"/>
  <c r="AM124" i="1"/>
  <c r="AK124" i="1"/>
  <c r="AJ124" i="1"/>
  <c r="AX123" i="1"/>
  <c r="AV123" i="1"/>
  <c r="AU123" i="1"/>
  <c r="AM123" i="1"/>
  <c r="AK123" i="1"/>
  <c r="AJ123" i="1"/>
  <c r="AX122" i="1"/>
  <c r="AV122" i="1"/>
  <c r="AU122" i="1"/>
  <c r="AM122" i="1"/>
  <c r="AK122" i="1"/>
  <c r="AJ122" i="1"/>
  <c r="AX121" i="1"/>
  <c r="AV121" i="1"/>
  <c r="AU121" i="1"/>
  <c r="AY122" i="1" s="1"/>
  <c r="AM121" i="1"/>
  <c r="AK121" i="1"/>
  <c r="AJ121" i="1"/>
  <c r="AX120" i="1"/>
  <c r="AV120" i="1"/>
  <c r="AU120" i="1"/>
  <c r="AM120" i="1"/>
  <c r="AK120" i="1"/>
  <c r="AJ120" i="1"/>
  <c r="AX119" i="1"/>
  <c r="AV119" i="1"/>
  <c r="AU119" i="1"/>
  <c r="AM119" i="1"/>
  <c r="AK119" i="1"/>
  <c r="AJ119" i="1"/>
  <c r="AX118" i="1"/>
  <c r="AV118" i="1"/>
  <c r="AU118" i="1"/>
  <c r="AM118" i="1"/>
  <c r="AK118" i="1"/>
  <c r="AJ118" i="1"/>
  <c r="AX117" i="1"/>
  <c r="AV117" i="1"/>
  <c r="AU117" i="1"/>
  <c r="AY118" i="1" s="1"/>
  <c r="AM117" i="1"/>
  <c r="AK117" i="1"/>
  <c r="AJ117" i="1"/>
  <c r="AX116" i="1"/>
  <c r="AV116" i="1"/>
  <c r="AU116" i="1"/>
  <c r="AY117" i="1" s="1"/>
  <c r="AM116" i="1"/>
  <c r="AK116" i="1"/>
  <c r="AJ116" i="1"/>
  <c r="AX115" i="1"/>
  <c r="AV115" i="1"/>
  <c r="AU115" i="1"/>
  <c r="AY116" i="1" s="1"/>
  <c r="AM115" i="1"/>
  <c r="AK115" i="1"/>
  <c r="AJ115" i="1"/>
  <c r="AX114" i="1"/>
  <c r="AV114" i="1"/>
  <c r="AU114" i="1"/>
  <c r="AY115" i="1" s="1"/>
  <c r="AM114" i="1"/>
  <c r="AK114" i="1"/>
  <c r="AJ114" i="1"/>
  <c r="AX113" i="1"/>
  <c r="AV113" i="1"/>
  <c r="AU113" i="1"/>
  <c r="AY114" i="1" s="1"/>
  <c r="AM113" i="1"/>
  <c r="AK113" i="1"/>
  <c r="AJ113" i="1"/>
  <c r="AX112" i="1"/>
  <c r="AV112" i="1"/>
  <c r="AU112" i="1"/>
  <c r="AM112" i="1"/>
  <c r="AK112" i="1"/>
  <c r="AJ112" i="1"/>
  <c r="AN113" i="1" s="1"/>
  <c r="AX111" i="1"/>
  <c r="AV111" i="1"/>
  <c r="AU111" i="1"/>
  <c r="AM111" i="1"/>
  <c r="AK111" i="1"/>
  <c r="AJ111" i="1"/>
  <c r="AN112" i="1" s="1"/>
  <c r="AX110" i="1"/>
  <c r="AV110" i="1"/>
  <c r="AU110" i="1"/>
  <c r="AM110" i="1"/>
  <c r="AK110" i="1"/>
  <c r="AJ110" i="1"/>
  <c r="AN111" i="1" s="1"/>
  <c r="AX109" i="1"/>
  <c r="AV109" i="1"/>
  <c r="AU109" i="1"/>
  <c r="AM109" i="1"/>
  <c r="AK109" i="1"/>
  <c r="AJ109" i="1"/>
  <c r="AN110" i="1" s="1"/>
  <c r="AX108" i="1"/>
  <c r="AV108" i="1"/>
  <c r="AU108" i="1"/>
  <c r="AM108" i="1"/>
  <c r="AK108" i="1"/>
  <c r="AJ108" i="1"/>
  <c r="AN109" i="1" s="1"/>
  <c r="AX107" i="1"/>
  <c r="AV107" i="1"/>
  <c r="AU107" i="1"/>
  <c r="AM107" i="1"/>
  <c r="AK107" i="1"/>
  <c r="AJ107" i="1"/>
  <c r="AN108" i="1" s="1"/>
  <c r="AX106" i="1"/>
  <c r="AV106" i="1"/>
  <c r="AU106" i="1"/>
  <c r="AM106" i="1"/>
  <c r="AK106" i="1"/>
  <c r="AJ106" i="1"/>
  <c r="AN107" i="1" s="1"/>
  <c r="AX105" i="1"/>
  <c r="AV105" i="1"/>
  <c r="AU105" i="1"/>
  <c r="AM105" i="1"/>
  <c r="AK105" i="1"/>
  <c r="AJ105" i="1"/>
  <c r="AN106" i="1" s="1"/>
  <c r="AX104" i="1"/>
  <c r="AV104" i="1"/>
  <c r="AU104" i="1"/>
  <c r="AY105" i="1" s="1"/>
  <c r="AM104" i="1"/>
  <c r="AK104" i="1"/>
  <c r="AJ104" i="1"/>
  <c r="AX103" i="1"/>
  <c r="AV103" i="1"/>
  <c r="AU103" i="1"/>
  <c r="AY104" i="1" s="1"/>
  <c r="AM103" i="1"/>
  <c r="AK103" i="1"/>
  <c r="AJ103" i="1"/>
  <c r="AX102" i="1"/>
  <c r="AV102" i="1"/>
  <c r="AU102" i="1"/>
  <c r="AY103" i="1" s="1"/>
  <c r="AM102" i="1"/>
  <c r="AK102" i="1"/>
  <c r="AJ102" i="1"/>
  <c r="AX101" i="1"/>
  <c r="AV101" i="1"/>
  <c r="AU101" i="1"/>
  <c r="AY102" i="1" s="1"/>
  <c r="AM101" i="1"/>
  <c r="AK101" i="1"/>
  <c r="AJ101" i="1"/>
  <c r="AX100" i="1"/>
  <c r="AV100" i="1"/>
  <c r="AU100" i="1"/>
  <c r="AM100" i="1"/>
  <c r="AK100" i="1"/>
  <c r="AJ100" i="1"/>
  <c r="AN101" i="1" s="1"/>
  <c r="AX99" i="1"/>
  <c r="AV99" i="1"/>
  <c r="AU99" i="1"/>
  <c r="AY100" i="1" s="1"/>
  <c r="AM99" i="1"/>
  <c r="AK99" i="1"/>
  <c r="AJ99" i="1"/>
  <c r="AX98" i="1"/>
  <c r="AV98" i="1"/>
  <c r="AU98" i="1"/>
  <c r="AM98" i="1"/>
  <c r="AK98" i="1"/>
  <c r="AJ98" i="1"/>
  <c r="AN99" i="1" s="1"/>
  <c r="AX97" i="1"/>
  <c r="AV97" i="1"/>
  <c r="AU97" i="1"/>
  <c r="AY98" i="1" s="1"/>
  <c r="AM97" i="1"/>
  <c r="AK97" i="1"/>
  <c r="AJ97" i="1"/>
  <c r="AN98" i="1" s="1"/>
  <c r="AX96" i="1"/>
  <c r="AV96" i="1"/>
  <c r="AU96" i="1"/>
  <c r="AY97" i="1" s="1"/>
  <c r="AM96" i="1"/>
  <c r="AK96" i="1"/>
  <c r="AJ96" i="1"/>
  <c r="AN97" i="1" s="1"/>
  <c r="AX95" i="1"/>
  <c r="AV95" i="1"/>
  <c r="AU95" i="1"/>
  <c r="AM95" i="1"/>
  <c r="AK95" i="1"/>
  <c r="AJ95" i="1"/>
  <c r="AN96" i="1" s="1"/>
  <c r="AX94" i="1"/>
  <c r="AV94" i="1"/>
  <c r="AU94" i="1"/>
  <c r="AY95" i="1" s="1"/>
  <c r="AM94" i="1"/>
  <c r="AK94" i="1"/>
  <c r="AJ94" i="1"/>
  <c r="AX93" i="1"/>
  <c r="AV93" i="1"/>
  <c r="AU93" i="1"/>
  <c r="AY94" i="1" s="1"/>
  <c r="AM93" i="1"/>
  <c r="AK93" i="1"/>
  <c r="AJ93" i="1"/>
  <c r="AX92" i="1"/>
  <c r="AV92" i="1"/>
  <c r="AU92" i="1"/>
  <c r="AY93" i="1" s="1"/>
  <c r="AM92" i="1"/>
  <c r="AK92" i="1"/>
  <c r="AJ92" i="1"/>
  <c r="AX91" i="1"/>
  <c r="AV91" i="1"/>
  <c r="AU91" i="1"/>
  <c r="AY92" i="1" s="1"/>
  <c r="AM91" i="1"/>
  <c r="AK91" i="1"/>
  <c r="AJ91" i="1"/>
  <c r="AX90" i="1"/>
  <c r="AV90" i="1"/>
  <c r="AU90" i="1"/>
  <c r="AY91" i="1" s="1"/>
  <c r="AM90" i="1"/>
  <c r="AK90" i="1"/>
  <c r="AJ90" i="1"/>
  <c r="AX89" i="1"/>
  <c r="AV89" i="1"/>
  <c r="AU89" i="1"/>
  <c r="AM89" i="1"/>
  <c r="AK89" i="1"/>
  <c r="AJ89" i="1"/>
  <c r="AN90" i="1" s="1"/>
  <c r="AX88" i="1"/>
  <c r="AV88" i="1"/>
  <c r="AU88" i="1"/>
  <c r="AY89" i="1" s="1"/>
  <c r="AM88" i="1"/>
  <c r="AK88" i="1"/>
  <c r="AJ88" i="1"/>
  <c r="AN89" i="1" s="1"/>
  <c r="AX87" i="1"/>
  <c r="AV87" i="1"/>
  <c r="AU87" i="1"/>
  <c r="AY88" i="1" s="1"/>
  <c r="AM87" i="1"/>
  <c r="AK87" i="1"/>
  <c r="AJ87" i="1"/>
  <c r="AX86" i="1"/>
  <c r="AV86" i="1"/>
  <c r="AU86" i="1"/>
  <c r="AY87" i="1" s="1"/>
  <c r="AM86" i="1"/>
  <c r="AK86" i="1"/>
  <c r="AJ86" i="1"/>
  <c r="AN87" i="1" s="1"/>
  <c r="AX85" i="1"/>
  <c r="AV85" i="1"/>
  <c r="AU85" i="1"/>
  <c r="AY86" i="1" s="1"/>
  <c r="AM85" i="1"/>
  <c r="AK85" i="1"/>
  <c r="AJ85" i="1"/>
  <c r="AX84" i="1"/>
  <c r="AV84" i="1"/>
  <c r="AU84" i="1"/>
  <c r="AY85" i="1" s="1"/>
  <c r="AM84" i="1"/>
  <c r="AK84" i="1"/>
  <c r="AJ84" i="1"/>
  <c r="AN85" i="1" s="1"/>
  <c r="AX83" i="1"/>
  <c r="AV83" i="1"/>
  <c r="AU83" i="1"/>
  <c r="AY84" i="1" s="1"/>
  <c r="AM83" i="1"/>
  <c r="AK83" i="1"/>
  <c r="AJ83" i="1"/>
  <c r="AN84" i="1" s="1"/>
  <c r="AX82" i="1"/>
  <c r="AV82" i="1"/>
  <c r="AU82" i="1"/>
  <c r="AM82" i="1"/>
  <c r="AK82" i="1"/>
  <c r="AJ82" i="1"/>
  <c r="AX81" i="1"/>
  <c r="AV81" i="1"/>
  <c r="AU81" i="1"/>
  <c r="AY82" i="1" s="1"/>
  <c r="AM81" i="1"/>
  <c r="AK81" i="1"/>
  <c r="AJ81" i="1"/>
  <c r="AX80" i="1"/>
  <c r="AV80" i="1"/>
  <c r="AU80" i="1"/>
  <c r="AY81" i="1" s="1"/>
  <c r="AM80" i="1"/>
  <c r="AK80" i="1"/>
  <c r="AJ80" i="1"/>
  <c r="AX79" i="1"/>
  <c r="AV79" i="1"/>
  <c r="AU79" i="1"/>
  <c r="AY80" i="1" s="1"/>
  <c r="AM79" i="1"/>
  <c r="AK79" i="1"/>
  <c r="AJ79" i="1"/>
  <c r="AX78" i="1"/>
  <c r="AV78" i="1"/>
  <c r="AU78" i="1"/>
  <c r="AM78" i="1"/>
  <c r="AK78" i="1"/>
  <c r="AJ78" i="1"/>
  <c r="AX77" i="1"/>
  <c r="AV77" i="1"/>
  <c r="AU77" i="1"/>
  <c r="AY78" i="1" s="1"/>
  <c r="AM77" i="1"/>
  <c r="AK77" i="1"/>
  <c r="AJ77" i="1"/>
  <c r="AX76" i="1"/>
  <c r="AV76" i="1"/>
  <c r="AU76" i="1"/>
  <c r="AM76" i="1"/>
  <c r="AK76" i="1"/>
  <c r="AJ76" i="1"/>
  <c r="AN77" i="1" s="1"/>
  <c r="AX75" i="1"/>
  <c r="AV75" i="1"/>
  <c r="AU75" i="1"/>
  <c r="AY76" i="1" s="1"/>
  <c r="AM75" i="1"/>
  <c r="AK75" i="1"/>
  <c r="AJ75" i="1"/>
  <c r="AN76" i="1" s="1"/>
  <c r="AX74" i="1"/>
  <c r="AV74" i="1"/>
  <c r="AU74" i="1"/>
  <c r="AY75" i="1" s="1"/>
  <c r="AM74" i="1"/>
  <c r="AK74" i="1"/>
  <c r="AJ74" i="1"/>
  <c r="AX73" i="1"/>
  <c r="AV73" i="1"/>
  <c r="AU73" i="1"/>
  <c r="AY74" i="1" s="1"/>
  <c r="AM73" i="1"/>
  <c r="AK73" i="1"/>
  <c r="AJ73" i="1"/>
  <c r="AX72" i="1"/>
  <c r="AV72" i="1"/>
  <c r="AU72" i="1"/>
  <c r="AM72" i="1"/>
  <c r="AK72" i="1"/>
  <c r="AJ72" i="1"/>
  <c r="AX71" i="1"/>
  <c r="AV71" i="1"/>
  <c r="AU71" i="1"/>
  <c r="AY72" i="1" s="1"/>
  <c r="AM71" i="1"/>
  <c r="AK71" i="1"/>
  <c r="AJ71" i="1"/>
  <c r="AN72" i="1" s="1"/>
  <c r="AX70" i="1"/>
  <c r="AV70" i="1"/>
  <c r="AU70" i="1"/>
  <c r="AM70" i="1"/>
  <c r="AK70" i="1"/>
  <c r="AJ70" i="1"/>
  <c r="AX69" i="1"/>
  <c r="AV69" i="1"/>
  <c r="AU69" i="1"/>
  <c r="AM69" i="1"/>
  <c r="AK69" i="1"/>
  <c r="AJ69" i="1"/>
  <c r="AN70" i="1" s="1"/>
  <c r="AX68" i="1"/>
  <c r="AV68" i="1"/>
  <c r="AU68" i="1"/>
  <c r="AM68" i="1"/>
  <c r="AK68" i="1"/>
  <c r="AJ68" i="1"/>
  <c r="AN69" i="1" s="1"/>
  <c r="AX67" i="1"/>
  <c r="AV67" i="1"/>
  <c r="AU67" i="1"/>
  <c r="AM67" i="1"/>
  <c r="AK67" i="1"/>
  <c r="AJ67" i="1"/>
  <c r="AN68" i="1" s="1"/>
  <c r="AX66" i="1"/>
  <c r="AV66" i="1"/>
  <c r="AU66" i="1"/>
  <c r="AM66" i="1"/>
  <c r="AK66" i="1"/>
  <c r="AJ66" i="1"/>
  <c r="AN67" i="1" s="1"/>
  <c r="AX65" i="1"/>
  <c r="AV65" i="1"/>
  <c r="AU65" i="1"/>
  <c r="AM65" i="1"/>
  <c r="AK65" i="1"/>
  <c r="AJ65" i="1"/>
  <c r="AN66" i="1" s="1"/>
  <c r="AX64" i="1"/>
  <c r="AV64" i="1"/>
  <c r="AU64" i="1"/>
  <c r="AY65" i="1" s="1"/>
  <c r="AM64" i="1"/>
  <c r="AK64" i="1"/>
  <c r="AJ64" i="1"/>
  <c r="AX63" i="1"/>
  <c r="AV63" i="1"/>
  <c r="AU63" i="1"/>
  <c r="AY64" i="1" s="1"/>
  <c r="AM63" i="1"/>
  <c r="AK63" i="1"/>
  <c r="AJ63" i="1"/>
  <c r="AN64" i="1" s="1"/>
  <c r="AX62" i="1"/>
  <c r="AV62" i="1"/>
  <c r="AU62" i="1"/>
  <c r="AY63" i="1" s="1"/>
  <c r="AM62" i="1"/>
  <c r="AK62" i="1"/>
  <c r="AJ62" i="1"/>
  <c r="AX61" i="1"/>
  <c r="AV61" i="1"/>
  <c r="AU61" i="1"/>
  <c r="AM61" i="1"/>
  <c r="AK61" i="1"/>
  <c r="AJ61" i="1"/>
  <c r="AX60" i="1"/>
  <c r="AV60" i="1"/>
  <c r="AU60" i="1"/>
  <c r="AM60" i="1"/>
  <c r="AK60" i="1"/>
  <c r="AJ60" i="1"/>
  <c r="AN61" i="1" s="1"/>
  <c r="AX59" i="1"/>
  <c r="AV59" i="1"/>
  <c r="AU59" i="1"/>
  <c r="AM59" i="1"/>
  <c r="AK59" i="1"/>
  <c r="AJ59" i="1"/>
  <c r="AX58" i="1"/>
  <c r="AV58" i="1"/>
  <c r="AU58" i="1"/>
  <c r="AY59" i="1" s="1"/>
  <c r="AM58" i="1"/>
  <c r="AK58" i="1"/>
  <c r="AJ58" i="1"/>
  <c r="AX57" i="1"/>
  <c r="AV57" i="1"/>
  <c r="AU57" i="1"/>
  <c r="AM57" i="1"/>
  <c r="AK57" i="1"/>
  <c r="AJ57" i="1"/>
  <c r="AX56" i="1"/>
  <c r="AV56" i="1"/>
  <c r="AU56" i="1"/>
  <c r="AY57" i="1" s="1"/>
  <c r="AM56" i="1"/>
  <c r="AK56" i="1"/>
  <c r="AJ56" i="1"/>
  <c r="AN57" i="1" s="1"/>
  <c r="AX55" i="1"/>
  <c r="AV55" i="1"/>
  <c r="AU55" i="1"/>
  <c r="AY56" i="1" s="1"/>
  <c r="AM55" i="1"/>
  <c r="AK55" i="1"/>
  <c r="AJ55" i="1"/>
  <c r="AX54" i="1"/>
  <c r="AV54" i="1"/>
  <c r="AU54" i="1"/>
  <c r="AY55" i="1" s="1"/>
  <c r="AM54" i="1"/>
  <c r="AK54" i="1"/>
  <c r="AJ54" i="1"/>
  <c r="AN55" i="1" s="1"/>
  <c r="AX53" i="1"/>
  <c r="AV53" i="1"/>
  <c r="AU53" i="1"/>
  <c r="AM53" i="1"/>
  <c r="AK53" i="1"/>
  <c r="AJ53" i="1"/>
  <c r="AX52" i="1"/>
  <c r="AV52" i="1"/>
  <c r="AU52" i="1"/>
  <c r="AM52" i="1"/>
  <c r="AK52" i="1"/>
  <c r="AJ52" i="1"/>
  <c r="AX51" i="1"/>
  <c r="AV51" i="1"/>
  <c r="AU51" i="1"/>
  <c r="AM51" i="1"/>
  <c r="AK51" i="1"/>
  <c r="AJ51" i="1"/>
  <c r="AN52" i="1" s="1"/>
  <c r="AX50" i="1"/>
  <c r="AV50" i="1"/>
  <c r="AU50" i="1"/>
  <c r="AM50" i="1"/>
  <c r="AK50" i="1"/>
  <c r="AJ50" i="1"/>
  <c r="AX49" i="1"/>
  <c r="AV49" i="1"/>
  <c r="AU49" i="1"/>
  <c r="AM49" i="1"/>
  <c r="AK49" i="1"/>
  <c r="AJ49" i="1"/>
  <c r="AN50" i="1" s="1"/>
  <c r="AX48" i="1"/>
  <c r="AV48" i="1"/>
  <c r="AU48" i="1"/>
  <c r="AM48" i="1"/>
  <c r="AK48" i="1"/>
  <c r="AJ48" i="1"/>
  <c r="AX47" i="1"/>
  <c r="AV47" i="1"/>
  <c r="AU47" i="1"/>
  <c r="AM47" i="1"/>
  <c r="AK47" i="1"/>
  <c r="AJ47" i="1"/>
  <c r="AX46" i="1"/>
  <c r="AV46" i="1"/>
  <c r="AU46" i="1"/>
  <c r="AM46" i="1"/>
  <c r="AK46" i="1"/>
  <c r="AJ46" i="1"/>
  <c r="AN47" i="1" s="1"/>
  <c r="AX45" i="1"/>
  <c r="AV45" i="1"/>
  <c r="AU45" i="1"/>
  <c r="AM45" i="1"/>
  <c r="AK45" i="1"/>
  <c r="AJ45" i="1"/>
  <c r="AX44" i="1"/>
  <c r="AV44" i="1"/>
  <c r="AU44" i="1"/>
  <c r="AY45" i="1" s="1"/>
  <c r="AM44" i="1"/>
  <c r="AK44" i="1"/>
  <c r="AJ44" i="1"/>
  <c r="AX43" i="1"/>
  <c r="AV43" i="1"/>
  <c r="AU43" i="1"/>
  <c r="AY44" i="1" s="1"/>
  <c r="AM43" i="1"/>
  <c r="AK43" i="1"/>
  <c r="AJ43" i="1"/>
  <c r="AX42" i="1"/>
  <c r="AV42" i="1"/>
  <c r="AU42" i="1"/>
  <c r="AY43" i="1" s="1"/>
  <c r="AM42" i="1"/>
  <c r="AK42" i="1"/>
  <c r="AJ42" i="1"/>
  <c r="AX41" i="1"/>
  <c r="AV41" i="1"/>
  <c r="AU41" i="1"/>
  <c r="AY42" i="1" s="1"/>
  <c r="AM41" i="1"/>
  <c r="AK41" i="1"/>
  <c r="AJ41" i="1"/>
  <c r="AN42" i="1" s="1"/>
  <c r="AX40" i="1"/>
  <c r="AV40" i="1"/>
  <c r="AU40" i="1"/>
  <c r="AM40" i="1"/>
  <c r="AK40" i="1"/>
  <c r="AJ40" i="1"/>
  <c r="AX39" i="1"/>
  <c r="AV39" i="1"/>
  <c r="AU39" i="1"/>
  <c r="AY40" i="1" s="1"/>
  <c r="AM39" i="1"/>
  <c r="AK39" i="1"/>
  <c r="AJ39" i="1"/>
  <c r="AX38" i="1"/>
  <c r="AV38" i="1"/>
  <c r="AU38" i="1"/>
  <c r="AY39" i="1" s="1"/>
  <c r="AM38" i="1"/>
  <c r="AK38" i="1"/>
  <c r="AJ38" i="1"/>
  <c r="AX37" i="1"/>
  <c r="AV37" i="1"/>
  <c r="AU37" i="1"/>
  <c r="AY38" i="1" s="1"/>
  <c r="AM37" i="1"/>
  <c r="AK37" i="1"/>
  <c r="AJ37" i="1"/>
  <c r="AX36" i="1"/>
  <c r="AV36" i="1"/>
  <c r="AU36" i="1"/>
  <c r="AM36" i="1"/>
  <c r="AK36" i="1"/>
  <c r="AJ36" i="1"/>
  <c r="AN37" i="1" s="1"/>
  <c r="AX35" i="1"/>
  <c r="AV35" i="1"/>
  <c r="AU35" i="1"/>
  <c r="AY36" i="1" s="1"/>
  <c r="AM35" i="1"/>
  <c r="AK35" i="1"/>
  <c r="AJ35" i="1"/>
  <c r="AN36" i="1" s="1"/>
  <c r="AX34" i="1"/>
  <c r="AV34" i="1"/>
  <c r="AU34" i="1"/>
  <c r="AY35" i="1" s="1"/>
  <c r="AM34" i="1"/>
  <c r="AK34" i="1"/>
  <c r="AJ34" i="1"/>
  <c r="AN35" i="1" s="1"/>
  <c r="AX33" i="1"/>
  <c r="AV33" i="1"/>
  <c r="AU33" i="1"/>
  <c r="AY34" i="1" s="1"/>
  <c r="AM33" i="1"/>
  <c r="AK33" i="1"/>
  <c r="AJ33" i="1"/>
  <c r="AX32" i="1"/>
  <c r="AV32" i="1"/>
  <c r="AU32" i="1"/>
  <c r="AM32" i="1"/>
  <c r="AK32" i="1"/>
  <c r="AJ32" i="1"/>
  <c r="AN33" i="1" s="1"/>
  <c r="AX31" i="1"/>
  <c r="AV31" i="1"/>
  <c r="AU31" i="1"/>
  <c r="AY32" i="1" s="1"/>
  <c r="AM31" i="1"/>
  <c r="AK31" i="1"/>
  <c r="AJ31" i="1"/>
  <c r="AX30" i="1"/>
  <c r="AV30" i="1"/>
  <c r="AU30" i="1"/>
  <c r="AM30" i="1"/>
  <c r="AK30" i="1"/>
  <c r="AJ30" i="1"/>
  <c r="AX29" i="1"/>
  <c r="AV29" i="1"/>
  <c r="AU29" i="1"/>
  <c r="AY30" i="1" s="1"/>
  <c r="AM29" i="1"/>
  <c r="AK29" i="1"/>
  <c r="AJ29" i="1"/>
  <c r="AN30" i="1" s="1"/>
  <c r="AX28" i="1"/>
  <c r="AV28" i="1"/>
  <c r="AU28" i="1"/>
  <c r="AY29" i="1" s="1"/>
  <c r="AM28" i="1"/>
  <c r="AK28" i="1"/>
  <c r="AJ28" i="1"/>
  <c r="AN29" i="1" s="1"/>
  <c r="AX27" i="1"/>
  <c r="AV27" i="1"/>
  <c r="AU27" i="1"/>
  <c r="AY28" i="1" s="1"/>
  <c r="AM27" i="1"/>
  <c r="AK27" i="1"/>
  <c r="AJ27" i="1"/>
  <c r="AN28" i="1" s="1"/>
  <c r="AX26" i="1"/>
  <c r="AV26" i="1"/>
  <c r="AU26" i="1"/>
  <c r="AM26" i="1"/>
  <c r="AK26" i="1"/>
  <c r="AJ26" i="1"/>
  <c r="AX25" i="1"/>
  <c r="AV25" i="1"/>
  <c r="AU25" i="1"/>
  <c r="AM25" i="1"/>
  <c r="AK25" i="1"/>
  <c r="AJ25" i="1"/>
  <c r="AN26" i="1" s="1"/>
  <c r="AX24" i="1"/>
  <c r="AV24" i="1"/>
  <c r="AU24" i="1"/>
  <c r="AY25" i="1" s="1"/>
  <c r="AM24" i="1"/>
  <c r="AK24" i="1"/>
  <c r="AJ24" i="1"/>
  <c r="AX23" i="1"/>
  <c r="AV23" i="1"/>
  <c r="AU23" i="1"/>
  <c r="AM23" i="1"/>
  <c r="AK23" i="1"/>
  <c r="AJ23" i="1"/>
  <c r="AY22" i="1"/>
  <c r="AX22" i="1"/>
  <c r="AW22" i="1"/>
  <c r="AV22" i="1"/>
  <c r="AU22" i="1"/>
  <c r="AN22" i="1"/>
  <c r="AM22" i="1"/>
  <c r="AL22" i="1"/>
  <c r="AK22" i="1"/>
  <c r="AJ22" i="1"/>
  <c r="AN23" i="1" s="1"/>
  <c r="AX21" i="1"/>
  <c r="AM21" i="1"/>
  <c r="BA20" i="1"/>
  <c r="AZ20" i="1"/>
  <c r="AP20" i="1"/>
  <c r="AO20" i="1"/>
  <c r="AT3" i="1"/>
  <c r="AT4" i="1" s="1"/>
  <c r="AT5" i="1" s="1"/>
  <c r="AT6" i="1" s="1"/>
  <c r="AT7" i="1" s="1"/>
  <c r="AT8" i="1" s="1"/>
  <c r="AT9" i="1" s="1"/>
  <c r="AI3" i="1"/>
  <c r="AI4" i="1" s="1"/>
  <c r="AI5" i="1" s="1"/>
  <c r="AI6" i="1" s="1"/>
  <c r="AI7" i="1" s="1"/>
  <c r="AI8" i="1" s="1"/>
  <c r="AI9" i="1" s="1"/>
  <c r="AV1" i="1"/>
  <c r="AW1" i="1" s="1"/>
  <c r="AX1" i="1" s="1"/>
  <c r="AY1" i="1" s="1"/>
  <c r="AZ1" i="1" s="1"/>
  <c r="BA1" i="1" s="1"/>
  <c r="BB1" i="1" s="1"/>
  <c r="AK1" i="1"/>
  <c r="AL1" i="1" s="1"/>
  <c r="AM1" i="1" s="1"/>
  <c r="AN1" i="1" s="1"/>
  <c r="AO1" i="1" s="1"/>
  <c r="AP1" i="1" s="1"/>
  <c r="AQ1" i="1" s="1"/>
  <c r="AY175" i="1" l="1"/>
  <c r="AY168" i="1"/>
  <c r="AY166" i="1"/>
  <c r="AY150" i="1"/>
  <c r="AY123" i="1"/>
  <c r="AY51" i="1"/>
  <c r="AY41" i="1"/>
  <c r="AY68" i="1"/>
  <c r="AY66" i="1"/>
  <c r="AY52" i="1"/>
  <c r="AY50" i="1"/>
  <c r="AY53" i="1"/>
  <c r="AY48" i="1"/>
  <c r="AY71" i="1"/>
  <c r="AY69" i="1"/>
  <c r="AY47" i="1"/>
  <c r="AY170" i="1"/>
  <c r="AY169" i="1"/>
  <c r="AY167" i="1"/>
  <c r="AY160" i="1"/>
  <c r="AY149" i="1"/>
  <c r="AY124" i="1"/>
  <c r="AY121" i="1"/>
  <c r="AY119" i="1"/>
  <c r="AY24" i="1"/>
  <c r="AY33" i="1"/>
  <c r="AY23" i="1"/>
  <c r="AY79" i="1"/>
  <c r="AN60" i="1"/>
  <c r="AN58" i="1"/>
  <c r="AN31" i="1"/>
  <c r="AN54" i="1"/>
  <c r="AN136" i="1"/>
  <c r="AN63" i="1"/>
  <c r="AN32" i="1"/>
  <c r="AN122" i="1"/>
  <c r="AN82" i="1"/>
  <c r="AN129" i="1"/>
  <c r="AN27" i="1"/>
  <c r="AY49" i="1"/>
  <c r="AY26" i="1"/>
  <c r="AY27" i="1"/>
  <c r="AY31" i="1"/>
  <c r="AY90" i="1"/>
  <c r="AY73" i="1"/>
  <c r="AY67" i="1"/>
  <c r="AY62" i="1"/>
  <c r="AY46" i="1"/>
  <c r="AN25" i="1"/>
  <c r="AN65" i="1"/>
  <c r="AN40" i="1"/>
  <c r="AY148" i="1"/>
  <c r="AN147" i="1"/>
  <c r="AY146" i="1"/>
  <c r="AY139" i="1"/>
  <c r="AY77" i="1"/>
  <c r="AY136" i="1"/>
  <c r="AY83" i="1"/>
  <c r="AY134" i="1"/>
  <c r="AN83" i="1"/>
  <c r="AY161" i="1"/>
  <c r="AY120" i="1"/>
  <c r="AZ176" i="1"/>
  <c r="BA176" i="1"/>
  <c r="AW176" i="1"/>
  <c r="AO176" i="1"/>
  <c r="AP176" i="1"/>
  <c r="AL176" i="1"/>
  <c r="BA175" i="1"/>
  <c r="AZ175" i="1"/>
  <c r="AW175" i="1"/>
  <c r="AP174" i="1"/>
  <c r="AL174" i="1"/>
  <c r="AN175" i="1" s="1"/>
  <c r="AO174" i="1"/>
  <c r="AQ174" i="1" s="1"/>
  <c r="AL173" i="1"/>
  <c r="AO173" i="1"/>
  <c r="AP173" i="1"/>
  <c r="BA172" i="1"/>
  <c r="AW172" i="1"/>
  <c r="AY173" i="1" s="1"/>
  <c r="AZ172" i="1"/>
  <c r="AW171" i="1"/>
  <c r="AZ171" i="1"/>
  <c r="BA171" i="1"/>
  <c r="BA170" i="1"/>
  <c r="AW170" i="1"/>
  <c r="AZ170" i="1"/>
  <c r="AW169" i="1"/>
  <c r="AZ169" i="1"/>
  <c r="BA169" i="1"/>
  <c r="AL169" i="1"/>
  <c r="AN170" i="1" s="1"/>
  <c r="AO169" i="1"/>
  <c r="AP169" i="1"/>
  <c r="BA168" i="1"/>
  <c r="AW168" i="1"/>
  <c r="AZ168" i="1"/>
  <c r="BB168" i="1" s="1"/>
  <c r="BA167" i="1"/>
  <c r="AZ167" i="1"/>
  <c r="BB167" i="1" s="1"/>
  <c r="AW167" i="1"/>
  <c r="AP167" i="1"/>
  <c r="AL167" i="1"/>
  <c r="AN168" i="1" s="1"/>
  <c r="AO167" i="1"/>
  <c r="AQ167" i="1" s="1"/>
  <c r="BE167" i="1" s="1"/>
  <c r="AW166" i="1"/>
  <c r="BA166" i="1"/>
  <c r="AZ166" i="1"/>
  <c r="BB166" i="1" s="1"/>
  <c r="AP166" i="1"/>
  <c r="AL166" i="1"/>
  <c r="AO166" i="1"/>
  <c r="AQ166" i="1" s="1"/>
  <c r="BA165" i="1"/>
  <c r="AW165" i="1"/>
  <c r="AZ165" i="1"/>
  <c r="BB165" i="1" s="1"/>
  <c r="AL165" i="1"/>
  <c r="AO165" i="1"/>
  <c r="AP165" i="1"/>
  <c r="AZ164" i="1"/>
  <c r="BA164" i="1"/>
  <c r="AW164" i="1"/>
  <c r="AZ163" i="1"/>
  <c r="BA163" i="1"/>
  <c r="AW163" i="1"/>
  <c r="AZ162" i="1"/>
  <c r="AW162" i="1"/>
  <c r="BA162" i="1"/>
  <c r="AL162" i="1"/>
  <c r="AN163" i="1" s="1"/>
  <c r="AP162" i="1"/>
  <c r="AO162" i="1"/>
  <c r="AQ162" i="1" s="1"/>
  <c r="BA161" i="1"/>
  <c r="AW161" i="1"/>
  <c r="AZ161" i="1"/>
  <c r="BB161" i="1" s="1"/>
  <c r="AP161" i="1"/>
  <c r="AO161" i="1"/>
  <c r="AQ161" i="1" s="1"/>
  <c r="AL161" i="1"/>
  <c r="AZ160" i="1"/>
  <c r="AW160" i="1"/>
  <c r="BA160" i="1"/>
  <c r="AP159" i="1"/>
  <c r="AL159" i="1"/>
  <c r="AN160" i="1" s="1"/>
  <c r="AO159" i="1"/>
  <c r="AQ159" i="1" s="1"/>
  <c r="AP158" i="1"/>
  <c r="AO158" i="1"/>
  <c r="AQ158" i="1" s="1"/>
  <c r="AL158" i="1"/>
  <c r="AZ157" i="1"/>
  <c r="AW157" i="1"/>
  <c r="AY158" i="1" s="1"/>
  <c r="BA157" i="1"/>
  <c r="AO157" i="1"/>
  <c r="AP157" i="1"/>
  <c r="AL157" i="1"/>
  <c r="BA156" i="1"/>
  <c r="AZ156" i="1"/>
  <c r="AW156" i="1"/>
  <c r="AW155" i="1"/>
  <c r="AZ155" i="1"/>
  <c r="BA155" i="1"/>
  <c r="AZ154" i="1"/>
  <c r="BA154" i="1"/>
  <c r="AW154" i="1"/>
  <c r="AZ153" i="1"/>
  <c r="AW153" i="1"/>
  <c r="BA153" i="1"/>
  <c r="BA152" i="1"/>
  <c r="AZ152" i="1"/>
  <c r="BB152" i="1" s="1"/>
  <c r="AW152" i="1"/>
  <c r="BA151" i="1"/>
  <c r="AW151" i="1"/>
  <c r="AZ151" i="1"/>
  <c r="BB151" i="1" s="1"/>
  <c r="BA150" i="1"/>
  <c r="AW150" i="1"/>
  <c r="AZ150" i="1"/>
  <c r="BB150" i="1" s="1"/>
  <c r="AL150" i="1"/>
  <c r="AN151" i="1" s="1"/>
  <c r="AO150" i="1"/>
  <c r="AP150" i="1"/>
  <c r="BA149" i="1"/>
  <c r="AW149" i="1"/>
  <c r="AZ149" i="1"/>
  <c r="BB149" i="1" s="1"/>
  <c r="AL149" i="1"/>
  <c r="AP149" i="1"/>
  <c r="AO149" i="1"/>
  <c r="AQ149" i="1" s="1"/>
  <c r="AW148" i="1"/>
  <c r="BA148" i="1"/>
  <c r="AZ148" i="1"/>
  <c r="BB148" i="1" s="1"/>
  <c r="AO148" i="1"/>
  <c r="AL148" i="1"/>
  <c r="AP148" i="1"/>
  <c r="AZ147" i="1"/>
  <c r="AW147" i="1"/>
  <c r="BA147" i="1"/>
  <c r="AL147" i="1"/>
  <c r="AO147" i="1"/>
  <c r="AP147" i="1"/>
  <c r="AW146" i="1"/>
  <c r="AZ146" i="1"/>
  <c r="BA146" i="1"/>
  <c r="BA145" i="1"/>
  <c r="AW145" i="1"/>
  <c r="AZ145" i="1"/>
  <c r="BB145" i="1" s="1"/>
  <c r="AZ144" i="1"/>
  <c r="AW144" i="1"/>
  <c r="BA144" i="1"/>
  <c r="AW143" i="1"/>
  <c r="BA143" i="1"/>
  <c r="AZ143" i="1"/>
  <c r="BB143" i="1" s="1"/>
  <c r="AZ142" i="1"/>
  <c r="BA142" i="1"/>
  <c r="AW142" i="1"/>
  <c r="AP141" i="1"/>
  <c r="AO141" i="1"/>
  <c r="AL141" i="1"/>
  <c r="AN142" i="1" s="1"/>
  <c r="AL140" i="1"/>
  <c r="AO140" i="1"/>
  <c r="AP140" i="1"/>
  <c r="AL139" i="1"/>
  <c r="AP139" i="1"/>
  <c r="AO139" i="1"/>
  <c r="AQ139" i="1" s="1"/>
  <c r="AO138" i="1"/>
  <c r="AP138" i="1"/>
  <c r="AL138" i="1"/>
  <c r="AL137" i="1"/>
  <c r="AO137" i="1"/>
  <c r="AP137" i="1"/>
  <c r="BA135" i="1"/>
  <c r="AW135" i="1"/>
  <c r="AZ135" i="1"/>
  <c r="AP135" i="1"/>
  <c r="AL135" i="1"/>
  <c r="AO135" i="1"/>
  <c r="AQ135" i="1" s="1"/>
  <c r="AO134" i="1"/>
  <c r="AP134" i="1"/>
  <c r="AL134" i="1"/>
  <c r="AW133" i="1"/>
  <c r="AZ133" i="1"/>
  <c r="BA133" i="1"/>
  <c r="AL133" i="1"/>
  <c r="AP133" i="1"/>
  <c r="AO133" i="1"/>
  <c r="AQ133" i="1" s="1"/>
  <c r="AO132" i="1"/>
  <c r="AL132" i="1"/>
  <c r="AP132" i="1"/>
  <c r="BA131" i="1"/>
  <c r="AW131" i="1"/>
  <c r="AY132" i="1" s="1"/>
  <c r="AZ131" i="1"/>
  <c r="BB131" i="1" s="1"/>
  <c r="AP131" i="1"/>
  <c r="AO131" i="1"/>
  <c r="AQ131" i="1" s="1"/>
  <c r="AL131" i="1"/>
  <c r="BA130" i="1"/>
  <c r="AW130" i="1"/>
  <c r="AZ130" i="1"/>
  <c r="AL130" i="1"/>
  <c r="AO130" i="1"/>
  <c r="AP130" i="1"/>
  <c r="AW129" i="1"/>
  <c r="AZ129" i="1"/>
  <c r="BA129" i="1"/>
  <c r="BA128" i="1"/>
  <c r="AZ128" i="1"/>
  <c r="BB128" i="1" s="1"/>
  <c r="AW128" i="1"/>
  <c r="AP128" i="1"/>
  <c r="AL128" i="1"/>
  <c r="AO128" i="1"/>
  <c r="BA127" i="1"/>
  <c r="AW127" i="1"/>
  <c r="AZ127" i="1"/>
  <c r="BB127" i="1" s="1"/>
  <c r="AZ125" i="1"/>
  <c r="BA125" i="1"/>
  <c r="AW125" i="1"/>
  <c r="BA126" i="1"/>
  <c r="AW126" i="1"/>
  <c r="AZ126" i="1"/>
  <c r="BB126" i="1" s="1"/>
  <c r="AZ122" i="1"/>
  <c r="BA122" i="1"/>
  <c r="AW122" i="1"/>
  <c r="AZ118" i="1"/>
  <c r="BA118" i="1"/>
  <c r="AW118" i="1"/>
  <c r="AZ117" i="1"/>
  <c r="BA117" i="1"/>
  <c r="AW117" i="1"/>
  <c r="AZ116" i="1"/>
  <c r="BA116" i="1"/>
  <c r="AW116" i="1"/>
  <c r="AZ115" i="1"/>
  <c r="BA115" i="1"/>
  <c r="AW115" i="1"/>
  <c r="AZ114" i="1"/>
  <c r="BA114" i="1"/>
  <c r="AW114" i="1"/>
  <c r="AO113" i="1"/>
  <c r="AP113" i="1"/>
  <c r="AL113" i="1"/>
  <c r="AN114" i="1" s="1"/>
  <c r="AO112" i="1"/>
  <c r="AP112" i="1"/>
  <c r="AL112" i="1"/>
  <c r="AO111" i="1"/>
  <c r="AP111" i="1"/>
  <c r="AL111" i="1"/>
  <c r="AO110" i="1"/>
  <c r="AP110" i="1"/>
  <c r="AL110" i="1"/>
  <c r="AO109" i="1"/>
  <c r="AP109" i="1"/>
  <c r="AL109" i="1"/>
  <c r="AO108" i="1"/>
  <c r="AP108" i="1"/>
  <c r="AL108" i="1"/>
  <c r="AO107" i="1"/>
  <c r="AP107" i="1"/>
  <c r="AL107" i="1"/>
  <c r="AO106" i="1"/>
  <c r="AP106" i="1"/>
  <c r="AL106" i="1"/>
  <c r="AZ105" i="1"/>
  <c r="BA105" i="1"/>
  <c r="AW105" i="1"/>
  <c r="AY106" i="1" s="1"/>
  <c r="AZ104" i="1"/>
  <c r="BA104" i="1"/>
  <c r="AW104" i="1"/>
  <c r="AZ103" i="1"/>
  <c r="BA103" i="1"/>
  <c r="AW103" i="1"/>
  <c r="BA102" i="1"/>
  <c r="AW102" i="1"/>
  <c r="AZ102" i="1"/>
  <c r="BB102" i="1" s="1"/>
  <c r="AL101" i="1"/>
  <c r="AN102" i="1" s="1"/>
  <c r="AP101" i="1"/>
  <c r="AO101" i="1"/>
  <c r="AQ101" i="1" s="1"/>
  <c r="AW100" i="1"/>
  <c r="AY101" i="1" s="1"/>
  <c r="AZ100" i="1"/>
  <c r="BA100" i="1"/>
  <c r="AL99" i="1"/>
  <c r="AN100" i="1" s="1"/>
  <c r="AO99" i="1"/>
  <c r="AP99" i="1"/>
  <c r="AZ98" i="1"/>
  <c r="AW98" i="1"/>
  <c r="AY99" i="1" s="1"/>
  <c r="BA98" i="1"/>
  <c r="AL98" i="1"/>
  <c r="AP98" i="1"/>
  <c r="AO98" i="1"/>
  <c r="AQ98" i="1" s="1"/>
  <c r="BA97" i="1"/>
  <c r="AW97" i="1"/>
  <c r="AZ97" i="1"/>
  <c r="BB97" i="1" s="1"/>
  <c r="AP97" i="1"/>
  <c r="AO97" i="1"/>
  <c r="AQ97" i="1" s="1"/>
  <c r="AL97" i="1"/>
  <c r="AP96" i="1"/>
  <c r="AL96" i="1"/>
  <c r="AO96" i="1"/>
  <c r="AQ96" i="1" s="1"/>
  <c r="BA95" i="1"/>
  <c r="AW95" i="1"/>
  <c r="AY96" i="1" s="1"/>
  <c r="AZ95" i="1"/>
  <c r="BB95" i="1" s="1"/>
  <c r="AZ94" i="1"/>
  <c r="AW94" i="1"/>
  <c r="BA94" i="1"/>
  <c r="AZ93" i="1"/>
  <c r="BA93" i="1"/>
  <c r="AW93" i="1"/>
  <c r="BA92" i="1"/>
  <c r="AW92" i="1"/>
  <c r="AZ92" i="1"/>
  <c r="BB92" i="1" s="1"/>
  <c r="BA91" i="1"/>
  <c r="AW91" i="1"/>
  <c r="AZ91" i="1"/>
  <c r="BB91" i="1" s="1"/>
  <c r="AO90" i="1"/>
  <c r="AL90" i="1"/>
  <c r="AN91" i="1" s="1"/>
  <c r="AP90" i="1"/>
  <c r="AZ89" i="1"/>
  <c r="AW89" i="1"/>
  <c r="BA89" i="1"/>
  <c r="AL89" i="1"/>
  <c r="AO89" i="1"/>
  <c r="AP89" i="1"/>
  <c r="BA88" i="1"/>
  <c r="AW88" i="1"/>
  <c r="AZ88" i="1"/>
  <c r="BB88" i="1" s="1"/>
  <c r="BA87" i="1"/>
  <c r="AW87" i="1"/>
  <c r="AZ87" i="1"/>
  <c r="BB87" i="1" s="1"/>
  <c r="AL87" i="1"/>
  <c r="AN88" i="1" s="1"/>
  <c r="AP87" i="1"/>
  <c r="AO87" i="1"/>
  <c r="AQ87" i="1" s="1"/>
  <c r="BA86" i="1"/>
  <c r="AZ86" i="1"/>
  <c r="BB86" i="1" s="1"/>
  <c r="AW86" i="1"/>
  <c r="AZ85" i="1"/>
  <c r="AW85" i="1"/>
  <c r="BA85" i="1"/>
  <c r="AP85" i="1"/>
  <c r="AO85" i="1"/>
  <c r="AQ85" i="1" s="1"/>
  <c r="AL85" i="1"/>
  <c r="AN86" i="1" s="1"/>
  <c r="BA84" i="1"/>
  <c r="AW84" i="1"/>
  <c r="AZ84" i="1"/>
  <c r="BB84" i="1" s="1"/>
  <c r="AO84" i="1"/>
  <c r="AP84" i="1"/>
  <c r="AL84" i="1"/>
  <c r="AW82" i="1"/>
  <c r="BA82" i="1"/>
  <c r="AZ82" i="1"/>
  <c r="BB82" i="1" s="1"/>
  <c r="BA81" i="1"/>
  <c r="AW81" i="1"/>
  <c r="AZ81" i="1"/>
  <c r="BB81" i="1" s="1"/>
  <c r="AW80" i="1"/>
  <c r="BA80" i="1"/>
  <c r="AZ80" i="1"/>
  <c r="AZ78" i="1"/>
  <c r="AW78" i="1"/>
  <c r="BA78" i="1"/>
  <c r="AO77" i="1"/>
  <c r="AP77" i="1"/>
  <c r="AL77" i="1"/>
  <c r="AN78" i="1" s="1"/>
  <c r="AW76" i="1"/>
  <c r="AZ76" i="1"/>
  <c r="BA76" i="1"/>
  <c r="AO76" i="1"/>
  <c r="AL76" i="1"/>
  <c r="AP76" i="1"/>
  <c r="BA74" i="1"/>
  <c r="AZ74" i="1"/>
  <c r="BB74" i="1" s="1"/>
  <c r="AW74" i="1"/>
  <c r="BA75" i="1"/>
  <c r="AW75" i="1"/>
  <c r="AZ75" i="1"/>
  <c r="BB75" i="1" s="1"/>
  <c r="AZ72" i="1"/>
  <c r="BA72" i="1"/>
  <c r="AW72" i="1"/>
  <c r="AO72" i="1"/>
  <c r="AP72" i="1"/>
  <c r="AL72" i="1"/>
  <c r="AN73" i="1" s="1"/>
  <c r="AO70" i="1"/>
  <c r="AP70" i="1"/>
  <c r="AL70" i="1"/>
  <c r="AN71" i="1" s="1"/>
  <c r="AO69" i="1"/>
  <c r="AP69" i="1"/>
  <c r="AL69" i="1"/>
  <c r="AO68" i="1"/>
  <c r="AP68" i="1"/>
  <c r="AL68" i="1"/>
  <c r="AO67" i="1"/>
  <c r="AP67" i="1"/>
  <c r="AL67" i="1"/>
  <c r="AO66" i="1"/>
  <c r="AP66" i="1"/>
  <c r="AL66" i="1"/>
  <c r="AZ65" i="1"/>
  <c r="BA65" i="1"/>
  <c r="AW65" i="1"/>
  <c r="AZ64" i="1"/>
  <c r="BA64" i="1"/>
  <c r="AW64" i="1"/>
  <c r="AO64" i="1"/>
  <c r="AP64" i="1"/>
  <c r="AL64" i="1"/>
  <c r="AZ63" i="1"/>
  <c r="BA63" i="1"/>
  <c r="AW63" i="1"/>
  <c r="AO61" i="1"/>
  <c r="AP61" i="1"/>
  <c r="AL61" i="1"/>
  <c r="AN62" i="1" s="1"/>
  <c r="AZ59" i="1"/>
  <c r="BA59" i="1"/>
  <c r="AW59" i="1"/>
  <c r="AY60" i="1" s="1"/>
  <c r="AZ57" i="1"/>
  <c r="BA57" i="1"/>
  <c r="AW57" i="1"/>
  <c r="AY58" i="1" s="1"/>
  <c r="AO57" i="1"/>
  <c r="AP57" i="1"/>
  <c r="AL57" i="1"/>
  <c r="AZ56" i="1"/>
  <c r="BA56" i="1"/>
  <c r="AW56" i="1"/>
  <c r="AZ55" i="1"/>
  <c r="BA55" i="1"/>
  <c r="AW55" i="1"/>
  <c r="AO55" i="1"/>
  <c r="AP55" i="1"/>
  <c r="AL55" i="1"/>
  <c r="AN56" i="1" s="1"/>
  <c r="AO52" i="1"/>
  <c r="AP52" i="1"/>
  <c r="AL52" i="1"/>
  <c r="AN53" i="1" s="1"/>
  <c r="AO50" i="1"/>
  <c r="AP50" i="1"/>
  <c r="AL50" i="1"/>
  <c r="AN51" i="1" s="1"/>
  <c r="AO47" i="1"/>
  <c r="AP47" i="1"/>
  <c r="AL47" i="1"/>
  <c r="AN48" i="1" s="1"/>
  <c r="AZ45" i="1"/>
  <c r="BA45" i="1"/>
  <c r="AW45" i="1"/>
  <c r="AZ44" i="1"/>
  <c r="BA44" i="1"/>
  <c r="AW44" i="1"/>
  <c r="AZ43" i="1"/>
  <c r="BA43" i="1"/>
  <c r="AW43" i="1"/>
  <c r="AZ42" i="1"/>
  <c r="BA42" i="1"/>
  <c r="AW42" i="1"/>
  <c r="AO42" i="1"/>
  <c r="AP42" i="1"/>
  <c r="AL42" i="1"/>
  <c r="AN43" i="1" s="1"/>
  <c r="AZ40" i="1"/>
  <c r="BA40" i="1"/>
  <c r="AW40" i="1"/>
  <c r="AZ39" i="1"/>
  <c r="BA39" i="1"/>
  <c r="AW39" i="1"/>
  <c r="AZ38" i="1"/>
  <c r="BA38" i="1"/>
  <c r="AW38" i="1"/>
  <c r="AP37" i="1"/>
  <c r="AL37" i="1"/>
  <c r="AN38" i="1" s="1"/>
  <c r="AO37" i="1"/>
  <c r="BA36" i="1"/>
  <c r="AZ36" i="1"/>
  <c r="BB36" i="1" s="1"/>
  <c r="AW36" i="1"/>
  <c r="AY37" i="1" s="1"/>
  <c r="AL36" i="1"/>
  <c r="AO36" i="1"/>
  <c r="AP36" i="1"/>
  <c r="AW35" i="1"/>
  <c r="AZ35" i="1"/>
  <c r="BA35" i="1"/>
  <c r="AO35" i="1"/>
  <c r="AL35" i="1"/>
  <c r="AP35" i="1"/>
  <c r="BA34" i="1"/>
  <c r="AW34" i="1"/>
  <c r="AZ34" i="1"/>
  <c r="BB34" i="1" s="1"/>
  <c r="AL33" i="1"/>
  <c r="AN34" i="1" s="1"/>
  <c r="AO33" i="1"/>
  <c r="AP33" i="1"/>
  <c r="AZ32" i="1"/>
  <c r="AW32" i="1"/>
  <c r="BA32" i="1"/>
  <c r="AL32" i="1"/>
  <c r="AO32" i="1"/>
  <c r="AP32" i="1"/>
  <c r="AP31" i="1"/>
  <c r="AO31" i="1"/>
  <c r="AL31" i="1"/>
  <c r="AZ30" i="1"/>
  <c r="AW30" i="1"/>
  <c r="BA30" i="1"/>
  <c r="AO30" i="1"/>
  <c r="AL30" i="1"/>
  <c r="AP30" i="1"/>
  <c r="BA29" i="1"/>
  <c r="AW29" i="1"/>
  <c r="AZ29" i="1"/>
  <c r="BB29" i="1" s="1"/>
  <c r="AL29" i="1"/>
  <c r="AP29" i="1"/>
  <c r="AO29" i="1"/>
  <c r="AQ29" i="1" s="1"/>
  <c r="BE29" i="1" s="1"/>
  <c r="AW28" i="1"/>
  <c r="BA28" i="1"/>
  <c r="AZ28" i="1"/>
  <c r="BB28" i="1" s="1"/>
  <c r="AP28" i="1"/>
  <c r="AL28" i="1"/>
  <c r="AO28" i="1"/>
  <c r="AQ28" i="1" s="1"/>
  <c r="BE28" i="1" s="1"/>
  <c r="AO27" i="1"/>
  <c r="AL27" i="1"/>
  <c r="AP27" i="1"/>
  <c r="AP26" i="1"/>
  <c r="AL26" i="1"/>
  <c r="AO26" i="1"/>
  <c r="AQ26" i="1" s="1"/>
  <c r="AZ25" i="1"/>
  <c r="AW25" i="1"/>
  <c r="BA25" i="1"/>
  <c r="AZ22" i="1"/>
  <c r="BA22" i="1"/>
  <c r="AO22" i="1"/>
  <c r="AP22" i="1"/>
  <c r="AO23" i="1"/>
  <c r="AL23" i="1"/>
  <c r="AN24" i="1" s="1"/>
  <c r="AP23" i="1"/>
  <c r="BB172" i="1" l="1"/>
  <c r="BB175" i="1"/>
  <c r="BE149" i="1"/>
  <c r="BB170" i="1"/>
  <c r="BE166" i="1"/>
  <c r="BE161" i="1"/>
  <c r="BA123" i="1"/>
  <c r="AW123" i="1"/>
  <c r="AZ123" i="1"/>
  <c r="BB123" i="1" s="1"/>
  <c r="AW60" i="1"/>
  <c r="AY61" i="1" s="1"/>
  <c r="AZ60" i="1"/>
  <c r="BA60" i="1"/>
  <c r="AZ51" i="1"/>
  <c r="AW51" i="1"/>
  <c r="BA51" i="1"/>
  <c r="BA41" i="1"/>
  <c r="AZ41" i="1"/>
  <c r="BB41" i="1" s="1"/>
  <c r="AW41" i="1"/>
  <c r="BA68" i="1"/>
  <c r="AW68" i="1"/>
  <c r="AZ68" i="1"/>
  <c r="BB68" i="1" s="1"/>
  <c r="BE68" i="1" s="1"/>
  <c r="AZ66" i="1"/>
  <c r="BA66" i="1"/>
  <c r="AW66" i="1"/>
  <c r="AZ52" i="1"/>
  <c r="BA52" i="1"/>
  <c r="AW52" i="1"/>
  <c r="AZ50" i="1"/>
  <c r="AW50" i="1"/>
  <c r="BA50" i="1"/>
  <c r="AZ53" i="1"/>
  <c r="AW53" i="1"/>
  <c r="AY54" i="1" s="1"/>
  <c r="BA53" i="1"/>
  <c r="BA48" i="1"/>
  <c r="AZ48" i="1"/>
  <c r="BB48" i="1" s="1"/>
  <c r="AW48" i="1"/>
  <c r="AZ71" i="1"/>
  <c r="BA71" i="1"/>
  <c r="AW71" i="1"/>
  <c r="AZ69" i="1"/>
  <c r="AW69" i="1"/>
  <c r="AY70" i="1" s="1"/>
  <c r="BA69" i="1"/>
  <c r="BA47" i="1"/>
  <c r="AW47" i="1"/>
  <c r="AZ47" i="1"/>
  <c r="BB47" i="1" s="1"/>
  <c r="BE47" i="1" s="1"/>
  <c r="AZ124" i="1"/>
  <c r="BA124" i="1"/>
  <c r="AW124" i="1"/>
  <c r="AZ121" i="1"/>
  <c r="BA121" i="1"/>
  <c r="AW121" i="1"/>
  <c r="AW119" i="1"/>
  <c r="AZ119" i="1"/>
  <c r="BA119" i="1"/>
  <c r="AZ24" i="1"/>
  <c r="AW24" i="1"/>
  <c r="BA24" i="1"/>
  <c r="BA33" i="1"/>
  <c r="AZ33" i="1"/>
  <c r="BB33" i="1" s="1"/>
  <c r="AW33" i="1"/>
  <c r="BA23" i="1"/>
  <c r="AZ23" i="1"/>
  <c r="BB23" i="1" s="1"/>
  <c r="AW23" i="1"/>
  <c r="AZ79" i="1"/>
  <c r="BA79" i="1"/>
  <c r="AW79" i="1"/>
  <c r="AZ139" i="1"/>
  <c r="AW139" i="1"/>
  <c r="AY140" i="1" s="1"/>
  <c r="BA139" i="1"/>
  <c r="BA136" i="1"/>
  <c r="AW136" i="1"/>
  <c r="AY137" i="1" s="1"/>
  <c r="AZ136" i="1"/>
  <c r="BA134" i="1"/>
  <c r="AZ134" i="1"/>
  <c r="BB134" i="1" s="1"/>
  <c r="BE134" i="1" s="1"/>
  <c r="AW134" i="1"/>
  <c r="AW120" i="1"/>
  <c r="BA120" i="1"/>
  <c r="AZ120" i="1"/>
  <c r="BB120" i="1" s="1"/>
  <c r="BA173" i="1"/>
  <c r="AZ173" i="1"/>
  <c r="BB173" i="1" s="1"/>
  <c r="AW173" i="1"/>
  <c r="AY174" i="1" s="1"/>
  <c r="BA158" i="1"/>
  <c r="AZ158" i="1"/>
  <c r="BB158" i="1" s="1"/>
  <c r="BE158" i="1" s="1"/>
  <c r="AW158" i="1"/>
  <c r="AY159" i="1" s="1"/>
  <c r="AW132" i="1"/>
  <c r="BA132" i="1"/>
  <c r="AZ132" i="1"/>
  <c r="BB132" i="1" s="1"/>
  <c r="AW106" i="1"/>
  <c r="AY107" i="1" s="1"/>
  <c r="BA106" i="1"/>
  <c r="AZ106" i="1"/>
  <c r="BB106" i="1" s="1"/>
  <c r="BE106" i="1" s="1"/>
  <c r="AZ101" i="1"/>
  <c r="BA101" i="1"/>
  <c r="AW101" i="1"/>
  <c r="BA99" i="1"/>
  <c r="AZ99" i="1"/>
  <c r="BB99" i="1" s="1"/>
  <c r="AW99" i="1"/>
  <c r="BA96" i="1"/>
  <c r="AZ96" i="1"/>
  <c r="BB96" i="1" s="1"/>
  <c r="BE96" i="1" s="1"/>
  <c r="AW96" i="1"/>
  <c r="AW58" i="1"/>
  <c r="BA58" i="1"/>
  <c r="AZ58" i="1"/>
  <c r="BB58" i="1" s="1"/>
  <c r="BE58" i="1" s="1"/>
  <c r="AW37" i="1"/>
  <c r="BA37" i="1"/>
  <c r="AZ37" i="1"/>
  <c r="BB37" i="1" s="1"/>
  <c r="BE37" i="1" s="1"/>
  <c r="BE131" i="1"/>
  <c r="BB80" i="1"/>
  <c r="BE87" i="1"/>
  <c r="BB136" i="1"/>
  <c r="BB156" i="1"/>
  <c r="BB79" i="1"/>
  <c r="BB135" i="1"/>
  <c r="BE135" i="1" s="1"/>
  <c r="BB130" i="1"/>
  <c r="BE97" i="1"/>
  <c r="AQ37" i="1"/>
  <c r="AL60" i="1"/>
  <c r="AP60" i="1"/>
  <c r="AO60" i="1"/>
  <c r="AP58" i="1"/>
  <c r="AO58" i="1"/>
  <c r="AL58" i="1"/>
  <c r="AN59" i="1" s="1"/>
  <c r="AO54" i="1"/>
  <c r="AP54" i="1"/>
  <c r="AL54" i="1"/>
  <c r="AP136" i="1"/>
  <c r="AL136" i="1"/>
  <c r="AO136" i="1"/>
  <c r="AQ136" i="1" s="1"/>
  <c r="BE136" i="1" s="1"/>
  <c r="AO88" i="1"/>
  <c r="AP88" i="1"/>
  <c r="AL88" i="1"/>
  <c r="AO63" i="1"/>
  <c r="AP63" i="1"/>
  <c r="AL63" i="1"/>
  <c r="AL62" i="1"/>
  <c r="AO62" i="1"/>
  <c r="AP62" i="1"/>
  <c r="AO122" i="1"/>
  <c r="AP122" i="1"/>
  <c r="AL122" i="1"/>
  <c r="AN123" i="1" s="1"/>
  <c r="AL82" i="1"/>
  <c r="AP82" i="1"/>
  <c r="AO82" i="1"/>
  <c r="AQ82" i="1" s="1"/>
  <c r="BE82" i="1" s="1"/>
  <c r="AP100" i="1"/>
  <c r="AO100" i="1"/>
  <c r="AQ100" i="1" s="1"/>
  <c r="AL100" i="1"/>
  <c r="AO175" i="1"/>
  <c r="AL175" i="1"/>
  <c r="AP175" i="1"/>
  <c r="AP170" i="1"/>
  <c r="AO170" i="1"/>
  <c r="AQ170" i="1" s="1"/>
  <c r="BE170" i="1" s="1"/>
  <c r="AL170" i="1"/>
  <c r="AN171" i="1" s="1"/>
  <c r="AL168" i="1"/>
  <c r="AO168" i="1"/>
  <c r="AP168" i="1"/>
  <c r="AO163" i="1"/>
  <c r="AL163" i="1"/>
  <c r="AN164" i="1" s="1"/>
  <c r="AP163" i="1"/>
  <c r="AL160" i="1"/>
  <c r="AO160" i="1"/>
  <c r="AP160" i="1"/>
  <c r="AO151" i="1"/>
  <c r="AP151" i="1"/>
  <c r="AL151" i="1"/>
  <c r="AN152" i="1" s="1"/>
  <c r="AP142" i="1"/>
  <c r="AL142" i="1"/>
  <c r="AN143" i="1" s="1"/>
  <c r="AO142" i="1"/>
  <c r="AL114" i="1"/>
  <c r="AN115" i="1" s="1"/>
  <c r="AP114" i="1"/>
  <c r="AO114" i="1"/>
  <c r="AQ114" i="1" s="1"/>
  <c r="AP102" i="1"/>
  <c r="AO102" i="1"/>
  <c r="AQ102" i="1" s="1"/>
  <c r="BE102" i="1" s="1"/>
  <c r="AL102" i="1"/>
  <c r="AN103" i="1" s="1"/>
  <c r="AP91" i="1"/>
  <c r="AL91" i="1"/>
  <c r="AN92" i="1" s="1"/>
  <c r="AO91" i="1"/>
  <c r="AQ91" i="1" s="1"/>
  <c r="BE91" i="1" s="1"/>
  <c r="AL86" i="1"/>
  <c r="AP86" i="1"/>
  <c r="AO86" i="1"/>
  <c r="AQ86" i="1" s="1"/>
  <c r="BE86" i="1" s="1"/>
  <c r="AO78" i="1"/>
  <c r="AP78" i="1"/>
  <c r="AL78" i="1"/>
  <c r="AN79" i="1" s="1"/>
  <c r="AL71" i="1"/>
  <c r="AP71" i="1"/>
  <c r="AO71" i="1"/>
  <c r="AQ71" i="1" s="1"/>
  <c r="AL56" i="1"/>
  <c r="AP56" i="1"/>
  <c r="AO56" i="1"/>
  <c r="AQ56" i="1" s="1"/>
  <c r="AL53" i="1"/>
  <c r="AP53" i="1"/>
  <c r="AO53" i="1"/>
  <c r="AQ53" i="1" s="1"/>
  <c r="AL51" i="1"/>
  <c r="AP51" i="1"/>
  <c r="AO51" i="1"/>
  <c r="AQ51" i="1" s="1"/>
  <c r="AL48" i="1"/>
  <c r="AN49" i="1" s="1"/>
  <c r="AP48" i="1"/>
  <c r="AO48" i="1"/>
  <c r="AQ48" i="1" s="1"/>
  <c r="AL43" i="1"/>
  <c r="AN44" i="1" s="1"/>
  <c r="AP43" i="1"/>
  <c r="AO43" i="1"/>
  <c r="AQ43" i="1" s="1"/>
  <c r="AO38" i="1"/>
  <c r="AL38" i="1"/>
  <c r="AN39" i="1" s="1"/>
  <c r="AP38" i="1"/>
  <c r="AP34" i="1"/>
  <c r="AO34" i="1"/>
  <c r="AQ34" i="1" s="1"/>
  <c r="BE34" i="1" s="1"/>
  <c r="AL34" i="1"/>
  <c r="AL129" i="1"/>
  <c r="AO129" i="1"/>
  <c r="AP129" i="1"/>
  <c r="AQ122" i="1"/>
  <c r="AQ31" i="1"/>
  <c r="AQ130" i="1"/>
  <c r="AQ128" i="1"/>
  <c r="BE128" i="1" s="1"/>
  <c r="BB171" i="1"/>
  <c r="BB169" i="1"/>
  <c r="BB164" i="1"/>
  <c r="BB154" i="1"/>
  <c r="BB153" i="1"/>
  <c r="BB122" i="1"/>
  <c r="BB117" i="1"/>
  <c r="AW49" i="1"/>
  <c r="BA49" i="1"/>
  <c r="AZ49" i="1"/>
  <c r="BB49" i="1" s="1"/>
  <c r="BA26" i="1"/>
  <c r="AZ26" i="1"/>
  <c r="AW26" i="1"/>
  <c r="BA27" i="1"/>
  <c r="AW27" i="1"/>
  <c r="AZ27" i="1"/>
  <c r="AW31" i="1"/>
  <c r="AZ31" i="1"/>
  <c r="BA31" i="1"/>
  <c r="AZ90" i="1"/>
  <c r="BA90" i="1"/>
  <c r="AW90" i="1"/>
  <c r="AW73" i="1"/>
  <c r="BA73" i="1"/>
  <c r="AZ73" i="1"/>
  <c r="BB73" i="1" s="1"/>
  <c r="BE73" i="1" s="1"/>
  <c r="AW67" i="1"/>
  <c r="BA67" i="1"/>
  <c r="AZ67" i="1"/>
  <c r="BB67" i="1" s="1"/>
  <c r="BE67" i="1" s="1"/>
  <c r="AW62" i="1"/>
  <c r="AZ62" i="1"/>
  <c r="BA62" i="1"/>
  <c r="AZ46" i="1"/>
  <c r="BA46" i="1"/>
  <c r="AW46" i="1"/>
  <c r="AZ77" i="1"/>
  <c r="AW77" i="1"/>
  <c r="BA77" i="1"/>
  <c r="BA83" i="1"/>
  <c r="AZ83" i="1"/>
  <c r="BB83" i="1" s="1"/>
  <c r="AW83" i="1"/>
  <c r="AQ150" i="1"/>
  <c r="BE150" i="1" s="1"/>
  <c r="AQ148" i="1"/>
  <c r="BE148" i="1" s="1"/>
  <c r="AQ138" i="1"/>
  <c r="AQ107" i="1"/>
  <c r="AQ99" i="1"/>
  <c r="AO73" i="1"/>
  <c r="AP73" i="1"/>
  <c r="AL73" i="1"/>
  <c r="AN74" i="1" s="1"/>
  <c r="AP25" i="1"/>
  <c r="AL25" i="1"/>
  <c r="AO25" i="1"/>
  <c r="AQ25" i="1" s="1"/>
  <c r="AO24" i="1"/>
  <c r="AP24" i="1"/>
  <c r="AL24" i="1"/>
  <c r="AO65" i="1"/>
  <c r="AP65" i="1"/>
  <c r="AL65" i="1"/>
  <c r="AO40" i="1"/>
  <c r="AP40" i="1"/>
  <c r="AL40" i="1"/>
  <c r="AN41" i="1" s="1"/>
  <c r="AO83" i="1"/>
  <c r="AP83" i="1"/>
  <c r="AL83" i="1"/>
  <c r="AQ176" i="1"/>
  <c r="AQ169" i="1"/>
  <c r="BB155" i="1"/>
  <c r="BB114" i="1"/>
  <c r="BB105" i="1"/>
  <c r="BB133" i="1"/>
  <c r="BE133" i="1" s="1"/>
  <c r="BB125" i="1"/>
  <c r="BB118" i="1"/>
  <c r="AQ110" i="1"/>
  <c r="BB147" i="1"/>
  <c r="AQ134" i="1"/>
  <c r="BB142" i="1"/>
  <c r="BB176" i="1"/>
  <c r="BE176" i="1" s="1"/>
  <c r="AQ173" i="1"/>
  <c r="BB146" i="1"/>
  <c r="BB144" i="1"/>
  <c r="AQ113" i="1"/>
  <c r="AQ111" i="1"/>
  <c r="BB98" i="1"/>
  <c r="BE98" i="1" s="1"/>
  <c r="BB94" i="1"/>
  <c r="BB93" i="1"/>
  <c r="AQ90" i="1"/>
  <c r="BB89" i="1"/>
  <c r="AQ89" i="1"/>
  <c r="BE89" i="1" s="1"/>
  <c r="AQ88" i="1"/>
  <c r="BE88" i="1" s="1"/>
  <c r="BB85" i="1"/>
  <c r="BE85" i="1" s="1"/>
  <c r="AQ84" i="1"/>
  <c r="BE84" i="1" s="1"/>
  <c r="AQ83" i="1"/>
  <c r="BB78" i="1"/>
  <c r="AQ77" i="1"/>
  <c r="BB76" i="1"/>
  <c r="AQ76" i="1"/>
  <c r="BE76" i="1" s="1"/>
  <c r="AQ73" i="1"/>
  <c r="BB72" i="1"/>
  <c r="AQ72" i="1"/>
  <c r="BE72" i="1" s="1"/>
  <c r="AQ70" i="1"/>
  <c r="AQ69" i="1"/>
  <c r="AQ68" i="1"/>
  <c r="AQ67" i="1"/>
  <c r="AQ66" i="1"/>
  <c r="BB65" i="1"/>
  <c r="AQ65" i="1"/>
  <c r="BE65" i="1" s="1"/>
  <c r="BB64" i="1"/>
  <c r="AQ64" i="1"/>
  <c r="BE64" i="1" s="1"/>
  <c r="BB63" i="1"/>
  <c r="AQ63" i="1"/>
  <c r="BE63" i="1" s="1"/>
  <c r="AQ62" i="1"/>
  <c r="AQ61" i="1"/>
  <c r="AQ60" i="1"/>
  <c r="BB59" i="1"/>
  <c r="AQ58" i="1"/>
  <c r="BB57" i="1"/>
  <c r="AQ57" i="1"/>
  <c r="BB56" i="1"/>
  <c r="BB55" i="1"/>
  <c r="AQ55" i="1"/>
  <c r="BE55" i="1" s="1"/>
  <c r="AQ54" i="1"/>
  <c r="AQ52" i="1"/>
  <c r="AQ50" i="1"/>
  <c r="AQ47" i="1"/>
  <c r="BB45" i="1"/>
  <c r="BB44" i="1"/>
  <c r="BB43" i="1"/>
  <c r="BB42" i="1"/>
  <c r="AQ42" i="1"/>
  <c r="BE42" i="1" s="1"/>
  <c r="BB40" i="1"/>
  <c r="BB39" i="1"/>
  <c r="BB38" i="1"/>
  <c r="AQ36" i="1"/>
  <c r="BE36" i="1" s="1"/>
  <c r="BB35" i="1"/>
  <c r="AQ35" i="1"/>
  <c r="BE35" i="1" s="1"/>
  <c r="AQ33" i="1"/>
  <c r="BB32" i="1"/>
  <c r="AQ32" i="1"/>
  <c r="BB30" i="1"/>
  <c r="AQ30" i="1"/>
  <c r="BE30" i="1" s="1"/>
  <c r="BB27" i="1"/>
  <c r="AQ27" i="1"/>
  <c r="BB26" i="1"/>
  <c r="BE26" i="1" s="1"/>
  <c r="BB25" i="1"/>
  <c r="BB22" i="1"/>
  <c r="AQ22" i="1"/>
  <c r="AQ23" i="1"/>
  <c r="AQ142" i="1"/>
  <c r="BE142" i="1" s="1"/>
  <c r="AQ112" i="1"/>
  <c r="AQ106" i="1"/>
  <c r="BB104" i="1"/>
  <c r="BB100" i="1"/>
  <c r="AQ157" i="1"/>
  <c r="BB116" i="1"/>
  <c r="AQ165" i="1"/>
  <c r="BE165" i="1" s="1"/>
  <c r="BB157" i="1"/>
  <c r="AQ147" i="1"/>
  <c r="AQ141" i="1"/>
  <c r="BB115" i="1"/>
  <c r="AQ109" i="1"/>
  <c r="BB163" i="1"/>
  <c r="AQ132" i="1"/>
  <c r="AQ108" i="1"/>
  <c r="BB103" i="1"/>
  <c r="BB162" i="1"/>
  <c r="BE162" i="1" s="1"/>
  <c r="BB160" i="1"/>
  <c r="AQ140" i="1"/>
  <c r="AQ137" i="1"/>
  <c r="BB129" i="1"/>
  <c r="BB60" i="1" l="1"/>
  <c r="BE60" i="1" s="1"/>
  <c r="BB51" i="1"/>
  <c r="BB66" i="1"/>
  <c r="BE66" i="1" s="1"/>
  <c r="BB52" i="1"/>
  <c r="BE52" i="1" s="1"/>
  <c r="BB50" i="1"/>
  <c r="BE50" i="1" s="1"/>
  <c r="BB53" i="1"/>
  <c r="BB71" i="1"/>
  <c r="BB69" i="1"/>
  <c r="BE69" i="1" s="1"/>
  <c r="BB124" i="1"/>
  <c r="BB121" i="1"/>
  <c r="BB119" i="1"/>
  <c r="BB24" i="1"/>
  <c r="BB101" i="1"/>
  <c r="BE101" i="1" s="1"/>
  <c r="AW61" i="1"/>
  <c r="BA61" i="1"/>
  <c r="AZ61" i="1"/>
  <c r="BB61" i="1" s="1"/>
  <c r="BE61" i="1" s="1"/>
  <c r="AW54" i="1"/>
  <c r="BA54" i="1"/>
  <c r="AZ54" i="1"/>
  <c r="BB54" i="1" s="1"/>
  <c r="BE54" i="1" s="1"/>
  <c r="AW70" i="1"/>
  <c r="BA70" i="1"/>
  <c r="AZ70" i="1"/>
  <c r="BB70" i="1" s="1"/>
  <c r="BE70" i="1" s="1"/>
  <c r="AZ140" i="1"/>
  <c r="AW140" i="1"/>
  <c r="AY141" i="1" s="1"/>
  <c r="BA140" i="1"/>
  <c r="AW137" i="1"/>
  <c r="AY138" i="1" s="1"/>
  <c r="AZ137" i="1"/>
  <c r="BA137" i="1"/>
  <c r="BA174" i="1"/>
  <c r="AW174" i="1"/>
  <c r="AZ174" i="1"/>
  <c r="BB174" i="1" s="1"/>
  <c r="BE174" i="1" s="1"/>
  <c r="AW159" i="1"/>
  <c r="BA159" i="1"/>
  <c r="AZ159" i="1"/>
  <c r="BB159" i="1" s="1"/>
  <c r="BE159" i="1" s="1"/>
  <c r="AW107" i="1"/>
  <c r="AY108" i="1" s="1"/>
  <c r="BA107" i="1"/>
  <c r="AZ107" i="1"/>
  <c r="BB107" i="1" s="1"/>
  <c r="BE107" i="1" s="1"/>
  <c r="BE130" i="1"/>
  <c r="BE99" i="1"/>
  <c r="BE33" i="1"/>
  <c r="BE32" i="1"/>
  <c r="BE23" i="1"/>
  <c r="BE132" i="1"/>
  <c r="BE27" i="1"/>
  <c r="BE169" i="1"/>
  <c r="BE173" i="1"/>
  <c r="BB139" i="1"/>
  <c r="BE139" i="1" s="1"/>
  <c r="BB90" i="1"/>
  <c r="BE90" i="1" s="1"/>
  <c r="BB62" i="1"/>
  <c r="BE62" i="1" s="1"/>
  <c r="BB46" i="1"/>
  <c r="BE57" i="1"/>
  <c r="BE114" i="1"/>
  <c r="BE71" i="1"/>
  <c r="BE56" i="1"/>
  <c r="BE53" i="1"/>
  <c r="BE51" i="1"/>
  <c r="BE48" i="1"/>
  <c r="BE43" i="1"/>
  <c r="BE83" i="1"/>
  <c r="BE147" i="1"/>
  <c r="AQ38" i="1"/>
  <c r="BE38" i="1" s="1"/>
  <c r="AQ129" i="1"/>
  <c r="BE129" i="1" s="1"/>
  <c r="AL59" i="1"/>
  <c r="AP59" i="1"/>
  <c r="AO59" i="1"/>
  <c r="AQ59" i="1" s="1"/>
  <c r="BE59" i="1" s="1"/>
  <c r="AL123" i="1"/>
  <c r="AN124" i="1" s="1"/>
  <c r="AP123" i="1"/>
  <c r="AO123" i="1"/>
  <c r="AQ123" i="1" s="1"/>
  <c r="BE123" i="1" s="1"/>
  <c r="AO171" i="1"/>
  <c r="AL171" i="1"/>
  <c r="AN172" i="1" s="1"/>
  <c r="AP171" i="1"/>
  <c r="AP164" i="1"/>
  <c r="AO164" i="1"/>
  <c r="AL164" i="1"/>
  <c r="AO152" i="1"/>
  <c r="AP152" i="1"/>
  <c r="AL152" i="1"/>
  <c r="AN153" i="1" s="1"/>
  <c r="AL143" i="1"/>
  <c r="AN144" i="1" s="1"/>
  <c r="AO143" i="1"/>
  <c r="AP143" i="1"/>
  <c r="AL115" i="1"/>
  <c r="AN116" i="1" s="1"/>
  <c r="AP115" i="1"/>
  <c r="AO115" i="1"/>
  <c r="AQ115" i="1" s="1"/>
  <c r="BE115" i="1" s="1"/>
  <c r="AP103" i="1"/>
  <c r="AO103" i="1"/>
  <c r="AQ103" i="1" s="1"/>
  <c r="BE103" i="1" s="1"/>
  <c r="AL103" i="1"/>
  <c r="AN104" i="1" s="1"/>
  <c r="AO92" i="1"/>
  <c r="AL92" i="1"/>
  <c r="AN93" i="1" s="1"/>
  <c r="AP92" i="1"/>
  <c r="AP79" i="1"/>
  <c r="AL79" i="1"/>
  <c r="AN80" i="1" s="1"/>
  <c r="AO79" i="1"/>
  <c r="AQ79" i="1" s="1"/>
  <c r="BE79" i="1" s="1"/>
  <c r="AL49" i="1"/>
  <c r="AP49" i="1"/>
  <c r="AO49" i="1"/>
  <c r="AQ49" i="1" s="1"/>
  <c r="BE49" i="1" s="1"/>
  <c r="AL44" i="1"/>
  <c r="AN45" i="1" s="1"/>
  <c r="AP44" i="1"/>
  <c r="AO44" i="1"/>
  <c r="AQ44" i="1" s="1"/>
  <c r="BE44" i="1" s="1"/>
  <c r="AL39" i="1"/>
  <c r="AP39" i="1"/>
  <c r="AO39" i="1"/>
  <c r="AQ39" i="1" s="1"/>
  <c r="BE39" i="1" s="1"/>
  <c r="AQ175" i="1"/>
  <c r="BE175" i="1" s="1"/>
  <c r="AQ168" i="1"/>
  <c r="BE168" i="1" s="1"/>
  <c r="AQ163" i="1"/>
  <c r="BE163" i="1" s="1"/>
  <c r="AQ160" i="1"/>
  <c r="BE160" i="1" s="1"/>
  <c r="AQ151" i="1"/>
  <c r="BE151" i="1" s="1"/>
  <c r="AQ78" i="1"/>
  <c r="BE78" i="1" s="1"/>
  <c r="AQ24" i="1"/>
  <c r="AQ40" i="1"/>
  <c r="BE40" i="1" s="1"/>
  <c r="AO74" i="1"/>
  <c r="AP74" i="1"/>
  <c r="AL74" i="1"/>
  <c r="AN75" i="1" s="1"/>
  <c r="AL41" i="1"/>
  <c r="AP41" i="1"/>
  <c r="AO41" i="1"/>
  <c r="AQ41" i="1" s="1"/>
  <c r="BE41" i="1" s="1"/>
  <c r="BE25" i="1"/>
  <c r="BE100" i="1"/>
  <c r="BE122" i="1"/>
  <c r="BB31" i="1"/>
  <c r="BE31" i="1" s="1"/>
  <c r="BB77" i="1"/>
  <c r="BE77" i="1" s="1"/>
  <c r="BC22" i="1"/>
  <c r="BC23" i="1" s="1"/>
  <c r="AR22" i="1"/>
  <c r="AR23" i="1" s="1"/>
  <c r="BE22" i="1"/>
  <c r="BE157" i="1"/>
  <c r="BC24" i="1" l="1"/>
  <c r="BC25" i="1" s="1"/>
  <c r="BC26" i="1" s="1"/>
  <c r="BC27" i="1" s="1"/>
  <c r="BC28" i="1" s="1"/>
  <c r="BC29" i="1" s="1"/>
  <c r="BC30" i="1" s="1"/>
  <c r="BC31" i="1" s="1"/>
  <c r="BC32" i="1" s="1"/>
  <c r="BC33" i="1" s="1"/>
  <c r="BC34" i="1" s="1"/>
  <c r="BC35" i="1" s="1"/>
  <c r="BC36" i="1" s="1"/>
  <c r="BC37" i="1" s="1"/>
  <c r="BC38" i="1" s="1"/>
  <c r="BC39" i="1" s="1"/>
  <c r="BC40" i="1" s="1"/>
  <c r="BC41" i="1" s="1"/>
  <c r="BC42" i="1" s="1"/>
  <c r="BC43" i="1" s="1"/>
  <c r="BC44" i="1" s="1"/>
  <c r="BC45" i="1" s="1"/>
  <c r="AZ141" i="1"/>
  <c r="AW141" i="1"/>
  <c r="BA141" i="1"/>
  <c r="BA138" i="1"/>
  <c r="AZ138" i="1"/>
  <c r="BB138" i="1" s="1"/>
  <c r="BE138" i="1" s="1"/>
  <c r="AW138" i="1"/>
  <c r="AW108" i="1"/>
  <c r="AY109" i="1" s="1"/>
  <c r="BA108" i="1"/>
  <c r="AZ108" i="1"/>
  <c r="BB108" i="1" s="1"/>
  <c r="BE108" i="1" s="1"/>
  <c r="BB140" i="1"/>
  <c r="BE140" i="1" s="1"/>
  <c r="BB137" i="1"/>
  <c r="BE137" i="1" s="1"/>
  <c r="BC46" i="1"/>
  <c r="BC47" i="1" s="1"/>
  <c r="BC48" i="1" s="1"/>
  <c r="BC49" i="1" s="1"/>
  <c r="BC50" i="1" s="1"/>
  <c r="BC51" i="1" s="1"/>
  <c r="BC52" i="1" s="1"/>
  <c r="BC53" i="1" s="1"/>
  <c r="BC54" i="1" s="1"/>
  <c r="BC55" i="1" s="1"/>
  <c r="BC56" i="1" s="1"/>
  <c r="BC57" i="1" s="1"/>
  <c r="BC58" i="1" s="1"/>
  <c r="BC59" i="1" s="1"/>
  <c r="BC60" i="1" s="1"/>
  <c r="BC61" i="1" s="1"/>
  <c r="BC62" i="1" s="1"/>
  <c r="BC63" i="1" s="1"/>
  <c r="BC64" i="1" s="1"/>
  <c r="BC65" i="1" s="1"/>
  <c r="BC66" i="1" s="1"/>
  <c r="BC67" i="1" s="1"/>
  <c r="BC68" i="1" s="1"/>
  <c r="BC69" i="1" s="1"/>
  <c r="BC70" i="1" s="1"/>
  <c r="BC71" i="1" s="1"/>
  <c r="BC72" i="1" s="1"/>
  <c r="BC73" i="1" s="1"/>
  <c r="BC74" i="1" s="1"/>
  <c r="BC75" i="1" s="1"/>
  <c r="BC76" i="1" s="1"/>
  <c r="BC77" i="1" s="1"/>
  <c r="BC78" i="1" s="1"/>
  <c r="BC79" i="1" s="1"/>
  <c r="BC80" i="1" s="1"/>
  <c r="BC81" i="1" s="1"/>
  <c r="BC82" i="1" s="1"/>
  <c r="BC83" i="1" s="1"/>
  <c r="BC84" i="1" s="1"/>
  <c r="BC85" i="1" s="1"/>
  <c r="BC86" i="1" s="1"/>
  <c r="BC87" i="1" s="1"/>
  <c r="BC88" i="1" s="1"/>
  <c r="BC89" i="1" s="1"/>
  <c r="BC90" i="1" s="1"/>
  <c r="BC91" i="1" s="1"/>
  <c r="BC92" i="1" s="1"/>
  <c r="BC93" i="1" s="1"/>
  <c r="BC94" i="1" s="1"/>
  <c r="BC95" i="1" s="1"/>
  <c r="BC96" i="1" s="1"/>
  <c r="BC97" i="1" s="1"/>
  <c r="BC98" i="1" s="1"/>
  <c r="BC99" i="1" s="1"/>
  <c r="BC100" i="1" s="1"/>
  <c r="BC101" i="1" s="1"/>
  <c r="BC102" i="1" s="1"/>
  <c r="BC103" i="1" s="1"/>
  <c r="BC104" i="1" s="1"/>
  <c r="BC105" i="1" s="1"/>
  <c r="BC106" i="1" s="1"/>
  <c r="BC107" i="1" s="1"/>
  <c r="BC108" i="1" s="1"/>
  <c r="AQ164" i="1"/>
  <c r="BE164" i="1" s="1"/>
  <c r="AQ152" i="1"/>
  <c r="BE152" i="1" s="1"/>
  <c r="AQ74" i="1"/>
  <c r="BE74" i="1" s="1"/>
  <c r="AL124" i="1"/>
  <c r="AN125" i="1" s="1"/>
  <c r="AP124" i="1"/>
  <c r="AO124" i="1"/>
  <c r="AQ124" i="1" s="1"/>
  <c r="BE124" i="1" s="1"/>
  <c r="AO172" i="1"/>
  <c r="AL172" i="1"/>
  <c r="AP172" i="1"/>
  <c r="AP153" i="1"/>
  <c r="AO153" i="1"/>
  <c r="AQ153" i="1" s="1"/>
  <c r="BE153" i="1" s="1"/>
  <c r="AL153" i="1"/>
  <c r="AN154" i="1" s="1"/>
  <c r="AO144" i="1"/>
  <c r="AL144" i="1"/>
  <c r="AN145" i="1" s="1"/>
  <c r="AP144" i="1"/>
  <c r="AL116" i="1"/>
  <c r="AN117" i="1" s="1"/>
  <c r="AP116" i="1"/>
  <c r="AO116" i="1"/>
  <c r="AQ116" i="1" s="1"/>
  <c r="BE116" i="1" s="1"/>
  <c r="AL104" i="1"/>
  <c r="AN105" i="1" s="1"/>
  <c r="AP104" i="1"/>
  <c r="AO104" i="1"/>
  <c r="AQ104" i="1" s="1"/>
  <c r="BE104" i="1" s="1"/>
  <c r="AP93" i="1"/>
  <c r="AL93" i="1"/>
  <c r="AN94" i="1" s="1"/>
  <c r="AO93" i="1"/>
  <c r="AQ93" i="1" s="1"/>
  <c r="BE93" i="1" s="1"/>
  <c r="AO80" i="1"/>
  <c r="AL80" i="1"/>
  <c r="AN81" i="1" s="1"/>
  <c r="AP80" i="1"/>
  <c r="AL45" i="1"/>
  <c r="AN46" i="1" s="1"/>
  <c r="AP45" i="1"/>
  <c r="AO45" i="1"/>
  <c r="AQ45" i="1" s="1"/>
  <c r="BE45" i="1" s="1"/>
  <c r="AP75" i="1"/>
  <c r="AL75" i="1"/>
  <c r="AO75" i="1"/>
  <c r="AQ75" i="1" s="1"/>
  <c r="BE75" i="1" s="1"/>
  <c r="AR24" i="1"/>
  <c r="AR25" i="1" s="1"/>
  <c r="AR26" i="1" s="1"/>
  <c r="AR27" i="1" s="1"/>
  <c r="AR28" i="1" s="1"/>
  <c r="AR29" i="1" s="1"/>
  <c r="AR30" i="1" s="1"/>
  <c r="AR31" i="1" s="1"/>
  <c r="AR32" i="1" s="1"/>
  <c r="AR33" i="1" s="1"/>
  <c r="AR34" i="1" s="1"/>
  <c r="AR35" i="1" s="1"/>
  <c r="AR36" i="1" s="1"/>
  <c r="AR37" i="1" s="1"/>
  <c r="AR38" i="1" s="1"/>
  <c r="AR39" i="1" s="1"/>
  <c r="AR40" i="1" s="1"/>
  <c r="AR41" i="1" s="1"/>
  <c r="AR42" i="1" s="1"/>
  <c r="AR43" i="1" s="1"/>
  <c r="AR44" i="1" s="1"/>
  <c r="AR45" i="1" s="1"/>
  <c r="AQ171" i="1"/>
  <c r="BE171" i="1" s="1"/>
  <c r="AQ92" i="1"/>
  <c r="BE92" i="1" s="1"/>
  <c r="AQ143" i="1"/>
  <c r="BE143" i="1" s="1"/>
  <c r="BE24" i="1"/>
  <c r="BF22" i="1"/>
  <c r="BF23" i="1" s="1"/>
  <c r="AW109" i="1" l="1"/>
  <c r="AY110" i="1" s="1"/>
  <c r="BA109" i="1"/>
  <c r="AZ109" i="1"/>
  <c r="BB109" i="1" s="1"/>
  <c r="BB141" i="1"/>
  <c r="BE141" i="1" s="1"/>
  <c r="BF24" i="1"/>
  <c r="BF25" i="1" s="1"/>
  <c r="BF26" i="1" s="1"/>
  <c r="BF27" i="1" s="1"/>
  <c r="BF28" i="1" s="1"/>
  <c r="BF29" i="1" s="1"/>
  <c r="BF30" i="1" s="1"/>
  <c r="BF31" i="1" s="1"/>
  <c r="BF32" i="1" s="1"/>
  <c r="BF33" i="1" s="1"/>
  <c r="BF34" i="1" s="1"/>
  <c r="BF35" i="1" s="1"/>
  <c r="BF36" i="1" s="1"/>
  <c r="BF37" i="1" s="1"/>
  <c r="BF38" i="1" s="1"/>
  <c r="BF39" i="1" s="1"/>
  <c r="BF40" i="1" s="1"/>
  <c r="BF41" i="1" s="1"/>
  <c r="BF42" i="1" s="1"/>
  <c r="BF43" i="1" s="1"/>
  <c r="BF44" i="1" s="1"/>
  <c r="AL125" i="1"/>
  <c r="AN126" i="1" s="1"/>
  <c r="AP125" i="1"/>
  <c r="AO125" i="1"/>
  <c r="AQ125" i="1" s="1"/>
  <c r="BE125" i="1" s="1"/>
  <c r="AO154" i="1"/>
  <c r="AL154" i="1"/>
  <c r="AN155" i="1" s="1"/>
  <c r="AP154" i="1"/>
  <c r="AO145" i="1"/>
  <c r="AL145" i="1"/>
  <c r="AN146" i="1" s="1"/>
  <c r="AP145" i="1"/>
  <c r="AL117" i="1"/>
  <c r="AN118" i="1" s="1"/>
  <c r="AP117" i="1"/>
  <c r="AO117" i="1"/>
  <c r="AQ117" i="1" s="1"/>
  <c r="BE117" i="1" s="1"/>
  <c r="AL105" i="1"/>
  <c r="AP105" i="1"/>
  <c r="AO105" i="1"/>
  <c r="AQ105" i="1" s="1"/>
  <c r="BE105" i="1" s="1"/>
  <c r="AO94" i="1"/>
  <c r="AP94" i="1"/>
  <c r="AL94" i="1"/>
  <c r="AN95" i="1" s="1"/>
  <c r="AP81" i="1"/>
  <c r="AL81" i="1"/>
  <c r="AO81" i="1"/>
  <c r="AQ81" i="1" s="1"/>
  <c r="BE81" i="1" s="1"/>
  <c r="AL46" i="1"/>
  <c r="AP46" i="1"/>
  <c r="AO46" i="1"/>
  <c r="AQ46" i="1" s="1"/>
  <c r="AQ172" i="1"/>
  <c r="BE172" i="1" s="1"/>
  <c r="AQ144" i="1"/>
  <c r="BE144" i="1" s="1"/>
  <c r="AQ80" i="1"/>
  <c r="BE80" i="1" s="1"/>
  <c r="BF45" i="1"/>
  <c r="AW110" i="1" l="1"/>
  <c r="AY111" i="1" s="1"/>
  <c r="BA110" i="1"/>
  <c r="AZ110" i="1"/>
  <c r="BB110" i="1" s="1"/>
  <c r="BE110" i="1" s="1"/>
  <c r="BC109" i="1"/>
  <c r="BC110" i="1" s="1"/>
  <c r="BE109" i="1"/>
  <c r="AL126" i="1"/>
  <c r="AN127" i="1" s="1"/>
  <c r="AO126" i="1"/>
  <c r="AP126" i="1"/>
  <c r="AO155" i="1"/>
  <c r="AP155" i="1"/>
  <c r="AL155" i="1"/>
  <c r="AN156" i="1" s="1"/>
  <c r="AL146" i="1"/>
  <c r="AO146" i="1"/>
  <c r="AP146" i="1"/>
  <c r="AL118" i="1"/>
  <c r="AN119" i="1" s="1"/>
  <c r="AP118" i="1"/>
  <c r="AO118" i="1"/>
  <c r="AO95" i="1"/>
  <c r="AP95" i="1"/>
  <c r="AL95" i="1"/>
  <c r="AR46" i="1"/>
  <c r="AR47" i="1" s="1"/>
  <c r="AR48" i="1" s="1"/>
  <c r="AR49" i="1" s="1"/>
  <c r="AR50" i="1" s="1"/>
  <c r="AR51" i="1" s="1"/>
  <c r="AR52" i="1" s="1"/>
  <c r="AR53" i="1" s="1"/>
  <c r="AR54" i="1" s="1"/>
  <c r="AR55" i="1" s="1"/>
  <c r="AR56" i="1" s="1"/>
  <c r="AR57" i="1" s="1"/>
  <c r="AR58" i="1" s="1"/>
  <c r="AR59" i="1" s="1"/>
  <c r="AR60" i="1" s="1"/>
  <c r="AR61" i="1" s="1"/>
  <c r="AR62" i="1" s="1"/>
  <c r="AR63" i="1" s="1"/>
  <c r="AR64" i="1" s="1"/>
  <c r="AR65" i="1" s="1"/>
  <c r="AR66" i="1" s="1"/>
  <c r="AR67" i="1" s="1"/>
  <c r="AR68" i="1" s="1"/>
  <c r="AR69" i="1" s="1"/>
  <c r="AR70" i="1" s="1"/>
  <c r="AR71" i="1" s="1"/>
  <c r="AR72" i="1" s="1"/>
  <c r="AR73" i="1" s="1"/>
  <c r="AR74" i="1" s="1"/>
  <c r="AR75" i="1" s="1"/>
  <c r="AR76" i="1" s="1"/>
  <c r="AR77" i="1" s="1"/>
  <c r="AR78" i="1" s="1"/>
  <c r="AR79" i="1" s="1"/>
  <c r="AR80" i="1" s="1"/>
  <c r="AR81" i="1" s="1"/>
  <c r="AR82" i="1" s="1"/>
  <c r="AR83" i="1" s="1"/>
  <c r="AR84" i="1" s="1"/>
  <c r="AR85" i="1" s="1"/>
  <c r="AR86" i="1" s="1"/>
  <c r="AR87" i="1" s="1"/>
  <c r="AR88" i="1" s="1"/>
  <c r="AR89" i="1" s="1"/>
  <c r="AR90" i="1" s="1"/>
  <c r="AR91" i="1" s="1"/>
  <c r="AR92" i="1" s="1"/>
  <c r="AR93" i="1" s="1"/>
  <c r="AR94" i="1" s="1"/>
  <c r="BE46" i="1"/>
  <c r="AQ154" i="1"/>
  <c r="BE154" i="1" s="1"/>
  <c r="AQ145" i="1"/>
  <c r="BE145" i="1" s="1"/>
  <c r="AQ94" i="1"/>
  <c r="AW111" i="1" l="1"/>
  <c r="AY112" i="1" s="1"/>
  <c r="BA111" i="1"/>
  <c r="AZ111" i="1"/>
  <c r="AQ118" i="1"/>
  <c r="BE118" i="1" s="1"/>
  <c r="AO127" i="1"/>
  <c r="AL127" i="1"/>
  <c r="AP127" i="1"/>
  <c r="AO156" i="1"/>
  <c r="AL156" i="1"/>
  <c r="AP156" i="1"/>
  <c r="AL119" i="1"/>
  <c r="AN120" i="1" s="1"/>
  <c r="AP119" i="1"/>
  <c r="AO119" i="1"/>
  <c r="AQ119" i="1" s="1"/>
  <c r="BF46" i="1"/>
  <c r="BF47" i="1" s="1"/>
  <c r="BF48" i="1" s="1"/>
  <c r="BF49" i="1" s="1"/>
  <c r="BF50" i="1" s="1"/>
  <c r="BF51" i="1" s="1"/>
  <c r="BF52" i="1" s="1"/>
  <c r="BF53" i="1" s="1"/>
  <c r="BF54" i="1" s="1"/>
  <c r="BF55" i="1" s="1"/>
  <c r="BF56" i="1" s="1"/>
  <c r="BF57" i="1" s="1"/>
  <c r="BF58" i="1" s="1"/>
  <c r="BF59" i="1" s="1"/>
  <c r="BF60" i="1" s="1"/>
  <c r="BF61" i="1" s="1"/>
  <c r="BF62" i="1" s="1"/>
  <c r="BF63" i="1" s="1"/>
  <c r="BF64" i="1" s="1"/>
  <c r="BF65" i="1" s="1"/>
  <c r="BF66" i="1" s="1"/>
  <c r="BF67" i="1" s="1"/>
  <c r="BF68" i="1" s="1"/>
  <c r="BF69" i="1" s="1"/>
  <c r="BF70" i="1" s="1"/>
  <c r="BF71" i="1" s="1"/>
  <c r="BF72" i="1" s="1"/>
  <c r="BF73" i="1" s="1"/>
  <c r="BF74" i="1" s="1"/>
  <c r="BF75" i="1" s="1"/>
  <c r="BF76" i="1" s="1"/>
  <c r="BF77" i="1" s="1"/>
  <c r="BF78" i="1" s="1"/>
  <c r="BF79" i="1" s="1"/>
  <c r="BF80" i="1" s="1"/>
  <c r="BF81" i="1" s="1"/>
  <c r="BF82" i="1" s="1"/>
  <c r="BF83" i="1" s="1"/>
  <c r="BF84" i="1" s="1"/>
  <c r="BF85" i="1" s="1"/>
  <c r="BF86" i="1" s="1"/>
  <c r="BF87" i="1" s="1"/>
  <c r="BF88" i="1" s="1"/>
  <c r="BF89" i="1" s="1"/>
  <c r="BF90" i="1" s="1"/>
  <c r="BF91" i="1" s="1"/>
  <c r="BF92" i="1" s="1"/>
  <c r="BF93" i="1" s="1"/>
  <c r="AQ126" i="1"/>
  <c r="BE126" i="1" s="1"/>
  <c r="AQ155" i="1"/>
  <c r="BE155" i="1" s="1"/>
  <c r="AQ146" i="1"/>
  <c r="BE146" i="1" s="1"/>
  <c r="AQ95" i="1"/>
  <c r="BE94" i="1"/>
  <c r="BB111" i="1" l="1"/>
  <c r="AW112" i="1"/>
  <c r="AY113" i="1" s="1"/>
  <c r="BA112" i="1"/>
  <c r="AZ112" i="1"/>
  <c r="BB112" i="1" s="1"/>
  <c r="BE112" i="1" s="1"/>
  <c r="BC111" i="1"/>
  <c r="BC112" i="1" s="1"/>
  <c r="BE111" i="1"/>
  <c r="BF94" i="1"/>
  <c r="AL120" i="1"/>
  <c r="AN121" i="1" s="1"/>
  <c r="AP120" i="1"/>
  <c r="AO120" i="1"/>
  <c r="AR95" i="1"/>
  <c r="AR96" i="1" s="1"/>
  <c r="AR97" i="1" s="1"/>
  <c r="AR98" i="1" s="1"/>
  <c r="AR99" i="1" s="1"/>
  <c r="AR100" i="1" s="1"/>
  <c r="AR101" i="1" s="1"/>
  <c r="AR102" i="1" s="1"/>
  <c r="AR103" i="1" s="1"/>
  <c r="AR104" i="1" s="1"/>
  <c r="AR105" i="1" s="1"/>
  <c r="AR106" i="1" s="1"/>
  <c r="AR107" i="1" s="1"/>
  <c r="AR108" i="1" s="1"/>
  <c r="AR109" i="1" s="1"/>
  <c r="AR110" i="1" s="1"/>
  <c r="AR111" i="1" s="1"/>
  <c r="AR112" i="1" s="1"/>
  <c r="AR113" i="1" s="1"/>
  <c r="AR114" i="1" s="1"/>
  <c r="AR115" i="1" s="1"/>
  <c r="AR116" i="1" s="1"/>
  <c r="AR117" i="1" s="1"/>
  <c r="AR118" i="1" s="1"/>
  <c r="AR119" i="1" s="1"/>
  <c r="BE95" i="1"/>
  <c r="AQ127" i="1"/>
  <c r="BE127" i="1" s="1"/>
  <c r="AQ156" i="1"/>
  <c r="BE156" i="1" s="1"/>
  <c r="BE119" i="1"/>
  <c r="AW113" i="1" l="1"/>
  <c r="BA113" i="1"/>
  <c r="AZ113" i="1"/>
  <c r="BB113" i="1" s="1"/>
  <c r="AQ120" i="1"/>
  <c r="AL121" i="1"/>
  <c r="AP121" i="1"/>
  <c r="AO121" i="1"/>
  <c r="AQ121" i="1" s="1"/>
  <c r="BF95" i="1"/>
  <c r="BF96" i="1" s="1"/>
  <c r="BF97" i="1" s="1"/>
  <c r="BF98" i="1" s="1"/>
  <c r="BF99" i="1" s="1"/>
  <c r="BF100" i="1" s="1"/>
  <c r="BF101" i="1" s="1"/>
  <c r="BF102" i="1" s="1"/>
  <c r="BF103" i="1" s="1"/>
  <c r="BF104" i="1" s="1"/>
  <c r="BF105" i="1" s="1"/>
  <c r="BF106" i="1" s="1"/>
  <c r="BF107" i="1" s="1"/>
  <c r="BF108" i="1" s="1"/>
  <c r="BF109" i="1" s="1"/>
  <c r="BF110" i="1" s="1"/>
  <c r="BF111" i="1" s="1"/>
  <c r="BF112" i="1" s="1"/>
  <c r="BB19" i="1" l="1"/>
  <c r="BB14" i="1"/>
  <c r="BB15" i="1"/>
  <c r="BC113" i="1"/>
  <c r="BC114" i="1" s="1"/>
  <c r="BC115" i="1" s="1"/>
  <c r="BC116" i="1" s="1"/>
  <c r="BC117" i="1" s="1"/>
  <c r="BC118" i="1" s="1"/>
  <c r="BC119" i="1" s="1"/>
  <c r="BC120" i="1" s="1"/>
  <c r="BC121" i="1" s="1"/>
  <c r="BC122" i="1" s="1"/>
  <c r="BC123" i="1" s="1"/>
  <c r="BC124" i="1" s="1"/>
  <c r="BC125" i="1" s="1"/>
  <c r="BC126" i="1" s="1"/>
  <c r="BC127" i="1" s="1"/>
  <c r="BC128" i="1" s="1"/>
  <c r="BC129" i="1" s="1"/>
  <c r="BC130" i="1" s="1"/>
  <c r="BC131" i="1" s="1"/>
  <c r="BC132" i="1" s="1"/>
  <c r="BC133" i="1" s="1"/>
  <c r="BC134" i="1" s="1"/>
  <c r="BC135" i="1" s="1"/>
  <c r="BC136" i="1" s="1"/>
  <c r="BC137" i="1" s="1"/>
  <c r="BC138" i="1" s="1"/>
  <c r="BC139" i="1" s="1"/>
  <c r="BC140" i="1" s="1"/>
  <c r="BC141" i="1" s="1"/>
  <c r="BC142" i="1" s="1"/>
  <c r="BC143" i="1" s="1"/>
  <c r="BC144" i="1" s="1"/>
  <c r="BC145" i="1" s="1"/>
  <c r="BC146" i="1" s="1"/>
  <c r="BC147" i="1" s="1"/>
  <c r="BC148" i="1" s="1"/>
  <c r="BC149" i="1" s="1"/>
  <c r="BC150" i="1" s="1"/>
  <c r="BC151" i="1" s="1"/>
  <c r="BC152" i="1" s="1"/>
  <c r="BC153" i="1" s="1"/>
  <c r="BC154" i="1" s="1"/>
  <c r="BC155" i="1" s="1"/>
  <c r="BC156" i="1" s="1"/>
  <c r="BC157" i="1" s="1"/>
  <c r="BC158" i="1" s="1"/>
  <c r="BC159" i="1" s="1"/>
  <c r="BC160" i="1" s="1"/>
  <c r="BC161" i="1" s="1"/>
  <c r="BC162" i="1" s="1"/>
  <c r="BC163" i="1" s="1"/>
  <c r="BC164" i="1" s="1"/>
  <c r="BC165" i="1" s="1"/>
  <c r="BC166" i="1" s="1"/>
  <c r="BC167" i="1" s="1"/>
  <c r="BC168" i="1" s="1"/>
  <c r="BC169" i="1" s="1"/>
  <c r="BC170" i="1" s="1"/>
  <c r="BC171" i="1" s="1"/>
  <c r="BC172" i="1" s="1"/>
  <c r="BC173" i="1" s="1"/>
  <c r="BC174" i="1" s="1"/>
  <c r="BC175" i="1" s="1"/>
  <c r="BC176" i="1" s="1"/>
  <c r="BC19" i="1" s="1"/>
  <c r="BE113" i="1"/>
  <c r="BF113" i="1" s="1"/>
  <c r="BF114" i="1" s="1"/>
  <c r="BF115" i="1" s="1"/>
  <c r="BF116" i="1" s="1"/>
  <c r="BF117" i="1" s="1"/>
  <c r="BF118" i="1" s="1"/>
  <c r="BF119" i="1" s="1"/>
  <c r="AR120" i="1"/>
  <c r="BE120" i="1"/>
  <c r="AQ14" i="1"/>
  <c r="AR121" i="1"/>
  <c r="AR122" i="1" s="1"/>
  <c r="AR123" i="1" s="1"/>
  <c r="AR124" i="1" s="1"/>
  <c r="AR125" i="1" s="1"/>
  <c r="AR126" i="1" s="1"/>
  <c r="AR127" i="1" s="1"/>
  <c r="AR128" i="1" s="1"/>
  <c r="AR129" i="1" s="1"/>
  <c r="AR130" i="1" s="1"/>
  <c r="AR131" i="1" s="1"/>
  <c r="AR132" i="1" s="1"/>
  <c r="AR133" i="1" s="1"/>
  <c r="AR134" i="1" s="1"/>
  <c r="AR135" i="1" s="1"/>
  <c r="AR136" i="1" s="1"/>
  <c r="AR137" i="1" s="1"/>
  <c r="AR138" i="1" s="1"/>
  <c r="AR139" i="1" s="1"/>
  <c r="AR140" i="1" s="1"/>
  <c r="AR141" i="1" s="1"/>
  <c r="AR142" i="1" s="1"/>
  <c r="AR143" i="1" s="1"/>
  <c r="AR144" i="1" s="1"/>
  <c r="AR145" i="1" s="1"/>
  <c r="AR146" i="1" s="1"/>
  <c r="AR147" i="1" s="1"/>
  <c r="AR148" i="1" s="1"/>
  <c r="AR149" i="1" s="1"/>
  <c r="AR150" i="1" s="1"/>
  <c r="AR151" i="1" s="1"/>
  <c r="AR152" i="1" s="1"/>
  <c r="AR153" i="1" s="1"/>
  <c r="AR154" i="1" s="1"/>
  <c r="AR155" i="1" s="1"/>
  <c r="AR156" i="1" s="1"/>
  <c r="AR157" i="1" s="1"/>
  <c r="AR158" i="1" s="1"/>
  <c r="AR159" i="1" s="1"/>
  <c r="AR160" i="1" s="1"/>
  <c r="AR161" i="1" s="1"/>
  <c r="AR162" i="1" s="1"/>
  <c r="AR163" i="1" s="1"/>
  <c r="AR164" i="1" s="1"/>
  <c r="AR165" i="1" s="1"/>
  <c r="AR166" i="1" s="1"/>
  <c r="AR167" i="1" s="1"/>
  <c r="AR168" i="1" s="1"/>
  <c r="AR169" i="1" s="1"/>
  <c r="AR170" i="1" s="1"/>
  <c r="AR171" i="1" s="1"/>
  <c r="AR172" i="1" s="1"/>
  <c r="AR173" i="1" s="1"/>
  <c r="AR174" i="1" s="1"/>
  <c r="AR175" i="1" s="1"/>
  <c r="AR176" i="1" s="1"/>
  <c r="AR19" i="1" s="1"/>
  <c r="AQ15" i="1"/>
  <c r="AQ19" i="1"/>
  <c r="BE121" i="1"/>
  <c r="BF120" i="1" l="1"/>
  <c r="BB16" i="1"/>
  <c r="AT1" i="1" s="1"/>
  <c r="BE15" i="1"/>
  <c r="BF121" i="1"/>
  <c r="BF122" i="1" s="1"/>
  <c r="BF123" i="1" s="1"/>
  <c r="BF124" i="1" s="1"/>
  <c r="BF125" i="1" s="1"/>
  <c r="BF126" i="1" s="1"/>
  <c r="BF127" i="1" s="1"/>
  <c r="BF128" i="1" s="1"/>
  <c r="BF129" i="1" s="1"/>
  <c r="BF130" i="1" s="1"/>
  <c r="BF131" i="1" s="1"/>
  <c r="BF132" i="1" s="1"/>
  <c r="BF133" i="1" s="1"/>
  <c r="BF134" i="1" s="1"/>
  <c r="BF135" i="1" s="1"/>
  <c r="BF136" i="1" s="1"/>
  <c r="BF137" i="1" s="1"/>
  <c r="BF138" i="1" s="1"/>
  <c r="BF139" i="1" s="1"/>
  <c r="BF140" i="1" s="1"/>
  <c r="BF141" i="1" s="1"/>
  <c r="BF142" i="1" s="1"/>
  <c r="BF143" i="1" s="1"/>
  <c r="BF144" i="1" s="1"/>
  <c r="BF145" i="1" s="1"/>
  <c r="BF146" i="1" s="1"/>
  <c r="BF147" i="1" s="1"/>
  <c r="BF148" i="1" s="1"/>
  <c r="BF149" i="1" s="1"/>
  <c r="BF150" i="1" s="1"/>
  <c r="BF151" i="1" s="1"/>
  <c r="BF152" i="1" s="1"/>
  <c r="BF153" i="1" s="1"/>
  <c r="BF154" i="1" s="1"/>
  <c r="BF155" i="1" s="1"/>
  <c r="BF156" i="1" s="1"/>
  <c r="BF157" i="1" s="1"/>
  <c r="BF158" i="1" s="1"/>
  <c r="BF159" i="1" s="1"/>
  <c r="BF160" i="1" s="1"/>
  <c r="BF161" i="1" s="1"/>
  <c r="BF162" i="1" s="1"/>
  <c r="BF163" i="1" s="1"/>
  <c r="BF164" i="1" s="1"/>
  <c r="BF165" i="1" s="1"/>
  <c r="BF166" i="1" s="1"/>
  <c r="BF167" i="1" s="1"/>
  <c r="BF168" i="1" s="1"/>
  <c r="BF169" i="1" s="1"/>
  <c r="BF170" i="1" s="1"/>
  <c r="BF171" i="1" s="1"/>
  <c r="BF172" i="1" s="1"/>
  <c r="BF173" i="1" s="1"/>
  <c r="BF174" i="1" s="1"/>
  <c r="BF175" i="1" s="1"/>
  <c r="BF176" i="1" s="1"/>
  <c r="BF18" i="1" s="1"/>
  <c r="BE14" i="1"/>
  <c r="BE18" i="1"/>
  <c r="AQ16" i="1"/>
  <c r="AI1" i="1" s="1"/>
  <c r="BE16" i="1" l="1"/>
</calcChain>
</file>

<file path=xl/sharedStrings.xml><?xml version="1.0" encoding="utf-8"?>
<sst xmlns="http://schemas.openxmlformats.org/spreadsheetml/2006/main" count="74" uniqueCount="53">
  <si>
    <t>date</t>
  </si>
  <si>
    <t>TFI</t>
  </si>
  <si>
    <t>MUB</t>
  </si>
  <si>
    <t>TFI log rtn</t>
  </si>
  <si>
    <t>MUB log rtn</t>
  </si>
  <si>
    <t>TFI div</t>
  </si>
  <si>
    <t>TFI div cumsum</t>
  </si>
  <si>
    <t>MUB div</t>
  </si>
  <si>
    <t>MUB div cumsum</t>
  </si>
  <si>
    <t>TFI div adjustment</t>
  </si>
  <si>
    <t>MUB div adjustment</t>
  </si>
  <si>
    <t>TFI*</t>
  </si>
  <si>
    <t>MUB*</t>
  </si>
  <si>
    <t>MUB/TFI</t>
  </si>
  <si>
    <t>MUB/TFI avg</t>
  </si>
  <si>
    <t>MUB/TFI 10 dma</t>
  </si>
  <si>
    <t>MUB/TFI 20 dma</t>
  </si>
  <si>
    <t>TFI x avg</t>
  </si>
  <si>
    <t>TFI x 10 dma</t>
  </si>
  <si>
    <t>TFI x 20 dma</t>
  </si>
  <si>
    <t>log diff TFI x avg / MUB</t>
  </si>
  <si>
    <t>log diff TFI x 10 dma / MUB</t>
  </si>
  <si>
    <t>log diff TFI x 20 dma / MUB</t>
  </si>
  <si>
    <t>MUB*/TFI*</t>
  </si>
  <si>
    <t>MUB*/TFI* avg</t>
  </si>
  <si>
    <t>MUB*/TFI* 10 dma</t>
  </si>
  <si>
    <t>MUB*/TFI* 20 dma</t>
  </si>
  <si>
    <t>TFI* x avg</t>
  </si>
  <si>
    <t>TFI* x 10 dma</t>
  </si>
  <si>
    <t>TFI* x 20 dma</t>
  </si>
  <si>
    <t>log diff TFI* x avg / MUB*</t>
  </si>
  <si>
    <t>log diff TFI* x 10 dma / MUB*</t>
  </si>
  <si>
    <t>log diff TFI* x 20 dma / MUB*</t>
  </si>
  <si>
    <t>enter</t>
  </si>
  <si>
    <t>exit</t>
  </si>
  <si>
    <t>row</t>
  </si>
  <si>
    <t>col</t>
  </si>
  <si>
    <t>AI21</t>
  </si>
  <si>
    <t>AI22</t>
  </si>
  <si>
    <t>AT21</t>
  </si>
  <si>
    <t>AT22</t>
  </si>
  <si>
    <t>avg</t>
  </si>
  <si>
    <t>st dev</t>
  </si>
  <si>
    <t>sharpe</t>
  </si>
  <si>
    <t>grand</t>
  </si>
  <si>
    <t>signal</t>
  </si>
  <si>
    <t>under</t>
  </si>
  <si>
    <t>over</t>
  </si>
  <si>
    <t>yday</t>
  </si>
  <si>
    <t>ex-date</t>
  </si>
  <si>
    <t>position</t>
  </si>
  <si>
    <t>sum</t>
  </si>
  <si>
    <t>cumsum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</si>
</sst>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0%"/>
    <numFmt numFmtId="165" formatCode="_(* #,##0.0000_);_(* \(#,##0.0000\);_(* &quot;-&quot;??_);_(@_)"/>
    <numFmt numFmtId="166" formatCode="_(&quot;$&quot;* #,##0.0000_);_(&quot;$&quot;* \(#,##0.0000\);_(&quot;$&quot;* &quot;-&quot;??_);_(@_)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rgb="FF0070C0"/>
      <name val="Aptos Narrow"/>
      <family val="2"/>
      <scheme val="minor"/>
    </font>
    <font>
      <b/>
      <sz val="11"/>
      <color rgb="FFC0000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5">
    <xf numFmtId="0" fontId="0" fillId="0" borderId="0" xfId="0"/>
    <xf numFmtId="14" fontId="0" fillId="0" borderId="0" xfId="0" applyNumberFormat="1"/>
    <xf numFmtId="164" fontId="18" fillId="33" borderId="0" xfId="3" applyNumberFormat="1" applyFont="1" applyFill="1" applyAlignment="1">
      <alignment horizontal="right"/>
    </xf>
    <xf numFmtId="43" fontId="16" fillId="0" borderId="0" xfId="1" applyFont="1"/>
    <xf numFmtId="10" fontId="16" fillId="0" borderId="0" xfId="3" applyNumberFormat="1" applyFont="1"/>
    <xf numFmtId="0" fontId="19" fillId="0" borderId="0" xfId="0" applyFont="1" applyAlignment="1">
      <alignment horizontal="left"/>
    </xf>
    <xf numFmtId="10" fontId="16" fillId="0" borderId="0" xfId="3" applyNumberFormat="1" applyFont="1" applyBorder="1"/>
    <xf numFmtId="0" fontId="18" fillId="0" borderId="0" xfId="0" applyFont="1" applyAlignment="1">
      <alignment horizontal="right"/>
    </xf>
    <xf numFmtId="0" fontId="18" fillId="0" borderId="0" xfId="0" applyFont="1" applyAlignment="1">
      <alignment horizontal="center"/>
    </xf>
    <xf numFmtId="164" fontId="0" fillId="33" borderId="0" xfId="3" applyNumberFormat="1" applyFont="1" applyFill="1"/>
    <xf numFmtId="43" fontId="0" fillId="0" borderId="0" xfId="1" applyFont="1"/>
    <xf numFmtId="43" fontId="0" fillId="0" borderId="0" xfId="1" applyFont="1" applyBorder="1"/>
    <xf numFmtId="44" fontId="0" fillId="0" borderId="0" xfId="2" applyFont="1"/>
    <xf numFmtId="0" fontId="19" fillId="0" borderId="0" xfId="0" applyFont="1" applyAlignment="1">
      <alignment horizontal="center"/>
    </xf>
    <xf numFmtId="44" fontId="20" fillId="0" borderId="0" xfId="2" applyFont="1"/>
    <xf numFmtId="164" fontId="0" fillId="0" borderId="0" xfId="3" applyNumberFormat="1" applyFont="1"/>
    <xf numFmtId="164" fontId="0" fillId="0" borderId="0" xfId="3" applyNumberFormat="1" applyFont="1" applyAlignment="1">
      <alignment horizontal="center"/>
    </xf>
    <xf numFmtId="10" fontId="16" fillId="0" borderId="10" xfId="3" applyNumberFormat="1" applyFont="1" applyBorder="1"/>
    <xf numFmtId="0" fontId="16" fillId="0" borderId="11" xfId="0" applyFont="1" applyBorder="1" applyAlignment="1">
      <alignment horizontal="center"/>
    </xf>
    <xf numFmtId="0" fontId="16" fillId="0" borderId="12" xfId="0" applyFont="1" applyBorder="1" applyAlignment="1">
      <alignment horizontal="center"/>
    </xf>
    <xf numFmtId="10" fontId="16" fillId="0" borderId="0" xfId="0" applyNumberFormat="1" applyFont="1"/>
    <xf numFmtId="164" fontId="16" fillId="0" borderId="0" xfId="3" applyNumberFormat="1" applyFont="1"/>
    <xf numFmtId="164" fontId="16" fillId="33" borderId="0" xfId="3" applyNumberFormat="1" applyFont="1" applyFill="1"/>
    <xf numFmtId="165" fontId="16" fillId="0" borderId="0" xfId="1" applyNumberFormat="1" applyFont="1"/>
    <xf numFmtId="10" fontId="18" fillId="0" borderId="0" xfId="0" applyNumberFormat="1" applyFont="1" applyAlignment="1">
      <alignment horizontal="right"/>
    </xf>
    <xf numFmtId="44" fontId="18" fillId="0" borderId="0" xfId="2" applyFont="1" applyAlignment="1">
      <alignment horizontal="right"/>
    </xf>
    <xf numFmtId="10" fontId="18" fillId="34" borderId="0" xfId="2" applyNumberFormat="1" applyFont="1" applyFill="1" applyAlignment="1">
      <alignment horizontal="right"/>
    </xf>
    <xf numFmtId="0" fontId="21" fillId="0" borderId="0" xfId="0" applyFont="1"/>
    <xf numFmtId="10" fontId="0" fillId="0" borderId="0" xfId="3" applyNumberFormat="1" applyFont="1"/>
    <xf numFmtId="10" fontId="0" fillId="0" borderId="0" xfId="0" applyNumberFormat="1"/>
    <xf numFmtId="166" fontId="18" fillId="0" borderId="0" xfId="2" applyNumberFormat="1" applyFont="1" applyAlignment="1">
      <alignment horizontal="right"/>
    </xf>
    <xf numFmtId="164" fontId="18" fillId="0" borderId="0" xfId="3" applyNumberFormat="1" applyFont="1" applyAlignment="1">
      <alignment horizontal="right"/>
    </xf>
    <xf numFmtId="165" fontId="18" fillId="0" borderId="0" xfId="1" applyNumberFormat="1" applyFont="1" applyAlignment="1">
      <alignment horizontal="right"/>
    </xf>
    <xf numFmtId="166" fontId="0" fillId="0" borderId="0" xfId="2" applyNumberFormat="1" applyFont="1"/>
    <xf numFmtId="165" fontId="0" fillId="0" borderId="0" xfId="1" applyNumberFormat="1" applyFont="1"/>
  </cellXfs>
  <cellStyles count="45">
    <cellStyle name="20% - Accent1" xfId="22" builtinId="30" customBuiltin="1"/>
    <cellStyle name="20% - Accent2" xfId="26" builtinId="34" customBuiltin="1"/>
    <cellStyle name="20% - Accent3" xfId="30" builtinId="38" customBuiltin="1"/>
    <cellStyle name="20% - Accent4" xfId="34" builtinId="42" customBuiltin="1"/>
    <cellStyle name="20% - Accent5" xfId="38" builtinId="46" customBuiltin="1"/>
    <cellStyle name="20% - Accent6" xfId="42" builtinId="50" customBuiltin="1"/>
    <cellStyle name="40% - Accent1" xfId="23" builtinId="31" customBuiltin="1"/>
    <cellStyle name="40% - Accent2" xfId="27" builtinId="35" customBuiltin="1"/>
    <cellStyle name="40% - Accent3" xfId="31" builtinId="39" customBuiltin="1"/>
    <cellStyle name="40% - Accent4" xfId="35" builtinId="43" customBuiltin="1"/>
    <cellStyle name="40% - Accent5" xfId="39" builtinId="47" customBuiltin="1"/>
    <cellStyle name="40% - Accent6" xfId="43" builtinId="51" customBuiltin="1"/>
    <cellStyle name="60% - Accent1" xfId="24" builtinId="32" customBuiltin="1"/>
    <cellStyle name="60% - Accent2" xfId="28" builtinId="36" customBuiltin="1"/>
    <cellStyle name="60% - Accent3" xfId="32" builtinId="40" customBuiltin="1"/>
    <cellStyle name="60% - Accent4" xfId="36" builtinId="44" customBuiltin="1"/>
    <cellStyle name="60% - Accent5" xfId="40" builtinId="48" customBuiltin="1"/>
    <cellStyle name="60% - Accent6" xfId="44" builtinId="52" customBuiltin="1"/>
    <cellStyle name="Accent1" xfId="21" builtinId="29" customBuiltin="1"/>
    <cellStyle name="Accent2" xfId="25" builtinId="33" customBuiltin="1"/>
    <cellStyle name="Accent3" xfId="29" builtinId="37" customBuiltin="1"/>
    <cellStyle name="Accent4" xfId="33" builtinId="41" customBuiltin="1"/>
    <cellStyle name="Accent5" xfId="37" builtinId="45" customBuiltin="1"/>
    <cellStyle name="Accent6" xfId="41" builtinId="49" customBuiltin="1"/>
    <cellStyle name="Bad" xfId="10" builtinId="27" customBuiltin="1"/>
    <cellStyle name="Calculation" xfId="14" builtinId="22" customBuiltin="1"/>
    <cellStyle name="Check Cell" xfId="16" builtinId="23" customBuiltin="1"/>
    <cellStyle name="Comma" xfId="1" builtinId="3"/>
    <cellStyle name="Currency" xfId="2" builtinId="4"/>
    <cellStyle name="Explanatory Text" xfId="19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2" builtinId="20" customBuiltin="1"/>
    <cellStyle name="Linked Cell" xfId="15" builtinId="24" customBuiltin="1"/>
    <cellStyle name="Neutral" xfId="11" builtinId="28" customBuiltin="1"/>
    <cellStyle name="Normal" xfId="0" builtinId="0"/>
    <cellStyle name="Note" xfId="18" builtinId="10" customBuiltin="1"/>
    <cellStyle name="Output" xfId="13" builtinId="21" customBuiltin="1"/>
    <cellStyle name="Percent" xfId="3" builtinId="5"/>
    <cellStyle name="Title" xfId="4" builtinId="15" customBuiltin="1"/>
    <cellStyle name="Total" xfId="20" builtinId="25" customBuiltin="1"/>
    <cellStyle name="Warning Text" xfId="17" builtinId="11" customBuiltin="1"/>
  </cellStyles>
  <dxfs count="5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Sheet1!$O$1</c:f>
              <c:strCache>
                <c:ptCount val="1"/>
                <c:pt idx="0">
                  <c:v> MUB/TFI avg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Sheet1!$O$2:$O$176</c:f>
              <c:numCache>
                <c:formatCode>_(* #,##0.0000_);_(* \(#,##0.0000\);_(* "-"??_);_(@_)</c:formatCode>
                <c:ptCount val="175"/>
                <c:pt idx="0">
                  <c:v>2.3475193892851398</c:v>
                </c:pt>
                <c:pt idx="1">
                  <c:v>2.3475193892851398</c:v>
                </c:pt>
                <c:pt idx="2">
                  <c:v>2.3475193892851398</c:v>
                </c:pt>
                <c:pt idx="3">
                  <c:v>2.3475193892851398</c:v>
                </c:pt>
                <c:pt idx="4">
                  <c:v>2.3475193892851398</c:v>
                </c:pt>
                <c:pt idx="5">
                  <c:v>2.3475193892851398</c:v>
                </c:pt>
                <c:pt idx="6">
                  <c:v>2.3475193892851398</c:v>
                </c:pt>
                <c:pt idx="7">
                  <c:v>2.3475193892851398</c:v>
                </c:pt>
                <c:pt idx="8">
                  <c:v>2.3475193892851398</c:v>
                </c:pt>
                <c:pt idx="9">
                  <c:v>2.3475193892851398</c:v>
                </c:pt>
                <c:pt idx="10">
                  <c:v>2.3475193892851398</c:v>
                </c:pt>
                <c:pt idx="11">
                  <c:v>2.3475193892851398</c:v>
                </c:pt>
                <c:pt idx="12">
                  <c:v>2.3475193892851398</c:v>
                </c:pt>
                <c:pt idx="13">
                  <c:v>2.3475193892851398</c:v>
                </c:pt>
                <c:pt idx="14">
                  <c:v>2.3475193892851398</c:v>
                </c:pt>
                <c:pt idx="15">
                  <c:v>2.3475193892851398</c:v>
                </c:pt>
                <c:pt idx="16">
                  <c:v>2.3475193892851398</c:v>
                </c:pt>
                <c:pt idx="17">
                  <c:v>2.3475193892851398</c:v>
                </c:pt>
                <c:pt idx="18">
                  <c:v>2.3475193892851398</c:v>
                </c:pt>
                <c:pt idx="19">
                  <c:v>2.3475193892851398</c:v>
                </c:pt>
                <c:pt idx="20">
                  <c:v>2.3475193892851398</c:v>
                </c:pt>
                <c:pt idx="21">
                  <c:v>2.3475193892851398</c:v>
                </c:pt>
                <c:pt idx="22">
                  <c:v>2.3475193892851398</c:v>
                </c:pt>
                <c:pt idx="23">
                  <c:v>2.3475193892851398</c:v>
                </c:pt>
                <c:pt idx="24">
                  <c:v>2.3475193892851398</c:v>
                </c:pt>
                <c:pt idx="25">
                  <c:v>2.3475193892851398</c:v>
                </c:pt>
                <c:pt idx="26">
                  <c:v>2.3475193892851398</c:v>
                </c:pt>
                <c:pt idx="27">
                  <c:v>2.3475193892851398</c:v>
                </c:pt>
                <c:pt idx="28">
                  <c:v>2.3475193892851398</c:v>
                </c:pt>
                <c:pt idx="29">
                  <c:v>2.3475193892851398</c:v>
                </c:pt>
                <c:pt idx="30">
                  <c:v>2.3475193892851398</c:v>
                </c:pt>
                <c:pt idx="31">
                  <c:v>2.3475193892851398</c:v>
                </c:pt>
                <c:pt idx="32">
                  <c:v>2.3475193892851398</c:v>
                </c:pt>
                <c:pt idx="33">
                  <c:v>2.3475193892851398</c:v>
                </c:pt>
                <c:pt idx="34">
                  <c:v>2.3475193892851398</c:v>
                </c:pt>
                <c:pt idx="35">
                  <c:v>2.3475193892851398</c:v>
                </c:pt>
                <c:pt idx="36">
                  <c:v>2.3475193892851398</c:v>
                </c:pt>
                <c:pt idx="37">
                  <c:v>2.3475193892851398</c:v>
                </c:pt>
                <c:pt idx="38">
                  <c:v>2.3475193892851398</c:v>
                </c:pt>
                <c:pt idx="39">
                  <c:v>2.3475193892851398</c:v>
                </c:pt>
                <c:pt idx="40">
                  <c:v>2.3475193892851398</c:v>
                </c:pt>
                <c:pt idx="41">
                  <c:v>2.3475193892851398</c:v>
                </c:pt>
                <c:pt idx="42">
                  <c:v>2.3475193892851398</c:v>
                </c:pt>
                <c:pt idx="43">
                  <c:v>2.3475193892851398</c:v>
                </c:pt>
                <c:pt idx="44">
                  <c:v>2.3475193892851398</c:v>
                </c:pt>
                <c:pt idx="45">
                  <c:v>2.3475193892851398</c:v>
                </c:pt>
                <c:pt idx="46">
                  <c:v>2.3475193892851398</c:v>
                </c:pt>
                <c:pt idx="47">
                  <c:v>2.3475193892851398</c:v>
                </c:pt>
                <c:pt idx="48">
                  <c:v>2.3475193892851398</c:v>
                </c:pt>
                <c:pt idx="49">
                  <c:v>2.3475193892851398</c:v>
                </c:pt>
                <c:pt idx="50">
                  <c:v>2.3475193892851398</c:v>
                </c:pt>
                <c:pt idx="51">
                  <c:v>2.3475193892851398</c:v>
                </c:pt>
                <c:pt idx="52">
                  <c:v>2.3475193892851398</c:v>
                </c:pt>
                <c:pt idx="53">
                  <c:v>2.3475193892851398</c:v>
                </c:pt>
                <c:pt idx="54">
                  <c:v>2.3475193892851398</c:v>
                </c:pt>
                <c:pt idx="55">
                  <c:v>2.3475193892851398</c:v>
                </c:pt>
                <c:pt idx="56">
                  <c:v>2.3475193892851398</c:v>
                </c:pt>
                <c:pt idx="57">
                  <c:v>2.3475193892851398</c:v>
                </c:pt>
                <c:pt idx="58">
                  <c:v>2.3475193892851398</c:v>
                </c:pt>
                <c:pt idx="59">
                  <c:v>2.3475193892851398</c:v>
                </c:pt>
                <c:pt idx="60">
                  <c:v>2.3475193892851398</c:v>
                </c:pt>
                <c:pt idx="61">
                  <c:v>2.3475193892851398</c:v>
                </c:pt>
                <c:pt idx="62">
                  <c:v>2.3475193892851398</c:v>
                </c:pt>
                <c:pt idx="63">
                  <c:v>2.3475193892851398</c:v>
                </c:pt>
                <c:pt idx="64">
                  <c:v>2.3475193892851398</c:v>
                </c:pt>
                <c:pt idx="65">
                  <c:v>2.3475193892851398</c:v>
                </c:pt>
                <c:pt idx="66">
                  <c:v>2.3475193892851398</c:v>
                </c:pt>
                <c:pt idx="67">
                  <c:v>2.3475193892851398</c:v>
                </c:pt>
                <c:pt idx="68">
                  <c:v>2.3475193892851398</c:v>
                </c:pt>
                <c:pt idx="69">
                  <c:v>2.3475193892851398</c:v>
                </c:pt>
                <c:pt idx="70">
                  <c:v>2.3475193892851398</c:v>
                </c:pt>
                <c:pt idx="71">
                  <c:v>2.3475193892851398</c:v>
                </c:pt>
                <c:pt idx="72">
                  <c:v>2.3475193892851398</c:v>
                </c:pt>
                <c:pt idx="73">
                  <c:v>2.3475193892851398</c:v>
                </c:pt>
                <c:pt idx="74">
                  <c:v>2.3475193892851398</c:v>
                </c:pt>
                <c:pt idx="75">
                  <c:v>2.3475193892851398</c:v>
                </c:pt>
                <c:pt idx="76">
                  <c:v>2.3475193892851398</c:v>
                </c:pt>
                <c:pt idx="77">
                  <c:v>2.3475193892851398</c:v>
                </c:pt>
                <c:pt idx="78">
                  <c:v>2.3475193892851398</c:v>
                </c:pt>
                <c:pt idx="79">
                  <c:v>2.3475193892851398</c:v>
                </c:pt>
                <c:pt idx="80">
                  <c:v>2.3475193892851398</c:v>
                </c:pt>
                <c:pt idx="81">
                  <c:v>2.3475193892851398</c:v>
                </c:pt>
                <c:pt idx="82">
                  <c:v>2.3475193892851398</c:v>
                </c:pt>
                <c:pt idx="83">
                  <c:v>2.3475193892851398</c:v>
                </c:pt>
                <c:pt idx="84">
                  <c:v>2.3475193892851398</c:v>
                </c:pt>
                <c:pt idx="85">
                  <c:v>2.3475193892851398</c:v>
                </c:pt>
                <c:pt idx="86">
                  <c:v>2.3475193892851398</c:v>
                </c:pt>
                <c:pt idx="87">
                  <c:v>2.3475193892851398</c:v>
                </c:pt>
                <c:pt idx="88">
                  <c:v>2.3475193892851398</c:v>
                </c:pt>
                <c:pt idx="89">
                  <c:v>2.3475193892851398</c:v>
                </c:pt>
                <c:pt idx="90">
                  <c:v>2.3475193892851398</c:v>
                </c:pt>
                <c:pt idx="91">
                  <c:v>2.3475193892851398</c:v>
                </c:pt>
                <c:pt idx="92">
                  <c:v>2.3475193892851398</c:v>
                </c:pt>
                <c:pt idx="93">
                  <c:v>2.3475193892851398</c:v>
                </c:pt>
                <c:pt idx="94">
                  <c:v>2.3475193892851398</c:v>
                </c:pt>
                <c:pt idx="95">
                  <c:v>2.3475193892851398</c:v>
                </c:pt>
                <c:pt idx="96">
                  <c:v>2.3475193892851398</c:v>
                </c:pt>
                <c:pt idx="97">
                  <c:v>2.3475193892851398</c:v>
                </c:pt>
                <c:pt idx="98">
                  <c:v>2.3475193892851398</c:v>
                </c:pt>
                <c:pt idx="99">
                  <c:v>2.3475193892851398</c:v>
                </c:pt>
                <c:pt idx="100">
                  <c:v>2.3475193892851398</c:v>
                </c:pt>
                <c:pt idx="101">
                  <c:v>2.3475193892851398</c:v>
                </c:pt>
                <c:pt idx="102">
                  <c:v>2.3475193892851398</c:v>
                </c:pt>
                <c:pt idx="103">
                  <c:v>2.3475193892851398</c:v>
                </c:pt>
                <c:pt idx="104">
                  <c:v>2.3475193892851398</c:v>
                </c:pt>
                <c:pt idx="105">
                  <c:v>2.3475193892851398</c:v>
                </c:pt>
                <c:pt idx="106">
                  <c:v>2.3475193892851398</c:v>
                </c:pt>
                <c:pt idx="107">
                  <c:v>2.3475193892851398</c:v>
                </c:pt>
                <c:pt idx="108">
                  <c:v>2.3475193892851398</c:v>
                </c:pt>
                <c:pt idx="109">
                  <c:v>2.3475193892851398</c:v>
                </c:pt>
                <c:pt idx="110">
                  <c:v>2.3475193892851398</c:v>
                </c:pt>
                <c:pt idx="111">
                  <c:v>2.3475193892851398</c:v>
                </c:pt>
                <c:pt idx="112">
                  <c:v>2.3475193892851398</c:v>
                </c:pt>
                <c:pt idx="113">
                  <c:v>2.3475193892851398</c:v>
                </c:pt>
                <c:pt idx="114">
                  <c:v>2.3475193892851398</c:v>
                </c:pt>
                <c:pt idx="115">
                  <c:v>2.3475193892851398</c:v>
                </c:pt>
                <c:pt idx="116">
                  <c:v>2.3475193892851398</c:v>
                </c:pt>
                <c:pt idx="117">
                  <c:v>2.3475193892851398</c:v>
                </c:pt>
                <c:pt idx="118">
                  <c:v>2.3475193892851398</c:v>
                </c:pt>
                <c:pt idx="119">
                  <c:v>2.3475193892851398</c:v>
                </c:pt>
                <c:pt idx="120">
                  <c:v>2.3475193892851398</c:v>
                </c:pt>
                <c:pt idx="121">
                  <c:v>2.3475193892851398</c:v>
                </c:pt>
                <c:pt idx="122">
                  <c:v>2.3475193892851398</c:v>
                </c:pt>
                <c:pt idx="123">
                  <c:v>2.3475193892851398</c:v>
                </c:pt>
                <c:pt idx="124">
                  <c:v>2.3475193892851398</c:v>
                </c:pt>
                <c:pt idx="125">
                  <c:v>2.3475193892851398</c:v>
                </c:pt>
                <c:pt idx="126">
                  <c:v>2.3475193892851398</c:v>
                </c:pt>
                <c:pt idx="127">
                  <c:v>2.3475193892851398</c:v>
                </c:pt>
                <c:pt idx="128">
                  <c:v>2.3475193892851398</c:v>
                </c:pt>
                <c:pt idx="129">
                  <c:v>2.3475193892851398</c:v>
                </c:pt>
                <c:pt idx="130">
                  <c:v>2.3475193892851398</c:v>
                </c:pt>
                <c:pt idx="131">
                  <c:v>2.3475193892851398</c:v>
                </c:pt>
                <c:pt idx="132">
                  <c:v>2.3475193892851398</c:v>
                </c:pt>
                <c:pt idx="133">
                  <c:v>2.3475193892851398</c:v>
                </c:pt>
                <c:pt idx="134">
                  <c:v>2.3475193892851398</c:v>
                </c:pt>
                <c:pt idx="135">
                  <c:v>2.3475193892851398</c:v>
                </c:pt>
                <c:pt idx="136">
                  <c:v>2.3475193892851398</c:v>
                </c:pt>
                <c:pt idx="137">
                  <c:v>2.3475193892851398</c:v>
                </c:pt>
                <c:pt idx="138">
                  <c:v>2.3475193892851398</c:v>
                </c:pt>
                <c:pt idx="139">
                  <c:v>2.3475193892851398</c:v>
                </c:pt>
                <c:pt idx="140">
                  <c:v>2.3475193892851398</c:v>
                </c:pt>
                <c:pt idx="141">
                  <c:v>2.3475193892851398</c:v>
                </c:pt>
                <c:pt idx="142">
                  <c:v>2.3475193892851398</c:v>
                </c:pt>
                <c:pt idx="143">
                  <c:v>2.3475193892851398</c:v>
                </c:pt>
                <c:pt idx="144">
                  <c:v>2.3475193892851398</c:v>
                </c:pt>
                <c:pt idx="145">
                  <c:v>2.3475193892851398</c:v>
                </c:pt>
                <c:pt idx="146">
                  <c:v>2.3475193892851398</c:v>
                </c:pt>
                <c:pt idx="147">
                  <c:v>2.3475193892851398</c:v>
                </c:pt>
                <c:pt idx="148">
                  <c:v>2.3475193892851398</c:v>
                </c:pt>
                <c:pt idx="149">
                  <c:v>2.3475193892851398</c:v>
                </c:pt>
                <c:pt idx="150">
                  <c:v>2.3475193892851398</c:v>
                </c:pt>
                <c:pt idx="151">
                  <c:v>2.3475193892851398</c:v>
                </c:pt>
                <c:pt idx="152">
                  <c:v>2.3475193892851398</c:v>
                </c:pt>
                <c:pt idx="153">
                  <c:v>2.3475193892851398</c:v>
                </c:pt>
                <c:pt idx="154">
                  <c:v>2.3475193892851398</c:v>
                </c:pt>
                <c:pt idx="155">
                  <c:v>2.3475193892851398</c:v>
                </c:pt>
                <c:pt idx="156">
                  <c:v>2.3475193892851398</c:v>
                </c:pt>
                <c:pt idx="157">
                  <c:v>2.3475193892851398</c:v>
                </c:pt>
                <c:pt idx="158">
                  <c:v>2.3475193892851398</c:v>
                </c:pt>
                <c:pt idx="159">
                  <c:v>2.3475193892851398</c:v>
                </c:pt>
                <c:pt idx="160">
                  <c:v>2.3475193892851398</c:v>
                </c:pt>
                <c:pt idx="161">
                  <c:v>2.3475193892851398</c:v>
                </c:pt>
                <c:pt idx="162">
                  <c:v>2.3475193892851398</c:v>
                </c:pt>
                <c:pt idx="163">
                  <c:v>2.3475193892851398</c:v>
                </c:pt>
                <c:pt idx="164">
                  <c:v>2.3475193892851398</c:v>
                </c:pt>
                <c:pt idx="165">
                  <c:v>2.3475193892851398</c:v>
                </c:pt>
                <c:pt idx="166">
                  <c:v>2.3475193892851398</c:v>
                </c:pt>
                <c:pt idx="167">
                  <c:v>2.3475193892851398</c:v>
                </c:pt>
                <c:pt idx="168">
                  <c:v>2.3475193892851398</c:v>
                </c:pt>
                <c:pt idx="169">
                  <c:v>2.3475193892851398</c:v>
                </c:pt>
                <c:pt idx="170">
                  <c:v>2.3475193892851398</c:v>
                </c:pt>
                <c:pt idx="171">
                  <c:v>2.3475193892851398</c:v>
                </c:pt>
                <c:pt idx="172">
                  <c:v>2.3475193892851398</c:v>
                </c:pt>
                <c:pt idx="173">
                  <c:v>2.3475193892851398</c:v>
                </c:pt>
                <c:pt idx="174">
                  <c:v>2.3475193892851398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6D-4CBA-AF05-E646E156B125}"/>
            </c:ext>
          </c:extLst>
        </c:ser>
        <c:ser>
          <c:idx val="1"/>
          <c:order val="1"/>
          <c:tx>
            <c:strRef>
              <c:f>Sheet1!$P$1</c:f>
              <c:strCache>
                <c:ptCount val="1"/>
                <c:pt idx="0">
                  <c:v> MUB/TFI 10 dma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Sheet1!$P$2:$P$176</c:f>
              <c:numCache>
                <c:formatCode>_(* #,##0.0000_);_(* \(#,##0.0000\);_(* "-"??_);_(@_)</c:formatCode>
                <c:ptCount val="175"/>
                <c:pt idx="9">
                  <c:v>2.34350317826827</c:v>
                </c:pt>
                <c:pt idx="10">
                  <c:v>2.3433901195509801</c:v>
                </c:pt>
                <c:pt idx="11">
                  <c:v>2.3431498924271499</c:v>
                </c:pt>
                <c:pt idx="12">
                  <c:v>2.3428132007393199</c:v>
                </c:pt>
                <c:pt idx="13">
                  <c:v>2.3428220644142899</c:v>
                </c:pt>
                <c:pt idx="14">
                  <c:v>2.3429963563532898</c:v>
                </c:pt>
                <c:pt idx="15">
                  <c:v>2.3432515830963898</c:v>
                </c:pt>
                <c:pt idx="16">
                  <c:v>2.3435413934644802</c:v>
                </c:pt>
                <c:pt idx="17">
                  <c:v>2.3437140642154102</c:v>
                </c:pt>
                <c:pt idx="18">
                  <c:v>2.3437657147492699</c:v>
                </c:pt>
                <c:pt idx="19">
                  <c:v>2.3438228225105302</c:v>
                </c:pt>
                <c:pt idx="20">
                  <c:v>2.3442382896736502</c:v>
                </c:pt>
                <c:pt idx="21">
                  <c:v>2.3444464101037599</c:v>
                </c:pt>
                <c:pt idx="22">
                  <c:v>2.34414728975529</c:v>
                </c:pt>
                <c:pt idx="23">
                  <c:v>2.34387511645535</c:v>
                </c:pt>
                <c:pt idx="24">
                  <c:v>2.3431836565995701</c:v>
                </c:pt>
                <c:pt idx="25">
                  <c:v>2.3424480671119099</c:v>
                </c:pt>
                <c:pt idx="26">
                  <c:v>2.3419304051848799</c:v>
                </c:pt>
                <c:pt idx="27">
                  <c:v>2.3413121678126201</c:v>
                </c:pt>
                <c:pt idx="28">
                  <c:v>2.3409386573490298</c:v>
                </c:pt>
                <c:pt idx="29">
                  <c:v>2.3404574357099199</c:v>
                </c:pt>
                <c:pt idx="30">
                  <c:v>2.33992704997253</c:v>
                </c:pt>
                <c:pt idx="31">
                  <c:v>2.3397755905365298</c:v>
                </c:pt>
                <c:pt idx="32">
                  <c:v>2.34042874138609</c:v>
                </c:pt>
                <c:pt idx="33">
                  <c:v>2.3408426032869798</c:v>
                </c:pt>
                <c:pt idx="34">
                  <c:v>2.3412501711368101</c:v>
                </c:pt>
                <c:pt idx="35">
                  <c:v>2.3417211768216002</c:v>
                </c:pt>
                <c:pt idx="36">
                  <c:v>2.34211284811634</c:v>
                </c:pt>
                <c:pt idx="37">
                  <c:v>2.3426462408022002</c:v>
                </c:pt>
                <c:pt idx="38">
                  <c:v>2.3428711090998098</c:v>
                </c:pt>
                <c:pt idx="39">
                  <c:v>2.3434498461016702</c:v>
                </c:pt>
                <c:pt idx="40">
                  <c:v>2.3436871999051299</c:v>
                </c:pt>
                <c:pt idx="41">
                  <c:v>2.3437428338965698</c:v>
                </c:pt>
                <c:pt idx="42">
                  <c:v>2.3433951093878398</c:v>
                </c:pt>
                <c:pt idx="43">
                  <c:v>2.3431288430635302</c:v>
                </c:pt>
                <c:pt idx="44">
                  <c:v>2.3435141412022502</c:v>
                </c:pt>
                <c:pt idx="45">
                  <c:v>2.3436712468771601</c:v>
                </c:pt>
                <c:pt idx="46">
                  <c:v>2.34364869235191</c:v>
                </c:pt>
                <c:pt idx="47">
                  <c:v>2.3437138207430599</c:v>
                </c:pt>
                <c:pt idx="48">
                  <c:v>2.34400601734349</c:v>
                </c:pt>
                <c:pt idx="49">
                  <c:v>2.3443155701039902</c:v>
                </c:pt>
                <c:pt idx="50">
                  <c:v>2.3443137153174201</c:v>
                </c:pt>
                <c:pt idx="51">
                  <c:v>2.3444013910858299</c:v>
                </c:pt>
                <c:pt idx="52">
                  <c:v>2.3443564108466601</c:v>
                </c:pt>
                <c:pt idx="53">
                  <c:v>2.3445116069985699</c:v>
                </c:pt>
                <c:pt idx="54">
                  <c:v>2.3446074322758199</c:v>
                </c:pt>
                <c:pt idx="55">
                  <c:v>2.3444630856038899</c:v>
                </c:pt>
                <c:pt idx="56">
                  <c:v>2.3446744154350401</c:v>
                </c:pt>
                <c:pt idx="57">
                  <c:v>2.34442278610276</c:v>
                </c:pt>
                <c:pt idx="58">
                  <c:v>2.34412906362197</c:v>
                </c:pt>
                <c:pt idx="59">
                  <c:v>2.3438218924137399</c:v>
                </c:pt>
                <c:pt idx="60">
                  <c:v>2.3435299814592598</c:v>
                </c:pt>
                <c:pt idx="61">
                  <c:v>2.3438321543334499</c:v>
                </c:pt>
                <c:pt idx="62">
                  <c:v>2.3444323494849302</c:v>
                </c:pt>
                <c:pt idx="63">
                  <c:v>2.3448479091010102</c:v>
                </c:pt>
                <c:pt idx="64">
                  <c:v>2.3450971303150898</c:v>
                </c:pt>
                <c:pt idx="65">
                  <c:v>2.3455361235033001</c:v>
                </c:pt>
                <c:pt idx="66">
                  <c:v>2.3459295451055402</c:v>
                </c:pt>
                <c:pt idx="67">
                  <c:v>2.3460798391961402</c:v>
                </c:pt>
                <c:pt idx="68">
                  <c:v>2.3464939287437301</c:v>
                </c:pt>
                <c:pt idx="69">
                  <c:v>2.3468124794860801</c:v>
                </c:pt>
                <c:pt idx="70">
                  <c:v>2.34723276485053</c:v>
                </c:pt>
                <c:pt idx="71">
                  <c:v>2.3471581163086501</c:v>
                </c:pt>
                <c:pt idx="72">
                  <c:v>2.3470290401379099</c:v>
                </c:pt>
                <c:pt idx="73">
                  <c:v>2.3470447438569599</c:v>
                </c:pt>
                <c:pt idx="74">
                  <c:v>2.34702025064299</c:v>
                </c:pt>
                <c:pt idx="75">
                  <c:v>2.34709370972472</c:v>
                </c:pt>
                <c:pt idx="76">
                  <c:v>2.3470447818387101</c:v>
                </c:pt>
                <c:pt idx="77">
                  <c:v>2.3472808157551799</c:v>
                </c:pt>
                <c:pt idx="78">
                  <c:v>2.3474589776005499</c:v>
                </c:pt>
                <c:pt idx="79">
                  <c:v>2.3476837114200002</c:v>
                </c:pt>
                <c:pt idx="80">
                  <c:v>2.34829282858577</c:v>
                </c:pt>
                <c:pt idx="81">
                  <c:v>2.3487248624879902</c:v>
                </c:pt>
                <c:pt idx="82">
                  <c:v>2.3491965835635198</c:v>
                </c:pt>
                <c:pt idx="83">
                  <c:v>2.3491922524096598</c:v>
                </c:pt>
                <c:pt idx="84">
                  <c:v>2.34945027048858</c:v>
                </c:pt>
                <c:pt idx="85">
                  <c:v>2.3496758091702001</c:v>
                </c:pt>
                <c:pt idx="86">
                  <c:v>2.3500643032109201</c:v>
                </c:pt>
                <c:pt idx="87">
                  <c:v>2.3504889405631801</c:v>
                </c:pt>
                <c:pt idx="88">
                  <c:v>2.3506946229437702</c:v>
                </c:pt>
                <c:pt idx="89">
                  <c:v>2.35060766490452</c:v>
                </c:pt>
                <c:pt idx="90">
                  <c:v>2.3504516691769699</c:v>
                </c:pt>
                <c:pt idx="91">
                  <c:v>2.3504518335536102</c:v>
                </c:pt>
                <c:pt idx="92">
                  <c:v>2.3503295886219502</c:v>
                </c:pt>
                <c:pt idx="93">
                  <c:v>2.3502789291277102</c:v>
                </c:pt>
                <c:pt idx="94">
                  <c:v>2.3496120177333801</c:v>
                </c:pt>
                <c:pt idx="95">
                  <c:v>2.34919041487472</c:v>
                </c:pt>
                <c:pt idx="96">
                  <c:v>2.34868635238317</c:v>
                </c:pt>
                <c:pt idx="97">
                  <c:v>2.3485145491484198</c:v>
                </c:pt>
                <c:pt idx="98">
                  <c:v>2.3483934763885799</c:v>
                </c:pt>
                <c:pt idx="99">
                  <c:v>2.3486124089544398</c:v>
                </c:pt>
                <c:pt idx="100">
                  <c:v>2.3486947940110299</c:v>
                </c:pt>
                <c:pt idx="101">
                  <c:v>2.34873081360081</c:v>
                </c:pt>
                <c:pt idx="102">
                  <c:v>2.3488287336801901</c:v>
                </c:pt>
                <c:pt idx="103">
                  <c:v>2.3489545155567102</c:v>
                </c:pt>
                <c:pt idx="104">
                  <c:v>2.3492710287121499</c:v>
                </c:pt>
                <c:pt idx="105">
                  <c:v>2.3495643311163601</c:v>
                </c:pt>
                <c:pt idx="106">
                  <c:v>2.3496114203645502</c:v>
                </c:pt>
                <c:pt idx="107">
                  <c:v>2.3493935032723199</c:v>
                </c:pt>
                <c:pt idx="108">
                  <c:v>2.3492699397734902</c:v>
                </c:pt>
                <c:pt idx="109">
                  <c:v>2.34890938611685</c:v>
                </c:pt>
                <c:pt idx="110">
                  <c:v>2.34856283794897</c:v>
                </c:pt>
                <c:pt idx="111">
                  <c:v>2.3485058223450399</c:v>
                </c:pt>
                <c:pt idx="112">
                  <c:v>2.3484946693860902</c:v>
                </c:pt>
                <c:pt idx="113">
                  <c:v>2.3486482118296101</c:v>
                </c:pt>
                <c:pt idx="114">
                  <c:v>2.3487885491363198</c:v>
                </c:pt>
                <c:pt idx="115">
                  <c:v>2.3488893494493501</c:v>
                </c:pt>
                <c:pt idx="116">
                  <c:v>2.3490902073041</c:v>
                </c:pt>
                <c:pt idx="117">
                  <c:v>2.3495344920644401</c:v>
                </c:pt>
                <c:pt idx="118">
                  <c:v>2.3498369510516901</c:v>
                </c:pt>
                <c:pt idx="119">
                  <c:v>2.3503181029634099</c:v>
                </c:pt>
                <c:pt idx="120">
                  <c:v>2.3507287370563499</c:v>
                </c:pt>
                <c:pt idx="121">
                  <c:v>2.3508356071500001</c:v>
                </c:pt>
                <c:pt idx="122">
                  <c:v>2.3507402920623299</c:v>
                </c:pt>
                <c:pt idx="123">
                  <c:v>2.3508552422364901</c:v>
                </c:pt>
                <c:pt idx="124">
                  <c:v>2.3510163240517001</c:v>
                </c:pt>
                <c:pt idx="125">
                  <c:v>2.3512842461395</c:v>
                </c:pt>
                <c:pt idx="126">
                  <c:v>2.3514695380313699</c:v>
                </c:pt>
                <c:pt idx="127">
                  <c:v>2.3510109225227498</c:v>
                </c:pt>
                <c:pt idx="128">
                  <c:v>2.3506951053188399</c:v>
                </c:pt>
                <c:pt idx="129">
                  <c:v>2.3504249597920399</c:v>
                </c:pt>
                <c:pt idx="130">
                  <c:v>2.3500237909126098</c:v>
                </c:pt>
                <c:pt idx="131">
                  <c:v>2.3495943329473699</c:v>
                </c:pt>
                <c:pt idx="132">
                  <c:v>2.34930510963326</c:v>
                </c:pt>
                <c:pt idx="133">
                  <c:v>2.3488590826597702</c:v>
                </c:pt>
                <c:pt idx="134">
                  <c:v>2.3485930692329702</c:v>
                </c:pt>
                <c:pt idx="135">
                  <c:v>2.3480880380326501</c:v>
                </c:pt>
                <c:pt idx="136">
                  <c:v>2.3476461833406499</c:v>
                </c:pt>
                <c:pt idx="137">
                  <c:v>2.3477042565089499</c:v>
                </c:pt>
                <c:pt idx="138">
                  <c:v>2.3476750466631802</c:v>
                </c:pt>
                <c:pt idx="139">
                  <c:v>2.34782512806551</c:v>
                </c:pt>
                <c:pt idx="140">
                  <c:v>2.3480931005100998</c:v>
                </c:pt>
                <c:pt idx="141">
                  <c:v>2.3484846077450601</c:v>
                </c:pt>
                <c:pt idx="142">
                  <c:v>2.3488401095647502</c:v>
                </c:pt>
                <c:pt idx="143">
                  <c:v>2.3491199275597601</c:v>
                </c:pt>
                <c:pt idx="144">
                  <c:v>2.34958889460655</c:v>
                </c:pt>
                <c:pt idx="145">
                  <c:v>2.3500359103898201</c:v>
                </c:pt>
                <c:pt idx="146">
                  <c:v>2.3506383300456402</c:v>
                </c:pt>
                <c:pt idx="147">
                  <c:v>2.3511312616171001</c:v>
                </c:pt>
                <c:pt idx="148">
                  <c:v>2.3514989835514299</c:v>
                </c:pt>
                <c:pt idx="149">
                  <c:v>2.3514774088919799</c:v>
                </c:pt>
                <c:pt idx="150">
                  <c:v>2.3515362570679299</c:v>
                </c:pt>
                <c:pt idx="151">
                  <c:v>2.3514852632293599</c:v>
                </c:pt>
                <c:pt idx="152">
                  <c:v>2.3515861482723799</c:v>
                </c:pt>
                <c:pt idx="153">
                  <c:v>2.3516912793170501</c:v>
                </c:pt>
                <c:pt idx="154">
                  <c:v>2.35118777753565</c:v>
                </c:pt>
                <c:pt idx="155">
                  <c:v>2.3509613755885699</c:v>
                </c:pt>
                <c:pt idx="156">
                  <c:v>2.3506164514216699</c:v>
                </c:pt>
                <c:pt idx="157">
                  <c:v>2.3505666629903401</c:v>
                </c:pt>
                <c:pt idx="158">
                  <c:v>2.3503006510673701</c:v>
                </c:pt>
                <c:pt idx="159">
                  <c:v>2.34995901214026</c:v>
                </c:pt>
                <c:pt idx="160">
                  <c:v>2.3499737857187002</c:v>
                </c:pt>
                <c:pt idx="161">
                  <c:v>2.3502413782792</c:v>
                </c:pt>
                <c:pt idx="162">
                  <c:v>2.3504755130774502</c:v>
                </c:pt>
                <c:pt idx="163">
                  <c:v>2.3507513315773698</c:v>
                </c:pt>
                <c:pt idx="164">
                  <c:v>2.3513679358036601</c:v>
                </c:pt>
                <c:pt idx="165">
                  <c:v>2.3517060200487698</c:v>
                </c:pt>
                <c:pt idx="166">
                  <c:v>2.352169691276</c:v>
                </c:pt>
                <c:pt idx="167">
                  <c:v>2.3522720757734601</c:v>
                </c:pt>
                <c:pt idx="168">
                  <c:v>2.3526654987751798</c:v>
                </c:pt>
                <c:pt idx="169">
                  <c:v>2.3531539342846899</c:v>
                </c:pt>
                <c:pt idx="170">
                  <c:v>2.3531470951529601</c:v>
                </c:pt>
                <c:pt idx="171">
                  <c:v>2.35281332236258</c:v>
                </c:pt>
                <c:pt idx="172">
                  <c:v>2.3525986932417</c:v>
                </c:pt>
                <c:pt idx="173">
                  <c:v>2.3527972570309599</c:v>
                </c:pt>
                <c:pt idx="174">
                  <c:v>2.3530319007455001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06D-4CBA-AF05-E646E156B125}"/>
            </c:ext>
          </c:extLst>
        </c:ser>
        <c:ser>
          <c:idx val="2"/>
          <c:order val="2"/>
          <c:tx>
            <c:strRef>
              <c:f>Sheet1!$Q$1</c:f>
              <c:strCache>
                <c:ptCount val="1"/>
                <c:pt idx="0">
                  <c:v> MUB/TFI 20 dma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Sheet1!$Q$2:$Q$176</c:f>
              <c:numCache>
                <c:formatCode>_(* #,##0.0000_);_(* \(#,##0.0000\);_(* "-"??_);_(@_)</c:formatCode>
                <c:ptCount val="175"/>
                <c:pt idx="19">
                  <c:v>2.3436630003893999</c:v>
                </c:pt>
                <c:pt idx="20">
                  <c:v>2.3438142046123098</c:v>
                </c:pt>
                <c:pt idx="21">
                  <c:v>2.3437981512654602</c:v>
                </c:pt>
                <c:pt idx="22">
                  <c:v>2.3434802452472998</c:v>
                </c:pt>
                <c:pt idx="23">
                  <c:v>2.3433485904348199</c:v>
                </c:pt>
                <c:pt idx="24">
                  <c:v>2.3430900064764302</c:v>
                </c:pt>
                <c:pt idx="25">
                  <c:v>2.3428498251041501</c:v>
                </c:pt>
                <c:pt idx="26">
                  <c:v>2.3427358993246798</c:v>
                </c:pt>
                <c:pt idx="27">
                  <c:v>2.3425131160140098</c:v>
                </c:pt>
                <c:pt idx="28">
                  <c:v>2.3423521860491499</c:v>
                </c:pt>
                <c:pt idx="29">
                  <c:v>2.3421401291102302</c:v>
                </c:pt>
                <c:pt idx="30">
                  <c:v>2.3420826698230899</c:v>
                </c:pt>
                <c:pt idx="31">
                  <c:v>2.34211100032014</c:v>
                </c:pt>
                <c:pt idx="32">
                  <c:v>2.34228801557069</c:v>
                </c:pt>
                <c:pt idx="33">
                  <c:v>2.34235885987116</c:v>
                </c:pt>
                <c:pt idx="34">
                  <c:v>2.3422169138681901</c:v>
                </c:pt>
                <c:pt idx="35">
                  <c:v>2.3420846219667499</c:v>
                </c:pt>
                <c:pt idx="36">
                  <c:v>2.34202162665061</c:v>
                </c:pt>
                <c:pt idx="37">
                  <c:v>2.3419792043074099</c:v>
                </c:pt>
                <c:pt idx="38">
                  <c:v>2.3419048832244198</c:v>
                </c:pt>
                <c:pt idx="39">
                  <c:v>2.3419536409058002</c:v>
                </c:pt>
                <c:pt idx="40">
                  <c:v>2.3418071249388301</c:v>
                </c:pt>
                <c:pt idx="41">
                  <c:v>2.3417592122165498</c:v>
                </c:pt>
                <c:pt idx="42">
                  <c:v>2.34191192538696</c:v>
                </c:pt>
                <c:pt idx="43">
                  <c:v>2.3419857231752501</c:v>
                </c:pt>
                <c:pt idx="44">
                  <c:v>2.3423821561695299</c:v>
                </c:pt>
                <c:pt idx="45">
                  <c:v>2.3426962118493799</c:v>
                </c:pt>
                <c:pt idx="46">
                  <c:v>2.3428807702341201</c:v>
                </c:pt>
                <c:pt idx="47">
                  <c:v>2.34318003077263</c:v>
                </c:pt>
                <c:pt idx="48">
                  <c:v>2.3434385632216501</c:v>
                </c:pt>
                <c:pt idx="49">
                  <c:v>2.3438827081028299</c:v>
                </c:pt>
                <c:pt idx="50">
                  <c:v>2.3440004576112798</c:v>
                </c:pt>
                <c:pt idx="51">
                  <c:v>2.3440721124912001</c:v>
                </c:pt>
                <c:pt idx="52">
                  <c:v>2.3438757601172502</c:v>
                </c:pt>
                <c:pt idx="53">
                  <c:v>2.3438202250310498</c:v>
                </c:pt>
                <c:pt idx="54">
                  <c:v>2.3440607867390302</c:v>
                </c:pt>
                <c:pt idx="55">
                  <c:v>2.3440671662405199</c:v>
                </c:pt>
                <c:pt idx="56">
                  <c:v>2.3441615538934699</c:v>
                </c:pt>
                <c:pt idx="57">
                  <c:v>2.3440683034229099</c:v>
                </c:pt>
                <c:pt idx="58">
                  <c:v>2.34406754048273</c:v>
                </c:pt>
                <c:pt idx="59">
                  <c:v>2.3440687312588699</c:v>
                </c:pt>
                <c:pt idx="60">
                  <c:v>2.3439218483883399</c:v>
                </c:pt>
                <c:pt idx="61">
                  <c:v>2.3441167727096399</c:v>
                </c:pt>
                <c:pt idx="62">
                  <c:v>2.3443943801657898</c:v>
                </c:pt>
                <c:pt idx="63">
                  <c:v>2.3446797580497898</c:v>
                </c:pt>
                <c:pt idx="64">
                  <c:v>2.3448522812954602</c:v>
                </c:pt>
                <c:pt idx="65">
                  <c:v>2.3449996045535899</c:v>
                </c:pt>
                <c:pt idx="66">
                  <c:v>2.3453019802702899</c:v>
                </c:pt>
                <c:pt idx="67">
                  <c:v>2.3452513126494501</c:v>
                </c:pt>
                <c:pt idx="68">
                  <c:v>2.3453114961828501</c:v>
                </c:pt>
                <c:pt idx="69">
                  <c:v>2.3453171859499098</c:v>
                </c:pt>
                <c:pt idx="70">
                  <c:v>2.3453813731549</c:v>
                </c:pt>
                <c:pt idx="71">
                  <c:v>2.34549513532105</c:v>
                </c:pt>
                <c:pt idx="72">
                  <c:v>2.34573069481142</c:v>
                </c:pt>
                <c:pt idx="73">
                  <c:v>2.3459463264789799</c:v>
                </c:pt>
                <c:pt idx="74">
                  <c:v>2.3460586904790399</c:v>
                </c:pt>
                <c:pt idx="75">
                  <c:v>2.34631491661401</c:v>
                </c:pt>
                <c:pt idx="76">
                  <c:v>2.3464871634721298</c:v>
                </c:pt>
                <c:pt idx="77">
                  <c:v>2.34668032747566</c:v>
                </c:pt>
                <c:pt idx="78">
                  <c:v>2.34697645317214</c:v>
                </c:pt>
                <c:pt idx="79">
                  <c:v>2.3472480954530401</c:v>
                </c:pt>
                <c:pt idx="80">
                  <c:v>2.34776279671815</c:v>
                </c:pt>
                <c:pt idx="81">
                  <c:v>2.3479414893983201</c:v>
                </c:pt>
                <c:pt idx="82">
                  <c:v>2.3481128118507102</c:v>
                </c:pt>
                <c:pt idx="83">
                  <c:v>2.3481184981333101</c:v>
                </c:pt>
                <c:pt idx="84">
                  <c:v>2.3482352605657799</c:v>
                </c:pt>
                <c:pt idx="85">
                  <c:v>2.3483847594474598</c:v>
                </c:pt>
                <c:pt idx="86">
                  <c:v>2.34855454252481</c:v>
                </c:pt>
                <c:pt idx="87">
                  <c:v>2.34888487815918</c:v>
                </c:pt>
                <c:pt idx="88">
                  <c:v>2.3490768002721598</c:v>
                </c:pt>
                <c:pt idx="89">
                  <c:v>2.3491456881622601</c:v>
                </c:pt>
                <c:pt idx="90">
                  <c:v>2.34937224888137</c:v>
                </c:pt>
                <c:pt idx="91">
                  <c:v>2.3495883480208</c:v>
                </c:pt>
                <c:pt idx="92">
                  <c:v>2.3497630860927399</c:v>
                </c:pt>
                <c:pt idx="93">
                  <c:v>2.3497355907686801</c:v>
                </c:pt>
                <c:pt idx="94">
                  <c:v>2.3495311441109799</c:v>
                </c:pt>
                <c:pt idx="95">
                  <c:v>2.3494331120224601</c:v>
                </c:pt>
                <c:pt idx="96">
                  <c:v>2.3493753277970399</c:v>
                </c:pt>
                <c:pt idx="97">
                  <c:v>2.3495017448558002</c:v>
                </c:pt>
                <c:pt idx="98">
                  <c:v>2.3495440496661701</c:v>
                </c:pt>
                <c:pt idx="99">
                  <c:v>2.3496100369294801</c:v>
                </c:pt>
                <c:pt idx="100">
                  <c:v>2.3495732315939999</c:v>
                </c:pt>
                <c:pt idx="101">
                  <c:v>2.3495913235772101</c:v>
                </c:pt>
                <c:pt idx="102">
                  <c:v>2.3495791611510701</c:v>
                </c:pt>
                <c:pt idx="103">
                  <c:v>2.3496167223422102</c:v>
                </c:pt>
                <c:pt idx="104">
                  <c:v>2.3494415232227599</c:v>
                </c:pt>
                <c:pt idx="105">
                  <c:v>2.3493773729955398</c:v>
                </c:pt>
                <c:pt idx="106">
                  <c:v>2.3491488863738601</c:v>
                </c:pt>
                <c:pt idx="107">
                  <c:v>2.3489540262103699</c:v>
                </c:pt>
                <c:pt idx="108">
                  <c:v>2.3488317080810299</c:v>
                </c:pt>
                <c:pt idx="109">
                  <c:v>2.3487608975356502</c:v>
                </c:pt>
                <c:pt idx="110">
                  <c:v>2.3486288159800002</c:v>
                </c:pt>
                <c:pt idx="111">
                  <c:v>2.3486183179729299</c:v>
                </c:pt>
                <c:pt idx="112">
                  <c:v>2.3486617015331399</c:v>
                </c:pt>
                <c:pt idx="113">
                  <c:v>2.3488013636931599</c:v>
                </c:pt>
                <c:pt idx="114">
                  <c:v>2.3490297889242302</c:v>
                </c:pt>
                <c:pt idx="115">
                  <c:v>2.3492268402828498</c:v>
                </c:pt>
                <c:pt idx="116">
                  <c:v>2.3493508138343202</c:v>
                </c:pt>
                <c:pt idx="117">
                  <c:v>2.34946399766838</c:v>
                </c:pt>
                <c:pt idx="118">
                  <c:v>2.3495534454125901</c:v>
                </c:pt>
                <c:pt idx="119">
                  <c:v>2.3496137445401302</c:v>
                </c:pt>
                <c:pt idx="120">
                  <c:v>2.3496457875026602</c:v>
                </c:pt>
                <c:pt idx="121">
                  <c:v>2.34967071474752</c:v>
                </c:pt>
                <c:pt idx="122">
                  <c:v>2.3496174807242101</c:v>
                </c:pt>
                <c:pt idx="123">
                  <c:v>2.3497517270330501</c:v>
                </c:pt>
                <c:pt idx="124">
                  <c:v>2.34990243659401</c:v>
                </c:pt>
                <c:pt idx="125">
                  <c:v>2.35008679779442</c:v>
                </c:pt>
                <c:pt idx="126">
                  <c:v>2.3502798726677301</c:v>
                </c:pt>
                <c:pt idx="127">
                  <c:v>2.3502727072936</c:v>
                </c:pt>
                <c:pt idx="128">
                  <c:v>2.3502660281852599</c:v>
                </c:pt>
                <c:pt idx="129">
                  <c:v>2.3503715313777298</c:v>
                </c:pt>
                <c:pt idx="130">
                  <c:v>2.3503762639844799</c:v>
                </c:pt>
                <c:pt idx="131">
                  <c:v>2.3502149700486799</c:v>
                </c:pt>
                <c:pt idx="132">
                  <c:v>2.3500227008477901</c:v>
                </c:pt>
                <c:pt idx="133">
                  <c:v>2.3498571624481301</c:v>
                </c:pt>
                <c:pt idx="134">
                  <c:v>2.3498046966423298</c:v>
                </c:pt>
                <c:pt idx="135">
                  <c:v>2.34968614208608</c:v>
                </c:pt>
                <c:pt idx="136">
                  <c:v>2.3495578606860099</c:v>
                </c:pt>
                <c:pt idx="137">
                  <c:v>2.3493575895158498</c:v>
                </c:pt>
                <c:pt idx="138">
                  <c:v>2.3491850759910098</c:v>
                </c:pt>
                <c:pt idx="139">
                  <c:v>2.3491250439287699</c:v>
                </c:pt>
                <c:pt idx="140">
                  <c:v>2.3490584457113499</c:v>
                </c:pt>
                <c:pt idx="141">
                  <c:v>2.3490394703462099</c:v>
                </c:pt>
                <c:pt idx="142">
                  <c:v>2.3490726095990002</c:v>
                </c:pt>
                <c:pt idx="143">
                  <c:v>2.3489895051097598</c:v>
                </c:pt>
                <c:pt idx="144">
                  <c:v>2.3490909819197601</c:v>
                </c:pt>
                <c:pt idx="145">
                  <c:v>2.34906197421124</c:v>
                </c:pt>
                <c:pt idx="146">
                  <c:v>2.3491422566931401</c:v>
                </c:pt>
                <c:pt idx="147">
                  <c:v>2.3494177590630199</c:v>
                </c:pt>
                <c:pt idx="148">
                  <c:v>2.3495870151073102</c:v>
                </c:pt>
                <c:pt idx="149">
                  <c:v>2.3496512684787398</c:v>
                </c:pt>
                <c:pt idx="150">
                  <c:v>2.3498146787890102</c:v>
                </c:pt>
                <c:pt idx="151">
                  <c:v>2.34998493548721</c:v>
                </c:pt>
                <c:pt idx="152">
                  <c:v>2.3502131289185701</c:v>
                </c:pt>
                <c:pt idx="153">
                  <c:v>2.3504056034384</c:v>
                </c:pt>
                <c:pt idx="154">
                  <c:v>2.3503883360711</c:v>
                </c:pt>
                <c:pt idx="155">
                  <c:v>2.3504986429892001</c:v>
                </c:pt>
                <c:pt idx="156">
                  <c:v>2.3506273907336501</c:v>
                </c:pt>
                <c:pt idx="157">
                  <c:v>2.3508489623037199</c:v>
                </c:pt>
                <c:pt idx="158">
                  <c:v>2.3508998173093998</c:v>
                </c:pt>
                <c:pt idx="159">
                  <c:v>2.3507182105161202</c:v>
                </c:pt>
                <c:pt idx="160">
                  <c:v>2.3507550213933102</c:v>
                </c:pt>
                <c:pt idx="161">
                  <c:v>2.35086332075428</c:v>
                </c:pt>
                <c:pt idx="162">
                  <c:v>2.3510308306749099</c:v>
                </c:pt>
                <c:pt idx="163">
                  <c:v>2.35122130544721</c:v>
                </c:pt>
                <c:pt idx="164">
                  <c:v>2.3512778566696602</c:v>
                </c:pt>
                <c:pt idx="165">
                  <c:v>2.3513336978186699</c:v>
                </c:pt>
                <c:pt idx="166">
                  <c:v>2.35139307134884</c:v>
                </c:pt>
                <c:pt idx="167">
                  <c:v>2.3514193693819001</c:v>
                </c:pt>
                <c:pt idx="168">
                  <c:v>2.3514830749212798</c:v>
                </c:pt>
                <c:pt idx="169">
                  <c:v>2.3515564732124701</c:v>
                </c:pt>
                <c:pt idx="170">
                  <c:v>2.3515604404358301</c:v>
                </c:pt>
                <c:pt idx="171">
                  <c:v>2.35152735032089</c:v>
                </c:pt>
                <c:pt idx="172">
                  <c:v>2.3515371031595702</c:v>
                </c:pt>
                <c:pt idx="173">
                  <c:v>2.35177429430416</c:v>
                </c:pt>
                <c:pt idx="174">
                  <c:v>2.3521999182745801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06D-4CBA-AF05-E646E156B1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6993888"/>
        <c:axId val="254732912"/>
      </c:lineChart>
      <c:catAx>
        <c:axId val="1686993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4732912"/>
        <c:crosses val="autoZero"/>
        <c:auto val="1"/>
        <c:lblAlgn val="ctr"/>
        <c:lblOffset val="100"/>
        <c:noMultiLvlLbl val="0"/>
      </c:catAx>
      <c:valAx>
        <c:axId val="254732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699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Sheet1!$AF$1</c:f>
              <c:strCache>
                <c:ptCount val="1"/>
                <c:pt idx="0">
                  <c:v>log diff TFI* x 10 dma / MUB*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Sheet1!$AF$2:$AF$176</c:f>
              <c:numCache>
                <c:formatCode>0.0000%</c:formatCode>
                <c:ptCount val="175"/>
                <c:pt idx="10">
                  <c:v>2.51812710899363E-4</c:v>
                </c:pt>
                <c:pt idx="11">
                  <c:v>6.88316392101135E-4</c:v>
                </c:pt>
                <c:pt idx="12">
                  <c:v>4.7040155227318401E-4</c:v>
                </c:pt>
                <c:pt idx="13">
                  <c:v>-4.52112738261581E-4</c:v>
                </c:pt>
                <c:pt idx="14">
                  <c:v>-6.9224998914481405E-4</c:v>
                </c:pt>
                <c:pt idx="15">
                  <c:v>-1.0823916620960701E-3</c:v>
                </c:pt>
                <c:pt idx="16">
                  <c:v>-5.34717861587827E-4</c:v>
                </c:pt>
                <c:pt idx="17">
                  <c:v>-9.3576425026009201E-4</c:v>
                </c:pt>
                <c:pt idx="18">
                  <c:v>-5.8857343033062102E-5</c:v>
                </c:pt>
                <c:pt idx="19">
                  <c:v>9.36274458493317E-5</c:v>
                </c:pt>
                <c:pt idx="20">
                  <c:v>-1.38352333200829E-3</c:v>
                </c:pt>
                <c:pt idx="21">
                  <c:v>1.6185869998960401E-4</c:v>
                </c:pt>
                <c:pt idx="22">
                  <c:v>2.3015616844385398E-3</c:v>
                </c:pt>
                <c:pt idx="23">
                  <c:v>1.27905081721834E-3</c:v>
                </c:pt>
                <c:pt idx="24">
                  <c:v>2.7108419397479599E-3</c:v>
                </c:pt>
                <c:pt idx="25">
                  <c:v>2.13860189519024E-3</c:v>
                </c:pt>
                <c:pt idx="26">
                  <c:v>1.3327378275696401E-3</c:v>
                </c:pt>
                <c:pt idx="27">
                  <c:v>1.01564259672121E-3</c:v>
                </c:pt>
                <c:pt idx="28">
                  <c:v>5.1063869489263703E-4</c:v>
                </c:pt>
                <c:pt idx="29">
                  <c:v>9.4219822981789995E-4</c:v>
                </c:pt>
                <c:pt idx="30">
                  <c:v>-5.5807154322027404E-4</c:v>
                </c:pt>
                <c:pt idx="31">
                  <c:v>-1.03250782528426E-3</c:v>
                </c:pt>
                <c:pt idx="32">
                  <c:v>-2.4811937581365601E-3</c:v>
                </c:pt>
                <c:pt idx="33">
                  <c:v>-2.0747309088525899E-3</c:v>
                </c:pt>
                <c:pt idx="34">
                  <c:v>-3.2586419921681902E-4</c:v>
                </c:pt>
                <c:pt idx="35">
                  <c:v>-6.9927911119880897E-4</c:v>
                </c:pt>
                <c:pt idx="36">
                  <c:v>-6.5051207696565597E-4</c:v>
                </c:pt>
                <c:pt idx="37">
                  <c:v>-1.1837540236175001E-3</c:v>
                </c:pt>
                <c:pt idx="38">
                  <c:v>1.19807340830265E-4</c:v>
                </c:pt>
                <c:pt idx="39">
                  <c:v>-7.0415643824690399E-4</c:v>
                </c:pt>
                <c:pt idx="40">
                  <c:v>-2.9338541177947598E-4</c:v>
                </c:pt>
                <c:pt idx="41">
                  <c:v>3.3566823843288602E-4</c:v>
                </c:pt>
                <c:pt idx="42">
                  <c:v>6.9649793487236401E-4</c:v>
                </c:pt>
                <c:pt idx="43">
                  <c:v>3.2788182428997398E-4</c:v>
                </c:pt>
                <c:pt idx="44">
                  <c:v>-9.9375898411327391E-4</c:v>
                </c:pt>
                <c:pt idx="45">
                  <c:v>-4.0309386088208202E-4</c:v>
                </c:pt>
                <c:pt idx="46">
                  <c:v>2.7815013742835798E-4</c:v>
                </c:pt>
                <c:pt idx="47">
                  <c:v>-8.0592517363688198E-4</c:v>
                </c:pt>
                <c:pt idx="48">
                  <c:v>-6.7124600368119003E-4</c:v>
                </c:pt>
                <c:pt idx="49">
                  <c:v>-1.53931756225271E-3</c:v>
                </c:pt>
                <c:pt idx="50">
                  <c:v>8.3881732313650399E-5</c:v>
                </c:pt>
                <c:pt idx="51">
                  <c:v>2.2880402790924199E-4</c:v>
                </c:pt>
                <c:pt idx="52">
                  <c:v>1.16951215951128E-3</c:v>
                </c:pt>
                <c:pt idx="53">
                  <c:v>7.5746749235090503E-5</c:v>
                </c:pt>
                <c:pt idx="54">
                  <c:v>-8.1227062208964599E-4</c:v>
                </c:pt>
                <c:pt idx="55">
                  <c:v>6.7919766097318795E-4</c:v>
                </c:pt>
                <c:pt idx="56">
                  <c:v>-2.8559295423914298E-4</c:v>
                </c:pt>
                <c:pt idx="57">
                  <c:v>7.0501565722584604E-4</c:v>
                </c:pt>
                <c:pt idx="58">
                  <c:v>8.8438402761164495E-4</c:v>
                </c:pt>
                <c:pt idx="59">
                  <c:v>-1.77529819996769E-4</c:v>
                </c:pt>
                <c:pt idx="60">
                  <c:v>1.1193412927922601E-3</c:v>
                </c:pt>
                <c:pt idx="61">
                  <c:v>-1.3939900588145701E-3</c:v>
                </c:pt>
                <c:pt idx="62">
                  <c:v>-1.63316196992923E-3</c:v>
                </c:pt>
                <c:pt idx="63">
                  <c:v>-1.66302224170648E-3</c:v>
                </c:pt>
                <c:pt idx="64">
                  <c:v>-1.7304102883090001E-3</c:v>
                </c:pt>
                <c:pt idx="65">
                  <c:v>-9.838344365230079E-4</c:v>
                </c:pt>
                <c:pt idx="66">
                  <c:v>-1.5042108929765501E-3</c:v>
                </c:pt>
                <c:pt idx="67">
                  <c:v>5.98934890029041E-4</c:v>
                </c:pt>
                <c:pt idx="68">
                  <c:v>-1.7533623644129699E-4</c:v>
                </c:pt>
                <c:pt idx="69">
                  <c:v>-5.2695904638209599E-4</c:v>
                </c:pt>
                <c:pt idx="70">
                  <c:v>6.0091120356408202E-4</c:v>
                </c:pt>
                <c:pt idx="71">
                  <c:v>5.0290284812453095E-4</c:v>
                </c:pt>
                <c:pt idx="72">
                  <c:v>3.3481776442347699E-4</c:v>
                </c:pt>
                <c:pt idx="73">
                  <c:v>-6.2290578914285597E-4</c:v>
                </c:pt>
                <c:pt idx="74">
                  <c:v>-6.8969130243682003E-4</c:v>
                </c:pt>
                <c:pt idx="75">
                  <c:v>-4.7699889746055202E-4</c:v>
                </c:pt>
                <c:pt idx="76">
                  <c:v>-6.3205907164824498E-4</c:v>
                </c:pt>
                <c:pt idx="77">
                  <c:v>6.7975421956009805E-5</c:v>
                </c:pt>
                <c:pt idx="78">
                  <c:v>-4.2254049458443E-4</c:v>
                </c:pt>
                <c:pt idx="79">
                  <c:v>-1.0725515179530801E-3</c:v>
                </c:pt>
                <c:pt idx="80">
                  <c:v>-1.6216191977062801E-3</c:v>
                </c:pt>
                <c:pt idx="81">
                  <c:v>-8.8541821877328596E-4</c:v>
                </c:pt>
                <c:pt idx="82">
                  <c:v>-1.0063061484689799E-3</c:v>
                </c:pt>
                <c:pt idx="83">
                  <c:v>3.1863693527767499E-4</c:v>
                </c:pt>
                <c:pt idx="84">
                  <c:v>-8.7309638922729402E-4</c:v>
                </c:pt>
                <c:pt idx="85">
                  <c:v>-4.0220899333366297E-4</c:v>
                </c:pt>
                <c:pt idx="86">
                  <c:v>-1.1853381731695199E-3</c:v>
                </c:pt>
                <c:pt idx="87">
                  <c:v>-4.5406158317301499E-4</c:v>
                </c:pt>
                <c:pt idx="88">
                  <c:v>6.7762765067665395E-5</c:v>
                </c:pt>
                <c:pt idx="89">
                  <c:v>6.7496631504541504E-4</c:v>
                </c:pt>
                <c:pt idx="90">
                  <c:v>2.8667902148850902E-4</c:v>
                </c:pt>
                <c:pt idx="91">
                  <c:v>3.2783517097557001E-5</c:v>
                </c:pt>
                <c:pt idx="92">
                  <c:v>2.4878928384382298E-4</c:v>
                </c:pt>
                <c:pt idx="93">
                  <c:v>1.0165534016219899E-3</c:v>
                </c:pt>
                <c:pt idx="94">
                  <c:v>2.4298206080355799E-3</c:v>
                </c:pt>
                <c:pt idx="95">
                  <c:v>1.4619969434852399E-3</c:v>
                </c:pt>
                <c:pt idx="96">
                  <c:v>7.5306147783223295E-4</c:v>
                </c:pt>
                <c:pt idx="97">
                  <c:v>-3.0958673029162002E-4</c:v>
                </c:pt>
                <c:pt idx="98">
                  <c:v>-2.5731832303808801E-4</c:v>
                </c:pt>
                <c:pt idx="99">
                  <c:v>-1.23598255361306E-3</c:v>
                </c:pt>
                <c:pt idx="100">
                  <c:v>-9.1303016091014903E-4</c:v>
                </c:pt>
                <c:pt idx="101">
                  <c:v>-8.6819744279659401E-4</c:v>
                </c:pt>
                <c:pt idx="102">
                  <c:v>-9.0030499677406898E-4</c:v>
                </c:pt>
                <c:pt idx="103">
                  <c:v>-1.5779052034969101E-4</c:v>
                </c:pt>
                <c:pt idx="104">
                  <c:v>5.1707794597089104E-4</c:v>
                </c:pt>
                <c:pt idx="105">
                  <c:v>6.7513721789226995E-5</c:v>
                </c:pt>
                <c:pt idx="106">
                  <c:v>7.1163721565988805E-4</c:v>
                </c:pt>
                <c:pt idx="107">
                  <c:v>1.0121705057835699E-3</c:v>
                </c:pt>
                <c:pt idx="108">
                  <c:v>6.4300897826375899E-4</c:v>
                </c:pt>
                <c:pt idx="109">
                  <c:v>6.7176700914092704E-4</c:v>
                </c:pt>
                <c:pt idx="110">
                  <c:v>6.8869517677217298E-4</c:v>
                </c:pt>
                <c:pt idx="111">
                  <c:v>-6.8180857130955197E-4</c:v>
                </c:pt>
                <c:pt idx="112">
                  <c:v>-9.4865884162795798E-4</c:v>
                </c:pt>
                <c:pt idx="113">
                  <c:v>-9.5340781236781199E-4</c:v>
                </c:pt>
                <c:pt idx="114">
                  <c:v>-2.10906827798319E-4</c:v>
                </c:pt>
                <c:pt idx="115">
                  <c:v>-5.66889067758835E-4</c:v>
                </c:pt>
                <c:pt idx="116">
                  <c:v>-4.3079917878026901E-4</c:v>
                </c:pt>
                <c:pt idx="117">
                  <c:v>-1.10069546343787E-3</c:v>
                </c:pt>
                <c:pt idx="118">
                  <c:v>-5.8437290628450404E-4</c:v>
                </c:pt>
                <c:pt idx="119">
                  <c:v>-1.1342759573388899E-3</c:v>
                </c:pt>
                <c:pt idx="120">
                  <c:v>-4.5961869765770598E-4</c:v>
                </c:pt>
                <c:pt idx="121">
                  <c:v>-2.1464150425378999E-4</c:v>
                </c:pt>
                <c:pt idx="122">
                  <c:v>4.4842952287273998E-4</c:v>
                </c:pt>
                <c:pt idx="123">
                  <c:v>-4.86545307596824E-4</c:v>
                </c:pt>
                <c:pt idx="124">
                  <c:v>4.2884917402655997E-5</c:v>
                </c:pt>
                <c:pt idx="125">
                  <c:v>-7.5824653315655001E-4</c:v>
                </c:pt>
                <c:pt idx="126">
                  <c:v>-1.9993024244597E-4</c:v>
                </c:pt>
                <c:pt idx="127">
                  <c:v>1.8637327284604501E-3</c:v>
                </c:pt>
                <c:pt idx="128">
                  <c:v>1.3881096375659701E-3</c:v>
                </c:pt>
                <c:pt idx="129">
                  <c:v>3.7984651304413699E-4</c:v>
                </c:pt>
                <c:pt idx="130">
                  <c:v>1.29338836623447E-3</c:v>
                </c:pt>
                <c:pt idx="131">
                  <c:v>1.3136216448007801E-3</c:v>
                </c:pt>
                <c:pt idx="132">
                  <c:v>1.1518860226573801E-3</c:v>
                </c:pt>
                <c:pt idx="133">
                  <c:v>8.0101168318301604E-4</c:v>
                </c:pt>
                <c:pt idx="134">
                  <c:v>3.2565312358164998E-4</c:v>
                </c:pt>
                <c:pt idx="135">
                  <c:v>3.5931417613156399E-4</c:v>
                </c:pt>
                <c:pt idx="136">
                  <c:v>3.20396630380417E-4</c:v>
                </c:pt>
                <c:pt idx="137">
                  <c:v>-1.09287652006531E-5</c:v>
                </c:pt>
                <c:pt idx="138">
                  <c:v>1.0505682089336499E-4</c:v>
                </c:pt>
                <c:pt idx="139">
                  <c:v>-1.54422491154427E-3</c:v>
                </c:pt>
                <c:pt idx="140">
                  <c:v>-9.54261727113528E-4</c:v>
                </c:pt>
                <c:pt idx="141">
                  <c:v>-1.1750495154451801E-3</c:v>
                </c:pt>
                <c:pt idx="142">
                  <c:v>-8.3416318537969897E-4</c:v>
                </c:pt>
                <c:pt idx="143">
                  <c:v>-5.8825042092928298E-4</c:v>
                </c:pt>
                <c:pt idx="144">
                  <c:v>-1.55853357762376E-3</c:v>
                </c:pt>
                <c:pt idx="145">
                  <c:v>-1.1189743701811401E-3</c:v>
                </c:pt>
                <c:pt idx="146">
                  <c:v>-1.41350028993154E-3</c:v>
                </c:pt>
                <c:pt idx="147">
                  <c:v>-8.3466986678946997E-4</c:v>
                </c:pt>
                <c:pt idx="148">
                  <c:v>-1.5247307428834301E-6</c:v>
                </c:pt>
                <c:pt idx="149">
                  <c:v>1.7502903519170401E-4</c:v>
                </c:pt>
                <c:pt idx="150">
                  <c:v>3.4975198416515902E-4</c:v>
                </c:pt>
                <c:pt idx="151">
                  <c:v>5.0717907607542999E-4</c:v>
                </c:pt>
                <c:pt idx="152">
                  <c:v>1.35950552329127E-5</c:v>
                </c:pt>
                <c:pt idx="153">
                  <c:v>1.32947025925985E-4</c:v>
                </c:pt>
                <c:pt idx="154">
                  <c:v>1.6777886305716001E-3</c:v>
                </c:pt>
                <c:pt idx="155">
                  <c:v>5.2425595002152895E-4</c:v>
                </c:pt>
                <c:pt idx="156">
                  <c:v>4.46973086779037E-4</c:v>
                </c:pt>
                <c:pt idx="157">
                  <c:v>-6.3232362184033797E-4</c:v>
                </c:pt>
                <c:pt idx="158">
                  <c:v>8.9036708663791503E-4</c:v>
                </c:pt>
                <c:pt idx="159">
                  <c:v>1.11946252993888E-3</c:v>
                </c:pt>
                <c:pt idx="160">
                  <c:v>-3.5902370162020202E-4</c:v>
                </c:pt>
                <c:pt idx="161">
                  <c:v>-1.2953663270455699E-3</c:v>
                </c:pt>
                <c:pt idx="162">
                  <c:v>-1.5107304611526201E-3</c:v>
                </c:pt>
                <c:pt idx="163">
                  <c:v>-1.51182901568742E-3</c:v>
                </c:pt>
                <c:pt idx="164">
                  <c:v>-1.3449020603615699E-3</c:v>
                </c:pt>
                <c:pt idx="165">
                  <c:v>-8.3677232752535596E-4</c:v>
                </c:pt>
                <c:pt idx="166">
                  <c:v>-1.2075365200456001E-3</c:v>
                </c:pt>
                <c:pt idx="167">
                  <c:v>-4.0695646073546002E-4</c:v>
                </c:pt>
                <c:pt idx="168">
                  <c:v>-5.8189481967759703E-5</c:v>
                </c:pt>
                <c:pt idx="169">
                  <c:v>4.6796519547997002E-5</c:v>
                </c:pt>
                <c:pt idx="170">
                  <c:v>1.02871114989855E-3</c:v>
                </c:pt>
                <c:pt idx="171">
                  <c:v>1.47357620512936E-3</c:v>
                </c:pt>
                <c:pt idx="172">
                  <c:v>4.9526208045492202E-4</c:v>
                </c:pt>
                <c:pt idx="173">
                  <c:v>-1.45208820774389E-3</c:v>
                </c:pt>
                <c:pt idx="174">
                  <c:v>-1.4712789909496599E-3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EC9-4A53-8A13-4D96EA3F0B8F}"/>
            </c:ext>
          </c:extLst>
        </c:ser>
        <c:ser>
          <c:idx val="2"/>
          <c:order val="1"/>
          <c:tx>
            <c:strRef>
              <c:f>Sheet1!$AG$1</c:f>
              <c:strCache>
                <c:ptCount val="1"/>
                <c:pt idx="0">
                  <c:v>log diff TFI* x 20 dma / MUB*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Sheet1!$AG$2:$AG$176</c:f>
              <c:numCache>
                <c:formatCode>0.0000%</c:formatCode>
                <c:ptCount val="175"/>
                <c:pt idx="20">
                  <c:v>-1.4517143099571301E-3</c:v>
                </c:pt>
                <c:pt idx="21">
                  <c:v>-1.9062935596780799E-5</c:v>
                </c:pt>
                <c:pt idx="22">
                  <c:v>2.02501517158172E-3</c:v>
                </c:pt>
                <c:pt idx="23">
                  <c:v>9.9445290174575494E-4</c:v>
                </c:pt>
                <c:pt idx="24">
                  <c:v>2.4861775944258501E-3</c:v>
                </c:pt>
                <c:pt idx="25">
                  <c:v>2.09863405298186E-3</c:v>
                </c:pt>
                <c:pt idx="26">
                  <c:v>1.50423513786425E-3</c:v>
                </c:pt>
                <c:pt idx="27">
                  <c:v>1.3595279859392E-3</c:v>
                </c:pt>
                <c:pt idx="28">
                  <c:v>1.02344528136254E-3</c:v>
                </c:pt>
                <c:pt idx="29">
                  <c:v>1.54584587430947E-3</c:v>
                </c:pt>
                <c:pt idx="30">
                  <c:v>1.60629327158973E-4</c:v>
                </c:pt>
                <c:pt idx="31">
                  <c:v>-1.1169811668547101E-4</c:v>
                </c:pt>
                <c:pt idx="32">
                  <c:v>-1.48355747114333E-3</c:v>
                </c:pt>
                <c:pt idx="33">
                  <c:v>-1.2806302280707301E-3</c:v>
                </c:pt>
                <c:pt idx="34">
                  <c:v>3.2166576467344702E-4</c:v>
                </c:pt>
                <c:pt idx="35">
                  <c:v>-2.8644702438477301E-4</c:v>
                </c:pt>
                <c:pt idx="36">
                  <c:v>-4.9531984163470098E-4</c:v>
                </c:pt>
                <c:pt idx="37">
                  <c:v>-1.2227031469751401E-3</c:v>
                </c:pt>
                <c:pt idx="38">
                  <c:v>-1.64969534978545E-4</c:v>
                </c:pt>
                <c:pt idx="39">
                  <c:v>-1.1166525279953099E-3</c:v>
                </c:pt>
                <c:pt idx="40">
                  <c:v>-9.3205196456708195E-4</c:v>
                </c:pt>
                <c:pt idx="41">
                  <c:v>-4.6684049889880199E-4</c:v>
                </c:pt>
                <c:pt idx="42">
                  <c:v>-1.50208257551081E-4</c:v>
                </c:pt>
                <c:pt idx="43">
                  <c:v>-3.0523956536894199E-4</c:v>
                </c:pt>
                <c:pt idx="44">
                  <c:v>-1.4817384752432001E-3</c:v>
                </c:pt>
                <c:pt idx="45">
                  <c:v>-8.8623944623138304E-4</c:v>
                </c:pt>
                <c:pt idx="46">
                  <c:v>-1.37965350926359E-4</c:v>
                </c:pt>
                <c:pt idx="47">
                  <c:v>-1.1336397994770799E-3</c:v>
                </c:pt>
                <c:pt idx="48">
                  <c:v>-8.99025846643711E-4</c:v>
                </c:pt>
                <c:pt idx="49">
                  <c:v>-1.78143418458738E-3</c:v>
                </c:pt>
                <c:pt idx="50">
                  <c:v>-1.00778547266933E-4</c:v>
                </c:pt>
                <c:pt idx="51">
                  <c:v>9.5170617238933601E-5</c:v>
                </c:pt>
                <c:pt idx="52">
                  <c:v>1.02904913037528E-3</c:v>
                </c:pt>
                <c:pt idx="53">
                  <c:v>-1.2929886862941801E-4</c:v>
                </c:pt>
                <c:pt idx="54">
                  <c:v>-1.1072079248668799E-3</c:v>
                </c:pt>
                <c:pt idx="55">
                  <c:v>4.4602034335259201E-4</c:v>
                </c:pt>
                <c:pt idx="56">
                  <c:v>-4.5448143017492499E-4</c:v>
                </c:pt>
                <c:pt idx="57">
                  <c:v>4.8625707963331901E-4</c:v>
                </c:pt>
                <c:pt idx="58">
                  <c:v>7.3317005545897205E-4</c:v>
                </c:pt>
                <c:pt idx="59">
                  <c:v>-2.0377579235607599E-4</c:v>
                </c:pt>
                <c:pt idx="60">
                  <c:v>1.2246504244128799E-3</c:v>
                </c:pt>
                <c:pt idx="61">
                  <c:v>-1.2267917838381099E-3</c:v>
                </c:pt>
                <c:pt idx="62">
                  <c:v>-1.51173642499783E-3</c:v>
                </c:pt>
                <c:pt idx="63">
                  <c:v>-1.67921790058877E-3</c:v>
                </c:pt>
                <c:pt idx="64">
                  <c:v>-1.8021237158561E-3</c:v>
                </c:pt>
                <c:pt idx="65">
                  <c:v>-1.08824879086766E-3</c:v>
                </c:pt>
                <c:pt idx="66">
                  <c:v>-1.73297749157055E-3</c:v>
                </c:pt>
                <c:pt idx="67">
                  <c:v>3.3138687599370799E-4</c:v>
                </c:pt>
                <c:pt idx="68">
                  <c:v>-5.2855221224314705E-4</c:v>
                </c:pt>
                <c:pt idx="69">
                  <c:v>-1.0310006588645901E-3</c:v>
                </c:pt>
                <c:pt idx="70">
                  <c:v>-3.6451228170558403E-5</c:v>
                </c:pt>
                <c:pt idx="71">
                  <c:v>-2.86163432310072E-4</c:v>
                </c:pt>
                <c:pt idx="72">
                  <c:v>-3.7394163800486999E-4</c:v>
                </c:pt>
                <c:pt idx="73">
                  <c:v>-1.1762455861699401E-3</c:v>
                </c:pt>
                <c:pt idx="74">
                  <c:v>-1.15780103525649E-3</c:v>
                </c:pt>
                <c:pt idx="75">
                  <c:v>-8.8677686602478697E-4</c:v>
                </c:pt>
                <c:pt idx="76">
                  <c:v>-9.6392581493055199E-4</c:v>
                </c:pt>
                <c:pt idx="77">
                  <c:v>-1.6963598697947101E-4</c:v>
                </c:pt>
                <c:pt idx="78">
                  <c:v>-6.7839616295197998E-4</c:v>
                </c:pt>
                <c:pt idx="79">
                  <c:v>-1.27812445093778E-3</c:v>
                </c:pt>
                <c:pt idx="80">
                  <c:v>-1.8071878006712899E-3</c:v>
                </c:pt>
                <c:pt idx="81">
                  <c:v>-1.11115313852732E-3</c:v>
                </c:pt>
                <c:pt idx="82">
                  <c:v>-1.3398930112530801E-3</c:v>
                </c:pt>
                <c:pt idx="83">
                  <c:v>-1.42806687361864E-4</c:v>
                </c:pt>
                <c:pt idx="84">
                  <c:v>-1.3302746991477601E-3</c:v>
                </c:pt>
                <c:pt idx="85">
                  <c:v>-9.1948923350990402E-4</c:v>
                </c:pt>
                <c:pt idx="86">
                  <c:v>-1.7349478414082299E-3</c:v>
                </c:pt>
                <c:pt idx="87">
                  <c:v>-1.09670180900619E-3</c:v>
                </c:pt>
                <c:pt idx="88">
                  <c:v>-6.1490796008539903E-4</c:v>
                </c:pt>
                <c:pt idx="89">
                  <c:v>-1.3502374099921301E-5</c:v>
                </c:pt>
                <c:pt idx="90">
                  <c:v>-3.3547141049656399E-4</c:v>
                </c:pt>
                <c:pt idx="91">
                  <c:v>-4.2656148535387699E-4</c:v>
                </c:pt>
                <c:pt idx="92">
                  <c:v>-1.18648231227821E-4</c:v>
                </c:pt>
                <c:pt idx="93">
                  <c:v>7.7549324763602804E-4</c:v>
                </c:pt>
                <c:pt idx="94">
                  <c:v>2.1986135089311501E-3</c:v>
                </c:pt>
                <c:pt idx="95">
                  <c:v>1.4275763609988799E-3</c:v>
                </c:pt>
                <c:pt idx="96">
                  <c:v>8.56367114715358E-4</c:v>
                </c:pt>
                <c:pt idx="97">
                  <c:v>-1.62847407844816E-5</c:v>
                </c:pt>
                <c:pt idx="98">
                  <c:v>1.62942340242985E-4</c:v>
                </c:pt>
                <c:pt idx="99">
                  <c:v>-7.4616194862775302E-4</c:v>
                </c:pt>
                <c:pt idx="100">
                  <c:v>-4.88346995512629E-4</c:v>
                </c:pt>
                <c:pt idx="101">
                  <c:v>-4.9425641243388803E-4</c:v>
                </c:pt>
                <c:pt idx="102">
                  <c:v>-5.3399976656728497E-4</c:v>
                </c:pt>
                <c:pt idx="103">
                  <c:v>1.6164852966821201E-4</c:v>
                </c:pt>
                <c:pt idx="104">
                  <c:v>7.9895375730035505E-4</c:v>
                </c:pt>
                <c:pt idx="105">
                  <c:v>1.40084456348628E-4</c:v>
                </c:pt>
                <c:pt idx="106">
                  <c:v>6.3206265070692397E-4</c:v>
                </c:pt>
                <c:pt idx="107">
                  <c:v>8.1529560177079797E-4</c:v>
                </c:pt>
                <c:pt idx="108">
                  <c:v>4.5593168758795301E-4</c:v>
                </c:pt>
                <c:pt idx="109">
                  <c:v>4.8521008612266398E-4</c:v>
                </c:pt>
                <c:pt idx="110">
                  <c:v>6.2547721029663497E-4</c:v>
                </c:pt>
                <c:pt idx="111">
                  <c:v>-6.5371602755290802E-4</c:v>
                </c:pt>
                <c:pt idx="112">
                  <c:v>-9.0075905250224203E-4</c:v>
                </c:pt>
                <c:pt idx="113">
                  <c:v>-8.8228727307447096E-4</c:v>
                </c:pt>
                <c:pt idx="114">
                  <c:v>-1.45700438185029E-4</c:v>
                </c:pt>
                <c:pt idx="115">
                  <c:v>-4.64186165787764E-4</c:v>
                </c:pt>
                <c:pt idx="116">
                  <c:v>-2.87128473135639E-4</c:v>
                </c:pt>
                <c:pt idx="117">
                  <c:v>-9.8976227120626593E-4</c:v>
                </c:pt>
                <c:pt idx="118">
                  <c:v>-6.1437691510368101E-4</c:v>
                </c:pt>
                <c:pt idx="119">
                  <c:v>-1.25493230445009E-3</c:v>
                </c:pt>
                <c:pt idx="120">
                  <c:v>-7.5935003479526205E-4</c:v>
                </c:pt>
                <c:pt idx="121">
                  <c:v>-6.7543439094650503E-4</c:v>
                </c:pt>
                <c:pt idx="122">
                  <c:v>-4.7215987017206899E-5</c:v>
                </c:pt>
                <c:pt idx="123">
                  <c:v>-9.6430100780169796E-4</c:v>
                </c:pt>
                <c:pt idx="124">
                  <c:v>-4.2663539387892998E-4</c:v>
                </c:pt>
                <c:pt idx="125">
                  <c:v>-1.2321485660361201E-3</c:v>
                </c:pt>
                <c:pt idx="126">
                  <c:v>-7.0933414176839102E-4</c:v>
                </c:pt>
                <c:pt idx="127">
                  <c:v>1.35768049763862E-3</c:v>
                </c:pt>
                <c:pt idx="128">
                  <c:v>1.07406126552477E-3</c:v>
                </c:pt>
                <c:pt idx="129">
                  <c:v>1.97297828814031E-4</c:v>
                </c:pt>
                <c:pt idx="130">
                  <c:v>1.27065672302565E-3</c:v>
                </c:pt>
                <c:pt idx="131">
                  <c:v>1.4635974206559199E-3</c:v>
                </c:pt>
                <c:pt idx="132">
                  <c:v>1.4159976343898701E-3</c:v>
                </c:pt>
                <c:pt idx="133">
                  <c:v>1.10641332744012E-3</c:v>
                </c:pt>
                <c:pt idx="134">
                  <c:v>7.50483971543208E-4</c:v>
                </c:pt>
                <c:pt idx="135">
                  <c:v>8.7507614291290896E-4</c:v>
                </c:pt>
                <c:pt idx="136">
                  <c:v>1.0007631417519099E-3</c:v>
                </c:pt>
                <c:pt idx="137">
                  <c:v>8.0303521549421298E-4</c:v>
                </c:pt>
                <c:pt idx="138">
                  <c:v>8.0904289958782605E-4</c:v>
                </c:pt>
                <c:pt idx="139">
                  <c:v>-9.0122965921745301E-4</c:v>
                </c:pt>
                <c:pt idx="140">
                  <c:v>-4.0074685092541298E-4</c:v>
                </c:pt>
                <c:pt idx="141">
                  <c:v>-7.6401520865328697E-4</c:v>
                </c:pt>
                <c:pt idx="142">
                  <c:v>-5.9792699179737495E-4</c:v>
                </c:pt>
                <c:pt idx="143">
                  <c:v>-4.8927027875061795E-4</c:v>
                </c:pt>
                <c:pt idx="144">
                  <c:v>-1.6140548258615E-3</c:v>
                </c:pt>
                <c:pt idx="145">
                  <c:v>-1.3309116384095699E-3</c:v>
                </c:pt>
                <c:pt idx="146">
                  <c:v>-1.8280207857572599E-3</c:v>
                </c:pt>
                <c:pt idx="147">
                  <c:v>-1.4713265682737601E-3</c:v>
                </c:pt>
                <c:pt idx="148">
                  <c:v>-7.3058962185855501E-4</c:v>
                </c:pt>
                <c:pt idx="149">
                  <c:v>-6.3838665219909303E-4</c:v>
                </c:pt>
                <c:pt idx="150">
                  <c:v>-4.27142515182406E-4</c:v>
                </c:pt>
                <c:pt idx="151">
                  <c:v>-2.25196949180479E-4</c:v>
                </c:pt>
                <c:pt idx="152">
                  <c:v>-6.2464265751101895E-4</c:v>
                </c:pt>
                <c:pt idx="153">
                  <c:v>-4.51092960427384E-4</c:v>
                </c:pt>
                <c:pt idx="154">
                  <c:v>1.13093647386785E-3</c:v>
                </c:pt>
                <c:pt idx="155">
                  <c:v>1.8418213097087899E-4</c:v>
                </c:pt>
                <c:pt idx="156">
                  <c:v>2.5012674583693999E-4</c:v>
                </c:pt>
                <c:pt idx="157">
                  <c:v>-6.2766982707893103E-4</c:v>
                </c:pt>
                <c:pt idx="158">
                  <c:v>1.01045828308447E-3</c:v>
                </c:pt>
                <c:pt idx="159">
                  <c:v>1.3743617835669901E-3</c:v>
                </c:pt>
                <c:pt idx="160">
                  <c:v>-3.60071035842752E-5</c:v>
                </c:pt>
                <c:pt idx="161">
                  <c:v>-9.6297715342380801E-4</c:v>
                </c:pt>
                <c:pt idx="162">
                  <c:v>-1.24613627807132E-3</c:v>
                </c:pt>
                <c:pt idx="163">
                  <c:v>-1.27559936525317E-3</c:v>
                </c:pt>
                <c:pt idx="164">
                  <c:v>-1.14499708103266E-3</c:v>
                </c:pt>
                <c:pt idx="165">
                  <c:v>-8.7508230790300898E-4</c:v>
                </c:pt>
                <c:pt idx="166">
                  <c:v>-1.36586911054501E-3</c:v>
                </c:pt>
                <c:pt idx="167">
                  <c:v>-7.37182705569761E-4</c:v>
                </c:pt>
                <c:pt idx="168">
                  <c:v>-4.2075850284925499E-4</c:v>
                </c:pt>
                <c:pt idx="169">
                  <c:v>-4.5591884340611099E-4</c:v>
                </c:pt>
                <c:pt idx="170">
                  <c:v>3.4962104859847701E-4</c:v>
                </c:pt>
                <c:pt idx="171">
                  <c:v>7.9907953757543096E-4</c:v>
                </c:pt>
                <c:pt idx="172">
                  <c:v>-5.1455159302090197E-5</c:v>
                </c:pt>
                <c:pt idx="173">
                  <c:v>-1.9034315133348799E-3</c:v>
                </c:pt>
                <c:pt idx="174">
                  <c:v>-1.90615929057053E-3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EC9-4A53-8A13-4D96EA3F0B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644688"/>
        <c:axId val="205301072"/>
      </c:lineChart>
      <c:catAx>
        <c:axId val="16796446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01072"/>
        <c:crosses val="autoZero"/>
        <c:auto val="1"/>
        <c:lblAlgn val="ctr"/>
        <c:lblOffset val="100"/>
        <c:noMultiLvlLbl val="0"/>
      </c:catAx>
      <c:valAx>
        <c:axId val="205301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644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Sheet1!$Y$1</c:f>
              <c:strCache>
                <c:ptCount val="1"/>
                <c:pt idx="0">
                  <c:v> MUB*/TFI* avg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Sheet1!$Y$2:$Y$176</c:f>
              <c:numCache>
                <c:formatCode>_(* #,##0.0000_);_(* \(#,##0.0000\);_(* "-"??_);_(@_)</c:formatCode>
                <c:ptCount val="175"/>
                <c:pt idx="0">
                  <c:v>2.3475193892851398</c:v>
                </c:pt>
                <c:pt idx="1">
                  <c:v>2.3475193892851398</c:v>
                </c:pt>
                <c:pt idx="2">
                  <c:v>2.3475193892851398</c:v>
                </c:pt>
                <c:pt idx="3">
                  <c:v>2.3475193892851398</c:v>
                </c:pt>
                <c:pt idx="4">
                  <c:v>2.3475193892851398</c:v>
                </c:pt>
                <c:pt idx="5">
                  <c:v>2.3475193892851398</c:v>
                </c:pt>
                <c:pt idx="6">
                  <c:v>2.3475193892851398</c:v>
                </c:pt>
                <c:pt idx="7">
                  <c:v>2.3475193892851398</c:v>
                </c:pt>
                <c:pt idx="8">
                  <c:v>2.3475193892851398</c:v>
                </c:pt>
                <c:pt idx="9">
                  <c:v>2.3475193892851398</c:v>
                </c:pt>
                <c:pt idx="10">
                  <c:v>2.3475193892851398</c:v>
                </c:pt>
                <c:pt idx="11">
                  <c:v>2.3475193892851398</c:v>
                </c:pt>
                <c:pt idx="12">
                  <c:v>2.3475193892851398</c:v>
                </c:pt>
                <c:pt idx="13">
                  <c:v>2.3475193892851398</c:v>
                </c:pt>
                <c:pt idx="14">
                  <c:v>2.3475193892851398</c:v>
                </c:pt>
                <c:pt idx="15">
                  <c:v>2.3475193892851398</c:v>
                </c:pt>
                <c:pt idx="16">
                  <c:v>2.3475193892851398</c:v>
                </c:pt>
                <c:pt idx="17">
                  <c:v>2.3475193892851398</c:v>
                </c:pt>
                <c:pt idx="18">
                  <c:v>2.3475193892851398</c:v>
                </c:pt>
                <c:pt idx="19">
                  <c:v>2.3475193892851398</c:v>
                </c:pt>
                <c:pt idx="20">
                  <c:v>2.3475193892851398</c:v>
                </c:pt>
                <c:pt idx="21">
                  <c:v>2.3475193892851398</c:v>
                </c:pt>
                <c:pt idx="22">
                  <c:v>2.3475193892851398</c:v>
                </c:pt>
                <c:pt idx="23">
                  <c:v>2.3475193892851398</c:v>
                </c:pt>
                <c:pt idx="24">
                  <c:v>2.3475193892851398</c:v>
                </c:pt>
                <c:pt idx="25">
                  <c:v>2.3475193892851398</c:v>
                </c:pt>
                <c:pt idx="26">
                  <c:v>2.3475193892851398</c:v>
                </c:pt>
                <c:pt idx="27">
                  <c:v>2.3475193892851398</c:v>
                </c:pt>
                <c:pt idx="28">
                  <c:v>2.3475193892851398</c:v>
                </c:pt>
                <c:pt idx="29">
                  <c:v>2.3475193892851398</c:v>
                </c:pt>
                <c:pt idx="30">
                  <c:v>2.3475193892851398</c:v>
                </c:pt>
                <c:pt idx="31">
                  <c:v>2.3475193892851398</c:v>
                </c:pt>
                <c:pt idx="32">
                  <c:v>2.3475193892851398</c:v>
                </c:pt>
                <c:pt idx="33">
                  <c:v>2.3475193892851398</c:v>
                </c:pt>
                <c:pt idx="34">
                  <c:v>2.3475193892851398</c:v>
                </c:pt>
                <c:pt idx="35">
                  <c:v>2.3475193892851398</c:v>
                </c:pt>
                <c:pt idx="36">
                  <c:v>2.3475193892851398</c:v>
                </c:pt>
                <c:pt idx="37">
                  <c:v>2.3475193892851398</c:v>
                </c:pt>
                <c:pt idx="38">
                  <c:v>2.3475193892851398</c:v>
                </c:pt>
                <c:pt idx="39">
                  <c:v>2.3475193892851398</c:v>
                </c:pt>
                <c:pt idx="40">
                  <c:v>2.3475193892851398</c:v>
                </c:pt>
                <c:pt idx="41">
                  <c:v>2.3475193892851398</c:v>
                </c:pt>
                <c:pt idx="42">
                  <c:v>2.3475193892851398</c:v>
                </c:pt>
                <c:pt idx="43">
                  <c:v>2.3475193892851398</c:v>
                </c:pt>
                <c:pt idx="44">
                  <c:v>2.3475193892851398</c:v>
                </c:pt>
                <c:pt idx="45">
                  <c:v>2.3475193892851398</c:v>
                </c:pt>
                <c:pt idx="46">
                  <c:v>2.3475193892851398</c:v>
                </c:pt>
                <c:pt idx="47">
                  <c:v>2.3475193892851398</c:v>
                </c:pt>
                <c:pt idx="48">
                  <c:v>2.3475193892851398</c:v>
                </c:pt>
                <c:pt idx="49">
                  <c:v>2.3475193892851398</c:v>
                </c:pt>
                <c:pt idx="50">
                  <c:v>2.3475193892851398</c:v>
                </c:pt>
                <c:pt idx="51">
                  <c:v>2.3475193892851398</c:v>
                </c:pt>
                <c:pt idx="52">
                  <c:v>2.3475193892851398</c:v>
                </c:pt>
                <c:pt idx="53">
                  <c:v>2.3475193892851398</c:v>
                </c:pt>
                <c:pt idx="54">
                  <c:v>2.3475193892851398</c:v>
                </c:pt>
                <c:pt idx="55">
                  <c:v>2.3475193892851398</c:v>
                </c:pt>
                <c:pt idx="56">
                  <c:v>2.3475193892851398</c:v>
                </c:pt>
                <c:pt idx="57">
                  <c:v>2.3475193892851398</c:v>
                </c:pt>
                <c:pt idx="58">
                  <c:v>2.3475193892851398</c:v>
                </c:pt>
                <c:pt idx="59">
                  <c:v>2.3475193892851398</c:v>
                </c:pt>
                <c:pt idx="60">
                  <c:v>2.3475193892851398</c:v>
                </c:pt>
                <c:pt idx="61">
                  <c:v>2.3475193892851398</c:v>
                </c:pt>
                <c:pt idx="62">
                  <c:v>2.3475193892851398</c:v>
                </c:pt>
                <c:pt idx="63">
                  <c:v>2.3475193892851398</c:v>
                </c:pt>
                <c:pt idx="64">
                  <c:v>2.3475193892851398</c:v>
                </c:pt>
                <c:pt idx="65">
                  <c:v>2.3475193892851398</c:v>
                </c:pt>
                <c:pt idx="66">
                  <c:v>2.3475193892851398</c:v>
                </c:pt>
                <c:pt idx="67">
                  <c:v>2.3475193892851398</c:v>
                </c:pt>
                <c:pt idx="68">
                  <c:v>2.3475193892851398</c:v>
                </c:pt>
                <c:pt idx="69">
                  <c:v>2.3475193892851398</c:v>
                </c:pt>
                <c:pt idx="70">
                  <c:v>2.3475193892851398</c:v>
                </c:pt>
                <c:pt idx="71">
                  <c:v>2.3475193892851398</c:v>
                </c:pt>
                <c:pt idx="72">
                  <c:v>2.3475193892851398</c:v>
                </c:pt>
                <c:pt idx="73">
                  <c:v>2.3475193892851398</c:v>
                </c:pt>
                <c:pt idx="74">
                  <c:v>2.3475193892851398</c:v>
                </c:pt>
                <c:pt idx="75">
                  <c:v>2.3475193892851398</c:v>
                </c:pt>
                <c:pt idx="76">
                  <c:v>2.3475193892851398</c:v>
                </c:pt>
                <c:pt idx="77">
                  <c:v>2.3475193892851398</c:v>
                </c:pt>
                <c:pt idx="78">
                  <c:v>2.3475193892851398</c:v>
                </c:pt>
                <c:pt idx="79">
                  <c:v>2.3475193892851398</c:v>
                </c:pt>
                <c:pt idx="80">
                  <c:v>2.3475193892851398</c:v>
                </c:pt>
                <c:pt idx="81">
                  <c:v>2.3475193892851398</c:v>
                </c:pt>
                <c:pt idx="82">
                  <c:v>2.3475193892851398</c:v>
                </c:pt>
                <c:pt idx="83">
                  <c:v>2.3475193892851398</c:v>
                </c:pt>
                <c:pt idx="84">
                  <c:v>2.3475193892851398</c:v>
                </c:pt>
                <c:pt idx="85">
                  <c:v>2.3475193892851398</c:v>
                </c:pt>
                <c:pt idx="86">
                  <c:v>2.3475193892851398</c:v>
                </c:pt>
                <c:pt idx="87">
                  <c:v>2.3475193892851398</c:v>
                </c:pt>
                <c:pt idx="88">
                  <c:v>2.3475193892851398</c:v>
                </c:pt>
                <c:pt idx="89">
                  <c:v>2.3475193892851398</c:v>
                </c:pt>
                <c:pt idx="90">
                  <c:v>2.3475193892851398</c:v>
                </c:pt>
                <c:pt idx="91">
                  <c:v>2.3475193892851398</c:v>
                </c:pt>
                <c:pt idx="92">
                  <c:v>2.3475193892851398</c:v>
                </c:pt>
                <c:pt idx="93">
                  <c:v>2.3475193892851398</c:v>
                </c:pt>
                <c:pt idx="94">
                  <c:v>2.3475193892851398</c:v>
                </c:pt>
                <c:pt idx="95">
                  <c:v>2.3475193892851398</c:v>
                </c:pt>
                <c:pt idx="96">
                  <c:v>2.3475193892851398</c:v>
                </c:pt>
                <c:pt idx="97">
                  <c:v>2.3475193892851398</c:v>
                </c:pt>
                <c:pt idx="98">
                  <c:v>2.3475193892851398</c:v>
                </c:pt>
                <c:pt idx="99">
                  <c:v>2.3475193892851398</c:v>
                </c:pt>
                <c:pt idx="100">
                  <c:v>2.3475193892851398</c:v>
                </c:pt>
                <c:pt idx="101">
                  <c:v>2.3475193892851398</c:v>
                </c:pt>
                <c:pt idx="102">
                  <c:v>2.3475193892851398</c:v>
                </c:pt>
                <c:pt idx="103">
                  <c:v>2.3475193892851398</c:v>
                </c:pt>
                <c:pt idx="104">
                  <c:v>2.3475193892851398</c:v>
                </c:pt>
                <c:pt idx="105">
                  <c:v>2.3475193892851398</c:v>
                </c:pt>
                <c:pt idx="106">
                  <c:v>2.3475193892851398</c:v>
                </c:pt>
                <c:pt idx="107">
                  <c:v>2.3475193892851398</c:v>
                </c:pt>
                <c:pt idx="108">
                  <c:v>2.3475193892851398</c:v>
                </c:pt>
                <c:pt idx="109">
                  <c:v>2.3475193892851398</c:v>
                </c:pt>
                <c:pt idx="110">
                  <c:v>2.3475193892851398</c:v>
                </c:pt>
                <c:pt idx="111">
                  <c:v>2.3475193892851398</c:v>
                </c:pt>
                <c:pt idx="112">
                  <c:v>2.3475193892851398</c:v>
                </c:pt>
                <c:pt idx="113">
                  <c:v>2.3475193892851398</c:v>
                </c:pt>
                <c:pt idx="114">
                  <c:v>2.3475193892851398</c:v>
                </c:pt>
                <c:pt idx="115">
                  <c:v>2.3475193892851398</c:v>
                </c:pt>
                <c:pt idx="116">
                  <c:v>2.3475193892851398</c:v>
                </c:pt>
                <c:pt idx="117">
                  <c:v>2.3475193892851398</c:v>
                </c:pt>
                <c:pt idx="118">
                  <c:v>2.3475193892851398</c:v>
                </c:pt>
                <c:pt idx="119">
                  <c:v>2.3475193892851398</c:v>
                </c:pt>
                <c:pt idx="120">
                  <c:v>2.3475193892851398</c:v>
                </c:pt>
                <c:pt idx="121">
                  <c:v>2.3475193892851398</c:v>
                </c:pt>
                <c:pt idx="122">
                  <c:v>2.3475193892851398</c:v>
                </c:pt>
                <c:pt idx="123">
                  <c:v>2.3475193892851398</c:v>
                </c:pt>
                <c:pt idx="124">
                  <c:v>2.3475193892851398</c:v>
                </c:pt>
                <c:pt idx="125">
                  <c:v>2.3475193892851398</c:v>
                </c:pt>
                <c:pt idx="126">
                  <c:v>2.3475193892851398</c:v>
                </c:pt>
                <c:pt idx="127">
                  <c:v>2.3475193892851398</c:v>
                </c:pt>
                <c:pt idx="128">
                  <c:v>2.3475193892851398</c:v>
                </c:pt>
                <c:pt idx="129">
                  <c:v>2.3475193892851398</c:v>
                </c:pt>
                <c:pt idx="130">
                  <c:v>2.3475193892851398</c:v>
                </c:pt>
                <c:pt idx="131">
                  <c:v>2.3475193892851398</c:v>
                </c:pt>
                <c:pt idx="132">
                  <c:v>2.3475193892851398</c:v>
                </c:pt>
                <c:pt idx="133">
                  <c:v>2.3475193892851398</c:v>
                </c:pt>
                <c:pt idx="134">
                  <c:v>2.3475193892851398</c:v>
                </c:pt>
                <c:pt idx="135">
                  <c:v>2.3475193892851398</c:v>
                </c:pt>
                <c:pt idx="136">
                  <c:v>2.3475193892851398</c:v>
                </c:pt>
                <c:pt idx="137">
                  <c:v>2.3475193892851398</c:v>
                </c:pt>
                <c:pt idx="138">
                  <c:v>2.3475193892851398</c:v>
                </c:pt>
                <c:pt idx="139">
                  <c:v>2.3475193892851398</c:v>
                </c:pt>
                <c:pt idx="140">
                  <c:v>2.3475193892851398</c:v>
                </c:pt>
                <c:pt idx="141">
                  <c:v>2.3475193892851398</c:v>
                </c:pt>
                <c:pt idx="142">
                  <c:v>2.3475193892851398</c:v>
                </c:pt>
                <c:pt idx="143">
                  <c:v>2.3475193892851398</c:v>
                </c:pt>
                <c:pt idx="144">
                  <c:v>2.3475193892851398</c:v>
                </c:pt>
                <c:pt idx="145">
                  <c:v>2.3475193892851398</c:v>
                </c:pt>
                <c:pt idx="146">
                  <c:v>2.3475193892851398</c:v>
                </c:pt>
                <c:pt idx="147">
                  <c:v>2.3475193892851398</c:v>
                </c:pt>
                <c:pt idx="148">
                  <c:v>2.3475193892851398</c:v>
                </c:pt>
                <c:pt idx="149">
                  <c:v>2.3475193892851398</c:v>
                </c:pt>
                <c:pt idx="150">
                  <c:v>2.3475193892851398</c:v>
                </c:pt>
                <c:pt idx="151">
                  <c:v>2.3475193892851398</c:v>
                </c:pt>
                <c:pt idx="152">
                  <c:v>2.3475193892851398</c:v>
                </c:pt>
                <c:pt idx="153">
                  <c:v>2.3475193892851398</c:v>
                </c:pt>
                <c:pt idx="154">
                  <c:v>2.3475193892851398</c:v>
                </c:pt>
                <c:pt idx="155">
                  <c:v>2.3475193892851398</c:v>
                </c:pt>
                <c:pt idx="156">
                  <c:v>2.3475193892851398</c:v>
                </c:pt>
                <c:pt idx="157">
                  <c:v>2.3475193892851398</c:v>
                </c:pt>
                <c:pt idx="158">
                  <c:v>2.3475193892851398</c:v>
                </c:pt>
                <c:pt idx="159">
                  <c:v>2.3475193892851398</c:v>
                </c:pt>
                <c:pt idx="160">
                  <c:v>2.3475193892851398</c:v>
                </c:pt>
                <c:pt idx="161">
                  <c:v>2.3475193892851398</c:v>
                </c:pt>
                <c:pt idx="162">
                  <c:v>2.3475193892851398</c:v>
                </c:pt>
                <c:pt idx="163">
                  <c:v>2.3475193892851398</c:v>
                </c:pt>
                <c:pt idx="164">
                  <c:v>2.3475193892851398</c:v>
                </c:pt>
                <c:pt idx="165">
                  <c:v>2.3475193892851398</c:v>
                </c:pt>
                <c:pt idx="166">
                  <c:v>2.3475193892851398</c:v>
                </c:pt>
                <c:pt idx="167">
                  <c:v>2.3475193892851398</c:v>
                </c:pt>
                <c:pt idx="168">
                  <c:v>2.3475193892851398</c:v>
                </c:pt>
                <c:pt idx="169">
                  <c:v>2.3475193892851398</c:v>
                </c:pt>
                <c:pt idx="170">
                  <c:v>2.3475193892851398</c:v>
                </c:pt>
                <c:pt idx="171">
                  <c:v>2.3475193892851398</c:v>
                </c:pt>
                <c:pt idx="172">
                  <c:v>2.3475193892851398</c:v>
                </c:pt>
                <c:pt idx="173">
                  <c:v>2.3475193892851398</c:v>
                </c:pt>
                <c:pt idx="174">
                  <c:v>2.3475193892851398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4EC-430B-8CE1-DA1D103166FE}"/>
            </c:ext>
          </c:extLst>
        </c:ser>
        <c:ser>
          <c:idx val="1"/>
          <c:order val="1"/>
          <c:tx>
            <c:strRef>
              <c:f>Sheet1!$Z$1</c:f>
              <c:strCache>
                <c:ptCount val="1"/>
                <c:pt idx="0">
                  <c:v> MUB*/TFI* 10 dma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Sheet1!$Z$2:$Z$176</c:f>
              <c:numCache>
                <c:formatCode>_(* #,##0.0000_);_(* \(#,##0.0000\);_(* "-"??_);_(@_)</c:formatCode>
                <c:ptCount val="175"/>
                <c:pt idx="9">
                  <c:v>2.34350317826827</c:v>
                </c:pt>
                <c:pt idx="10">
                  <c:v>2.3433901195509801</c:v>
                </c:pt>
                <c:pt idx="11">
                  <c:v>2.3431498924271499</c:v>
                </c:pt>
                <c:pt idx="12">
                  <c:v>2.3428132007393199</c:v>
                </c:pt>
                <c:pt idx="13">
                  <c:v>2.3428220644142899</c:v>
                </c:pt>
                <c:pt idx="14">
                  <c:v>2.3429963563532898</c:v>
                </c:pt>
                <c:pt idx="15">
                  <c:v>2.3432515830963898</c:v>
                </c:pt>
                <c:pt idx="16">
                  <c:v>2.3435413934644802</c:v>
                </c:pt>
                <c:pt idx="17">
                  <c:v>2.3437140642154102</c:v>
                </c:pt>
                <c:pt idx="18">
                  <c:v>2.3437657147492699</c:v>
                </c:pt>
                <c:pt idx="19">
                  <c:v>2.3438228225105302</c:v>
                </c:pt>
                <c:pt idx="20">
                  <c:v>2.3442382896736502</c:v>
                </c:pt>
                <c:pt idx="21">
                  <c:v>2.3444464101037599</c:v>
                </c:pt>
                <c:pt idx="22">
                  <c:v>2.34414728975529</c:v>
                </c:pt>
                <c:pt idx="23">
                  <c:v>2.34387511645535</c:v>
                </c:pt>
                <c:pt idx="24">
                  <c:v>2.3431836565995701</c:v>
                </c:pt>
                <c:pt idx="25">
                  <c:v>2.3424480671119099</c:v>
                </c:pt>
                <c:pt idx="26">
                  <c:v>2.3419304051848799</c:v>
                </c:pt>
                <c:pt idx="27">
                  <c:v>2.3413121678126201</c:v>
                </c:pt>
                <c:pt idx="28">
                  <c:v>2.3409386573490298</c:v>
                </c:pt>
                <c:pt idx="29">
                  <c:v>2.3404574357099199</c:v>
                </c:pt>
                <c:pt idx="30">
                  <c:v>2.33992704997253</c:v>
                </c:pt>
                <c:pt idx="31">
                  <c:v>2.3397755905365298</c:v>
                </c:pt>
                <c:pt idx="32">
                  <c:v>2.34042874138609</c:v>
                </c:pt>
                <c:pt idx="33">
                  <c:v>2.3408426032869798</c:v>
                </c:pt>
                <c:pt idx="34">
                  <c:v>2.3412501711368101</c:v>
                </c:pt>
                <c:pt idx="35">
                  <c:v>2.3417211768216002</c:v>
                </c:pt>
                <c:pt idx="36">
                  <c:v>2.34211284811634</c:v>
                </c:pt>
                <c:pt idx="37">
                  <c:v>2.3426462408022002</c:v>
                </c:pt>
                <c:pt idx="38">
                  <c:v>2.3428711090998098</c:v>
                </c:pt>
                <c:pt idx="39">
                  <c:v>2.3434498461016702</c:v>
                </c:pt>
                <c:pt idx="40">
                  <c:v>2.3436871999051299</c:v>
                </c:pt>
                <c:pt idx="41">
                  <c:v>2.3437428338965698</c:v>
                </c:pt>
                <c:pt idx="42">
                  <c:v>2.3433951093878398</c:v>
                </c:pt>
                <c:pt idx="43">
                  <c:v>2.3431288430635302</c:v>
                </c:pt>
                <c:pt idx="44">
                  <c:v>2.3435141412022502</c:v>
                </c:pt>
                <c:pt idx="45">
                  <c:v>2.3436712468771601</c:v>
                </c:pt>
                <c:pt idx="46">
                  <c:v>2.34364869235191</c:v>
                </c:pt>
                <c:pt idx="47">
                  <c:v>2.3437138207430599</c:v>
                </c:pt>
                <c:pt idx="48">
                  <c:v>2.34400601734349</c:v>
                </c:pt>
                <c:pt idx="49">
                  <c:v>2.3443155701039902</c:v>
                </c:pt>
                <c:pt idx="50">
                  <c:v>2.3443137153174201</c:v>
                </c:pt>
                <c:pt idx="51">
                  <c:v>2.3444013910858299</c:v>
                </c:pt>
                <c:pt idx="52">
                  <c:v>2.3443564108466601</c:v>
                </c:pt>
                <c:pt idx="53">
                  <c:v>2.3445116069985699</c:v>
                </c:pt>
                <c:pt idx="54">
                  <c:v>2.3446074322758199</c:v>
                </c:pt>
                <c:pt idx="55">
                  <c:v>2.3444630856038899</c:v>
                </c:pt>
                <c:pt idx="56">
                  <c:v>2.3446744154350401</c:v>
                </c:pt>
                <c:pt idx="57">
                  <c:v>2.34442278610276</c:v>
                </c:pt>
                <c:pt idx="58">
                  <c:v>2.34412906362197</c:v>
                </c:pt>
                <c:pt idx="59">
                  <c:v>2.3438218924137399</c:v>
                </c:pt>
                <c:pt idx="60">
                  <c:v>2.3435299814592598</c:v>
                </c:pt>
                <c:pt idx="61">
                  <c:v>2.3438321543334499</c:v>
                </c:pt>
                <c:pt idx="62">
                  <c:v>2.3444323494849302</c:v>
                </c:pt>
                <c:pt idx="63">
                  <c:v>2.3448479091010102</c:v>
                </c:pt>
                <c:pt idx="64">
                  <c:v>2.3450971303150898</c:v>
                </c:pt>
                <c:pt idx="65">
                  <c:v>2.3455361235033001</c:v>
                </c:pt>
                <c:pt idx="66">
                  <c:v>2.3459295451055402</c:v>
                </c:pt>
                <c:pt idx="67">
                  <c:v>2.3460798391961402</c:v>
                </c:pt>
                <c:pt idx="68">
                  <c:v>2.3464939287437301</c:v>
                </c:pt>
                <c:pt idx="69">
                  <c:v>2.3468124794860801</c:v>
                </c:pt>
                <c:pt idx="70">
                  <c:v>2.34723276485053</c:v>
                </c:pt>
                <c:pt idx="71">
                  <c:v>2.3471581163086501</c:v>
                </c:pt>
                <c:pt idx="72">
                  <c:v>2.3470290401379099</c:v>
                </c:pt>
                <c:pt idx="73">
                  <c:v>2.3470447438569599</c:v>
                </c:pt>
                <c:pt idx="74">
                  <c:v>2.34702025064299</c:v>
                </c:pt>
                <c:pt idx="75">
                  <c:v>2.34709370972472</c:v>
                </c:pt>
                <c:pt idx="76">
                  <c:v>2.3470447818387101</c:v>
                </c:pt>
                <c:pt idx="77">
                  <c:v>2.3472808157551799</c:v>
                </c:pt>
                <c:pt idx="78">
                  <c:v>2.3474589776005499</c:v>
                </c:pt>
                <c:pt idx="79">
                  <c:v>2.3476837114200002</c:v>
                </c:pt>
                <c:pt idx="80">
                  <c:v>2.34829282858577</c:v>
                </c:pt>
                <c:pt idx="81">
                  <c:v>2.3487248624879902</c:v>
                </c:pt>
                <c:pt idx="82">
                  <c:v>2.3491965835635198</c:v>
                </c:pt>
                <c:pt idx="83">
                  <c:v>2.3491922524096598</c:v>
                </c:pt>
                <c:pt idx="84">
                  <c:v>2.34945027048858</c:v>
                </c:pt>
                <c:pt idx="85">
                  <c:v>2.3496758091702001</c:v>
                </c:pt>
                <c:pt idx="86">
                  <c:v>2.3500643032109201</c:v>
                </c:pt>
                <c:pt idx="87">
                  <c:v>2.3504889405631801</c:v>
                </c:pt>
                <c:pt idx="88">
                  <c:v>2.3506946229437702</c:v>
                </c:pt>
                <c:pt idx="89">
                  <c:v>2.35060766490452</c:v>
                </c:pt>
                <c:pt idx="90">
                  <c:v>2.3504516691769699</c:v>
                </c:pt>
                <c:pt idx="91">
                  <c:v>2.3504518335536102</c:v>
                </c:pt>
                <c:pt idx="92">
                  <c:v>2.3503295886219502</c:v>
                </c:pt>
                <c:pt idx="93">
                  <c:v>2.3502789291277102</c:v>
                </c:pt>
                <c:pt idx="94">
                  <c:v>2.3496120177333801</c:v>
                </c:pt>
                <c:pt idx="95">
                  <c:v>2.34919041487472</c:v>
                </c:pt>
                <c:pt idx="96">
                  <c:v>2.34868635238317</c:v>
                </c:pt>
                <c:pt idx="97">
                  <c:v>2.3485145491484198</c:v>
                </c:pt>
                <c:pt idx="98">
                  <c:v>2.3483934763885799</c:v>
                </c:pt>
                <c:pt idx="99">
                  <c:v>2.3486124089544398</c:v>
                </c:pt>
                <c:pt idx="100">
                  <c:v>2.3486947940110299</c:v>
                </c:pt>
                <c:pt idx="101">
                  <c:v>2.34873081360081</c:v>
                </c:pt>
                <c:pt idx="102">
                  <c:v>2.3488287336801901</c:v>
                </c:pt>
                <c:pt idx="103">
                  <c:v>2.3489545155567102</c:v>
                </c:pt>
                <c:pt idx="104">
                  <c:v>2.3492710287121499</c:v>
                </c:pt>
                <c:pt idx="105">
                  <c:v>2.3495643311163601</c:v>
                </c:pt>
                <c:pt idx="106">
                  <c:v>2.3496114203645502</c:v>
                </c:pt>
                <c:pt idx="107">
                  <c:v>2.3493935032723199</c:v>
                </c:pt>
                <c:pt idx="108">
                  <c:v>2.3492699397734902</c:v>
                </c:pt>
                <c:pt idx="109">
                  <c:v>2.34890938611685</c:v>
                </c:pt>
                <c:pt idx="110">
                  <c:v>2.34856283794897</c:v>
                </c:pt>
                <c:pt idx="111">
                  <c:v>2.3485058223450399</c:v>
                </c:pt>
                <c:pt idx="112">
                  <c:v>2.3484946693860902</c:v>
                </c:pt>
                <c:pt idx="113">
                  <c:v>2.3486482118296101</c:v>
                </c:pt>
                <c:pt idx="114">
                  <c:v>2.3487885491363198</c:v>
                </c:pt>
                <c:pt idx="115">
                  <c:v>2.3488893494493501</c:v>
                </c:pt>
                <c:pt idx="116">
                  <c:v>2.3490902073041</c:v>
                </c:pt>
                <c:pt idx="117">
                  <c:v>2.3495344920644401</c:v>
                </c:pt>
                <c:pt idx="118">
                  <c:v>2.3498369510516901</c:v>
                </c:pt>
                <c:pt idx="119">
                  <c:v>2.3503181029634099</c:v>
                </c:pt>
                <c:pt idx="120">
                  <c:v>2.3507287370563499</c:v>
                </c:pt>
                <c:pt idx="121">
                  <c:v>2.3508356071500001</c:v>
                </c:pt>
                <c:pt idx="122">
                  <c:v>2.3507402920623299</c:v>
                </c:pt>
                <c:pt idx="123">
                  <c:v>2.3508552422364901</c:v>
                </c:pt>
                <c:pt idx="124">
                  <c:v>2.3510163240517001</c:v>
                </c:pt>
                <c:pt idx="125">
                  <c:v>2.3512842461395</c:v>
                </c:pt>
                <c:pt idx="126">
                  <c:v>2.3514695380313699</c:v>
                </c:pt>
                <c:pt idx="127">
                  <c:v>2.3510109225227498</c:v>
                </c:pt>
                <c:pt idx="128">
                  <c:v>2.3506951053188399</c:v>
                </c:pt>
                <c:pt idx="129">
                  <c:v>2.3504249597920399</c:v>
                </c:pt>
                <c:pt idx="130">
                  <c:v>2.3500237909126098</c:v>
                </c:pt>
                <c:pt idx="131">
                  <c:v>2.3495943329473699</c:v>
                </c:pt>
                <c:pt idx="132">
                  <c:v>2.34930510963326</c:v>
                </c:pt>
                <c:pt idx="133">
                  <c:v>2.3488590826597702</c:v>
                </c:pt>
                <c:pt idx="134">
                  <c:v>2.3485930692329702</c:v>
                </c:pt>
                <c:pt idx="135">
                  <c:v>2.3480880380326501</c:v>
                </c:pt>
                <c:pt idx="136">
                  <c:v>2.3476461833406499</c:v>
                </c:pt>
                <c:pt idx="137">
                  <c:v>2.3477042565089499</c:v>
                </c:pt>
                <c:pt idx="138">
                  <c:v>2.3476750466631802</c:v>
                </c:pt>
                <c:pt idx="139">
                  <c:v>2.34782512806551</c:v>
                </c:pt>
                <c:pt idx="140">
                  <c:v>2.3480931005100998</c:v>
                </c:pt>
                <c:pt idx="141">
                  <c:v>2.3484846077450601</c:v>
                </c:pt>
                <c:pt idx="142">
                  <c:v>2.3488401095647502</c:v>
                </c:pt>
                <c:pt idx="143">
                  <c:v>2.3491199275597601</c:v>
                </c:pt>
                <c:pt idx="144">
                  <c:v>2.34958889460655</c:v>
                </c:pt>
                <c:pt idx="145">
                  <c:v>2.3500359103898201</c:v>
                </c:pt>
                <c:pt idx="146">
                  <c:v>2.3506383300456402</c:v>
                </c:pt>
                <c:pt idx="147">
                  <c:v>2.3511312616171001</c:v>
                </c:pt>
                <c:pt idx="148">
                  <c:v>2.3514989835514299</c:v>
                </c:pt>
                <c:pt idx="149">
                  <c:v>2.3514774088919799</c:v>
                </c:pt>
                <c:pt idx="150">
                  <c:v>2.3515362570679299</c:v>
                </c:pt>
                <c:pt idx="151">
                  <c:v>2.3514852632293599</c:v>
                </c:pt>
                <c:pt idx="152">
                  <c:v>2.3515861482723799</c:v>
                </c:pt>
                <c:pt idx="153">
                  <c:v>2.3516912793170501</c:v>
                </c:pt>
                <c:pt idx="154">
                  <c:v>2.35118777753565</c:v>
                </c:pt>
                <c:pt idx="155">
                  <c:v>2.3509613755885699</c:v>
                </c:pt>
                <c:pt idx="156">
                  <c:v>2.3506164514216699</c:v>
                </c:pt>
                <c:pt idx="157">
                  <c:v>2.3505666629903401</c:v>
                </c:pt>
                <c:pt idx="158">
                  <c:v>2.3503006510673701</c:v>
                </c:pt>
                <c:pt idx="159">
                  <c:v>2.34995901214026</c:v>
                </c:pt>
                <c:pt idx="160">
                  <c:v>2.3499737857187002</c:v>
                </c:pt>
                <c:pt idx="161">
                  <c:v>2.3502413782792</c:v>
                </c:pt>
                <c:pt idx="162">
                  <c:v>2.3504755130774502</c:v>
                </c:pt>
                <c:pt idx="163">
                  <c:v>2.3507513315773698</c:v>
                </c:pt>
                <c:pt idx="164">
                  <c:v>2.3513679358036601</c:v>
                </c:pt>
                <c:pt idx="165">
                  <c:v>2.3517060200487698</c:v>
                </c:pt>
                <c:pt idx="166">
                  <c:v>2.352169691276</c:v>
                </c:pt>
                <c:pt idx="167">
                  <c:v>2.3522720757734601</c:v>
                </c:pt>
                <c:pt idx="168">
                  <c:v>2.3526654987751798</c:v>
                </c:pt>
                <c:pt idx="169">
                  <c:v>2.3531539342846899</c:v>
                </c:pt>
                <c:pt idx="170">
                  <c:v>2.3531470951529601</c:v>
                </c:pt>
                <c:pt idx="171">
                  <c:v>2.35281332236258</c:v>
                </c:pt>
                <c:pt idx="172">
                  <c:v>2.3525986932417</c:v>
                </c:pt>
                <c:pt idx="173">
                  <c:v>2.3527972570309599</c:v>
                </c:pt>
                <c:pt idx="174">
                  <c:v>2.3530319007455001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4EC-430B-8CE1-DA1D103166FE}"/>
            </c:ext>
          </c:extLst>
        </c:ser>
        <c:ser>
          <c:idx val="2"/>
          <c:order val="2"/>
          <c:tx>
            <c:strRef>
              <c:f>Sheet1!$AA$1</c:f>
              <c:strCache>
                <c:ptCount val="1"/>
                <c:pt idx="0">
                  <c:v> MUB*/TFI* 20 dma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Sheet1!$AA$2:$AA$176</c:f>
              <c:numCache>
                <c:formatCode>_(* #,##0.0000_);_(* \(#,##0.0000\);_(* "-"??_);_(@_)</c:formatCode>
                <c:ptCount val="175"/>
                <c:pt idx="19">
                  <c:v>2.3436630003893999</c:v>
                </c:pt>
                <c:pt idx="20">
                  <c:v>2.3438142046123098</c:v>
                </c:pt>
                <c:pt idx="21">
                  <c:v>2.3437981512654602</c:v>
                </c:pt>
                <c:pt idx="22">
                  <c:v>2.3434802452472998</c:v>
                </c:pt>
                <c:pt idx="23">
                  <c:v>2.3433485904348199</c:v>
                </c:pt>
                <c:pt idx="24">
                  <c:v>2.3430900064764302</c:v>
                </c:pt>
                <c:pt idx="25">
                  <c:v>2.3428498251041501</c:v>
                </c:pt>
                <c:pt idx="26">
                  <c:v>2.3427358993246798</c:v>
                </c:pt>
                <c:pt idx="27">
                  <c:v>2.3425131160140098</c:v>
                </c:pt>
                <c:pt idx="28">
                  <c:v>2.3423521860491499</c:v>
                </c:pt>
                <c:pt idx="29">
                  <c:v>2.3421401291102302</c:v>
                </c:pt>
                <c:pt idx="30">
                  <c:v>2.3420826698230899</c:v>
                </c:pt>
                <c:pt idx="31">
                  <c:v>2.34211100032014</c:v>
                </c:pt>
                <c:pt idx="32">
                  <c:v>2.34228801557069</c:v>
                </c:pt>
                <c:pt idx="33">
                  <c:v>2.34235885987116</c:v>
                </c:pt>
                <c:pt idx="34">
                  <c:v>2.3422169138681901</c:v>
                </c:pt>
                <c:pt idx="35">
                  <c:v>2.3420846219667499</c:v>
                </c:pt>
                <c:pt idx="36">
                  <c:v>2.34202162665061</c:v>
                </c:pt>
                <c:pt idx="37">
                  <c:v>2.3419792043074099</c:v>
                </c:pt>
                <c:pt idx="38">
                  <c:v>2.3419048832244198</c:v>
                </c:pt>
                <c:pt idx="39">
                  <c:v>2.3419536409058002</c:v>
                </c:pt>
                <c:pt idx="40">
                  <c:v>2.3418071249388301</c:v>
                </c:pt>
                <c:pt idx="41">
                  <c:v>2.3417592122165498</c:v>
                </c:pt>
                <c:pt idx="42">
                  <c:v>2.34191192538696</c:v>
                </c:pt>
                <c:pt idx="43">
                  <c:v>2.3419857231752501</c:v>
                </c:pt>
                <c:pt idx="44">
                  <c:v>2.3423821561695299</c:v>
                </c:pt>
                <c:pt idx="45">
                  <c:v>2.3426962118493799</c:v>
                </c:pt>
                <c:pt idx="46">
                  <c:v>2.3428807702341201</c:v>
                </c:pt>
                <c:pt idx="47">
                  <c:v>2.34318003077263</c:v>
                </c:pt>
                <c:pt idx="48">
                  <c:v>2.3434385632216501</c:v>
                </c:pt>
                <c:pt idx="49">
                  <c:v>2.3438827081028299</c:v>
                </c:pt>
                <c:pt idx="50">
                  <c:v>2.3440004576112798</c:v>
                </c:pt>
                <c:pt idx="51">
                  <c:v>2.3440721124912001</c:v>
                </c:pt>
                <c:pt idx="52">
                  <c:v>2.3438757601172502</c:v>
                </c:pt>
                <c:pt idx="53">
                  <c:v>2.3438202250310498</c:v>
                </c:pt>
                <c:pt idx="54">
                  <c:v>2.3440607867390302</c:v>
                </c:pt>
                <c:pt idx="55">
                  <c:v>2.3440671662405199</c:v>
                </c:pt>
                <c:pt idx="56">
                  <c:v>2.3441615538934699</c:v>
                </c:pt>
                <c:pt idx="57">
                  <c:v>2.3440683034229099</c:v>
                </c:pt>
                <c:pt idx="58">
                  <c:v>2.34406754048273</c:v>
                </c:pt>
                <c:pt idx="59">
                  <c:v>2.3440687312588699</c:v>
                </c:pt>
                <c:pt idx="60">
                  <c:v>2.3439218483883399</c:v>
                </c:pt>
                <c:pt idx="61">
                  <c:v>2.3441167727096399</c:v>
                </c:pt>
                <c:pt idx="62">
                  <c:v>2.3443943801657898</c:v>
                </c:pt>
                <c:pt idx="63">
                  <c:v>2.3446797580497898</c:v>
                </c:pt>
                <c:pt idx="64">
                  <c:v>2.3448522812954602</c:v>
                </c:pt>
                <c:pt idx="65">
                  <c:v>2.3449996045535899</c:v>
                </c:pt>
                <c:pt idx="66">
                  <c:v>2.3453019802702899</c:v>
                </c:pt>
                <c:pt idx="67">
                  <c:v>2.3452513126494501</c:v>
                </c:pt>
                <c:pt idx="68">
                  <c:v>2.3453114961828501</c:v>
                </c:pt>
                <c:pt idx="69">
                  <c:v>2.3453171859499098</c:v>
                </c:pt>
                <c:pt idx="70">
                  <c:v>2.3453813731549</c:v>
                </c:pt>
                <c:pt idx="71">
                  <c:v>2.34549513532105</c:v>
                </c:pt>
                <c:pt idx="72">
                  <c:v>2.34573069481142</c:v>
                </c:pt>
                <c:pt idx="73">
                  <c:v>2.3459463264789799</c:v>
                </c:pt>
                <c:pt idx="74">
                  <c:v>2.3460586904790399</c:v>
                </c:pt>
                <c:pt idx="75">
                  <c:v>2.34631491661401</c:v>
                </c:pt>
                <c:pt idx="76">
                  <c:v>2.3464871634721298</c:v>
                </c:pt>
                <c:pt idx="77">
                  <c:v>2.34668032747566</c:v>
                </c:pt>
                <c:pt idx="78">
                  <c:v>2.34697645317214</c:v>
                </c:pt>
                <c:pt idx="79">
                  <c:v>2.3472480954530401</c:v>
                </c:pt>
                <c:pt idx="80">
                  <c:v>2.34776279671815</c:v>
                </c:pt>
                <c:pt idx="81">
                  <c:v>2.3479414893983201</c:v>
                </c:pt>
                <c:pt idx="82">
                  <c:v>2.3481128118507102</c:v>
                </c:pt>
                <c:pt idx="83">
                  <c:v>2.3481184981333101</c:v>
                </c:pt>
                <c:pt idx="84">
                  <c:v>2.3482352605657799</c:v>
                </c:pt>
                <c:pt idx="85">
                  <c:v>2.3483847594474598</c:v>
                </c:pt>
                <c:pt idx="86">
                  <c:v>2.34855454252481</c:v>
                </c:pt>
                <c:pt idx="87">
                  <c:v>2.34888487815918</c:v>
                </c:pt>
                <c:pt idx="88">
                  <c:v>2.3490768002721598</c:v>
                </c:pt>
                <c:pt idx="89">
                  <c:v>2.3491456881622601</c:v>
                </c:pt>
                <c:pt idx="90">
                  <c:v>2.34937224888137</c:v>
                </c:pt>
                <c:pt idx="91">
                  <c:v>2.3495883480208</c:v>
                </c:pt>
                <c:pt idx="92">
                  <c:v>2.3497630860927399</c:v>
                </c:pt>
                <c:pt idx="93">
                  <c:v>2.3497355907686801</c:v>
                </c:pt>
                <c:pt idx="94">
                  <c:v>2.3495311441109799</c:v>
                </c:pt>
                <c:pt idx="95">
                  <c:v>2.3494331120224601</c:v>
                </c:pt>
                <c:pt idx="96">
                  <c:v>2.3493753277970399</c:v>
                </c:pt>
                <c:pt idx="97">
                  <c:v>2.3495017448558002</c:v>
                </c:pt>
                <c:pt idx="98">
                  <c:v>2.3495440496661701</c:v>
                </c:pt>
                <c:pt idx="99">
                  <c:v>2.3496100369294801</c:v>
                </c:pt>
                <c:pt idx="100">
                  <c:v>2.3495732315939999</c:v>
                </c:pt>
                <c:pt idx="101">
                  <c:v>2.3495913235772101</c:v>
                </c:pt>
                <c:pt idx="102">
                  <c:v>2.3495791611510701</c:v>
                </c:pt>
                <c:pt idx="103">
                  <c:v>2.3496167223422102</c:v>
                </c:pt>
                <c:pt idx="104">
                  <c:v>2.3494415232227599</c:v>
                </c:pt>
                <c:pt idx="105">
                  <c:v>2.3493773729955398</c:v>
                </c:pt>
                <c:pt idx="106">
                  <c:v>2.3491488863738601</c:v>
                </c:pt>
                <c:pt idx="107">
                  <c:v>2.3489540262103699</c:v>
                </c:pt>
                <c:pt idx="108">
                  <c:v>2.3488317080810299</c:v>
                </c:pt>
                <c:pt idx="109">
                  <c:v>2.3487608975356502</c:v>
                </c:pt>
                <c:pt idx="110">
                  <c:v>2.3486288159800002</c:v>
                </c:pt>
                <c:pt idx="111">
                  <c:v>2.3486183179729299</c:v>
                </c:pt>
                <c:pt idx="112">
                  <c:v>2.3486617015331399</c:v>
                </c:pt>
                <c:pt idx="113">
                  <c:v>2.3488013636931599</c:v>
                </c:pt>
                <c:pt idx="114">
                  <c:v>2.3490297889242302</c:v>
                </c:pt>
                <c:pt idx="115">
                  <c:v>2.3492268402828498</c:v>
                </c:pt>
                <c:pt idx="116">
                  <c:v>2.3493508138343202</c:v>
                </c:pt>
                <c:pt idx="117">
                  <c:v>2.34946399766838</c:v>
                </c:pt>
                <c:pt idx="118">
                  <c:v>2.3495534454125901</c:v>
                </c:pt>
                <c:pt idx="119">
                  <c:v>2.3496137445401302</c:v>
                </c:pt>
                <c:pt idx="120">
                  <c:v>2.3496457875026602</c:v>
                </c:pt>
                <c:pt idx="121">
                  <c:v>2.34967071474752</c:v>
                </c:pt>
                <c:pt idx="122">
                  <c:v>2.3496174807242101</c:v>
                </c:pt>
                <c:pt idx="123">
                  <c:v>2.3497517270330501</c:v>
                </c:pt>
                <c:pt idx="124">
                  <c:v>2.34990243659401</c:v>
                </c:pt>
                <c:pt idx="125">
                  <c:v>2.35008679779442</c:v>
                </c:pt>
                <c:pt idx="126">
                  <c:v>2.3502798726677301</c:v>
                </c:pt>
                <c:pt idx="127">
                  <c:v>2.3502727072936</c:v>
                </c:pt>
                <c:pt idx="128">
                  <c:v>2.3502660281852599</c:v>
                </c:pt>
                <c:pt idx="129">
                  <c:v>2.3503715313777298</c:v>
                </c:pt>
                <c:pt idx="130">
                  <c:v>2.3503762639844799</c:v>
                </c:pt>
                <c:pt idx="131">
                  <c:v>2.3502149700486799</c:v>
                </c:pt>
                <c:pt idx="132">
                  <c:v>2.3500227008477901</c:v>
                </c:pt>
                <c:pt idx="133">
                  <c:v>2.3498571624481301</c:v>
                </c:pt>
                <c:pt idx="134">
                  <c:v>2.3498046966423298</c:v>
                </c:pt>
                <c:pt idx="135">
                  <c:v>2.34968614208608</c:v>
                </c:pt>
                <c:pt idx="136">
                  <c:v>2.3495578606860099</c:v>
                </c:pt>
                <c:pt idx="137">
                  <c:v>2.3493575895158498</c:v>
                </c:pt>
                <c:pt idx="138">
                  <c:v>2.3491850759910098</c:v>
                </c:pt>
                <c:pt idx="139">
                  <c:v>2.3491250439287699</c:v>
                </c:pt>
                <c:pt idx="140">
                  <c:v>2.3490584457113499</c:v>
                </c:pt>
                <c:pt idx="141">
                  <c:v>2.3490394703462099</c:v>
                </c:pt>
                <c:pt idx="142">
                  <c:v>2.3490726095990002</c:v>
                </c:pt>
                <c:pt idx="143">
                  <c:v>2.3489895051097598</c:v>
                </c:pt>
                <c:pt idx="144">
                  <c:v>2.3490909819197601</c:v>
                </c:pt>
                <c:pt idx="145">
                  <c:v>2.34906197421124</c:v>
                </c:pt>
                <c:pt idx="146">
                  <c:v>2.3491422566931401</c:v>
                </c:pt>
                <c:pt idx="147">
                  <c:v>2.3494177590630199</c:v>
                </c:pt>
                <c:pt idx="148">
                  <c:v>2.3495870151073102</c:v>
                </c:pt>
                <c:pt idx="149">
                  <c:v>2.3496512684787398</c:v>
                </c:pt>
                <c:pt idx="150">
                  <c:v>2.3498146787890102</c:v>
                </c:pt>
                <c:pt idx="151">
                  <c:v>2.34998493548721</c:v>
                </c:pt>
                <c:pt idx="152">
                  <c:v>2.3502131289185701</c:v>
                </c:pt>
                <c:pt idx="153">
                  <c:v>2.3504056034384</c:v>
                </c:pt>
                <c:pt idx="154">
                  <c:v>2.3503883360711</c:v>
                </c:pt>
                <c:pt idx="155">
                  <c:v>2.3504986429892001</c:v>
                </c:pt>
                <c:pt idx="156">
                  <c:v>2.3506273907336501</c:v>
                </c:pt>
                <c:pt idx="157">
                  <c:v>2.3508489623037199</c:v>
                </c:pt>
                <c:pt idx="158">
                  <c:v>2.3508998173093998</c:v>
                </c:pt>
                <c:pt idx="159">
                  <c:v>2.3507182105161202</c:v>
                </c:pt>
                <c:pt idx="160">
                  <c:v>2.3507550213933102</c:v>
                </c:pt>
                <c:pt idx="161">
                  <c:v>2.35086332075428</c:v>
                </c:pt>
                <c:pt idx="162">
                  <c:v>2.3510308306749099</c:v>
                </c:pt>
                <c:pt idx="163">
                  <c:v>2.35122130544721</c:v>
                </c:pt>
                <c:pt idx="164">
                  <c:v>2.3512778566696602</c:v>
                </c:pt>
                <c:pt idx="165">
                  <c:v>2.3513336978186699</c:v>
                </c:pt>
                <c:pt idx="166">
                  <c:v>2.35139307134884</c:v>
                </c:pt>
                <c:pt idx="167">
                  <c:v>2.3514193693819001</c:v>
                </c:pt>
                <c:pt idx="168">
                  <c:v>2.3514830749212798</c:v>
                </c:pt>
                <c:pt idx="169">
                  <c:v>2.3515564732124701</c:v>
                </c:pt>
                <c:pt idx="170">
                  <c:v>2.3515604404358301</c:v>
                </c:pt>
                <c:pt idx="171">
                  <c:v>2.35152735032089</c:v>
                </c:pt>
                <c:pt idx="172">
                  <c:v>2.3515371031595702</c:v>
                </c:pt>
                <c:pt idx="173">
                  <c:v>2.35177429430416</c:v>
                </c:pt>
                <c:pt idx="174">
                  <c:v>2.3521999182745801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4EC-430B-8CE1-DA1D103166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547712"/>
        <c:axId val="205325072"/>
      </c:lineChart>
      <c:catAx>
        <c:axId val="16795477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25072"/>
        <c:crosses val="autoZero"/>
        <c:auto val="1"/>
        <c:lblAlgn val="ctr"/>
        <c:lblOffset val="100"/>
        <c:noMultiLvlLbl val="0"/>
      </c:catAx>
      <c:valAx>
        <c:axId val="205325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547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Sheet1!$U$1</c:f>
              <c:strCache>
                <c:ptCount val="1"/>
                <c:pt idx="0">
                  <c:v>log diff TFI x avg / MUB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Sheet1!$U$2:$U$176</c:f>
              <c:numCache>
                <c:formatCode>0.0000%</c:formatCode>
                <c:ptCount val="175"/>
                <c:pt idx="1">
                  <c:v>1.42355153288095E-3</c:v>
                </c:pt>
                <c:pt idx="2">
                  <c:v>8.9689825538568605E-4</c:v>
                </c:pt>
                <c:pt idx="3">
                  <c:v>1.59246613988969E-3</c:v>
                </c:pt>
                <c:pt idx="4">
                  <c:v>2.0544302766242199E-3</c:v>
                </c:pt>
                <c:pt idx="5">
                  <c:v>1.93492728144476E-3</c:v>
                </c:pt>
                <c:pt idx="6">
                  <c:v>2.5218342365227399E-3</c:v>
                </c:pt>
                <c:pt idx="7">
                  <c:v>1.4966020732412001E-3</c:v>
                </c:pt>
                <c:pt idx="8">
                  <c:v>1.78384655565177E-3</c:v>
                </c:pt>
                <c:pt idx="9">
                  <c:v>1.9376140414939999E-3</c:v>
                </c:pt>
                <c:pt idx="10">
                  <c:v>1.9641097379609999E-3</c:v>
                </c:pt>
                <c:pt idx="11">
                  <c:v>2.4488580495093701E-3</c:v>
                </c:pt>
                <c:pt idx="12">
                  <c:v>2.3334611113415399E-3</c:v>
                </c:pt>
                <c:pt idx="13">
                  <c:v>1.5546490573459699E-3</c:v>
                </c:pt>
                <c:pt idx="14">
                  <c:v>1.3107284667582999E-3</c:v>
                </c:pt>
                <c:pt idx="15">
                  <c:v>8.4619554624795605E-4</c:v>
                </c:pt>
                <c:pt idx="16">
                  <c:v>1.28494350815459E-3</c:v>
                </c:pt>
                <c:pt idx="17">
                  <c:v>7.6022604208805203E-4</c:v>
                </c:pt>
                <c:pt idx="18">
                  <c:v>1.5634562519129E-3</c:v>
                </c:pt>
                <c:pt idx="19">
                  <c:v>1.6939033846143799E-3</c:v>
                </c:pt>
                <c:pt idx="20">
                  <c:v>1.9238708882915299E-4</c:v>
                </c:pt>
                <c:pt idx="21">
                  <c:v>1.5605243476639801E-3</c:v>
                </c:pt>
                <c:pt idx="22">
                  <c:v>3.61145171866339E-3</c:v>
                </c:pt>
                <c:pt idx="23">
                  <c:v>2.7165357628488999E-3</c:v>
                </c:pt>
                <c:pt idx="24">
                  <c:v>4.2644412195959099E-3</c:v>
                </c:pt>
                <c:pt idx="25">
                  <c:v>3.9872518216253804E-3</c:v>
                </c:pt>
                <c:pt idx="26">
                  <c:v>3.4953644116170399E-3</c:v>
                </c:pt>
                <c:pt idx="27">
                  <c:v>3.3992854509956802E-3</c:v>
                </c:pt>
                <c:pt idx="28">
                  <c:v>3.1583026269620001E-3</c:v>
                </c:pt>
                <c:pt idx="29">
                  <c:v>3.7494052869068398E-3</c:v>
                </c:pt>
                <c:pt idx="30">
                  <c:v>2.4547244583767499E-3</c:v>
                </c:pt>
                <c:pt idx="31">
                  <c:v>2.2069301290358698E-3</c:v>
                </c:pt>
                <c:pt idx="32">
                  <c:v>8.2297456376732598E-4</c:v>
                </c:pt>
                <c:pt idx="33">
                  <c:v>9.5032530277673101E-4</c:v>
                </c:pt>
                <c:pt idx="34">
                  <c:v>2.52237598467358E-3</c:v>
                </c:pt>
                <c:pt idx="35">
                  <c:v>1.9748646288603902E-3</c:v>
                </c:pt>
                <c:pt idx="36">
                  <c:v>1.8224748968504699E-3</c:v>
                </c:pt>
                <c:pt idx="37">
                  <c:v>1.1219890668483399E-3</c:v>
                </c:pt>
                <c:pt idx="38">
                  <c:v>2.1978364003115E-3</c:v>
                </c:pt>
                <c:pt idx="39">
                  <c:v>1.27788821610219E-3</c:v>
                </c:pt>
                <c:pt idx="40">
                  <c:v>1.4416693285877399E-3</c:v>
                </c:pt>
                <c:pt idx="41">
                  <c:v>1.9694441805350499E-3</c:v>
                </c:pt>
                <c:pt idx="42">
                  <c:v>2.3065363529822598E-3</c:v>
                </c:pt>
                <c:pt idx="43">
                  <c:v>2.0862941599512799E-3</c:v>
                </c:pt>
                <c:pt idx="44">
                  <c:v>8.7828397727255703E-4</c:v>
                </c:pt>
                <c:pt idx="45">
                  <c:v>1.3045251659819001E-3</c:v>
                </c:pt>
                <c:pt idx="46">
                  <c:v>1.9187329103520199E-3</c:v>
                </c:pt>
                <c:pt idx="47">
                  <c:v>8.4428123306473201E-4</c:v>
                </c:pt>
                <c:pt idx="48">
                  <c:v>9.5117147439702698E-4</c:v>
                </c:pt>
                <c:pt idx="49">
                  <c:v>-4.1564787228603998E-5</c:v>
                </c:pt>
                <c:pt idx="50">
                  <c:v>1.4495818078031899E-3</c:v>
                </c:pt>
                <c:pt idx="51">
                  <c:v>1.5952952883950401E-3</c:v>
                </c:pt>
                <c:pt idx="52">
                  <c:v>2.4986047867145201E-3</c:v>
                </c:pt>
                <c:pt idx="53">
                  <c:v>1.42402579683905E-3</c:v>
                </c:pt>
                <c:pt idx="54">
                  <c:v>4.6981072006517901E-4</c:v>
                </c:pt>
                <c:pt idx="55">
                  <c:v>1.9204076682530901E-3</c:v>
                </c:pt>
                <c:pt idx="56">
                  <c:v>1.01718433867811E-3</c:v>
                </c:pt>
                <c:pt idx="57">
                  <c:v>1.91765704295548E-3</c:v>
                </c:pt>
                <c:pt idx="58">
                  <c:v>2.2043506922610201E-3</c:v>
                </c:pt>
                <c:pt idx="59">
                  <c:v>1.26773032143989E-3</c:v>
                </c:pt>
                <c:pt idx="60">
                  <c:v>2.69564854267762E-3</c:v>
                </c:pt>
                <c:pt idx="61">
                  <c:v>3.0686980103415999E-4</c:v>
                </c:pt>
                <c:pt idx="62">
                  <c:v>-6.1232995235943204E-5</c:v>
                </c:pt>
                <c:pt idx="63">
                  <c:v>-3.47134774170929E-4</c:v>
                </c:pt>
                <c:pt idx="64">
                  <c:v>-5.9176094443252501E-4</c:v>
                </c:pt>
                <c:pt idx="65">
                  <c:v>4.8535958571553299E-5</c:v>
                </c:pt>
                <c:pt idx="66">
                  <c:v>-6.5901914337915799E-4</c:v>
                </c:pt>
                <c:pt idx="67">
                  <c:v>1.27640864659085E-3</c:v>
                </c:pt>
                <c:pt idx="68">
                  <c:v>4.3807367099385101E-4</c:v>
                </c:pt>
                <c:pt idx="69">
                  <c:v>-9.0036315983002205E-5</c:v>
                </c:pt>
                <c:pt idx="70">
                  <c:v>9.0208710001544296E-4</c:v>
                </c:pt>
                <c:pt idx="71">
                  <c:v>6.2500702979612999E-4</c:v>
                </c:pt>
                <c:pt idx="72">
                  <c:v>4.8872523805796903E-4</c:v>
                </c:pt>
                <c:pt idx="73">
                  <c:v>-4.1400427011847001E-4</c:v>
                </c:pt>
                <c:pt idx="74">
                  <c:v>-4.8748065354941298E-4</c:v>
                </c:pt>
                <c:pt idx="75">
                  <c:v>-2.6435242631729498E-4</c:v>
                </c:pt>
                <c:pt idx="76">
                  <c:v>-4.5071098071420098E-4</c:v>
                </c:pt>
                <c:pt idx="77">
                  <c:v>2.7016988804596501E-4</c:v>
                </c:pt>
                <c:pt idx="78">
                  <c:v>-3.2090740276074099E-4</c:v>
                </c:pt>
                <c:pt idx="79">
                  <c:v>-1.04681692244367E-3</c:v>
                </c:pt>
                <c:pt idx="80">
                  <c:v>-1.69161494928318E-3</c:v>
                </c:pt>
                <c:pt idx="81">
                  <c:v>-1.21483484436892E-3</c:v>
                </c:pt>
                <c:pt idx="82">
                  <c:v>-1.5196837177324401E-3</c:v>
                </c:pt>
                <c:pt idx="83">
                  <c:v>-3.9556181949822802E-4</c:v>
                </c:pt>
                <c:pt idx="84">
                  <c:v>-1.58545146779153E-3</c:v>
                </c:pt>
                <c:pt idx="85">
                  <c:v>-1.22439071987987E-3</c:v>
                </c:pt>
                <c:pt idx="86">
                  <c:v>-2.1035116556201898E-3</c:v>
                </c:pt>
                <c:pt idx="87">
                  <c:v>-1.53756082079602E-3</c:v>
                </c:pt>
                <c:pt idx="88">
                  <c:v>-1.1964119511209399E-3</c:v>
                </c:pt>
                <c:pt idx="89">
                  <c:v>-6.7671078344191699E-4</c:v>
                </c:pt>
                <c:pt idx="90">
                  <c:v>-1.02800490619774E-3</c:v>
                </c:pt>
                <c:pt idx="91">
                  <c:v>-1.21553420820057E-3</c:v>
                </c:pt>
                <c:pt idx="92">
                  <c:v>-9.995983755179791E-4</c:v>
                </c:pt>
                <c:pt idx="93">
                  <c:v>-1.79823785135415E-4</c:v>
                </c:pt>
                <c:pt idx="94">
                  <c:v>1.2549978621772501E-3</c:v>
                </c:pt>
                <c:pt idx="95">
                  <c:v>5.7097286714927501E-4</c:v>
                </c:pt>
                <c:pt idx="96">
                  <c:v>4.1488598195607903E-5</c:v>
                </c:pt>
                <c:pt idx="97">
                  <c:v>-8.0656798973382702E-4</c:v>
                </c:pt>
                <c:pt idx="98">
                  <c:v>-6.8114825749766503E-4</c:v>
                </c:pt>
                <c:pt idx="99">
                  <c:v>-1.60825824889751E-3</c:v>
                </c:pt>
                <c:pt idx="100">
                  <c:v>-1.3785280370338499E-3</c:v>
                </c:pt>
                <c:pt idx="101">
                  <c:v>-1.36877288699591E-3</c:v>
                </c:pt>
                <c:pt idx="102">
                  <c:v>-1.4162163261129299E-3</c:v>
                </c:pt>
                <c:pt idx="103">
                  <c:v>-7.1539161579319303E-4</c:v>
                </c:pt>
                <c:pt idx="104">
                  <c:v>-9.4072608812057696E-5</c:v>
                </c:pt>
                <c:pt idx="105">
                  <c:v>-6.7837415155708202E-4</c:v>
                </c:pt>
                <c:pt idx="106">
                  <c:v>-1.59091126498303E-4</c:v>
                </c:pt>
                <c:pt idx="107">
                  <c:v>1.21400670955685E-4</c:v>
                </c:pt>
                <c:pt idx="108">
                  <c:v>-1.55010542008638E-4</c:v>
                </c:pt>
                <c:pt idx="109">
                  <c:v>-7.3657342159669294E-5</c:v>
                </c:pt>
                <c:pt idx="110">
                  <c:v>9.6757370933477004E-5</c:v>
                </c:pt>
                <c:pt idx="111">
                  <c:v>-1.1261997171647599E-3</c:v>
                </c:pt>
                <c:pt idx="112">
                  <c:v>-1.36877288699591E-3</c:v>
                </c:pt>
                <c:pt idx="113">
                  <c:v>-1.36877288699591E-3</c:v>
                </c:pt>
                <c:pt idx="114">
                  <c:v>-6.9164885495086195E-4</c:v>
                </c:pt>
                <c:pt idx="115">
                  <c:v>-1.1073816839656601E-3</c:v>
                </c:pt>
                <c:pt idx="116">
                  <c:v>-1.0142067479559801E-3</c:v>
                </c:pt>
                <c:pt idx="117">
                  <c:v>-1.7696112186103899E-3</c:v>
                </c:pt>
                <c:pt idx="118">
                  <c:v>-1.4424013444626501E-3</c:v>
                </c:pt>
                <c:pt idx="119">
                  <c:v>-2.1210275625730799E-3</c:v>
                </c:pt>
                <c:pt idx="120">
                  <c:v>-1.65110904358175E-3</c:v>
                </c:pt>
                <c:pt idx="121">
                  <c:v>-1.5808308514682801E-3</c:v>
                </c:pt>
                <c:pt idx="122">
                  <c:v>-9.6322132857473502E-4</c:v>
                </c:pt>
                <c:pt idx="123">
                  <c:v>-1.8576501422482301E-3</c:v>
                </c:pt>
                <c:pt idx="124">
                  <c:v>-1.37711828519402E-3</c:v>
                </c:pt>
                <c:pt idx="125">
                  <c:v>-2.2467679047444501E-3</c:v>
                </c:pt>
                <c:pt idx="126">
                  <c:v>-1.80240523485835E-3</c:v>
                </c:pt>
                <c:pt idx="127">
                  <c:v>1.82456293118476E-4</c:v>
                </c:pt>
                <c:pt idx="128">
                  <c:v>-9.8114202058465503E-5</c:v>
                </c:pt>
                <c:pt idx="129">
                  <c:v>-9.7203579075664701E-4</c:v>
                </c:pt>
                <c:pt idx="130">
                  <c:v>5.6434217153635502E-5</c:v>
                </c:pt>
                <c:pt idx="131">
                  <c:v>2.4736135993627998E-4</c:v>
                </c:pt>
                <c:pt idx="132">
                  <c:v>2.6838865814899298E-4</c:v>
                </c:pt>
                <c:pt idx="133">
                  <c:v>4.0616895357075E-5</c:v>
                </c:pt>
                <c:pt idx="134">
                  <c:v>-2.4486878770231101E-4</c:v>
                </c:pt>
                <c:pt idx="135">
                  <c:v>-9.7949135178813096E-5</c:v>
                </c:pt>
                <c:pt idx="136">
                  <c:v>7.8192076829822994E-5</c:v>
                </c:pt>
                <c:pt idx="137">
                  <c:v>-6.4939237708069601E-5</c:v>
                </c:pt>
                <c:pt idx="138">
                  <c:v>2.63098908859613E-5</c:v>
                </c:pt>
                <c:pt idx="139">
                  <c:v>-1.61052988792908E-3</c:v>
                </c:pt>
                <c:pt idx="140">
                  <c:v>-1.08449233305305E-3</c:v>
                </c:pt>
                <c:pt idx="141">
                  <c:v>-1.4194100665145301E-3</c:v>
                </c:pt>
                <c:pt idx="142">
                  <c:v>-1.24524395708201E-3</c:v>
                </c:pt>
                <c:pt idx="143">
                  <c:v>-1.15069472049676E-3</c:v>
                </c:pt>
                <c:pt idx="144">
                  <c:v>-2.24010106816314E-3</c:v>
                </c:pt>
                <c:pt idx="145">
                  <c:v>-2.0001571448758099E-3</c:v>
                </c:pt>
                <c:pt idx="146">
                  <c:v>-2.4849177336334401E-3</c:v>
                </c:pt>
                <c:pt idx="147">
                  <c:v>-2.1623993322562401E-3</c:v>
                </c:pt>
                <c:pt idx="148">
                  <c:v>-1.5389333664270501E-3</c:v>
                </c:pt>
                <c:pt idx="149">
                  <c:v>-1.5187694997224901E-3</c:v>
                </c:pt>
                <c:pt idx="150">
                  <c:v>-1.3348716548340701E-3</c:v>
                </c:pt>
                <c:pt idx="151">
                  <c:v>-1.20247029328816E-3</c:v>
                </c:pt>
                <c:pt idx="152">
                  <c:v>-1.67436874949944E-3</c:v>
                </c:pt>
                <c:pt idx="153">
                  <c:v>-1.5979185483978901E-3</c:v>
                </c:pt>
                <c:pt idx="154">
                  <c:v>-9.7782384288926195E-5</c:v>
                </c:pt>
                <c:pt idx="155">
                  <c:v>-1.0371901523211001E-3</c:v>
                </c:pt>
                <c:pt idx="156">
                  <c:v>-1.0181757949173499E-3</c:v>
                </c:pt>
                <c:pt idx="157">
                  <c:v>-1.95074551944171E-3</c:v>
                </c:pt>
                <c:pt idx="158">
                  <c:v>-4.0687357631643802E-4</c:v>
                </c:pt>
                <c:pt idx="159">
                  <c:v>-6.4602454791724899E-5</c:v>
                </c:pt>
                <c:pt idx="160">
                  <c:v>-1.3977184505788601E-3</c:v>
                </c:pt>
                <c:pt idx="161">
                  <c:v>-2.3403477950185098E-3</c:v>
                </c:pt>
                <c:pt idx="162">
                  <c:v>-2.66957589128456E-3</c:v>
                </c:pt>
                <c:pt idx="163">
                  <c:v>-2.7702910804113701E-3</c:v>
                </c:pt>
                <c:pt idx="164">
                  <c:v>-2.7207030705782898E-3</c:v>
                </c:pt>
                <c:pt idx="165">
                  <c:v>-2.4748398583340002E-3</c:v>
                </c:pt>
                <c:pt idx="166">
                  <c:v>-2.9893756559201401E-3</c:v>
                </c:pt>
                <c:pt idx="167">
                  <c:v>-2.3859399334020702E-3</c:v>
                </c:pt>
                <c:pt idx="168">
                  <c:v>-2.0806996906609799E-3</c:v>
                </c:pt>
                <c:pt idx="169">
                  <c:v>-2.14295204094398E-3</c:v>
                </c:pt>
                <c:pt idx="170">
                  <c:v>-1.3686252784280901E-3</c:v>
                </c:pt>
                <c:pt idx="171">
                  <c:v>-9.2085385078950201E-4</c:v>
                </c:pt>
                <c:pt idx="172">
                  <c:v>-1.7573168924416901E-3</c:v>
                </c:pt>
                <c:pt idx="173">
                  <c:v>-3.6134406864178101E-3</c:v>
                </c:pt>
                <c:pt idx="174">
                  <c:v>-3.7170298035667701E-3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50-4653-8F90-44C22740586B}"/>
            </c:ext>
          </c:extLst>
        </c:ser>
        <c:ser>
          <c:idx val="1"/>
          <c:order val="1"/>
          <c:tx>
            <c:strRef>
              <c:f>Sheet1!$V$1</c:f>
              <c:strCache>
                <c:ptCount val="1"/>
                <c:pt idx="0">
                  <c:v>log diff TFI x 10 dma / MUB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Sheet1!$V$2:$V$176</c:f>
              <c:numCache>
                <c:formatCode>0.0000%</c:formatCode>
                <c:ptCount val="175"/>
                <c:pt idx="10">
                  <c:v>2.51812710899363E-4</c:v>
                </c:pt>
                <c:pt idx="11">
                  <c:v>6.88316392101135E-4</c:v>
                </c:pt>
                <c:pt idx="12">
                  <c:v>4.7040155227318401E-4</c:v>
                </c:pt>
                <c:pt idx="13">
                  <c:v>-4.52112738261581E-4</c:v>
                </c:pt>
                <c:pt idx="14">
                  <c:v>-6.9224998914481405E-4</c:v>
                </c:pt>
                <c:pt idx="15">
                  <c:v>-1.0823916620960701E-3</c:v>
                </c:pt>
                <c:pt idx="16">
                  <c:v>-5.34717861587827E-4</c:v>
                </c:pt>
                <c:pt idx="17">
                  <c:v>-9.3576425026009201E-4</c:v>
                </c:pt>
                <c:pt idx="18">
                  <c:v>-5.8857343033062102E-5</c:v>
                </c:pt>
                <c:pt idx="19">
                  <c:v>9.36274458493317E-5</c:v>
                </c:pt>
                <c:pt idx="20">
                  <c:v>-1.38352333200829E-3</c:v>
                </c:pt>
                <c:pt idx="21">
                  <c:v>1.6185869998960401E-4</c:v>
                </c:pt>
                <c:pt idx="22">
                  <c:v>2.3015616844385398E-3</c:v>
                </c:pt>
                <c:pt idx="23">
                  <c:v>1.27905081721834E-3</c:v>
                </c:pt>
                <c:pt idx="24">
                  <c:v>2.7108419397479599E-3</c:v>
                </c:pt>
                <c:pt idx="25">
                  <c:v>2.13860189519024E-3</c:v>
                </c:pt>
                <c:pt idx="26">
                  <c:v>1.3327378275696401E-3</c:v>
                </c:pt>
                <c:pt idx="27">
                  <c:v>1.01564259672121E-3</c:v>
                </c:pt>
                <c:pt idx="28">
                  <c:v>5.1063869489263703E-4</c:v>
                </c:pt>
                <c:pt idx="29">
                  <c:v>9.4219822981789995E-4</c:v>
                </c:pt>
                <c:pt idx="30">
                  <c:v>-5.5807154322027404E-4</c:v>
                </c:pt>
                <c:pt idx="31">
                  <c:v>-1.03250782528426E-3</c:v>
                </c:pt>
                <c:pt idx="32">
                  <c:v>-2.4811937581365601E-3</c:v>
                </c:pt>
                <c:pt idx="33">
                  <c:v>-2.0747309088525899E-3</c:v>
                </c:pt>
                <c:pt idx="34">
                  <c:v>-3.2586419921681902E-4</c:v>
                </c:pt>
                <c:pt idx="35">
                  <c:v>-6.9927911119880897E-4</c:v>
                </c:pt>
                <c:pt idx="36">
                  <c:v>-6.5051207696565597E-4</c:v>
                </c:pt>
                <c:pt idx="37">
                  <c:v>-1.1837540236175001E-3</c:v>
                </c:pt>
                <c:pt idx="38">
                  <c:v>1.19807340830265E-4</c:v>
                </c:pt>
                <c:pt idx="39">
                  <c:v>-7.0415643824690399E-4</c:v>
                </c:pt>
                <c:pt idx="40">
                  <c:v>-2.9338541177947598E-4</c:v>
                </c:pt>
                <c:pt idx="41">
                  <c:v>3.3566823843288602E-4</c:v>
                </c:pt>
                <c:pt idx="42">
                  <c:v>6.9649793487236401E-4</c:v>
                </c:pt>
                <c:pt idx="43">
                  <c:v>3.2788182428997398E-4</c:v>
                </c:pt>
                <c:pt idx="44">
                  <c:v>-9.9375898411327391E-4</c:v>
                </c:pt>
                <c:pt idx="45">
                  <c:v>-4.0309386088208202E-4</c:v>
                </c:pt>
                <c:pt idx="46">
                  <c:v>2.7815013742835798E-4</c:v>
                </c:pt>
                <c:pt idx="47">
                  <c:v>-8.0592517363688198E-4</c:v>
                </c:pt>
                <c:pt idx="48">
                  <c:v>-6.7124600368119003E-4</c:v>
                </c:pt>
                <c:pt idx="49">
                  <c:v>-1.53931756225271E-3</c:v>
                </c:pt>
                <c:pt idx="50">
                  <c:v>8.3881732313650399E-5</c:v>
                </c:pt>
                <c:pt idx="51">
                  <c:v>2.2880402790924199E-4</c:v>
                </c:pt>
                <c:pt idx="52">
                  <c:v>1.16951215951128E-3</c:v>
                </c:pt>
                <c:pt idx="53">
                  <c:v>7.5746749235090503E-5</c:v>
                </c:pt>
                <c:pt idx="54">
                  <c:v>-8.1227062208964599E-4</c:v>
                </c:pt>
                <c:pt idx="55">
                  <c:v>6.7919766097318795E-4</c:v>
                </c:pt>
                <c:pt idx="56">
                  <c:v>-2.8559295423914298E-4</c:v>
                </c:pt>
                <c:pt idx="57">
                  <c:v>7.0501565722584604E-4</c:v>
                </c:pt>
                <c:pt idx="58">
                  <c:v>8.8438402761164495E-4</c:v>
                </c:pt>
                <c:pt idx="59">
                  <c:v>-1.77529819996769E-4</c:v>
                </c:pt>
                <c:pt idx="60">
                  <c:v>1.1193412927922601E-3</c:v>
                </c:pt>
                <c:pt idx="61">
                  <c:v>-1.3939900588145701E-3</c:v>
                </c:pt>
                <c:pt idx="62">
                  <c:v>-1.63316196992923E-3</c:v>
                </c:pt>
                <c:pt idx="63">
                  <c:v>-1.66302224170648E-3</c:v>
                </c:pt>
                <c:pt idx="64">
                  <c:v>-1.7304102883090001E-3</c:v>
                </c:pt>
                <c:pt idx="65">
                  <c:v>-9.838344365230079E-4</c:v>
                </c:pt>
                <c:pt idx="66">
                  <c:v>-1.5042108929765501E-3</c:v>
                </c:pt>
                <c:pt idx="67">
                  <c:v>5.98934890029041E-4</c:v>
                </c:pt>
                <c:pt idx="68">
                  <c:v>-1.7533623644129699E-4</c:v>
                </c:pt>
                <c:pt idx="69">
                  <c:v>-5.2695904638209599E-4</c:v>
                </c:pt>
                <c:pt idx="70">
                  <c:v>6.0091120356408202E-4</c:v>
                </c:pt>
                <c:pt idx="71">
                  <c:v>5.0290284812453095E-4</c:v>
                </c:pt>
                <c:pt idx="72">
                  <c:v>3.3481776442347699E-4</c:v>
                </c:pt>
                <c:pt idx="73">
                  <c:v>-6.2290578914285597E-4</c:v>
                </c:pt>
                <c:pt idx="74">
                  <c:v>-6.8969130243682003E-4</c:v>
                </c:pt>
                <c:pt idx="75">
                  <c:v>-4.7699889746055202E-4</c:v>
                </c:pt>
                <c:pt idx="76">
                  <c:v>-6.3205907164824498E-4</c:v>
                </c:pt>
                <c:pt idx="77">
                  <c:v>6.7975421956009805E-5</c:v>
                </c:pt>
                <c:pt idx="78">
                  <c:v>-4.2254049458443E-4</c:v>
                </c:pt>
                <c:pt idx="79">
                  <c:v>-1.0725515179530801E-3</c:v>
                </c:pt>
                <c:pt idx="80">
                  <c:v>-1.6216191977062801E-3</c:v>
                </c:pt>
                <c:pt idx="81">
                  <c:v>-8.8541821877328596E-4</c:v>
                </c:pt>
                <c:pt idx="82">
                  <c:v>-1.0063061484689799E-3</c:v>
                </c:pt>
                <c:pt idx="83">
                  <c:v>3.1863693527767499E-4</c:v>
                </c:pt>
                <c:pt idx="84">
                  <c:v>-8.7309638922729402E-4</c:v>
                </c:pt>
                <c:pt idx="85">
                  <c:v>-4.0220899333366297E-4</c:v>
                </c:pt>
                <c:pt idx="86">
                  <c:v>-1.1853381731695199E-3</c:v>
                </c:pt>
                <c:pt idx="87">
                  <c:v>-4.5406158317301499E-4</c:v>
                </c:pt>
                <c:pt idx="88">
                  <c:v>6.7762765067665395E-5</c:v>
                </c:pt>
                <c:pt idx="89">
                  <c:v>6.7496631504541504E-4</c:v>
                </c:pt>
                <c:pt idx="90">
                  <c:v>2.8667902148850902E-4</c:v>
                </c:pt>
                <c:pt idx="91">
                  <c:v>3.2783517097557001E-5</c:v>
                </c:pt>
                <c:pt idx="92">
                  <c:v>2.4878928384382298E-4</c:v>
                </c:pt>
                <c:pt idx="93">
                  <c:v>1.0165534016219899E-3</c:v>
                </c:pt>
                <c:pt idx="94">
                  <c:v>2.4298206080355799E-3</c:v>
                </c:pt>
                <c:pt idx="95">
                  <c:v>1.4619969434852399E-3</c:v>
                </c:pt>
                <c:pt idx="96">
                  <c:v>7.5306147783223295E-4</c:v>
                </c:pt>
                <c:pt idx="97">
                  <c:v>-3.0958673029162002E-4</c:v>
                </c:pt>
                <c:pt idx="98">
                  <c:v>-2.5731832303808801E-4</c:v>
                </c:pt>
                <c:pt idx="99">
                  <c:v>-1.23598255361306E-3</c:v>
                </c:pt>
                <c:pt idx="100">
                  <c:v>-9.1303016091014903E-4</c:v>
                </c:pt>
                <c:pt idx="101">
                  <c:v>-8.6819744279659401E-4</c:v>
                </c:pt>
                <c:pt idx="102">
                  <c:v>-9.0030499677406898E-4</c:v>
                </c:pt>
                <c:pt idx="103">
                  <c:v>-1.5779052034969101E-4</c:v>
                </c:pt>
                <c:pt idx="104">
                  <c:v>5.1707794597089104E-4</c:v>
                </c:pt>
                <c:pt idx="105">
                  <c:v>6.7513721789226995E-5</c:v>
                </c:pt>
                <c:pt idx="106">
                  <c:v>7.1163721565988805E-4</c:v>
                </c:pt>
                <c:pt idx="107">
                  <c:v>1.0121705057835699E-3</c:v>
                </c:pt>
                <c:pt idx="108">
                  <c:v>6.4300897826375899E-4</c:v>
                </c:pt>
                <c:pt idx="109">
                  <c:v>6.7176700914092704E-4</c:v>
                </c:pt>
                <c:pt idx="110">
                  <c:v>6.8869517677217298E-4</c:v>
                </c:pt>
                <c:pt idx="111">
                  <c:v>-6.8180857130955197E-4</c:v>
                </c:pt>
                <c:pt idx="112">
                  <c:v>-9.4865884162795798E-4</c:v>
                </c:pt>
                <c:pt idx="113">
                  <c:v>-9.5340781236781199E-4</c:v>
                </c:pt>
                <c:pt idx="114">
                  <c:v>-2.10906827798319E-4</c:v>
                </c:pt>
                <c:pt idx="115">
                  <c:v>-5.66889067758835E-4</c:v>
                </c:pt>
                <c:pt idx="116">
                  <c:v>-4.3079917878026901E-4</c:v>
                </c:pt>
                <c:pt idx="117">
                  <c:v>-1.10069546343787E-3</c:v>
                </c:pt>
                <c:pt idx="118">
                  <c:v>-5.8437290628450404E-4</c:v>
                </c:pt>
                <c:pt idx="119">
                  <c:v>-1.1342759573388899E-3</c:v>
                </c:pt>
                <c:pt idx="120">
                  <c:v>-4.5961869765770598E-4</c:v>
                </c:pt>
                <c:pt idx="121">
                  <c:v>-2.1464150425378999E-4</c:v>
                </c:pt>
                <c:pt idx="122">
                  <c:v>4.4842952287273998E-4</c:v>
                </c:pt>
                <c:pt idx="123">
                  <c:v>-4.86545307596824E-4</c:v>
                </c:pt>
                <c:pt idx="124">
                  <c:v>4.2884917402655997E-5</c:v>
                </c:pt>
                <c:pt idx="125">
                  <c:v>-7.5824653315655001E-4</c:v>
                </c:pt>
                <c:pt idx="126">
                  <c:v>-1.9993024244597E-4</c:v>
                </c:pt>
                <c:pt idx="127">
                  <c:v>1.8637327284604501E-3</c:v>
                </c:pt>
                <c:pt idx="128">
                  <c:v>1.3881096375659701E-3</c:v>
                </c:pt>
                <c:pt idx="129">
                  <c:v>3.7984651304413699E-4</c:v>
                </c:pt>
                <c:pt idx="130">
                  <c:v>1.29338836623447E-3</c:v>
                </c:pt>
                <c:pt idx="131">
                  <c:v>1.3136216448007801E-3</c:v>
                </c:pt>
                <c:pt idx="132">
                  <c:v>1.1518860226573801E-3</c:v>
                </c:pt>
                <c:pt idx="133">
                  <c:v>8.0101168318301604E-4</c:v>
                </c:pt>
                <c:pt idx="134">
                  <c:v>3.2565312358164998E-4</c:v>
                </c:pt>
                <c:pt idx="135">
                  <c:v>3.5931417613156399E-4</c:v>
                </c:pt>
                <c:pt idx="136">
                  <c:v>3.20396630380417E-4</c:v>
                </c:pt>
                <c:pt idx="137">
                  <c:v>-1.09287652006531E-5</c:v>
                </c:pt>
                <c:pt idx="138">
                  <c:v>1.0505682089336499E-4</c:v>
                </c:pt>
                <c:pt idx="139">
                  <c:v>-1.54422491154427E-3</c:v>
                </c:pt>
                <c:pt idx="140">
                  <c:v>-9.54261727113528E-4</c:v>
                </c:pt>
                <c:pt idx="141">
                  <c:v>-1.1750495154451801E-3</c:v>
                </c:pt>
                <c:pt idx="142">
                  <c:v>-8.3416318537969897E-4</c:v>
                </c:pt>
                <c:pt idx="143">
                  <c:v>-5.8825042092928298E-4</c:v>
                </c:pt>
                <c:pt idx="144">
                  <c:v>-1.55853357762376E-3</c:v>
                </c:pt>
                <c:pt idx="145">
                  <c:v>-1.1189743701811401E-3</c:v>
                </c:pt>
                <c:pt idx="146">
                  <c:v>-1.41350028993154E-3</c:v>
                </c:pt>
                <c:pt idx="147">
                  <c:v>-8.3466986678946997E-4</c:v>
                </c:pt>
                <c:pt idx="148">
                  <c:v>-1.5247307428834301E-6</c:v>
                </c:pt>
                <c:pt idx="149">
                  <c:v>1.7502903519170401E-4</c:v>
                </c:pt>
                <c:pt idx="150">
                  <c:v>3.4975198416515902E-4</c:v>
                </c:pt>
                <c:pt idx="151">
                  <c:v>5.0717907607542999E-4</c:v>
                </c:pt>
                <c:pt idx="152">
                  <c:v>1.35950552329127E-5</c:v>
                </c:pt>
                <c:pt idx="153">
                  <c:v>1.32947025925985E-4</c:v>
                </c:pt>
                <c:pt idx="154">
                  <c:v>1.6777886305716001E-3</c:v>
                </c:pt>
                <c:pt idx="155">
                  <c:v>5.2425595002152895E-4</c:v>
                </c:pt>
                <c:pt idx="156">
                  <c:v>4.46973086779037E-4</c:v>
                </c:pt>
                <c:pt idx="157">
                  <c:v>-6.3232362184033797E-4</c:v>
                </c:pt>
                <c:pt idx="158">
                  <c:v>8.9036708663791503E-4</c:v>
                </c:pt>
                <c:pt idx="159">
                  <c:v>1.11946252993888E-3</c:v>
                </c:pt>
                <c:pt idx="160">
                  <c:v>-3.5902370162020202E-4</c:v>
                </c:pt>
                <c:pt idx="161">
                  <c:v>-1.2953663270455699E-3</c:v>
                </c:pt>
                <c:pt idx="162">
                  <c:v>-1.5107304611526201E-3</c:v>
                </c:pt>
                <c:pt idx="163">
                  <c:v>-1.51182901568742E-3</c:v>
                </c:pt>
                <c:pt idx="164">
                  <c:v>-1.3449020603615699E-3</c:v>
                </c:pt>
                <c:pt idx="165">
                  <c:v>-8.3677232752535596E-4</c:v>
                </c:pt>
                <c:pt idx="166">
                  <c:v>-1.2075365200456001E-3</c:v>
                </c:pt>
                <c:pt idx="167">
                  <c:v>-4.0695646073546002E-4</c:v>
                </c:pt>
                <c:pt idx="168">
                  <c:v>-5.8189481967759703E-5</c:v>
                </c:pt>
                <c:pt idx="169">
                  <c:v>4.6796519547997002E-5</c:v>
                </c:pt>
                <c:pt idx="170">
                  <c:v>1.02871114989855E-3</c:v>
                </c:pt>
                <c:pt idx="171">
                  <c:v>1.47357620512936E-3</c:v>
                </c:pt>
                <c:pt idx="172">
                  <c:v>4.9526208045492202E-4</c:v>
                </c:pt>
                <c:pt idx="173">
                  <c:v>-1.45208820774389E-3</c:v>
                </c:pt>
                <c:pt idx="174">
                  <c:v>-1.4712789909496599E-3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C50-4653-8F90-44C22740586B}"/>
            </c:ext>
          </c:extLst>
        </c:ser>
        <c:ser>
          <c:idx val="2"/>
          <c:order val="2"/>
          <c:tx>
            <c:strRef>
              <c:f>Sheet1!$W$1</c:f>
              <c:strCache>
                <c:ptCount val="1"/>
                <c:pt idx="0">
                  <c:v>log diff TFI x 20 dma / MUB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Sheet1!$W$2:$W$176</c:f>
              <c:numCache>
                <c:formatCode>0.0000%</c:formatCode>
                <c:ptCount val="175"/>
                <c:pt idx="20">
                  <c:v>-1.4517143099571301E-3</c:v>
                </c:pt>
                <c:pt idx="21">
                  <c:v>-1.9062935596780799E-5</c:v>
                </c:pt>
                <c:pt idx="22">
                  <c:v>2.02501517158172E-3</c:v>
                </c:pt>
                <c:pt idx="23">
                  <c:v>9.9445290174575494E-4</c:v>
                </c:pt>
                <c:pt idx="24">
                  <c:v>2.4861775944258501E-3</c:v>
                </c:pt>
                <c:pt idx="25">
                  <c:v>2.09863405298186E-3</c:v>
                </c:pt>
                <c:pt idx="26">
                  <c:v>1.50423513786425E-3</c:v>
                </c:pt>
                <c:pt idx="27">
                  <c:v>1.3595279859392E-3</c:v>
                </c:pt>
                <c:pt idx="28">
                  <c:v>1.02344528136254E-3</c:v>
                </c:pt>
                <c:pt idx="29">
                  <c:v>1.54584587430947E-3</c:v>
                </c:pt>
                <c:pt idx="30">
                  <c:v>1.60629327158973E-4</c:v>
                </c:pt>
                <c:pt idx="31">
                  <c:v>-1.1169811668547101E-4</c:v>
                </c:pt>
                <c:pt idx="32">
                  <c:v>-1.48355747114333E-3</c:v>
                </c:pt>
                <c:pt idx="33">
                  <c:v>-1.2806302280707301E-3</c:v>
                </c:pt>
                <c:pt idx="34">
                  <c:v>3.2166576467344702E-4</c:v>
                </c:pt>
                <c:pt idx="35">
                  <c:v>-2.8644702438477301E-4</c:v>
                </c:pt>
                <c:pt idx="36">
                  <c:v>-4.9531984163470098E-4</c:v>
                </c:pt>
                <c:pt idx="37">
                  <c:v>-1.2227031469751401E-3</c:v>
                </c:pt>
                <c:pt idx="38">
                  <c:v>-1.64969534978545E-4</c:v>
                </c:pt>
                <c:pt idx="39">
                  <c:v>-1.1166525279953099E-3</c:v>
                </c:pt>
                <c:pt idx="40">
                  <c:v>-9.3205196456708195E-4</c:v>
                </c:pt>
                <c:pt idx="41">
                  <c:v>-4.6684049889880199E-4</c:v>
                </c:pt>
                <c:pt idx="42">
                  <c:v>-1.50208257551081E-4</c:v>
                </c:pt>
                <c:pt idx="43">
                  <c:v>-3.0523956536894199E-4</c:v>
                </c:pt>
                <c:pt idx="44">
                  <c:v>-1.4817384752432001E-3</c:v>
                </c:pt>
                <c:pt idx="45">
                  <c:v>-8.8623944623138304E-4</c:v>
                </c:pt>
                <c:pt idx="46">
                  <c:v>-1.37965350926359E-4</c:v>
                </c:pt>
                <c:pt idx="47">
                  <c:v>-1.1336397994770799E-3</c:v>
                </c:pt>
                <c:pt idx="48">
                  <c:v>-8.99025846643711E-4</c:v>
                </c:pt>
                <c:pt idx="49">
                  <c:v>-1.78143418458738E-3</c:v>
                </c:pt>
                <c:pt idx="50">
                  <c:v>-1.00778547266933E-4</c:v>
                </c:pt>
                <c:pt idx="51">
                  <c:v>9.5170617238933601E-5</c:v>
                </c:pt>
                <c:pt idx="52">
                  <c:v>1.02904913037528E-3</c:v>
                </c:pt>
                <c:pt idx="53">
                  <c:v>-1.2929886862941801E-4</c:v>
                </c:pt>
                <c:pt idx="54">
                  <c:v>-1.1072079248668799E-3</c:v>
                </c:pt>
                <c:pt idx="55">
                  <c:v>4.4602034335259201E-4</c:v>
                </c:pt>
                <c:pt idx="56">
                  <c:v>-4.5448143017492499E-4</c:v>
                </c:pt>
                <c:pt idx="57">
                  <c:v>4.8625707963331901E-4</c:v>
                </c:pt>
                <c:pt idx="58">
                  <c:v>7.3317005545897205E-4</c:v>
                </c:pt>
                <c:pt idx="59">
                  <c:v>-2.0377579235607599E-4</c:v>
                </c:pt>
                <c:pt idx="60">
                  <c:v>1.2246504244128799E-3</c:v>
                </c:pt>
                <c:pt idx="61">
                  <c:v>-1.2267917838381099E-3</c:v>
                </c:pt>
                <c:pt idx="62">
                  <c:v>-1.51173642499783E-3</c:v>
                </c:pt>
                <c:pt idx="63">
                  <c:v>-1.67921790058877E-3</c:v>
                </c:pt>
                <c:pt idx="64">
                  <c:v>-1.8021237158561E-3</c:v>
                </c:pt>
                <c:pt idx="65">
                  <c:v>-1.08824879086766E-3</c:v>
                </c:pt>
                <c:pt idx="66">
                  <c:v>-1.73297749157055E-3</c:v>
                </c:pt>
                <c:pt idx="67">
                  <c:v>3.3138687599370799E-4</c:v>
                </c:pt>
                <c:pt idx="68">
                  <c:v>-5.2855221224314705E-4</c:v>
                </c:pt>
                <c:pt idx="69">
                  <c:v>-1.0310006588645901E-3</c:v>
                </c:pt>
                <c:pt idx="70">
                  <c:v>-3.6451228170558403E-5</c:v>
                </c:pt>
                <c:pt idx="71">
                  <c:v>-2.86163432310072E-4</c:v>
                </c:pt>
                <c:pt idx="72">
                  <c:v>-3.7394163800486999E-4</c:v>
                </c:pt>
                <c:pt idx="73">
                  <c:v>-1.1762455861699401E-3</c:v>
                </c:pt>
                <c:pt idx="74">
                  <c:v>-1.15780103525649E-3</c:v>
                </c:pt>
                <c:pt idx="75">
                  <c:v>-8.8677686602478697E-4</c:v>
                </c:pt>
                <c:pt idx="76">
                  <c:v>-9.6392581493055199E-4</c:v>
                </c:pt>
                <c:pt idx="77">
                  <c:v>-1.6963598697947101E-4</c:v>
                </c:pt>
                <c:pt idx="78">
                  <c:v>-6.7839616295197998E-4</c:v>
                </c:pt>
                <c:pt idx="79">
                  <c:v>-1.27812445093778E-3</c:v>
                </c:pt>
                <c:pt idx="80">
                  <c:v>-1.8071878006712899E-3</c:v>
                </c:pt>
                <c:pt idx="81">
                  <c:v>-1.11115313852732E-3</c:v>
                </c:pt>
                <c:pt idx="82">
                  <c:v>-1.3398930112530801E-3</c:v>
                </c:pt>
                <c:pt idx="83">
                  <c:v>-1.42806687361864E-4</c:v>
                </c:pt>
                <c:pt idx="84">
                  <c:v>-1.3302746991477601E-3</c:v>
                </c:pt>
                <c:pt idx="85">
                  <c:v>-9.1948923350990402E-4</c:v>
                </c:pt>
                <c:pt idx="86">
                  <c:v>-1.7349478414082299E-3</c:v>
                </c:pt>
                <c:pt idx="87">
                  <c:v>-1.09670180900619E-3</c:v>
                </c:pt>
                <c:pt idx="88">
                  <c:v>-6.1490796008539903E-4</c:v>
                </c:pt>
                <c:pt idx="89">
                  <c:v>-1.3502374099921301E-5</c:v>
                </c:pt>
                <c:pt idx="90">
                  <c:v>-3.3547141049656399E-4</c:v>
                </c:pt>
                <c:pt idx="91">
                  <c:v>-4.2656148535387699E-4</c:v>
                </c:pt>
                <c:pt idx="92">
                  <c:v>-1.18648231227821E-4</c:v>
                </c:pt>
                <c:pt idx="93">
                  <c:v>7.7549324763602804E-4</c:v>
                </c:pt>
                <c:pt idx="94">
                  <c:v>2.1986135089311501E-3</c:v>
                </c:pt>
                <c:pt idx="95">
                  <c:v>1.4275763609988799E-3</c:v>
                </c:pt>
                <c:pt idx="96">
                  <c:v>8.56367114715358E-4</c:v>
                </c:pt>
                <c:pt idx="97">
                  <c:v>-1.62847407844816E-5</c:v>
                </c:pt>
                <c:pt idx="98">
                  <c:v>1.62942340242985E-4</c:v>
                </c:pt>
                <c:pt idx="99">
                  <c:v>-7.4616194862775302E-4</c:v>
                </c:pt>
                <c:pt idx="100">
                  <c:v>-4.88346995512629E-4</c:v>
                </c:pt>
                <c:pt idx="101">
                  <c:v>-4.9425641243388803E-4</c:v>
                </c:pt>
                <c:pt idx="102">
                  <c:v>-5.3399976656728497E-4</c:v>
                </c:pt>
                <c:pt idx="103">
                  <c:v>1.6164852966821201E-4</c:v>
                </c:pt>
                <c:pt idx="104">
                  <c:v>7.9895375730035505E-4</c:v>
                </c:pt>
                <c:pt idx="105">
                  <c:v>1.40084456348628E-4</c:v>
                </c:pt>
                <c:pt idx="106">
                  <c:v>6.3206265070692397E-4</c:v>
                </c:pt>
                <c:pt idx="107">
                  <c:v>8.1529560177079797E-4</c:v>
                </c:pt>
                <c:pt idx="108">
                  <c:v>4.5593168758795301E-4</c:v>
                </c:pt>
                <c:pt idx="109">
                  <c:v>4.8521008612266398E-4</c:v>
                </c:pt>
                <c:pt idx="110">
                  <c:v>6.2547721029663497E-4</c:v>
                </c:pt>
                <c:pt idx="111">
                  <c:v>-6.5371602755290802E-4</c:v>
                </c:pt>
                <c:pt idx="112">
                  <c:v>-9.0075905250224203E-4</c:v>
                </c:pt>
                <c:pt idx="113">
                  <c:v>-8.8228727307447096E-4</c:v>
                </c:pt>
                <c:pt idx="114">
                  <c:v>-1.45700438185029E-4</c:v>
                </c:pt>
                <c:pt idx="115">
                  <c:v>-4.64186165787764E-4</c:v>
                </c:pt>
                <c:pt idx="116">
                  <c:v>-2.87128473135639E-4</c:v>
                </c:pt>
                <c:pt idx="117">
                  <c:v>-9.8976227120626593E-4</c:v>
                </c:pt>
                <c:pt idx="118">
                  <c:v>-6.1437691510368101E-4</c:v>
                </c:pt>
                <c:pt idx="119">
                  <c:v>-1.25493230445009E-3</c:v>
                </c:pt>
                <c:pt idx="120">
                  <c:v>-7.5935003479526205E-4</c:v>
                </c:pt>
                <c:pt idx="121">
                  <c:v>-6.7543439094650503E-4</c:v>
                </c:pt>
                <c:pt idx="122">
                  <c:v>-4.7215987017206899E-5</c:v>
                </c:pt>
                <c:pt idx="123">
                  <c:v>-9.6430100780169796E-4</c:v>
                </c:pt>
                <c:pt idx="124">
                  <c:v>-4.2663539387892998E-4</c:v>
                </c:pt>
                <c:pt idx="125">
                  <c:v>-1.2321485660361201E-3</c:v>
                </c:pt>
                <c:pt idx="126">
                  <c:v>-7.0933414176839102E-4</c:v>
                </c:pt>
                <c:pt idx="127">
                  <c:v>1.35768049763862E-3</c:v>
                </c:pt>
                <c:pt idx="128">
                  <c:v>1.07406126552477E-3</c:v>
                </c:pt>
                <c:pt idx="129">
                  <c:v>1.97297828814031E-4</c:v>
                </c:pt>
                <c:pt idx="130">
                  <c:v>1.27065672302565E-3</c:v>
                </c:pt>
                <c:pt idx="131">
                  <c:v>1.4635974206559199E-3</c:v>
                </c:pt>
                <c:pt idx="132">
                  <c:v>1.4159976343898701E-3</c:v>
                </c:pt>
                <c:pt idx="133">
                  <c:v>1.10641332744012E-3</c:v>
                </c:pt>
                <c:pt idx="134">
                  <c:v>7.50483971543208E-4</c:v>
                </c:pt>
                <c:pt idx="135">
                  <c:v>8.7507614291290896E-4</c:v>
                </c:pt>
                <c:pt idx="136">
                  <c:v>1.0007631417519099E-3</c:v>
                </c:pt>
                <c:pt idx="137">
                  <c:v>8.0303521549421298E-4</c:v>
                </c:pt>
                <c:pt idx="138">
                  <c:v>8.0904289958782605E-4</c:v>
                </c:pt>
                <c:pt idx="139">
                  <c:v>-9.0122965921745301E-4</c:v>
                </c:pt>
                <c:pt idx="140">
                  <c:v>-4.0074685092541298E-4</c:v>
                </c:pt>
                <c:pt idx="141">
                  <c:v>-7.6401520865328697E-4</c:v>
                </c:pt>
                <c:pt idx="142">
                  <c:v>-5.9792699179737495E-4</c:v>
                </c:pt>
                <c:pt idx="143">
                  <c:v>-4.8927027875061795E-4</c:v>
                </c:pt>
                <c:pt idx="144">
                  <c:v>-1.6140548258615E-3</c:v>
                </c:pt>
                <c:pt idx="145">
                  <c:v>-1.3309116384095699E-3</c:v>
                </c:pt>
                <c:pt idx="146">
                  <c:v>-1.8280207857572599E-3</c:v>
                </c:pt>
                <c:pt idx="147">
                  <c:v>-1.4713265682737601E-3</c:v>
                </c:pt>
                <c:pt idx="148">
                  <c:v>-7.3058962185855501E-4</c:v>
                </c:pt>
                <c:pt idx="149">
                  <c:v>-6.3838665219909303E-4</c:v>
                </c:pt>
                <c:pt idx="150">
                  <c:v>-4.27142515182406E-4</c:v>
                </c:pt>
                <c:pt idx="151">
                  <c:v>-2.25196949180479E-4</c:v>
                </c:pt>
                <c:pt idx="152">
                  <c:v>-6.2464265751101895E-4</c:v>
                </c:pt>
                <c:pt idx="153">
                  <c:v>-4.51092960427384E-4</c:v>
                </c:pt>
                <c:pt idx="154">
                  <c:v>1.13093647386785E-3</c:v>
                </c:pt>
                <c:pt idx="155">
                  <c:v>1.8418213097087899E-4</c:v>
                </c:pt>
                <c:pt idx="156">
                  <c:v>2.5012674583693999E-4</c:v>
                </c:pt>
                <c:pt idx="157">
                  <c:v>-6.2766982707893103E-4</c:v>
                </c:pt>
                <c:pt idx="158">
                  <c:v>1.01045828308447E-3</c:v>
                </c:pt>
                <c:pt idx="159">
                  <c:v>1.3743617835669901E-3</c:v>
                </c:pt>
                <c:pt idx="160">
                  <c:v>-3.60071035842752E-5</c:v>
                </c:pt>
                <c:pt idx="161">
                  <c:v>-9.6297715342380801E-4</c:v>
                </c:pt>
                <c:pt idx="162">
                  <c:v>-1.24613627807132E-3</c:v>
                </c:pt>
                <c:pt idx="163">
                  <c:v>-1.27559936525317E-3</c:v>
                </c:pt>
                <c:pt idx="164">
                  <c:v>-1.14499708103266E-3</c:v>
                </c:pt>
                <c:pt idx="165">
                  <c:v>-8.7508230790300898E-4</c:v>
                </c:pt>
                <c:pt idx="166">
                  <c:v>-1.36586911054501E-3</c:v>
                </c:pt>
                <c:pt idx="167">
                  <c:v>-7.37182705569761E-4</c:v>
                </c:pt>
                <c:pt idx="168">
                  <c:v>-4.2075850284925499E-4</c:v>
                </c:pt>
                <c:pt idx="169">
                  <c:v>-4.5591884340611099E-4</c:v>
                </c:pt>
                <c:pt idx="170">
                  <c:v>3.4962104859847701E-4</c:v>
                </c:pt>
                <c:pt idx="171">
                  <c:v>7.9907953757543096E-4</c:v>
                </c:pt>
                <c:pt idx="172">
                  <c:v>-5.1455159302090197E-5</c:v>
                </c:pt>
                <c:pt idx="173">
                  <c:v>-1.9034315133348799E-3</c:v>
                </c:pt>
                <c:pt idx="174">
                  <c:v>-1.90615929057053E-3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C50-4653-8F90-44C2274058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9287584"/>
        <c:axId val="205412432"/>
      </c:lineChart>
      <c:catAx>
        <c:axId val="16692875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412432"/>
        <c:crosses val="autoZero"/>
        <c:auto val="1"/>
        <c:lblAlgn val="ctr"/>
        <c:lblOffset val="100"/>
        <c:noMultiLvlLbl val="0"/>
      </c:catAx>
      <c:valAx>
        <c:axId val="205412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9287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Sheet1!$AR$22:$AR$176</c:f>
              <c:numCache>
                <c:formatCode>0.00%</c:formatCode>
                <c:ptCount val="155"/>
                <c:pt idx="0">
                  <c:v>0</c:v>
                </c:pt>
                <c:pt idx="1">
                  <c:v>1.3681372588347169E-3</c:v>
                </c:pt>
                <c:pt idx="2">
                  <c:v>3.4190646298341973E-3</c:v>
                </c:pt>
                <c:pt idx="3">
                  <c:v>3.4190646298341973E-3</c:v>
                </c:pt>
                <c:pt idx="4">
                  <c:v>3.4190646298341973E-3</c:v>
                </c:pt>
                <c:pt idx="5">
                  <c:v>3.4190646298341973E-3</c:v>
                </c:pt>
                <c:pt idx="6">
                  <c:v>3.4190646298341973E-3</c:v>
                </c:pt>
                <c:pt idx="7">
                  <c:v>3.4190646298341973E-3</c:v>
                </c:pt>
                <c:pt idx="8">
                  <c:v>3.4190646298341973E-3</c:v>
                </c:pt>
                <c:pt idx="9">
                  <c:v>3.4190646298341973E-3</c:v>
                </c:pt>
                <c:pt idx="10">
                  <c:v>3.4190646298341973E-3</c:v>
                </c:pt>
                <c:pt idx="11">
                  <c:v>3.4190646298341973E-3</c:v>
                </c:pt>
                <c:pt idx="12">
                  <c:v>3.4190646298341973E-3</c:v>
                </c:pt>
                <c:pt idx="13">
                  <c:v>3.5464153688435892E-3</c:v>
                </c:pt>
                <c:pt idx="14">
                  <c:v>5.1184660507404191E-3</c:v>
                </c:pt>
                <c:pt idx="15">
                  <c:v>5.1184660507404191E-3</c:v>
                </c:pt>
                <c:pt idx="16">
                  <c:v>5.1184660507404191E-3</c:v>
                </c:pt>
                <c:pt idx="17">
                  <c:v>5.1184660507404191E-3</c:v>
                </c:pt>
                <c:pt idx="18">
                  <c:v>6.1943133842035291E-3</c:v>
                </c:pt>
                <c:pt idx="19">
                  <c:v>6.1943133842035291E-3</c:v>
                </c:pt>
                <c:pt idx="20">
                  <c:v>6.3580944966890093E-3</c:v>
                </c:pt>
                <c:pt idx="21">
                  <c:v>6.8858693486362997E-3</c:v>
                </c:pt>
                <c:pt idx="22">
                  <c:v>7.2229615210833977E-3</c:v>
                </c:pt>
                <c:pt idx="23">
                  <c:v>7.002719328052502E-3</c:v>
                </c:pt>
                <c:pt idx="24">
                  <c:v>5.7947091453738817E-3</c:v>
                </c:pt>
                <c:pt idx="25">
                  <c:v>6.2209503340833316E-3</c:v>
                </c:pt>
                <c:pt idx="26">
                  <c:v>6.8351580784532916E-3</c:v>
                </c:pt>
                <c:pt idx="27">
                  <c:v>5.7607064011659815E-3</c:v>
                </c:pt>
                <c:pt idx="28">
                  <c:v>5.8675966424984512E-3</c:v>
                </c:pt>
                <c:pt idx="29">
                  <c:v>4.8748603808726927E-3</c:v>
                </c:pt>
                <c:pt idx="30">
                  <c:v>6.3660069759044428E-3</c:v>
                </c:pt>
                <c:pt idx="31">
                  <c:v>6.5117204564964833E-3</c:v>
                </c:pt>
                <c:pt idx="32">
                  <c:v>6.5117204564964833E-3</c:v>
                </c:pt>
                <c:pt idx="33">
                  <c:v>6.5117204564964833E-3</c:v>
                </c:pt>
                <c:pt idx="34">
                  <c:v>6.5117204564964833E-3</c:v>
                </c:pt>
                <c:pt idx="35">
                  <c:v>7.9623174046842445E-3</c:v>
                </c:pt>
                <c:pt idx="36">
                  <c:v>7.9623174046842445E-3</c:v>
                </c:pt>
                <c:pt idx="37">
                  <c:v>7.9623174046842445E-3</c:v>
                </c:pt>
                <c:pt idx="38">
                  <c:v>7.9623174046842445E-3</c:v>
                </c:pt>
                <c:pt idx="39">
                  <c:v>7.9623174046842445E-3</c:v>
                </c:pt>
                <c:pt idx="40">
                  <c:v>7.9623174046842445E-3</c:v>
                </c:pt>
                <c:pt idx="41">
                  <c:v>7.9623174046842445E-3</c:v>
                </c:pt>
                <c:pt idx="42">
                  <c:v>7.594214608414104E-3</c:v>
                </c:pt>
                <c:pt idx="43">
                  <c:v>7.3083128294791321E-3</c:v>
                </c:pt>
                <c:pt idx="44">
                  <c:v>7.0636866592175482E-3</c:v>
                </c:pt>
                <c:pt idx="45">
                  <c:v>7.703983562221778E-3</c:v>
                </c:pt>
                <c:pt idx="46">
                  <c:v>6.9964284602709878E-3</c:v>
                </c:pt>
                <c:pt idx="47">
                  <c:v>8.9318562502408959E-3</c:v>
                </c:pt>
                <c:pt idx="48">
                  <c:v>8.9318562502408959E-3</c:v>
                </c:pt>
                <c:pt idx="49">
                  <c:v>8.9318562502408959E-3</c:v>
                </c:pt>
                <c:pt idx="50">
                  <c:v>9.9239796662392871E-3</c:v>
                </c:pt>
                <c:pt idx="51">
                  <c:v>9.6468995960200653E-3</c:v>
                </c:pt>
                <c:pt idx="52">
                  <c:v>9.510617804282126E-3</c:v>
                </c:pt>
                <c:pt idx="53">
                  <c:v>8.6078882961057174E-3</c:v>
                </c:pt>
                <c:pt idx="54">
                  <c:v>8.5344119126748476E-3</c:v>
                </c:pt>
                <c:pt idx="55">
                  <c:v>8.7575401399068529E-3</c:v>
                </c:pt>
                <c:pt idx="56">
                  <c:v>8.5711815855100282E-3</c:v>
                </c:pt>
                <c:pt idx="57">
                  <c:v>9.2920624542701252E-3</c:v>
                </c:pt>
                <c:pt idx="58">
                  <c:v>8.7009851634635947E-3</c:v>
                </c:pt>
                <c:pt idx="59">
                  <c:v>7.9750756437807647E-3</c:v>
                </c:pt>
                <c:pt idx="60">
                  <c:v>7.330277616941305E-3</c:v>
                </c:pt>
                <c:pt idx="61">
                  <c:v>7.8070577218555398E-3</c:v>
                </c:pt>
                <c:pt idx="62">
                  <c:v>7.8070577218555398E-3</c:v>
                </c:pt>
                <c:pt idx="63">
                  <c:v>8.9311796200897704E-3</c:v>
                </c:pt>
                <c:pt idx="64">
                  <c:v>7.7412899717963588E-3</c:v>
                </c:pt>
                <c:pt idx="65">
                  <c:v>8.1023507197082387E-3</c:v>
                </c:pt>
                <c:pt idx="66">
                  <c:v>7.2232297839678874E-3</c:v>
                </c:pt>
                <c:pt idx="67">
                  <c:v>7.7891806187921414E-3</c:v>
                </c:pt>
                <c:pt idx="68">
                  <c:v>8.1303294884670363E-3</c:v>
                </c:pt>
                <c:pt idx="69">
                  <c:v>8.6500306561460953E-3</c:v>
                </c:pt>
                <c:pt idx="70">
                  <c:v>8.2987365333902548E-3</c:v>
                </c:pt>
                <c:pt idx="71">
                  <c:v>8.1112072313873854E-3</c:v>
                </c:pt>
                <c:pt idx="72">
                  <c:v>8.3271430640700257E-3</c:v>
                </c:pt>
                <c:pt idx="73">
                  <c:v>9.1469176544525799E-3</c:v>
                </c:pt>
                <c:pt idx="74">
                  <c:v>9.1469176544525799E-3</c:v>
                </c:pt>
                <c:pt idx="75">
                  <c:v>9.1469176544525799E-3</c:v>
                </c:pt>
                <c:pt idx="76">
                  <c:v>9.1469176544525799E-3</c:v>
                </c:pt>
                <c:pt idx="77">
                  <c:v>9.1469176544525799E-3</c:v>
                </c:pt>
                <c:pt idx="78">
                  <c:v>9.1469176544525799E-3</c:v>
                </c:pt>
                <c:pt idx="79">
                  <c:v>9.1469176544525799E-3</c:v>
                </c:pt>
                <c:pt idx="80">
                  <c:v>9.1469176544525799E-3</c:v>
                </c:pt>
                <c:pt idx="81">
                  <c:v>9.1469176544525799E-3</c:v>
                </c:pt>
                <c:pt idx="82">
                  <c:v>9.1469176544525799E-3</c:v>
                </c:pt>
                <c:pt idx="83">
                  <c:v>9.1469176544525799E-3</c:v>
                </c:pt>
                <c:pt idx="84">
                  <c:v>9.1469176544525799E-3</c:v>
                </c:pt>
                <c:pt idx="85">
                  <c:v>9.1469176544525799E-3</c:v>
                </c:pt>
                <c:pt idx="86">
                  <c:v>9.1469176544525799E-3</c:v>
                </c:pt>
                <c:pt idx="87">
                  <c:v>9.1469176544525799E-3</c:v>
                </c:pt>
                <c:pt idx="88">
                  <c:v>9.1469176544525799E-3</c:v>
                </c:pt>
                <c:pt idx="89">
                  <c:v>9.1469176544525799E-3</c:v>
                </c:pt>
                <c:pt idx="90">
                  <c:v>9.1469176544525799E-3</c:v>
                </c:pt>
                <c:pt idx="91">
                  <c:v>9.1469176544525799E-3</c:v>
                </c:pt>
                <c:pt idx="92">
                  <c:v>9.1469176544525799E-3</c:v>
                </c:pt>
                <c:pt idx="93">
                  <c:v>9.1469176544525799E-3</c:v>
                </c:pt>
                <c:pt idx="94">
                  <c:v>9.1469176544525799E-3</c:v>
                </c:pt>
                <c:pt idx="95">
                  <c:v>9.1469176544525799E-3</c:v>
                </c:pt>
                <c:pt idx="96">
                  <c:v>9.1469176544525799E-3</c:v>
                </c:pt>
                <c:pt idx="97">
                  <c:v>9.1469176544525799E-3</c:v>
                </c:pt>
                <c:pt idx="98">
                  <c:v>9.1469176544525799E-3</c:v>
                </c:pt>
                <c:pt idx="99">
                  <c:v>9.1469176544525799E-3</c:v>
                </c:pt>
                <c:pt idx="100">
                  <c:v>9.6168361734437213E-3</c:v>
                </c:pt>
                <c:pt idx="101">
                  <c:v>9.6871143655573311E-3</c:v>
                </c:pt>
                <c:pt idx="102">
                  <c:v>1.0304723888450797E-2</c:v>
                </c:pt>
                <c:pt idx="103">
                  <c:v>1.0304723888450797E-2</c:v>
                </c:pt>
                <c:pt idx="104">
                  <c:v>1.0304723888450797E-2</c:v>
                </c:pt>
                <c:pt idx="105">
                  <c:v>1.0304723888450797E-2</c:v>
                </c:pt>
                <c:pt idx="106">
                  <c:v>1.0749086558336857E-2</c:v>
                </c:pt>
                <c:pt idx="107">
                  <c:v>1.2733948086313658E-2</c:v>
                </c:pt>
                <c:pt idx="108">
                  <c:v>1.2733948086313658E-2</c:v>
                </c:pt>
                <c:pt idx="109">
                  <c:v>1.2733948086313658E-2</c:v>
                </c:pt>
                <c:pt idx="110">
                  <c:v>1.2733948086313658E-2</c:v>
                </c:pt>
                <c:pt idx="111">
                  <c:v>1.2733948086313658E-2</c:v>
                </c:pt>
                <c:pt idx="112">
                  <c:v>1.2733948086313658E-2</c:v>
                </c:pt>
                <c:pt idx="113">
                  <c:v>1.2733948086313658E-2</c:v>
                </c:pt>
                <c:pt idx="114">
                  <c:v>1.2733948086313658E-2</c:v>
                </c:pt>
                <c:pt idx="115">
                  <c:v>1.2733948086313658E-2</c:v>
                </c:pt>
                <c:pt idx="116">
                  <c:v>1.2733948086313658E-2</c:v>
                </c:pt>
                <c:pt idx="117">
                  <c:v>1.2733948086313658E-2</c:v>
                </c:pt>
                <c:pt idx="118">
                  <c:v>1.2733948086313658E-2</c:v>
                </c:pt>
                <c:pt idx="119">
                  <c:v>1.2733948086313658E-2</c:v>
                </c:pt>
                <c:pt idx="120">
                  <c:v>1.2733948086313658E-2</c:v>
                </c:pt>
                <c:pt idx="121">
                  <c:v>1.2733948086313658E-2</c:v>
                </c:pt>
                <c:pt idx="122">
                  <c:v>1.2733948086313658E-2</c:v>
                </c:pt>
                <c:pt idx="123">
                  <c:v>1.2733948086313658E-2</c:v>
                </c:pt>
                <c:pt idx="124">
                  <c:v>1.2733948086313658E-2</c:v>
                </c:pt>
                <c:pt idx="125">
                  <c:v>1.2733948086313658E-2</c:v>
                </c:pt>
                <c:pt idx="126">
                  <c:v>1.2249187497556038E-2</c:v>
                </c:pt>
                <c:pt idx="127">
                  <c:v>1.2571705898933081E-2</c:v>
                </c:pt>
                <c:pt idx="128">
                  <c:v>1.3195171864762463E-2</c:v>
                </c:pt>
                <c:pt idx="129">
                  <c:v>1.3215335731466833E-2</c:v>
                </c:pt>
                <c:pt idx="130">
                  <c:v>1.3399233576355163E-2</c:v>
                </c:pt>
                <c:pt idx="131">
                  <c:v>1.3531634937900975E-2</c:v>
                </c:pt>
                <c:pt idx="132">
                  <c:v>1.3059736481689741E-2</c:v>
                </c:pt>
                <c:pt idx="133">
                  <c:v>1.3136186682791451E-2</c:v>
                </c:pt>
                <c:pt idx="134">
                  <c:v>1.4636322846900552E-2</c:v>
                </c:pt>
                <c:pt idx="135">
                  <c:v>1.4636322846900552E-2</c:v>
                </c:pt>
                <c:pt idx="136">
                  <c:v>1.4636322846900552E-2</c:v>
                </c:pt>
                <c:pt idx="137">
                  <c:v>1.4636322846900552E-2</c:v>
                </c:pt>
                <c:pt idx="138">
                  <c:v>1.4636322846900552E-2</c:v>
                </c:pt>
                <c:pt idx="139">
                  <c:v>1.4636322846900552E-2</c:v>
                </c:pt>
                <c:pt idx="140">
                  <c:v>1.4636322846900552E-2</c:v>
                </c:pt>
                <c:pt idx="141">
                  <c:v>1.4636322846900552E-2</c:v>
                </c:pt>
                <c:pt idx="142">
                  <c:v>1.4636322846900552E-2</c:v>
                </c:pt>
                <c:pt idx="143">
                  <c:v>1.4535607657773616E-2</c:v>
                </c:pt>
                <c:pt idx="144">
                  <c:v>1.4585195667606746E-2</c:v>
                </c:pt>
                <c:pt idx="145">
                  <c:v>1.4831058879850968E-2</c:v>
                </c:pt>
                <c:pt idx="146">
                  <c:v>1.4831058879850968E-2</c:v>
                </c:pt>
                <c:pt idx="147">
                  <c:v>1.5434494602369085E-2</c:v>
                </c:pt>
                <c:pt idx="148">
                  <c:v>1.5739734845110057E-2</c:v>
                </c:pt>
                <c:pt idx="149">
                  <c:v>1.5677482494827207E-2</c:v>
                </c:pt>
                <c:pt idx="150">
                  <c:v>1.6451809257342995E-2</c:v>
                </c:pt>
                <c:pt idx="151">
                  <c:v>1.6451809257342995E-2</c:v>
                </c:pt>
                <c:pt idx="152">
                  <c:v>1.6451809257342995E-2</c:v>
                </c:pt>
                <c:pt idx="153">
                  <c:v>1.6451809257342995E-2</c:v>
                </c:pt>
                <c:pt idx="154">
                  <c:v>1.6348220140194006E-2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A59-4595-9D8E-F66B516A8D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Sheet1!$BC$22:$BC$176</c:f>
              <c:numCache>
                <c:formatCode>0.00%</c:formatCode>
                <c:ptCount val="15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8.9491595581441506E-4</c:v>
                </c:pt>
                <c:pt idx="4">
                  <c:v>-6.529895009325529E-4</c:v>
                </c:pt>
                <c:pt idx="5">
                  <c:v>-3.7580010296229497E-4</c:v>
                </c:pt>
                <c:pt idx="6">
                  <c:v>1.1608730704615506E-4</c:v>
                </c:pt>
                <c:pt idx="7">
                  <c:v>2.1216626766734517E-4</c:v>
                </c:pt>
                <c:pt idx="8">
                  <c:v>4.5314909170103524E-4</c:v>
                </c:pt>
                <c:pt idx="9">
                  <c:v>-1.3795356824374482E-4</c:v>
                </c:pt>
                <c:pt idx="10">
                  <c:v>1.1567272602864961E-3</c:v>
                </c:pt>
                <c:pt idx="11">
                  <c:v>1.404521589627204E-3</c:v>
                </c:pt>
                <c:pt idx="12">
                  <c:v>1.404521589627204E-3</c:v>
                </c:pt>
                <c:pt idx="13">
                  <c:v>1.404521589627204E-3</c:v>
                </c:pt>
                <c:pt idx="14">
                  <c:v>1.404521589627204E-3</c:v>
                </c:pt>
                <c:pt idx="15">
                  <c:v>1.404521589627204E-3</c:v>
                </c:pt>
                <c:pt idx="16">
                  <c:v>1.404521589627204E-3</c:v>
                </c:pt>
                <c:pt idx="17">
                  <c:v>1.404521589627204E-3</c:v>
                </c:pt>
                <c:pt idx="18">
                  <c:v>1.404521589627204E-3</c:v>
                </c:pt>
                <c:pt idx="19">
                  <c:v>1.404521589627204E-3</c:v>
                </c:pt>
                <c:pt idx="20">
                  <c:v>1.404521589627204E-3</c:v>
                </c:pt>
                <c:pt idx="21">
                  <c:v>1.404521589627204E-3</c:v>
                </c:pt>
                <c:pt idx="22">
                  <c:v>1.404521589627204E-3</c:v>
                </c:pt>
                <c:pt idx="23">
                  <c:v>1.404521589627204E-3</c:v>
                </c:pt>
                <c:pt idx="24">
                  <c:v>1.404521589627204E-3</c:v>
                </c:pt>
                <c:pt idx="25">
                  <c:v>1.404521589627204E-3</c:v>
                </c:pt>
                <c:pt idx="26">
                  <c:v>1.404521589627204E-3</c:v>
                </c:pt>
                <c:pt idx="27">
                  <c:v>1.404521589627204E-3</c:v>
                </c:pt>
                <c:pt idx="28">
                  <c:v>1.404521589627204E-3</c:v>
                </c:pt>
                <c:pt idx="29">
                  <c:v>1.404521589627204E-3</c:v>
                </c:pt>
                <c:pt idx="30">
                  <c:v>1.404521589627204E-3</c:v>
                </c:pt>
                <c:pt idx="31">
                  <c:v>1.404521589627204E-3</c:v>
                </c:pt>
                <c:pt idx="32">
                  <c:v>1.404521589627204E-3</c:v>
                </c:pt>
                <c:pt idx="33">
                  <c:v>2.4791005795024635E-3</c:v>
                </c:pt>
                <c:pt idx="34">
                  <c:v>2.4791005795024635E-3</c:v>
                </c:pt>
                <c:pt idx="35">
                  <c:v>2.4791005795024635E-3</c:v>
                </c:pt>
                <c:pt idx="36">
                  <c:v>2.4791005795024635E-3</c:v>
                </c:pt>
                <c:pt idx="37">
                  <c:v>2.4791005795024635E-3</c:v>
                </c:pt>
                <c:pt idx="38">
                  <c:v>2.4791005795024635E-3</c:v>
                </c:pt>
                <c:pt idx="39">
                  <c:v>2.4791005795024635E-3</c:v>
                </c:pt>
                <c:pt idx="40">
                  <c:v>2.4791005795024635E-3</c:v>
                </c:pt>
                <c:pt idx="41">
                  <c:v>2.4791005795024635E-3</c:v>
                </c:pt>
                <c:pt idx="42">
                  <c:v>2.4791005795024635E-3</c:v>
                </c:pt>
                <c:pt idx="43">
                  <c:v>2.4791005795024635E-3</c:v>
                </c:pt>
                <c:pt idx="44">
                  <c:v>2.4791005795024635E-3</c:v>
                </c:pt>
                <c:pt idx="45">
                  <c:v>2.4791005795024635E-3</c:v>
                </c:pt>
                <c:pt idx="46">
                  <c:v>2.4791005795024635E-3</c:v>
                </c:pt>
                <c:pt idx="47">
                  <c:v>2.4791005795024635E-3</c:v>
                </c:pt>
                <c:pt idx="48">
                  <c:v>2.4791005795024635E-3</c:v>
                </c:pt>
                <c:pt idx="49">
                  <c:v>2.4791005795024635E-3</c:v>
                </c:pt>
                <c:pt idx="50">
                  <c:v>2.4791005795024635E-3</c:v>
                </c:pt>
                <c:pt idx="51">
                  <c:v>2.4791005795024635E-3</c:v>
                </c:pt>
                <c:pt idx="52">
                  <c:v>2.4791005795024635E-3</c:v>
                </c:pt>
                <c:pt idx="53">
                  <c:v>2.4791005795024635E-3</c:v>
                </c:pt>
                <c:pt idx="54">
                  <c:v>2.4791005795024635E-3</c:v>
                </c:pt>
                <c:pt idx="55">
                  <c:v>2.4791005795024635E-3</c:v>
                </c:pt>
                <c:pt idx="56">
                  <c:v>2.4791005795024635E-3</c:v>
                </c:pt>
                <c:pt idx="57">
                  <c:v>2.4791005795024635E-3</c:v>
                </c:pt>
                <c:pt idx="58">
                  <c:v>2.4791005795024635E-3</c:v>
                </c:pt>
                <c:pt idx="59">
                  <c:v>2.4791005795024635E-3</c:v>
                </c:pt>
                <c:pt idx="60">
                  <c:v>2.4791005795024635E-3</c:v>
                </c:pt>
                <c:pt idx="61">
                  <c:v>2.4791005795024635E-3</c:v>
                </c:pt>
                <c:pt idx="62">
                  <c:v>2.4791005795024635E-3</c:v>
                </c:pt>
                <c:pt idx="63">
                  <c:v>2.4791005795024635E-3</c:v>
                </c:pt>
                <c:pt idx="64">
                  <c:v>2.4791005795024635E-3</c:v>
                </c:pt>
                <c:pt idx="65">
                  <c:v>2.4791005795024635E-3</c:v>
                </c:pt>
                <c:pt idx="66">
                  <c:v>2.4791005795024635E-3</c:v>
                </c:pt>
                <c:pt idx="67">
                  <c:v>2.4791005795024635E-3</c:v>
                </c:pt>
                <c:pt idx="68">
                  <c:v>2.4791005795024635E-3</c:v>
                </c:pt>
                <c:pt idx="69">
                  <c:v>2.4791005795024635E-3</c:v>
                </c:pt>
                <c:pt idx="70">
                  <c:v>2.4791005795024635E-3</c:v>
                </c:pt>
                <c:pt idx="71">
                  <c:v>2.4791005795024635E-3</c:v>
                </c:pt>
                <c:pt idx="72">
                  <c:v>2.4791005795024635E-3</c:v>
                </c:pt>
                <c:pt idx="73">
                  <c:v>2.4791005795024635E-3</c:v>
                </c:pt>
                <c:pt idx="74">
                  <c:v>2.4791005795024635E-3</c:v>
                </c:pt>
                <c:pt idx="75">
                  <c:v>3.1631255745303536E-3</c:v>
                </c:pt>
                <c:pt idx="76">
                  <c:v>3.6926098434839584E-3</c:v>
                </c:pt>
                <c:pt idx="77">
                  <c:v>4.5406664314132815E-3</c:v>
                </c:pt>
                <c:pt idx="78">
                  <c:v>4.5406664314132815E-3</c:v>
                </c:pt>
                <c:pt idx="79">
                  <c:v>4.5406664314132815E-3</c:v>
                </c:pt>
                <c:pt idx="80">
                  <c:v>4.5406664314132815E-3</c:v>
                </c:pt>
                <c:pt idx="81">
                  <c:v>4.5406664314132815E-3</c:v>
                </c:pt>
                <c:pt idx="82">
                  <c:v>4.5406664314132815E-3</c:v>
                </c:pt>
                <c:pt idx="83">
                  <c:v>4.5406664314132815E-3</c:v>
                </c:pt>
                <c:pt idx="84">
                  <c:v>4.5406664314132815E-3</c:v>
                </c:pt>
                <c:pt idx="85">
                  <c:v>4.5406664314132815E-3</c:v>
                </c:pt>
                <c:pt idx="86">
                  <c:v>4.5406664314132815E-3</c:v>
                </c:pt>
                <c:pt idx="87">
                  <c:v>4.5406664314132815E-3</c:v>
                </c:pt>
                <c:pt idx="88">
                  <c:v>4.5406664314132815E-3</c:v>
                </c:pt>
                <c:pt idx="89">
                  <c:v>4.5406664314132815E-3</c:v>
                </c:pt>
                <c:pt idx="90">
                  <c:v>4.5406664314132815E-3</c:v>
                </c:pt>
                <c:pt idx="91">
                  <c:v>4.5406664314132815E-3</c:v>
                </c:pt>
                <c:pt idx="92">
                  <c:v>4.5406664314132815E-3</c:v>
                </c:pt>
                <c:pt idx="93">
                  <c:v>4.5406664314132815E-3</c:v>
                </c:pt>
                <c:pt idx="94">
                  <c:v>4.5406664314132815E-3</c:v>
                </c:pt>
                <c:pt idx="95">
                  <c:v>4.5406664314132815E-3</c:v>
                </c:pt>
                <c:pt idx="96">
                  <c:v>4.5406664314132815E-3</c:v>
                </c:pt>
                <c:pt idx="97">
                  <c:v>4.5406664314132815E-3</c:v>
                </c:pt>
                <c:pt idx="98">
                  <c:v>4.5406664314132815E-3</c:v>
                </c:pt>
                <c:pt idx="99">
                  <c:v>4.5406664314132815E-3</c:v>
                </c:pt>
                <c:pt idx="100">
                  <c:v>4.5406664314132815E-3</c:v>
                </c:pt>
                <c:pt idx="101">
                  <c:v>4.5406664314132815E-3</c:v>
                </c:pt>
                <c:pt idx="102">
                  <c:v>4.5406664314132815E-3</c:v>
                </c:pt>
                <c:pt idx="103">
                  <c:v>4.5406664314132815E-3</c:v>
                </c:pt>
                <c:pt idx="104">
                  <c:v>4.5406664314132815E-3</c:v>
                </c:pt>
                <c:pt idx="105">
                  <c:v>4.5406664314132815E-3</c:v>
                </c:pt>
                <c:pt idx="106">
                  <c:v>4.5406664314132815E-3</c:v>
                </c:pt>
                <c:pt idx="107">
                  <c:v>4.5406664314132815E-3</c:v>
                </c:pt>
                <c:pt idx="108">
                  <c:v>4.821236926590337E-3</c:v>
                </c:pt>
                <c:pt idx="109">
                  <c:v>5.6951585152885259E-3</c:v>
                </c:pt>
                <c:pt idx="110">
                  <c:v>4.6666885073781859E-3</c:v>
                </c:pt>
                <c:pt idx="111">
                  <c:v>4.4757613645957442E-3</c:v>
                </c:pt>
                <c:pt idx="112">
                  <c:v>4.4547340663829843E-3</c:v>
                </c:pt>
                <c:pt idx="113">
                  <c:v>4.6825058291748945E-3</c:v>
                </c:pt>
                <c:pt idx="114">
                  <c:v>4.9679915122343085E-3</c:v>
                </c:pt>
                <c:pt idx="115">
                  <c:v>4.821071859710889E-3</c:v>
                </c:pt>
                <c:pt idx="116">
                  <c:v>4.6449306477023391E-3</c:v>
                </c:pt>
                <c:pt idx="117">
                  <c:v>4.7880619622400686E-3</c:v>
                </c:pt>
                <c:pt idx="118">
                  <c:v>4.6968128336459889E-3</c:v>
                </c:pt>
                <c:pt idx="119">
                  <c:v>6.3336526124611082E-3</c:v>
                </c:pt>
                <c:pt idx="120">
                  <c:v>6.3336526124611082E-3</c:v>
                </c:pt>
                <c:pt idx="121">
                  <c:v>6.3336526124611082E-3</c:v>
                </c:pt>
                <c:pt idx="122">
                  <c:v>6.3336526124611082E-3</c:v>
                </c:pt>
                <c:pt idx="123">
                  <c:v>6.3336526124611082E-3</c:v>
                </c:pt>
                <c:pt idx="124">
                  <c:v>6.3336526124611082E-3</c:v>
                </c:pt>
                <c:pt idx="125">
                  <c:v>6.3336526124611082E-3</c:v>
                </c:pt>
                <c:pt idx="126">
                  <c:v>6.3336526124611082E-3</c:v>
                </c:pt>
                <c:pt idx="127">
                  <c:v>6.3336526124611082E-3</c:v>
                </c:pt>
                <c:pt idx="128">
                  <c:v>6.3336526124611082E-3</c:v>
                </c:pt>
                <c:pt idx="129">
                  <c:v>6.3336526124611082E-3</c:v>
                </c:pt>
                <c:pt idx="130">
                  <c:v>6.3336526124611082E-3</c:v>
                </c:pt>
                <c:pt idx="131">
                  <c:v>6.3336526124611082E-3</c:v>
                </c:pt>
                <c:pt idx="132">
                  <c:v>6.3336526124611082E-3</c:v>
                </c:pt>
                <c:pt idx="133">
                  <c:v>6.3336526124611082E-3</c:v>
                </c:pt>
                <c:pt idx="134">
                  <c:v>6.3336526124611082E-3</c:v>
                </c:pt>
                <c:pt idx="135">
                  <c:v>7.2730603804933482E-3</c:v>
                </c:pt>
                <c:pt idx="136">
                  <c:v>7.254046023089448E-3</c:v>
                </c:pt>
                <c:pt idx="137">
                  <c:v>8.1866157476136771E-3</c:v>
                </c:pt>
                <c:pt idx="138">
                  <c:v>8.1866157476136771E-3</c:v>
                </c:pt>
                <c:pt idx="139">
                  <c:v>7.8443446260887586E-3</c:v>
                </c:pt>
                <c:pt idx="140">
                  <c:v>9.1774606218760092E-3</c:v>
                </c:pt>
                <c:pt idx="141">
                  <c:v>9.1774606218760092E-3</c:v>
                </c:pt>
                <c:pt idx="142">
                  <c:v>9.1774606218760092E-3</c:v>
                </c:pt>
                <c:pt idx="143">
                  <c:v>9.1774606218760092E-3</c:v>
                </c:pt>
                <c:pt idx="144">
                  <c:v>9.1774606218760092E-3</c:v>
                </c:pt>
                <c:pt idx="145">
                  <c:v>9.1774606218760092E-3</c:v>
                </c:pt>
                <c:pt idx="146">
                  <c:v>9.1774606218760092E-3</c:v>
                </c:pt>
                <c:pt idx="147">
                  <c:v>9.1774606218760092E-3</c:v>
                </c:pt>
                <c:pt idx="148">
                  <c:v>9.1774606218760092E-3</c:v>
                </c:pt>
                <c:pt idx="149">
                  <c:v>9.1774606218760092E-3</c:v>
                </c:pt>
                <c:pt idx="150">
                  <c:v>9.1774606218760092E-3</c:v>
                </c:pt>
                <c:pt idx="151">
                  <c:v>9.1774606218760092E-3</c:v>
                </c:pt>
                <c:pt idx="152">
                  <c:v>9.1774606218760092E-3</c:v>
                </c:pt>
                <c:pt idx="153">
                  <c:v>9.1774606218760092E-3</c:v>
                </c:pt>
                <c:pt idx="154">
                  <c:v>9.1774606218760092E-3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91-4B15-979A-5FF3A4C938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Sheet1!$BF$22:$BF$176</c:f>
              <c:numCache>
                <c:formatCode>0.00%</c:formatCode>
                <c:ptCount val="155"/>
                <c:pt idx="0">
                  <c:v>0</c:v>
                </c:pt>
                <c:pt idx="1">
                  <c:v>1.3681372588347169E-3</c:v>
                </c:pt>
                <c:pt idx="2">
                  <c:v>3.4190646298341973E-3</c:v>
                </c:pt>
                <c:pt idx="3">
                  <c:v>4.3139805856486123E-3</c:v>
                </c:pt>
                <c:pt idx="4">
                  <c:v>2.7660751289016444E-3</c:v>
                </c:pt>
                <c:pt idx="5">
                  <c:v>3.0432645268719024E-3</c:v>
                </c:pt>
                <c:pt idx="6">
                  <c:v>3.5351519368803522E-3</c:v>
                </c:pt>
                <c:pt idx="7">
                  <c:v>3.6312308975015423E-3</c:v>
                </c:pt>
                <c:pt idx="8">
                  <c:v>3.8722137215352324E-3</c:v>
                </c:pt>
                <c:pt idx="9">
                  <c:v>3.2811110615904521E-3</c:v>
                </c:pt>
                <c:pt idx="10">
                  <c:v>4.5757918901206934E-3</c:v>
                </c:pt>
                <c:pt idx="11">
                  <c:v>4.8235862194614017E-3</c:v>
                </c:pt>
                <c:pt idx="12">
                  <c:v>4.8235862194614017E-3</c:v>
                </c:pt>
                <c:pt idx="13">
                  <c:v>4.9509369584707936E-3</c:v>
                </c:pt>
                <c:pt idx="14">
                  <c:v>6.5229876403676236E-3</c:v>
                </c:pt>
                <c:pt idx="15">
                  <c:v>6.5229876403676236E-3</c:v>
                </c:pt>
                <c:pt idx="16">
                  <c:v>6.5229876403676236E-3</c:v>
                </c:pt>
                <c:pt idx="17">
                  <c:v>6.5229876403676236E-3</c:v>
                </c:pt>
                <c:pt idx="18">
                  <c:v>7.5988349738307336E-3</c:v>
                </c:pt>
                <c:pt idx="19">
                  <c:v>7.5988349738307336E-3</c:v>
                </c:pt>
                <c:pt idx="20">
                  <c:v>7.7626160863162137E-3</c:v>
                </c:pt>
                <c:pt idx="21">
                  <c:v>8.2903909382635033E-3</c:v>
                </c:pt>
                <c:pt idx="22">
                  <c:v>8.6274831107106022E-3</c:v>
                </c:pt>
                <c:pt idx="23">
                  <c:v>8.4072409176797064E-3</c:v>
                </c:pt>
                <c:pt idx="24">
                  <c:v>7.1992307350010861E-3</c:v>
                </c:pt>
                <c:pt idx="25">
                  <c:v>7.625471923710536E-3</c:v>
                </c:pt>
                <c:pt idx="26">
                  <c:v>8.2396796680804952E-3</c:v>
                </c:pt>
                <c:pt idx="27">
                  <c:v>7.1652279907931851E-3</c:v>
                </c:pt>
                <c:pt idx="28">
                  <c:v>7.2721182321256548E-3</c:v>
                </c:pt>
                <c:pt idx="29">
                  <c:v>6.2793819704998963E-3</c:v>
                </c:pt>
                <c:pt idx="30">
                  <c:v>7.7705285655316463E-3</c:v>
                </c:pt>
                <c:pt idx="31">
                  <c:v>7.9162420461236869E-3</c:v>
                </c:pt>
                <c:pt idx="32">
                  <c:v>7.9162420461236869E-3</c:v>
                </c:pt>
                <c:pt idx="33">
                  <c:v>8.9908210359989464E-3</c:v>
                </c:pt>
                <c:pt idx="34">
                  <c:v>8.9908210359989464E-3</c:v>
                </c:pt>
                <c:pt idx="35">
                  <c:v>1.0441417984186706E-2</c:v>
                </c:pt>
                <c:pt idx="36">
                  <c:v>1.0441417984186706E-2</c:v>
                </c:pt>
                <c:pt idx="37">
                  <c:v>1.0441417984186706E-2</c:v>
                </c:pt>
                <c:pt idx="38">
                  <c:v>1.0441417984186706E-2</c:v>
                </c:pt>
                <c:pt idx="39">
                  <c:v>1.0441417984186706E-2</c:v>
                </c:pt>
                <c:pt idx="40">
                  <c:v>1.0441417984186706E-2</c:v>
                </c:pt>
                <c:pt idx="41">
                  <c:v>1.0441417984186706E-2</c:v>
                </c:pt>
                <c:pt idx="42">
                  <c:v>1.0073315187916565E-2</c:v>
                </c:pt>
                <c:pt idx="43">
                  <c:v>9.7874134089815934E-3</c:v>
                </c:pt>
                <c:pt idx="44">
                  <c:v>9.5427872387200095E-3</c:v>
                </c:pt>
                <c:pt idx="45">
                  <c:v>1.0183084141724238E-2</c:v>
                </c:pt>
                <c:pt idx="46">
                  <c:v>9.4755290397734483E-3</c:v>
                </c:pt>
                <c:pt idx="47">
                  <c:v>1.1410956829743357E-2</c:v>
                </c:pt>
                <c:pt idx="48">
                  <c:v>1.1410956829743357E-2</c:v>
                </c:pt>
                <c:pt idx="49">
                  <c:v>1.1410956829743357E-2</c:v>
                </c:pt>
                <c:pt idx="50">
                  <c:v>1.2403080245741748E-2</c:v>
                </c:pt>
                <c:pt idx="51">
                  <c:v>1.2126000175522527E-2</c:v>
                </c:pt>
                <c:pt idx="52">
                  <c:v>1.1989718383784587E-2</c:v>
                </c:pt>
                <c:pt idx="53">
                  <c:v>1.1086988875608179E-2</c:v>
                </c:pt>
                <c:pt idx="54">
                  <c:v>1.1013512492177309E-2</c:v>
                </c:pt>
                <c:pt idx="55">
                  <c:v>1.1236640719409314E-2</c:v>
                </c:pt>
                <c:pt idx="56">
                  <c:v>1.105028216501249E-2</c:v>
                </c:pt>
                <c:pt idx="57">
                  <c:v>1.1771163033772587E-2</c:v>
                </c:pt>
                <c:pt idx="58">
                  <c:v>1.1180085742966056E-2</c:v>
                </c:pt>
                <c:pt idx="59">
                  <c:v>1.0454176223283226E-2</c:v>
                </c:pt>
                <c:pt idx="60">
                  <c:v>9.8093781964437663E-3</c:v>
                </c:pt>
                <c:pt idx="61">
                  <c:v>1.0286158301358001E-2</c:v>
                </c:pt>
                <c:pt idx="62">
                  <c:v>1.0286158301358001E-2</c:v>
                </c:pt>
                <c:pt idx="63">
                  <c:v>1.1410280199592232E-2</c:v>
                </c:pt>
                <c:pt idx="64">
                  <c:v>1.022039055129882E-2</c:v>
                </c:pt>
                <c:pt idx="65">
                  <c:v>1.05814512992107E-2</c:v>
                </c:pt>
                <c:pt idx="66">
                  <c:v>9.7023303634703496E-3</c:v>
                </c:pt>
                <c:pt idx="67">
                  <c:v>1.0268281198294604E-2</c:v>
                </c:pt>
                <c:pt idx="68">
                  <c:v>1.0609430067969499E-2</c:v>
                </c:pt>
                <c:pt idx="69">
                  <c:v>1.112913123564856E-2</c:v>
                </c:pt>
                <c:pt idx="70">
                  <c:v>1.077783711289272E-2</c:v>
                </c:pt>
                <c:pt idx="71">
                  <c:v>1.059030781088985E-2</c:v>
                </c:pt>
                <c:pt idx="72">
                  <c:v>1.0806243643572491E-2</c:v>
                </c:pt>
                <c:pt idx="73">
                  <c:v>1.1626018233955045E-2</c:v>
                </c:pt>
                <c:pt idx="74">
                  <c:v>1.1626018233955045E-2</c:v>
                </c:pt>
                <c:pt idx="75">
                  <c:v>1.2310043228982935E-2</c:v>
                </c:pt>
                <c:pt idx="76">
                  <c:v>1.2839527497936539E-2</c:v>
                </c:pt>
                <c:pt idx="77">
                  <c:v>1.3687584085865862E-2</c:v>
                </c:pt>
                <c:pt idx="78">
                  <c:v>1.3687584085865862E-2</c:v>
                </c:pt>
                <c:pt idx="79">
                  <c:v>1.3687584085865862E-2</c:v>
                </c:pt>
                <c:pt idx="80">
                  <c:v>1.3687584085865862E-2</c:v>
                </c:pt>
                <c:pt idx="81">
                  <c:v>1.3687584085865862E-2</c:v>
                </c:pt>
                <c:pt idx="82">
                  <c:v>1.3687584085865862E-2</c:v>
                </c:pt>
                <c:pt idx="83">
                  <c:v>1.3687584085865862E-2</c:v>
                </c:pt>
                <c:pt idx="84">
                  <c:v>1.3687584085865862E-2</c:v>
                </c:pt>
                <c:pt idx="85">
                  <c:v>1.3687584085865862E-2</c:v>
                </c:pt>
                <c:pt idx="86">
                  <c:v>1.3687584085865862E-2</c:v>
                </c:pt>
                <c:pt idx="87">
                  <c:v>1.3687584085865862E-2</c:v>
                </c:pt>
                <c:pt idx="88">
                  <c:v>1.3687584085865862E-2</c:v>
                </c:pt>
                <c:pt idx="89">
                  <c:v>1.3687584085865862E-2</c:v>
                </c:pt>
                <c:pt idx="90">
                  <c:v>1.3687584085865862E-2</c:v>
                </c:pt>
                <c:pt idx="91">
                  <c:v>1.3687584085865862E-2</c:v>
                </c:pt>
                <c:pt idx="92">
                  <c:v>1.3687584085865862E-2</c:v>
                </c:pt>
                <c:pt idx="93">
                  <c:v>1.3687584085865862E-2</c:v>
                </c:pt>
                <c:pt idx="94">
                  <c:v>1.3687584085865862E-2</c:v>
                </c:pt>
                <c:pt idx="95">
                  <c:v>1.3687584085865862E-2</c:v>
                </c:pt>
                <c:pt idx="96">
                  <c:v>1.3687584085865862E-2</c:v>
                </c:pt>
                <c:pt idx="97">
                  <c:v>1.3687584085865862E-2</c:v>
                </c:pt>
                <c:pt idx="98">
                  <c:v>1.3687584085865862E-2</c:v>
                </c:pt>
                <c:pt idx="99">
                  <c:v>1.3687584085865862E-2</c:v>
                </c:pt>
                <c:pt idx="100">
                  <c:v>1.4157502604857004E-2</c:v>
                </c:pt>
                <c:pt idx="101">
                  <c:v>1.4227780796970613E-2</c:v>
                </c:pt>
                <c:pt idx="102">
                  <c:v>1.484539031986408E-2</c:v>
                </c:pt>
                <c:pt idx="103">
                  <c:v>1.484539031986408E-2</c:v>
                </c:pt>
                <c:pt idx="104">
                  <c:v>1.484539031986408E-2</c:v>
                </c:pt>
                <c:pt idx="105">
                  <c:v>1.484539031986408E-2</c:v>
                </c:pt>
                <c:pt idx="106">
                  <c:v>1.528975298975014E-2</c:v>
                </c:pt>
                <c:pt idx="107">
                  <c:v>1.7274614517726938E-2</c:v>
                </c:pt>
                <c:pt idx="108">
                  <c:v>1.7555185012903995E-2</c:v>
                </c:pt>
                <c:pt idx="109">
                  <c:v>1.8429106601602185E-2</c:v>
                </c:pt>
                <c:pt idx="110">
                  <c:v>1.7400636593691846E-2</c:v>
                </c:pt>
                <c:pt idx="111">
                  <c:v>1.7209709450909404E-2</c:v>
                </c:pt>
                <c:pt idx="112">
                  <c:v>1.7188682152696644E-2</c:v>
                </c:pt>
                <c:pt idx="113">
                  <c:v>1.7416453915488555E-2</c:v>
                </c:pt>
                <c:pt idx="114">
                  <c:v>1.7701939598547968E-2</c:v>
                </c:pt>
                <c:pt idx="115">
                  <c:v>1.7555019946024548E-2</c:v>
                </c:pt>
                <c:pt idx="116">
                  <c:v>1.7378878734015998E-2</c:v>
                </c:pt>
                <c:pt idx="117">
                  <c:v>1.7522010048553728E-2</c:v>
                </c:pt>
                <c:pt idx="118">
                  <c:v>1.7430760919959647E-2</c:v>
                </c:pt>
                <c:pt idx="119">
                  <c:v>1.9067600698774768E-2</c:v>
                </c:pt>
                <c:pt idx="120">
                  <c:v>1.9067600698774768E-2</c:v>
                </c:pt>
                <c:pt idx="121">
                  <c:v>1.9067600698774768E-2</c:v>
                </c:pt>
                <c:pt idx="122">
                  <c:v>1.9067600698774768E-2</c:v>
                </c:pt>
                <c:pt idx="123">
                  <c:v>1.9067600698774768E-2</c:v>
                </c:pt>
                <c:pt idx="124">
                  <c:v>1.9067600698774768E-2</c:v>
                </c:pt>
                <c:pt idx="125">
                  <c:v>1.9067600698774768E-2</c:v>
                </c:pt>
                <c:pt idx="126">
                  <c:v>1.8582840110017148E-2</c:v>
                </c:pt>
                <c:pt idx="127">
                  <c:v>1.8905358511394191E-2</c:v>
                </c:pt>
                <c:pt idx="128">
                  <c:v>1.9528824477223573E-2</c:v>
                </c:pt>
                <c:pt idx="129">
                  <c:v>1.9548988343927945E-2</c:v>
                </c:pt>
                <c:pt idx="130">
                  <c:v>1.9732886188816273E-2</c:v>
                </c:pt>
                <c:pt idx="131">
                  <c:v>1.9865287550362085E-2</c:v>
                </c:pt>
                <c:pt idx="132">
                  <c:v>1.9393389094150851E-2</c:v>
                </c:pt>
                <c:pt idx="133">
                  <c:v>1.9469839295252561E-2</c:v>
                </c:pt>
                <c:pt idx="134">
                  <c:v>2.0969975459361662E-2</c:v>
                </c:pt>
                <c:pt idx="135">
                  <c:v>2.19093832273939E-2</c:v>
                </c:pt>
                <c:pt idx="136">
                  <c:v>2.1890368869990001E-2</c:v>
                </c:pt>
                <c:pt idx="137">
                  <c:v>2.282293859451423E-2</c:v>
                </c:pt>
                <c:pt idx="138">
                  <c:v>2.282293859451423E-2</c:v>
                </c:pt>
                <c:pt idx="139">
                  <c:v>2.2480667472989314E-2</c:v>
                </c:pt>
                <c:pt idx="140">
                  <c:v>2.3813783468776564E-2</c:v>
                </c:pt>
                <c:pt idx="141">
                  <c:v>2.3813783468776564E-2</c:v>
                </c:pt>
                <c:pt idx="142">
                  <c:v>2.3813783468776564E-2</c:v>
                </c:pt>
                <c:pt idx="143">
                  <c:v>2.371306827964963E-2</c:v>
                </c:pt>
                <c:pt idx="144">
                  <c:v>2.3762656289482761E-2</c:v>
                </c:pt>
                <c:pt idx="145">
                  <c:v>2.4008519501726982E-2</c:v>
                </c:pt>
                <c:pt idx="146">
                  <c:v>2.4008519501726982E-2</c:v>
                </c:pt>
                <c:pt idx="147">
                  <c:v>2.46119552242451E-2</c:v>
                </c:pt>
                <c:pt idx="148">
                  <c:v>2.4917195466986071E-2</c:v>
                </c:pt>
                <c:pt idx="149">
                  <c:v>2.4854943116703221E-2</c:v>
                </c:pt>
                <c:pt idx="150">
                  <c:v>2.562926987921901E-2</c:v>
                </c:pt>
                <c:pt idx="151">
                  <c:v>2.562926987921901E-2</c:v>
                </c:pt>
                <c:pt idx="152">
                  <c:v>2.562926987921901E-2</c:v>
                </c:pt>
                <c:pt idx="153">
                  <c:v>2.562926987921901E-2</c:v>
                </c:pt>
                <c:pt idx="154">
                  <c:v>2.552568076207002E-2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AE-4CA6-AC64-D331728EA3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60</xdr:col>
      <xdr:colOff>9524</xdr:colOff>
      <xdr:row>1</xdr:row>
      <xdr:rowOff>0</xdr:rowOff>
    </xdr:from>
    <xdr:to>
      <xdr:col>67</xdr:col>
      <xdr:colOff>342899</xdr:colOff>
      <xdr:row>15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FD2A3B9-95C7-494B-B1CC-61559E9BCA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68</xdr:col>
      <xdr:colOff>0</xdr:colOff>
      <xdr:row>18</xdr:row>
      <xdr:rowOff>0</xdr:rowOff>
    </xdr:from>
    <xdr:to>
      <xdr:col>75</xdr:col>
      <xdr:colOff>304800</xdr:colOff>
      <xdr:row>32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1D2C654-FF2C-4EFF-8505-3D3AF425B3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68</xdr:col>
      <xdr:colOff>0</xdr:colOff>
      <xdr:row>1</xdr:row>
      <xdr:rowOff>0</xdr:rowOff>
    </xdr:from>
    <xdr:to>
      <xdr:col>75</xdr:col>
      <xdr:colOff>304800</xdr:colOff>
      <xdr:row>15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70253A3-0904-4FA4-AA9D-737C7F0658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60</xdr:col>
      <xdr:colOff>9524</xdr:colOff>
      <xdr:row>18</xdr:row>
      <xdr:rowOff>114300</xdr:rowOff>
    </xdr:from>
    <xdr:to>
      <xdr:col>67</xdr:col>
      <xdr:colOff>342899</xdr:colOff>
      <xdr:row>33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DF31037-12E9-4BE4-8CA1-1197632EAC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76</xdr:col>
      <xdr:colOff>0</xdr:colOff>
      <xdr:row>1</xdr:row>
      <xdr:rowOff>0</xdr:rowOff>
    </xdr:from>
    <xdr:to>
      <xdr:col>85</xdr:col>
      <xdr:colOff>304800</xdr:colOff>
      <xdr:row>15</xdr:row>
      <xdr:rowOff>38100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F1571BC-4AA5-4FF8-8E73-B80F229533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75</xdr:col>
      <xdr:colOff>609599</xdr:colOff>
      <xdr:row>18</xdr:row>
      <xdr:rowOff>0</xdr:rowOff>
    </xdr:from>
    <xdr:to>
      <xdr:col>85</xdr:col>
      <xdr:colOff>304799</xdr:colOff>
      <xdr:row>32</xdr:row>
      <xdr:rowOff>76200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DBE38CD-F348-4802-8353-39E80A8196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76</xdr:col>
      <xdr:colOff>0</xdr:colOff>
      <xdr:row>35</xdr:row>
      <xdr:rowOff>0</xdr:rowOff>
    </xdr:from>
    <xdr:to>
      <xdr:col>85</xdr:col>
      <xdr:colOff>304800</xdr:colOff>
      <xdr:row>49</xdr:row>
      <xdr:rowOff>76200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3F0DD0F-8936-4FD3-BC75-648C4C73BD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icha\git-projects\backtesting\backtests\SMH_SOXX_1.xlsx" TargetMode="External"/><Relationship Id="rId1" Type="http://schemas.openxmlformats.org/officeDocument/2006/relationships/externalLinkPath" Target="SMH_SOXX_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O1" t="str">
            <v>SOXX/SMH avg</v>
          </cell>
          <cell r="P1" t="str">
            <v>SOXX/SMH 10 dma</v>
          </cell>
          <cell r="Q1" t="str">
            <v>SOXX/SMH 20 dma</v>
          </cell>
          <cell r="U1" t="str">
            <v>log diff SMH x avg / SOXX</v>
          </cell>
          <cell r="V1" t="str">
            <v>log diff SMH x 10 dma / SOXX</v>
          </cell>
          <cell r="W1" t="str">
            <v>log diff SMH x 20 dma / SOXX</v>
          </cell>
          <cell r="Y1" t="str">
            <v>SOXX*/SMH* avg</v>
          </cell>
          <cell r="Z1" t="str">
            <v>SOXX*/SMH* 10 dma</v>
          </cell>
          <cell r="AA1" t="str">
            <v>SOXX*/SMH* 20 dma</v>
          </cell>
          <cell r="AF1" t="str">
            <v>log diff SMH* x 10 dma / SOXX*</v>
          </cell>
          <cell r="AG1" t="str">
            <v>log diff SMH* x 20 dma / SOXX*</v>
          </cell>
        </row>
        <row r="2">
          <cell r="O2">
            <v>0.90525826694812095</v>
          </cell>
          <cell r="Y2">
            <v>0.90525826694812095</v>
          </cell>
        </row>
        <row r="3">
          <cell r="O3">
            <v>0.90525826694812095</v>
          </cell>
          <cell r="U3">
            <v>7.2033908490552301E-2</v>
          </cell>
          <cell r="Y3">
            <v>0.90525826694812095</v>
          </cell>
        </row>
        <row r="4">
          <cell r="O4">
            <v>0.90525826694812095</v>
          </cell>
          <cell r="U4">
            <v>6.6410367484126001E-2</v>
          </cell>
          <cell r="Y4">
            <v>0.90525826694812095</v>
          </cell>
        </row>
        <row r="5">
          <cell r="O5">
            <v>0.90525826694812095</v>
          </cell>
          <cell r="U5">
            <v>7.0273619338743307E-2</v>
          </cell>
          <cell r="Y5">
            <v>0.90525826694812095</v>
          </cell>
        </row>
        <row r="6">
          <cell r="O6">
            <v>0.90525826694812095</v>
          </cell>
          <cell r="U6">
            <v>7.0940801378732293E-2</v>
          </cell>
          <cell r="Y6">
            <v>0.90525826694812095</v>
          </cell>
        </row>
        <row r="7">
          <cell r="O7">
            <v>0.90525826694812095</v>
          </cell>
          <cell r="U7">
            <v>6.9220904220161097E-2</v>
          </cell>
          <cell r="Y7">
            <v>0.90525826694812095</v>
          </cell>
        </row>
        <row r="8">
          <cell r="O8">
            <v>0.90525826694812095</v>
          </cell>
          <cell r="U8">
            <v>6.8149919849437204E-2</v>
          </cell>
          <cell r="Y8">
            <v>0.90525826694812095</v>
          </cell>
        </row>
        <row r="9">
          <cell r="O9">
            <v>0.90525826694812095</v>
          </cell>
          <cell r="U9">
            <v>6.1484157382357997E-2</v>
          </cell>
          <cell r="Y9">
            <v>0.90525826694812095</v>
          </cell>
        </row>
        <row r="10">
          <cell r="O10">
            <v>0.90525826694812095</v>
          </cell>
          <cell r="U10">
            <v>5.7538277988233702E-2</v>
          </cell>
          <cell r="Y10">
            <v>0.90525826694812095</v>
          </cell>
        </row>
        <row r="11">
          <cell r="O11">
            <v>0.90525826694812095</v>
          </cell>
          <cell r="P11">
            <v>0.84637780240292404</v>
          </cell>
          <cell r="U11">
            <v>6.21784946796985E-2</v>
          </cell>
          <cell r="Y11">
            <v>0.90525826694812095</v>
          </cell>
          <cell r="Z11">
            <v>0.84637780240292404</v>
          </cell>
        </row>
        <row r="12">
          <cell r="O12">
            <v>0.90525826694812095</v>
          </cell>
          <cell r="P12">
            <v>0.84788029668610598</v>
          </cell>
          <cell r="U12">
            <v>5.6720011327648097E-2</v>
          </cell>
          <cell r="V12">
            <v>-1.0534434637330401E-2</v>
          </cell>
          <cell r="Y12">
            <v>0.90525826694812095</v>
          </cell>
          <cell r="Z12">
            <v>0.84788029668610598</v>
          </cell>
          <cell r="AF12">
            <v>-1.0534434637330401E-2</v>
          </cell>
        </row>
        <row r="13">
          <cell r="O13">
            <v>0.90525826694812095</v>
          </cell>
          <cell r="P13">
            <v>0.850059660795077</v>
          </cell>
          <cell r="U13">
            <v>4.6490274231847303E-2</v>
          </cell>
          <cell r="V13">
            <v>-1.89905403391127E-2</v>
          </cell>
          <cell r="Y13">
            <v>0.90525826694812095</v>
          </cell>
          <cell r="Z13">
            <v>0.850059660795077</v>
          </cell>
          <cell r="AF13">
            <v>-1.89905403391127E-2</v>
          </cell>
        </row>
        <row r="14">
          <cell r="O14">
            <v>0.90525826694812095</v>
          </cell>
          <cell r="P14">
            <v>0.85196748209104201</v>
          </cell>
          <cell r="U14">
            <v>4.4138248227454303E-2</v>
          </cell>
          <cell r="V14">
            <v>-1.8775496411292499E-2</v>
          </cell>
          <cell r="Y14">
            <v>0.90525826694812095</v>
          </cell>
          <cell r="Z14">
            <v>0.85196748209104201</v>
          </cell>
          <cell r="AF14">
            <v>-1.8775496411292499E-2</v>
          </cell>
        </row>
        <row r="15">
          <cell r="O15">
            <v>0.90525826694812095</v>
          </cell>
          <cell r="P15">
            <v>0.85414212385502197</v>
          </cell>
          <cell r="U15">
            <v>4.4828897752735998E-2</v>
          </cell>
          <cell r="V15">
            <v>-1.5843023536762299E-2</v>
          </cell>
          <cell r="Y15">
            <v>0.90525826694812095</v>
          </cell>
          <cell r="Z15">
            <v>0.85414212385502197</v>
          </cell>
          <cell r="AF15">
            <v>-1.5843023536762299E-2</v>
          </cell>
        </row>
        <row r="16">
          <cell r="O16">
            <v>0.90525826694812095</v>
          </cell>
          <cell r="P16">
            <v>0.85597388860383194</v>
          </cell>
          <cell r="U16">
            <v>4.94510398117965E-2</v>
          </cell>
          <cell r="V16">
            <v>-8.6716397008733005E-3</v>
          </cell>
          <cell r="Y16">
            <v>0.90525826694812095</v>
          </cell>
          <cell r="Z16">
            <v>0.85597388860383194</v>
          </cell>
          <cell r="AF16">
            <v>-8.6716397008733005E-3</v>
          </cell>
        </row>
        <row r="17">
          <cell r="O17">
            <v>0.90525826694812095</v>
          </cell>
          <cell r="P17">
            <v>0.85752364421207306</v>
          </cell>
          <cell r="U17">
            <v>5.1040681153282197E-2</v>
          </cell>
          <cell r="V17">
            <v>-4.9397279683597601E-3</v>
          </cell>
          <cell r="Y17">
            <v>0.90525826694812095</v>
          </cell>
          <cell r="Z17">
            <v>0.85752364421207306</v>
          </cell>
          <cell r="AF17">
            <v>-4.9397279683597601E-3</v>
          </cell>
        </row>
        <row r="18">
          <cell r="O18">
            <v>0.90525826694812095</v>
          </cell>
          <cell r="P18">
            <v>0.85916911022656905</v>
          </cell>
          <cell r="U18">
            <v>4.8878131606743903E-2</v>
          </cell>
          <cell r="V18">
            <v>-5.2933971387853999E-3</v>
          </cell>
          <cell r="Y18">
            <v>0.90525826694812095</v>
          </cell>
          <cell r="Z18">
            <v>0.85916911022656905</v>
          </cell>
          <cell r="AF18">
            <v>-5.2933971387853999E-3</v>
          </cell>
        </row>
        <row r="19">
          <cell r="O19">
            <v>0.90525826694812095</v>
          </cell>
          <cell r="P19">
            <v>0.86055954738083995</v>
          </cell>
          <cell r="U19">
            <v>4.5282546039857E-2</v>
          </cell>
          <cell r="V19">
            <v>-6.9719634671859803E-3</v>
          </cell>
          <cell r="Y19">
            <v>0.90525826694812095</v>
          </cell>
          <cell r="Z19">
            <v>0.86055954738083995</v>
          </cell>
          <cell r="AF19">
            <v>-6.9719634671859803E-3</v>
          </cell>
        </row>
        <row r="20">
          <cell r="O20">
            <v>0.90525826694812095</v>
          </cell>
          <cell r="P20">
            <v>0.86158946437580097</v>
          </cell>
          <cell r="U20">
            <v>4.5559444871791997E-2</v>
          </cell>
          <cell r="V20">
            <v>-5.0780217941034803E-3</v>
          </cell>
          <cell r="Y20">
            <v>0.90525826694812095</v>
          </cell>
          <cell r="Z20">
            <v>0.86158946437580097</v>
          </cell>
          <cell r="AF20">
            <v>-5.0780217941034803E-3</v>
          </cell>
        </row>
        <row r="21">
          <cell r="O21">
            <v>0.90525826694812095</v>
          </cell>
          <cell r="P21">
            <v>0.86235352313664504</v>
          </cell>
          <cell r="Q21">
            <v>0.85436566276978498</v>
          </cell>
          <cell r="U21">
            <v>5.3236900646334497E-2</v>
          </cell>
          <cell r="V21">
            <v>3.7955176070186298E-3</v>
          </cell>
          <cell r="Y21">
            <v>0.90525826694812095</v>
          </cell>
          <cell r="Z21">
            <v>0.86235352313664504</v>
          </cell>
          <cell r="AA21">
            <v>0.85436566276978498</v>
          </cell>
          <cell r="AF21">
            <v>3.7955176070186298E-3</v>
          </cell>
        </row>
        <row r="22">
          <cell r="O22">
            <v>0.90525826694812095</v>
          </cell>
          <cell r="P22">
            <v>0.86326940295574295</v>
          </cell>
          <cell r="Q22">
            <v>0.85557484982092502</v>
          </cell>
          <cell r="U22">
            <v>4.6069160005106503E-2</v>
          </cell>
          <cell r="V22">
            <v>-2.4858145898390598E-3</v>
          </cell>
          <cell r="W22">
            <v>-1.179184213297E-2</v>
          </cell>
          <cell r="Y22">
            <v>0.90525826694812095</v>
          </cell>
          <cell r="Z22">
            <v>0.86326940295574295</v>
          </cell>
          <cell r="AA22">
            <v>0.85557484982092502</v>
          </cell>
          <cell r="AF22">
            <v>-2.4858145898390598E-3</v>
          </cell>
          <cell r="AG22">
            <v>-1.179184213297E-2</v>
          </cell>
          <cell r="AR22">
            <v>0</v>
          </cell>
          <cell r="BC22">
            <v>0</v>
          </cell>
          <cell r="BF22">
            <v>0</v>
          </cell>
        </row>
        <row r="23">
          <cell r="O23">
            <v>0.90525826694812095</v>
          </cell>
          <cell r="P23">
            <v>0.86376991833254102</v>
          </cell>
          <cell r="Q23">
            <v>0.85691478956380895</v>
          </cell>
          <cell r="U23">
            <v>4.0714892661724997E-2</v>
          </cell>
          <cell r="V23">
            <v>-6.7785755157406102E-3</v>
          </cell>
          <cell r="W23">
            <v>-1.5731806178905499E-2</v>
          </cell>
          <cell r="Y23">
            <v>0.90525826694812095</v>
          </cell>
          <cell r="Z23">
            <v>0.86376991833254102</v>
          </cell>
          <cell r="AA23">
            <v>0.85691478956380895</v>
          </cell>
          <cell r="AF23">
            <v>-6.7785755157406102E-3</v>
          </cell>
          <cell r="AG23">
            <v>-1.5731806178905499E-2</v>
          </cell>
          <cell r="AR23">
            <v>0</v>
          </cell>
          <cell r="BC23">
            <v>0</v>
          </cell>
          <cell r="BF23">
            <v>0</v>
          </cell>
        </row>
        <row r="24">
          <cell r="O24">
            <v>0.90525826694812095</v>
          </cell>
          <cell r="P24">
            <v>0.86363522882925703</v>
          </cell>
          <cell r="Q24">
            <v>0.85780135546015002</v>
          </cell>
          <cell r="U24">
            <v>4.5694457978500601E-2</v>
          </cell>
          <cell r="V24">
            <v>-1.21938773798101E-3</v>
          </cell>
          <cell r="W24">
            <v>-9.1873379447421008E-3</v>
          </cell>
          <cell r="Y24">
            <v>0.90525826694812095</v>
          </cell>
          <cell r="Z24">
            <v>0.86363522882925703</v>
          </cell>
          <cell r="AA24">
            <v>0.85780135546015002</v>
          </cell>
          <cell r="AF24">
            <v>-1.21938773798101E-3</v>
          </cell>
          <cell r="AG24">
            <v>-9.1873379447421008E-3</v>
          </cell>
          <cell r="AR24">
            <v>0</v>
          </cell>
          <cell r="BC24">
            <v>0</v>
          </cell>
          <cell r="BF24">
            <v>0</v>
          </cell>
        </row>
        <row r="25">
          <cell r="O25">
            <v>0.90525826694812095</v>
          </cell>
          <cell r="P25">
            <v>0.86389402812970495</v>
          </cell>
          <cell r="Q25">
            <v>0.85901807599236402</v>
          </cell>
          <cell r="U25">
            <v>4.1843438857857199E-2</v>
          </cell>
          <cell r="V25">
            <v>-5.2263511705632698E-3</v>
          </cell>
          <cell r="W25">
            <v>-1.20042897325343E-2</v>
          </cell>
          <cell r="Y25">
            <v>0.90525826694812095</v>
          </cell>
          <cell r="Z25">
            <v>0.86389402812970495</v>
          </cell>
          <cell r="AA25">
            <v>0.85901807599236402</v>
          </cell>
          <cell r="AF25">
            <v>-5.2263511705632698E-3</v>
          </cell>
          <cell r="AG25">
            <v>-1.20042897325343E-2</v>
          </cell>
          <cell r="AR25">
            <v>0</v>
          </cell>
          <cell r="BC25">
            <v>0</v>
          </cell>
          <cell r="BF25">
            <v>0</v>
          </cell>
        </row>
        <row r="26">
          <cell r="O26">
            <v>0.90525826694812095</v>
          </cell>
          <cell r="P26">
            <v>0.86450548920650805</v>
          </cell>
          <cell r="Q26">
            <v>0.86023968890517</v>
          </cell>
          <cell r="U26">
            <v>4.2379140274834498E-2</v>
          </cell>
          <cell r="V26">
            <v>-4.3910319018575896E-3</v>
          </cell>
          <cell r="W26">
            <v>-1.00511757285038E-2</v>
          </cell>
          <cell r="Y26">
            <v>0.90525826694812095</v>
          </cell>
          <cell r="Z26">
            <v>0.86450548920650805</v>
          </cell>
          <cell r="AA26">
            <v>0.86023968890517</v>
          </cell>
          <cell r="AF26">
            <v>-4.3910319018575896E-3</v>
          </cell>
          <cell r="AG26">
            <v>-1.00511757285038E-2</v>
          </cell>
          <cell r="AR26">
            <v>0</v>
          </cell>
          <cell r="BC26">
            <v>0</v>
          </cell>
          <cell r="BF26">
            <v>0</v>
          </cell>
        </row>
        <row r="27">
          <cell r="O27">
            <v>0.90525826694812095</v>
          </cell>
          <cell r="P27">
            <v>0.865234503132152</v>
          </cell>
          <cell r="Q27">
            <v>0.86137907367211297</v>
          </cell>
          <cell r="U27">
            <v>4.2601579957856302E-2</v>
          </cell>
          <cell r="V27">
            <v>-3.46104619584794E-3</v>
          </cell>
          <cell r="W27">
            <v>-8.4076424278327795E-3</v>
          </cell>
          <cell r="Y27">
            <v>0.90525826694812095</v>
          </cell>
          <cell r="Z27">
            <v>0.865234503132152</v>
          </cell>
          <cell r="AA27">
            <v>0.86137907367211297</v>
          </cell>
          <cell r="AF27">
            <v>-3.46104619584794E-3</v>
          </cell>
          <cell r="AG27">
            <v>-8.4076424278327795E-3</v>
          </cell>
          <cell r="AR27">
            <v>0</v>
          </cell>
          <cell r="BC27">
            <v>0</v>
          </cell>
          <cell r="BF27">
            <v>0</v>
          </cell>
        </row>
        <row r="28">
          <cell r="O28">
            <v>0.90525826694812095</v>
          </cell>
          <cell r="P28">
            <v>0.86585130481277905</v>
          </cell>
          <cell r="Q28">
            <v>0.862510207519674</v>
          </cell>
          <cell r="U28">
            <v>4.1748755806582098E-2</v>
          </cell>
          <cell r="V28">
            <v>-3.47095294677661E-3</v>
          </cell>
          <cell r="W28">
            <v>-7.9368460911612704E-3</v>
          </cell>
          <cell r="Y28">
            <v>0.90525826694812095</v>
          </cell>
          <cell r="Z28">
            <v>0.86585130481277905</v>
          </cell>
          <cell r="AA28">
            <v>0.862510207519674</v>
          </cell>
          <cell r="AF28">
            <v>-3.47095294677661E-3</v>
          </cell>
          <cell r="AG28">
            <v>-7.9368460911612704E-3</v>
          </cell>
          <cell r="AR28">
            <v>0</v>
          </cell>
          <cell r="BC28">
            <v>0</v>
          </cell>
          <cell r="BF28">
            <v>0</v>
          </cell>
        </row>
        <row r="29">
          <cell r="O29">
            <v>0.90525826694812095</v>
          </cell>
          <cell r="P29">
            <v>0.866174508258298</v>
          </cell>
          <cell r="Q29">
            <v>0.86336702781956898</v>
          </cell>
          <cell r="U29">
            <v>4.1553828291879001E-2</v>
          </cell>
          <cell r="V29">
            <v>-2.9532621685004201E-3</v>
          </cell>
          <cell r="W29">
            <v>-6.8194688978604496E-3</v>
          </cell>
          <cell r="Y29">
            <v>0.90525826694812095</v>
          </cell>
          <cell r="Z29">
            <v>0.866174508258298</v>
          </cell>
          <cell r="AA29">
            <v>0.86336702781956898</v>
          </cell>
          <cell r="AF29">
            <v>-2.9532621685004201E-3</v>
          </cell>
          <cell r="AG29">
            <v>-6.8194688978604496E-3</v>
          </cell>
          <cell r="AR29">
            <v>0</v>
          </cell>
          <cell r="BC29">
            <v>0</v>
          </cell>
          <cell r="BF29">
            <v>0</v>
          </cell>
        </row>
        <row r="30">
          <cell r="O30">
            <v>0.90525826694812095</v>
          </cell>
          <cell r="P30">
            <v>0.866233352479027</v>
          </cell>
          <cell r="Q30">
            <v>0.86391140842741398</v>
          </cell>
          <cell r="U30">
            <v>4.4879349463591199E-2</v>
          </cell>
          <cell r="V30">
            <v>7.4546758570727303E-4</v>
          </cell>
          <cell r="W30">
            <v>-2.5010377407293999E-3</v>
          </cell>
          <cell r="Y30">
            <v>0.90525826694812095</v>
          </cell>
          <cell r="Z30">
            <v>0.866233352479027</v>
          </cell>
          <cell r="AA30">
            <v>0.86391140842741398</v>
          </cell>
          <cell r="AF30">
            <v>7.4546758570727303E-4</v>
          </cell>
          <cell r="AG30">
            <v>-2.5010377407293999E-3</v>
          </cell>
          <cell r="AR30">
            <v>0</v>
          </cell>
          <cell r="BC30">
            <v>0</v>
          </cell>
          <cell r="BF30">
            <v>0</v>
          </cell>
        </row>
        <row r="31">
          <cell r="O31">
            <v>0.90525826694812095</v>
          </cell>
          <cell r="P31">
            <v>0.86738697100050799</v>
          </cell>
          <cell r="Q31">
            <v>0.86487024706857696</v>
          </cell>
          <cell r="U31">
            <v>3.9886082084385002E-2</v>
          </cell>
          <cell r="V31">
            <v>-4.1798663442401997E-3</v>
          </cell>
          <cell r="W31">
            <v>-6.8639717417773201E-3</v>
          </cell>
          <cell r="Y31">
            <v>0.90525826694812095</v>
          </cell>
          <cell r="Z31">
            <v>0.86738697100050799</v>
          </cell>
          <cell r="AA31">
            <v>0.86487024706857696</v>
          </cell>
          <cell r="AF31">
            <v>-4.1798663442401997E-3</v>
          </cell>
          <cell r="AG31">
            <v>-6.8639717417773201E-3</v>
          </cell>
          <cell r="AR31">
            <v>0</v>
          </cell>
          <cell r="BC31">
            <v>0</v>
          </cell>
          <cell r="BF31">
            <v>0</v>
          </cell>
        </row>
        <row r="32">
          <cell r="O32">
            <v>0.90525826694812095</v>
          </cell>
          <cell r="P32">
            <v>0.86783056009689996</v>
          </cell>
          <cell r="Q32">
            <v>0.86554998152632201</v>
          </cell>
          <cell r="U32">
            <v>4.0951114987768197E-2</v>
          </cell>
          <cell r="V32">
            <v>-1.7839553055077899E-3</v>
          </cell>
          <cell r="W32">
            <v>-4.6896735515576998E-3</v>
          </cell>
          <cell r="Y32">
            <v>0.90525826694812095</v>
          </cell>
          <cell r="Z32">
            <v>0.86783056009689996</v>
          </cell>
          <cell r="AA32">
            <v>0.86554998152632201</v>
          </cell>
          <cell r="AF32">
            <v>-1.7839553055077899E-3</v>
          </cell>
          <cell r="AG32">
            <v>-4.6896735515576998E-3</v>
          </cell>
          <cell r="AR32">
            <v>0</v>
          </cell>
          <cell r="BC32">
            <v>0</v>
          </cell>
          <cell r="BF32">
            <v>0</v>
          </cell>
        </row>
        <row r="33">
          <cell r="O33">
            <v>0.90525826694812095</v>
          </cell>
          <cell r="P33">
            <v>0.86767442703757902</v>
          </cell>
          <cell r="Q33">
            <v>0.86572217268506002</v>
          </cell>
          <cell r="U33">
            <v>4.2512914657038901E-2</v>
          </cell>
          <cell r="V33">
            <v>2.8912216969332699E-4</v>
          </cell>
          <cell r="W33">
            <v>-2.3422444941479902E-3</v>
          </cell>
          <cell r="Y33">
            <v>0.90525826694812095</v>
          </cell>
          <cell r="Z33">
            <v>0.86767442703757902</v>
          </cell>
          <cell r="AA33">
            <v>0.86572217268506002</v>
          </cell>
          <cell r="AF33">
            <v>2.8912216969332699E-4</v>
          </cell>
          <cell r="AG33">
            <v>-2.3422444941479902E-3</v>
          </cell>
          <cell r="AR33">
            <v>0</v>
          </cell>
          <cell r="BC33">
            <v>0</v>
          </cell>
          <cell r="BF33">
            <v>0</v>
          </cell>
        </row>
        <row r="34">
          <cell r="O34">
            <v>0.90525826694812095</v>
          </cell>
          <cell r="P34">
            <v>0.86793997175635496</v>
          </cell>
          <cell r="Q34">
            <v>0.86578760029280599</v>
          </cell>
          <cell r="U34">
            <v>4.2628655864623499E-2</v>
          </cell>
          <cell r="V34">
            <v>2.2493527462218599E-4</v>
          </cell>
          <cell r="W34">
            <v>-2.0275846371908901E-3</v>
          </cell>
          <cell r="Y34">
            <v>0.90525826694812095</v>
          </cell>
          <cell r="Z34">
            <v>0.86793997175635496</v>
          </cell>
          <cell r="AA34">
            <v>0.86578760029280599</v>
          </cell>
          <cell r="AF34">
            <v>2.2493527462218599E-4</v>
          </cell>
          <cell r="AG34">
            <v>-2.0275846371908901E-3</v>
          </cell>
          <cell r="AR34">
            <v>0</v>
          </cell>
          <cell r="BC34">
            <v>0</v>
          </cell>
          <cell r="BF34">
            <v>0</v>
          </cell>
        </row>
        <row r="35">
          <cell r="O35">
            <v>0.90525826694812095</v>
          </cell>
          <cell r="P35">
            <v>0.86772727928718896</v>
          </cell>
          <cell r="Q35">
            <v>0.86581065370844701</v>
          </cell>
          <cell r="U35">
            <v>4.4296365303178403E-2</v>
          </cell>
          <cell r="V35">
            <v>2.1986397787076102E-3</v>
          </cell>
          <cell r="W35">
            <v>-2.8430229827116E-4</v>
          </cell>
          <cell r="Y35">
            <v>0.90525826694812095</v>
          </cell>
          <cell r="Z35">
            <v>0.86772727928718896</v>
          </cell>
          <cell r="AA35">
            <v>0.86581065370844701</v>
          </cell>
          <cell r="AF35">
            <v>2.1986397787076102E-3</v>
          </cell>
          <cell r="AG35">
            <v>-2.8430229827116E-4</v>
          </cell>
          <cell r="AR35">
            <v>0</v>
          </cell>
          <cell r="BC35">
            <v>0</v>
          </cell>
          <cell r="BF35">
            <v>0</v>
          </cell>
        </row>
        <row r="36">
          <cell r="O36">
            <v>0.90525826694812095</v>
          </cell>
          <cell r="P36">
            <v>0.86737990878516202</v>
          </cell>
          <cell r="Q36">
            <v>0.86594269899583498</v>
          </cell>
          <cell r="U36">
            <v>4.6390542742420597E-2</v>
          </cell>
          <cell r="V36">
            <v>4.04773283313733E-3</v>
          </cell>
          <cell r="W36">
            <v>1.8365018895125801E-3</v>
          </cell>
          <cell r="Y36">
            <v>0.90525826694812095</v>
          </cell>
          <cell r="Z36">
            <v>0.86737990878516202</v>
          </cell>
          <cell r="AA36">
            <v>0.86594269899583498</v>
          </cell>
          <cell r="AF36">
            <v>4.04773283313733E-3</v>
          </cell>
          <cell r="AG36">
            <v>1.8365018895125801E-3</v>
          </cell>
          <cell r="AR36">
            <v>0</v>
          </cell>
          <cell r="BC36">
            <v>0</v>
          </cell>
          <cell r="BF36">
            <v>0</v>
          </cell>
        </row>
        <row r="37">
          <cell r="O37">
            <v>0.90525826694812095</v>
          </cell>
          <cell r="P37">
            <v>0.86700237762546095</v>
          </cell>
          <cell r="Q37">
            <v>0.86611844037880703</v>
          </cell>
          <cell r="U37">
            <v>4.6963007496277201E-2</v>
          </cell>
          <cell r="V37">
            <v>4.2197952267754701E-3</v>
          </cell>
          <cell r="W37">
            <v>2.56146559760873E-3</v>
          </cell>
          <cell r="Y37">
            <v>0.90525826694812095</v>
          </cell>
          <cell r="Z37">
            <v>0.86700237762546095</v>
          </cell>
          <cell r="AA37">
            <v>0.86611844037880703</v>
          </cell>
          <cell r="AF37">
            <v>4.2197952267754701E-3</v>
          </cell>
          <cell r="AG37">
            <v>2.56146559760873E-3</v>
          </cell>
          <cell r="AR37">
            <v>0</v>
          </cell>
          <cell r="BC37">
            <v>0</v>
          </cell>
          <cell r="BF37">
            <v>0</v>
          </cell>
        </row>
        <row r="38">
          <cell r="O38">
            <v>0.90525826694812095</v>
          </cell>
          <cell r="P38">
            <v>0.86653063033320099</v>
          </cell>
          <cell r="Q38">
            <v>0.86619096757298997</v>
          </cell>
          <cell r="U38">
            <v>4.7196926288318897E-2</v>
          </cell>
          <cell r="V38">
            <v>4.0183645936979302E-3</v>
          </cell>
          <cell r="W38">
            <v>2.9983118494032401E-3</v>
          </cell>
          <cell r="Y38">
            <v>0.90525826694812095</v>
          </cell>
          <cell r="Z38">
            <v>0.86653063033320099</v>
          </cell>
          <cell r="AA38">
            <v>0.86619096757298997</v>
          </cell>
          <cell r="AF38">
            <v>4.0183645936979302E-3</v>
          </cell>
          <cell r="AG38">
            <v>2.9983118494032401E-3</v>
          </cell>
          <cell r="AR38">
            <v>0</v>
          </cell>
          <cell r="BC38">
            <v>0</v>
          </cell>
          <cell r="BF38">
            <v>0</v>
          </cell>
        </row>
        <row r="39">
          <cell r="O39">
            <v>0.90525826694812095</v>
          </cell>
          <cell r="P39">
            <v>0.86628925311219895</v>
          </cell>
          <cell r="Q39">
            <v>0.86623188068524803</v>
          </cell>
          <cell r="U39">
            <v>4.4337222042281903E-2</v>
          </cell>
          <cell r="V39">
            <v>6.1439923265481095E-4</v>
          </cell>
          <cell r="W39">
            <v>2.22342291744962E-4</v>
          </cell>
          <cell r="Y39">
            <v>0.90525826694812095</v>
          </cell>
          <cell r="Z39">
            <v>0.86628925311219895</v>
          </cell>
          <cell r="AA39">
            <v>0.86623188068524803</v>
          </cell>
          <cell r="AF39">
            <v>6.1439923265481095E-4</v>
          </cell>
          <cell r="AG39">
            <v>2.22342291744962E-4</v>
          </cell>
          <cell r="AR39">
            <v>0</v>
          </cell>
          <cell r="BC39">
            <v>0</v>
          </cell>
          <cell r="BF39">
            <v>0</v>
          </cell>
        </row>
        <row r="40">
          <cell r="O40">
            <v>0.90525826694812095</v>
          </cell>
          <cell r="P40">
            <v>0.86642827972553105</v>
          </cell>
          <cell r="Q40">
            <v>0.86633081610227902</v>
          </cell>
          <cell r="U40">
            <v>4.3274376445292001E-2</v>
          </cell>
          <cell r="V40">
            <v>-7.2704106984257605E-4</v>
          </cell>
          <cell r="W40">
            <v>-7.9327105786640201E-4</v>
          </cell>
          <cell r="Y40">
            <v>0.90525826694812095</v>
          </cell>
          <cell r="Z40">
            <v>0.86642827972553105</v>
          </cell>
          <cell r="AA40">
            <v>0.86633081610227902</v>
          </cell>
          <cell r="AF40">
            <v>-7.2704106984257605E-4</v>
          </cell>
          <cell r="AG40">
            <v>-7.9327105786640201E-4</v>
          </cell>
          <cell r="AR40">
            <v>0</v>
          </cell>
          <cell r="BC40">
            <v>0</v>
          </cell>
          <cell r="BF40">
            <v>0</v>
          </cell>
        </row>
        <row r="41">
          <cell r="O41">
            <v>0.90525826694812095</v>
          </cell>
          <cell r="P41">
            <v>0.86607072073559499</v>
          </cell>
          <cell r="Q41">
            <v>0.86672884586805099</v>
          </cell>
          <cell r="U41">
            <v>4.40050805456835E-2</v>
          </cell>
          <cell r="V41">
            <v>1.64135364897244E-4</v>
          </cell>
          <cell r="W41">
            <v>5.1640069285680302E-5</v>
          </cell>
          <cell r="Y41">
            <v>0.90525826694812095</v>
          </cell>
          <cell r="Z41">
            <v>0.86607072073559499</v>
          </cell>
          <cell r="AA41">
            <v>0.86672884586805099</v>
          </cell>
          <cell r="AF41">
            <v>1.64135364897244E-4</v>
          </cell>
          <cell r="AG41">
            <v>5.1640069285680302E-5</v>
          </cell>
          <cell r="AR41">
            <v>0</v>
          </cell>
          <cell r="BC41">
            <v>0</v>
          </cell>
          <cell r="BF41">
            <v>0</v>
          </cell>
        </row>
        <row r="42">
          <cell r="O42">
            <v>0.90525826694812095</v>
          </cell>
          <cell r="P42">
            <v>0.86478549411703298</v>
          </cell>
          <cell r="Q42">
            <v>0.86630802710696697</v>
          </cell>
          <cell r="U42">
            <v>5.5852403072161202E-2</v>
          </cell>
          <cell r="V42">
            <v>1.15986911366263E-2</v>
          </cell>
          <cell r="W42">
            <v>1.23583002417829E-2</v>
          </cell>
          <cell r="Y42">
            <v>0.90525826694812095</v>
          </cell>
          <cell r="Z42">
            <v>0.86478549411703298</v>
          </cell>
          <cell r="AA42">
            <v>0.86630802710696697</v>
          </cell>
          <cell r="AF42">
            <v>1.15986911366263E-2</v>
          </cell>
          <cell r="AG42">
            <v>1.23583002417829E-2</v>
          </cell>
          <cell r="AR42">
            <v>0</v>
          </cell>
          <cell r="BC42">
            <v>0</v>
          </cell>
          <cell r="BF42">
            <v>0</v>
          </cell>
        </row>
        <row r="43">
          <cell r="O43">
            <v>0.90525826694812095</v>
          </cell>
          <cell r="P43">
            <v>0.86360507487231497</v>
          </cell>
          <cell r="Q43">
            <v>0.86563975095494705</v>
          </cell>
          <cell r="U43">
            <v>5.62122114441014E-2</v>
          </cell>
          <cell r="V43">
            <v>1.0473423112570501E-2</v>
          </cell>
          <cell r="W43">
            <v>1.2232465433341401E-2</v>
          </cell>
          <cell r="Y43">
            <v>0.90525826694812095</v>
          </cell>
          <cell r="Z43">
            <v>0.86360507487231497</v>
          </cell>
          <cell r="AA43">
            <v>0.86563975095494705</v>
          </cell>
          <cell r="AF43">
            <v>1.0473423112570501E-2</v>
          </cell>
          <cell r="AG43">
            <v>1.2232465433341401E-2</v>
          </cell>
          <cell r="AR43">
            <v>0</v>
          </cell>
          <cell r="BC43">
            <v>0</v>
          </cell>
          <cell r="BF43">
            <v>0</v>
          </cell>
        </row>
        <row r="44">
          <cell r="O44">
            <v>0.90525826694812095</v>
          </cell>
          <cell r="P44">
            <v>0.862290307522941</v>
          </cell>
          <cell r="Q44">
            <v>0.86511513963964803</v>
          </cell>
          <cell r="U44">
            <v>5.7900866265431901E-2</v>
          </cell>
          <cell r="V44">
            <v>1.07961604735465E-2</v>
          </cell>
          <cell r="W44">
            <v>1.31494154796783E-2</v>
          </cell>
          <cell r="Y44">
            <v>0.90525826694812095</v>
          </cell>
          <cell r="Z44">
            <v>0.862290307522941</v>
          </cell>
          <cell r="AA44">
            <v>0.86511513963964803</v>
          </cell>
          <cell r="AF44">
            <v>1.07961604735465E-2</v>
          </cell>
          <cell r="AG44">
            <v>1.31494154796783E-2</v>
          </cell>
          <cell r="AR44">
            <v>0</v>
          </cell>
          <cell r="BC44">
            <v>0</v>
          </cell>
          <cell r="BF44">
            <v>0</v>
          </cell>
        </row>
        <row r="45">
          <cell r="O45">
            <v>0.90525826694812095</v>
          </cell>
          <cell r="P45">
            <v>0.86069586365611395</v>
          </cell>
          <cell r="Q45">
            <v>0.86421157147165095</v>
          </cell>
          <cell r="U45">
            <v>6.2878828608257997E-2</v>
          </cell>
          <cell r="V45">
            <v>1.42505454117234E-2</v>
          </cell>
          <cell r="W45">
            <v>1.7521155261220701E-2</v>
          </cell>
          <cell r="Y45">
            <v>0.90525826694812095</v>
          </cell>
          <cell r="Z45">
            <v>0.86069586365611395</v>
          </cell>
          <cell r="AA45">
            <v>0.86421157147165095</v>
          </cell>
          <cell r="AF45">
            <v>1.42505454117234E-2</v>
          </cell>
          <cell r="AG45">
            <v>1.7521155261220701E-2</v>
          </cell>
          <cell r="AR45">
            <v>0</v>
          </cell>
          <cell r="BC45">
            <v>0</v>
          </cell>
          <cell r="BF45">
            <v>0</v>
          </cell>
        </row>
        <row r="46">
          <cell r="O46">
            <v>0.90525826694812095</v>
          </cell>
          <cell r="P46">
            <v>0.85956665761744999</v>
          </cell>
          <cell r="Q46">
            <v>0.86347328320130601</v>
          </cell>
          <cell r="U46">
            <v>5.9542812201278897E-2</v>
          </cell>
          <cell r="V46">
            <v>9.0637372240140492E-3</v>
          </cell>
          <cell r="W46">
            <v>1.31401445863374E-2</v>
          </cell>
          <cell r="Y46">
            <v>0.90525826694812095</v>
          </cell>
          <cell r="Z46">
            <v>0.85956665761744999</v>
          </cell>
          <cell r="AA46">
            <v>0.86347328320130601</v>
          </cell>
          <cell r="AF46">
            <v>9.0637372240140492E-3</v>
          </cell>
          <cell r="AG46">
            <v>1.31401445863374E-2</v>
          </cell>
          <cell r="AR46">
            <v>0</v>
          </cell>
          <cell r="BC46">
            <v>0</v>
          </cell>
          <cell r="BF46">
            <v>0</v>
          </cell>
        </row>
        <row r="47">
          <cell r="O47">
            <v>0.90525826694812095</v>
          </cell>
          <cell r="P47">
            <v>0.85846560064734501</v>
          </cell>
          <cell r="Q47">
            <v>0.86273398913640298</v>
          </cell>
          <cell r="U47">
            <v>5.9792693227837097E-2</v>
          </cell>
          <cell r="V47">
            <v>8.0007881599506309E-3</v>
          </cell>
          <cell r="W47">
            <v>1.2535369379395599E-2</v>
          </cell>
          <cell r="Y47">
            <v>0.90525826694812095</v>
          </cell>
          <cell r="Z47">
            <v>0.85846560064734501</v>
          </cell>
          <cell r="AA47">
            <v>0.86273398913640298</v>
          </cell>
          <cell r="AF47">
            <v>8.0007881599506309E-3</v>
          </cell>
          <cell r="AG47">
            <v>1.2535369379395599E-2</v>
          </cell>
          <cell r="AR47">
            <v>0</v>
          </cell>
          <cell r="BC47">
            <v>0</v>
          </cell>
          <cell r="BF47">
            <v>0</v>
          </cell>
        </row>
        <row r="48">
          <cell r="O48">
            <v>0.90525826694812095</v>
          </cell>
          <cell r="P48">
            <v>0.85741590217544394</v>
          </cell>
          <cell r="Q48">
            <v>0.86197326625432202</v>
          </cell>
          <cell r="U48">
            <v>5.9427378986929201E-2</v>
          </cell>
          <cell r="V48">
            <v>6.3537085557274497E-3</v>
          </cell>
          <cell r="W48">
            <v>1.1313502021199301E-2</v>
          </cell>
          <cell r="Y48">
            <v>0.90525826694812095</v>
          </cell>
          <cell r="Z48">
            <v>0.85741590217544394</v>
          </cell>
          <cell r="AA48">
            <v>0.86197326625432202</v>
          </cell>
          <cell r="AF48">
            <v>6.3537085557274497E-3</v>
          </cell>
          <cell r="AG48">
            <v>1.1313502021199301E-2</v>
          </cell>
          <cell r="AR48">
            <v>0</v>
          </cell>
          <cell r="BC48">
            <v>0</v>
          </cell>
          <cell r="BF48">
            <v>0</v>
          </cell>
        </row>
        <row r="49">
          <cell r="O49">
            <v>0.90525826694812095</v>
          </cell>
          <cell r="P49">
            <v>0.85588807432048797</v>
          </cell>
          <cell r="Q49">
            <v>0.86108866371634296</v>
          </cell>
          <cell r="U49">
            <v>6.2137090549452802E-2</v>
          </cell>
          <cell r="V49">
            <v>7.8399106846191204E-3</v>
          </cell>
          <cell r="W49">
            <v>1.3141066275494001E-2</v>
          </cell>
          <cell r="Y49">
            <v>0.90525826694812095</v>
          </cell>
          <cell r="Z49">
            <v>0.85588807432048797</v>
          </cell>
          <cell r="AA49">
            <v>0.86108866371634296</v>
          </cell>
          <cell r="AF49">
            <v>7.8399106846191204E-3</v>
          </cell>
          <cell r="AG49">
            <v>1.3141066275494001E-2</v>
          </cell>
          <cell r="AR49">
            <v>0</v>
          </cell>
          <cell r="BC49">
            <v>0</v>
          </cell>
          <cell r="BF49">
            <v>0</v>
          </cell>
        </row>
        <row r="50">
          <cell r="O50">
            <v>0.90525826694812095</v>
          </cell>
          <cell r="P50">
            <v>0.85473560579550401</v>
          </cell>
          <cell r="Q50">
            <v>0.86058194276051703</v>
          </cell>
          <cell r="U50">
            <v>5.66573689731798E-2</v>
          </cell>
          <cell r="V50">
            <v>5.7670143669475305E-4</v>
          </cell>
          <cell r="W50">
            <v>6.6345648716242796E-3</v>
          </cell>
          <cell r="Y50">
            <v>0.90525826694812095</v>
          </cell>
          <cell r="Z50">
            <v>0.85473560579550401</v>
          </cell>
          <cell r="AA50">
            <v>0.86058194276051703</v>
          </cell>
          <cell r="AF50">
            <v>5.7670143669475305E-4</v>
          </cell>
          <cell r="AG50">
            <v>6.6345648716242796E-3</v>
          </cell>
          <cell r="AR50">
            <v>0</v>
          </cell>
          <cell r="BC50">
            <v>0</v>
          </cell>
          <cell r="BF50">
            <v>0</v>
          </cell>
        </row>
        <row r="51">
          <cell r="O51">
            <v>0.90525826694812095</v>
          </cell>
          <cell r="P51">
            <v>0.85386806604530796</v>
          </cell>
          <cell r="Q51">
            <v>0.85996939339045098</v>
          </cell>
          <cell r="U51">
            <v>5.4070034467551098E-2</v>
          </cell>
          <cell r="V51">
            <v>-3.3580582364257702E-3</v>
          </cell>
          <cell r="W51">
            <v>3.4585916698934901E-3</v>
          </cell>
          <cell r="Y51">
            <v>0.90525826694812095</v>
          </cell>
          <cell r="Z51">
            <v>0.85386806604530796</v>
          </cell>
          <cell r="AA51">
            <v>0.85996939339045098</v>
          </cell>
          <cell r="AF51">
            <v>-3.3580582364257702E-3</v>
          </cell>
          <cell r="AG51">
            <v>3.4585916698934901E-3</v>
          </cell>
          <cell r="AR51">
            <v>0</v>
          </cell>
          <cell r="BC51">
            <v>0</v>
          </cell>
          <cell r="BF51">
            <v>0</v>
          </cell>
        </row>
        <row r="52">
          <cell r="O52">
            <v>0.90525826694812095</v>
          </cell>
          <cell r="P52">
            <v>0.85399092288643497</v>
          </cell>
          <cell r="Q52">
            <v>0.85938820850173403</v>
          </cell>
          <cell r="U52">
            <v>5.44183283097242E-2</v>
          </cell>
          <cell r="V52">
            <v>-4.0252600753709396E-3</v>
          </cell>
          <cell r="W52">
            <v>3.0948470124579699E-3</v>
          </cell>
          <cell r="Y52">
            <v>0.90525826694812095</v>
          </cell>
          <cell r="Z52">
            <v>0.85399092288643497</v>
          </cell>
          <cell r="AA52">
            <v>0.85938820850173403</v>
          </cell>
          <cell r="AF52">
            <v>-4.0252600753709396E-3</v>
          </cell>
          <cell r="AG52">
            <v>3.0948470124579699E-3</v>
          </cell>
          <cell r="AR52">
            <v>0</v>
          </cell>
          <cell r="BC52">
            <v>0</v>
          </cell>
          <cell r="BF52">
            <v>0</v>
          </cell>
        </row>
        <row r="53">
          <cell r="O53">
            <v>0.90525826694812095</v>
          </cell>
          <cell r="P53">
            <v>0.85434575331219997</v>
          </cell>
          <cell r="Q53">
            <v>0.85897541409225697</v>
          </cell>
          <cell r="U53">
            <v>5.2074480955166702E-2</v>
          </cell>
          <cell r="V53">
            <v>-6.2252350819946099E-3</v>
          </cell>
          <cell r="W53">
            <v>7.4950754271501803E-5</v>
          </cell>
          <cell r="Y53">
            <v>0.90525826694812095</v>
          </cell>
          <cell r="Z53">
            <v>0.85434575331219997</v>
          </cell>
          <cell r="AA53">
            <v>0.85897541409225697</v>
          </cell>
          <cell r="AF53">
            <v>-6.2252350819946099E-3</v>
          </cell>
          <cell r="AG53">
            <v>7.4950754271501803E-5</v>
          </cell>
          <cell r="AR53">
            <v>0</v>
          </cell>
          <cell r="BC53">
            <v>0</v>
          </cell>
          <cell r="BF53">
            <v>0</v>
          </cell>
        </row>
        <row r="54">
          <cell r="O54">
            <v>0.90525826694812095</v>
          </cell>
          <cell r="P54">
            <v>0.85505662199195998</v>
          </cell>
          <cell r="Q54">
            <v>0.85867346475745099</v>
          </cell>
          <cell r="U54">
            <v>4.9614534629993698E-2</v>
          </cell>
          <cell r="V54">
            <v>-8.2697709839046896E-3</v>
          </cell>
          <cell r="W54">
            <v>-2.8654461716822199E-3</v>
          </cell>
          <cell r="Y54">
            <v>0.90525826694812095</v>
          </cell>
          <cell r="Z54">
            <v>0.85505662199195998</v>
          </cell>
          <cell r="AA54">
            <v>0.85867346475745099</v>
          </cell>
          <cell r="AF54">
            <v>-8.2697709839046896E-3</v>
          </cell>
          <cell r="AG54">
            <v>-2.8654461716822199E-3</v>
          </cell>
          <cell r="AR54">
            <v>0</v>
          </cell>
          <cell r="BC54">
            <v>0</v>
          </cell>
          <cell r="BF54">
            <v>0</v>
          </cell>
        </row>
        <row r="55">
          <cell r="O55">
            <v>0.90525826694812095</v>
          </cell>
          <cell r="P55">
            <v>0.85647228621984095</v>
          </cell>
          <cell r="Q55">
            <v>0.85858407493797695</v>
          </cell>
          <cell r="U55">
            <v>4.63628484949122E-2</v>
          </cell>
          <cell r="V55">
            <v>-1.06897410397188E-2</v>
          </cell>
          <cell r="W55">
            <v>-6.46871677974299E-3</v>
          </cell>
          <cell r="Y55">
            <v>0.90525826694812095</v>
          </cell>
          <cell r="Z55">
            <v>0.85647228621984095</v>
          </cell>
          <cell r="AA55">
            <v>0.85858407493797695</v>
          </cell>
          <cell r="AF55">
            <v>-1.06897410397188E-2</v>
          </cell>
          <cell r="AG55">
            <v>-6.46871677974299E-3</v>
          </cell>
          <cell r="AR55">
            <v>0</v>
          </cell>
          <cell r="BC55">
            <v>0</v>
          </cell>
          <cell r="BF55">
            <v>0</v>
          </cell>
        </row>
        <row r="56">
          <cell r="O56">
            <v>0.90525826694812095</v>
          </cell>
          <cell r="P56">
            <v>0.85718449985145995</v>
          </cell>
          <cell r="Q56">
            <v>0.85837557873445502</v>
          </cell>
          <cell r="U56">
            <v>5.1227281885163199E-2</v>
          </cell>
          <cell r="V56">
            <v>-4.1710387160820497E-3</v>
          </cell>
          <cell r="W56">
            <v>-1.7083910349533101E-3</v>
          </cell>
          <cell r="Y56">
            <v>0.90525826694812095</v>
          </cell>
          <cell r="Z56">
            <v>0.85718449985145995</v>
          </cell>
          <cell r="AA56">
            <v>0.85837557873445502</v>
          </cell>
          <cell r="AF56">
            <v>-4.1710387160820497E-3</v>
          </cell>
          <cell r="AG56">
            <v>-1.7083910349533101E-3</v>
          </cell>
          <cell r="AR56">
            <v>0</v>
          </cell>
          <cell r="BC56">
            <v>0</v>
          </cell>
          <cell r="BF56">
            <v>0</v>
          </cell>
        </row>
        <row r="57">
          <cell r="O57">
            <v>0.90525826694812095</v>
          </cell>
          <cell r="P57">
            <v>0.85833669434839899</v>
          </cell>
          <cell r="Q57">
            <v>0.858401147497872</v>
          </cell>
          <cell r="U57">
            <v>4.6371126407297403E-2</v>
          </cell>
          <cell r="V57">
            <v>-8.1959732885529997E-3</v>
          </cell>
          <cell r="W57">
            <v>-6.8074132617270003E-3</v>
          </cell>
          <cell r="Y57">
            <v>0.90525826694812095</v>
          </cell>
          <cell r="Z57">
            <v>0.85833669434839899</v>
          </cell>
          <cell r="AA57">
            <v>0.858401147497872</v>
          </cell>
          <cell r="AF57">
            <v>-8.1959732885529997E-3</v>
          </cell>
          <cell r="AG57">
            <v>-6.8074132617270003E-3</v>
          </cell>
          <cell r="AR57">
            <v>0</v>
          </cell>
          <cell r="BC57">
            <v>0</v>
          </cell>
          <cell r="BF57">
            <v>0</v>
          </cell>
        </row>
        <row r="58">
          <cell r="O58">
            <v>0.90525826694812095</v>
          </cell>
          <cell r="P58">
            <v>0.85955833416294303</v>
          </cell>
          <cell r="Q58">
            <v>0.85848711816919299</v>
          </cell>
          <cell r="U58">
            <v>4.5207750506019703E-2</v>
          </cell>
          <cell r="V58">
            <v>-8.0160901568545901E-3</v>
          </cell>
          <cell r="W58">
            <v>-7.9410022221309308E-3</v>
          </cell>
          <cell r="Y58">
            <v>0.90525826694812095</v>
          </cell>
          <cell r="Z58">
            <v>0.85955833416294303</v>
          </cell>
          <cell r="AA58">
            <v>0.85848711816919299</v>
          </cell>
          <cell r="AF58">
            <v>-8.0160901568545901E-3</v>
          </cell>
          <cell r="AG58">
            <v>-7.9410022221309308E-3</v>
          </cell>
          <cell r="AR58">
            <v>0</v>
          </cell>
          <cell r="BC58">
            <v>0</v>
          </cell>
          <cell r="BF58">
            <v>0</v>
          </cell>
        </row>
        <row r="59">
          <cell r="O59">
            <v>0.90525826694812095</v>
          </cell>
          <cell r="P59">
            <v>0.86083492004454698</v>
          </cell>
          <cell r="Q59">
            <v>0.85836149718251697</v>
          </cell>
          <cell r="U59">
            <v>4.7242621518636597E-2</v>
          </cell>
          <cell r="V59">
            <v>-4.5589669108986102E-3</v>
          </cell>
          <cell r="W59">
            <v>-5.8059841316734501E-3</v>
          </cell>
          <cell r="Y59">
            <v>0.90525826694812095</v>
          </cell>
          <cell r="Z59">
            <v>0.86083492004454698</v>
          </cell>
          <cell r="AA59">
            <v>0.85836149718251697</v>
          </cell>
          <cell r="AF59">
            <v>-4.5589669108986102E-3</v>
          </cell>
          <cell r="AG59">
            <v>-5.8059841316734501E-3</v>
          </cell>
          <cell r="AR59">
            <v>0</v>
          </cell>
          <cell r="BC59">
            <v>0</v>
          </cell>
          <cell r="BF59">
            <v>0</v>
          </cell>
        </row>
        <row r="60">
          <cell r="O60">
            <v>0.90525826694812095</v>
          </cell>
          <cell r="P60">
            <v>0.86172965930749401</v>
          </cell>
          <cell r="Q60">
            <v>0.85823263255149895</v>
          </cell>
          <cell r="U60">
            <v>4.6251736920622601E-2</v>
          </cell>
          <cell r="V60">
            <v>-4.0657883590685196E-3</v>
          </cell>
          <cell r="W60">
            <v>-6.9432077671272097E-3</v>
          </cell>
          <cell r="Y60">
            <v>0.90525826694812095</v>
          </cell>
          <cell r="Z60">
            <v>0.86172965930749401</v>
          </cell>
          <cell r="AA60">
            <v>0.85823263255149895</v>
          </cell>
          <cell r="AF60">
            <v>-4.0657883590685196E-3</v>
          </cell>
          <cell r="AG60">
            <v>-6.9432077671272097E-3</v>
          </cell>
          <cell r="AR60">
            <v>0</v>
          </cell>
          <cell r="BC60">
            <v>0</v>
          </cell>
          <cell r="BF60">
            <v>0</v>
          </cell>
        </row>
        <row r="61">
          <cell r="O61">
            <v>0.90525826694812095</v>
          </cell>
          <cell r="P61">
            <v>0.86142082950572896</v>
          </cell>
          <cell r="Q61">
            <v>0.85764444777551796</v>
          </cell>
          <cell r="U61">
            <v>5.7677582767432102E-2</v>
          </cell>
          <cell r="V61">
            <v>8.3989031184236104E-3</v>
          </cell>
          <cell r="W61">
            <v>4.3324981846097699E-3</v>
          </cell>
          <cell r="Y61">
            <v>0.90525826694812095</v>
          </cell>
          <cell r="Z61">
            <v>0.86142082950572896</v>
          </cell>
          <cell r="AA61">
            <v>0.85764444777551796</v>
          </cell>
          <cell r="AF61">
            <v>8.3989031184236104E-3</v>
          </cell>
          <cell r="AG61">
            <v>4.3324981846097699E-3</v>
          </cell>
          <cell r="AR61">
            <v>0</v>
          </cell>
          <cell r="BC61">
            <v>0</v>
          </cell>
          <cell r="BF61">
            <v>0</v>
          </cell>
        </row>
        <row r="62">
          <cell r="O62">
            <v>0.90525826694812095</v>
          </cell>
          <cell r="P62">
            <v>0.86141210916574196</v>
          </cell>
          <cell r="Q62">
            <v>0.85770151602608802</v>
          </cell>
          <cell r="U62">
            <v>5.4520050706906298E-2</v>
          </cell>
          <cell r="V62">
            <v>4.8829231950127897E-3</v>
          </cell>
          <cell r="W62">
            <v>4.8938694622508003E-4</v>
          </cell>
          <cell r="Y62">
            <v>0.90525826694812095</v>
          </cell>
          <cell r="Z62">
            <v>0.86141210916574196</v>
          </cell>
          <cell r="AA62">
            <v>0.85770151602608802</v>
          </cell>
          <cell r="AF62">
            <v>4.8829231950127897E-3</v>
          </cell>
          <cell r="AG62">
            <v>4.8938694622508003E-4</v>
          </cell>
          <cell r="AR62">
            <v>0</v>
          </cell>
          <cell r="BC62">
            <v>0</v>
          </cell>
          <cell r="BF62">
            <v>0</v>
          </cell>
        </row>
        <row r="63">
          <cell r="O63">
            <v>0.90525826694812095</v>
          </cell>
          <cell r="P63">
            <v>0.86184858401292497</v>
          </cell>
          <cell r="Q63">
            <v>0.85809716866256203</v>
          </cell>
          <cell r="U63">
            <v>4.7008054337155901E-2</v>
          </cell>
          <cell r="V63">
            <v>-2.6391964313708699E-3</v>
          </cell>
          <cell r="W63">
            <v>-6.95607095047668E-3</v>
          </cell>
          <cell r="Y63">
            <v>0.90525826694812095</v>
          </cell>
          <cell r="Z63">
            <v>0.86184858401292497</v>
          </cell>
          <cell r="AA63">
            <v>0.85809716866256203</v>
          </cell>
          <cell r="AF63">
            <v>-2.6391964313708699E-3</v>
          </cell>
          <cell r="AG63">
            <v>-6.95607095047668E-3</v>
          </cell>
          <cell r="AR63">
            <v>0</v>
          </cell>
          <cell r="BC63">
            <v>0</v>
          </cell>
          <cell r="BF63">
            <v>0</v>
          </cell>
        </row>
        <row r="64">
          <cell r="O64">
            <v>0.90525826694812095</v>
          </cell>
          <cell r="P64">
            <v>0.86226909399417295</v>
          </cell>
          <cell r="Q64">
            <v>0.85866285799306696</v>
          </cell>
          <cell r="U64">
            <v>4.4744934745104499E-2</v>
          </cell>
          <cell r="V64">
            <v>-4.3957474488068599E-3</v>
          </cell>
          <cell r="W64">
            <v>-8.7580028204278203E-3</v>
          </cell>
          <cell r="Y64">
            <v>0.90525826694812095</v>
          </cell>
          <cell r="Z64">
            <v>0.86226909399417295</v>
          </cell>
          <cell r="AA64">
            <v>0.85866285799306696</v>
          </cell>
          <cell r="AF64">
            <v>-4.3957474488068599E-3</v>
          </cell>
          <cell r="AG64">
            <v>-8.7580028204278203E-3</v>
          </cell>
          <cell r="AR64">
            <v>0</v>
          </cell>
          <cell r="BC64">
            <v>0</v>
          </cell>
          <cell r="BF64">
            <v>0</v>
          </cell>
        </row>
        <row r="65">
          <cell r="O65">
            <v>0.90525826694812095</v>
          </cell>
          <cell r="P65">
            <v>0.86274282376245803</v>
          </cell>
          <cell r="Q65">
            <v>0.85960755499114905</v>
          </cell>
          <cell r="U65">
            <v>4.0896393973623997E-2</v>
          </cell>
          <cell r="V65">
            <v>-7.7564909023314001E-3</v>
          </cell>
          <cell r="W65">
            <v>-1.1947523877801999E-2</v>
          </cell>
          <cell r="Y65">
            <v>0.90525826694812095</v>
          </cell>
          <cell r="Z65">
            <v>0.86274282376245803</v>
          </cell>
          <cell r="AA65">
            <v>0.85960755499114905</v>
          </cell>
          <cell r="AF65">
            <v>-7.7564909023314001E-3</v>
          </cell>
          <cell r="AG65">
            <v>-1.1947523877801999E-2</v>
          </cell>
          <cell r="AR65">
            <v>0</v>
          </cell>
          <cell r="BC65">
            <v>0</v>
          </cell>
          <cell r="BF65">
            <v>0</v>
          </cell>
        </row>
        <row r="66">
          <cell r="O66">
            <v>0.90525826694812095</v>
          </cell>
          <cell r="P66">
            <v>0.86369935160557998</v>
          </cell>
          <cell r="Q66">
            <v>0.86044192572851996</v>
          </cell>
          <cell r="U66">
            <v>4.0166931020742203E-2</v>
          </cell>
          <cell r="V66">
            <v>-7.9367057308167704E-3</v>
          </cell>
          <cell r="W66">
            <v>-1.15773961188493E-2</v>
          </cell>
          <cell r="Y66">
            <v>0.90525826694812095</v>
          </cell>
          <cell r="Z66">
            <v>0.86369935160557998</v>
          </cell>
          <cell r="AA66">
            <v>0.86044192572851996</v>
          </cell>
          <cell r="AF66">
            <v>-7.9367057308167704E-3</v>
          </cell>
          <cell r="AG66">
            <v>-1.15773961188493E-2</v>
          </cell>
          <cell r="AR66">
            <v>0</v>
          </cell>
          <cell r="BC66">
            <v>0</v>
          </cell>
          <cell r="BF66">
            <v>0</v>
          </cell>
        </row>
        <row r="67">
          <cell r="O67">
            <v>0.90525826694812095</v>
          </cell>
          <cell r="P67">
            <v>0.86485704429948296</v>
          </cell>
          <cell r="Q67">
            <v>0.86159686932394097</v>
          </cell>
          <cell r="U67">
            <v>3.3064534940807702E-2</v>
          </cell>
          <cell r="V67">
            <v>-1.3931010321047E-2</v>
          </cell>
          <cell r="W67">
            <v>-1.77096215005937E-2</v>
          </cell>
          <cell r="Y67">
            <v>0.90525826694812095</v>
          </cell>
          <cell r="Z67">
            <v>0.86485704429948296</v>
          </cell>
          <cell r="AA67">
            <v>0.86159686932394097</v>
          </cell>
          <cell r="AF67">
            <v>-1.3931010321047E-2</v>
          </cell>
          <cell r="AG67">
            <v>-1.77096215005937E-2</v>
          </cell>
          <cell r="AR67">
            <v>0</v>
          </cell>
          <cell r="BC67">
            <v>0</v>
          </cell>
          <cell r="BF67">
            <v>0</v>
          </cell>
        </row>
        <row r="68">
          <cell r="O68">
            <v>0.90525826694812095</v>
          </cell>
          <cell r="P68">
            <v>0.866322612993491</v>
          </cell>
          <cell r="Q68">
            <v>0.86294047357821702</v>
          </cell>
          <cell r="U68">
            <v>2.8411406084654801E-2</v>
          </cell>
          <cell r="V68">
            <v>-1.7244648177955599E-2</v>
          </cell>
          <cell r="W68">
            <v>-2.10213824712959E-2</v>
          </cell>
          <cell r="Y68">
            <v>0.90525826694812095</v>
          </cell>
          <cell r="Z68">
            <v>0.866322612993491</v>
          </cell>
          <cell r="AA68">
            <v>0.86294047357821702</v>
          </cell>
          <cell r="AF68">
            <v>-1.7244648177955599E-2</v>
          </cell>
          <cell r="AG68">
            <v>-2.10213824712959E-2</v>
          </cell>
          <cell r="AR68">
            <v>0</v>
          </cell>
          <cell r="BC68">
            <v>0</v>
          </cell>
          <cell r="BF68">
            <v>0</v>
          </cell>
        </row>
        <row r="69">
          <cell r="O69">
            <v>0.90525826694812095</v>
          </cell>
          <cell r="P69">
            <v>0.86846513399983205</v>
          </cell>
          <cell r="Q69">
            <v>0.86465002702218996</v>
          </cell>
          <cell r="U69">
            <v>2.2732992918173801E-2</v>
          </cell>
          <cell r="V69">
            <v>-2.1229916397924601E-2</v>
          </cell>
          <cell r="W69">
            <v>-2.51415753630264E-2</v>
          </cell>
          <cell r="Y69">
            <v>0.90525826694812095</v>
          </cell>
          <cell r="Z69">
            <v>0.86846513399983205</v>
          </cell>
          <cell r="AA69">
            <v>0.86465002702218996</v>
          </cell>
          <cell r="AF69">
            <v>-2.1229916397924601E-2</v>
          </cell>
          <cell r="AG69">
            <v>-2.51415753630264E-2</v>
          </cell>
          <cell r="AR69">
            <v>0</v>
          </cell>
          <cell r="BC69">
            <v>0</v>
          </cell>
          <cell r="BF69">
            <v>0</v>
          </cell>
        </row>
        <row r="70">
          <cell r="O70">
            <v>0.90525826694812095</v>
          </cell>
          <cell r="P70">
            <v>0.87075290636867697</v>
          </cell>
          <cell r="Q70">
            <v>0.86624128283808599</v>
          </cell>
          <cell r="U70">
            <v>2.0127594076609599E-2</v>
          </cell>
          <cell r="V70">
            <v>-2.1365246956622602E-2</v>
          </cell>
          <cell r="W70">
            <v>-2.57678547299314E-2</v>
          </cell>
          <cell r="Y70">
            <v>0.90525826694812095</v>
          </cell>
          <cell r="Z70">
            <v>0.87075290636867697</v>
          </cell>
          <cell r="AA70">
            <v>0.86624128283808599</v>
          </cell>
          <cell r="AF70">
            <v>-2.1365246956622602E-2</v>
          </cell>
          <cell r="AG70">
            <v>-2.57678547299314E-2</v>
          </cell>
          <cell r="AR70">
            <v>0</v>
          </cell>
          <cell r="BC70">
            <v>0</v>
          </cell>
          <cell r="BF70">
            <v>0</v>
          </cell>
        </row>
        <row r="71">
          <cell r="O71">
            <v>0.90525826694812095</v>
          </cell>
          <cell r="P71">
            <v>0.87407057943766198</v>
          </cell>
          <cell r="Q71">
            <v>0.86774570447169597</v>
          </cell>
          <cell r="U71">
            <v>1.9587429665452901E-2</v>
          </cell>
          <cell r="V71">
            <v>-1.92746041483907E-2</v>
          </cell>
          <cell r="W71">
            <v>-2.4469363813487001E-2</v>
          </cell>
          <cell r="Y71">
            <v>0.90525826694812095</v>
          </cell>
          <cell r="Z71">
            <v>0.87407057943766198</v>
          </cell>
          <cell r="AA71">
            <v>0.86774570447169597</v>
          </cell>
          <cell r="AF71">
            <v>-1.92746041483907E-2</v>
          </cell>
          <cell r="AG71">
            <v>-2.4469363813487001E-2</v>
          </cell>
          <cell r="AR71">
            <v>0</v>
          </cell>
          <cell r="BC71">
            <v>0</v>
          </cell>
          <cell r="BF71">
            <v>0</v>
          </cell>
        </row>
        <row r="72">
          <cell r="O72">
            <v>0.90525826694812095</v>
          </cell>
          <cell r="P72">
            <v>0.877058913168278</v>
          </cell>
          <cell r="Q72">
            <v>0.86923551116701003</v>
          </cell>
          <cell r="U72">
            <v>2.02533580751331E-2</v>
          </cell>
          <cell r="V72">
            <v>-1.48057958551091E-2</v>
          </cell>
          <cell r="W72">
            <v>-2.2068218216940001E-2</v>
          </cell>
          <cell r="Y72">
            <v>0.90525826694812095</v>
          </cell>
          <cell r="Z72">
            <v>0.877058913168278</v>
          </cell>
          <cell r="AA72">
            <v>0.86923551116701003</v>
          </cell>
          <cell r="AF72">
            <v>-1.48057958551091E-2</v>
          </cell>
          <cell r="AG72">
            <v>-2.2068218216940001E-2</v>
          </cell>
          <cell r="AR72">
            <v>0</v>
          </cell>
          <cell r="BC72">
            <v>0</v>
          </cell>
          <cell r="BF72">
            <v>0</v>
          </cell>
        </row>
        <row r="73">
          <cell r="O73">
            <v>0.90525826694812095</v>
          </cell>
          <cell r="P73">
            <v>0.87994907336061201</v>
          </cell>
          <cell r="Q73">
            <v>0.87089882868676904</v>
          </cell>
          <cell r="U73">
            <v>1.4092764416431799E-2</v>
          </cell>
          <cell r="V73">
            <v>-1.7553350507709901E-2</v>
          </cell>
          <cell r="W73">
            <v>-2.6513413865317598E-2</v>
          </cell>
          <cell r="Y73">
            <v>0.90525826694812095</v>
          </cell>
          <cell r="Z73">
            <v>0.87994907336061201</v>
          </cell>
          <cell r="AA73">
            <v>0.87089882868676904</v>
          </cell>
          <cell r="AF73">
            <v>-1.7553350507709901E-2</v>
          </cell>
          <cell r="AG73">
            <v>-2.6513413865317598E-2</v>
          </cell>
          <cell r="AR73">
            <v>0</v>
          </cell>
          <cell r="BC73">
            <v>0</v>
          </cell>
          <cell r="BF73">
            <v>0</v>
          </cell>
        </row>
        <row r="74">
          <cell r="O74">
            <v>0.90525826694812095</v>
          </cell>
          <cell r="P74">
            <v>0.88294632324716205</v>
          </cell>
          <cell r="Q74">
            <v>0.87260770862066706</v>
          </cell>
          <cell r="U74">
            <v>1.0706420442866699E-2</v>
          </cell>
          <cell r="V74">
            <v>-1.76498257712479E-2</v>
          </cell>
          <cell r="W74">
            <v>-2.79880456357109E-2</v>
          </cell>
          <cell r="Y74">
            <v>0.90525826694812095</v>
          </cell>
          <cell r="Z74">
            <v>0.88294632324716205</v>
          </cell>
          <cell r="AA74">
            <v>0.87260770862066706</v>
          </cell>
          <cell r="AF74">
            <v>-1.76498257712479E-2</v>
          </cell>
          <cell r="AG74">
            <v>-2.79880456357109E-2</v>
          </cell>
          <cell r="AR74">
            <v>0</v>
          </cell>
          <cell r="BC74">
            <v>0</v>
          </cell>
          <cell r="BF74">
            <v>0</v>
          </cell>
        </row>
        <row r="75">
          <cell r="O75">
            <v>0.90525826694812095</v>
          </cell>
          <cell r="P75">
            <v>0.88604497754725897</v>
          </cell>
          <cell r="Q75">
            <v>0.874393900654859</v>
          </cell>
          <cell r="U75">
            <v>5.8590458629432397E-3</v>
          </cell>
          <cell r="V75">
            <v>-1.90968252860323E-2</v>
          </cell>
          <cell r="W75">
            <v>-3.0875140234391901E-2</v>
          </cell>
          <cell r="Y75">
            <v>0.90525826694812095</v>
          </cell>
          <cell r="Z75">
            <v>0.88604497754725897</v>
          </cell>
          <cell r="AA75">
            <v>0.874393900654859</v>
          </cell>
          <cell r="AF75">
            <v>-1.90968252860323E-2</v>
          </cell>
          <cell r="AG75">
            <v>-3.0875140234391901E-2</v>
          </cell>
          <cell r="AR75">
            <v>0</v>
          </cell>
          <cell r="BC75">
            <v>0</v>
          </cell>
          <cell r="BF75">
            <v>0</v>
          </cell>
        </row>
        <row r="76">
          <cell r="O76">
            <v>0.90525826694812095</v>
          </cell>
          <cell r="P76">
            <v>0.88962255618415997</v>
          </cell>
          <cell r="Q76">
            <v>0.87666095389486998</v>
          </cell>
          <cell r="U76">
            <v>-1.49033400827019E-4</v>
          </cell>
          <cell r="V76">
            <v>-2.1601600188847901E-2</v>
          </cell>
          <cell r="W76">
            <v>-3.48383528568059E-2</v>
          </cell>
          <cell r="Y76">
            <v>0.90525826694812095</v>
          </cell>
          <cell r="Z76">
            <v>0.88962255618415997</v>
          </cell>
          <cell r="AA76">
            <v>0.87666095389486998</v>
          </cell>
          <cell r="AF76">
            <v>-2.1601600188847901E-2</v>
          </cell>
          <cell r="AG76">
            <v>-3.48383528568059E-2</v>
          </cell>
          <cell r="AR76">
            <v>0</v>
          </cell>
          <cell r="BC76">
            <v>0</v>
          </cell>
          <cell r="BF76">
            <v>0</v>
          </cell>
        </row>
        <row r="77">
          <cell r="O77">
            <v>0.90525826694812095</v>
          </cell>
          <cell r="P77">
            <v>0.89259107169992302</v>
          </cell>
          <cell r="Q77">
            <v>0.87872405799970299</v>
          </cell>
          <cell r="U77">
            <v>-2.68003974166971E-4</v>
          </cell>
          <cell r="V77">
            <v>-1.76910062070933E-2</v>
          </cell>
          <cell r="W77">
            <v>-3.2367964792071401E-2</v>
          </cell>
          <cell r="Y77">
            <v>0.90525826694812095</v>
          </cell>
          <cell r="Z77">
            <v>0.89259107169992302</v>
          </cell>
          <cell r="AA77">
            <v>0.87872405799970299</v>
          </cell>
          <cell r="AF77">
            <v>-1.76910062070933E-2</v>
          </cell>
          <cell r="AG77">
            <v>-3.2367964792071401E-2</v>
          </cell>
          <cell r="AR77">
            <v>0</v>
          </cell>
          <cell r="BC77">
            <v>0</v>
          </cell>
          <cell r="BF77">
            <v>0</v>
          </cell>
        </row>
        <row r="78">
          <cell r="O78">
            <v>0.90525826694812095</v>
          </cell>
          <cell r="P78">
            <v>0.89612327598178998</v>
          </cell>
          <cell r="Q78">
            <v>0.88122294448764105</v>
          </cell>
          <cell r="U78">
            <v>-1.09470113010432E-2</v>
          </cell>
          <cell r="V78">
            <v>-2.50387425633713E-2</v>
          </cell>
          <cell r="W78">
            <v>-4.0696370922291197E-2</v>
          </cell>
          <cell r="Y78">
            <v>0.90525826694812095</v>
          </cell>
          <cell r="Z78">
            <v>0.89612327598178998</v>
          </cell>
          <cell r="AA78">
            <v>0.88122294448764105</v>
          </cell>
          <cell r="AF78">
            <v>-2.50387425633713E-2</v>
          </cell>
          <cell r="AG78">
            <v>-4.0696370922291197E-2</v>
          </cell>
          <cell r="AR78">
            <v>0</v>
          </cell>
          <cell r="BC78">
            <v>0</v>
          </cell>
          <cell r="BF78">
            <v>0</v>
          </cell>
        </row>
        <row r="79">
          <cell r="O79">
            <v>0.90525826694812095</v>
          </cell>
          <cell r="P79">
            <v>0.89877819615654297</v>
          </cell>
          <cell r="Q79">
            <v>0.88362166507818696</v>
          </cell>
          <cell r="U79">
            <v>-6.8278566933311002E-3</v>
          </cell>
          <cell r="V79">
            <v>-1.6970149211858802E-2</v>
          </cell>
          <cell r="W79">
            <v>-3.3737485159410302E-2</v>
          </cell>
          <cell r="Y79">
            <v>0.90525826694812095</v>
          </cell>
          <cell r="Z79">
            <v>0.89877819615654297</v>
          </cell>
          <cell r="AA79">
            <v>0.88362166507818696</v>
          </cell>
          <cell r="AF79">
            <v>-1.6970149211858802E-2</v>
          </cell>
          <cell r="AG79">
            <v>-3.3737485159410302E-2</v>
          </cell>
          <cell r="AR79">
            <v>4.1191546077121999E-3</v>
          </cell>
          <cell r="BC79">
            <v>0</v>
          </cell>
          <cell r="BF79">
            <v>4.1191546077121999E-3</v>
          </cell>
        </row>
        <row r="80">
          <cell r="O80">
            <v>0.90525826694812095</v>
          </cell>
          <cell r="P80">
            <v>0.900011976011306</v>
          </cell>
          <cell r="Q80">
            <v>0.88538244118999199</v>
          </cell>
          <cell r="U80">
            <v>6.3172610544241104E-3</v>
          </cell>
          <cell r="V80">
            <v>-8.6673859714212799E-4</v>
          </cell>
          <cell r="W80">
            <v>-1.7874029429229402E-2</v>
          </cell>
          <cell r="Y80">
            <v>0.90525826694812095</v>
          </cell>
          <cell r="Z80">
            <v>0.900011976011306</v>
          </cell>
          <cell r="AA80">
            <v>0.88538244118999199</v>
          </cell>
          <cell r="AF80">
            <v>-8.6673859714212799E-4</v>
          </cell>
          <cell r="AG80">
            <v>-1.7874029429229402E-2</v>
          </cell>
          <cell r="AR80">
            <v>1.7264272355467399E-2</v>
          </cell>
          <cell r="BC80">
            <v>0</v>
          </cell>
          <cell r="BF80">
            <v>1.7264272355467399E-2</v>
          </cell>
        </row>
        <row r="81">
          <cell r="O81">
            <v>0.90525826694812095</v>
          </cell>
          <cell r="P81">
            <v>0.90055417134509697</v>
          </cell>
          <cell r="Q81">
            <v>0.88731237539137997</v>
          </cell>
          <cell r="U81">
            <v>1.3498134247555801E-2</v>
          </cell>
          <cell r="V81">
            <v>7.6859233319195404E-3</v>
          </cell>
          <cell r="W81">
            <v>-8.7024579815892806E-3</v>
          </cell>
          <cell r="Y81">
            <v>0.90525826694812095</v>
          </cell>
          <cell r="Z81">
            <v>0.90055417134509697</v>
          </cell>
          <cell r="AA81">
            <v>0.88731237539137997</v>
          </cell>
          <cell r="AF81">
            <v>7.6859233319195404E-3</v>
          </cell>
          <cell r="AG81">
            <v>-8.7024579815892806E-3</v>
          </cell>
          <cell r="AR81">
            <v>2.4445145548599102E-2</v>
          </cell>
          <cell r="BC81">
            <v>0</v>
          </cell>
          <cell r="BF81">
            <v>2.4445145548599102E-2</v>
          </cell>
        </row>
        <row r="82">
          <cell r="O82">
            <v>0.90525826694812095</v>
          </cell>
          <cell r="P82">
            <v>0.90191701644403099</v>
          </cell>
          <cell r="Q82">
            <v>0.889487964806154</v>
          </cell>
          <cell r="U82">
            <v>5.0073869777793904E-3</v>
          </cell>
          <cell r="V82">
            <v>-2.0257408330405101E-4</v>
          </cell>
          <cell r="W82">
            <v>-1.50158028628289E-2</v>
          </cell>
          <cell r="Y82">
            <v>0.90525826694812095</v>
          </cell>
          <cell r="Z82">
            <v>0.90191701644403099</v>
          </cell>
          <cell r="AA82">
            <v>0.889487964806154</v>
          </cell>
          <cell r="AF82">
            <v>-2.0257408330405101E-4</v>
          </cell>
          <cell r="AG82">
            <v>-1.50158028628289E-2</v>
          </cell>
          <cell r="AR82">
            <v>2.4445145548599102E-2</v>
          </cell>
          <cell r="BC82">
            <v>0</v>
          </cell>
          <cell r="BF82">
            <v>2.4445145548599102E-2</v>
          </cell>
        </row>
        <row r="83">
          <cell r="O83">
            <v>0.90525826694812095</v>
          </cell>
          <cell r="P83">
            <v>0.90372210000834896</v>
          </cell>
          <cell r="Q83">
            <v>0.89183558668448104</v>
          </cell>
          <cell r="U83">
            <v>-5.92845001769362E-3</v>
          </cell>
          <cell r="V83">
            <v>-9.6262145256533291E-3</v>
          </cell>
          <cell r="W83">
            <v>-2.3502754124983202E-2</v>
          </cell>
          <cell r="Y83">
            <v>0.90525826694812095</v>
          </cell>
          <cell r="Z83">
            <v>0.90372210000834896</v>
          </cell>
          <cell r="AA83">
            <v>0.89183558668448104</v>
          </cell>
          <cell r="AF83">
            <v>-9.6262145256533291E-3</v>
          </cell>
          <cell r="AG83">
            <v>-2.3502754124983202E-2</v>
          </cell>
          <cell r="AR83">
            <v>2.4445145548599102E-2</v>
          </cell>
          <cell r="BC83">
            <v>0</v>
          </cell>
          <cell r="BF83">
            <v>2.4445145548599102E-2</v>
          </cell>
        </row>
        <row r="84">
          <cell r="O84">
            <v>0.90525826694812095</v>
          </cell>
          <cell r="P84">
            <v>0.905516083595719</v>
          </cell>
          <cell r="Q84">
            <v>0.89423120342144002</v>
          </cell>
          <cell r="U84">
            <v>-9.1262853896866298E-3</v>
          </cell>
          <cell r="V84">
            <v>-1.08246645839412E-2</v>
          </cell>
          <cell r="W84">
            <v>-2.40647704897607E-2</v>
          </cell>
          <cell r="Y84">
            <v>0.90525826694812095</v>
          </cell>
          <cell r="Z84">
            <v>0.905516083595719</v>
          </cell>
          <cell r="AA84">
            <v>0.89423120342144002</v>
          </cell>
          <cell r="AF84">
            <v>-1.08246645839412E-2</v>
          </cell>
          <cell r="AG84">
            <v>-2.40647704897607E-2</v>
          </cell>
          <cell r="AR84">
            <v>2.4445145548599102E-2</v>
          </cell>
          <cell r="BC84">
            <v>0</v>
          </cell>
          <cell r="BF84">
            <v>2.4445145548599102E-2</v>
          </cell>
        </row>
        <row r="85">
          <cell r="O85">
            <v>0.90525826694812095</v>
          </cell>
          <cell r="P85">
            <v>0.906692960092078</v>
          </cell>
          <cell r="Q85">
            <v>0.89636896881966899</v>
          </cell>
          <cell r="U85">
            <v>-7.1330343279609196E-3</v>
          </cell>
          <cell r="V85">
            <v>-6.8482758772320899E-3</v>
          </cell>
          <cell r="W85">
            <v>-1.9388956618144298E-2</v>
          </cell>
          <cell r="Y85">
            <v>0.90525826694812095</v>
          </cell>
          <cell r="Z85">
            <v>0.906692960092078</v>
          </cell>
          <cell r="AA85">
            <v>0.89636896881966899</v>
          </cell>
          <cell r="AF85">
            <v>-6.8482758772320899E-3</v>
          </cell>
          <cell r="AG85">
            <v>-1.9388956618144298E-2</v>
          </cell>
          <cell r="AR85">
            <v>2.4445145548599102E-2</v>
          </cell>
          <cell r="BC85">
            <v>0</v>
          </cell>
          <cell r="BF85">
            <v>2.4445145548599102E-2</v>
          </cell>
        </row>
        <row r="86">
          <cell r="O86">
            <v>0.90525826694812095</v>
          </cell>
          <cell r="P86">
            <v>0.90850857415443098</v>
          </cell>
          <cell r="Q86">
            <v>0.89906556516929503</v>
          </cell>
          <cell r="U86">
            <v>-2.0003935187738599E-2</v>
          </cell>
          <cell r="V86">
            <v>-1.8420345715386099E-2</v>
          </cell>
          <cell r="W86">
            <v>-2.9872092250306102E-2</v>
          </cell>
          <cell r="Y86">
            <v>0.90525826694812095</v>
          </cell>
          <cell r="Z86">
            <v>0.90850857415443098</v>
          </cell>
          <cell r="AA86">
            <v>0.89906556516929503</v>
          </cell>
          <cell r="AF86">
            <v>-1.8420345715386099E-2</v>
          </cell>
          <cell r="AG86">
            <v>-2.9872092250306102E-2</v>
          </cell>
          <cell r="AR86">
            <v>2.4445145548599102E-2</v>
          </cell>
          <cell r="BC86">
            <v>0</v>
          </cell>
          <cell r="BF86">
            <v>2.4445145548599102E-2</v>
          </cell>
        </row>
        <row r="87">
          <cell r="O87">
            <v>0.90525826694812095</v>
          </cell>
          <cell r="P87">
            <v>0.91015689678026701</v>
          </cell>
          <cell r="Q87">
            <v>0.90137398424009496</v>
          </cell>
          <cell r="U87">
            <v>-1.8307739251700601E-2</v>
          </cell>
          <cell r="V87">
            <v>-1.47236945862706E-2</v>
          </cell>
          <cell r="W87">
            <v>-2.5172057047277499E-2</v>
          </cell>
          <cell r="Y87">
            <v>0.90525826694812095</v>
          </cell>
          <cell r="Z87">
            <v>0.91015689678026701</v>
          </cell>
          <cell r="AA87">
            <v>0.90137398424009496</v>
          </cell>
          <cell r="AF87">
            <v>-1.47236945862706E-2</v>
          </cell>
          <cell r="AG87">
            <v>-2.5172057047277499E-2</v>
          </cell>
          <cell r="AR87">
            <v>2.4445145548599102E-2</v>
          </cell>
          <cell r="BC87">
            <v>0</v>
          </cell>
          <cell r="BF87">
            <v>2.4445145548599102E-2</v>
          </cell>
        </row>
        <row r="88">
          <cell r="O88">
            <v>0.90525826694812095</v>
          </cell>
          <cell r="P88">
            <v>0.90979553494651699</v>
          </cell>
          <cell r="Q88">
            <v>0.90295940546415399</v>
          </cell>
          <cell r="U88">
            <v>-6.9908467947432896E-3</v>
          </cell>
          <cell r="V88">
            <v>-1.5941289318337701E-3</v>
          </cell>
          <cell r="W88">
            <v>-1.12908792895606E-2</v>
          </cell>
          <cell r="Y88">
            <v>0.90525826694812095</v>
          </cell>
          <cell r="Z88">
            <v>0.90979553494651699</v>
          </cell>
          <cell r="AA88">
            <v>0.90295940546415399</v>
          </cell>
          <cell r="AF88">
            <v>-1.5941289318337701E-3</v>
          </cell>
          <cell r="AG88">
            <v>-1.12908792895606E-2</v>
          </cell>
          <cell r="AR88">
            <v>2.4445145548599102E-2</v>
          </cell>
          <cell r="BC88">
            <v>0</v>
          </cell>
          <cell r="BF88">
            <v>2.4445145548599102E-2</v>
          </cell>
        </row>
        <row r="89">
          <cell r="O89">
            <v>0.90525826694812095</v>
          </cell>
          <cell r="P89">
            <v>0.91048767152125298</v>
          </cell>
          <cell r="Q89">
            <v>0.90463293383889798</v>
          </cell>
          <cell r="U89">
            <v>-1.43928794697409E-2</v>
          </cell>
          <cell r="V89">
            <v>-9.3932729073246193E-3</v>
          </cell>
          <cell r="W89">
            <v>-1.6935563083111699E-2</v>
          </cell>
          <cell r="Y89">
            <v>0.90525826694812095</v>
          </cell>
          <cell r="Z89">
            <v>0.91048767152125298</v>
          </cell>
          <cell r="AA89">
            <v>0.90463293383889798</v>
          </cell>
          <cell r="AF89">
            <v>-9.3932729073246193E-3</v>
          </cell>
          <cell r="AG89">
            <v>-1.6935563083111699E-2</v>
          </cell>
          <cell r="AR89">
            <v>2.4445145548599102E-2</v>
          </cell>
          <cell r="BC89">
            <v>0</v>
          </cell>
          <cell r="BF89">
            <v>2.4445145548599102E-2</v>
          </cell>
        </row>
        <row r="90">
          <cell r="O90">
            <v>0.90525826694812095</v>
          </cell>
          <cell r="P90">
            <v>0.91297522064424697</v>
          </cell>
          <cell r="Q90">
            <v>0.90649359832777698</v>
          </cell>
          <cell r="U90">
            <v>-2.09603291186756E-2</v>
          </cell>
          <cell r="V90">
            <v>-1.52002512124235E-2</v>
          </cell>
          <cell r="W90">
            <v>-2.16513464945652E-2</v>
          </cell>
          <cell r="Y90">
            <v>0.90525826694812095</v>
          </cell>
          <cell r="Z90">
            <v>0.91297522064424697</v>
          </cell>
          <cell r="AA90">
            <v>0.90649359832777698</v>
          </cell>
          <cell r="AF90">
            <v>-1.52002512124235E-2</v>
          </cell>
          <cell r="AG90">
            <v>-2.16513464945652E-2</v>
          </cell>
          <cell r="AR90">
            <v>2.4445145548599102E-2</v>
          </cell>
          <cell r="BC90">
            <v>0</v>
          </cell>
          <cell r="BF90">
            <v>2.4445145548599102E-2</v>
          </cell>
        </row>
        <row r="91">
          <cell r="O91">
            <v>0.90525826694812095</v>
          </cell>
          <cell r="P91">
            <v>0.91559897126705603</v>
          </cell>
          <cell r="Q91">
            <v>0.908076571306076</v>
          </cell>
          <cell r="U91">
            <v>-1.5455944543839599E-2</v>
          </cell>
          <cell r="V91">
            <v>-6.967485734631E-3</v>
          </cell>
          <cell r="W91">
            <v>-1.40922571705614E-2</v>
          </cell>
          <cell r="Y91">
            <v>0.90525826694812095</v>
          </cell>
          <cell r="Z91">
            <v>0.91559897126705603</v>
          </cell>
          <cell r="AA91">
            <v>0.908076571306076</v>
          </cell>
          <cell r="AF91">
            <v>-6.967485734631E-3</v>
          </cell>
          <cell r="AG91">
            <v>-1.40922571705614E-2</v>
          </cell>
          <cell r="AR91">
            <v>2.4445145548599102E-2</v>
          </cell>
          <cell r="BC91">
            <v>0</v>
          </cell>
          <cell r="BF91">
            <v>2.4445145548599102E-2</v>
          </cell>
        </row>
        <row r="92">
          <cell r="O92">
            <v>0.90525826694812095</v>
          </cell>
          <cell r="P92">
            <v>0.91780948645148597</v>
          </cell>
          <cell r="Q92">
            <v>0.90986325144775804</v>
          </cell>
          <cell r="U92">
            <v>-1.9237509511774501E-2</v>
          </cell>
          <cell r="V92">
            <v>-7.8793258261748399E-3</v>
          </cell>
          <cell r="W92">
            <v>-1.61290856644246E-2</v>
          </cell>
          <cell r="Y92">
            <v>0.90525826694812095</v>
          </cell>
          <cell r="Z92">
            <v>0.91780948645148597</v>
          </cell>
          <cell r="AA92">
            <v>0.90986325144775804</v>
          </cell>
          <cell r="AF92">
            <v>-7.8793258261748399E-3</v>
          </cell>
          <cell r="AG92">
            <v>-1.61290856644246E-2</v>
          </cell>
          <cell r="AR92">
            <v>2.4445145548599102E-2</v>
          </cell>
          <cell r="BC92">
            <v>0</v>
          </cell>
          <cell r="BF92">
            <v>2.4445145548599102E-2</v>
          </cell>
        </row>
        <row r="93">
          <cell r="O93">
            <v>0.90525826694812095</v>
          </cell>
          <cell r="P93">
            <v>0.91839217010519802</v>
          </cell>
          <cell r="Q93">
            <v>0.91105713505677399</v>
          </cell>
          <cell r="U93">
            <v>-1.2306675845381299E-2</v>
          </cell>
          <cell r="V93">
            <v>1.4628813083091901E-3</v>
          </cell>
          <cell r="W93">
            <v>-7.2326415915984097E-3</v>
          </cell>
          <cell r="Y93">
            <v>0.90525826694812095</v>
          </cell>
          <cell r="Z93">
            <v>0.91839217010519802</v>
          </cell>
          <cell r="AA93">
            <v>0.91105713505677399</v>
          </cell>
          <cell r="AF93">
            <v>1.4628813083091901E-3</v>
          </cell>
          <cell r="AG93">
            <v>-7.2326415915984097E-3</v>
          </cell>
          <cell r="AR93">
            <v>2.4445145548599102E-2</v>
          </cell>
          <cell r="BC93">
            <v>0</v>
          </cell>
          <cell r="BF93">
            <v>2.4445145548599102E-2</v>
          </cell>
        </row>
        <row r="94">
          <cell r="O94">
            <v>0.90525826694812095</v>
          </cell>
          <cell r="P94">
            <v>0.91844093427361295</v>
          </cell>
          <cell r="Q94">
            <v>0.91197850893466603</v>
          </cell>
          <cell r="U94">
            <v>-9.6599260880010796E-3</v>
          </cell>
          <cell r="V94">
            <v>4.7442930279961298E-3</v>
          </cell>
          <cell r="W94">
            <v>-3.27459476825398E-3</v>
          </cell>
          <cell r="Y94">
            <v>0.90525826694812095</v>
          </cell>
          <cell r="Z94">
            <v>0.91844093427361295</v>
          </cell>
          <cell r="AA94">
            <v>0.91197850893466603</v>
          </cell>
          <cell r="AF94">
            <v>4.7442930279961298E-3</v>
          </cell>
          <cell r="AG94">
            <v>-3.27459476825398E-3</v>
          </cell>
          <cell r="AR94">
            <v>2.4445145548599102E-2</v>
          </cell>
          <cell r="BC94">
            <v>0</v>
          </cell>
          <cell r="BF94">
            <v>2.4445145548599102E-2</v>
          </cell>
        </row>
        <row r="95">
          <cell r="O95">
            <v>0.90525826694812095</v>
          </cell>
          <cell r="P95">
            <v>0.91805915086100998</v>
          </cell>
          <cell r="Q95">
            <v>0.91237605547654399</v>
          </cell>
          <cell r="U95">
            <v>-2.93682063884055E-3</v>
          </cell>
          <cell r="V95">
            <v>1.1520494393502299E-2</v>
          </cell>
          <cell r="W95">
            <v>4.4593235625737899E-3</v>
          </cell>
          <cell r="Y95">
            <v>0.90525826694812095</v>
          </cell>
          <cell r="Z95">
            <v>0.91805915086100998</v>
          </cell>
          <cell r="AA95">
            <v>0.91237605547654399</v>
          </cell>
          <cell r="AF95">
            <v>1.1520494393502299E-2</v>
          </cell>
          <cell r="AG95">
            <v>4.4593235625737899E-3</v>
          </cell>
          <cell r="AR95">
            <v>2.4445145548599102E-2</v>
          </cell>
          <cell r="BC95">
            <v>0</v>
          </cell>
          <cell r="BF95">
            <v>2.4445145548599102E-2</v>
          </cell>
        </row>
        <row r="96">
          <cell r="O96">
            <v>0.90525826694812095</v>
          </cell>
          <cell r="P96">
            <v>0.91702343237478301</v>
          </cell>
          <cell r="Q96">
            <v>0.912766003264607</v>
          </cell>
          <cell r="U96">
            <v>-8.7260337895050302E-3</v>
          </cell>
          <cell r="V96">
            <v>5.3155084136474002E-3</v>
          </cell>
          <cell r="W96">
            <v>-8.9406800392522205E-4</v>
          </cell>
          <cell r="Y96">
            <v>0.90525826694812095</v>
          </cell>
          <cell r="Z96">
            <v>0.91702343237478301</v>
          </cell>
          <cell r="AA96">
            <v>0.912766003264607</v>
          </cell>
          <cell r="AF96">
            <v>5.3155084136474002E-3</v>
          </cell>
          <cell r="AG96">
            <v>-8.9406800392522205E-4</v>
          </cell>
          <cell r="AR96">
            <v>2.4445145548599102E-2</v>
          </cell>
          <cell r="BC96">
            <v>0</v>
          </cell>
          <cell r="BF96">
            <v>2.4445145548599102E-2</v>
          </cell>
        </row>
        <row r="97">
          <cell r="O97">
            <v>0.90525826694812095</v>
          </cell>
          <cell r="P97">
            <v>0.91697073452755695</v>
          </cell>
          <cell r="Q97">
            <v>0.91356381565391198</v>
          </cell>
          <cell r="U97">
            <v>-1.77360058452577E-2</v>
          </cell>
          <cell r="V97">
            <v>-4.8232614473516797E-3</v>
          </cell>
          <cell r="W97">
            <v>-9.4767332731965203E-3</v>
          </cell>
          <cell r="Y97">
            <v>0.90525826694812095</v>
          </cell>
          <cell r="Z97">
            <v>0.91697073452755695</v>
          </cell>
          <cell r="AA97">
            <v>0.91356381565391198</v>
          </cell>
          <cell r="AF97">
            <v>-4.8232614473516797E-3</v>
          </cell>
          <cell r="AG97">
            <v>-9.4767332731965203E-3</v>
          </cell>
          <cell r="AR97">
            <v>2.4445145548599102E-2</v>
          </cell>
          <cell r="BC97">
            <v>0</v>
          </cell>
          <cell r="BF97">
            <v>2.4445145548599102E-2</v>
          </cell>
        </row>
        <row r="98">
          <cell r="O98">
            <v>0.90525826694812095</v>
          </cell>
          <cell r="P98">
            <v>0.91820788023703603</v>
          </cell>
          <cell r="Q98">
            <v>0.91400170759177701</v>
          </cell>
          <cell r="U98">
            <v>-2.0470598376800101E-2</v>
          </cell>
          <cell r="V98">
            <v>-7.6153218249664697E-3</v>
          </cell>
          <cell r="W98">
            <v>-1.13376474233322E-2</v>
          </cell>
          <cell r="Y98">
            <v>0.90525826694812095</v>
          </cell>
          <cell r="Z98">
            <v>0.91820788023703603</v>
          </cell>
          <cell r="AA98">
            <v>0.91400170759177701</v>
          </cell>
          <cell r="AF98">
            <v>-7.6153218249664697E-3</v>
          </cell>
          <cell r="AG98">
            <v>-1.13376474233322E-2</v>
          </cell>
          <cell r="AR98">
            <v>2.4445145548599102E-2</v>
          </cell>
          <cell r="BC98">
            <v>0</v>
          </cell>
          <cell r="BF98">
            <v>2.4445145548599102E-2</v>
          </cell>
        </row>
        <row r="99">
          <cell r="O99">
            <v>0.90525826694812095</v>
          </cell>
          <cell r="P99">
            <v>0.91960436594412298</v>
          </cell>
          <cell r="Q99">
            <v>0.91504601873268798</v>
          </cell>
          <cell r="U99">
            <v>-2.9484367069179299E-2</v>
          </cell>
          <cell r="V99">
            <v>-1.52808338550974E-2</v>
          </cell>
          <cell r="W99">
            <v>-1.98722081850797E-2</v>
          </cell>
          <cell r="Y99">
            <v>0.90525826694812095</v>
          </cell>
          <cell r="Z99">
            <v>0.91960436594412298</v>
          </cell>
          <cell r="AA99">
            <v>0.91504601873268798</v>
          </cell>
          <cell r="AF99">
            <v>-1.52808338550974E-2</v>
          </cell>
          <cell r="AG99">
            <v>-1.98722081850797E-2</v>
          </cell>
          <cell r="AR99">
            <v>2.4445145548599102E-2</v>
          </cell>
          <cell r="BC99">
            <v>0</v>
          </cell>
          <cell r="BF99">
            <v>2.4445145548599102E-2</v>
          </cell>
        </row>
        <row r="100">
          <cell r="O100">
            <v>0.90525826694812095</v>
          </cell>
          <cell r="P100">
            <v>0.92183838042805599</v>
          </cell>
          <cell r="Q100">
            <v>0.91740680053615198</v>
          </cell>
          <cell r="U100">
            <v>-4.4839264841966202E-2</v>
          </cell>
          <cell r="V100">
            <v>-2.9116005139216101E-2</v>
          </cell>
          <cell r="W100">
            <v>-3.40851879648464E-2</v>
          </cell>
          <cell r="Y100">
            <v>0.90525826694812095</v>
          </cell>
          <cell r="Z100">
            <v>0.92183838042805599</v>
          </cell>
          <cell r="AA100">
            <v>0.91740680053615198</v>
          </cell>
          <cell r="AF100">
            <v>-2.9116005139216101E-2</v>
          </cell>
          <cell r="AG100">
            <v>-3.40851879648464E-2</v>
          </cell>
          <cell r="AR100">
            <v>2.4445145548599102E-2</v>
          </cell>
          <cell r="BC100">
            <v>0</v>
          </cell>
          <cell r="BF100">
            <v>2.4445145548599102E-2</v>
          </cell>
        </row>
        <row r="101">
          <cell r="O101">
            <v>0.90525826694812095</v>
          </cell>
          <cell r="P101">
            <v>0.92460949190070096</v>
          </cell>
          <cell r="Q101">
            <v>0.920104231583878</v>
          </cell>
          <cell r="U101">
            <v>-4.5152399232534203E-2</v>
          </cell>
          <cell r="V101">
            <v>-2.7002764249466699E-2</v>
          </cell>
          <cell r="W101">
            <v>-3.1821685091138197E-2</v>
          </cell>
          <cell r="Y101">
            <v>0.90525826694812095</v>
          </cell>
          <cell r="Z101">
            <v>0.92460949190070096</v>
          </cell>
          <cell r="AA101">
            <v>0.920104231583878</v>
          </cell>
          <cell r="AF101">
            <v>-2.7002764249466699E-2</v>
          </cell>
          <cell r="AG101">
            <v>-3.1821685091138197E-2</v>
          </cell>
          <cell r="AR101">
            <v>2.4445145548599102E-2</v>
          </cell>
          <cell r="BC101">
            <v>0</v>
          </cell>
          <cell r="BF101">
            <v>2.4445145548599102E-2</v>
          </cell>
        </row>
        <row r="102">
          <cell r="O102">
            <v>0.90525826694812095</v>
          </cell>
          <cell r="P102">
            <v>0.92726388076730804</v>
          </cell>
          <cell r="Q102">
            <v>0.922536683609397</v>
          </cell>
          <cell r="U102">
            <v>-4.7594820127333397E-2</v>
          </cell>
          <cell r="V102">
            <v>-2.6443623502942999E-2</v>
          </cell>
          <cell r="W102">
            <v>-3.1328142132438903E-2</v>
          </cell>
          <cell r="Y102">
            <v>0.90525826694812095</v>
          </cell>
          <cell r="Z102">
            <v>0.92726388076730804</v>
          </cell>
          <cell r="AA102">
            <v>0.922536683609397</v>
          </cell>
          <cell r="AF102">
            <v>-2.6443623502942999E-2</v>
          </cell>
          <cell r="AG102">
            <v>-3.1328142132438903E-2</v>
          </cell>
          <cell r="AR102">
            <v>2.4445145548599102E-2</v>
          </cell>
          <cell r="BC102">
            <v>0</v>
          </cell>
          <cell r="BF102">
            <v>2.4445145548599102E-2</v>
          </cell>
        </row>
        <row r="103">
          <cell r="O103">
            <v>0.90525826694812095</v>
          </cell>
          <cell r="P103">
            <v>0.93063321066416804</v>
          </cell>
          <cell r="Q103">
            <v>0.92451269038468298</v>
          </cell>
          <cell r="U103">
            <v>-4.8411290083566497E-2</v>
          </cell>
          <cell r="V103">
            <v>-2.4393384834708699E-2</v>
          </cell>
          <cell r="W103">
            <v>-2.9504430359910301E-2</v>
          </cell>
          <cell r="Y103">
            <v>0.90525826694812095</v>
          </cell>
          <cell r="Z103">
            <v>0.93063321066416804</v>
          </cell>
          <cell r="AA103">
            <v>0.92451269038468298</v>
          </cell>
          <cell r="AF103">
            <v>-2.4393384834708699E-2</v>
          </cell>
          <cell r="AG103">
            <v>-2.9504430359910301E-2</v>
          </cell>
          <cell r="AR103">
            <v>2.4445145548599102E-2</v>
          </cell>
          <cell r="BC103">
            <v>0</v>
          </cell>
          <cell r="BF103">
            <v>2.4445145548599102E-2</v>
          </cell>
        </row>
        <row r="104">
          <cell r="O104">
            <v>0.90525826694812095</v>
          </cell>
          <cell r="P104">
            <v>0.93332551334298297</v>
          </cell>
          <cell r="Q104">
            <v>0.92588322380829802</v>
          </cell>
          <cell r="U104">
            <v>-3.86892712922947E-2</v>
          </cell>
          <cell r="V104">
            <v>-1.10443259816975E-2</v>
          </cell>
          <cell r="W104">
            <v>-1.7642774635308799E-2</v>
          </cell>
          <cell r="Y104">
            <v>0.90525826694812095</v>
          </cell>
          <cell r="Z104">
            <v>0.93332551334298297</v>
          </cell>
          <cell r="AA104">
            <v>0.92588322380829802</v>
          </cell>
          <cell r="AF104">
            <v>-1.10443259816975E-2</v>
          </cell>
          <cell r="AG104">
            <v>-1.7642774635308799E-2</v>
          </cell>
          <cell r="AR104">
            <v>2.4445145548599102E-2</v>
          </cell>
          <cell r="BC104">
            <v>0</v>
          </cell>
          <cell r="BF104">
            <v>2.4445145548599102E-2</v>
          </cell>
        </row>
        <row r="105">
          <cell r="O105">
            <v>0.90525826694812095</v>
          </cell>
          <cell r="P105">
            <v>0.93823265162954606</v>
          </cell>
          <cell r="Q105">
            <v>0.92814590124527796</v>
          </cell>
          <cell r="U105">
            <v>-5.5574896051574597E-2</v>
          </cell>
          <cell r="V105">
            <v>-2.50411479832214E-2</v>
          </cell>
          <cell r="W105">
            <v>-3.3047058386727703E-2</v>
          </cell>
          <cell r="Y105">
            <v>0.90525826694812095</v>
          </cell>
          <cell r="Z105">
            <v>0.93823265162954606</v>
          </cell>
          <cell r="AA105">
            <v>0.92814590124527796</v>
          </cell>
          <cell r="AF105">
            <v>-2.50411479832214E-2</v>
          </cell>
          <cell r="AG105">
            <v>-3.3047058386727703E-2</v>
          </cell>
          <cell r="AR105">
            <v>2.4445145548599102E-2</v>
          </cell>
          <cell r="BC105">
            <v>0</v>
          </cell>
          <cell r="BF105">
            <v>2.4445145548599102E-2</v>
          </cell>
        </row>
        <row r="106">
          <cell r="O106">
            <v>0.90525826694812095</v>
          </cell>
          <cell r="P106">
            <v>0.94343013238821305</v>
          </cell>
          <cell r="Q106">
            <v>0.93022678238149803</v>
          </cell>
          <cell r="U106">
            <v>-6.4080814940871006E-2</v>
          </cell>
          <cell r="V106">
            <v>-2.8303148063704001E-2</v>
          </cell>
          <cell r="W106">
            <v>-3.9112154173785801E-2</v>
          </cell>
          <cell r="Y106">
            <v>0.90525826694812095</v>
          </cell>
          <cell r="Z106">
            <v>0.94343013238821305</v>
          </cell>
          <cell r="AA106">
            <v>0.93022678238149803</v>
          </cell>
          <cell r="AF106">
            <v>-2.8303148063704001E-2</v>
          </cell>
          <cell r="AG106">
            <v>-3.9112154173785801E-2</v>
          </cell>
          <cell r="AR106">
            <v>2.4445145548599102E-2</v>
          </cell>
          <cell r="BC106">
            <v>0</v>
          </cell>
          <cell r="BF106">
            <v>2.4445145548599102E-2</v>
          </cell>
        </row>
        <row r="107">
          <cell r="O107">
            <v>0.90525826694812095</v>
          </cell>
          <cell r="P107">
            <v>0.94733082053809803</v>
          </cell>
          <cell r="Q107">
            <v>0.93215077753282805</v>
          </cell>
          <cell r="U107">
            <v>-5.9196263467148201E-2</v>
          </cell>
          <cell r="V107">
            <v>-1.78942337539616E-2</v>
          </cell>
          <cell r="W107">
            <v>-3.1988135854445002E-2</v>
          </cell>
          <cell r="Y107">
            <v>0.90525826694812095</v>
          </cell>
          <cell r="Z107">
            <v>0.94733082053809803</v>
          </cell>
          <cell r="AA107">
            <v>0.93215077753282805</v>
          </cell>
          <cell r="AF107">
            <v>-1.78942337539616E-2</v>
          </cell>
          <cell r="AG107">
            <v>-3.1988135854445002E-2</v>
          </cell>
          <cell r="AR107">
            <v>2.9329697022322004E-2</v>
          </cell>
          <cell r="BC107">
            <v>0</v>
          </cell>
          <cell r="BF107">
            <v>2.9329697022322004E-2</v>
          </cell>
        </row>
        <row r="108">
          <cell r="O108">
            <v>0.90525826694812095</v>
          </cell>
          <cell r="P108">
            <v>0.94968079955171902</v>
          </cell>
          <cell r="Q108">
            <v>0.93394433989437797</v>
          </cell>
          <cell r="U108">
            <v>-4.5585767817505403E-2</v>
          </cell>
          <cell r="V108">
            <v>-1.5768115594137099E-4</v>
          </cell>
          <cell r="W108">
            <v>-1.6311468578583298E-2</v>
          </cell>
          <cell r="Y108">
            <v>0.90525826694812095</v>
          </cell>
          <cell r="Z108">
            <v>0.94968079955171902</v>
          </cell>
          <cell r="AA108">
            <v>0.93394433989437797</v>
          </cell>
          <cell r="AF108">
            <v>-1.5768115594137099E-4</v>
          </cell>
          <cell r="AG108">
            <v>-1.6311468578583298E-2</v>
          </cell>
          <cell r="AR108">
            <v>4.2940192671964209E-2</v>
          </cell>
          <cell r="BC108">
            <v>0</v>
          </cell>
          <cell r="BF108">
            <v>4.2940192671964209E-2</v>
          </cell>
        </row>
        <row r="109">
          <cell r="O109">
            <v>0.90525826694812095</v>
          </cell>
          <cell r="P109">
            <v>0.951980777813762</v>
          </cell>
          <cell r="Q109">
            <v>0.93579257187894305</v>
          </cell>
          <cell r="U109">
            <v>-5.3853711803440597E-2</v>
          </cell>
          <cell r="V109">
            <v>-5.9480649721777301E-3</v>
          </cell>
          <cell r="W109">
            <v>-2.2657149441827201E-2</v>
          </cell>
          <cell r="Y109">
            <v>0.90525826694812095</v>
          </cell>
          <cell r="Z109">
            <v>0.951980777813762</v>
          </cell>
          <cell r="AA109">
            <v>0.93579257187894305</v>
          </cell>
          <cell r="AF109">
            <v>-5.9480649721777301E-3</v>
          </cell>
          <cell r="AG109">
            <v>-2.2657149441827201E-2</v>
          </cell>
          <cell r="AR109">
            <v>3.4672248686029104E-2</v>
          </cell>
          <cell r="BC109">
            <v>0</v>
          </cell>
          <cell r="BF109">
            <v>3.4672248686029104E-2</v>
          </cell>
        </row>
        <row r="110">
          <cell r="O110">
            <v>0.90525826694812095</v>
          </cell>
          <cell r="P110">
            <v>0.95241860212219098</v>
          </cell>
          <cell r="Q110">
            <v>0.93712849127512399</v>
          </cell>
          <cell r="U110">
            <v>-4.9452989605923703E-2</v>
          </cell>
          <cell r="V110">
            <v>8.7157277885178497E-4</v>
          </cell>
          <cell r="W110">
            <v>-1.6279429758819599E-2</v>
          </cell>
          <cell r="Y110">
            <v>0.90525826694812095</v>
          </cell>
          <cell r="Z110">
            <v>0.95241860212219098</v>
          </cell>
          <cell r="AA110">
            <v>0.93712849127512399</v>
          </cell>
          <cell r="AF110">
            <v>8.7157277885178497E-4</v>
          </cell>
          <cell r="AG110">
            <v>-1.6279429758819599E-2</v>
          </cell>
          <cell r="AR110">
            <v>3.9072970883546103E-2</v>
          </cell>
          <cell r="BC110">
            <v>0</v>
          </cell>
          <cell r="BF110">
            <v>3.9072970883546103E-2</v>
          </cell>
        </row>
        <row r="111">
          <cell r="O111">
            <v>0.90525826694812095</v>
          </cell>
          <cell r="P111">
            <v>0.95256195985997605</v>
          </cell>
          <cell r="Q111">
            <v>0.93858572588033895</v>
          </cell>
          <cell r="U111">
            <v>-4.6664952623411499E-2</v>
          </cell>
          <cell r="V111">
            <v>4.1194128055736098E-3</v>
          </cell>
          <cell r="W111">
            <v>-1.20648301207621E-2</v>
          </cell>
          <cell r="Y111">
            <v>0.90525826694812095</v>
          </cell>
          <cell r="Z111">
            <v>0.95256195985997605</v>
          </cell>
          <cell r="AA111">
            <v>0.93858572588033895</v>
          </cell>
          <cell r="AF111">
            <v>4.1194128055736098E-3</v>
          </cell>
          <cell r="AG111">
            <v>-1.20648301207621E-2</v>
          </cell>
          <cell r="AR111">
            <v>4.1861007866058404E-2</v>
          </cell>
          <cell r="BC111">
            <v>0</v>
          </cell>
          <cell r="BF111">
            <v>4.1861007866058404E-2</v>
          </cell>
        </row>
        <row r="112">
          <cell r="O112">
            <v>0.90525826694812095</v>
          </cell>
          <cell r="P112">
            <v>0.95392825897521505</v>
          </cell>
          <cell r="Q112">
            <v>0.94059606987126099</v>
          </cell>
          <cell r="U112">
            <v>-6.1883649340952897E-2</v>
          </cell>
          <cell r="V112">
            <v>-1.0948775564621101E-2</v>
          </cell>
          <cell r="W112">
            <v>-2.5729734810641201E-2</v>
          </cell>
          <cell r="Y112">
            <v>0.90525826694812095</v>
          </cell>
          <cell r="Z112">
            <v>0.95392825897521505</v>
          </cell>
          <cell r="AA112">
            <v>0.94059606987126099</v>
          </cell>
          <cell r="AF112">
            <v>-1.0948775564621101E-2</v>
          </cell>
          <cell r="AG112">
            <v>-2.5729734810641201E-2</v>
          </cell>
          <cell r="AR112">
            <v>4.1861007866058404E-2</v>
          </cell>
          <cell r="BC112">
            <v>0</v>
          </cell>
          <cell r="BF112">
            <v>4.1861007866058404E-2</v>
          </cell>
        </row>
        <row r="113">
          <cell r="O113">
            <v>0.90525826694812095</v>
          </cell>
          <cell r="P113">
            <v>0.95508770662222597</v>
          </cell>
          <cell r="Q113">
            <v>0.94286045864319701</v>
          </cell>
          <cell r="U113">
            <v>-6.0540080525194599E-2</v>
          </cell>
          <cell r="V113">
            <v>-8.1718929708544403E-3</v>
          </cell>
          <cell r="W113">
            <v>-2.2246570174625401E-2</v>
          </cell>
          <cell r="Y113">
            <v>0.90525826694812095</v>
          </cell>
          <cell r="Z113">
            <v>0.95508770662222597</v>
          </cell>
          <cell r="AA113">
            <v>0.94286045864319701</v>
          </cell>
          <cell r="AF113">
            <v>-8.1718929708544403E-3</v>
          </cell>
          <cell r="AG113">
            <v>-2.2246570174625401E-2</v>
          </cell>
          <cell r="AR113">
            <v>4.1861007866058404E-2</v>
          </cell>
          <cell r="BC113">
            <v>0</v>
          </cell>
          <cell r="BF113">
            <v>4.1861007866058404E-2</v>
          </cell>
        </row>
        <row r="114">
          <cell r="O114">
            <v>0.90525826694812095</v>
          </cell>
          <cell r="P114">
            <v>0.95810877782777604</v>
          </cell>
          <cell r="Q114">
            <v>0.94571714558538</v>
          </cell>
          <cell r="U114">
            <v>-7.0290626459119807E-2</v>
          </cell>
          <cell r="V114">
            <v>-1.6707731631010098E-2</v>
          </cell>
          <cell r="W114">
            <v>-2.9592611593957801E-2</v>
          </cell>
          <cell r="Y114">
            <v>0.90525826694812095</v>
          </cell>
          <cell r="Z114">
            <v>0.95810877782777604</v>
          </cell>
          <cell r="AA114">
            <v>0.94571714558538</v>
          </cell>
          <cell r="AF114">
            <v>-1.6707731631010098E-2</v>
          </cell>
          <cell r="AG114">
            <v>-2.9592611593957801E-2</v>
          </cell>
          <cell r="AR114">
            <v>4.1861007866058404E-2</v>
          </cell>
          <cell r="BC114">
            <v>0</v>
          </cell>
          <cell r="BF114">
            <v>4.1861007866058404E-2</v>
          </cell>
        </row>
        <row r="115">
          <cell r="O115">
            <v>0.90525826694812095</v>
          </cell>
          <cell r="P115">
            <v>0.95839008343948595</v>
          </cell>
          <cell r="Q115">
            <v>0.94831136753451595</v>
          </cell>
          <cell r="U115">
            <v>-5.8510060961846001E-2</v>
          </cell>
          <cell r="V115">
            <v>-1.7690234744920301E-3</v>
          </cell>
          <cell r="W115">
            <v>-1.4786817888441999E-2</v>
          </cell>
          <cell r="Y115">
            <v>0.90525826694812095</v>
          </cell>
          <cell r="Z115">
            <v>0.95839008343948595</v>
          </cell>
          <cell r="AA115">
            <v>0.94831136753451595</v>
          </cell>
          <cell r="AF115">
            <v>-1.7690234744920301E-3</v>
          </cell>
          <cell r="AG115">
            <v>-1.4786817888441999E-2</v>
          </cell>
          <cell r="AR115">
            <v>4.1861007866058404E-2</v>
          </cell>
          <cell r="BC115">
            <v>0</v>
          </cell>
          <cell r="BF115">
            <v>4.1861007866058404E-2</v>
          </cell>
        </row>
        <row r="116">
          <cell r="O116">
            <v>0.90525826694812095</v>
          </cell>
          <cell r="P116">
            <v>0.95798858587873303</v>
          </cell>
          <cell r="Q116">
            <v>0.95070935913347299</v>
          </cell>
          <cell r="U116">
            <v>-5.99122617966363E-2</v>
          </cell>
          <cell r="V116">
            <v>-2.8776623151526301E-3</v>
          </cell>
          <cell r="W116">
            <v>-1.34496475327219E-2</v>
          </cell>
          <cell r="Y116">
            <v>0.90525826694812095</v>
          </cell>
          <cell r="Z116">
            <v>0.95798858587873303</v>
          </cell>
          <cell r="AA116">
            <v>0.95070935913347299</v>
          </cell>
          <cell r="AF116">
            <v>-2.8776623151526301E-3</v>
          </cell>
          <cell r="AG116">
            <v>-1.34496475327219E-2</v>
          </cell>
          <cell r="AR116">
            <v>4.1861007866058404E-2</v>
          </cell>
          <cell r="BC116">
            <v>0</v>
          </cell>
          <cell r="BF116">
            <v>4.1861007866058404E-2</v>
          </cell>
        </row>
        <row r="117">
          <cell r="O117">
            <v>0.90525826694812095</v>
          </cell>
          <cell r="P117">
            <v>0.95884616426503599</v>
          </cell>
          <cell r="Q117">
            <v>0.95308849240156701</v>
          </cell>
          <cell r="U117">
            <v>-6.8085429723099194E-2</v>
          </cell>
          <cell r="V117">
            <v>-1.14698471854543E-2</v>
          </cell>
          <cell r="W117">
            <v>-1.9097310771585101E-2</v>
          </cell>
          <cell r="Y117">
            <v>0.90525826694812095</v>
          </cell>
          <cell r="Z117">
            <v>0.95884616426503599</v>
          </cell>
          <cell r="AA117">
            <v>0.95308849240156701</v>
          </cell>
          <cell r="AF117">
            <v>-1.14698471854543E-2</v>
          </cell>
          <cell r="AG117">
            <v>-1.9097310771585101E-2</v>
          </cell>
          <cell r="AR117">
            <v>4.1861007866058404E-2</v>
          </cell>
          <cell r="BC117">
            <v>0</v>
          </cell>
          <cell r="BF117">
            <v>4.1861007866058404E-2</v>
          </cell>
        </row>
        <row r="118">
          <cell r="O118">
            <v>0.90525826694812095</v>
          </cell>
          <cell r="P118">
            <v>0.96202013590684299</v>
          </cell>
          <cell r="Q118">
            <v>0.95585046772928095</v>
          </cell>
          <cell r="U118">
            <v>-7.8535978915387106E-2</v>
          </cell>
          <cell r="V118">
            <v>-2.1025610383845698E-2</v>
          </cell>
          <cell r="W118">
            <v>-2.70485037379277E-2</v>
          </cell>
          <cell r="Y118">
            <v>0.90525826694812095</v>
          </cell>
          <cell r="Z118">
            <v>0.96202013590684299</v>
          </cell>
          <cell r="AA118">
            <v>0.95585046772928095</v>
          </cell>
          <cell r="AF118">
            <v>-2.1025610383845698E-2</v>
          </cell>
          <cell r="AG118">
            <v>-2.70485037379277E-2</v>
          </cell>
          <cell r="AR118">
            <v>4.1861007866058404E-2</v>
          </cell>
          <cell r="BC118">
            <v>0</v>
          </cell>
          <cell r="BF118">
            <v>4.1861007866058404E-2</v>
          </cell>
        </row>
        <row r="119">
          <cell r="O119">
            <v>0.90525826694812095</v>
          </cell>
          <cell r="P119">
            <v>0.96348573748369404</v>
          </cell>
          <cell r="Q119">
            <v>0.95773325764872796</v>
          </cell>
          <cell r="U119">
            <v>-6.9078276624233201E-2</v>
          </cell>
          <cell r="V119">
            <v>-8.2631757121310202E-3</v>
          </cell>
          <cell r="W119">
            <v>-1.46970711466197E-2</v>
          </cell>
          <cell r="Y119">
            <v>0.90525826694812095</v>
          </cell>
          <cell r="Z119">
            <v>0.96348573748369404</v>
          </cell>
          <cell r="AA119">
            <v>0.95773325764872796</v>
          </cell>
          <cell r="AF119">
            <v>-8.2631757121310202E-3</v>
          </cell>
          <cell r="AG119">
            <v>-1.46970711466197E-2</v>
          </cell>
          <cell r="AR119">
            <v>4.1861007866058404E-2</v>
          </cell>
          <cell r="BC119">
            <v>0</v>
          </cell>
          <cell r="BF119">
            <v>4.1861007866058404E-2</v>
          </cell>
        </row>
        <row r="120">
          <cell r="O120">
            <v>0.90525826694812095</v>
          </cell>
          <cell r="P120">
            <v>0.96555601537138103</v>
          </cell>
          <cell r="Q120">
            <v>0.95898730874678595</v>
          </cell>
          <cell r="U120">
            <v>-7.0985509944755595E-2</v>
          </cell>
          <cell r="V120">
            <v>-8.6481058497469704E-3</v>
          </cell>
          <cell r="W120">
            <v>-1.46364882675812E-2</v>
          </cell>
          <cell r="Y120">
            <v>0.90525826694812095</v>
          </cell>
          <cell r="Z120">
            <v>0.96555601537138103</v>
          </cell>
          <cell r="AA120">
            <v>0.95898730874678595</v>
          </cell>
          <cell r="AF120">
            <v>-8.6481058497469704E-3</v>
          </cell>
          <cell r="AG120">
            <v>-1.46364882675812E-2</v>
          </cell>
          <cell r="AR120">
            <v>4.1861007866058404E-2</v>
          </cell>
          <cell r="BC120">
            <v>0</v>
          </cell>
          <cell r="BF120">
            <v>4.1861007866058404E-2</v>
          </cell>
        </row>
        <row r="121">
          <cell r="O121">
            <v>0.90525826694812095</v>
          </cell>
          <cell r="P121">
            <v>0.96887174824018596</v>
          </cell>
          <cell r="Q121">
            <v>0.960716854050081</v>
          </cell>
          <cell r="U121">
            <v>-8.1025341918492602E-2</v>
          </cell>
          <cell r="V121">
            <v>-1.6541505607108702E-2</v>
          </cell>
          <cell r="W121">
            <v>-2.33677817939471E-2</v>
          </cell>
          <cell r="Y121">
            <v>0.90525826694812095</v>
          </cell>
          <cell r="Z121">
            <v>0.96887174824018596</v>
          </cell>
          <cell r="AA121">
            <v>0.960716854050081</v>
          </cell>
          <cell r="AF121">
            <v>-1.6541505607108702E-2</v>
          </cell>
          <cell r="AG121">
            <v>-2.33677817939471E-2</v>
          </cell>
          <cell r="AR121">
            <v>4.1861007866058404E-2</v>
          </cell>
          <cell r="BC121">
            <v>0</v>
          </cell>
          <cell r="BF121">
            <v>4.1861007866058404E-2</v>
          </cell>
        </row>
        <row r="122">
          <cell r="O122">
            <v>0.90525826694812095</v>
          </cell>
          <cell r="P122">
            <v>0.96902377566208597</v>
          </cell>
          <cell r="Q122">
            <v>0.96147601731865096</v>
          </cell>
          <cell r="U122">
            <v>-6.34610104875689E-2</v>
          </cell>
          <cell r="V122">
            <v>4.4509570556001297E-3</v>
          </cell>
          <cell r="W122">
            <v>-4.0015625463794696E-3</v>
          </cell>
          <cell r="Y122">
            <v>0.90525826694812095</v>
          </cell>
          <cell r="Z122">
            <v>0.96902377566208597</v>
          </cell>
          <cell r="AA122">
            <v>0.96147601731865096</v>
          </cell>
          <cell r="AF122">
            <v>4.4509570556001297E-3</v>
          </cell>
          <cell r="AG122">
            <v>-4.0015625463794696E-3</v>
          </cell>
          <cell r="AR122">
            <v>4.1861007866058404E-2</v>
          </cell>
          <cell r="BC122">
            <v>0</v>
          </cell>
          <cell r="BF122">
            <v>4.1861007866058404E-2</v>
          </cell>
        </row>
        <row r="123">
          <cell r="O123">
            <v>0.90525826694812095</v>
          </cell>
          <cell r="P123">
            <v>0.97005857070661805</v>
          </cell>
          <cell r="Q123">
            <v>0.96257313866442196</v>
          </cell>
          <cell r="U123">
            <v>-7.1242048388568402E-2</v>
          </cell>
          <cell r="V123">
            <v>-3.1731813424720002E-3</v>
          </cell>
          <cell r="W123">
            <v>-1.09927074877812E-2</v>
          </cell>
          <cell r="Y123">
            <v>0.90525826694812095</v>
          </cell>
          <cell r="Z123">
            <v>0.97005857070661805</v>
          </cell>
          <cell r="AA123">
            <v>0.96257313866442196</v>
          </cell>
          <cell r="AF123">
            <v>-3.1731813424720002E-3</v>
          </cell>
          <cell r="AG123">
            <v>-1.09927074877812E-2</v>
          </cell>
          <cell r="AR123">
            <v>4.1861007866058404E-2</v>
          </cell>
          <cell r="BC123">
            <v>0</v>
          </cell>
          <cell r="BF123">
            <v>4.1861007866058404E-2</v>
          </cell>
        </row>
        <row r="124">
          <cell r="O124">
            <v>0.90525826694812095</v>
          </cell>
          <cell r="P124">
            <v>0.97063387078000996</v>
          </cell>
          <cell r="Q124">
            <v>0.96437132430389305</v>
          </cell>
          <cell r="U124">
            <v>-7.6196878027870493E-2</v>
          </cell>
          <cell r="V124">
            <v>-7.0607070122431703E-3</v>
          </cell>
          <cell r="W124">
            <v>-1.4807107360756201E-2</v>
          </cell>
          <cell r="Y124">
            <v>0.90525826694812095</v>
          </cell>
          <cell r="Z124">
            <v>0.97063387078000996</v>
          </cell>
          <cell r="AA124">
            <v>0.96437132430389305</v>
          </cell>
          <cell r="AF124">
            <v>-7.0607070122431703E-3</v>
          </cell>
          <cell r="AG124">
            <v>-1.4807107360756201E-2</v>
          </cell>
          <cell r="AR124">
            <v>4.1861007866058404E-2</v>
          </cell>
          <cell r="BC124">
            <v>0</v>
          </cell>
          <cell r="BF124">
            <v>4.1861007866058404E-2</v>
          </cell>
        </row>
        <row r="125">
          <cell r="O125">
            <v>0.90525826694812095</v>
          </cell>
          <cell r="P125">
            <v>0.97130744664810298</v>
          </cell>
          <cell r="Q125">
            <v>0.96484876504379402</v>
          </cell>
          <cell r="U125">
            <v>-6.5503389901019199E-2</v>
          </cell>
          <cell r="V125">
            <v>4.2256623748687799E-3</v>
          </cell>
          <cell r="W125">
            <v>-2.2472591015857001E-3</v>
          </cell>
          <cell r="Y125">
            <v>0.90525826694812095</v>
          </cell>
          <cell r="Z125">
            <v>0.97130744664810298</v>
          </cell>
          <cell r="AA125">
            <v>0.96484876504379402</v>
          </cell>
          <cell r="AF125">
            <v>4.2256623748687799E-3</v>
          </cell>
          <cell r="AG125">
            <v>-2.2472591015857001E-3</v>
          </cell>
          <cell r="AR125">
            <v>4.1861007866058404E-2</v>
          </cell>
          <cell r="BC125">
            <v>0</v>
          </cell>
          <cell r="BF125">
            <v>4.1861007866058404E-2</v>
          </cell>
        </row>
        <row r="126">
          <cell r="O126">
            <v>0.90525826694812095</v>
          </cell>
          <cell r="P126">
            <v>0.97080757237665305</v>
          </cell>
          <cell r="Q126">
            <v>0.96439807912769304</v>
          </cell>
          <cell r="U126">
            <v>-5.4697907813180499E-2</v>
          </cell>
          <cell r="V126">
            <v>1.5724858416945101E-2</v>
          </cell>
          <cell r="W126">
            <v>9.0531802514035292E-3</v>
          </cell>
          <cell r="Y126">
            <v>0.90525826694812095</v>
          </cell>
          <cell r="Z126">
            <v>0.97080757237665305</v>
          </cell>
          <cell r="AA126">
            <v>0.96439807912769304</v>
          </cell>
          <cell r="AF126">
            <v>1.5724858416945101E-2</v>
          </cell>
          <cell r="AG126">
            <v>9.0531802514035292E-3</v>
          </cell>
          <cell r="AR126">
            <v>4.1861007866058404E-2</v>
          </cell>
          <cell r="BC126">
            <v>0</v>
          </cell>
          <cell r="BF126">
            <v>4.1861007866058404E-2</v>
          </cell>
        </row>
        <row r="127">
          <cell r="O127">
            <v>0.90525826694812095</v>
          </cell>
          <cell r="P127">
            <v>0.97013228419148001</v>
          </cell>
          <cell r="Q127">
            <v>0.964489224228258</v>
          </cell>
          <cell r="U127">
            <v>-6.1092403499392198E-2</v>
          </cell>
          <cell r="V127">
            <v>8.8155896327532599E-3</v>
          </cell>
          <cell r="W127">
            <v>2.19147019533413E-3</v>
          </cell>
          <cell r="Y127">
            <v>0.90525826694812095</v>
          </cell>
          <cell r="Z127">
            <v>0.97013228419148001</v>
          </cell>
          <cell r="AA127">
            <v>0.964489224228258</v>
          </cell>
          <cell r="AF127">
            <v>8.8155896327532599E-3</v>
          </cell>
          <cell r="AG127">
            <v>2.19147019533413E-3</v>
          </cell>
          <cell r="AR127">
            <v>4.1861007866058404E-2</v>
          </cell>
          <cell r="BC127">
            <v>0</v>
          </cell>
          <cell r="BF127">
            <v>4.1861007866058404E-2</v>
          </cell>
        </row>
        <row r="128">
          <cell r="O128">
            <v>0.90525826694812095</v>
          </cell>
          <cell r="P128">
            <v>0.967092052810681</v>
          </cell>
          <cell r="Q128">
            <v>0.964556094358762</v>
          </cell>
          <cell r="U128">
            <v>-4.6996308733549E-2</v>
          </cell>
          <cell r="V128">
            <v>2.22158480900836E-2</v>
          </cell>
          <cell r="W128">
            <v>1.6382070327535001E-2</v>
          </cell>
          <cell r="Y128">
            <v>0.90525826694812095</v>
          </cell>
          <cell r="Z128">
            <v>0.967092052810681</v>
          </cell>
          <cell r="AA128">
            <v>0.964556094358762</v>
          </cell>
          <cell r="AF128">
            <v>2.22158480900836E-2</v>
          </cell>
          <cell r="AG128">
            <v>1.6382070327535001E-2</v>
          </cell>
          <cell r="AR128">
            <v>4.1861007866058404E-2</v>
          </cell>
          <cell r="BC128">
            <v>0</v>
          </cell>
          <cell r="BF128">
            <v>4.1861007866058404E-2</v>
          </cell>
        </row>
        <row r="129">
          <cell r="O129">
            <v>0.90525826694812095</v>
          </cell>
          <cell r="P129">
            <v>0.96486921470792297</v>
          </cell>
          <cell r="Q129">
            <v>0.96417747609580795</v>
          </cell>
          <cell r="U129">
            <v>-4.5895828405674098E-2</v>
          </cell>
          <cell r="V129">
            <v>2.01775759062345E-2</v>
          </cell>
          <cell r="W129">
            <v>1.7551880421679902E-2</v>
          </cell>
          <cell r="Y129">
            <v>0.90525826694812095</v>
          </cell>
          <cell r="Z129">
            <v>0.96486921470792297</v>
          </cell>
          <cell r="AA129">
            <v>0.96417747609580795</v>
          </cell>
          <cell r="AF129">
            <v>2.01775759062345E-2</v>
          </cell>
          <cell r="AG129">
            <v>1.7551880421679902E-2</v>
          </cell>
          <cell r="AR129">
            <v>4.1861007866058404E-2</v>
          </cell>
          <cell r="BC129">
            <v>0</v>
          </cell>
          <cell r="BF129">
            <v>4.1861007866058404E-2</v>
          </cell>
        </row>
        <row r="130">
          <cell r="O130">
            <v>0.90525826694812095</v>
          </cell>
          <cell r="P130">
            <v>0.96340064288680605</v>
          </cell>
          <cell r="Q130">
            <v>0.96447832912909404</v>
          </cell>
          <cell r="U130">
            <v>-5.5759144681668101E-2</v>
          </cell>
          <cell r="V130">
            <v>8.0131378417368903E-3</v>
          </cell>
          <cell r="W130">
            <v>7.2959559870295499E-3</v>
          </cell>
          <cell r="Y130">
            <v>0.90525826694812095</v>
          </cell>
          <cell r="Z130">
            <v>0.96340064288680605</v>
          </cell>
          <cell r="AA130">
            <v>0.96447832912909404</v>
          </cell>
          <cell r="AF130">
            <v>8.0131378417368903E-3</v>
          </cell>
          <cell r="AG130">
            <v>7.2959559870295499E-3</v>
          </cell>
          <cell r="AR130">
            <v>4.1861007866058404E-2</v>
          </cell>
          <cell r="BC130">
            <v>0</v>
          </cell>
          <cell r="BF130">
            <v>4.1861007866058404E-2</v>
          </cell>
        </row>
        <row r="131">
          <cell r="O131">
            <v>0.90525826694812095</v>
          </cell>
          <cell r="P131">
            <v>0.96037557478723001</v>
          </cell>
          <cell r="Q131">
            <v>0.96462366151370804</v>
          </cell>
          <cell r="U131">
            <v>-4.9724723973889898E-2</v>
          </cell>
          <cell r="V131">
            <v>1.2524356701730599E-2</v>
          </cell>
          <cell r="W131">
            <v>1.36423587860764E-2</v>
          </cell>
          <cell r="Y131">
            <v>0.90525826694812095</v>
          </cell>
          <cell r="Z131">
            <v>0.96037557478723001</v>
          </cell>
          <cell r="AA131">
            <v>0.96462366151370804</v>
          </cell>
          <cell r="AF131">
            <v>1.2524356701730599E-2</v>
          </cell>
          <cell r="AG131">
            <v>1.36423587860764E-2</v>
          </cell>
          <cell r="AR131">
            <v>4.1861007866058404E-2</v>
          </cell>
          <cell r="BC131">
            <v>0</v>
          </cell>
          <cell r="BF131">
            <v>4.1861007866058404E-2</v>
          </cell>
        </row>
        <row r="132">
          <cell r="O132">
            <v>0.90525826694812095</v>
          </cell>
          <cell r="P132">
            <v>0.95845268047887799</v>
          </cell>
          <cell r="Q132">
            <v>0.96373822807048204</v>
          </cell>
          <cell r="U132">
            <v>-4.3324350806258398E-2</v>
          </cell>
          <cell r="V132">
            <v>1.5779800053626E-2</v>
          </cell>
          <cell r="W132">
            <v>2.0193405568264301E-2</v>
          </cell>
          <cell r="Y132">
            <v>0.90525826694812095</v>
          </cell>
          <cell r="Z132">
            <v>0.95845268047887799</v>
          </cell>
          <cell r="AA132">
            <v>0.96373822807048204</v>
          </cell>
          <cell r="AF132">
            <v>1.5779800053626E-2</v>
          </cell>
          <cell r="AG132">
            <v>2.0193405568264301E-2</v>
          </cell>
          <cell r="AR132">
            <v>4.1861007866058404E-2</v>
          </cell>
          <cell r="BC132">
            <v>0</v>
          </cell>
          <cell r="BF132">
            <v>4.1861007866058404E-2</v>
          </cell>
        </row>
        <row r="133">
          <cell r="O133">
            <v>0.90525826694812095</v>
          </cell>
          <cell r="P133">
            <v>0.95584678008606105</v>
          </cell>
          <cell r="Q133">
            <v>0.96295267539634</v>
          </cell>
          <cell r="U133">
            <v>-4.4069373426077502E-2</v>
          </cell>
          <cell r="V133">
            <v>1.3030538704511299E-2</v>
          </cell>
          <cell r="W133">
            <v>1.8530055833359999E-2</v>
          </cell>
          <cell r="Y133">
            <v>0.90525826694812095</v>
          </cell>
          <cell r="Z133">
            <v>0.95584678008606105</v>
          </cell>
          <cell r="AA133">
            <v>0.96295267539634</v>
          </cell>
          <cell r="AF133">
            <v>1.3030538704511299E-2</v>
          </cell>
          <cell r="AG133">
            <v>1.8530055833359999E-2</v>
          </cell>
          <cell r="AR133">
            <v>4.1861007866058404E-2</v>
          </cell>
          <cell r="BC133">
            <v>0</v>
          </cell>
          <cell r="BF133">
            <v>4.1861007866058404E-2</v>
          </cell>
        </row>
        <row r="134">
          <cell r="O134">
            <v>0.90525826694812095</v>
          </cell>
          <cell r="P134">
            <v>0.95214446257528296</v>
          </cell>
          <cell r="Q134">
            <v>0.96138916667764596</v>
          </cell>
          <cell r="U134">
            <v>-3.7562709325562001E-2</v>
          </cell>
          <cell r="V134">
            <v>1.6814638173781701E-2</v>
          </cell>
          <cell r="W134">
            <v>2.42212775437564E-2</v>
          </cell>
          <cell r="Y134">
            <v>0.90525826694812095</v>
          </cell>
          <cell r="Z134">
            <v>0.95214446257528296</v>
          </cell>
          <cell r="AA134">
            <v>0.96138916667764596</v>
          </cell>
          <cell r="AF134">
            <v>1.6814638173781701E-2</v>
          </cell>
          <cell r="AG134">
            <v>2.42212775437564E-2</v>
          </cell>
          <cell r="AR134">
            <v>4.1861007866058404E-2</v>
          </cell>
          <cell r="BC134">
            <v>0</v>
          </cell>
          <cell r="BF134">
            <v>4.1861007866058404E-2</v>
          </cell>
        </row>
        <row r="135">
          <cell r="O135">
            <v>0.90525826694812095</v>
          </cell>
          <cell r="P135">
            <v>0.94873722091435897</v>
          </cell>
          <cell r="Q135">
            <v>0.96002233378123103</v>
          </cell>
          <cell r="U135">
            <v>-2.9615129503504398E-2</v>
          </cell>
          <cell r="V135">
            <v>2.0881359347505402E-2</v>
          </cell>
          <cell r="W135">
            <v>3.05438767843456E-2</v>
          </cell>
          <cell r="Y135">
            <v>0.90525826694812095</v>
          </cell>
          <cell r="Z135">
            <v>0.94873722091435897</v>
          </cell>
          <cell r="AA135">
            <v>0.96002233378123103</v>
          </cell>
          <cell r="AF135">
            <v>2.0881359347505402E-2</v>
          </cell>
          <cell r="AG135">
            <v>3.05438767843456E-2</v>
          </cell>
          <cell r="AR135">
            <v>4.1861007866058404E-2</v>
          </cell>
          <cell r="BC135">
            <v>0</v>
          </cell>
          <cell r="BF135">
            <v>4.1861007866058404E-2</v>
          </cell>
        </row>
        <row r="136">
          <cell r="O136">
            <v>0.90525826694812095</v>
          </cell>
          <cell r="P136">
            <v>0.94688323994483004</v>
          </cell>
          <cell r="Q136">
            <v>0.95884540616074099</v>
          </cell>
          <cell r="U136">
            <v>-3.5117457482911299E-2</v>
          </cell>
          <cell r="V136">
            <v>1.17941209135928E-2</v>
          </cell>
          <cell r="W136">
            <v>2.36188102331658E-2</v>
          </cell>
          <cell r="Y136">
            <v>0.90525826694812095</v>
          </cell>
          <cell r="Z136">
            <v>0.94688323994483004</v>
          </cell>
          <cell r="AA136">
            <v>0.95884540616074099</v>
          </cell>
          <cell r="AF136">
            <v>1.17941209135928E-2</v>
          </cell>
          <cell r="AG136">
            <v>2.36188102331658E-2</v>
          </cell>
          <cell r="AR136">
            <v>4.1861007866058404E-2</v>
          </cell>
          <cell r="BC136">
            <v>5.5023279794069006E-3</v>
          </cell>
          <cell r="BF136">
            <v>4.7363335845465301E-2</v>
          </cell>
        </row>
        <row r="137">
          <cell r="O137">
            <v>0.90525826694812095</v>
          </cell>
          <cell r="P137">
            <v>0.94444693325481199</v>
          </cell>
          <cell r="Q137">
            <v>0.95728960872314595</v>
          </cell>
          <cell r="U137">
            <v>-3.5448509947268503E-2</v>
          </cell>
          <cell r="V137">
            <v>9.5070001339235492E-3</v>
          </cell>
          <cell r="W137">
            <v>2.20610679417035E-2</v>
          </cell>
          <cell r="Y137">
            <v>0.90525826694812095</v>
          </cell>
          <cell r="Z137">
            <v>0.94444693325481199</v>
          </cell>
          <cell r="AA137">
            <v>0.95728960872314595</v>
          </cell>
          <cell r="AF137">
            <v>9.5070001339235492E-3</v>
          </cell>
          <cell r="AG137">
            <v>2.20610679417035E-2</v>
          </cell>
          <cell r="AR137">
            <v>4.1861007866058404E-2</v>
          </cell>
          <cell r="BC137">
            <v>5.8333804437642909E-3</v>
          </cell>
          <cell r="BF137">
            <v>4.7694388309822693E-2</v>
          </cell>
        </row>
        <row r="138">
          <cell r="O138">
            <v>0.90525826694812095</v>
          </cell>
          <cell r="P138">
            <v>0.94419090834087804</v>
          </cell>
          <cell r="Q138">
            <v>0.95564148057578002</v>
          </cell>
          <cell r="U138">
            <v>-4.4294304081190602E-2</v>
          </cell>
          <cell r="V138">
            <v>-1.9150845621394299E-3</v>
          </cell>
          <cell r="W138">
            <v>1.1591382205781001E-2</v>
          </cell>
          <cell r="Y138">
            <v>0.90525826694812095</v>
          </cell>
          <cell r="Z138">
            <v>0.94419090834087804</v>
          </cell>
          <cell r="AA138">
            <v>0.95564148057578002</v>
          </cell>
          <cell r="AF138">
            <v>-1.9150845621394299E-3</v>
          </cell>
          <cell r="AG138">
            <v>1.1591382205781001E-2</v>
          </cell>
          <cell r="AR138">
            <v>4.1861007866058404E-2</v>
          </cell>
          <cell r="BC138">
            <v>1.4679174577686391E-2</v>
          </cell>
          <cell r="BF138">
            <v>5.6540182443744792E-2</v>
          </cell>
        </row>
        <row r="139">
          <cell r="O139">
            <v>0.90525826694812095</v>
          </cell>
          <cell r="P139">
            <v>0.94406515547329295</v>
          </cell>
          <cell r="Q139">
            <v>0.95446718509060802</v>
          </cell>
          <cell r="U139">
            <v>-4.4568124086493598E-2</v>
          </cell>
          <cell r="V139">
            <v>-2.46002580610887E-3</v>
          </cell>
          <cell r="W139">
            <v>9.5944174783371E-3</v>
          </cell>
          <cell r="Y139">
            <v>0.90525826694812095</v>
          </cell>
          <cell r="Z139">
            <v>0.94406515547329295</v>
          </cell>
          <cell r="AA139">
            <v>0.95446718509060802</v>
          </cell>
          <cell r="AF139">
            <v>-2.46002580610887E-3</v>
          </cell>
          <cell r="AG139">
            <v>9.5944174783371E-3</v>
          </cell>
          <cell r="AR139">
            <v>4.1861007866058404E-2</v>
          </cell>
          <cell r="BC139">
            <v>1.4952994582989222E-2</v>
          </cell>
          <cell r="BF139">
            <v>5.6814002449047621E-2</v>
          </cell>
        </row>
        <row r="140">
          <cell r="O140">
            <v>0.90525826694812095</v>
          </cell>
          <cell r="P140">
            <v>0.943361838047867</v>
          </cell>
          <cell r="Q140">
            <v>0.95338124046733697</v>
          </cell>
          <cell r="U140">
            <v>-4.8384120116121102E-2</v>
          </cell>
          <cell r="V140">
            <v>-6.4092165545890098E-3</v>
          </cell>
          <cell r="W140">
            <v>4.5488624668333696E-3</v>
          </cell>
          <cell r="Y140">
            <v>0.90525826694812095</v>
          </cell>
          <cell r="Z140">
            <v>0.943361838047867</v>
          </cell>
          <cell r="AA140">
            <v>0.95338124046733697</v>
          </cell>
          <cell r="AF140">
            <v>-6.4092165545890098E-3</v>
          </cell>
          <cell r="AG140">
            <v>4.5488624668333696E-3</v>
          </cell>
          <cell r="AR140">
            <v>4.1861007866058404E-2</v>
          </cell>
          <cell r="BC140">
            <v>1.8768990612616571E-2</v>
          </cell>
          <cell r="BF140">
            <v>6.0629998478674972E-2</v>
          </cell>
        </row>
        <row r="141">
          <cell r="O141">
            <v>0.90525826694812095</v>
          </cell>
          <cell r="P141">
            <v>0.94213021776490302</v>
          </cell>
          <cell r="Q141">
            <v>0.95125289627606702</v>
          </cell>
          <cell r="U141">
            <v>-3.6694992734721397E-2</v>
          </cell>
          <cell r="V141">
            <v>4.5346449591582598E-3</v>
          </cell>
          <cell r="W141">
            <v>1.50995925562882E-2</v>
          </cell>
          <cell r="Y141">
            <v>0.90525826694812095</v>
          </cell>
          <cell r="Z141">
            <v>0.94213021776490302</v>
          </cell>
          <cell r="AA141">
            <v>0.95125289627606702</v>
          </cell>
          <cell r="AF141">
            <v>4.5346449591582598E-3</v>
          </cell>
          <cell r="AG141">
            <v>1.50995925562882E-2</v>
          </cell>
          <cell r="AR141">
            <v>4.1861007866058404E-2</v>
          </cell>
          <cell r="BC141">
            <v>1.8768990612616571E-2</v>
          </cell>
          <cell r="BF141">
            <v>6.0629998478674972E-2</v>
          </cell>
        </row>
        <row r="142">
          <cell r="O142">
            <v>0.90525826694812095</v>
          </cell>
          <cell r="P142">
            <v>0.94170432279021699</v>
          </cell>
          <cell r="Q142">
            <v>0.95007850163454799</v>
          </cell>
          <cell r="U142">
            <v>-3.8808967492690798E-2</v>
          </cell>
          <cell r="V142">
            <v>1.11425211861251E-3</v>
          </cell>
          <cell r="W142">
            <v>1.07507055533846E-2</v>
          </cell>
          <cell r="Y142">
            <v>0.90525826694812095</v>
          </cell>
          <cell r="Z142">
            <v>0.94170432279021699</v>
          </cell>
          <cell r="AA142">
            <v>0.95007850163454799</v>
          </cell>
          <cell r="AF142">
            <v>1.11425211861251E-3</v>
          </cell>
          <cell r="AG142">
            <v>1.07507055533846E-2</v>
          </cell>
          <cell r="AR142">
            <v>4.1861007866058404E-2</v>
          </cell>
          <cell r="BC142">
            <v>1.8768990612616571E-2</v>
          </cell>
          <cell r="BF142">
            <v>6.0629998478674972E-2</v>
          </cell>
        </row>
        <row r="143">
          <cell r="O143">
            <v>0.90525826694812095</v>
          </cell>
          <cell r="P143">
            <v>0.93989820679355196</v>
          </cell>
          <cell r="Q143">
            <v>0.94787249343980695</v>
          </cell>
          <cell r="U143">
            <v>-2.4793546284260799E-2</v>
          </cell>
          <cell r="V143">
            <v>1.46775158017669E-2</v>
          </cell>
          <cell r="W143">
            <v>2.3530787365263501E-2</v>
          </cell>
          <cell r="Y143">
            <v>0.90525826694812095</v>
          </cell>
          <cell r="Z143">
            <v>0.93989820679355196</v>
          </cell>
          <cell r="AA143">
            <v>0.94787249343980695</v>
          </cell>
          <cell r="AF143">
            <v>1.46775158017669E-2</v>
          </cell>
          <cell r="AG143">
            <v>2.3530787365263501E-2</v>
          </cell>
          <cell r="AR143">
            <v>4.1861007866058404E-2</v>
          </cell>
          <cell r="BC143">
            <v>1.8768990612616571E-2</v>
          </cell>
          <cell r="BF143">
            <v>6.0629998478674972E-2</v>
          </cell>
        </row>
        <row r="144">
          <cell r="O144">
            <v>0.90525826694812095</v>
          </cell>
          <cell r="P144">
            <v>0.93812896283260405</v>
          </cell>
          <cell r="Q144">
            <v>0.94513671270394295</v>
          </cell>
          <cell r="U144">
            <v>-1.85597229728478E-2</v>
          </cell>
          <cell r="V144">
            <v>1.8991574951546401E-2</v>
          </cell>
          <cell r="W144">
            <v>2.7439988814594099E-2</v>
          </cell>
          <cell r="Y144">
            <v>0.90525826694812095</v>
          </cell>
          <cell r="Z144">
            <v>0.93812896283260405</v>
          </cell>
          <cell r="AA144">
            <v>0.94513671270394295</v>
          </cell>
          <cell r="AF144">
            <v>1.8991574951546401E-2</v>
          </cell>
          <cell r="AG144">
            <v>2.7439988814594099E-2</v>
          </cell>
          <cell r="AR144">
            <v>4.1861007866058404E-2</v>
          </cell>
          <cell r="BC144">
            <v>1.8768990612616571E-2</v>
          </cell>
          <cell r="BF144">
            <v>6.0629998478674972E-2</v>
          </cell>
        </row>
        <row r="145">
          <cell r="O145">
            <v>0.90525826694812095</v>
          </cell>
          <cell r="P145">
            <v>0.93850430250175298</v>
          </cell>
          <cell r="Q145">
            <v>0.94362076170805598</v>
          </cell>
          <cell r="U145">
            <v>-3.3632276054394401E-2</v>
          </cell>
          <cell r="V145">
            <v>2.0348696990744801E-3</v>
          </cell>
          <cell r="W145">
            <v>9.4770296730610007E-3</v>
          </cell>
          <cell r="Y145">
            <v>0.90525826694812095</v>
          </cell>
          <cell r="Z145">
            <v>0.93850430250175298</v>
          </cell>
          <cell r="AA145">
            <v>0.94362076170805598</v>
          </cell>
          <cell r="AF145">
            <v>2.0348696990744801E-3</v>
          </cell>
          <cell r="AG145">
            <v>9.4770296730610007E-3</v>
          </cell>
          <cell r="AR145">
            <v>4.1861007866058404E-2</v>
          </cell>
          <cell r="BC145">
            <v>3.3841543694163159E-2</v>
          </cell>
          <cell r="BF145">
            <v>7.570255156022157E-2</v>
          </cell>
        </row>
        <row r="146">
          <cell r="O146">
            <v>0.90525826694812095</v>
          </cell>
          <cell r="P146">
            <v>0.93814943132287498</v>
          </cell>
          <cell r="Q146">
            <v>0.94251633563385195</v>
          </cell>
          <cell r="U146">
            <v>-3.1325442216289301E-2</v>
          </cell>
          <cell r="V146">
            <v>4.7417174142511198E-3</v>
          </cell>
          <cell r="W146">
            <v>1.01786269024981E-2</v>
          </cell>
          <cell r="Y146">
            <v>0.90525826694812095</v>
          </cell>
          <cell r="Z146">
            <v>0.93814943132287498</v>
          </cell>
          <cell r="AA146">
            <v>0.94251633563385195</v>
          </cell>
          <cell r="AF146">
            <v>4.7417174142511198E-3</v>
          </cell>
          <cell r="AG146">
            <v>1.01786269024981E-2</v>
          </cell>
          <cell r="AR146">
            <v>4.1861007866058404E-2</v>
          </cell>
          <cell r="BC146">
            <v>3.1534709856058156E-2</v>
          </cell>
          <cell r="BF146">
            <v>7.339571772211656E-2</v>
          </cell>
        </row>
        <row r="147">
          <cell r="O147">
            <v>0.90525826694812095</v>
          </cell>
          <cell r="P147">
            <v>0.93743077958509202</v>
          </cell>
          <cell r="Q147">
            <v>0.94093885641995201</v>
          </cell>
          <cell r="U147">
            <v>-2.7756850624557201E-2</v>
          </cell>
          <cell r="V147">
            <v>7.93211330934342E-3</v>
          </cell>
          <cell r="W147">
            <v>1.2576119954273201E-2</v>
          </cell>
          <cell r="Y147">
            <v>0.90525826694812095</v>
          </cell>
          <cell r="Z147">
            <v>0.93743077958509202</v>
          </cell>
          <cell r="AA147">
            <v>0.94093885641995201</v>
          </cell>
          <cell r="AF147">
            <v>7.93211330934342E-3</v>
          </cell>
          <cell r="AG147">
            <v>1.2576119954273201E-2</v>
          </cell>
          <cell r="AR147">
            <v>4.1861007866058404E-2</v>
          </cell>
          <cell r="BC147">
            <v>2.7966118264326056E-2</v>
          </cell>
          <cell r="BF147">
            <v>6.9827126130384456E-2</v>
          </cell>
        </row>
        <row r="148">
          <cell r="O148">
            <v>0.90525826694812095</v>
          </cell>
          <cell r="P148">
            <v>0.93698614150688997</v>
          </cell>
          <cell r="Q148">
            <v>0.94058852492388401</v>
          </cell>
          <cell r="U148">
            <v>-3.9584316735835998E-2</v>
          </cell>
          <cell r="V148">
            <v>-4.6616775570937604E-3</v>
          </cell>
          <cell r="W148">
            <v>-9.2643732924387598E-4</v>
          </cell>
          <cell r="Y148">
            <v>0.90525826694812095</v>
          </cell>
          <cell r="Z148">
            <v>0.93698614150688997</v>
          </cell>
          <cell r="AA148">
            <v>0.94058852492388401</v>
          </cell>
          <cell r="AF148">
            <v>-4.6616775570937604E-3</v>
          </cell>
          <cell r="AG148">
            <v>-9.2643732924387598E-4</v>
          </cell>
          <cell r="AR148">
            <v>4.1861007866058404E-2</v>
          </cell>
          <cell r="BC148">
            <v>3.9793584375604846E-2</v>
          </cell>
          <cell r="BF148">
            <v>8.1654592241663243E-2</v>
          </cell>
        </row>
        <row r="149">
          <cell r="O149">
            <v>0.90525826694812095</v>
          </cell>
          <cell r="P149">
            <v>0.93548878307155303</v>
          </cell>
          <cell r="Q149">
            <v>0.93977696927242305</v>
          </cell>
          <cell r="U149">
            <v>-2.8621981498993001E-2</v>
          </cell>
          <cell r="V149">
            <v>5.82622951860883E-3</v>
          </cell>
          <cell r="W149">
            <v>9.6635073661797306E-3</v>
          </cell>
          <cell r="Y149">
            <v>0.90525826694812095</v>
          </cell>
          <cell r="Z149">
            <v>0.93548878307155303</v>
          </cell>
          <cell r="AA149">
            <v>0.93977696927242305</v>
          </cell>
          <cell r="AF149">
            <v>5.82622951860883E-3</v>
          </cell>
          <cell r="AG149">
            <v>9.6635073661797306E-3</v>
          </cell>
          <cell r="AR149">
            <v>4.1861007866058404E-2</v>
          </cell>
          <cell r="BC149">
            <v>3.9793584375604846E-2</v>
          </cell>
          <cell r="BF149">
            <v>8.1654592241663243E-2</v>
          </cell>
        </row>
        <row r="150">
          <cell r="O150">
            <v>0.90525826694812095</v>
          </cell>
          <cell r="P150">
            <v>0.93365786611941504</v>
          </cell>
          <cell r="Q150">
            <v>0.93850985208364102</v>
          </cell>
          <cell r="U150">
            <v>-2.8925966718252601E-2</v>
          </cell>
          <cell r="V150">
            <v>3.9229077903746197E-3</v>
          </cell>
          <cell r="W150">
            <v>8.4963328314845692E-3</v>
          </cell>
          <cell r="Y150">
            <v>0.90525826694812095</v>
          </cell>
          <cell r="Z150">
            <v>0.93365786611941504</v>
          </cell>
          <cell r="AA150">
            <v>0.93850985208364102</v>
          </cell>
          <cell r="AF150">
            <v>3.9229077903746197E-3</v>
          </cell>
          <cell r="AG150">
            <v>8.4963328314845692E-3</v>
          </cell>
          <cell r="AR150">
            <v>4.1861007866058404E-2</v>
          </cell>
          <cell r="BC150">
            <v>3.9793584375604846E-2</v>
          </cell>
          <cell r="BF150">
            <v>8.1654592241663243E-2</v>
          </cell>
        </row>
        <row r="151">
          <cell r="O151">
            <v>0.90525826694812095</v>
          </cell>
          <cell r="P151">
            <v>0.93298171960559595</v>
          </cell>
          <cell r="Q151">
            <v>0.93755596868524904</v>
          </cell>
          <cell r="U151">
            <v>-2.9468957923825801E-2</v>
          </cell>
          <cell r="V151">
            <v>1.42082200169124E-3</v>
          </cell>
          <cell r="W151">
            <v>6.6041149086738899E-3</v>
          </cell>
          <cell r="Y151">
            <v>0.90525826694812095</v>
          </cell>
          <cell r="Z151">
            <v>0.93298171960559595</v>
          </cell>
          <cell r="AA151">
            <v>0.93755596868524904</v>
          </cell>
          <cell r="AF151">
            <v>1.42082200169124E-3</v>
          </cell>
          <cell r="AG151">
            <v>6.6041149086738899E-3</v>
          </cell>
          <cell r="AR151">
            <v>4.1861007866058404E-2</v>
          </cell>
          <cell r="BC151">
            <v>3.9793584375604846E-2</v>
          </cell>
          <cell r="BF151">
            <v>8.1654592241663243E-2</v>
          </cell>
        </row>
        <row r="152">
          <cell r="O152">
            <v>0.90525826694812095</v>
          </cell>
          <cell r="P152">
            <v>0.93184528885735096</v>
          </cell>
          <cell r="Q152">
            <v>0.93677480582378403</v>
          </cell>
          <cell r="U152">
            <v>-2.66596614213876E-2</v>
          </cell>
          <cell r="V152">
            <v>3.50566526895534E-3</v>
          </cell>
          <cell r="W152">
            <v>8.3965137414982096E-3</v>
          </cell>
          <cell r="Y152">
            <v>0.90525826694812095</v>
          </cell>
          <cell r="Z152">
            <v>0.93184528885735096</v>
          </cell>
          <cell r="AA152">
            <v>0.93677480582378403</v>
          </cell>
          <cell r="AF152">
            <v>3.50566526895534E-3</v>
          </cell>
          <cell r="AG152">
            <v>8.3965137414982096E-3</v>
          </cell>
          <cell r="AR152">
            <v>4.1861007866058404E-2</v>
          </cell>
          <cell r="BC152">
            <v>3.9793584375604846E-2</v>
          </cell>
          <cell r="BF152">
            <v>8.1654592241663243E-2</v>
          </cell>
        </row>
        <row r="153">
          <cell r="O153">
            <v>0.90525826694812095</v>
          </cell>
          <cell r="P153">
            <v>0.93228696235758501</v>
          </cell>
          <cell r="Q153">
            <v>0.93609258457556899</v>
          </cell>
          <cell r="U153">
            <v>-2.95417536241156E-2</v>
          </cell>
          <cell r="V153">
            <v>-5.9523262863532404E-4</v>
          </cell>
          <cell r="W153">
            <v>4.68088359838286E-3</v>
          </cell>
          <cell r="Y153">
            <v>0.90525826694812095</v>
          </cell>
          <cell r="Z153">
            <v>0.93228696235758501</v>
          </cell>
          <cell r="AA153">
            <v>0.93609258457556899</v>
          </cell>
          <cell r="AF153">
            <v>-5.9523262863532404E-4</v>
          </cell>
          <cell r="AG153">
            <v>4.68088359838286E-3</v>
          </cell>
          <cell r="AR153">
            <v>4.1861007866058404E-2</v>
          </cell>
          <cell r="BC153">
            <v>3.9793584375604846E-2</v>
          </cell>
          <cell r="BF153">
            <v>8.1654592241663243E-2</v>
          </cell>
        </row>
        <row r="154">
          <cell r="O154">
            <v>0.90525826694812095</v>
          </cell>
          <cell r="P154">
            <v>0.93353008061679399</v>
          </cell>
          <cell r="Q154">
            <v>0.93582952172469902</v>
          </cell>
          <cell r="U154">
            <v>-3.1949359682732097E-2</v>
          </cell>
          <cell r="V154">
            <v>-2.52897369380922E-3</v>
          </cell>
          <cell r="W154">
            <v>1.5447462172748E-3</v>
          </cell>
          <cell r="Y154">
            <v>0.90525826694812095</v>
          </cell>
          <cell r="Z154">
            <v>0.93353008061679399</v>
          </cell>
          <cell r="AA154">
            <v>0.93582952172469902</v>
          </cell>
          <cell r="AF154">
            <v>-2.52897369380922E-3</v>
          </cell>
          <cell r="AG154">
            <v>1.5447462172748E-3</v>
          </cell>
          <cell r="AR154">
            <v>4.1861007866058404E-2</v>
          </cell>
          <cell r="BC154">
            <v>3.9793584375604846E-2</v>
          </cell>
          <cell r="BF154">
            <v>8.1654592241663243E-2</v>
          </cell>
        </row>
        <row r="155">
          <cell r="O155">
            <v>0.90525826694812095</v>
          </cell>
          <cell r="P155">
            <v>0.93339308552177003</v>
          </cell>
          <cell r="Q155">
            <v>0.93594869401176195</v>
          </cell>
          <cell r="U155">
            <v>-3.2167928565835197E-2</v>
          </cell>
          <cell r="V155">
            <v>-1.4150234557793E-3</v>
          </cell>
          <cell r="W155">
            <v>1.04511558302711E-3</v>
          </cell>
          <cell r="Y155">
            <v>0.90525826694812095</v>
          </cell>
          <cell r="Z155">
            <v>0.93339308552177003</v>
          </cell>
          <cell r="AA155">
            <v>0.93594869401176195</v>
          </cell>
          <cell r="AF155">
            <v>-1.4150234557793E-3</v>
          </cell>
          <cell r="AG155">
            <v>1.04511558302711E-3</v>
          </cell>
          <cell r="AR155">
            <v>4.1861007866058404E-2</v>
          </cell>
          <cell r="BC155">
            <v>3.9793584375604846E-2</v>
          </cell>
          <cell r="BF155">
            <v>8.1654592241663243E-2</v>
          </cell>
        </row>
        <row r="156">
          <cell r="O156">
            <v>0.90525826694812095</v>
          </cell>
          <cell r="P156">
            <v>0.93362412217628299</v>
          </cell>
          <cell r="Q156">
            <v>0.93588677674957899</v>
          </cell>
          <cell r="U156">
            <v>-3.3795842735143501E-2</v>
          </cell>
          <cell r="V156">
            <v>-3.1896979179097799E-3</v>
          </cell>
          <cell r="W156">
            <v>-4.5546268053965199E-4</v>
          </cell>
          <cell r="Y156">
            <v>0.90525826694812095</v>
          </cell>
          <cell r="Z156">
            <v>0.93362412217628299</v>
          </cell>
          <cell r="AA156">
            <v>0.93588677674957899</v>
          </cell>
          <cell r="AF156">
            <v>-3.1896979179097799E-3</v>
          </cell>
          <cell r="AG156">
            <v>-4.5546268053965199E-4</v>
          </cell>
          <cell r="AR156">
            <v>4.1861007866058404E-2</v>
          </cell>
          <cell r="BC156">
            <v>3.9793584375604846E-2</v>
          </cell>
          <cell r="BF156">
            <v>8.1654592241663243E-2</v>
          </cell>
        </row>
        <row r="157">
          <cell r="O157">
            <v>0.90525826694812095</v>
          </cell>
          <cell r="P157">
            <v>0.93466724116306199</v>
          </cell>
          <cell r="Q157">
            <v>0.93604901037407695</v>
          </cell>
          <cell r="U157">
            <v>-3.89019597830675E-2</v>
          </cell>
          <cell r="V157">
            <v>-8.0483221685110004E-3</v>
          </cell>
          <cell r="W157">
            <v>-5.62773646410911E-3</v>
          </cell>
          <cell r="Y157">
            <v>0.90525826694812095</v>
          </cell>
          <cell r="Z157">
            <v>0.93466724116306199</v>
          </cell>
          <cell r="AA157">
            <v>0.93604901037407695</v>
          </cell>
          <cell r="AF157">
            <v>-8.0483221685110004E-3</v>
          </cell>
          <cell r="AG157">
            <v>-5.62773646410911E-3</v>
          </cell>
          <cell r="AR157">
            <v>4.1861007866058404E-2</v>
          </cell>
          <cell r="BC157">
            <v>3.9793584375604846E-2</v>
          </cell>
          <cell r="BF157">
            <v>8.1654592241663243E-2</v>
          </cell>
        </row>
        <row r="158">
          <cell r="O158">
            <v>0.90525826694812095</v>
          </cell>
          <cell r="P158">
            <v>0.93375009165158696</v>
          </cell>
          <cell r="Q158">
            <v>0.93536811657923902</v>
          </cell>
          <cell r="U158">
            <v>-2.97984424590137E-2</v>
          </cell>
          <cell r="V158">
            <v>2.17185085030139E-3</v>
          </cell>
          <cell r="W158">
            <v>3.6491133278856599E-3</v>
          </cell>
          <cell r="Y158">
            <v>0.90525826694812095</v>
          </cell>
          <cell r="Z158">
            <v>0.93375009165158696</v>
          </cell>
          <cell r="AA158">
            <v>0.93536811657923902</v>
          </cell>
          <cell r="AF158">
            <v>2.17185085030139E-3</v>
          </cell>
          <cell r="AG158">
            <v>3.6491133278856599E-3</v>
          </cell>
          <cell r="AR158">
            <v>4.1861007866058404E-2</v>
          </cell>
          <cell r="BC158">
            <v>3.9793584375604846E-2</v>
          </cell>
          <cell r="BF158">
            <v>8.1654592241663243E-2</v>
          </cell>
        </row>
        <row r="159">
          <cell r="O159">
            <v>0.90525826694812095</v>
          </cell>
          <cell r="P159">
            <v>0.93324181004531703</v>
          </cell>
          <cell r="Q159">
            <v>0.93436529655843503</v>
          </cell>
          <cell r="U159">
            <v>-2.3150700030323199E-2</v>
          </cell>
          <cell r="V159">
            <v>7.8378537403658993E-3</v>
          </cell>
          <cell r="W159">
            <v>9.56917851660939E-3</v>
          </cell>
          <cell r="Y159">
            <v>0.90525826694812095</v>
          </cell>
          <cell r="Z159">
            <v>0.93324181004531703</v>
          </cell>
          <cell r="AA159">
            <v>0.93436529655843503</v>
          </cell>
          <cell r="AF159">
            <v>7.8378537403658993E-3</v>
          </cell>
          <cell r="AG159">
            <v>9.56917851660939E-3</v>
          </cell>
          <cell r="AR159">
            <v>4.1861007866058404E-2</v>
          </cell>
          <cell r="BC159">
            <v>3.9793584375604846E-2</v>
          </cell>
          <cell r="BF159">
            <v>8.1654592241663243E-2</v>
          </cell>
        </row>
        <row r="160">
          <cell r="O160">
            <v>0.90525826694812095</v>
          </cell>
          <cell r="P160">
            <v>0.93289666204527599</v>
          </cell>
          <cell r="Q160">
            <v>0.93327726408234501</v>
          </cell>
          <cell r="U160">
            <v>-2.5215094239004799E-2</v>
          </cell>
          <cell r="V160">
            <v>5.2289669515450899E-3</v>
          </cell>
          <cell r="W160">
            <v>6.4320965012966301E-3</v>
          </cell>
          <cell r="Y160">
            <v>0.90525826694812095</v>
          </cell>
          <cell r="Z160">
            <v>0.93289666204527599</v>
          </cell>
          <cell r="AA160">
            <v>0.93327726408234501</v>
          </cell>
          <cell r="AF160">
            <v>5.2289669515450899E-3</v>
          </cell>
          <cell r="AG160">
            <v>6.4320965012966301E-3</v>
          </cell>
          <cell r="AR160">
            <v>4.1861007866058404E-2</v>
          </cell>
          <cell r="BC160">
            <v>3.9793584375604846E-2</v>
          </cell>
          <cell r="BF160">
            <v>8.1654592241663243E-2</v>
          </cell>
        </row>
        <row r="161">
          <cell r="O161">
            <v>0.90525826694812095</v>
          </cell>
          <cell r="P161">
            <v>0.932459911474394</v>
          </cell>
          <cell r="Q161">
            <v>0.93272081553999497</v>
          </cell>
          <cell r="U161">
            <v>-2.4773456330894901E-2</v>
          </cell>
          <cell r="V161">
            <v>5.3006987576817901E-3</v>
          </cell>
          <cell r="W161">
            <v>5.7085943316339304E-3</v>
          </cell>
          <cell r="Y161">
            <v>0.90525826694812095</v>
          </cell>
          <cell r="Z161">
            <v>0.932459911474394</v>
          </cell>
          <cell r="AA161">
            <v>0.93272081553999497</v>
          </cell>
          <cell r="AF161">
            <v>5.3006987576817901E-3</v>
          </cell>
          <cell r="AG161">
            <v>5.7085943316339304E-3</v>
          </cell>
          <cell r="AR161">
            <v>4.1861007866058404E-2</v>
          </cell>
          <cell r="BC161">
            <v>3.9793584375604846E-2</v>
          </cell>
          <cell r="BF161">
            <v>8.1654592241663243E-2</v>
          </cell>
        </row>
        <row r="162">
          <cell r="O162">
            <v>0.90525826694812095</v>
          </cell>
          <cell r="P162">
            <v>0.93205956310882598</v>
          </cell>
          <cell r="Q162">
            <v>0.93195242598308803</v>
          </cell>
          <cell r="U162">
            <v>-2.2344230557110201E-2</v>
          </cell>
          <cell r="V162">
            <v>7.2616488301196196E-3</v>
          </cell>
          <cell r="W162">
            <v>7.5414116043361996E-3</v>
          </cell>
          <cell r="Y162">
            <v>0.90525826694812095</v>
          </cell>
          <cell r="Z162">
            <v>0.93205956310882598</v>
          </cell>
          <cell r="AA162">
            <v>0.93195242598308803</v>
          </cell>
          <cell r="AF162">
            <v>7.2616488301196196E-3</v>
          </cell>
          <cell r="AG162">
            <v>7.5414116043361996E-3</v>
          </cell>
          <cell r="AR162">
            <v>4.1861007866058404E-2</v>
          </cell>
          <cell r="BC162">
            <v>3.9793584375604846E-2</v>
          </cell>
          <cell r="BF162">
            <v>8.1654592241663243E-2</v>
          </cell>
        </row>
        <row r="163">
          <cell r="O163">
            <v>0.90525826694812095</v>
          </cell>
          <cell r="P163">
            <v>0.93130632753449505</v>
          </cell>
          <cell r="Q163">
            <v>0.93179664494603998</v>
          </cell>
          <cell r="U163">
            <v>-2.1430487483619601E-2</v>
          </cell>
          <cell r="V163">
            <v>7.7459532442899302E-3</v>
          </cell>
          <cell r="W163">
            <v>7.6309999859604698E-3</v>
          </cell>
          <cell r="Y163">
            <v>0.90525826694812095</v>
          </cell>
          <cell r="Z163">
            <v>0.93130632753449505</v>
          </cell>
          <cell r="AA163">
            <v>0.93179664494603998</v>
          </cell>
          <cell r="AF163">
            <v>7.7459532442899302E-3</v>
          </cell>
          <cell r="AG163">
            <v>7.6309999859604698E-3</v>
          </cell>
          <cell r="AR163">
            <v>4.1861007866058404E-2</v>
          </cell>
          <cell r="BC163">
            <v>3.9793584375604846E-2</v>
          </cell>
          <cell r="BF163">
            <v>8.1654592241663243E-2</v>
          </cell>
        </row>
        <row r="164">
          <cell r="O164">
            <v>0.90525826694812095</v>
          </cell>
          <cell r="P164">
            <v>0.93057776382053303</v>
          </cell>
          <cell r="Q164">
            <v>0.93205392221866401</v>
          </cell>
          <cell r="U164">
            <v>-2.4123756768574998E-2</v>
          </cell>
          <cell r="V164">
            <v>4.2442162084319699E-3</v>
          </cell>
          <cell r="W164">
            <v>4.77056116102697E-3</v>
          </cell>
          <cell r="Y164">
            <v>0.90525826694812095</v>
          </cell>
          <cell r="Z164">
            <v>0.93057776382053303</v>
          </cell>
          <cell r="AA164">
            <v>0.93205392221866401</v>
          </cell>
          <cell r="AF164">
            <v>4.2442162084319699E-3</v>
          </cell>
          <cell r="AG164">
            <v>4.77056116102697E-3</v>
          </cell>
          <cell r="AR164">
            <v>4.1861007866058404E-2</v>
          </cell>
          <cell r="BC164">
            <v>3.9793584375604846E-2</v>
          </cell>
          <cell r="BF164">
            <v>8.1654592241663243E-2</v>
          </cell>
        </row>
        <row r="165">
          <cell r="O165">
            <v>0.90525826694812095</v>
          </cell>
          <cell r="P165">
            <v>0.92879064583795101</v>
          </cell>
          <cell r="Q165">
            <v>0.93109186567986102</v>
          </cell>
          <cell r="U165">
            <v>-1.2866256410961599E-2</v>
          </cell>
          <cell r="V165">
            <v>1.47191074288495E-2</v>
          </cell>
          <cell r="W165">
            <v>1.6304132228160101E-2</v>
          </cell>
          <cell r="Y165">
            <v>0.90525826694812095</v>
          </cell>
          <cell r="Z165">
            <v>0.92879064583795101</v>
          </cell>
          <cell r="AA165">
            <v>0.93109186567986102</v>
          </cell>
          <cell r="AF165">
            <v>1.47191074288495E-2</v>
          </cell>
          <cell r="AG165">
            <v>1.6304132228160101E-2</v>
          </cell>
          <cell r="AR165">
            <v>4.1861007866058404E-2</v>
          </cell>
          <cell r="BC165">
            <v>3.9793584375604846E-2</v>
          </cell>
          <cell r="BF165">
            <v>8.1654592241663243E-2</v>
          </cell>
        </row>
        <row r="166">
          <cell r="O166">
            <v>0.90525826694812095</v>
          </cell>
          <cell r="P166">
            <v>0.92710952979499595</v>
          </cell>
          <cell r="Q166">
            <v>0.93036682598563902</v>
          </cell>
          <cell r="U166">
            <v>-1.56792772494538E-2</v>
          </cell>
          <cell r="V166">
            <v>9.9838010189668407E-3</v>
          </cell>
          <cell r="W166">
            <v>1.24583885286274E-2</v>
          </cell>
          <cell r="Y166">
            <v>0.90525826694812095</v>
          </cell>
          <cell r="Z166">
            <v>0.92710952979499595</v>
          </cell>
          <cell r="AA166">
            <v>0.93036682598563902</v>
          </cell>
          <cell r="AF166">
            <v>9.9838010189668407E-3</v>
          </cell>
          <cell r="AG166">
            <v>1.24583885286274E-2</v>
          </cell>
          <cell r="AR166">
            <v>4.1861007866058404E-2</v>
          </cell>
          <cell r="BC166">
            <v>3.9793584375604846E-2</v>
          </cell>
          <cell r="BF166">
            <v>8.1654592241663243E-2</v>
          </cell>
        </row>
        <row r="167">
          <cell r="O167">
            <v>0.90525826694812095</v>
          </cell>
          <cell r="P167">
            <v>0.924802315034847</v>
          </cell>
          <cell r="Q167">
            <v>0.92973477809895499</v>
          </cell>
          <cell r="U167">
            <v>-1.40821168683327E-2</v>
          </cell>
          <cell r="V167">
            <v>9.7693160057716506E-3</v>
          </cell>
          <cell r="W167">
            <v>1.32765472223801E-2</v>
          </cell>
          <cell r="Y167">
            <v>0.90525826694812095</v>
          </cell>
          <cell r="Z167">
            <v>0.924802315034847</v>
          </cell>
          <cell r="AA167">
            <v>0.92973477809895499</v>
          </cell>
          <cell r="AF167">
            <v>9.7693160057716506E-3</v>
          </cell>
          <cell r="AG167">
            <v>1.32765472223801E-2</v>
          </cell>
          <cell r="AR167">
            <v>4.1861007866058404E-2</v>
          </cell>
          <cell r="BC167">
            <v>3.9793584375604846E-2</v>
          </cell>
          <cell r="BF167">
            <v>8.1654592241663243E-2</v>
          </cell>
        </row>
        <row r="168">
          <cell r="O168">
            <v>0.90525826694812095</v>
          </cell>
          <cell r="P168">
            <v>0.92330132449597502</v>
          </cell>
          <cell r="Q168">
            <v>0.92852570807378099</v>
          </cell>
          <cell r="U168">
            <v>-1.3573521517780599E-2</v>
          </cell>
          <cell r="V168">
            <v>7.7861988481821697E-3</v>
          </cell>
          <cell r="W168">
            <v>1.31055582861153E-2</v>
          </cell>
          <cell r="Y168">
            <v>0.90525826694812095</v>
          </cell>
          <cell r="Z168">
            <v>0.92330132449597502</v>
          </cell>
          <cell r="AA168">
            <v>0.92852570807378099</v>
          </cell>
          <cell r="AF168">
            <v>7.7861988481821697E-3</v>
          </cell>
          <cell r="AG168">
            <v>1.31055582861153E-2</v>
          </cell>
          <cell r="AR168">
            <v>4.1861007866058404E-2</v>
          </cell>
          <cell r="BC168">
            <v>3.9793584375604846E-2</v>
          </cell>
          <cell r="BF168">
            <v>8.1654592241663243E-2</v>
          </cell>
        </row>
        <row r="169">
          <cell r="O169">
            <v>0.90525826694812095</v>
          </cell>
          <cell r="P169">
            <v>0.92174672550185699</v>
          </cell>
          <cell r="Q169">
            <v>0.92749426777358701</v>
          </cell>
          <cell r="U169">
            <v>-6.2283324249253202E-3</v>
          </cell>
          <cell r="V169">
            <v>1.35070300459485E-2</v>
          </cell>
          <cell r="W169">
            <v>1.9149454901638701E-2</v>
          </cell>
          <cell r="Y169">
            <v>0.90525826694812095</v>
          </cell>
          <cell r="Z169">
            <v>0.92174672550185699</v>
          </cell>
          <cell r="AA169">
            <v>0.92749426777358701</v>
          </cell>
          <cell r="AF169">
            <v>1.35070300459485E-2</v>
          </cell>
          <cell r="AG169">
            <v>1.9149454901638701E-2</v>
          </cell>
          <cell r="AR169">
            <v>4.1861007866058404E-2</v>
          </cell>
          <cell r="BC169">
            <v>3.9793584375604846E-2</v>
          </cell>
          <cell r="BF169">
            <v>8.1654592241663243E-2</v>
          </cell>
        </row>
        <row r="170">
          <cell r="O170">
            <v>0.90525826694812095</v>
          </cell>
          <cell r="P170">
            <v>0.91978873876447997</v>
          </cell>
          <cell r="Q170">
            <v>0.92634270040487798</v>
          </cell>
          <cell r="U170">
            <v>-3.89903238566214E-3</v>
          </cell>
          <cell r="V170">
            <v>1.4151171411961001E-2</v>
          </cell>
          <cell r="W170">
            <v>2.03673009481679E-2</v>
          </cell>
          <cell r="Y170">
            <v>0.90525826694812095</v>
          </cell>
          <cell r="Z170">
            <v>0.91978873876447997</v>
          </cell>
          <cell r="AA170">
            <v>0.92634270040487798</v>
          </cell>
          <cell r="AF170">
            <v>1.4151171411961001E-2</v>
          </cell>
          <cell r="AG170">
            <v>2.03673009481679E-2</v>
          </cell>
          <cell r="AR170">
            <v>4.1861007866058404E-2</v>
          </cell>
          <cell r="BC170">
            <v>3.9793584375604846E-2</v>
          </cell>
          <cell r="BF170">
            <v>8.1654592241663243E-2</v>
          </cell>
        </row>
        <row r="171">
          <cell r="O171">
            <v>0.90525826694812095</v>
          </cell>
          <cell r="P171">
            <v>0.91867671470116397</v>
          </cell>
          <cell r="Q171">
            <v>0.92556831308777898</v>
          </cell>
          <cell r="U171">
            <v>-1.27176024520953E-2</v>
          </cell>
          <cell r="V171">
            <v>3.2061286131954501E-3</v>
          </cell>
          <cell r="W171">
            <v>1.0306369728524001E-2</v>
          </cell>
          <cell r="Y171">
            <v>0.90525826694812095</v>
          </cell>
          <cell r="Z171">
            <v>0.91867671470116397</v>
          </cell>
          <cell r="AA171">
            <v>0.92556831308777898</v>
          </cell>
          <cell r="AF171">
            <v>3.2061286131954501E-3</v>
          </cell>
          <cell r="AG171">
            <v>1.0306369728524001E-2</v>
          </cell>
          <cell r="AR171">
            <v>4.1861007866058404E-2</v>
          </cell>
          <cell r="BC171">
            <v>3.9793584375604846E-2</v>
          </cell>
          <cell r="BF171">
            <v>8.1654592241663243E-2</v>
          </cell>
        </row>
        <row r="172">
          <cell r="O172">
            <v>0.90525826694812095</v>
          </cell>
          <cell r="P172">
            <v>0.918204461625444</v>
          </cell>
          <cell r="Q172">
            <v>0.92513201236713505</v>
          </cell>
          <cell r="U172">
            <v>-1.72296684202763E-2</v>
          </cell>
          <cell r="V172">
            <v>-2.51566821703285E-3</v>
          </cell>
          <cell r="W172">
            <v>4.9579921270167604E-3</v>
          </cell>
          <cell r="Y172">
            <v>0.90525826694812095</v>
          </cell>
          <cell r="Z172">
            <v>0.918204461625444</v>
          </cell>
          <cell r="AA172">
            <v>0.92513201236713505</v>
          </cell>
          <cell r="AF172">
            <v>-2.51566821703285E-3</v>
          </cell>
          <cell r="AG172">
            <v>4.9579921270167604E-3</v>
          </cell>
          <cell r="AR172">
            <v>4.1861007866058404E-2</v>
          </cell>
          <cell r="BC172">
            <v>3.9793584375604846E-2</v>
          </cell>
          <cell r="BF172">
            <v>8.1654592241663243E-2</v>
          </cell>
        </row>
        <row r="173">
          <cell r="O173">
            <v>0.90525826694812095</v>
          </cell>
          <cell r="P173">
            <v>0.918353809936996</v>
          </cell>
          <cell r="Q173">
            <v>0.92483006873574503</v>
          </cell>
          <cell r="U173">
            <v>-2.3043992276663199E-2</v>
          </cell>
          <cell r="V173">
            <v>-8.8441822041810201E-3</v>
          </cell>
          <cell r="W173">
            <v>-1.32782970527238E-3</v>
          </cell>
          <cell r="Y173">
            <v>0.90525826694812095</v>
          </cell>
          <cell r="Z173">
            <v>0.918353809936996</v>
          </cell>
          <cell r="AA173">
            <v>0.92483006873574503</v>
          </cell>
          <cell r="AF173">
            <v>-8.8441822041810201E-3</v>
          </cell>
          <cell r="AG173">
            <v>-1.32782970527238E-3</v>
          </cell>
          <cell r="AR173">
            <v>4.1861007866058404E-2</v>
          </cell>
          <cell r="BC173">
            <v>3.9793584375604846E-2</v>
          </cell>
          <cell r="BF173">
            <v>8.1654592241663243E-2</v>
          </cell>
        </row>
        <row r="174">
          <cell r="O174">
            <v>0.90525826694812095</v>
          </cell>
          <cell r="P174">
            <v>0.91796964437825301</v>
          </cell>
          <cell r="Q174">
            <v>0.92427370409939302</v>
          </cell>
          <cell r="U174">
            <v>-1.9972589670458799E-2</v>
          </cell>
          <cell r="V174">
            <v>-5.6101402587377201E-3</v>
          </cell>
          <cell r="W174">
            <v>1.4171406598010501E-3</v>
          </cell>
          <cell r="Y174">
            <v>0.90525826694812095</v>
          </cell>
          <cell r="Z174">
            <v>0.91796964437825301</v>
          </cell>
          <cell r="AA174">
            <v>0.92427370409939302</v>
          </cell>
          <cell r="AF174">
            <v>-5.6101402587377201E-3</v>
          </cell>
          <cell r="AG174">
            <v>1.4171406598010501E-3</v>
          </cell>
          <cell r="AR174">
            <v>4.1861007866058404E-2</v>
          </cell>
          <cell r="BC174">
            <v>3.9793584375604846E-2</v>
          </cell>
          <cell r="BF174">
            <v>8.1654592241663243E-2</v>
          </cell>
        </row>
        <row r="175">
          <cell r="O175">
            <v>0.90525826694812095</v>
          </cell>
          <cell r="P175">
            <v>0.91897907293760495</v>
          </cell>
          <cell r="Q175">
            <v>0.92388485938777798</v>
          </cell>
          <cell r="U175">
            <v>-2.3814282949737999E-2</v>
          </cell>
          <cell r="V175">
            <v>-9.8702408327054503E-3</v>
          </cell>
          <cell r="W175">
            <v>-3.0263194443744998E-3</v>
          </cell>
          <cell r="Y175">
            <v>0.90525826694812095</v>
          </cell>
          <cell r="Z175">
            <v>0.91897907293760495</v>
          </cell>
          <cell r="AA175">
            <v>0.92388485938777798</v>
          </cell>
          <cell r="AF175">
            <v>-9.8702408327054503E-3</v>
          </cell>
          <cell r="AG175">
            <v>-3.0263194443744998E-3</v>
          </cell>
          <cell r="AR175">
            <v>4.1861007866058404E-2</v>
          </cell>
          <cell r="BC175">
            <v>3.9793584375604846E-2</v>
          </cell>
          <cell r="BF175">
            <v>8.1654592241663243E-2</v>
          </cell>
        </row>
        <row r="176">
          <cell r="O176">
            <v>0.90525826694812095</v>
          </cell>
          <cell r="P176">
            <v>0.91887863657852498</v>
          </cell>
          <cell r="Q176">
            <v>0.92299408318676102</v>
          </cell>
          <cell r="U176">
            <v>-1.45864630797527E-2</v>
          </cell>
          <cell r="V176">
            <v>4.5660662737048399E-4</v>
          </cell>
          <cell r="W176">
            <v>5.78070891449809E-3</v>
          </cell>
          <cell r="Y176">
            <v>0.90525826694812095</v>
          </cell>
          <cell r="Z176">
            <v>0.91887863657852498</v>
          </cell>
          <cell r="AA176">
            <v>0.92299408318676102</v>
          </cell>
          <cell r="AF176">
            <v>4.5660662737048399E-4</v>
          </cell>
          <cell r="AG176">
            <v>5.78070891449809E-3</v>
          </cell>
          <cell r="AR176">
            <v>4.1861007866058404E-2</v>
          </cell>
          <cell r="BC176">
            <v>3.9793584375604846E-2</v>
          </cell>
          <cell r="BF176">
            <v>8.1654592241663243E-2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77D2B-D949-4C54-81CD-9B7667B35062}">
  <dimension ref="A1:DZ179"/>
  <sheetViews>
    <sheetView tabSelected="1" topLeftCell="AI1" workbookViewId="0">
      <selection activeCell="AZ2" sqref="AZ2"/>
    </sheetView>
  </sheetViews>
  <sheetFormatPr defaultRowHeight="15" x14ac:dyDescent="0.25"/>
  <cols>
    <col min="1" max="1" width="9.42578125" bestFit="1" customWidth="1"/>
    <col min="2" max="3" width="11" style="33" bestFit="1" customWidth="1"/>
    <col min="4" max="4" width="11.28515625" style="15" bestFit="1" customWidth="1"/>
    <col min="5" max="5" width="12" style="15" bestFit="1" customWidth="1"/>
    <col min="6" max="6" width="9.7109375" style="33" bestFit="1" customWidth="1"/>
    <col min="7" max="7" width="18.140625" style="33" bestFit="1" customWidth="1"/>
    <col min="8" max="8" width="10.42578125" style="33" bestFit="1" customWidth="1"/>
    <col min="9" max="9" width="18.85546875" style="33" bestFit="1" customWidth="1"/>
    <col min="10" max="10" width="20.7109375" style="33" bestFit="1" customWidth="1"/>
    <col min="11" max="11" width="21.5703125" style="33" bestFit="1" customWidth="1"/>
    <col min="12" max="13" width="11" style="33" bestFit="1" customWidth="1"/>
    <col min="14" max="14" width="12.140625" style="34" bestFit="1" customWidth="1"/>
    <col min="15" max="15" width="15.7109375" style="34" bestFit="1" customWidth="1"/>
    <col min="16" max="17" width="19.140625" style="34" bestFit="1" customWidth="1"/>
    <col min="18" max="18" width="11.42578125" style="33" bestFit="1" customWidth="1"/>
    <col min="19" max="20" width="14.85546875" style="33" bestFit="1" customWidth="1"/>
    <col min="21" max="21" width="23.5703125" style="15" bestFit="1" customWidth="1"/>
    <col min="22" max="23" width="27" style="15" bestFit="1" customWidth="1"/>
    <col min="24" max="24" width="14.28515625" style="34" bestFit="1" customWidth="1"/>
    <col min="25" max="25" width="17.85546875" style="34" bestFit="1" customWidth="1"/>
    <col min="26" max="27" width="21.140625" style="34" bestFit="1" customWidth="1"/>
    <col min="28" max="28" width="12.42578125" style="33" bestFit="1" customWidth="1"/>
    <col min="29" max="30" width="15.85546875" style="33" bestFit="1" customWidth="1"/>
    <col min="31" max="31" width="25.7109375" style="15" bestFit="1" customWidth="1"/>
    <col min="32" max="33" width="29" style="15" bestFit="1" customWidth="1"/>
    <col min="34" max="34" width="1.7109375" style="9" customWidth="1"/>
    <col min="35" max="35" width="7.7109375" style="15" bestFit="1" customWidth="1"/>
    <col min="36" max="36" width="6.7109375" style="15" bestFit="1" customWidth="1"/>
    <col min="37" max="38" width="6.85546875" style="15" bestFit="1" customWidth="1"/>
    <col min="39" max="39" width="7.85546875" style="15" bestFit="1" customWidth="1"/>
    <col min="40" max="40" width="8.42578125" style="15" bestFit="1" customWidth="1"/>
    <col min="41" max="41" width="11.28515625" style="15" bestFit="1" customWidth="1"/>
    <col min="42" max="42" width="12" style="15" bestFit="1" customWidth="1"/>
    <col min="43" max="43" width="12.7109375" style="15" bestFit="1" customWidth="1"/>
    <col min="44" max="44" width="8.7109375" style="15" bestFit="1" customWidth="1"/>
    <col min="45" max="45" width="1.7109375" style="9" customWidth="1"/>
    <col min="46" max="46" width="7.7109375" style="15" bestFit="1" customWidth="1"/>
    <col min="47" max="47" width="6.140625" style="15" bestFit="1" customWidth="1"/>
    <col min="48" max="48" width="6.28515625" style="15" bestFit="1" customWidth="1"/>
    <col min="49" max="49" width="6.140625" style="15" bestFit="1" customWidth="1"/>
    <col min="50" max="50" width="7.85546875" style="15" bestFit="1" customWidth="1"/>
    <col min="51" max="51" width="8.42578125" style="15" bestFit="1" customWidth="1"/>
    <col min="52" max="52" width="11.28515625" style="15" bestFit="1" customWidth="1"/>
    <col min="53" max="54" width="12" style="15" bestFit="1" customWidth="1"/>
    <col min="55" max="55" width="8.7109375" style="15" bestFit="1" customWidth="1"/>
    <col min="56" max="56" width="1.7109375" style="9" customWidth="1"/>
    <col min="57" max="57" width="12.7109375" bestFit="1" customWidth="1"/>
    <col min="58" max="58" width="8.7109375" bestFit="1" customWidth="1"/>
    <col min="59" max="59" width="1.7109375" style="9" customWidth="1"/>
    <col min="60" max="60" width="6.85546875" customWidth="1"/>
    <col min="61" max="61" width="8.7109375" bestFit="1" customWidth="1"/>
    <col min="78" max="78" width="7.28515625" style="12" bestFit="1" customWidth="1"/>
    <col min="79" max="79" width="6.7109375" style="12" bestFit="1" customWidth="1"/>
    <col min="80" max="80" width="5.7109375" bestFit="1" customWidth="1"/>
    <col min="81" max="81" width="4.5703125" bestFit="1" customWidth="1"/>
    <col min="82" max="82" width="4.85546875" bestFit="1" customWidth="1"/>
    <col min="83" max="83" width="7.28515625" bestFit="1" customWidth="1"/>
    <col min="84" max="84" width="7.7109375" bestFit="1" customWidth="1"/>
    <col min="85" max="85" width="10.7109375" bestFit="1" customWidth="1"/>
    <col min="86" max="86" width="9.28515625" bestFit="1" customWidth="1"/>
    <col min="87" max="87" width="6.7109375" bestFit="1" customWidth="1"/>
    <col min="88" max="88" width="7.42578125" bestFit="1" customWidth="1"/>
    <col min="90" max="90" width="7.28515625" style="12" bestFit="1" customWidth="1"/>
    <col min="91" max="91" width="6.140625" style="12" bestFit="1" customWidth="1"/>
    <col min="92" max="92" width="4.5703125" bestFit="1" customWidth="1"/>
    <col min="93" max="93" width="5.7109375" bestFit="1" customWidth="1"/>
    <col min="94" max="94" width="4.85546875" bestFit="1" customWidth="1"/>
    <col min="95" max="95" width="7.28515625" bestFit="1" customWidth="1"/>
    <col min="96" max="96" width="7.7109375" bestFit="1" customWidth="1"/>
    <col min="97" max="97" width="10.7109375" bestFit="1" customWidth="1"/>
    <col min="98" max="98" width="9.28515625" bestFit="1" customWidth="1"/>
    <col min="99" max="99" width="6.7109375" bestFit="1" customWidth="1"/>
    <col min="100" max="100" width="7.42578125" bestFit="1" customWidth="1"/>
    <col min="102" max="102" width="6.7109375" bestFit="1" customWidth="1"/>
    <col min="103" max="103" width="7.42578125" bestFit="1" customWidth="1"/>
    <col min="116" max="116" width="7.5703125" bestFit="1" customWidth="1"/>
    <col min="117" max="124" width="7.42578125" bestFit="1" customWidth="1"/>
    <col min="125" max="125" width="5.42578125" bestFit="1" customWidth="1"/>
    <col min="126" max="126" width="4.28515625" bestFit="1" customWidth="1"/>
    <col min="127" max="127" width="5.85546875" bestFit="1" customWidth="1"/>
  </cols>
  <sheetData>
    <row r="1" spans="1:130" s="7" customFormat="1" x14ac:dyDescent="0.25">
      <c r="A1" s="7" t="s">
        <v>0</v>
      </c>
      <c r="B1" s="30" t="s">
        <v>1</v>
      </c>
      <c r="C1" s="30" t="s">
        <v>2</v>
      </c>
      <c r="D1" s="31" t="s">
        <v>3</v>
      </c>
      <c r="E1" s="31" t="s">
        <v>4</v>
      </c>
      <c r="F1" s="30" t="s">
        <v>5</v>
      </c>
      <c r="G1" s="30" t="s">
        <v>6</v>
      </c>
      <c r="H1" s="30" t="s">
        <v>7</v>
      </c>
      <c r="I1" s="30" t="s">
        <v>8</v>
      </c>
      <c r="J1" s="30" t="s">
        <v>9</v>
      </c>
      <c r="K1" s="30" t="s">
        <v>10</v>
      </c>
      <c r="L1" s="30" t="s">
        <v>11</v>
      </c>
      <c r="M1" s="30" t="s">
        <v>12</v>
      </c>
      <c r="N1" s="32" t="s">
        <v>13</v>
      </c>
      <c r="O1" s="32" t="s">
        <v>14</v>
      </c>
      <c r="P1" s="32" t="s">
        <v>15</v>
      </c>
      <c r="Q1" s="32" t="s">
        <v>16</v>
      </c>
      <c r="R1" s="30" t="s">
        <v>17</v>
      </c>
      <c r="S1" s="30" t="s">
        <v>18</v>
      </c>
      <c r="T1" s="30" t="s">
        <v>19</v>
      </c>
      <c r="U1" s="31" t="s">
        <v>20</v>
      </c>
      <c r="V1" s="31" t="s">
        <v>21</v>
      </c>
      <c r="W1" s="31" t="s">
        <v>22</v>
      </c>
      <c r="X1" s="32" t="s">
        <v>23</v>
      </c>
      <c r="Y1" s="32" t="s">
        <v>24</v>
      </c>
      <c r="Z1" s="32" t="s">
        <v>25</v>
      </c>
      <c r="AA1" s="32" t="s">
        <v>26</v>
      </c>
      <c r="AB1" s="30" t="s">
        <v>27</v>
      </c>
      <c r="AC1" s="30" t="s">
        <v>28</v>
      </c>
      <c r="AD1" s="30" t="s">
        <v>29</v>
      </c>
      <c r="AE1" s="31" t="s">
        <v>30</v>
      </c>
      <c r="AF1" s="31" t="s">
        <v>31</v>
      </c>
      <c r="AG1" s="31" t="s">
        <v>32</v>
      </c>
      <c r="AH1" s="2"/>
      <c r="AI1" s="3">
        <f>AQ16</f>
        <v>3.2747914837848029</v>
      </c>
      <c r="AJ1" s="4">
        <v>0</v>
      </c>
      <c r="AK1" s="4">
        <f t="shared" ref="AK1:AQ1" si="0">AJ1-$AK12</f>
        <v>-2.0000000000000001E-4</v>
      </c>
      <c r="AL1" s="4">
        <f t="shared" si="0"/>
        <v>-4.0000000000000002E-4</v>
      </c>
      <c r="AM1" s="4">
        <f t="shared" si="0"/>
        <v>-6.0000000000000006E-4</v>
      </c>
      <c r="AN1" s="4">
        <f t="shared" si="0"/>
        <v>-8.0000000000000004E-4</v>
      </c>
      <c r="AO1" s="4">
        <f t="shared" si="0"/>
        <v>-1E-3</v>
      </c>
      <c r="AP1" s="4">
        <f t="shared" si="0"/>
        <v>-1.2000000000000001E-3</v>
      </c>
      <c r="AQ1" s="4">
        <f t="shared" si="0"/>
        <v>-1.4000000000000002E-3</v>
      </c>
      <c r="AR1" s="5" t="s">
        <v>33</v>
      </c>
      <c r="AS1" s="2"/>
      <c r="AT1" s="3">
        <f>BB16</f>
        <v>2.8955773137837308</v>
      </c>
      <c r="AU1" s="4">
        <v>0</v>
      </c>
      <c r="AV1" s="6">
        <f>AU1+$AV12</f>
        <v>2.0000000000000001E-4</v>
      </c>
      <c r="AW1" s="6">
        <f t="shared" ref="AW1:BB1" si="1">AV1+$AV12</f>
        <v>4.0000000000000002E-4</v>
      </c>
      <c r="AX1" s="6">
        <f t="shared" si="1"/>
        <v>6.0000000000000006E-4</v>
      </c>
      <c r="AY1" s="6">
        <f t="shared" si="1"/>
        <v>8.0000000000000004E-4</v>
      </c>
      <c r="AZ1" s="6">
        <f t="shared" si="1"/>
        <v>1E-3</v>
      </c>
      <c r="BA1" s="6">
        <f t="shared" si="1"/>
        <v>1.2000000000000001E-3</v>
      </c>
      <c r="BB1" s="6">
        <f t="shared" si="1"/>
        <v>1.4000000000000002E-3</v>
      </c>
      <c r="BC1" s="5" t="s">
        <v>33</v>
      </c>
      <c r="BD1" s="2"/>
      <c r="BG1" s="2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Z1" s="8"/>
      <c r="CA1" s="8"/>
      <c r="CB1" s="8"/>
      <c r="CC1" s="8"/>
      <c r="CD1" s="8"/>
      <c r="CE1" s="8"/>
      <c r="CF1" s="8"/>
      <c r="CK1" s="8"/>
      <c r="CL1" s="8"/>
      <c r="CM1" s="8"/>
      <c r="CN1" s="8"/>
      <c r="CO1" s="8"/>
      <c r="CP1" s="8"/>
      <c r="CQ1" s="8"/>
      <c r="CR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</row>
    <row r="2" spans="1:130" x14ac:dyDescent="0.25">
      <c r="A2" s="1">
        <v>46024</v>
      </c>
      <c r="B2" s="33">
        <v>45.75</v>
      </c>
      <c r="C2" s="33">
        <v>107.24</v>
      </c>
      <c r="F2" s="33">
        <v>0</v>
      </c>
      <c r="G2" s="33">
        <v>0</v>
      </c>
      <c r="H2" s="33">
        <v>0</v>
      </c>
      <c r="I2" s="33">
        <v>0</v>
      </c>
      <c r="J2" s="33">
        <v>0</v>
      </c>
      <c r="K2" s="33">
        <v>0</v>
      </c>
      <c r="L2" s="33">
        <v>45.75</v>
      </c>
      <c r="M2" s="33">
        <v>107.24</v>
      </c>
      <c r="N2" s="34">
        <v>2.3440437158469898</v>
      </c>
      <c r="O2" s="34">
        <v>2.3475193892851398</v>
      </c>
      <c r="X2" s="34">
        <v>2.3440437158469898</v>
      </c>
      <c r="Y2" s="34">
        <v>2.3475193892851398</v>
      </c>
      <c r="AI2" s="4">
        <v>0</v>
      </c>
      <c r="AJ2" s="10">
        <f t="dataTable" ref="AJ2:AQ9" dt2D="1" dtr="1" r1="AI21" r2="AI22"/>
        <v>2.0511629991915759</v>
      </c>
      <c r="AK2" s="10">
        <v>3.0991063097200584</v>
      </c>
      <c r="AL2" s="10">
        <v>2.9239103109759461</v>
      </c>
      <c r="AM2" s="10">
        <v>2.9160225728525244</v>
      </c>
      <c r="AN2" s="10">
        <v>2.694697262091907</v>
      </c>
      <c r="AO2" s="10">
        <v>3.2747914837848029</v>
      </c>
      <c r="AP2" s="10">
        <v>3.6035170753250716</v>
      </c>
      <c r="AQ2" s="10">
        <v>3.1942786053328791</v>
      </c>
      <c r="AR2"/>
      <c r="AT2" s="4">
        <v>0</v>
      </c>
      <c r="AU2" s="10">
        <f t="dataTable" ref="AU2:BB9" dt2D="1" dtr="1" r1="AT21" r2="AT22"/>
        <v>2.8669955924012731</v>
      </c>
      <c r="AV2" s="11">
        <v>3.1490020980312159</v>
      </c>
      <c r="AW2" s="11">
        <v>2.9718280623975954</v>
      </c>
      <c r="AX2" s="11">
        <v>2.8590718948164997</v>
      </c>
      <c r="AY2" s="11">
        <v>3.1514252434383812</v>
      </c>
      <c r="AZ2" s="11">
        <v>2.8955773137837308</v>
      </c>
      <c r="BA2" s="11">
        <v>2.2832256815328944</v>
      </c>
      <c r="BB2" s="11">
        <v>2.1560962165376929</v>
      </c>
      <c r="BC2"/>
    </row>
    <row r="3" spans="1:130" x14ac:dyDescent="0.25">
      <c r="A3" s="1">
        <v>46027</v>
      </c>
      <c r="B3" s="33">
        <v>45.79</v>
      </c>
      <c r="C3" s="33">
        <v>107.34</v>
      </c>
      <c r="D3" s="15">
        <v>8.7393494747365101E-4</v>
      </c>
      <c r="E3" s="15">
        <v>9.3205338092441697E-4</v>
      </c>
      <c r="F3" s="33">
        <v>0</v>
      </c>
      <c r="G3" s="33">
        <v>0</v>
      </c>
      <c r="H3" s="33">
        <v>0</v>
      </c>
      <c r="I3" s="33">
        <v>0</v>
      </c>
      <c r="J3" s="33">
        <v>0</v>
      </c>
      <c r="K3" s="33">
        <v>0</v>
      </c>
      <c r="L3" s="33">
        <v>45.79</v>
      </c>
      <c r="M3" s="33">
        <v>107.34</v>
      </c>
      <c r="N3" s="34">
        <v>2.3441799519545699</v>
      </c>
      <c r="O3" s="34">
        <v>2.3475193892851398</v>
      </c>
      <c r="R3" s="33">
        <v>107.492912835366</v>
      </c>
      <c r="U3" s="15">
        <v>1.42355153288095E-3</v>
      </c>
      <c r="X3" s="34">
        <v>2.3441799519545699</v>
      </c>
      <c r="Y3" s="34">
        <v>2.3475193892851398</v>
      </c>
      <c r="AB3" s="33">
        <v>107.492912835366</v>
      </c>
      <c r="AE3" s="15">
        <v>1.42355153288095E-3</v>
      </c>
      <c r="AI3" s="4">
        <f t="shared" ref="AI3:AI9" si="2">AI2-AK$12</f>
        <v>-2.0000000000000001E-4</v>
      </c>
      <c r="AJ3" s="10">
        <v>2.0511629991915759</v>
      </c>
      <c r="AK3" s="10">
        <v>3.6086204224288214</v>
      </c>
      <c r="AL3" s="10">
        <v>4.0634855868984046</v>
      </c>
      <c r="AM3" s="10">
        <v>4.2329066804334916</v>
      </c>
      <c r="AN3" s="10">
        <v>4.231160640957345</v>
      </c>
      <c r="AO3" s="11">
        <v>4.7621491214558809</v>
      </c>
      <c r="AP3" s="10">
        <v>4.3267004118785461</v>
      </c>
      <c r="AQ3" s="10">
        <v>3.63711220560115</v>
      </c>
      <c r="AR3"/>
      <c r="AT3" s="4">
        <f>AT2+AV$12</f>
        <v>2.0000000000000001E-4</v>
      </c>
      <c r="AU3" s="10">
        <v>2.8669955924012731</v>
      </c>
      <c r="AV3" s="11">
        <v>3.6160410986806064</v>
      </c>
      <c r="AW3" s="11">
        <v>3.2438307090033232</v>
      </c>
      <c r="AX3" s="11">
        <v>3.1331571479542397</v>
      </c>
      <c r="AY3" s="11">
        <v>3.3007593995341313</v>
      </c>
      <c r="AZ3" s="11">
        <v>3.0448158753745944</v>
      </c>
      <c r="BA3" s="11">
        <v>2.6744729031646721</v>
      </c>
      <c r="BB3" s="11">
        <v>2.0604337622965847</v>
      </c>
      <c r="BC3"/>
    </row>
    <row r="4" spans="1:130" x14ac:dyDescent="0.25">
      <c r="A4" s="1">
        <v>46028</v>
      </c>
      <c r="B4" s="33">
        <v>45.8</v>
      </c>
      <c r="C4" s="33">
        <v>107.42</v>
      </c>
      <c r="D4" s="15">
        <v>2.18364451135127E-4</v>
      </c>
      <c r="E4" s="15">
        <v>7.4501772863048304E-4</v>
      </c>
      <c r="F4" s="33">
        <v>0</v>
      </c>
      <c r="G4" s="33">
        <v>0</v>
      </c>
      <c r="H4" s="33">
        <v>0</v>
      </c>
      <c r="I4" s="33">
        <v>0</v>
      </c>
      <c r="J4" s="33">
        <v>0</v>
      </c>
      <c r="K4" s="33">
        <v>0</v>
      </c>
      <c r="L4" s="33">
        <v>45.8</v>
      </c>
      <c r="M4" s="33">
        <v>107.42</v>
      </c>
      <c r="N4" s="34">
        <v>2.3454148471615701</v>
      </c>
      <c r="O4" s="34">
        <v>2.3475193892851398</v>
      </c>
      <c r="R4" s="33">
        <v>107.51638802925901</v>
      </c>
      <c r="U4" s="15">
        <v>8.9689825538568605E-4</v>
      </c>
      <c r="X4" s="34">
        <v>2.3454148471615701</v>
      </c>
      <c r="Y4" s="34">
        <v>2.3475193892851398</v>
      </c>
      <c r="AB4" s="33">
        <v>107.51638802925901</v>
      </c>
      <c r="AE4" s="15">
        <v>8.9689825538568605E-4</v>
      </c>
      <c r="AG4"/>
      <c r="AI4" s="4">
        <f t="shared" si="2"/>
        <v>-4.0000000000000002E-4</v>
      </c>
      <c r="AJ4" s="10">
        <v>2.0511629991915759</v>
      </c>
      <c r="AK4" s="11">
        <v>3.6086204224288214</v>
      </c>
      <c r="AL4" s="11">
        <v>4.3814686292467178</v>
      </c>
      <c r="AM4" s="11">
        <v>4.3552656187732586</v>
      </c>
      <c r="AN4" s="10">
        <v>4.1281945691325035</v>
      </c>
      <c r="AO4" s="11">
        <v>4.6838678286757878</v>
      </c>
      <c r="AP4" s="11">
        <v>4.243532507467231</v>
      </c>
      <c r="AQ4" s="11">
        <v>3.5618108790406713</v>
      </c>
      <c r="AR4"/>
      <c r="AT4" s="4">
        <f t="shared" ref="AT4:AT9" si="3">AT3+AV$12</f>
        <v>4.0000000000000002E-4</v>
      </c>
      <c r="AU4" s="10">
        <v>2.8669955924012731</v>
      </c>
      <c r="AV4" s="11">
        <v>3.6160410986806064</v>
      </c>
      <c r="AW4" s="11">
        <v>3.2438307090033232</v>
      </c>
      <c r="AX4" s="11">
        <v>3.1331571479542397</v>
      </c>
      <c r="AY4" s="11">
        <v>3.3007593995341313</v>
      </c>
      <c r="AZ4" s="11">
        <v>3.0448158753745944</v>
      </c>
      <c r="BA4" s="11">
        <v>2.6744729031646721</v>
      </c>
      <c r="BB4" s="11">
        <v>2.0604337622965847</v>
      </c>
      <c r="BC4"/>
      <c r="BE4" s="8"/>
      <c r="BF4" s="8"/>
    </row>
    <row r="5" spans="1:130" x14ac:dyDescent="0.25">
      <c r="A5" s="1">
        <v>46029</v>
      </c>
      <c r="B5" s="33">
        <v>45.93</v>
      </c>
      <c r="C5" s="33">
        <v>107.65</v>
      </c>
      <c r="D5" s="15">
        <v>2.8344072175629101E-3</v>
      </c>
      <c r="E5" s="15">
        <v>2.1388393330587299E-3</v>
      </c>
      <c r="F5" s="33">
        <v>0</v>
      </c>
      <c r="G5" s="33">
        <v>0</v>
      </c>
      <c r="H5" s="33">
        <v>0</v>
      </c>
      <c r="I5" s="33">
        <v>0</v>
      </c>
      <c r="J5" s="33">
        <v>0</v>
      </c>
      <c r="K5" s="33">
        <v>0</v>
      </c>
      <c r="L5" s="33">
        <v>45.93</v>
      </c>
      <c r="M5" s="33">
        <v>107.65</v>
      </c>
      <c r="N5" s="34">
        <v>2.3437840191595898</v>
      </c>
      <c r="O5" s="34">
        <v>2.3475193892851398</v>
      </c>
      <c r="R5" s="33">
        <v>107.82156554986599</v>
      </c>
      <c r="U5" s="15">
        <v>1.59246613988969E-3</v>
      </c>
      <c r="X5" s="34">
        <v>2.3437840191595898</v>
      </c>
      <c r="Y5" s="34">
        <v>2.3475193892851398</v>
      </c>
      <c r="AB5" s="33">
        <v>107.82156554986599</v>
      </c>
      <c r="AE5" s="15">
        <v>1.59246613988969E-3</v>
      </c>
      <c r="AG5" s="29"/>
      <c r="AI5" s="4">
        <f t="shared" si="2"/>
        <v>-6.0000000000000006E-4</v>
      </c>
      <c r="AJ5" s="10">
        <v>2.0511629991915759</v>
      </c>
      <c r="AK5" s="11">
        <v>3.6086204224288214</v>
      </c>
      <c r="AL5" s="11">
        <v>4.3814686292467178</v>
      </c>
      <c r="AM5" s="11">
        <v>4.5850089207413038</v>
      </c>
      <c r="AN5" s="11">
        <v>4.5577125510009884</v>
      </c>
      <c r="AO5" s="11">
        <v>4.4293218865207544</v>
      </c>
      <c r="AP5" s="10">
        <v>4.0564193908164823</v>
      </c>
      <c r="AQ5" s="11">
        <v>3.5148148314879584</v>
      </c>
      <c r="AR5"/>
      <c r="AT5" s="4">
        <f t="shared" si="3"/>
        <v>6.0000000000000006E-4</v>
      </c>
      <c r="AU5" s="10">
        <v>2.8669955924012731</v>
      </c>
      <c r="AV5" s="11">
        <v>3.6160410986806064</v>
      </c>
      <c r="AW5" s="11">
        <v>3.2438307090033232</v>
      </c>
      <c r="AX5" s="11">
        <v>3.2111479864460599</v>
      </c>
      <c r="AY5" s="11">
        <v>3.1330744102225112</v>
      </c>
      <c r="AZ5" s="11">
        <v>3.0448158753745944</v>
      </c>
      <c r="BA5" s="11">
        <v>2.6744729031646721</v>
      </c>
      <c r="BB5" s="11">
        <v>2.0604337622965847</v>
      </c>
      <c r="BC5"/>
    </row>
    <row r="6" spans="1:130" x14ac:dyDescent="0.25">
      <c r="A6" s="1">
        <v>46030</v>
      </c>
      <c r="B6" s="33">
        <v>45.9</v>
      </c>
      <c r="C6" s="33">
        <v>107.53</v>
      </c>
      <c r="D6" s="15">
        <v>-6.5338127120267997E-4</v>
      </c>
      <c r="E6" s="15">
        <v>-1.11534540793716E-3</v>
      </c>
      <c r="F6" s="33">
        <v>0</v>
      </c>
      <c r="G6" s="33">
        <v>0</v>
      </c>
      <c r="H6" s="33">
        <v>0</v>
      </c>
      <c r="I6" s="33">
        <v>0</v>
      </c>
      <c r="J6" s="33">
        <v>0</v>
      </c>
      <c r="K6" s="33">
        <v>0</v>
      </c>
      <c r="L6" s="33">
        <v>45.9</v>
      </c>
      <c r="M6" s="33">
        <v>107.53</v>
      </c>
      <c r="N6" s="34">
        <v>2.3427015250544598</v>
      </c>
      <c r="O6" s="34">
        <v>2.3475193892851398</v>
      </c>
      <c r="R6" s="33">
        <v>107.751139968188</v>
      </c>
      <c r="U6" s="15">
        <v>2.0544302766242199E-3</v>
      </c>
      <c r="X6" s="34">
        <v>2.3427015250544598</v>
      </c>
      <c r="Y6" s="34">
        <v>2.3475193892851398</v>
      </c>
      <c r="AB6" s="33">
        <v>107.751139968188</v>
      </c>
      <c r="AE6" s="15">
        <v>2.0544302766242199E-3</v>
      </c>
      <c r="AG6" s="29"/>
      <c r="AI6" s="4">
        <f t="shared" si="2"/>
        <v>-8.0000000000000004E-4</v>
      </c>
      <c r="AJ6" s="10">
        <v>2.0511629991915759</v>
      </c>
      <c r="AK6" s="11">
        <v>3.6086204224288214</v>
      </c>
      <c r="AL6" s="11">
        <v>4.3814686292467178</v>
      </c>
      <c r="AM6" s="11">
        <v>4.5850089207413038</v>
      </c>
      <c r="AN6" s="11">
        <v>4.1838866102052341</v>
      </c>
      <c r="AO6" s="11">
        <v>3.8078950953876172</v>
      </c>
      <c r="AP6" s="11">
        <v>3.3810309240518031</v>
      </c>
      <c r="AQ6" s="11">
        <v>3.285309850570612</v>
      </c>
      <c r="AR6"/>
      <c r="AT6" s="4">
        <f t="shared" si="3"/>
        <v>8.0000000000000004E-4</v>
      </c>
      <c r="AU6" s="10">
        <v>2.8669955924012731</v>
      </c>
      <c r="AV6" s="11">
        <v>3.6160410986806064</v>
      </c>
      <c r="AW6" s="11">
        <v>3.2438307090033232</v>
      </c>
      <c r="AX6" s="11">
        <v>3.2111479864460599</v>
      </c>
      <c r="AY6" s="11">
        <v>3.1868523516894549</v>
      </c>
      <c r="AZ6" s="11">
        <v>3.163686854340054</v>
      </c>
      <c r="BA6" s="11">
        <v>2.4598996866482432</v>
      </c>
      <c r="BB6" s="11">
        <v>1.7672296438985633</v>
      </c>
      <c r="BC6"/>
    </row>
    <row r="7" spans="1:130" x14ac:dyDescent="0.25">
      <c r="A7" s="1">
        <v>46031</v>
      </c>
      <c r="B7" s="33">
        <v>45.95</v>
      </c>
      <c r="C7" s="33">
        <v>107.66</v>
      </c>
      <c r="D7" s="15">
        <v>1.08873173519665E-3</v>
      </c>
      <c r="E7" s="15">
        <v>1.2082347303761999E-3</v>
      </c>
      <c r="F7" s="33">
        <v>0</v>
      </c>
      <c r="G7" s="33">
        <v>0</v>
      </c>
      <c r="H7" s="33">
        <v>0</v>
      </c>
      <c r="I7" s="33">
        <v>0</v>
      </c>
      <c r="J7" s="33">
        <v>0</v>
      </c>
      <c r="K7" s="33">
        <v>0</v>
      </c>
      <c r="L7" s="33">
        <v>45.95</v>
      </c>
      <c r="M7" s="33">
        <v>107.66</v>
      </c>
      <c r="N7" s="34">
        <v>2.3429815016322002</v>
      </c>
      <c r="O7" s="34">
        <v>2.3475193892851398</v>
      </c>
      <c r="R7" s="33">
        <v>107.86851593765201</v>
      </c>
      <c r="U7" s="15">
        <v>1.93492728144476E-3</v>
      </c>
      <c r="X7" s="34">
        <v>2.3429815016322002</v>
      </c>
      <c r="Y7" s="34">
        <v>2.3475193892851398</v>
      </c>
      <c r="AB7" s="33">
        <v>107.86851593765201</v>
      </c>
      <c r="AE7" s="15">
        <v>1.93492728144476E-3</v>
      </c>
      <c r="AG7"/>
      <c r="AI7" s="4">
        <f t="shared" si="2"/>
        <v>-1E-3</v>
      </c>
      <c r="AJ7" s="10">
        <v>2.0511629991915759</v>
      </c>
      <c r="AK7" s="11">
        <v>3.6086204224288214</v>
      </c>
      <c r="AL7" s="11">
        <v>4.3814686292467178</v>
      </c>
      <c r="AM7" s="11">
        <v>4.5850089207413038</v>
      </c>
      <c r="AN7" s="11">
        <v>4.1838866102052341</v>
      </c>
      <c r="AO7" s="11">
        <v>4.1580139264189464</v>
      </c>
      <c r="AP7" s="11">
        <v>3.5875415375100927</v>
      </c>
      <c r="AQ7" s="11">
        <v>3.1032438030657099</v>
      </c>
      <c r="AR7"/>
      <c r="AT7" s="4">
        <f t="shared" si="3"/>
        <v>1E-3</v>
      </c>
      <c r="AU7" s="10">
        <v>2.8669955924012731</v>
      </c>
      <c r="AV7" s="11">
        <v>3.6160410986806064</v>
      </c>
      <c r="AW7" s="11">
        <v>3.2438307090033232</v>
      </c>
      <c r="AX7" s="11">
        <v>3.2111479864460599</v>
      </c>
      <c r="AY7" s="11">
        <v>3.1868523516894549</v>
      </c>
      <c r="AZ7" s="11">
        <v>3.7243957782594022</v>
      </c>
      <c r="BA7" s="11">
        <v>3.353720631262302</v>
      </c>
      <c r="BB7" s="11">
        <v>2.8135579789663505</v>
      </c>
      <c r="BC7"/>
    </row>
    <row r="8" spans="1:130" x14ac:dyDescent="0.25">
      <c r="A8" s="1">
        <v>46034</v>
      </c>
      <c r="B8" s="33">
        <v>45.93</v>
      </c>
      <c r="C8" s="33">
        <v>107.55</v>
      </c>
      <c r="D8" s="15">
        <v>-4.3535046399403502E-4</v>
      </c>
      <c r="E8" s="15">
        <v>-1.02225741907213E-3</v>
      </c>
      <c r="F8" s="33">
        <v>0</v>
      </c>
      <c r="G8" s="33">
        <v>0</v>
      </c>
      <c r="H8" s="33">
        <v>0</v>
      </c>
      <c r="I8" s="33">
        <v>0</v>
      </c>
      <c r="J8" s="33">
        <v>0</v>
      </c>
      <c r="K8" s="33">
        <v>0</v>
      </c>
      <c r="L8" s="33">
        <v>45.93</v>
      </c>
      <c r="M8" s="33">
        <v>107.55</v>
      </c>
      <c r="N8" s="34">
        <v>2.3416067929457798</v>
      </c>
      <c r="O8" s="34">
        <v>2.3475193892851398</v>
      </c>
      <c r="R8" s="33">
        <v>107.82156554986599</v>
      </c>
      <c r="U8" s="15">
        <v>2.5218342365227399E-3</v>
      </c>
      <c r="X8" s="34">
        <v>2.3416067929457798</v>
      </c>
      <c r="Y8" s="34">
        <v>2.3475193892851398</v>
      </c>
      <c r="AB8" s="33">
        <v>107.82156554986599</v>
      </c>
      <c r="AE8" s="15">
        <v>2.5218342365227399E-3</v>
      </c>
      <c r="AG8"/>
      <c r="AI8" s="4">
        <f t="shared" si="2"/>
        <v>-1.2000000000000001E-3</v>
      </c>
      <c r="AJ8" s="10">
        <v>2.0511629991915759</v>
      </c>
      <c r="AK8" s="11">
        <v>3.6086204224288214</v>
      </c>
      <c r="AL8" s="11">
        <v>4.3814686292467178</v>
      </c>
      <c r="AM8" s="11">
        <v>4.5850089207413038</v>
      </c>
      <c r="AN8" s="11">
        <v>4.1838866102052341</v>
      </c>
      <c r="AO8" s="11">
        <v>4.1580139264189464</v>
      </c>
      <c r="AP8" s="11">
        <v>3.706656207683749</v>
      </c>
      <c r="AQ8" s="11">
        <v>3.3268090923673301</v>
      </c>
      <c r="AR8"/>
      <c r="AT8" s="4">
        <f t="shared" si="3"/>
        <v>1.2000000000000001E-3</v>
      </c>
      <c r="AU8" s="10">
        <v>2.8669955924012731</v>
      </c>
      <c r="AV8" s="11">
        <v>3.6160410986806064</v>
      </c>
      <c r="AW8" s="11">
        <v>3.2438307090033232</v>
      </c>
      <c r="AX8" s="11">
        <v>3.2111479864460599</v>
      </c>
      <c r="AY8" s="11">
        <v>3.1868523516894549</v>
      </c>
      <c r="AZ8" s="11">
        <v>3.7243957782594022</v>
      </c>
      <c r="BA8" s="11">
        <v>3.384852872875709</v>
      </c>
      <c r="BB8" s="11">
        <v>3.1945922318051942</v>
      </c>
      <c r="BC8"/>
    </row>
    <row r="9" spans="1:130" x14ac:dyDescent="0.25">
      <c r="A9" s="1">
        <v>46035</v>
      </c>
      <c r="B9" s="33">
        <v>45.9</v>
      </c>
      <c r="C9" s="33">
        <v>107.59</v>
      </c>
      <c r="D9" s="15">
        <v>-6.5338127120267997E-4</v>
      </c>
      <c r="E9" s="15">
        <v>3.7185089207884603E-4</v>
      </c>
      <c r="F9" s="33">
        <v>0</v>
      </c>
      <c r="G9" s="33">
        <v>0</v>
      </c>
      <c r="H9" s="33">
        <v>0</v>
      </c>
      <c r="I9" s="33">
        <v>0</v>
      </c>
      <c r="J9" s="33">
        <v>0</v>
      </c>
      <c r="K9" s="33">
        <v>0</v>
      </c>
      <c r="L9" s="33">
        <v>45.9</v>
      </c>
      <c r="M9" s="33">
        <v>107.59</v>
      </c>
      <c r="N9" s="34">
        <v>2.3440087145969501</v>
      </c>
      <c r="O9" s="34">
        <v>2.3475193892851398</v>
      </c>
      <c r="R9" s="33">
        <v>107.751139968188</v>
      </c>
      <c r="U9" s="15">
        <v>1.4966020732412001E-3</v>
      </c>
      <c r="X9" s="34">
        <v>2.3440087145969501</v>
      </c>
      <c r="Y9" s="34">
        <v>2.3475193892851398</v>
      </c>
      <c r="AB9" s="33">
        <v>107.751139968188</v>
      </c>
      <c r="AE9" s="15">
        <v>1.4966020732412001E-3</v>
      </c>
      <c r="AF9"/>
      <c r="AI9" s="4">
        <f t="shared" si="2"/>
        <v>-1.4000000000000002E-3</v>
      </c>
      <c r="AJ9" s="10">
        <v>2.0511629991915759</v>
      </c>
      <c r="AK9" s="11">
        <v>3.6086204224288214</v>
      </c>
      <c r="AL9" s="11">
        <v>4.3814686292467178</v>
      </c>
      <c r="AM9" s="11">
        <v>4.5850089207413038</v>
      </c>
      <c r="AN9" s="11">
        <v>4.1838866102052341</v>
      </c>
      <c r="AO9" s="11">
        <v>4.1580139264189464</v>
      </c>
      <c r="AP9" s="11">
        <v>3.706656207683749</v>
      </c>
      <c r="AQ9" s="11">
        <v>3.0613738218053719</v>
      </c>
      <c r="AR9"/>
      <c r="AT9" s="4">
        <f t="shared" si="3"/>
        <v>1.4000000000000002E-3</v>
      </c>
      <c r="AU9" s="10">
        <v>2.8669955924012731</v>
      </c>
      <c r="AV9" s="10">
        <v>3.6160410986806064</v>
      </c>
      <c r="AW9" s="10">
        <v>3.2438307090033232</v>
      </c>
      <c r="AX9" s="10">
        <v>3.2111479864460599</v>
      </c>
      <c r="AY9" s="10">
        <v>3.1868523516894549</v>
      </c>
      <c r="AZ9" s="10">
        <v>3.7243957782594022</v>
      </c>
      <c r="BA9" s="10">
        <v>3.384852872875709</v>
      </c>
      <c r="BB9" s="10">
        <v>3.0503804238323613</v>
      </c>
      <c r="BC9"/>
    </row>
    <row r="10" spans="1:130" x14ac:dyDescent="0.25">
      <c r="A10" s="1">
        <v>46036</v>
      </c>
      <c r="B10" s="33">
        <v>45.99</v>
      </c>
      <c r="C10" s="33">
        <v>107.77</v>
      </c>
      <c r="D10" s="15">
        <v>1.9588644853329698E-3</v>
      </c>
      <c r="E10" s="15">
        <v>1.6716200029225001E-3</v>
      </c>
      <c r="F10" s="33">
        <v>0</v>
      </c>
      <c r="G10" s="33">
        <v>0</v>
      </c>
      <c r="H10" s="33">
        <v>0</v>
      </c>
      <c r="I10" s="33">
        <v>0</v>
      </c>
      <c r="J10" s="33">
        <v>0</v>
      </c>
      <c r="K10" s="33">
        <v>0</v>
      </c>
      <c r="L10" s="33">
        <v>45.99</v>
      </c>
      <c r="M10" s="33">
        <v>107.77</v>
      </c>
      <c r="N10" s="34">
        <v>2.3433355077190599</v>
      </c>
      <c r="O10" s="34">
        <v>2.3475193892851398</v>
      </c>
      <c r="R10" s="33">
        <v>107.96241671322301</v>
      </c>
      <c r="U10" s="15">
        <v>1.78384655565177E-3</v>
      </c>
      <c r="X10" s="34">
        <v>2.3433355077190599</v>
      </c>
      <c r="Y10" s="34">
        <v>2.3475193892851398</v>
      </c>
      <c r="AB10" s="33">
        <v>107.96241671322301</v>
      </c>
      <c r="AE10" s="15">
        <v>1.78384655565177E-3</v>
      </c>
      <c r="AF10"/>
      <c r="AI10" s="13" t="s">
        <v>34</v>
      </c>
      <c r="AJ10"/>
      <c r="AK10"/>
      <c r="AL10"/>
      <c r="AM10"/>
      <c r="AN10"/>
      <c r="AO10"/>
      <c r="AP10"/>
      <c r="AQ10"/>
      <c r="AR10"/>
      <c r="AT10" s="13" t="s">
        <v>34</v>
      </c>
      <c r="AU10"/>
      <c r="AV10"/>
      <c r="AW10"/>
      <c r="AX10"/>
      <c r="AY10"/>
      <c r="AZ10"/>
      <c r="BA10"/>
      <c r="BB10"/>
      <c r="BC10"/>
      <c r="BZ10" s="14"/>
      <c r="CL10" s="14"/>
    </row>
    <row r="11" spans="1:130" x14ac:dyDescent="0.25">
      <c r="A11" s="1">
        <v>46037</v>
      </c>
      <c r="B11" s="33">
        <v>45.98</v>
      </c>
      <c r="C11" s="33">
        <v>107.73</v>
      </c>
      <c r="D11" s="15">
        <v>-2.1746221679712501E-4</v>
      </c>
      <c r="E11" s="15">
        <v>-3.71229702639111E-4</v>
      </c>
      <c r="F11" s="33">
        <v>0</v>
      </c>
      <c r="G11" s="33">
        <v>0</v>
      </c>
      <c r="H11" s="33">
        <v>0</v>
      </c>
      <c r="I11" s="33">
        <v>0</v>
      </c>
      <c r="J11" s="33">
        <v>0</v>
      </c>
      <c r="K11" s="33">
        <v>0</v>
      </c>
      <c r="L11" s="33">
        <v>45.98</v>
      </c>
      <c r="M11" s="33">
        <v>107.73</v>
      </c>
      <c r="N11" s="34">
        <v>2.3429752066115701</v>
      </c>
      <c r="O11" s="34">
        <v>2.3475193892851398</v>
      </c>
      <c r="P11" s="34">
        <v>2.34350317826827</v>
      </c>
      <c r="R11" s="33">
        <v>107.938941519331</v>
      </c>
      <c r="U11" s="15">
        <v>1.9376140414939999E-3</v>
      </c>
      <c r="X11" s="34">
        <v>2.3429752066115701</v>
      </c>
      <c r="Y11" s="34">
        <v>2.3475193892851398</v>
      </c>
      <c r="Z11" s="34">
        <v>2.34350317826827</v>
      </c>
      <c r="AB11" s="33">
        <v>107.938941519331</v>
      </c>
      <c r="AE11" s="15">
        <v>1.9376140414939999E-3</v>
      </c>
      <c r="AL11" s="16" t="s">
        <v>35</v>
      </c>
      <c r="AM11" s="16" t="s">
        <v>36</v>
      </c>
      <c r="AW11" s="16" t="s">
        <v>35</v>
      </c>
      <c r="AX11" s="16" t="s">
        <v>36</v>
      </c>
    </row>
    <row r="12" spans="1:130" x14ac:dyDescent="0.25">
      <c r="A12" s="1">
        <v>46038</v>
      </c>
      <c r="B12" s="33">
        <v>45.93</v>
      </c>
      <c r="C12" s="33">
        <v>107.61</v>
      </c>
      <c r="D12" s="15">
        <v>-1.0880209973334E-3</v>
      </c>
      <c r="E12" s="15">
        <v>-1.1145166938002599E-3</v>
      </c>
      <c r="F12" s="33">
        <v>0</v>
      </c>
      <c r="G12" s="33">
        <v>0</v>
      </c>
      <c r="H12" s="33">
        <v>0</v>
      </c>
      <c r="I12" s="33">
        <v>0</v>
      </c>
      <c r="J12" s="33">
        <v>0</v>
      </c>
      <c r="K12" s="33">
        <v>0</v>
      </c>
      <c r="L12" s="33">
        <v>45.93</v>
      </c>
      <c r="M12" s="33">
        <v>107.61</v>
      </c>
      <c r="N12" s="34">
        <v>2.3429131286740601</v>
      </c>
      <c r="O12" s="34">
        <v>2.3475193892851398</v>
      </c>
      <c r="P12" s="34">
        <v>2.3433901195509801</v>
      </c>
      <c r="R12" s="33">
        <v>107.82156554986599</v>
      </c>
      <c r="S12" s="33">
        <v>107.637100977862</v>
      </c>
      <c r="U12" s="15">
        <v>1.9641097379609999E-3</v>
      </c>
      <c r="V12" s="15">
        <v>2.51812710899363E-4</v>
      </c>
      <c r="X12" s="34">
        <v>2.3429131286740601</v>
      </c>
      <c r="Y12" s="34">
        <v>2.3475193892851398</v>
      </c>
      <c r="Z12" s="34">
        <v>2.3433901195509801</v>
      </c>
      <c r="AB12" s="33">
        <v>107.82156554986599</v>
      </c>
      <c r="AC12" s="33">
        <v>107.637100977862</v>
      </c>
      <c r="AE12" s="15">
        <v>1.9641097379609999E-3</v>
      </c>
      <c r="AF12" s="15">
        <v>2.51812710899363E-4</v>
      </c>
      <c r="AK12" s="17">
        <v>2.0000000000000001E-4</v>
      </c>
      <c r="AL12" s="18" t="s">
        <v>37</v>
      </c>
      <c r="AM12" s="19" t="s">
        <v>38</v>
      </c>
      <c r="AV12" s="17">
        <v>2.0000000000000001E-4</v>
      </c>
      <c r="AW12" s="18" t="s">
        <v>39</v>
      </c>
      <c r="AX12" s="19" t="s">
        <v>40</v>
      </c>
    </row>
    <row r="13" spans="1:130" x14ac:dyDescent="0.25">
      <c r="A13" s="1">
        <v>46042</v>
      </c>
      <c r="B13" s="33">
        <v>45.79</v>
      </c>
      <c r="C13" s="33">
        <v>107.23</v>
      </c>
      <c r="D13" s="15">
        <v>-3.05277166869796E-3</v>
      </c>
      <c r="E13" s="15">
        <v>-3.53751998024654E-3</v>
      </c>
      <c r="F13" s="33">
        <v>0</v>
      </c>
      <c r="G13" s="33">
        <v>0</v>
      </c>
      <c r="H13" s="33">
        <v>0</v>
      </c>
      <c r="I13" s="33">
        <v>0</v>
      </c>
      <c r="J13" s="33">
        <v>0</v>
      </c>
      <c r="K13" s="33">
        <v>0</v>
      </c>
      <c r="L13" s="33">
        <v>45.79</v>
      </c>
      <c r="M13" s="33">
        <v>107.23</v>
      </c>
      <c r="N13" s="34">
        <v>2.34177768071631</v>
      </c>
      <c r="O13" s="34">
        <v>2.3475193892851398</v>
      </c>
      <c r="P13" s="34">
        <v>2.3431498924271499</v>
      </c>
      <c r="R13" s="33">
        <v>107.492912835366</v>
      </c>
      <c r="S13" s="33">
        <v>107.30383357423899</v>
      </c>
      <c r="U13" s="15">
        <v>2.4488580495093701E-3</v>
      </c>
      <c r="V13" s="15">
        <v>6.88316392101135E-4</v>
      </c>
      <c r="X13" s="34">
        <v>2.34177768071631</v>
      </c>
      <c r="Y13" s="34">
        <v>2.3475193892851398</v>
      </c>
      <c r="Z13" s="34">
        <v>2.3431498924271499</v>
      </c>
      <c r="AB13" s="33">
        <v>107.492912835366</v>
      </c>
      <c r="AC13" s="33">
        <v>107.30383357423899</v>
      </c>
      <c r="AE13" s="15">
        <v>2.4488580495093701E-3</v>
      </c>
      <c r="AF13" s="15">
        <v>6.88316392101135E-4</v>
      </c>
    </row>
    <row r="14" spans="1:130" x14ac:dyDescent="0.25">
      <c r="A14" s="1">
        <v>46043</v>
      </c>
      <c r="B14" s="33">
        <v>45.9</v>
      </c>
      <c r="C14" s="33">
        <v>107.5</v>
      </c>
      <c r="D14" s="15">
        <v>2.3993903974953898E-3</v>
      </c>
      <c r="E14" s="15">
        <v>2.5147873356632399E-3</v>
      </c>
      <c r="F14" s="33">
        <v>0</v>
      </c>
      <c r="G14" s="33">
        <v>0</v>
      </c>
      <c r="H14" s="33">
        <v>0</v>
      </c>
      <c r="I14" s="33">
        <v>0</v>
      </c>
      <c r="J14" s="33">
        <v>0</v>
      </c>
      <c r="K14" s="33">
        <v>0</v>
      </c>
      <c r="L14" s="33">
        <v>45.9</v>
      </c>
      <c r="M14" s="33">
        <v>107.5</v>
      </c>
      <c r="N14" s="34">
        <v>2.3420479302832198</v>
      </c>
      <c r="O14" s="34">
        <v>2.3475193892851398</v>
      </c>
      <c r="P14" s="34">
        <v>2.3428132007393199</v>
      </c>
      <c r="R14" s="33">
        <v>107.751139968188</v>
      </c>
      <c r="S14" s="33">
        <v>107.550580062406</v>
      </c>
      <c r="U14" s="15">
        <v>2.3334611113415399E-3</v>
      </c>
      <c r="V14" s="15">
        <v>4.7040155227318401E-4</v>
      </c>
      <c r="X14" s="34">
        <v>2.3420479302832198</v>
      </c>
      <c r="Y14" s="34">
        <v>2.3475193892851398</v>
      </c>
      <c r="Z14" s="34">
        <v>2.3428132007393199</v>
      </c>
      <c r="AB14" s="33">
        <v>107.751139968188</v>
      </c>
      <c r="AC14" s="33">
        <v>107.550580062406</v>
      </c>
      <c r="AE14" s="15">
        <v>2.3334611113415399E-3</v>
      </c>
      <c r="AF14" s="15">
        <v>4.7040155227318401E-4</v>
      </c>
      <c r="AQ14" s="20">
        <f>AVERAGE(AQ22:AQ176)</f>
        <v>1.0547238800125165E-4</v>
      </c>
      <c r="AR14" s="21" t="s">
        <v>41</v>
      </c>
      <c r="BB14" s="20">
        <f>AVERAGE(BB22:BB176)</f>
        <v>5.9209423366941997E-5</v>
      </c>
      <c r="BC14" s="21" t="s">
        <v>41</v>
      </c>
      <c r="BD14" s="22"/>
      <c r="BE14" s="20">
        <f>AVERAGE(BE22:BE176)</f>
        <v>1.6468181136819368E-4</v>
      </c>
      <c r="BF14" s="21" t="s">
        <v>41</v>
      </c>
    </row>
    <row r="15" spans="1:130" x14ac:dyDescent="0.25">
      <c r="A15" s="1">
        <v>46044</v>
      </c>
      <c r="B15" s="33">
        <v>45.86</v>
      </c>
      <c r="C15" s="33">
        <v>107.49</v>
      </c>
      <c r="D15" s="15">
        <v>-8.7183963674112197E-4</v>
      </c>
      <c r="E15" s="15">
        <v>-9.3027582745351E-5</v>
      </c>
      <c r="F15" s="33">
        <v>0</v>
      </c>
      <c r="G15" s="33">
        <v>0</v>
      </c>
      <c r="H15" s="33">
        <v>0</v>
      </c>
      <c r="I15" s="33">
        <v>0</v>
      </c>
      <c r="J15" s="33">
        <v>0</v>
      </c>
      <c r="K15" s="33">
        <v>0</v>
      </c>
      <c r="L15" s="33">
        <v>45.86</v>
      </c>
      <c r="M15" s="33">
        <v>107.49</v>
      </c>
      <c r="N15" s="34">
        <v>2.34387265590928</v>
      </c>
      <c r="O15" s="34">
        <v>2.3475193892851398</v>
      </c>
      <c r="P15" s="34">
        <v>2.3428220644142899</v>
      </c>
      <c r="R15" s="33">
        <v>107.657239192616</v>
      </c>
      <c r="S15" s="33">
        <v>107.44141338590499</v>
      </c>
      <c r="U15" s="15">
        <v>1.5546490573459699E-3</v>
      </c>
      <c r="V15" s="15">
        <v>-4.52112738261581E-4</v>
      </c>
      <c r="X15" s="34">
        <v>2.34387265590928</v>
      </c>
      <c r="Y15" s="34">
        <v>2.3475193892851398</v>
      </c>
      <c r="Z15" s="34">
        <v>2.3428220644142899</v>
      </c>
      <c r="AB15" s="33">
        <v>107.657239192616</v>
      </c>
      <c r="AC15" s="33">
        <v>107.44141338590499</v>
      </c>
      <c r="AE15" s="15">
        <v>1.5546490573459699E-3</v>
      </c>
      <c r="AF15" s="15">
        <v>-4.52112738261581E-4</v>
      </c>
      <c r="AQ15" s="20">
        <f>STDEV(AQ22:AQ176)</f>
        <v>5.1127598850277622E-4</v>
      </c>
      <c r="AR15" s="21" t="s">
        <v>42</v>
      </c>
      <c r="BB15" s="20">
        <f>STDEV(BB22:BB176)</f>
        <v>3.2460554671723518E-4</v>
      </c>
      <c r="BC15" s="21" t="s">
        <v>42</v>
      </c>
      <c r="BD15" s="22"/>
      <c r="BE15" s="20">
        <f>STDEV(BE22:BE176)</f>
        <v>5.9514777615522134E-4</v>
      </c>
      <c r="BF15" s="21" t="s">
        <v>42</v>
      </c>
    </row>
    <row r="16" spans="1:130" x14ac:dyDescent="0.25">
      <c r="A16" s="1">
        <v>46045</v>
      </c>
      <c r="B16" s="33">
        <v>45.9</v>
      </c>
      <c r="C16" s="33">
        <v>107.61</v>
      </c>
      <c r="D16" s="15">
        <v>8.71839636740982E-4</v>
      </c>
      <c r="E16" s="15">
        <v>1.11576022732889E-3</v>
      </c>
      <c r="F16" s="33">
        <v>0</v>
      </c>
      <c r="G16" s="33">
        <v>0</v>
      </c>
      <c r="H16" s="33">
        <v>0</v>
      </c>
      <c r="I16" s="33">
        <v>0</v>
      </c>
      <c r="J16" s="33">
        <v>0</v>
      </c>
      <c r="K16" s="33">
        <v>0</v>
      </c>
      <c r="L16" s="33">
        <v>45.9</v>
      </c>
      <c r="M16" s="33">
        <v>107.61</v>
      </c>
      <c r="N16" s="34">
        <v>2.3444444444444401</v>
      </c>
      <c r="O16" s="34">
        <v>2.3475193892851398</v>
      </c>
      <c r="P16" s="34">
        <v>2.3429963563532898</v>
      </c>
      <c r="R16" s="33">
        <v>107.751139968188</v>
      </c>
      <c r="S16" s="33">
        <v>107.53553275661601</v>
      </c>
      <c r="U16" s="15">
        <v>1.3107284667582999E-3</v>
      </c>
      <c r="V16" s="15">
        <v>-6.9224998914481405E-4</v>
      </c>
      <c r="X16" s="34">
        <v>2.3444444444444401</v>
      </c>
      <c r="Y16" s="34">
        <v>2.3475193892851398</v>
      </c>
      <c r="Z16" s="34">
        <v>2.3429963563532898</v>
      </c>
      <c r="AB16" s="33">
        <v>107.751139968188</v>
      </c>
      <c r="AC16" s="33">
        <v>107.53553275661601</v>
      </c>
      <c r="AE16" s="15">
        <v>1.3107284667582999E-3</v>
      </c>
      <c r="AF16" s="15">
        <v>-6.9224998914481405E-4</v>
      </c>
      <c r="AQ16" s="23">
        <f>SQRT(252)*AQ14/AQ15</f>
        <v>3.2747914837848029</v>
      </c>
      <c r="AR16" s="21" t="s">
        <v>43</v>
      </c>
      <c r="BB16" s="23">
        <f>SQRT(252)*BB14/BB15</f>
        <v>2.8955773137837308</v>
      </c>
      <c r="BC16" s="21" t="s">
        <v>43</v>
      </c>
      <c r="BD16" s="22"/>
      <c r="BE16" s="23">
        <f>SQRT(252)*BE14/BE15</f>
        <v>4.3925942677697511</v>
      </c>
      <c r="BF16" s="21" t="s">
        <v>43</v>
      </c>
    </row>
    <row r="17" spans="1:124" x14ac:dyDescent="0.25">
      <c r="A17" s="1">
        <v>46048</v>
      </c>
      <c r="B17" s="33">
        <v>45.9</v>
      </c>
      <c r="C17" s="33">
        <v>107.66</v>
      </c>
      <c r="D17" s="15">
        <v>0</v>
      </c>
      <c r="E17" s="15">
        <v>4.6453292051025898E-4</v>
      </c>
      <c r="F17" s="33">
        <v>0</v>
      </c>
      <c r="G17" s="33">
        <v>0</v>
      </c>
      <c r="H17" s="33">
        <v>0</v>
      </c>
      <c r="I17" s="33">
        <v>0</v>
      </c>
      <c r="J17" s="33">
        <v>0</v>
      </c>
      <c r="K17" s="33">
        <v>0</v>
      </c>
      <c r="L17" s="33">
        <v>45.9</v>
      </c>
      <c r="M17" s="33">
        <v>107.66</v>
      </c>
      <c r="N17" s="34">
        <v>2.3455337690631799</v>
      </c>
      <c r="O17" s="34">
        <v>2.3475193892851398</v>
      </c>
      <c r="P17" s="34">
        <v>2.3432515830963898</v>
      </c>
      <c r="R17" s="33">
        <v>107.751139968188</v>
      </c>
      <c r="S17" s="33">
        <v>107.543532756616</v>
      </c>
      <c r="U17" s="15">
        <v>8.4619554624795605E-4</v>
      </c>
      <c r="V17" s="15">
        <v>-1.0823916620960701E-3</v>
      </c>
      <c r="X17" s="34">
        <v>2.3455337690631799</v>
      </c>
      <c r="Y17" s="34">
        <v>2.3475193892851398</v>
      </c>
      <c r="Z17" s="34">
        <v>2.3432515830963898</v>
      </c>
      <c r="AB17" s="33">
        <v>107.751139968188</v>
      </c>
      <c r="AC17" s="33">
        <v>107.543532756616</v>
      </c>
      <c r="AE17" s="15">
        <v>8.4619554624795605E-4</v>
      </c>
      <c r="AF17" s="15">
        <v>-1.0823916620960701E-3</v>
      </c>
    </row>
    <row r="18" spans="1:124" x14ac:dyDescent="0.25">
      <c r="A18" s="1">
        <v>46049</v>
      </c>
      <c r="B18" s="33">
        <v>45.95</v>
      </c>
      <c r="C18" s="33">
        <v>107.73</v>
      </c>
      <c r="D18" s="15">
        <v>1.08873173519665E-3</v>
      </c>
      <c r="E18" s="15">
        <v>6.49983773289986E-4</v>
      </c>
      <c r="F18" s="33">
        <v>0</v>
      </c>
      <c r="G18" s="33">
        <v>0</v>
      </c>
      <c r="H18" s="33">
        <v>0</v>
      </c>
      <c r="I18" s="33">
        <v>0</v>
      </c>
      <c r="J18" s="33">
        <v>0</v>
      </c>
      <c r="K18" s="33">
        <v>0</v>
      </c>
      <c r="L18" s="33">
        <v>45.95</v>
      </c>
      <c r="M18" s="33">
        <v>107.73</v>
      </c>
      <c r="N18" s="34">
        <v>2.3445048966267601</v>
      </c>
      <c r="O18" s="34">
        <v>2.3475193892851398</v>
      </c>
      <c r="P18" s="34">
        <v>2.3435413934644802</v>
      </c>
      <c r="R18" s="33">
        <v>107.86851593765201</v>
      </c>
      <c r="S18" s="33">
        <v>107.672410243279</v>
      </c>
      <c r="U18" s="15">
        <v>1.28494350815459E-3</v>
      </c>
      <c r="V18" s="15">
        <v>-5.34717861587827E-4</v>
      </c>
      <c r="X18" s="34">
        <v>2.3445048966267601</v>
      </c>
      <c r="Y18" s="34">
        <v>2.3475193892851398</v>
      </c>
      <c r="Z18" s="34">
        <v>2.3435413934644802</v>
      </c>
      <c r="AB18" s="33">
        <v>107.86851593765201</v>
      </c>
      <c r="AC18" s="33">
        <v>107.672410243279</v>
      </c>
      <c r="AE18" s="15">
        <v>1.28494350815459E-3</v>
      </c>
      <c r="AF18" s="15">
        <v>-5.34717861587827E-4</v>
      </c>
      <c r="BE18" s="24">
        <f>SUM(BE22:BE176)</f>
        <v>2.552568076207002E-2</v>
      </c>
      <c r="BF18" s="20">
        <f>BF176</f>
        <v>2.552568076207002E-2</v>
      </c>
    </row>
    <row r="19" spans="1:124" x14ac:dyDescent="0.25">
      <c r="A19" s="1">
        <v>46050</v>
      </c>
      <c r="B19" s="33">
        <v>45.96</v>
      </c>
      <c r="C19" s="33">
        <v>107.81</v>
      </c>
      <c r="D19" s="15">
        <v>2.17604178858737E-4</v>
      </c>
      <c r="E19" s="15">
        <v>7.4232164492539097E-4</v>
      </c>
      <c r="F19" s="33">
        <v>0</v>
      </c>
      <c r="G19" s="33">
        <v>0</v>
      </c>
      <c r="H19" s="33">
        <v>0</v>
      </c>
      <c r="I19" s="33">
        <v>0</v>
      </c>
      <c r="J19" s="33">
        <v>0</v>
      </c>
      <c r="K19" s="33">
        <v>0</v>
      </c>
      <c r="L19" s="33">
        <v>45.96</v>
      </c>
      <c r="M19" s="33">
        <v>107.81</v>
      </c>
      <c r="N19" s="34">
        <v>2.3457354221061699</v>
      </c>
      <c r="O19" s="34">
        <v>2.3475193892851398</v>
      </c>
      <c r="P19" s="34">
        <v>2.3437140642154102</v>
      </c>
      <c r="R19" s="33">
        <v>107.891991131545</v>
      </c>
      <c r="S19" s="33">
        <v>107.70916244362699</v>
      </c>
      <c r="U19" s="15">
        <v>7.6022604208805203E-4</v>
      </c>
      <c r="V19" s="15">
        <v>-9.3576425026009201E-4</v>
      </c>
      <c r="X19" s="34">
        <v>2.3457354221061699</v>
      </c>
      <c r="Y19" s="34">
        <v>2.3475193892851398</v>
      </c>
      <c r="Z19" s="34">
        <v>2.3437140642154102</v>
      </c>
      <c r="AB19" s="33">
        <v>107.891991131545</v>
      </c>
      <c r="AC19" s="33">
        <v>107.70916244362699</v>
      </c>
      <c r="AE19" s="15">
        <v>7.6022604208805203E-4</v>
      </c>
      <c r="AF19" s="15">
        <v>-9.3576425026009201E-4</v>
      </c>
      <c r="AI19" s="12"/>
      <c r="AJ19"/>
      <c r="AK19"/>
      <c r="AL19"/>
      <c r="AM19"/>
      <c r="AN19"/>
      <c r="AO19"/>
      <c r="AP19"/>
      <c r="AQ19" s="24">
        <f>SUM(AQ22:AQ176)</f>
        <v>1.6348220140194006E-2</v>
      </c>
      <c r="AR19" s="24">
        <f>AR176</f>
        <v>1.6348220140194006E-2</v>
      </c>
      <c r="AU19"/>
      <c r="AV19"/>
      <c r="AW19"/>
      <c r="AX19"/>
      <c r="AY19"/>
      <c r="AZ19"/>
      <c r="BA19"/>
      <c r="BB19" s="24">
        <f>SUM(BB22:BB176)</f>
        <v>9.1774606218760092E-3</v>
      </c>
      <c r="BC19" s="24">
        <f>BC176</f>
        <v>9.1774606218760092E-3</v>
      </c>
      <c r="BE19" s="7" t="s">
        <v>44</v>
      </c>
      <c r="BF19" s="7" t="s">
        <v>44</v>
      </c>
      <c r="BH19" s="7"/>
    </row>
    <row r="20" spans="1:124" x14ac:dyDescent="0.25">
      <c r="A20" s="1">
        <v>46051</v>
      </c>
      <c r="B20" s="33">
        <v>45.95</v>
      </c>
      <c r="C20" s="33">
        <v>107.7</v>
      </c>
      <c r="D20" s="15">
        <v>-2.17604178858812E-4</v>
      </c>
      <c r="E20" s="15">
        <v>-1.0208343886836499E-3</v>
      </c>
      <c r="F20" s="33">
        <v>0</v>
      </c>
      <c r="G20" s="33">
        <v>0</v>
      </c>
      <c r="H20" s="33">
        <v>0</v>
      </c>
      <c r="I20" s="33">
        <v>0</v>
      </c>
      <c r="J20" s="33">
        <v>0</v>
      </c>
      <c r="K20" s="33">
        <v>0</v>
      </c>
      <c r="L20" s="33">
        <v>45.95</v>
      </c>
      <c r="M20" s="33">
        <v>107.7</v>
      </c>
      <c r="N20" s="34">
        <v>2.3438520130576701</v>
      </c>
      <c r="O20" s="34">
        <v>2.3475193892851398</v>
      </c>
      <c r="P20" s="34">
        <v>2.3437657147492699</v>
      </c>
      <c r="R20" s="33">
        <v>107.86851593765201</v>
      </c>
      <c r="S20" s="33">
        <v>107.693661250698</v>
      </c>
      <c r="U20" s="15">
        <v>1.5634562519129E-3</v>
      </c>
      <c r="V20" s="15">
        <v>-5.8857343033062102E-5</v>
      </c>
      <c r="X20" s="34">
        <v>2.3438520130576701</v>
      </c>
      <c r="Y20" s="34">
        <v>2.3475193892851398</v>
      </c>
      <c r="Z20" s="34">
        <v>2.3437657147492699</v>
      </c>
      <c r="AB20" s="33">
        <v>107.86851593765201</v>
      </c>
      <c r="AC20" s="33">
        <v>107.693661250698</v>
      </c>
      <c r="AE20" s="15">
        <v>1.5634562519129E-3</v>
      </c>
      <c r="AF20" s="15">
        <v>-5.8857343033062102E-5</v>
      </c>
      <c r="AI20" s="25" t="s">
        <v>45</v>
      </c>
      <c r="AJ20" s="7" t="s">
        <v>46</v>
      </c>
      <c r="AK20" s="7" t="s">
        <v>47</v>
      </c>
      <c r="AL20" s="7" t="s">
        <v>48</v>
      </c>
      <c r="AM20" s="7" t="s">
        <v>49</v>
      </c>
      <c r="AN20" s="7" t="s">
        <v>50</v>
      </c>
      <c r="AO20" s="7" t="str">
        <f>D1</f>
        <v>TFI log rtn</v>
      </c>
      <c r="AP20" s="7" t="str">
        <f>E1</f>
        <v>MUB log rtn</v>
      </c>
      <c r="AQ20" s="7" t="s">
        <v>51</v>
      </c>
      <c r="AR20" s="7" t="s">
        <v>52</v>
      </c>
      <c r="AT20" s="25" t="s">
        <v>45</v>
      </c>
      <c r="AU20" s="7" t="s">
        <v>47</v>
      </c>
      <c r="AV20" s="7" t="s">
        <v>46</v>
      </c>
      <c r="AW20" s="7" t="s">
        <v>48</v>
      </c>
      <c r="AX20" s="7" t="s">
        <v>49</v>
      </c>
      <c r="AY20" s="7" t="s">
        <v>50</v>
      </c>
      <c r="AZ20" s="24" t="str">
        <f>D1</f>
        <v>TFI log rtn</v>
      </c>
      <c r="BA20" s="24" t="str">
        <f>E1</f>
        <v>MUB log rtn</v>
      </c>
      <c r="BB20" s="7" t="s">
        <v>51</v>
      </c>
      <c r="BC20" s="7" t="s">
        <v>52</v>
      </c>
      <c r="BE20" s="7" t="s">
        <v>51</v>
      </c>
      <c r="BF20" s="7" t="s">
        <v>52</v>
      </c>
      <c r="BH20" s="7"/>
    </row>
    <row r="21" spans="1:124" x14ac:dyDescent="0.25">
      <c r="A21" s="1">
        <v>46052</v>
      </c>
      <c r="B21" s="33">
        <v>46.02</v>
      </c>
      <c r="C21" s="33">
        <v>107.85</v>
      </c>
      <c r="D21" s="15">
        <v>1.5222358055236799E-3</v>
      </c>
      <c r="E21" s="15">
        <v>1.3917886728224799E-3</v>
      </c>
      <c r="F21" s="33">
        <v>0</v>
      </c>
      <c r="G21" s="33">
        <v>0</v>
      </c>
      <c r="H21" s="33">
        <v>0</v>
      </c>
      <c r="I21" s="33">
        <v>0</v>
      </c>
      <c r="J21" s="33">
        <v>0</v>
      </c>
      <c r="K21" s="33">
        <v>0</v>
      </c>
      <c r="L21" s="33">
        <v>46.02</v>
      </c>
      <c r="M21" s="33">
        <v>107.85</v>
      </c>
      <c r="N21" s="34">
        <v>2.3435462842242498</v>
      </c>
      <c r="O21" s="34">
        <v>2.3475193892851398</v>
      </c>
      <c r="P21" s="34">
        <v>2.3438228225105302</v>
      </c>
      <c r="Q21" s="34">
        <v>2.3436630003893999</v>
      </c>
      <c r="R21" s="33">
        <v>108.032842294902</v>
      </c>
      <c r="S21" s="33">
        <v>107.860098192761</v>
      </c>
      <c r="U21" s="15">
        <v>1.6939033846143799E-3</v>
      </c>
      <c r="V21" s="15">
        <v>9.36274458493317E-5</v>
      </c>
      <c r="X21" s="34">
        <v>2.3435462842242498</v>
      </c>
      <c r="Y21" s="34">
        <v>2.3475193892851398</v>
      </c>
      <c r="Z21" s="34">
        <v>2.3438228225105302</v>
      </c>
      <c r="AA21" s="34">
        <v>2.3436630003893999</v>
      </c>
      <c r="AB21" s="33">
        <v>108.032842294902</v>
      </c>
      <c r="AC21" s="33">
        <v>107.860098192761</v>
      </c>
      <c r="AE21" s="15">
        <v>1.6939033846143799E-3</v>
      </c>
      <c r="AF21" s="15">
        <v>9.36274458493317E-5</v>
      </c>
      <c r="AI21" s="26">
        <v>-1E-3</v>
      </c>
      <c r="AJ21"/>
      <c r="AK21"/>
      <c r="AL21"/>
      <c r="AM21">
        <f t="shared" ref="AM21:AM84" si="4">IF(F22+H22&gt;0,0,1)</f>
        <v>0</v>
      </c>
      <c r="AN21" s="27">
        <v>0</v>
      </c>
      <c r="AO21"/>
      <c r="AP21"/>
      <c r="AQ21"/>
      <c r="AR21"/>
      <c r="AT21" s="26">
        <v>1E-3</v>
      </c>
      <c r="AU21"/>
      <c r="AV21"/>
      <c r="AW21"/>
      <c r="AX21">
        <f t="shared" ref="AX21:AX84" si="5">IF(F22+H22&gt;0,0,1)</f>
        <v>0</v>
      </c>
      <c r="AY21" s="27">
        <v>0</v>
      </c>
      <c r="AZ21"/>
      <c r="BA21"/>
      <c r="BB21"/>
      <c r="BC21"/>
    </row>
    <row r="22" spans="1:124" x14ac:dyDescent="0.25">
      <c r="A22" s="1">
        <v>46055</v>
      </c>
      <c r="B22" s="33">
        <v>45.87</v>
      </c>
      <c r="C22" s="33">
        <v>107.66</v>
      </c>
      <c r="D22" s="15">
        <v>-3.2647759981392801E-3</v>
      </c>
      <c r="E22" s="15">
        <v>-1.76325970235416E-3</v>
      </c>
      <c r="F22" s="33">
        <v>0.13150000000000001</v>
      </c>
      <c r="G22" s="33">
        <v>0.13150000000000001</v>
      </c>
      <c r="H22" s="33">
        <v>0.27905000000000002</v>
      </c>
      <c r="I22" s="33">
        <v>0.27905000000000002</v>
      </c>
      <c r="J22" s="33">
        <v>0</v>
      </c>
      <c r="K22" s="33">
        <v>0</v>
      </c>
      <c r="L22" s="33">
        <v>45.87</v>
      </c>
      <c r="M22" s="33">
        <v>107.66</v>
      </c>
      <c r="N22" s="34">
        <v>2.3470678003052101</v>
      </c>
      <c r="O22" s="34">
        <v>2.3475193892851398</v>
      </c>
      <c r="P22" s="34">
        <v>2.3442382896736502</v>
      </c>
      <c r="Q22" s="34">
        <v>2.3438142046123098</v>
      </c>
      <c r="R22" s="33">
        <v>107.680714386509</v>
      </c>
      <c r="S22" s="33">
        <v>107.511152868558</v>
      </c>
      <c r="T22" s="33">
        <v>107.503821827862</v>
      </c>
      <c r="U22" s="15">
        <v>1.9238708882915299E-4</v>
      </c>
      <c r="V22" s="15">
        <v>-1.38352333200829E-3</v>
      </c>
      <c r="W22" s="15">
        <v>-1.4517143099571301E-3</v>
      </c>
      <c r="X22" s="34">
        <v>2.3470678003052101</v>
      </c>
      <c r="Y22" s="34">
        <v>2.3475193892851398</v>
      </c>
      <c r="Z22" s="34">
        <v>2.3442382896736502</v>
      </c>
      <c r="AA22" s="34">
        <v>2.3438142046123098</v>
      </c>
      <c r="AB22" s="33">
        <v>107.680714386509</v>
      </c>
      <c r="AC22" s="33">
        <v>107.511152868558</v>
      </c>
      <c r="AD22" s="33">
        <v>107.503821827862</v>
      </c>
      <c r="AE22" s="15">
        <v>1.9238708882915299E-4</v>
      </c>
      <c r="AF22" s="15">
        <v>-1.38352333200829E-3</v>
      </c>
      <c r="AG22" s="15">
        <v>-1.4517143099571301E-3</v>
      </c>
      <c r="AI22" s="26">
        <v>0</v>
      </c>
      <c r="AJ22">
        <f t="shared" ref="AJ22:AJ85" si="6">IF($AG22&lt;AI$21,1,0)</f>
        <v>1</v>
      </c>
      <c r="AK22">
        <f t="shared" ref="AK22:AK85" si="7">IF($AG22&gt;AI$22,1,0)</f>
        <v>0</v>
      </c>
      <c r="AL22">
        <f>AN21</f>
        <v>0</v>
      </c>
      <c r="AM22">
        <f t="shared" si="4"/>
        <v>1</v>
      </c>
      <c r="AN22">
        <f>IF(AJ21,1,IF(AK21,0,AL21))*AM21</f>
        <v>0</v>
      </c>
      <c r="AO22" s="28">
        <f t="shared" ref="AO22:AO85" si="8">AN22*D22</f>
        <v>0</v>
      </c>
      <c r="AP22" s="28">
        <f t="shared" ref="AP22:AP85" si="9">-AN22*$E22</f>
        <v>0</v>
      </c>
      <c r="AQ22" s="28">
        <f>AO22+AP22</f>
        <v>0</v>
      </c>
      <c r="AR22" s="29">
        <f>AR21+AQ22</f>
        <v>0</v>
      </c>
      <c r="AT22" s="26">
        <v>0</v>
      </c>
      <c r="AU22">
        <f t="shared" ref="AU22:AU85" si="10">IF($AG22&gt;AT$21,1,0)</f>
        <v>0</v>
      </c>
      <c r="AV22">
        <f t="shared" ref="AV22:AV85" si="11">IF($AG22&lt;AT$22,1,0)</f>
        <v>1</v>
      </c>
      <c r="AW22">
        <f>AY21</f>
        <v>0</v>
      </c>
      <c r="AX22">
        <f t="shared" si="5"/>
        <v>1</v>
      </c>
      <c r="AY22">
        <f>IF(AU21,1,IF(AV21,0,AW21))*AX21</f>
        <v>0</v>
      </c>
      <c r="AZ22" s="28">
        <f t="shared" ref="AZ22:AZ85" si="12">-AY22*D22</f>
        <v>0</v>
      </c>
      <c r="BA22" s="28">
        <f t="shared" ref="BA22:BA85" si="13">AY22*$E22</f>
        <v>0</v>
      </c>
      <c r="BB22" s="28">
        <f>AZ22+BA22</f>
        <v>0</v>
      </c>
      <c r="BC22" s="29">
        <f>BC21+BB22</f>
        <v>0</v>
      </c>
      <c r="BE22" s="29">
        <f>AQ22+BB22</f>
        <v>0</v>
      </c>
      <c r="BF22" s="29">
        <f>BF21+BE22</f>
        <v>0</v>
      </c>
      <c r="BH22" s="29"/>
    </row>
    <row r="23" spans="1:124" x14ac:dyDescent="0.25">
      <c r="A23" s="1">
        <v>46056</v>
      </c>
      <c r="B23" s="33">
        <v>45.92</v>
      </c>
      <c r="C23" s="33">
        <v>107.63</v>
      </c>
      <c r="D23" s="15">
        <v>1.08944340223036E-3</v>
      </c>
      <c r="E23" s="15">
        <v>-2.78693856604357E-4</v>
      </c>
      <c r="F23" s="33">
        <v>0</v>
      </c>
      <c r="G23" s="33">
        <v>0.13150000000000001</v>
      </c>
      <c r="H23" s="33">
        <v>0</v>
      </c>
      <c r="I23" s="33">
        <v>0.27905000000000002</v>
      </c>
      <c r="J23" s="33">
        <v>0</v>
      </c>
      <c r="K23" s="33">
        <v>0</v>
      </c>
      <c r="L23" s="33">
        <v>45.92</v>
      </c>
      <c r="M23" s="33">
        <v>107.63</v>
      </c>
      <c r="N23" s="34">
        <v>2.3438588850174198</v>
      </c>
      <c r="O23" s="34">
        <v>2.3475193892851398</v>
      </c>
      <c r="P23" s="34">
        <v>2.3444464101037599</v>
      </c>
      <c r="Q23" s="34">
        <v>2.3437981512654602</v>
      </c>
      <c r="R23" s="33">
        <v>107.798090355973</v>
      </c>
      <c r="S23" s="33">
        <v>107.647422261814</v>
      </c>
      <c r="T23" s="33">
        <v>107.627948275797</v>
      </c>
      <c r="U23" s="15">
        <v>1.5605243476639801E-3</v>
      </c>
      <c r="V23" s="15">
        <v>1.6185869998960401E-4</v>
      </c>
      <c r="W23" s="15">
        <v>-1.9062935596780799E-5</v>
      </c>
      <c r="X23" s="34">
        <v>2.3438588850174198</v>
      </c>
      <c r="Y23" s="34">
        <v>2.3475193892851398</v>
      </c>
      <c r="Z23" s="34">
        <v>2.3444464101037599</v>
      </c>
      <c r="AA23" s="34">
        <v>2.3437981512654602</v>
      </c>
      <c r="AB23" s="33">
        <v>107.798090355973</v>
      </c>
      <c r="AC23" s="33">
        <v>107.647422261814</v>
      </c>
      <c r="AD23" s="33">
        <v>107.627948275797</v>
      </c>
      <c r="AE23" s="15">
        <v>1.5605243476639801E-3</v>
      </c>
      <c r="AF23" s="15">
        <v>1.6185869998960401E-4</v>
      </c>
      <c r="AG23" s="15">
        <v>-1.9062935596780799E-5</v>
      </c>
      <c r="AI23" s="12"/>
      <c r="AJ23">
        <f t="shared" si="6"/>
        <v>0</v>
      </c>
      <c r="AK23">
        <f t="shared" si="7"/>
        <v>0</v>
      </c>
      <c r="AL23">
        <f t="shared" ref="AL23:AL86" si="14">AN23</f>
        <v>1</v>
      </c>
      <c r="AM23">
        <f t="shared" si="4"/>
        <v>1</v>
      </c>
      <c r="AN23">
        <f t="shared" ref="AN23:AN86" si="15">IF(AJ22,1,IF(AK22,0,AL22))*AM22</f>
        <v>1</v>
      </c>
      <c r="AO23" s="28">
        <f t="shared" si="8"/>
        <v>1.08944340223036E-3</v>
      </c>
      <c r="AP23" s="28">
        <f t="shared" si="9"/>
        <v>2.78693856604357E-4</v>
      </c>
      <c r="AQ23" s="28">
        <f t="shared" ref="AQ23:AQ86" si="16">AO23+AP23</f>
        <v>1.3681372588347169E-3</v>
      </c>
      <c r="AR23" s="29">
        <f t="shared" ref="AR23:AR86" si="17">AR22+AQ23</f>
        <v>1.3681372588347169E-3</v>
      </c>
      <c r="AT23" s="12"/>
      <c r="AU23">
        <f t="shared" si="10"/>
        <v>0</v>
      </c>
      <c r="AV23">
        <f t="shared" si="11"/>
        <v>1</v>
      </c>
      <c r="AW23">
        <f t="shared" ref="AW23:AW86" si="18">AY23</f>
        <v>0</v>
      </c>
      <c r="AX23">
        <f t="shared" si="5"/>
        <v>1</v>
      </c>
      <c r="AY23">
        <f t="shared" ref="AY23:AY86" si="19">IF(AU22,1,IF(AV22,0,AW22))*AX22</f>
        <v>0</v>
      </c>
      <c r="AZ23" s="28">
        <f t="shared" si="12"/>
        <v>0</v>
      </c>
      <c r="BA23" s="28">
        <f t="shared" si="13"/>
        <v>0</v>
      </c>
      <c r="BB23" s="28">
        <f t="shared" ref="BB23:BB86" si="20">AZ23+BA23</f>
        <v>0</v>
      </c>
      <c r="BC23" s="29">
        <f t="shared" ref="BC23:BC86" si="21">BC22+BB23</f>
        <v>0</v>
      </c>
      <c r="BE23" s="29">
        <f t="shared" ref="BE23:BE86" si="22">AQ23+BB23</f>
        <v>1.3681372588347169E-3</v>
      </c>
      <c r="BF23" s="29">
        <f t="shared" ref="BF23:BF86" si="23">BF22+BE23</f>
        <v>1.3681372588347169E-3</v>
      </c>
      <c r="BH23" s="29"/>
    </row>
    <row r="24" spans="1:124" x14ac:dyDescent="0.25">
      <c r="A24" s="1">
        <v>46057</v>
      </c>
      <c r="B24" s="33">
        <v>46.01</v>
      </c>
      <c r="C24" s="33">
        <v>107.62</v>
      </c>
      <c r="D24" s="15">
        <v>1.95801215606627E-3</v>
      </c>
      <c r="E24" s="15">
        <v>-9.2915214933210295E-5</v>
      </c>
      <c r="F24" s="33">
        <v>0</v>
      </c>
      <c r="G24" s="33">
        <v>0.13150000000000001</v>
      </c>
      <c r="H24" s="33">
        <v>0</v>
      </c>
      <c r="I24" s="33">
        <v>0.27905000000000002</v>
      </c>
      <c r="J24" s="33">
        <v>0</v>
      </c>
      <c r="K24" s="33">
        <v>0</v>
      </c>
      <c r="L24" s="33">
        <v>46.01</v>
      </c>
      <c r="M24" s="33">
        <v>107.62</v>
      </c>
      <c r="N24" s="34">
        <v>2.3390567267985198</v>
      </c>
      <c r="O24" s="34">
        <v>2.3475193892851398</v>
      </c>
      <c r="P24" s="34">
        <v>2.34414728975529</v>
      </c>
      <c r="Q24" s="34">
        <v>2.3434802452472998</v>
      </c>
      <c r="R24" s="33">
        <v>108.009367101009</v>
      </c>
      <c r="S24" s="33">
        <v>107.867979328874</v>
      </c>
      <c r="T24" s="33">
        <v>107.838152939723</v>
      </c>
      <c r="U24" s="15">
        <v>3.61145171866339E-3</v>
      </c>
      <c r="V24" s="15">
        <v>2.3015616844385398E-3</v>
      </c>
      <c r="W24" s="15">
        <v>2.02501517158172E-3</v>
      </c>
      <c r="X24" s="34">
        <v>2.3390567267985198</v>
      </c>
      <c r="Y24" s="34">
        <v>2.3475193892851398</v>
      </c>
      <c r="Z24" s="34">
        <v>2.34414728975529</v>
      </c>
      <c r="AA24" s="34">
        <v>2.3434802452472998</v>
      </c>
      <c r="AB24" s="33">
        <v>108.009367101009</v>
      </c>
      <c r="AC24" s="33">
        <v>107.867979328874</v>
      </c>
      <c r="AD24" s="33">
        <v>107.838152939723</v>
      </c>
      <c r="AE24" s="15">
        <v>3.61145171866339E-3</v>
      </c>
      <c r="AF24" s="15">
        <v>2.3015616844385398E-3</v>
      </c>
      <c r="AG24" s="15">
        <v>2.02501517158172E-3</v>
      </c>
      <c r="AI24" s="12"/>
      <c r="AJ24">
        <f t="shared" si="6"/>
        <v>0</v>
      </c>
      <c r="AK24">
        <f t="shared" si="7"/>
        <v>1</v>
      </c>
      <c r="AL24">
        <f t="shared" si="14"/>
        <v>1</v>
      </c>
      <c r="AM24">
        <f t="shared" si="4"/>
        <v>1</v>
      </c>
      <c r="AN24">
        <f t="shared" si="15"/>
        <v>1</v>
      </c>
      <c r="AO24" s="28">
        <f t="shared" si="8"/>
        <v>1.95801215606627E-3</v>
      </c>
      <c r="AP24" s="28">
        <f t="shared" si="9"/>
        <v>9.2915214933210295E-5</v>
      </c>
      <c r="AQ24" s="28">
        <f t="shared" si="16"/>
        <v>2.0509273709994804E-3</v>
      </c>
      <c r="AR24" s="29">
        <f t="shared" si="17"/>
        <v>3.4190646298341973E-3</v>
      </c>
      <c r="AT24" s="12"/>
      <c r="AU24">
        <f t="shared" si="10"/>
        <v>1</v>
      </c>
      <c r="AV24">
        <f t="shared" si="11"/>
        <v>0</v>
      </c>
      <c r="AW24">
        <f t="shared" si="18"/>
        <v>0</v>
      </c>
      <c r="AX24">
        <f t="shared" si="5"/>
        <v>1</v>
      </c>
      <c r="AY24">
        <f t="shared" si="19"/>
        <v>0</v>
      </c>
      <c r="AZ24" s="28">
        <f t="shared" si="12"/>
        <v>0</v>
      </c>
      <c r="BA24" s="28">
        <f t="shared" si="13"/>
        <v>0</v>
      </c>
      <c r="BB24" s="28">
        <f t="shared" si="20"/>
        <v>0</v>
      </c>
      <c r="BC24" s="29">
        <f t="shared" si="21"/>
        <v>0</v>
      </c>
      <c r="BE24" s="29">
        <f t="shared" si="22"/>
        <v>2.0509273709994804E-3</v>
      </c>
      <c r="BF24" s="29">
        <f t="shared" si="23"/>
        <v>3.4190646298341973E-3</v>
      </c>
      <c r="BH24" s="29"/>
    </row>
    <row r="25" spans="1:124" x14ac:dyDescent="0.25">
      <c r="A25" s="1">
        <v>46058</v>
      </c>
      <c r="B25" s="33">
        <v>46.05</v>
      </c>
      <c r="C25" s="33">
        <v>107.81</v>
      </c>
      <c r="D25" s="15">
        <v>8.6899853393853504E-4</v>
      </c>
      <c r="E25" s="15">
        <v>1.7639144897529501E-3</v>
      </c>
      <c r="F25" s="33">
        <v>0</v>
      </c>
      <c r="G25" s="33">
        <v>0.13150000000000001</v>
      </c>
      <c r="H25" s="33">
        <v>0</v>
      </c>
      <c r="I25" s="33">
        <v>0.27905000000000002</v>
      </c>
      <c r="J25" s="33">
        <v>0</v>
      </c>
      <c r="K25" s="33">
        <v>0</v>
      </c>
      <c r="L25" s="33">
        <v>46.05</v>
      </c>
      <c r="M25" s="33">
        <v>107.81</v>
      </c>
      <c r="N25" s="34">
        <v>2.3411509229098799</v>
      </c>
      <c r="O25" s="34">
        <v>2.3475193892851398</v>
      </c>
      <c r="P25" s="34">
        <v>2.34387511645535</v>
      </c>
      <c r="Q25" s="34">
        <v>2.3433485904348199</v>
      </c>
      <c r="R25" s="33">
        <v>108.103267876581</v>
      </c>
      <c r="S25" s="33">
        <v>107.947982693231</v>
      </c>
      <c r="T25" s="33">
        <v>107.917265293638</v>
      </c>
      <c r="U25" s="15">
        <v>2.7165357628488999E-3</v>
      </c>
      <c r="V25" s="15">
        <v>1.27905081721834E-3</v>
      </c>
      <c r="W25" s="15">
        <v>9.9445290174575494E-4</v>
      </c>
      <c r="X25" s="34">
        <v>2.3411509229098799</v>
      </c>
      <c r="Y25" s="34">
        <v>2.3475193892851398</v>
      </c>
      <c r="Z25" s="34">
        <v>2.34387511645535</v>
      </c>
      <c r="AA25" s="34">
        <v>2.3433485904348199</v>
      </c>
      <c r="AB25" s="33">
        <v>108.103267876581</v>
      </c>
      <c r="AC25" s="33">
        <v>107.947982693231</v>
      </c>
      <c r="AD25" s="33">
        <v>107.917265293638</v>
      </c>
      <c r="AE25" s="15">
        <v>2.7165357628488999E-3</v>
      </c>
      <c r="AF25" s="15">
        <v>1.27905081721834E-3</v>
      </c>
      <c r="AG25" s="15">
        <v>9.9445290174575494E-4</v>
      </c>
      <c r="AI25" s="12"/>
      <c r="AJ25">
        <f t="shared" si="6"/>
        <v>0</v>
      </c>
      <c r="AK25">
        <f t="shared" si="7"/>
        <v>1</v>
      </c>
      <c r="AL25">
        <f t="shared" si="14"/>
        <v>0</v>
      </c>
      <c r="AM25">
        <f t="shared" si="4"/>
        <v>1</v>
      </c>
      <c r="AN25">
        <f t="shared" si="15"/>
        <v>0</v>
      </c>
      <c r="AO25" s="28">
        <f t="shared" si="8"/>
        <v>0</v>
      </c>
      <c r="AP25" s="28">
        <f t="shared" si="9"/>
        <v>0</v>
      </c>
      <c r="AQ25" s="28">
        <f t="shared" si="16"/>
        <v>0</v>
      </c>
      <c r="AR25" s="29">
        <f t="shared" si="17"/>
        <v>3.4190646298341973E-3</v>
      </c>
      <c r="AT25" s="12"/>
      <c r="AU25">
        <f t="shared" si="10"/>
        <v>0</v>
      </c>
      <c r="AV25">
        <f t="shared" si="11"/>
        <v>0</v>
      </c>
      <c r="AW25">
        <f t="shared" si="18"/>
        <v>1</v>
      </c>
      <c r="AX25">
        <f t="shared" si="5"/>
        <v>1</v>
      </c>
      <c r="AY25">
        <f t="shared" si="19"/>
        <v>1</v>
      </c>
      <c r="AZ25" s="28">
        <f t="shared" si="12"/>
        <v>-8.6899853393853504E-4</v>
      </c>
      <c r="BA25" s="28">
        <f t="shared" si="13"/>
        <v>1.7639144897529501E-3</v>
      </c>
      <c r="BB25" s="28">
        <f t="shared" si="20"/>
        <v>8.9491595581441506E-4</v>
      </c>
      <c r="BC25" s="29">
        <f t="shared" si="21"/>
        <v>8.9491595581441506E-4</v>
      </c>
      <c r="BE25" s="29">
        <f t="shared" si="22"/>
        <v>8.9491595581441506E-4</v>
      </c>
      <c r="BF25" s="29">
        <f t="shared" si="23"/>
        <v>4.3139805856486123E-3</v>
      </c>
      <c r="BH25" s="29"/>
      <c r="DL25" s="4"/>
      <c r="DM25" s="4"/>
      <c r="DN25" s="4"/>
      <c r="DO25" s="4"/>
      <c r="DP25" s="4"/>
      <c r="DR25" s="4"/>
      <c r="DS25" s="4"/>
      <c r="DT25" s="4"/>
    </row>
    <row r="26" spans="1:124" x14ac:dyDescent="0.25">
      <c r="A26" s="1">
        <v>46059</v>
      </c>
      <c r="B26" s="33">
        <v>46.07</v>
      </c>
      <c r="C26" s="33">
        <v>107.69</v>
      </c>
      <c r="D26" s="15">
        <v>4.3421624650993802E-4</v>
      </c>
      <c r="E26" s="15">
        <v>-1.11368921023703E-3</v>
      </c>
      <c r="F26" s="33">
        <v>0</v>
      </c>
      <c r="G26" s="33">
        <v>0.13150000000000001</v>
      </c>
      <c r="H26" s="33">
        <v>0</v>
      </c>
      <c r="I26" s="33">
        <v>0.27905000000000002</v>
      </c>
      <c r="J26" s="33">
        <v>0</v>
      </c>
      <c r="K26" s="33">
        <v>0</v>
      </c>
      <c r="L26" s="33">
        <v>46.07</v>
      </c>
      <c r="M26" s="33">
        <v>107.69</v>
      </c>
      <c r="N26" s="34">
        <v>2.33752984588669</v>
      </c>
      <c r="O26" s="34">
        <v>2.3475193892851398</v>
      </c>
      <c r="P26" s="34">
        <v>2.3431836565995701</v>
      </c>
      <c r="Q26" s="34">
        <v>2.3430900064764302</v>
      </c>
      <c r="R26" s="33">
        <v>108.150218264366</v>
      </c>
      <c r="S26" s="33">
        <v>107.982326615098</v>
      </c>
      <c r="T26" s="33">
        <v>107.958069561332</v>
      </c>
      <c r="U26" s="15">
        <v>4.2644412195959099E-3</v>
      </c>
      <c r="V26" s="15">
        <v>2.7108419397479599E-3</v>
      </c>
      <c r="W26" s="15">
        <v>2.4861775944258501E-3</v>
      </c>
      <c r="X26" s="34">
        <v>2.33752984588669</v>
      </c>
      <c r="Y26" s="34">
        <v>2.3475193892851398</v>
      </c>
      <c r="Z26" s="34">
        <v>2.3431836565995701</v>
      </c>
      <c r="AA26" s="34">
        <v>2.3430900064764302</v>
      </c>
      <c r="AB26" s="33">
        <v>108.150218264366</v>
      </c>
      <c r="AC26" s="33">
        <v>107.982326615098</v>
      </c>
      <c r="AD26" s="33">
        <v>107.958069561332</v>
      </c>
      <c r="AE26" s="15">
        <v>4.2644412195959099E-3</v>
      </c>
      <c r="AF26" s="15">
        <v>2.7108419397479599E-3</v>
      </c>
      <c r="AG26" s="15">
        <v>2.4861775944258501E-3</v>
      </c>
      <c r="AI26" s="12"/>
      <c r="AJ26">
        <f t="shared" si="6"/>
        <v>0</v>
      </c>
      <c r="AK26">
        <f t="shared" si="7"/>
        <v>1</v>
      </c>
      <c r="AL26">
        <f t="shared" si="14"/>
        <v>0</v>
      </c>
      <c r="AM26">
        <f t="shared" si="4"/>
        <v>1</v>
      </c>
      <c r="AN26">
        <f t="shared" si="15"/>
        <v>0</v>
      </c>
      <c r="AO26" s="28">
        <f t="shared" si="8"/>
        <v>0</v>
      </c>
      <c r="AP26" s="28">
        <f t="shared" si="9"/>
        <v>0</v>
      </c>
      <c r="AQ26" s="28">
        <f t="shared" si="16"/>
        <v>0</v>
      </c>
      <c r="AR26" s="29">
        <f t="shared" si="17"/>
        <v>3.4190646298341973E-3</v>
      </c>
      <c r="AT26" s="12"/>
      <c r="AU26">
        <f t="shared" si="10"/>
        <v>1</v>
      </c>
      <c r="AV26">
        <f t="shared" si="11"/>
        <v>0</v>
      </c>
      <c r="AW26">
        <f t="shared" si="18"/>
        <v>1</v>
      </c>
      <c r="AX26">
        <f t="shared" si="5"/>
        <v>1</v>
      </c>
      <c r="AY26">
        <f t="shared" si="19"/>
        <v>1</v>
      </c>
      <c r="AZ26" s="28">
        <f t="shared" si="12"/>
        <v>-4.3421624650993802E-4</v>
      </c>
      <c r="BA26" s="28">
        <f t="shared" si="13"/>
        <v>-1.11368921023703E-3</v>
      </c>
      <c r="BB26" s="28">
        <f t="shared" si="20"/>
        <v>-1.547905456746968E-3</v>
      </c>
      <c r="BC26" s="29">
        <f t="shared" si="21"/>
        <v>-6.529895009325529E-4</v>
      </c>
      <c r="BE26" s="29">
        <f t="shared" si="22"/>
        <v>-1.547905456746968E-3</v>
      </c>
      <c r="BF26" s="29">
        <f t="shared" si="23"/>
        <v>2.7660751289016444E-3</v>
      </c>
      <c r="BH26" s="29"/>
      <c r="DL26" s="4"/>
      <c r="DM26" s="10"/>
      <c r="DN26" s="10"/>
      <c r="DO26" s="10"/>
      <c r="DP26" s="10"/>
      <c r="DR26" s="10"/>
      <c r="DS26" s="10"/>
      <c r="DT26" s="10"/>
    </row>
    <row r="27" spans="1:124" x14ac:dyDescent="0.25">
      <c r="A27" s="1">
        <v>46062</v>
      </c>
      <c r="B27" s="33">
        <v>46.1</v>
      </c>
      <c r="C27" s="33">
        <v>107.79</v>
      </c>
      <c r="D27" s="15">
        <v>6.5097105477722602E-4</v>
      </c>
      <c r="E27" s="15">
        <v>9.2816045274748396E-4</v>
      </c>
      <c r="F27" s="33">
        <v>0</v>
      </c>
      <c r="G27" s="33">
        <v>0.13150000000000001</v>
      </c>
      <c r="H27" s="33">
        <v>0</v>
      </c>
      <c r="I27" s="33">
        <v>0.27905000000000002</v>
      </c>
      <c r="J27" s="33">
        <v>0</v>
      </c>
      <c r="K27" s="33">
        <v>0</v>
      </c>
      <c r="L27" s="33">
        <v>46.1</v>
      </c>
      <c r="M27" s="33">
        <v>107.79</v>
      </c>
      <c r="N27" s="34">
        <v>2.3381778741865502</v>
      </c>
      <c r="O27" s="34">
        <v>2.3475193892851398</v>
      </c>
      <c r="P27" s="34">
        <v>2.3424480671119099</v>
      </c>
      <c r="Q27" s="34">
        <v>2.3428498251041501</v>
      </c>
      <c r="R27" s="33">
        <v>108.22064384604499</v>
      </c>
      <c r="S27" s="33">
        <v>108.02076656924</v>
      </c>
      <c r="T27" s="33">
        <v>108.016449298563</v>
      </c>
      <c r="U27" s="15">
        <v>3.9872518216253804E-3</v>
      </c>
      <c r="V27" s="15">
        <v>2.13860189519024E-3</v>
      </c>
      <c r="W27" s="15">
        <v>2.09863405298186E-3</v>
      </c>
      <c r="X27" s="34">
        <v>2.3381778741865502</v>
      </c>
      <c r="Y27" s="34">
        <v>2.3475193892851398</v>
      </c>
      <c r="Z27" s="34">
        <v>2.3424480671119099</v>
      </c>
      <c r="AA27" s="34">
        <v>2.3428498251041501</v>
      </c>
      <c r="AB27" s="33">
        <v>108.22064384604499</v>
      </c>
      <c r="AC27" s="33">
        <v>108.02076656924</v>
      </c>
      <c r="AD27" s="33">
        <v>108.016449298563</v>
      </c>
      <c r="AE27" s="15">
        <v>3.9872518216253804E-3</v>
      </c>
      <c r="AF27" s="15">
        <v>2.13860189519024E-3</v>
      </c>
      <c r="AG27" s="15">
        <v>2.09863405298186E-3</v>
      </c>
      <c r="AI27" s="12"/>
      <c r="AJ27">
        <f t="shared" si="6"/>
        <v>0</v>
      </c>
      <c r="AK27">
        <f t="shared" si="7"/>
        <v>1</v>
      </c>
      <c r="AL27">
        <f t="shared" si="14"/>
        <v>0</v>
      </c>
      <c r="AM27">
        <f t="shared" si="4"/>
        <v>1</v>
      </c>
      <c r="AN27">
        <f t="shared" si="15"/>
        <v>0</v>
      </c>
      <c r="AO27" s="28">
        <f t="shared" si="8"/>
        <v>0</v>
      </c>
      <c r="AP27" s="28">
        <f t="shared" si="9"/>
        <v>0</v>
      </c>
      <c r="AQ27" s="28">
        <f t="shared" si="16"/>
        <v>0</v>
      </c>
      <c r="AR27" s="29">
        <f t="shared" si="17"/>
        <v>3.4190646298341973E-3</v>
      </c>
      <c r="AT27" s="12"/>
      <c r="AU27">
        <f t="shared" si="10"/>
        <v>1</v>
      </c>
      <c r="AV27">
        <f t="shared" si="11"/>
        <v>0</v>
      </c>
      <c r="AW27">
        <f t="shared" si="18"/>
        <v>1</v>
      </c>
      <c r="AX27">
        <f t="shared" si="5"/>
        <v>1</v>
      </c>
      <c r="AY27">
        <f t="shared" si="19"/>
        <v>1</v>
      </c>
      <c r="AZ27" s="28">
        <f t="shared" si="12"/>
        <v>-6.5097105477722602E-4</v>
      </c>
      <c r="BA27" s="28">
        <f t="shared" si="13"/>
        <v>9.2816045274748396E-4</v>
      </c>
      <c r="BB27" s="28">
        <f t="shared" si="20"/>
        <v>2.7718939797025794E-4</v>
      </c>
      <c r="BC27" s="29">
        <f t="shared" si="21"/>
        <v>-3.7580010296229497E-4</v>
      </c>
      <c r="BE27" s="29">
        <f t="shared" si="22"/>
        <v>2.7718939797025794E-4</v>
      </c>
      <c r="BF27" s="29">
        <f t="shared" si="23"/>
        <v>3.0432645268719024E-3</v>
      </c>
      <c r="BH27" s="29"/>
      <c r="DL27" s="4"/>
      <c r="DM27" s="10"/>
      <c r="DN27" s="10"/>
      <c r="DO27" s="10"/>
      <c r="DP27" s="10"/>
      <c r="DR27" s="10"/>
      <c r="DS27" s="10"/>
      <c r="DT27" s="10"/>
    </row>
    <row r="28" spans="1:124" x14ac:dyDescent="0.25">
      <c r="A28" s="1">
        <v>46063</v>
      </c>
      <c r="B28" s="33">
        <v>46.15</v>
      </c>
      <c r="C28" s="33">
        <v>107.96</v>
      </c>
      <c r="D28" s="15">
        <v>1.08401094625831E-3</v>
      </c>
      <c r="E28" s="15">
        <v>1.5758983562667601E-3</v>
      </c>
      <c r="F28" s="33">
        <v>0</v>
      </c>
      <c r="G28" s="33">
        <v>0.13150000000000001</v>
      </c>
      <c r="H28" s="33">
        <v>0</v>
      </c>
      <c r="I28" s="33">
        <v>0.27905000000000002</v>
      </c>
      <c r="J28" s="33">
        <v>0</v>
      </c>
      <c r="K28" s="33">
        <v>0</v>
      </c>
      <c r="L28" s="33">
        <v>46.15</v>
      </c>
      <c r="M28" s="33">
        <v>107.96</v>
      </c>
      <c r="N28" s="34">
        <v>2.3393282773564401</v>
      </c>
      <c r="O28" s="34">
        <v>2.3475193892851398</v>
      </c>
      <c r="P28" s="34">
        <v>2.3419304051848799</v>
      </c>
      <c r="Q28" s="34">
        <v>2.3427358993246798</v>
      </c>
      <c r="R28" s="33">
        <v>108.338019815509</v>
      </c>
      <c r="S28" s="33">
        <v>108.103978297214</v>
      </c>
      <c r="T28" s="33">
        <v>108.122519428556</v>
      </c>
      <c r="U28" s="15">
        <v>3.4953644116170399E-3</v>
      </c>
      <c r="V28" s="15">
        <v>1.3327378275696401E-3</v>
      </c>
      <c r="W28" s="15">
        <v>1.50423513786425E-3</v>
      </c>
      <c r="X28" s="34">
        <v>2.3393282773564401</v>
      </c>
      <c r="Y28" s="34">
        <v>2.3475193892851398</v>
      </c>
      <c r="Z28" s="34">
        <v>2.3419304051848799</v>
      </c>
      <c r="AA28" s="34">
        <v>2.3427358993246798</v>
      </c>
      <c r="AB28" s="33">
        <v>108.338019815509</v>
      </c>
      <c r="AC28" s="33">
        <v>108.103978297214</v>
      </c>
      <c r="AD28" s="33">
        <v>108.122519428556</v>
      </c>
      <c r="AE28" s="15">
        <v>3.4953644116170399E-3</v>
      </c>
      <c r="AF28" s="15">
        <v>1.3327378275696401E-3</v>
      </c>
      <c r="AG28" s="15">
        <v>1.50423513786425E-3</v>
      </c>
      <c r="AI28" s="12"/>
      <c r="AJ28">
        <f t="shared" si="6"/>
        <v>0</v>
      </c>
      <c r="AK28">
        <f t="shared" si="7"/>
        <v>1</v>
      </c>
      <c r="AL28">
        <f t="shared" si="14"/>
        <v>0</v>
      </c>
      <c r="AM28">
        <f t="shared" si="4"/>
        <v>1</v>
      </c>
      <c r="AN28">
        <f t="shared" si="15"/>
        <v>0</v>
      </c>
      <c r="AO28" s="28">
        <f t="shared" si="8"/>
        <v>0</v>
      </c>
      <c r="AP28" s="28">
        <f t="shared" si="9"/>
        <v>0</v>
      </c>
      <c r="AQ28" s="28">
        <f t="shared" si="16"/>
        <v>0</v>
      </c>
      <c r="AR28" s="29">
        <f t="shared" si="17"/>
        <v>3.4190646298341973E-3</v>
      </c>
      <c r="AT28" s="12"/>
      <c r="AU28">
        <f t="shared" si="10"/>
        <v>1</v>
      </c>
      <c r="AV28">
        <f t="shared" si="11"/>
        <v>0</v>
      </c>
      <c r="AW28">
        <f t="shared" si="18"/>
        <v>1</v>
      </c>
      <c r="AX28">
        <f t="shared" si="5"/>
        <v>1</v>
      </c>
      <c r="AY28">
        <f t="shared" si="19"/>
        <v>1</v>
      </c>
      <c r="AZ28" s="28">
        <f t="shared" si="12"/>
        <v>-1.08401094625831E-3</v>
      </c>
      <c r="BA28" s="28">
        <f t="shared" si="13"/>
        <v>1.5758983562667601E-3</v>
      </c>
      <c r="BB28" s="28">
        <f t="shared" si="20"/>
        <v>4.9188741000845003E-4</v>
      </c>
      <c r="BC28" s="29">
        <f t="shared" si="21"/>
        <v>1.1608730704615506E-4</v>
      </c>
      <c r="BE28" s="29">
        <f t="shared" si="22"/>
        <v>4.9188741000845003E-4</v>
      </c>
      <c r="BF28" s="29">
        <f t="shared" si="23"/>
        <v>3.5351519368803522E-3</v>
      </c>
      <c r="BH28" s="29"/>
      <c r="DL28" s="4"/>
      <c r="DM28" s="10"/>
      <c r="DN28" s="10"/>
      <c r="DO28" s="10"/>
      <c r="DP28" s="11"/>
      <c r="DR28" s="10"/>
      <c r="DS28" s="10"/>
      <c r="DT28" s="10"/>
    </row>
    <row r="29" spans="1:124" x14ac:dyDescent="0.25">
      <c r="A29" s="1">
        <v>46064</v>
      </c>
      <c r="B29" s="33">
        <v>46.09</v>
      </c>
      <c r="C29" s="33">
        <v>107.83</v>
      </c>
      <c r="D29" s="15">
        <v>-1.3009542164441001E-3</v>
      </c>
      <c r="E29" s="15">
        <v>-1.2048752558229099E-3</v>
      </c>
      <c r="F29" s="33">
        <v>0</v>
      </c>
      <c r="G29" s="33">
        <v>0.13150000000000001</v>
      </c>
      <c r="H29" s="33">
        <v>0</v>
      </c>
      <c r="I29" s="33">
        <v>0.27905000000000002</v>
      </c>
      <c r="J29" s="33">
        <v>0</v>
      </c>
      <c r="K29" s="33">
        <v>0</v>
      </c>
      <c r="L29" s="33">
        <v>46.09</v>
      </c>
      <c r="M29" s="33">
        <v>107.83</v>
      </c>
      <c r="N29" s="34">
        <v>2.33955304838359</v>
      </c>
      <c r="O29" s="34">
        <v>2.3475193892851398</v>
      </c>
      <c r="P29" s="34">
        <v>2.3413121678126201</v>
      </c>
      <c r="Q29" s="34">
        <v>2.3425131160140098</v>
      </c>
      <c r="R29" s="33">
        <v>108.197168652152</v>
      </c>
      <c r="S29" s="33">
        <v>107.93957237497099</v>
      </c>
      <c r="T29" s="33">
        <v>107.976697599874</v>
      </c>
      <c r="U29" s="15">
        <v>3.3992854509956802E-3</v>
      </c>
      <c r="V29" s="15">
        <v>1.01564259672121E-3</v>
      </c>
      <c r="W29" s="15">
        <v>1.3595279859392E-3</v>
      </c>
      <c r="X29" s="34">
        <v>2.33955304838359</v>
      </c>
      <c r="Y29" s="34">
        <v>2.3475193892851398</v>
      </c>
      <c r="Z29" s="34">
        <v>2.3413121678126201</v>
      </c>
      <c r="AA29" s="34">
        <v>2.3425131160140098</v>
      </c>
      <c r="AB29" s="33">
        <v>108.197168652152</v>
      </c>
      <c r="AC29" s="33">
        <v>107.93957237497099</v>
      </c>
      <c r="AD29" s="33">
        <v>107.976697599874</v>
      </c>
      <c r="AE29" s="15">
        <v>3.3992854509956802E-3</v>
      </c>
      <c r="AF29" s="15">
        <v>1.01564259672121E-3</v>
      </c>
      <c r="AG29" s="15">
        <v>1.3595279859392E-3</v>
      </c>
      <c r="AI29" s="12"/>
      <c r="AJ29">
        <f t="shared" si="6"/>
        <v>0</v>
      </c>
      <c r="AK29">
        <f t="shared" si="7"/>
        <v>1</v>
      </c>
      <c r="AL29">
        <f t="shared" si="14"/>
        <v>0</v>
      </c>
      <c r="AM29">
        <f t="shared" si="4"/>
        <v>1</v>
      </c>
      <c r="AN29">
        <f t="shared" si="15"/>
        <v>0</v>
      </c>
      <c r="AO29" s="28">
        <f t="shared" si="8"/>
        <v>0</v>
      </c>
      <c r="AP29" s="28">
        <f t="shared" si="9"/>
        <v>0</v>
      </c>
      <c r="AQ29" s="28">
        <f t="shared" si="16"/>
        <v>0</v>
      </c>
      <c r="AR29" s="29">
        <f t="shared" si="17"/>
        <v>3.4190646298341973E-3</v>
      </c>
      <c r="AT29" s="12"/>
      <c r="AU29">
        <f t="shared" si="10"/>
        <v>1</v>
      </c>
      <c r="AV29">
        <f t="shared" si="11"/>
        <v>0</v>
      </c>
      <c r="AW29">
        <f t="shared" si="18"/>
        <v>1</v>
      </c>
      <c r="AX29">
        <f t="shared" si="5"/>
        <v>1</v>
      </c>
      <c r="AY29">
        <f t="shared" si="19"/>
        <v>1</v>
      </c>
      <c r="AZ29" s="28">
        <f t="shared" si="12"/>
        <v>1.3009542164441001E-3</v>
      </c>
      <c r="BA29" s="28">
        <f t="shared" si="13"/>
        <v>-1.2048752558229099E-3</v>
      </c>
      <c r="BB29" s="28">
        <f t="shared" si="20"/>
        <v>9.6078960621190108E-5</v>
      </c>
      <c r="BC29" s="29">
        <f t="shared" si="21"/>
        <v>2.1216626766734517E-4</v>
      </c>
      <c r="BE29" s="29">
        <f t="shared" si="22"/>
        <v>9.6078960621190108E-5</v>
      </c>
      <c r="BF29" s="29">
        <f t="shared" si="23"/>
        <v>3.6312308975015423E-3</v>
      </c>
      <c r="BH29" s="29"/>
      <c r="DL29" s="4"/>
      <c r="DM29" s="10"/>
      <c r="DN29" s="10"/>
      <c r="DO29" s="10"/>
      <c r="DP29" s="10"/>
      <c r="DR29" s="10"/>
      <c r="DS29" s="10"/>
      <c r="DT29" s="10"/>
    </row>
    <row r="30" spans="1:124" x14ac:dyDescent="0.25">
      <c r="A30" s="1">
        <v>46065</v>
      </c>
      <c r="B30" s="33">
        <v>46.19</v>
      </c>
      <c r="C30" s="33">
        <v>108.09</v>
      </c>
      <c r="D30" s="15">
        <v>2.16731771009701E-3</v>
      </c>
      <c r="E30" s="15">
        <v>2.4083005341307001E-3</v>
      </c>
      <c r="F30" s="33">
        <v>0</v>
      </c>
      <c r="G30" s="33">
        <v>0.13150000000000001</v>
      </c>
      <c r="H30" s="33">
        <v>0</v>
      </c>
      <c r="I30" s="33">
        <v>0.27905000000000002</v>
      </c>
      <c r="J30" s="33">
        <v>0</v>
      </c>
      <c r="K30" s="33">
        <v>0</v>
      </c>
      <c r="L30" s="33">
        <v>46.19</v>
      </c>
      <c r="M30" s="33">
        <v>108.09</v>
      </c>
      <c r="N30" s="34">
        <v>2.3401169084217299</v>
      </c>
      <c r="O30" s="34">
        <v>2.3475193892851398</v>
      </c>
      <c r="P30" s="34">
        <v>2.3409386573490298</v>
      </c>
      <c r="Q30" s="34">
        <v>2.3423521860491499</v>
      </c>
      <c r="R30" s="33">
        <v>108.43192059108</v>
      </c>
      <c r="S30" s="33">
        <v>108.145209031265</v>
      </c>
      <c r="T30" s="33">
        <v>108.200680828687</v>
      </c>
      <c r="U30" s="15">
        <v>3.1583026269620001E-3</v>
      </c>
      <c r="V30" s="15">
        <v>5.1063869489263703E-4</v>
      </c>
      <c r="W30" s="15">
        <v>1.02344528136254E-3</v>
      </c>
      <c r="X30" s="34">
        <v>2.3401169084217299</v>
      </c>
      <c r="Y30" s="34">
        <v>2.3475193892851398</v>
      </c>
      <c r="Z30" s="34">
        <v>2.3409386573490298</v>
      </c>
      <c r="AA30" s="34">
        <v>2.3423521860491499</v>
      </c>
      <c r="AB30" s="33">
        <v>108.43192059108</v>
      </c>
      <c r="AC30" s="33">
        <v>108.145209031265</v>
      </c>
      <c r="AD30" s="33">
        <v>108.200680828687</v>
      </c>
      <c r="AE30" s="15">
        <v>3.1583026269620001E-3</v>
      </c>
      <c r="AF30" s="15">
        <v>5.1063869489263703E-4</v>
      </c>
      <c r="AG30" s="15">
        <v>1.02344528136254E-3</v>
      </c>
      <c r="AI30" s="12"/>
      <c r="AJ30">
        <f t="shared" si="6"/>
        <v>0</v>
      </c>
      <c r="AK30">
        <f t="shared" si="7"/>
        <v>1</v>
      </c>
      <c r="AL30">
        <f t="shared" si="14"/>
        <v>0</v>
      </c>
      <c r="AM30">
        <f t="shared" si="4"/>
        <v>1</v>
      </c>
      <c r="AN30">
        <f t="shared" si="15"/>
        <v>0</v>
      </c>
      <c r="AO30" s="28">
        <f t="shared" si="8"/>
        <v>0</v>
      </c>
      <c r="AP30" s="28">
        <f t="shared" si="9"/>
        <v>0</v>
      </c>
      <c r="AQ30" s="28">
        <f t="shared" si="16"/>
        <v>0</v>
      </c>
      <c r="AR30" s="29">
        <f t="shared" si="17"/>
        <v>3.4190646298341973E-3</v>
      </c>
      <c r="AT30" s="12"/>
      <c r="AU30">
        <f t="shared" si="10"/>
        <v>1</v>
      </c>
      <c r="AV30">
        <f t="shared" si="11"/>
        <v>0</v>
      </c>
      <c r="AW30">
        <f t="shared" si="18"/>
        <v>1</v>
      </c>
      <c r="AX30">
        <f t="shared" si="5"/>
        <v>1</v>
      </c>
      <c r="AY30">
        <f t="shared" si="19"/>
        <v>1</v>
      </c>
      <c r="AZ30" s="28">
        <f t="shared" si="12"/>
        <v>-2.16731771009701E-3</v>
      </c>
      <c r="BA30" s="28">
        <f t="shared" si="13"/>
        <v>2.4083005341307001E-3</v>
      </c>
      <c r="BB30" s="28">
        <f t="shared" si="20"/>
        <v>2.4098282403369007E-4</v>
      </c>
      <c r="BC30" s="29">
        <f t="shared" si="21"/>
        <v>4.5314909170103524E-4</v>
      </c>
      <c r="BE30" s="29">
        <f t="shared" si="22"/>
        <v>2.4098282403369007E-4</v>
      </c>
      <c r="BF30" s="29">
        <f t="shared" si="23"/>
        <v>3.8722137215352324E-3</v>
      </c>
      <c r="BH30" s="29"/>
      <c r="DL30" s="4"/>
      <c r="DM30" s="10"/>
      <c r="DN30" s="10"/>
      <c r="DO30" s="10"/>
      <c r="DP30" s="10"/>
      <c r="DR30" s="10"/>
      <c r="DS30" s="10"/>
      <c r="DT30" s="10"/>
    </row>
    <row r="31" spans="1:124" x14ac:dyDescent="0.25">
      <c r="A31" s="1">
        <v>46066</v>
      </c>
      <c r="B31" s="33">
        <v>46.29</v>
      </c>
      <c r="C31" s="33">
        <v>108.26</v>
      </c>
      <c r="D31" s="15">
        <v>2.16263060066514E-3</v>
      </c>
      <c r="E31" s="15">
        <v>1.57152794072036E-3</v>
      </c>
      <c r="F31" s="33">
        <v>0</v>
      </c>
      <c r="G31" s="33">
        <v>0.13150000000000001</v>
      </c>
      <c r="H31" s="33">
        <v>0</v>
      </c>
      <c r="I31" s="33">
        <v>0.27905000000000002</v>
      </c>
      <c r="J31" s="33">
        <v>0</v>
      </c>
      <c r="K31" s="33">
        <v>0</v>
      </c>
      <c r="L31" s="33">
        <v>46.29</v>
      </c>
      <c r="M31" s="33">
        <v>108.26</v>
      </c>
      <c r="N31" s="34">
        <v>2.33873406783322</v>
      </c>
      <c r="O31" s="34">
        <v>2.3475193892851398</v>
      </c>
      <c r="P31" s="34">
        <v>2.3404574357099199</v>
      </c>
      <c r="Q31" s="34">
        <v>2.3421401291102302</v>
      </c>
      <c r="R31" s="33">
        <v>108.666672530009</v>
      </c>
      <c r="S31" s="33">
        <v>108.36205044868601</v>
      </c>
      <c r="T31" s="33">
        <v>108.42748269221499</v>
      </c>
      <c r="U31" s="15">
        <v>3.7494052869068398E-3</v>
      </c>
      <c r="V31" s="15">
        <v>9.4219822981789995E-4</v>
      </c>
      <c r="W31" s="15">
        <v>1.54584587430947E-3</v>
      </c>
      <c r="X31" s="34">
        <v>2.33873406783322</v>
      </c>
      <c r="Y31" s="34">
        <v>2.3475193892851398</v>
      </c>
      <c r="Z31" s="34">
        <v>2.3404574357099199</v>
      </c>
      <c r="AA31" s="34">
        <v>2.3421401291102302</v>
      </c>
      <c r="AB31" s="33">
        <v>108.666672530009</v>
      </c>
      <c r="AC31" s="33">
        <v>108.36205044868601</v>
      </c>
      <c r="AD31" s="33">
        <v>108.42748269221499</v>
      </c>
      <c r="AE31" s="15">
        <v>3.7494052869068398E-3</v>
      </c>
      <c r="AF31" s="15">
        <v>9.4219822981789995E-4</v>
      </c>
      <c r="AG31" s="15">
        <v>1.54584587430947E-3</v>
      </c>
      <c r="AI31" s="12"/>
      <c r="AJ31">
        <f t="shared" si="6"/>
        <v>0</v>
      </c>
      <c r="AK31">
        <f t="shared" si="7"/>
        <v>1</v>
      </c>
      <c r="AL31">
        <f t="shared" si="14"/>
        <v>0</v>
      </c>
      <c r="AM31">
        <f t="shared" si="4"/>
        <v>1</v>
      </c>
      <c r="AN31">
        <f t="shared" si="15"/>
        <v>0</v>
      </c>
      <c r="AO31" s="28">
        <f t="shared" si="8"/>
        <v>0</v>
      </c>
      <c r="AP31" s="28">
        <f t="shared" si="9"/>
        <v>0</v>
      </c>
      <c r="AQ31" s="28">
        <f t="shared" si="16"/>
        <v>0</v>
      </c>
      <c r="AR31" s="29">
        <f t="shared" si="17"/>
        <v>3.4190646298341973E-3</v>
      </c>
      <c r="AT31" s="12"/>
      <c r="AU31">
        <f t="shared" si="10"/>
        <v>1</v>
      </c>
      <c r="AV31">
        <f t="shared" si="11"/>
        <v>0</v>
      </c>
      <c r="AW31">
        <f t="shared" si="18"/>
        <v>1</v>
      </c>
      <c r="AX31">
        <f t="shared" si="5"/>
        <v>1</v>
      </c>
      <c r="AY31">
        <f t="shared" si="19"/>
        <v>1</v>
      </c>
      <c r="AZ31" s="28">
        <f t="shared" si="12"/>
        <v>-2.16263060066514E-3</v>
      </c>
      <c r="BA31" s="28">
        <f t="shared" si="13"/>
        <v>1.57152794072036E-3</v>
      </c>
      <c r="BB31" s="28">
        <f t="shared" si="20"/>
        <v>-5.9110265994478006E-4</v>
      </c>
      <c r="BC31" s="29">
        <f t="shared" si="21"/>
        <v>-1.3795356824374482E-4</v>
      </c>
      <c r="BE31" s="29">
        <f t="shared" si="22"/>
        <v>-5.9110265994478006E-4</v>
      </c>
      <c r="BF31" s="29">
        <f t="shared" si="23"/>
        <v>3.2811110615904521E-3</v>
      </c>
      <c r="BH31" s="29"/>
      <c r="DL31" s="4"/>
      <c r="DM31" s="10"/>
      <c r="DN31" s="10"/>
      <c r="DO31" s="10"/>
      <c r="DP31" s="10"/>
      <c r="DR31" s="10"/>
      <c r="DS31" s="10"/>
      <c r="DT31" s="10"/>
    </row>
    <row r="32" spans="1:124" x14ac:dyDescent="0.25">
      <c r="A32" s="1">
        <v>46070</v>
      </c>
      <c r="B32" s="33">
        <v>46.26</v>
      </c>
      <c r="C32" s="33">
        <v>108.33</v>
      </c>
      <c r="D32" s="15">
        <v>-6.4829823988607005E-4</v>
      </c>
      <c r="E32" s="15">
        <v>6.4638258864417098E-4</v>
      </c>
      <c r="F32" s="33">
        <v>0</v>
      </c>
      <c r="G32" s="33">
        <v>0.13150000000000001</v>
      </c>
      <c r="H32" s="33">
        <v>0</v>
      </c>
      <c r="I32" s="33">
        <v>0.27905000000000002</v>
      </c>
      <c r="J32" s="33">
        <v>0</v>
      </c>
      <c r="K32" s="33">
        <v>0</v>
      </c>
      <c r="L32" s="33">
        <v>46.26</v>
      </c>
      <c r="M32" s="33">
        <v>108.33</v>
      </c>
      <c r="N32" s="34">
        <v>2.3417639429312498</v>
      </c>
      <c r="O32" s="34">
        <v>2.3475193892851398</v>
      </c>
      <c r="P32" s="34">
        <v>2.33992704997253</v>
      </c>
      <c r="Q32" s="34">
        <v>2.3420826698230899</v>
      </c>
      <c r="R32" s="33">
        <v>108.59624694833001</v>
      </c>
      <c r="S32" s="33">
        <v>108.269560975941</v>
      </c>
      <c r="T32" s="33">
        <v>108.347402372639</v>
      </c>
      <c r="U32" s="15">
        <v>2.4547244583767499E-3</v>
      </c>
      <c r="V32" s="15">
        <v>-5.5807154322027404E-4</v>
      </c>
      <c r="W32" s="15">
        <v>1.60629327158973E-4</v>
      </c>
      <c r="X32" s="34">
        <v>2.3417639429312498</v>
      </c>
      <c r="Y32" s="34">
        <v>2.3475193892851398</v>
      </c>
      <c r="Z32" s="34">
        <v>2.33992704997253</v>
      </c>
      <c r="AA32" s="34">
        <v>2.3420826698230899</v>
      </c>
      <c r="AB32" s="33">
        <v>108.59624694833001</v>
      </c>
      <c r="AC32" s="33">
        <v>108.269560975941</v>
      </c>
      <c r="AD32" s="33">
        <v>108.347402372639</v>
      </c>
      <c r="AE32" s="15">
        <v>2.4547244583767499E-3</v>
      </c>
      <c r="AF32" s="15">
        <v>-5.5807154322027404E-4</v>
      </c>
      <c r="AG32" s="15">
        <v>1.60629327158973E-4</v>
      </c>
      <c r="AI32" s="12"/>
      <c r="AJ32">
        <f t="shared" si="6"/>
        <v>0</v>
      </c>
      <c r="AK32">
        <f t="shared" si="7"/>
        <v>1</v>
      </c>
      <c r="AL32">
        <f t="shared" si="14"/>
        <v>0</v>
      </c>
      <c r="AM32">
        <f t="shared" si="4"/>
        <v>1</v>
      </c>
      <c r="AN32">
        <f t="shared" si="15"/>
        <v>0</v>
      </c>
      <c r="AO32" s="28">
        <f t="shared" si="8"/>
        <v>0</v>
      </c>
      <c r="AP32" s="28">
        <f t="shared" si="9"/>
        <v>0</v>
      </c>
      <c r="AQ32" s="28">
        <f t="shared" si="16"/>
        <v>0</v>
      </c>
      <c r="AR32" s="29">
        <f t="shared" si="17"/>
        <v>3.4190646298341973E-3</v>
      </c>
      <c r="AT32" s="12"/>
      <c r="AU32">
        <f t="shared" si="10"/>
        <v>0</v>
      </c>
      <c r="AV32">
        <f t="shared" si="11"/>
        <v>0</v>
      </c>
      <c r="AW32">
        <f t="shared" si="18"/>
        <v>1</v>
      </c>
      <c r="AX32">
        <f t="shared" si="5"/>
        <v>1</v>
      </c>
      <c r="AY32">
        <f t="shared" si="19"/>
        <v>1</v>
      </c>
      <c r="AZ32" s="28">
        <f t="shared" si="12"/>
        <v>6.4829823988607005E-4</v>
      </c>
      <c r="BA32" s="28">
        <f t="shared" si="13"/>
        <v>6.4638258864417098E-4</v>
      </c>
      <c r="BB32" s="28">
        <f t="shared" si="20"/>
        <v>1.294680828530241E-3</v>
      </c>
      <c r="BC32" s="29">
        <f t="shared" si="21"/>
        <v>1.1567272602864961E-3</v>
      </c>
      <c r="BE32" s="29">
        <f t="shared" si="22"/>
        <v>1.294680828530241E-3</v>
      </c>
      <c r="BF32" s="29">
        <f t="shared" si="23"/>
        <v>4.5757918901206934E-3</v>
      </c>
      <c r="BH32" s="29"/>
      <c r="DL32" s="4"/>
      <c r="DM32" s="10"/>
      <c r="DN32" s="10"/>
      <c r="DO32" s="10"/>
      <c r="DP32" s="10"/>
      <c r="DR32" s="10"/>
      <c r="DS32" s="10"/>
      <c r="DT32" s="10"/>
    </row>
    <row r="33" spans="1:124" x14ac:dyDescent="0.25">
      <c r="A33" s="1">
        <v>46071</v>
      </c>
      <c r="B33" s="33">
        <v>46.24</v>
      </c>
      <c r="C33" s="33">
        <v>108.31</v>
      </c>
      <c r="D33" s="15">
        <v>-4.32432439170979E-4</v>
      </c>
      <c r="E33" s="15">
        <v>-1.8463810983027101E-4</v>
      </c>
      <c r="F33" s="33">
        <v>0</v>
      </c>
      <c r="G33" s="33">
        <v>0.13150000000000001</v>
      </c>
      <c r="H33" s="33">
        <v>0</v>
      </c>
      <c r="I33" s="33">
        <v>0.27905000000000002</v>
      </c>
      <c r="J33" s="33">
        <v>0</v>
      </c>
      <c r="K33" s="33">
        <v>0</v>
      </c>
      <c r="L33" s="33">
        <v>46.24</v>
      </c>
      <c r="M33" s="33">
        <v>108.31</v>
      </c>
      <c r="N33" s="34">
        <v>2.3423442906574299</v>
      </c>
      <c r="O33" s="34">
        <v>2.3475193892851398</v>
      </c>
      <c r="P33" s="34">
        <v>2.3397755905365298</v>
      </c>
      <c r="Q33" s="34">
        <v>2.34211100032014</v>
      </c>
      <c r="R33" s="33">
        <v>108.549296560545</v>
      </c>
      <c r="S33" s="33">
        <v>108.198226790729</v>
      </c>
      <c r="T33" s="33">
        <v>108.297902652619</v>
      </c>
      <c r="U33" s="15">
        <v>2.2069301290358698E-3</v>
      </c>
      <c r="V33" s="15">
        <v>-1.03250782528426E-3</v>
      </c>
      <c r="W33" s="15">
        <v>-1.1169811668547101E-4</v>
      </c>
      <c r="X33" s="34">
        <v>2.3423442906574299</v>
      </c>
      <c r="Y33" s="34">
        <v>2.3475193892851398</v>
      </c>
      <c r="Z33" s="34">
        <v>2.3397755905365298</v>
      </c>
      <c r="AA33" s="34">
        <v>2.34211100032014</v>
      </c>
      <c r="AB33" s="33">
        <v>108.549296560545</v>
      </c>
      <c r="AC33" s="33">
        <v>108.198226790729</v>
      </c>
      <c r="AD33" s="33">
        <v>108.297902652619</v>
      </c>
      <c r="AE33" s="15">
        <v>2.2069301290358698E-3</v>
      </c>
      <c r="AF33" s="15">
        <v>-1.03250782528426E-3</v>
      </c>
      <c r="AG33" s="15">
        <v>-1.1169811668547101E-4</v>
      </c>
      <c r="AI33" s="12"/>
      <c r="AJ33">
        <f t="shared" si="6"/>
        <v>0</v>
      </c>
      <c r="AK33">
        <f t="shared" si="7"/>
        <v>0</v>
      </c>
      <c r="AL33">
        <f t="shared" si="14"/>
        <v>0</v>
      </c>
      <c r="AM33">
        <f t="shared" si="4"/>
        <v>1</v>
      </c>
      <c r="AN33">
        <f t="shared" si="15"/>
        <v>0</v>
      </c>
      <c r="AO33" s="28">
        <f t="shared" si="8"/>
        <v>0</v>
      </c>
      <c r="AP33" s="28">
        <f t="shared" si="9"/>
        <v>0</v>
      </c>
      <c r="AQ33" s="28">
        <f t="shared" si="16"/>
        <v>0</v>
      </c>
      <c r="AR33" s="29">
        <f t="shared" si="17"/>
        <v>3.4190646298341973E-3</v>
      </c>
      <c r="AT33" s="12"/>
      <c r="AU33">
        <f t="shared" si="10"/>
        <v>0</v>
      </c>
      <c r="AV33">
        <f t="shared" si="11"/>
        <v>1</v>
      </c>
      <c r="AW33">
        <f t="shared" si="18"/>
        <v>1</v>
      </c>
      <c r="AX33">
        <f t="shared" si="5"/>
        <v>1</v>
      </c>
      <c r="AY33">
        <f t="shared" si="19"/>
        <v>1</v>
      </c>
      <c r="AZ33" s="28">
        <f t="shared" si="12"/>
        <v>4.32432439170979E-4</v>
      </c>
      <c r="BA33" s="28">
        <f t="shared" si="13"/>
        <v>-1.8463810983027101E-4</v>
      </c>
      <c r="BB33" s="28">
        <f t="shared" si="20"/>
        <v>2.4779432934070799E-4</v>
      </c>
      <c r="BC33" s="29">
        <f t="shared" si="21"/>
        <v>1.404521589627204E-3</v>
      </c>
      <c r="BE33" s="29">
        <f t="shared" si="22"/>
        <v>2.4779432934070799E-4</v>
      </c>
      <c r="BF33" s="29">
        <f t="shared" si="23"/>
        <v>4.8235862194614017E-3</v>
      </c>
      <c r="BH33" s="29"/>
      <c r="DL33" s="4"/>
      <c r="DM33" s="10"/>
      <c r="DN33" s="10"/>
      <c r="DO33" s="10"/>
      <c r="DP33" s="10"/>
      <c r="DQ33" s="10"/>
      <c r="DR33" s="10"/>
      <c r="DS33" s="10"/>
      <c r="DT33" s="10"/>
    </row>
    <row r="34" spans="1:124" x14ac:dyDescent="0.25">
      <c r="A34" s="1">
        <v>46072</v>
      </c>
      <c r="B34" s="33">
        <v>46.24</v>
      </c>
      <c r="C34" s="33">
        <v>108.46</v>
      </c>
      <c r="D34" s="15">
        <v>0</v>
      </c>
      <c r="E34" s="15">
        <v>1.38395556526878E-3</v>
      </c>
      <c r="F34" s="33">
        <v>0</v>
      </c>
      <c r="G34" s="33">
        <v>0.13150000000000001</v>
      </c>
      <c r="H34" s="33">
        <v>0</v>
      </c>
      <c r="I34" s="33">
        <v>0.27905000000000002</v>
      </c>
      <c r="J34" s="33">
        <v>0</v>
      </c>
      <c r="K34" s="33">
        <v>0</v>
      </c>
      <c r="L34" s="33">
        <v>46.24</v>
      </c>
      <c r="M34" s="33">
        <v>108.46</v>
      </c>
      <c r="N34" s="34">
        <v>2.3455882352941102</v>
      </c>
      <c r="O34" s="34">
        <v>2.3475193892851398</v>
      </c>
      <c r="P34" s="34">
        <v>2.34042874138609</v>
      </c>
      <c r="Q34" s="34">
        <v>2.34228801557069</v>
      </c>
      <c r="R34" s="33">
        <v>108.549296560545</v>
      </c>
      <c r="S34" s="33">
        <v>108.191223306409</v>
      </c>
      <c r="T34" s="33">
        <v>108.299212654803</v>
      </c>
      <c r="U34" s="15">
        <v>8.2297456376732598E-4</v>
      </c>
      <c r="V34" s="15">
        <v>-2.4811937581365601E-3</v>
      </c>
      <c r="W34" s="15">
        <v>-1.48355747114333E-3</v>
      </c>
      <c r="X34" s="34">
        <v>2.3455882352941102</v>
      </c>
      <c r="Y34" s="34">
        <v>2.3475193892851398</v>
      </c>
      <c r="Z34" s="34">
        <v>2.34042874138609</v>
      </c>
      <c r="AA34" s="34">
        <v>2.34228801557069</v>
      </c>
      <c r="AB34" s="33">
        <v>108.549296560545</v>
      </c>
      <c r="AC34" s="33">
        <v>108.191223306409</v>
      </c>
      <c r="AD34" s="33">
        <v>108.299212654803</v>
      </c>
      <c r="AE34" s="15">
        <v>8.2297456376732598E-4</v>
      </c>
      <c r="AF34" s="15">
        <v>-2.4811937581365601E-3</v>
      </c>
      <c r="AG34" s="15">
        <v>-1.48355747114333E-3</v>
      </c>
      <c r="AI34" s="12"/>
      <c r="AJ34">
        <f t="shared" si="6"/>
        <v>1</v>
      </c>
      <c r="AK34">
        <f t="shared" si="7"/>
        <v>0</v>
      </c>
      <c r="AL34">
        <f t="shared" si="14"/>
        <v>0</v>
      </c>
      <c r="AM34">
        <f t="shared" si="4"/>
        <v>1</v>
      </c>
      <c r="AN34">
        <f t="shared" si="15"/>
        <v>0</v>
      </c>
      <c r="AO34" s="28">
        <f t="shared" si="8"/>
        <v>0</v>
      </c>
      <c r="AP34" s="28">
        <f t="shared" si="9"/>
        <v>0</v>
      </c>
      <c r="AQ34" s="28">
        <f t="shared" si="16"/>
        <v>0</v>
      </c>
      <c r="AR34" s="29">
        <f t="shared" si="17"/>
        <v>3.4190646298341973E-3</v>
      </c>
      <c r="AT34" s="12"/>
      <c r="AU34">
        <f t="shared" si="10"/>
        <v>0</v>
      </c>
      <c r="AV34">
        <f t="shared" si="11"/>
        <v>1</v>
      </c>
      <c r="AW34">
        <f t="shared" si="18"/>
        <v>0</v>
      </c>
      <c r="AX34">
        <f t="shared" si="5"/>
        <v>1</v>
      </c>
      <c r="AY34">
        <f t="shared" si="19"/>
        <v>0</v>
      </c>
      <c r="AZ34" s="28">
        <f t="shared" si="12"/>
        <v>0</v>
      </c>
      <c r="BA34" s="28">
        <f t="shared" si="13"/>
        <v>0</v>
      </c>
      <c r="BB34" s="28">
        <f t="shared" si="20"/>
        <v>0</v>
      </c>
      <c r="BC34" s="29">
        <f t="shared" si="21"/>
        <v>1.404521589627204E-3</v>
      </c>
      <c r="BE34" s="29">
        <f t="shared" si="22"/>
        <v>0</v>
      </c>
      <c r="BF34" s="29">
        <f t="shared" si="23"/>
        <v>4.8235862194614017E-3</v>
      </c>
      <c r="BH34" s="29"/>
    </row>
    <row r="35" spans="1:124" x14ac:dyDescent="0.25">
      <c r="A35" s="1">
        <v>46073</v>
      </c>
      <c r="B35" s="33">
        <v>46.28</v>
      </c>
      <c r="C35" s="33">
        <v>108.54</v>
      </c>
      <c r="D35" s="15">
        <v>8.6467796135375203E-4</v>
      </c>
      <c r="E35" s="15">
        <v>7.3732722234436002E-4</v>
      </c>
      <c r="F35" s="33">
        <v>0</v>
      </c>
      <c r="G35" s="33">
        <v>0.13150000000000001</v>
      </c>
      <c r="H35" s="33">
        <v>0</v>
      </c>
      <c r="I35" s="33">
        <v>0.27905000000000002</v>
      </c>
      <c r="J35" s="33">
        <v>0</v>
      </c>
      <c r="K35" s="33">
        <v>0</v>
      </c>
      <c r="L35" s="33">
        <v>46.28</v>
      </c>
      <c r="M35" s="33">
        <v>108.54</v>
      </c>
      <c r="N35" s="34">
        <v>2.3452895419187501</v>
      </c>
      <c r="O35" s="34">
        <v>2.3475193892851398</v>
      </c>
      <c r="P35" s="34">
        <v>2.3408426032869798</v>
      </c>
      <c r="Q35" s="34">
        <v>2.34235885987116</v>
      </c>
      <c r="R35" s="33">
        <v>108.643197336116</v>
      </c>
      <c r="S35" s="33">
        <v>108.315042151348</v>
      </c>
      <c r="T35" s="33">
        <v>108.401089360611</v>
      </c>
      <c r="U35" s="15">
        <v>9.5032530277673101E-4</v>
      </c>
      <c r="V35" s="15">
        <v>-2.0747309088525899E-3</v>
      </c>
      <c r="W35" s="15">
        <v>-1.2806302280707301E-3</v>
      </c>
      <c r="X35" s="34">
        <v>2.3452895419187501</v>
      </c>
      <c r="Y35" s="34">
        <v>2.3475193892851398</v>
      </c>
      <c r="Z35" s="34">
        <v>2.3408426032869798</v>
      </c>
      <c r="AA35" s="34">
        <v>2.34235885987116</v>
      </c>
      <c r="AB35" s="33">
        <v>108.643197336116</v>
      </c>
      <c r="AC35" s="33">
        <v>108.315042151348</v>
      </c>
      <c r="AD35" s="33">
        <v>108.401089360611</v>
      </c>
      <c r="AE35" s="15">
        <v>9.5032530277673101E-4</v>
      </c>
      <c r="AF35" s="15">
        <v>-2.0747309088525899E-3</v>
      </c>
      <c r="AG35" s="15">
        <v>-1.2806302280707301E-3</v>
      </c>
      <c r="AI35" s="12"/>
      <c r="AJ35">
        <f t="shared" si="6"/>
        <v>1</v>
      </c>
      <c r="AK35">
        <f t="shared" si="7"/>
        <v>0</v>
      </c>
      <c r="AL35">
        <f t="shared" si="14"/>
        <v>1</v>
      </c>
      <c r="AM35">
        <f t="shared" si="4"/>
        <v>1</v>
      </c>
      <c r="AN35">
        <f t="shared" si="15"/>
        <v>1</v>
      </c>
      <c r="AO35" s="28">
        <f t="shared" si="8"/>
        <v>8.6467796135375203E-4</v>
      </c>
      <c r="AP35" s="28">
        <f t="shared" si="9"/>
        <v>-7.3732722234436002E-4</v>
      </c>
      <c r="AQ35" s="28">
        <f t="shared" si="16"/>
        <v>1.2735073900939202E-4</v>
      </c>
      <c r="AR35" s="29">
        <f t="shared" si="17"/>
        <v>3.5464153688435892E-3</v>
      </c>
      <c r="AT35" s="12"/>
      <c r="AU35">
        <f t="shared" si="10"/>
        <v>0</v>
      </c>
      <c r="AV35">
        <f t="shared" si="11"/>
        <v>1</v>
      </c>
      <c r="AW35">
        <f t="shared" si="18"/>
        <v>0</v>
      </c>
      <c r="AX35">
        <f t="shared" si="5"/>
        <v>1</v>
      </c>
      <c r="AY35">
        <f t="shared" si="19"/>
        <v>0</v>
      </c>
      <c r="AZ35" s="28">
        <f t="shared" si="12"/>
        <v>0</v>
      </c>
      <c r="BA35" s="28">
        <f t="shared" si="13"/>
        <v>0</v>
      </c>
      <c r="BB35" s="28">
        <f t="shared" si="20"/>
        <v>0</v>
      </c>
      <c r="BC35" s="29">
        <f t="shared" si="21"/>
        <v>1.404521589627204E-3</v>
      </c>
      <c r="BE35" s="29">
        <f t="shared" si="22"/>
        <v>1.2735073900939202E-4</v>
      </c>
      <c r="BF35" s="29">
        <f t="shared" si="23"/>
        <v>4.9509369584707936E-3</v>
      </c>
      <c r="BH35" s="29"/>
    </row>
    <row r="36" spans="1:124" x14ac:dyDescent="0.25">
      <c r="A36" s="1">
        <v>46076</v>
      </c>
      <c r="B36" s="33">
        <v>46.34</v>
      </c>
      <c r="C36" s="33">
        <v>108.51</v>
      </c>
      <c r="D36" s="15">
        <v>1.2956166787542801E-3</v>
      </c>
      <c r="E36" s="15">
        <v>-2.7643400314255001E-4</v>
      </c>
      <c r="F36" s="33">
        <v>0</v>
      </c>
      <c r="G36" s="33">
        <v>0.13150000000000001</v>
      </c>
      <c r="H36" s="33">
        <v>0</v>
      </c>
      <c r="I36" s="33">
        <v>0.27905000000000002</v>
      </c>
      <c r="J36" s="33">
        <v>0</v>
      </c>
      <c r="K36" s="33">
        <v>0</v>
      </c>
      <c r="L36" s="33">
        <v>46.34</v>
      </c>
      <c r="M36" s="33">
        <v>108.51</v>
      </c>
      <c r="N36" s="34">
        <v>2.3416055243849798</v>
      </c>
      <c r="O36" s="34">
        <v>2.3475193892851398</v>
      </c>
      <c r="P36" s="34">
        <v>2.3412501711368101</v>
      </c>
      <c r="Q36" s="34">
        <v>2.3422169138681901</v>
      </c>
      <c r="R36" s="33">
        <v>108.784048499473</v>
      </c>
      <c r="S36" s="33">
        <v>108.47464623631799</v>
      </c>
      <c r="T36" s="33">
        <v>108.544909566429</v>
      </c>
      <c r="U36" s="15">
        <v>2.52237598467358E-3</v>
      </c>
      <c r="V36" s="15">
        <v>-3.2586419921681902E-4</v>
      </c>
      <c r="W36" s="15">
        <v>3.2166576467344702E-4</v>
      </c>
      <c r="X36" s="34">
        <v>2.3416055243849798</v>
      </c>
      <c r="Y36" s="34">
        <v>2.3475193892851398</v>
      </c>
      <c r="Z36" s="34">
        <v>2.3412501711368101</v>
      </c>
      <c r="AA36" s="34">
        <v>2.3422169138681901</v>
      </c>
      <c r="AB36" s="33">
        <v>108.784048499473</v>
      </c>
      <c r="AC36" s="33">
        <v>108.47464623631799</v>
      </c>
      <c r="AD36" s="33">
        <v>108.544909566429</v>
      </c>
      <c r="AE36" s="15">
        <v>2.52237598467358E-3</v>
      </c>
      <c r="AF36" s="15">
        <v>-3.2586419921681902E-4</v>
      </c>
      <c r="AG36" s="15">
        <v>3.2166576467344702E-4</v>
      </c>
      <c r="AI36" s="12"/>
      <c r="AJ36">
        <f t="shared" si="6"/>
        <v>0</v>
      </c>
      <c r="AK36">
        <f t="shared" si="7"/>
        <v>1</v>
      </c>
      <c r="AL36">
        <f t="shared" si="14"/>
        <v>1</v>
      </c>
      <c r="AM36">
        <f t="shared" si="4"/>
        <v>1</v>
      </c>
      <c r="AN36">
        <f t="shared" si="15"/>
        <v>1</v>
      </c>
      <c r="AO36" s="28">
        <f t="shared" si="8"/>
        <v>1.2956166787542801E-3</v>
      </c>
      <c r="AP36" s="28">
        <f t="shared" si="9"/>
        <v>2.7643400314255001E-4</v>
      </c>
      <c r="AQ36" s="28">
        <f t="shared" si="16"/>
        <v>1.57205068189683E-3</v>
      </c>
      <c r="AR36" s="29">
        <f t="shared" si="17"/>
        <v>5.1184660507404191E-3</v>
      </c>
      <c r="AT36" s="12"/>
      <c r="AU36">
        <f t="shared" si="10"/>
        <v>0</v>
      </c>
      <c r="AV36">
        <f t="shared" si="11"/>
        <v>0</v>
      </c>
      <c r="AW36">
        <f t="shared" si="18"/>
        <v>0</v>
      </c>
      <c r="AX36">
        <f t="shared" si="5"/>
        <v>1</v>
      </c>
      <c r="AY36">
        <f t="shared" si="19"/>
        <v>0</v>
      </c>
      <c r="AZ36" s="28">
        <f t="shared" si="12"/>
        <v>0</v>
      </c>
      <c r="BA36" s="28">
        <f t="shared" si="13"/>
        <v>0</v>
      </c>
      <c r="BB36" s="28">
        <f t="shared" si="20"/>
        <v>0</v>
      </c>
      <c r="BC36" s="29">
        <f t="shared" si="21"/>
        <v>1.404521589627204E-3</v>
      </c>
      <c r="BE36" s="29">
        <f t="shared" si="22"/>
        <v>1.57205068189683E-3</v>
      </c>
      <c r="BF36" s="29">
        <f t="shared" si="23"/>
        <v>6.5229876403676236E-3</v>
      </c>
      <c r="BH36" s="29"/>
    </row>
    <row r="37" spans="1:124" x14ac:dyDescent="0.25">
      <c r="A37" s="1">
        <v>46077</v>
      </c>
      <c r="B37" s="33">
        <v>46.4</v>
      </c>
      <c r="C37" s="33">
        <v>108.71</v>
      </c>
      <c r="D37" s="15">
        <v>1.2939402279792799E-3</v>
      </c>
      <c r="E37" s="15">
        <v>1.8414515837925499E-3</v>
      </c>
      <c r="F37" s="33">
        <v>0</v>
      </c>
      <c r="G37" s="33">
        <v>0.13150000000000001</v>
      </c>
      <c r="H37" s="33">
        <v>0</v>
      </c>
      <c r="I37" s="33">
        <v>0.27905000000000002</v>
      </c>
      <c r="J37" s="33">
        <v>0</v>
      </c>
      <c r="K37" s="33">
        <v>0</v>
      </c>
      <c r="L37" s="33">
        <v>46.4</v>
      </c>
      <c r="M37" s="33">
        <v>108.71</v>
      </c>
      <c r="N37" s="34">
        <v>2.3428879310344799</v>
      </c>
      <c r="O37" s="34">
        <v>2.3475193892851398</v>
      </c>
      <c r="P37" s="34">
        <v>2.3417211768216002</v>
      </c>
      <c r="Q37" s="34">
        <v>2.3420846219667499</v>
      </c>
      <c r="R37" s="33">
        <v>108.92489966283</v>
      </c>
      <c r="S37" s="33">
        <v>108.63400794074801</v>
      </c>
      <c r="T37" s="33">
        <v>108.678864803484</v>
      </c>
      <c r="U37" s="15">
        <v>1.9748646288603902E-3</v>
      </c>
      <c r="V37" s="15">
        <v>-6.9927911119880897E-4</v>
      </c>
      <c r="W37" s="15">
        <v>-2.8644702438477301E-4</v>
      </c>
      <c r="X37" s="34">
        <v>2.3428879310344799</v>
      </c>
      <c r="Y37" s="34">
        <v>2.3475193892851398</v>
      </c>
      <c r="Z37" s="34">
        <v>2.3417211768216002</v>
      </c>
      <c r="AA37" s="34">
        <v>2.3420846219667499</v>
      </c>
      <c r="AB37" s="33">
        <v>108.92489966283</v>
      </c>
      <c r="AC37" s="33">
        <v>108.63400794074801</v>
      </c>
      <c r="AD37" s="33">
        <v>108.678864803484</v>
      </c>
      <c r="AE37" s="15">
        <v>1.9748646288603902E-3</v>
      </c>
      <c r="AF37" s="15">
        <v>-6.9927911119880897E-4</v>
      </c>
      <c r="AG37" s="15">
        <v>-2.8644702438477301E-4</v>
      </c>
      <c r="AI37" s="12"/>
      <c r="AJ37">
        <f t="shared" si="6"/>
        <v>0</v>
      </c>
      <c r="AK37">
        <f t="shared" si="7"/>
        <v>0</v>
      </c>
      <c r="AL37">
        <f t="shared" si="14"/>
        <v>0</v>
      </c>
      <c r="AM37">
        <f t="shared" si="4"/>
        <v>1</v>
      </c>
      <c r="AN37">
        <f t="shared" si="15"/>
        <v>0</v>
      </c>
      <c r="AO37" s="28">
        <f t="shared" si="8"/>
        <v>0</v>
      </c>
      <c r="AP37" s="28">
        <f t="shared" si="9"/>
        <v>0</v>
      </c>
      <c r="AQ37" s="28">
        <f t="shared" si="16"/>
        <v>0</v>
      </c>
      <c r="AR37" s="29">
        <f t="shared" si="17"/>
        <v>5.1184660507404191E-3</v>
      </c>
      <c r="AT37" s="12"/>
      <c r="AU37">
        <f t="shared" si="10"/>
        <v>0</v>
      </c>
      <c r="AV37">
        <f t="shared" si="11"/>
        <v>1</v>
      </c>
      <c r="AW37">
        <f t="shared" si="18"/>
        <v>0</v>
      </c>
      <c r="AX37">
        <f t="shared" si="5"/>
        <v>1</v>
      </c>
      <c r="AY37">
        <f t="shared" si="19"/>
        <v>0</v>
      </c>
      <c r="AZ37" s="28">
        <f t="shared" si="12"/>
        <v>0</v>
      </c>
      <c r="BA37" s="28">
        <f t="shared" si="13"/>
        <v>0</v>
      </c>
      <c r="BB37" s="28">
        <f t="shared" si="20"/>
        <v>0</v>
      </c>
      <c r="BC37" s="29">
        <f t="shared" si="21"/>
        <v>1.404521589627204E-3</v>
      </c>
      <c r="BE37" s="29">
        <f t="shared" si="22"/>
        <v>0</v>
      </c>
      <c r="BF37" s="29">
        <f t="shared" si="23"/>
        <v>6.5229876403676236E-3</v>
      </c>
      <c r="BH37" s="29"/>
    </row>
    <row r="38" spans="1:124" x14ac:dyDescent="0.25">
      <c r="A38" s="1">
        <v>46078</v>
      </c>
      <c r="B38" s="33">
        <v>46.41</v>
      </c>
      <c r="C38" s="33">
        <v>108.75</v>
      </c>
      <c r="D38" s="15">
        <v>2.1549402087491201E-4</v>
      </c>
      <c r="E38" s="15">
        <v>3.6788375288463203E-4</v>
      </c>
      <c r="F38" s="33">
        <v>0</v>
      </c>
      <c r="G38" s="33">
        <v>0.13150000000000001</v>
      </c>
      <c r="H38" s="33">
        <v>0</v>
      </c>
      <c r="I38" s="33">
        <v>0.27905000000000002</v>
      </c>
      <c r="J38" s="33">
        <v>0</v>
      </c>
      <c r="K38" s="33">
        <v>0</v>
      </c>
      <c r="L38" s="33">
        <v>46.41</v>
      </c>
      <c r="M38" s="33">
        <v>108.75</v>
      </c>
      <c r="N38" s="34">
        <v>2.3432449903038099</v>
      </c>
      <c r="O38" s="34">
        <v>2.3475193892851398</v>
      </c>
      <c r="P38" s="34">
        <v>2.34211284811634</v>
      </c>
      <c r="Q38" s="34">
        <v>2.34202162665061</v>
      </c>
      <c r="R38" s="33">
        <v>108.94837485672301</v>
      </c>
      <c r="S38" s="33">
        <v>108.67927981629001</v>
      </c>
      <c r="T38" s="33">
        <v>108.696147305477</v>
      </c>
      <c r="U38" s="15">
        <v>1.8224748968504699E-3</v>
      </c>
      <c r="V38" s="15">
        <v>-6.5051207696565597E-4</v>
      </c>
      <c r="W38" s="15">
        <v>-4.9531984163470098E-4</v>
      </c>
      <c r="X38" s="34">
        <v>2.3432449903038099</v>
      </c>
      <c r="Y38" s="34">
        <v>2.3475193892851398</v>
      </c>
      <c r="Z38" s="34">
        <v>2.34211284811634</v>
      </c>
      <c r="AA38" s="34">
        <v>2.34202162665061</v>
      </c>
      <c r="AB38" s="33">
        <v>108.94837485672301</v>
      </c>
      <c r="AC38" s="33">
        <v>108.67927981629001</v>
      </c>
      <c r="AD38" s="33">
        <v>108.696147305477</v>
      </c>
      <c r="AE38" s="15">
        <v>1.8224748968504699E-3</v>
      </c>
      <c r="AF38" s="15">
        <v>-6.5051207696565597E-4</v>
      </c>
      <c r="AG38" s="15">
        <v>-4.9531984163470098E-4</v>
      </c>
      <c r="AI38" s="12"/>
      <c r="AJ38">
        <f t="shared" si="6"/>
        <v>0</v>
      </c>
      <c r="AK38">
        <f t="shared" si="7"/>
        <v>0</v>
      </c>
      <c r="AL38">
        <f t="shared" si="14"/>
        <v>0</v>
      </c>
      <c r="AM38">
        <f t="shared" si="4"/>
        <v>1</v>
      </c>
      <c r="AN38">
        <f t="shared" si="15"/>
        <v>0</v>
      </c>
      <c r="AO38" s="28">
        <f t="shared" si="8"/>
        <v>0</v>
      </c>
      <c r="AP38" s="28">
        <f t="shared" si="9"/>
        <v>0</v>
      </c>
      <c r="AQ38" s="28">
        <f t="shared" si="16"/>
        <v>0</v>
      </c>
      <c r="AR38" s="29">
        <f t="shared" si="17"/>
        <v>5.1184660507404191E-3</v>
      </c>
      <c r="AT38" s="12"/>
      <c r="AU38">
        <f t="shared" si="10"/>
        <v>0</v>
      </c>
      <c r="AV38">
        <f t="shared" si="11"/>
        <v>1</v>
      </c>
      <c r="AW38">
        <f t="shared" si="18"/>
        <v>0</v>
      </c>
      <c r="AX38">
        <f t="shared" si="5"/>
        <v>1</v>
      </c>
      <c r="AY38">
        <f t="shared" si="19"/>
        <v>0</v>
      </c>
      <c r="AZ38" s="28">
        <f t="shared" si="12"/>
        <v>0</v>
      </c>
      <c r="BA38" s="28">
        <f t="shared" si="13"/>
        <v>0</v>
      </c>
      <c r="BB38" s="28">
        <f t="shared" si="20"/>
        <v>0</v>
      </c>
      <c r="BC38" s="29">
        <f t="shared" si="21"/>
        <v>1.404521589627204E-3</v>
      </c>
      <c r="BE38" s="29">
        <f t="shared" si="22"/>
        <v>0</v>
      </c>
      <c r="BF38" s="29">
        <f t="shared" si="23"/>
        <v>6.5229876403676236E-3</v>
      </c>
      <c r="BH38" s="29"/>
    </row>
    <row r="39" spans="1:124" x14ac:dyDescent="0.25">
      <c r="A39" s="1">
        <v>46079</v>
      </c>
      <c r="B39" s="33">
        <v>46.45</v>
      </c>
      <c r="C39" s="33">
        <v>108.92</v>
      </c>
      <c r="D39" s="15">
        <v>8.61512006763297E-4</v>
      </c>
      <c r="E39" s="15">
        <v>1.5619978367652999E-3</v>
      </c>
      <c r="F39" s="33">
        <v>0</v>
      </c>
      <c r="G39" s="33">
        <v>0.13150000000000001</v>
      </c>
      <c r="H39" s="33">
        <v>0</v>
      </c>
      <c r="I39" s="33">
        <v>0.27905000000000002</v>
      </c>
      <c r="J39" s="33">
        <v>0</v>
      </c>
      <c r="K39" s="33">
        <v>0</v>
      </c>
      <c r="L39" s="33">
        <v>46.45</v>
      </c>
      <c r="M39" s="33">
        <v>108.92</v>
      </c>
      <c r="N39" s="34">
        <v>2.3448869752421899</v>
      </c>
      <c r="O39" s="34">
        <v>2.3475193892851398</v>
      </c>
      <c r="P39" s="34">
        <v>2.3426462408022002</v>
      </c>
      <c r="Q39" s="34">
        <v>2.3419792043074099</v>
      </c>
      <c r="R39" s="33">
        <v>109.042275632295</v>
      </c>
      <c r="S39" s="33">
        <v>108.79114179500399</v>
      </c>
      <c r="T39" s="33">
        <v>108.78690455792</v>
      </c>
      <c r="U39" s="15">
        <v>1.1219890668483399E-3</v>
      </c>
      <c r="V39" s="15">
        <v>-1.1837540236175001E-3</v>
      </c>
      <c r="W39" s="15">
        <v>-1.2227031469751401E-3</v>
      </c>
      <c r="X39" s="34">
        <v>2.3448869752421899</v>
      </c>
      <c r="Y39" s="34">
        <v>2.3475193892851398</v>
      </c>
      <c r="Z39" s="34">
        <v>2.3426462408022002</v>
      </c>
      <c r="AA39" s="34">
        <v>2.3419792043074099</v>
      </c>
      <c r="AB39" s="33">
        <v>109.042275632295</v>
      </c>
      <c r="AC39" s="33">
        <v>108.79114179500399</v>
      </c>
      <c r="AD39" s="33">
        <v>108.78690455792</v>
      </c>
      <c r="AE39" s="15">
        <v>1.1219890668483399E-3</v>
      </c>
      <c r="AF39" s="15">
        <v>-1.1837540236175001E-3</v>
      </c>
      <c r="AG39" s="15">
        <v>-1.2227031469751401E-3</v>
      </c>
      <c r="AI39" s="12"/>
      <c r="AJ39">
        <f t="shared" si="6"/>
        <v>1</v>
      </c>
      <c r="AK39">
        <f t="shared" si="7"/>
        <v>0</v>
      </c>
      <c r="AL39">
        <f t="shared" si="14"/>
        <v>0</v>
      </c>
      <c r="AM39">
        <f t="shared" si="4"/>
        <v>1</v>
      </c>
      <c r="AN39">
        <f t="shared" si="15"/>
        <v>0</v>
      </c>
      <c r="AO39" s="28">
        <f t="shared" si="8"/>
        <v>0</v>
      </c>
      <c r="AP39" s="28">
        <f t="shared" si="9"/>
        <v>0</v>
      </c>
      <c r="AQ39" s="28">
        <f t="shared" si="16"/>
        <v>0</v>
      </c>
      <c r="AR39" s="29">
        <f t="shared" si="17"/>
        <v>5.1184660507404191E-3</v>
      </c>
      <c r="AT39" s="12"/>
      <c r="AU39">
        <f t="shared" si="10"/>
        <v>0</v>
      </c>
      <c r="AV39">
        <f t="shared" si="11"/>
        <v>1</v>
      </c>
      <c r="AW39">
        <f t="shared" si="18"/>
        <v>0</v>
      </c>
      <c r="AX39">
        <f t="shared" si="5"/>
        <v>1</v>
      </c>
      <c r="AY39">
        <f t="shared" si="19"/>
        <v>0</v>
      </c>
      <c r="AZ39" s="28">
        <f t="shared" si="12"/>
        <v>0</v>
      </c>
      <c r="BA39" s="28">
        <f t="shared" si="13"/>
        <v>0</v>
      </c>
      <c r="BB39" s="28">
        <f t="shared" si="20"/>
        <v>0</v>
      </c>
      <c r="BC39" s="29">
        <f t="shared" si="21"/>
        <v>1.404521589627204E-3</v>
      </c>
      <c r="BE39" s="29">
        <f t="shared" si="22"/>
        <v>0</v>
      </c>
      <c r="BF39" s="29">
        <f t="shared" si="23"/>
        <v>6.5229876403676236E-3</v>
      </c>
      <c r="BH39" s="29"/>
    </row>
    <row r="40" spans="1:124" x14ac:dyDescent="0.25">
      <c r="A40" s="1">
        <v>46080</v>
      </c>
      <c r="B40" s="33">
        <v>46.5</v>
      </c>
      <c r="C40" s="33">
        <v>108.92</v>
      </c>
      <c r="D40" s="15">
        <v>1.07584733346311E-3</v>
      </c>
      <c r="E40" s="15">
        <v>0</v>
      </c>
      <c r="F40" s="33">
        <v>0</v>
      </c>
      <c r="G40" s="33">
        <v>0.13150000000000001</v>
      </c>
      <c r="H40" s="33">
        <v>0</v>
      </c>
      <c r="I40" s="33">
        <v>0.27905000000000002</v>
      </c>
      <c r="J40" s="33">
        <v>0</v>
      </c>
      <c r="K40" s="33">
        <v>0</v>
      </c>
      <c r="L40" s="33">
        <v>46.5</v>
      </c>
      <c r="M40" s="33">
        <v>108.92</v>
      </c>
      <c r="N40" s="34">
        <v>2.3423655913978401</v>
      </c>
      <c r="O40" s="34">
        <v>2.3475193892851398</v>
      </c>
      <c r="P40" s="34">
        <v>2.3428711090998098</v>
      </c>
      <c r="Q40" s="34">
        <v>2.3419048832244198</v>
      </c>
      <c r="R40" s="33">
        <v>109.15965160175899</v>
      </c>
      <c r="S40" s="33">
        <v>108.93305019730199</v>
      </c>
      <c r="T40" s="33">
        <v>108.902033000294</v>
      </c>
      <c r="U40" s="15">
        <v>2.1978364003115E-3</v>
      </c>
      <c r="V40" s="15">
        <v>1.19807340830265E-4</v>
      </c>
      <c r="W40" s="15">
        <v>-1.64969534978545E-4</v>
      </c>
      <c r="X40" s="34">
        <v>2.3423655913978401</v>
      </c>
      <c r="Y40" s="34">
        <v>2.3475193892851398</v>
      </c>
      <c r="Z40" s="34">
        <v>2.3428711090998098</v>
      </c>
      <c r="AA40" s="34">
        <v>2.3419048832244198</v>
      </c>
      <c r="AB40" s="33">
        <v>109.15965160175899</v>
      </c>
      <c r="AC40" s="33">
        <v>108.93305019730199</v>
      </c>
      <c r="AD40" s="33">
        <v>108.902033000294</v>
      </c>
      <c r="AE40" s="15">
        <v>2.1978364003115E-3</v>
      </c>
      <c r="AF40" s="15">
        <v>1.19807340830265E-4</v>
      </c>
      <c r="AG40" s="15">
        <v>-1.64969534978545E-4</v>
      </c>
      <c r="AI40" s="12"/>
      <c r="AJ40">
        <f t="shared" si="6"/>
        <v>0</v>
      </c>
      <c r="AK40">
        <f t="shared" si="7"/>
        <v>0</v>
      </c>
      <c r="AL40">
        <f t="shared" si="14"/>
        <v>1</v>
      </c>
      <c r="AM40">
        <f t="shared" si="4"/>
        <v>0</v>
      </c>
      <c r="AN40">
        <f t="shared" si="15"/>
        <v>1</v>
      </c>
      <c r="AO40" s="28">
        <f t="shared" si="8"/>
        <v>1.07584733346311E-3</v>
      </c>
      <c r="AP40" s="28">
        <f t="shared" si="9"/>
        <v>0</v>
      </c>
      <c r="AQ40" s="28">
        <f t="shared" si="16"/>
        <v>1.07584733346311E-3</v>
      </c>
      <c r="AR40" s="29">
        <f t="shared" si="17"/>
        <v>6.1943133842035291E-3</v>
      </c>
      <c r="AT40" s="12"/>
      <c r="AU40">
        <f t="shared" si="10"/>
        <v>0</v>
      </c>
      <c r="AV40">
        <f t="shared" si="11"/>
        <v>1</v>
      </c>
      <c r="AW40">
        <f t="shared" si="18"/>
        <v>0</v>
      </c>
      <c r="AX40">
        <f t="shared" si="5"/>
        <v>0</v>
      </c>
      <c r="AY40">
        <f t="shared" si="19"/>
        <v>0</v>
      </c>
      <c r="AZ40" s="28">
        <f t="shared" si="12"/>
        <v>0</v>
      </c>
      <c r="BA40" s="28">
        <f t="shared" si="13"/>
        <v>0</v>
      </c>
      <c r="BB40" s="28">
        <f t="shared" si="20"/>
        <v>0</v>
      </c>
      <c r="BC40" s="29">
        <f t="shared" si="21"/>
        <v>1.404521589627204E-3</v>
      </c>
      <c r="BE40" s="29">
        <f t="shared" si="22"/>
        <v>1.07584733346311E-3</v>
      </c>
      <c r="BF40" s="29">
        <f t="shared" si="23"/>
        <v>7.5988349738307336E-3</v>
      </c>
      <c r="BH40" s="29"/>
    </row>
    <row r="41" spans="1:124" x14ac:dyDescent="0.25">
      <c r="A41" s="1">
        <v>46083</v>
      </c>
      <c r="B41" s="33">
        <v>46.18</v>
      </c>
      <c r="C41" s="33">
        <v>108.27</v>
      </c>
      <c r="D41" s="15">
        <v>-6.9055086669612799E-3</v>
      </c>
      <c r="E41" s="15">
        <v>-5.9855604827520103E-3</v>
      </c>
      <c r="F41" s="33">
        <v>0.13635</v>
      </c>
      <c r="G41" s="33">
        <v>0.26784999999999998</v>
      </c>
      <c r="H41" s="33">
        <v>0.29221999999999998</v>
      </c>
      <c r="I41" s="33">
        <v>0.57126999999999994</v>
      </c>
      <c r="J41" s="33">
        <v>0</v>
      </c>
      <c r="K41" s="33">
        <v>0</v>
      </c>
      <c r="L41" s="33">
        <v>46.18</v>
      </c>
      <c r="M41" s="33">
        <v>108.27</v>
      </c>
      <c r="N41" s="34">
        <v>2.3445214378518799</v>
      </c>
      <c r="O41" s="34">
        <v>2.3475193892851398</v>
      </c>
      <c r="P41" s="34">
        <v>2.3434498461016702</v>
      </c>
      <c r="Q41" s="34">
        <v>2.3419536409058002</v>
      </c>
      <c r="R41" s="33">
        <v>108.408445397188</v>
      </c>
      <c r="S41" s="33">
        <v>108.193787818229</v>
      </c>
      <c r="T41" s="33">
        <v>108.14916750730301</v>
      </c>
      <c r="U41" s="15">
        <v>1.27788821610219E-3</v>
      </c>
      <c r="V41" s="15">
        <v>-7.0415643824690399E-4</v>
      </c>
      <c r="W41" s="15">
        <v>-1.1166525279953099E-3</v>
      </c>
      <c r="X41" s="34">
        <v>2.3445214378518799</v>
      </c>
      <c r="Y41" s="34">
        <v>2.3475193892851398</v>
      </c>
      <c r="Z41" s="34">
        <v>2.3434498461016702</v>
      </c>
      <c r="AA41" s="34">
        <v>2.3419536409058002</v>
      </c>
      <c r="AB41" s="33">
        <v>108.408445397188</v>
      </c>
      <c r="AC41" s="33">
        <v>108.193787818229</v>
      </c>
      <c r="AD41" s="33">
        <v>108.14916750730301</v>
      </c>
      <c r="AE41" s="15">
        <v>1.27788821610219E-3</v>
      </c>
      <c r="AF41" s="15">
        <v>-7.0415643824690399E-4</v>
      </c>
      <c r="AG41" s="15">
        <v>-1.1166525279953099E-3</v>
      </c>
      <c r="AI41" s="12"/>
      <c r="AJ41">
        <f t="shared" si="6"/>
        <v>1</v>
      </c>
      <c r="AK41">
        <f t="shared" si="7"/>
        <v>0</v>
      </c>
      <c r="AL41">
        <f t="shared" si="14"/>
        <v>0</v>
      </c>
      <c r="AM41">
        <f t="shared" si="4"/>
        <v>1</v>
      </c>
      <c r="AN41">
        <f t="shared" si="15"/>
        <v>0</v>
      </c>
      <c r="AO41" s="28">
        <f t="shared" si="8"/>
        <v>0</v>
      </c>
      <c r="AP41" s="28">
        <f t="shared" si="9"/>
        <v>0</v>
      </c>
      <c r="AQ41" s="28">
        <f t="shared" si="16"/>
        <v>0</v>
      </c>
      <c r="AR41" s="29">
        <f t="shared" si="17"/>
        <v>6.1943133842035291E-3</v>
      </c>
      <c r="AT41" s="12"/>
      <c r="AU41">
        <f t="shared" si="10"/>
        <v>0</v>
      </c>
      <c r="AV41">
        <f t="shared" si="11"/>
        <v>1</v>
      </c>
      <c r="AW41">
        <f t="shared" si="18"/>
        <v>0</v>
      </c>
      <c r="AX41">
        <f t="shared" si="5"/>
        <v>1</v>
      </c>
      <c r="AY41">
        <f t="shared" si="19"/>
        <v>0</v>
      </c>
      <c r="AZ41" s="28">
        <f t="shared" si="12"/>
        <v>0</v>
      </c>
      <c r="BA41" s="28">
        <f t="shared" si="13"/>
        <v>0</v>
      </c>
      <c r="BB41" s="28">
        <f t="shared" si="20"/>
        <v>0</v>
      </c>
      <c r="BC41" s="29">
        <f t="shared" si="21"/>
        <v>1.404521589627204E-3</v>
      </c>
      <c r="BE41" s="29">
        <f t="shared" si="22"/>
        <v>0</v>
      </c>
      <c r="BF41" s="29">
        <f t="shared" si="23"/>
        <v>7.5988349738307336E-3</v>
      </c>
      <c r="BH41" s="29"/>
    </row>
    <row r="42" spans="1:124" x14ac:dyDescent="0.25">
      <c r="A42" s="1">
        <v>46084</v>
      </c>
      <c r="B42" s="33">
        <v>45.97</v>
      </c>
      <c r="C42" s="33">
        <v>107.76</v>
      </c>
      <c r="D42" s="15">
        <v>-4.55779410821273E-3</v>
      </c>
      <c r="E42" s="15">
        <v>-4.7215752206982101E-3</v>
      </c>
      <c r="F42" s="33">
        <v>0</v>
      </c>
      <c r="G42" s="33">
        <v>0.26784999999999998</v>
      </c>
      <c r="H42" s="33">
        <v>0</v>
      </c>
      <c r="I42" s="33">
        <v>0.57126999999999994</v>
      </c>
      <c r="J42" s="33">
        <v>0</v>
      </c>
      <c r="K42" s="33">
        <v>0</v>
      </c>
      <c r="L42" s="33">
        <v>45.97</v>
      </c>
      <c r="M42" s="33">
        <v>107.76</v>
      </c>
      <c r="N42" s="34">
        <v>2.34413748096584</v>
      </c>
      <c r="O42" s="34">
        <v>2.3475193892851398</v>
      </c>
      <c r="P42" s="34">
        <v>2.3436871999051299</v>
      </c>
      <c r="Q42" s="34">
        <v>2.3418071249388301</v>
      </c>
      <c r="R42" s="33">
        <v>107.915466325438</v>
      </c>
      <c r="S42" s="33">
        <v>107.728389425294</v>
      </c>
      <c r="T42" s="33">
        <v>107.65960887243899</v>
      </c>
      <c r="U42" s="15">
        <v>1.4416693285877399E-3</v>
      </c>
      <c r="V42" s="15">
        <v>-2.9338541177947598E-4</v>
      </c>
      <c r="W42" s="15">
        <v>-9.3205196456708195E-4</v>
      </c>
      <c r="X42" s="34">
        <v>2.34413748096584</v>
      </c>
      <c r="Y42" s="34">
        <v>2.3475193892851398</v>
      </c>
      <c r="Z42" s="34">
        <v>2.3436871999051299</v>
      </c>
      <c r="AA42" s="34">
        <v>2.3418071249388301</v>
      </c>
      <c r="AB42" s="33">
        <v>107.915466325438</v>
      </c>
      <c r="AC42" s="33">
        <v>107.728389425294</v>
      </c>
      <c r="AD42" s="33">
        <v>107.65960887243899</v>
      </c>
      <c r="AE42" s="15">
        <v>1.4416693285877399E-3</v>
      </c>
      <c r="AF42" s="15">
        <v>-2.9338541177947598E-4</v>
      </c>
      <c r="AG42" s="15">
        <v>-9.3205196456708195E-4</v>
      </c>
      <c r="AI42" s="12"/>
      <c r="AJ42">
        <f t="shared" si="6"/>
        <v>0</v>
      </c>
      <c r="AK42">
        <f t="shared" si="7"/>
        <v>0</v>
      </c>
      <c r="AL42">
        <f t="shared" si="14"/>
        <v>1</v>
      </c>
      <c r="AM42">
        <f t="shared" si="4"/>
        <v>1</v>
      </c>
      <c r="AN42">
        <f t="shared" si="15"/>
        <v>1</v>
      </c>
      <c r="AO42" s="28">
        <f t="shared" si="8"/>
        <v>-4.55779410821273E-3</v>
      </c>
      <c r="AP42" s="28">
        <f t="shared" si="9"/>
        <v>4.7215752206982101E-3</v>
      </c>
      <c r="AQ42" s="28">
        <f t="shared" si="16"/>
        <v>1.6378111248548013E-4</v>
      </c>
      <c r="AR42" s="29">
        <f t="shared" si="17"/>
        <v>6.3580944966890093E-3</v>
      </c>
      <c r="AT42" s="12"/>
      <c r="AU42">
        <f t="shared" si="10"/>
        <v>0</v>
      </c>
      <c r="AV42">
        <f t="shared" si="11"/>
        <v>1</v>
      </c>
      <c r="AW42">
        <f t="shared" si="18"/>
        <v>0</v>
      </c>
      <c r="AX42">
        <f t="shared" si="5"/>
        <v>1</v>
      </c>
      <c r="AY42">
        <f t="shared" si="19"/>
        <v>0</v>
      </c>
      <c r="AZ42" s="28">
        <f t="shared" si="12"/>
        <v>0</v>
      </c>
      <c r="BA42" s="28">
        <f t="shared" si="13"/>
        <v>0</v>
      </c>
      <c r="BB42" s="28">
        <f t="shared" si="20"/>
        <v>0</v>
      </c>
      <c r="BC42" s="29">
        <f t="shared" si="21"/>
        <v>1.404521589627204E-3</v>
      </c>
      <c r="BE42" s="29">
        <f t="shared" si="22"/>
        <v>1.6378111248548013E-4</v>
      </c>
      <c r="BF42" s="29">
        <f t="shared" si="23"/>
        <v>7.7626160863162137E-3</v>
      </c>
      <c r="BH42" s="29"/>
    </row>
    <row r="43" spans="1:124" x14ac:dyDescent="0.25">
      <c r="A43" s="1">
        <v>46085</v>
      </c>
      <c r="B43" s="33">
        <v>45.99</v>
      </c>
      <c r="C43" s="33">
        <v>107.75</v>
      </c>
      <c r="D43" s="15">
        <v>4.3497173369584202E-4</v>
      </c>
      <c r="E43" s="15">
        <v>-9.2803118251448305E-5</v>
      </c>
      <c r="F43" s="33">
        <v>0</v>
      </c>
      <c r="G43" s="33">
        <v>0.26784999999999998</v>
      </c>
      <c r="H43" s="33">
        <v>0</v>
      </c>
      <c r="I43" s="33">
        <v>0.57126999999999994</v>
      </c>
      <c r="J43" s="33">
        <v>0</v>
      </c>
      <c r="K43" s="33">
        <v>0</v>
      </c>
      <c r="L43" s="33">
        <v>45.99</v>
      </c>
      <c r="M43" s="33">
        <v>107.75</v>
      </c>
      <c r="N43" s="34">
        <v>2.3429006305718598</v>
      </c>
      <c r="O43" s="34">
        <v>2.3475193892851398</v>
      </c>
      <c r="P43" s="34">
        <v>2.3437428338965698</v>
      </c>
      <c r="Q43" s="34">
        <v>2.3417592122165498</v>
      </c>
      <c r="R43" s="33">
        <v>107.96241671322301</v>
      </c>
      <c r="S43" s="33">
        <v>107.786174323637</v>
      </c>
      <c r="T43" s="33">
        <v>107.699709675937</v>
      </c>
      <c r="U43" s="15">
        <v>1.9694441805350499E-3</v>
      </c>
      <c r="V43" s="15">
        <v>3.3566823843288602E-4</v>
      </c>
      <c r="W43" s="15">
        <v>-4.6684049889880199E-4</v>
      </c>
      <c r="X43" s="34">
        <v>2.3429006305718598</v>
      </c>
      <c r="Y43" s="34">
        <v>2.3475193892851398</v>
      </c>
      <c r="Z43" s="34">
        <v>2.3437428338965698</v>
      </c>
      <c r="AA43" s="34">
        <v>2.3417592122165498</v>
      </c>
      <c r="AB43" s="33">
        <v>107.96241671322301</v>
      </c>
      <c r="AC43" s="33">
        <v>107.786174323637</v>
      </c>
      <c r="AD43" s="33">
        <v>107.699709675937</v>
      </c>
      <c r="AE43" s="15">
        <v>1.9694441805350499E-3</v>
      </c>
      <c r="AF43" s="15">
        <v>3.3566823843288602E-4</v>
      </c>
      <c r="AG43" s="15">
        <v>-4.6684049889880199E-4</v>
      </c>
      <c r="AI43" s="12"/>
      <c r="AJ43">
        <f t="shared" si="6"/>
        <v>0</v>
      </c>
      <c r="AK43">
        <f t="shared" si="7"/>
        <v>0</v>
      </c>
      <c r="AL43">
        <f t="shared" si="14"/>
        <v>1</v>
      </c>
      <c r="AM43">
        <f t="shared" si="4"/>
        <v>1</v>
      </c>
      <c r="AN43">
        <f t="shared" si="15"/>
        <v>1</v>
      </c>
      <c r="AO43" s="28">
        <f t="shared" si="8"/>
        <v>4.3497173369584202E-4</v>
      </c>
      <c r="AP43" s="28">
        <f t="shared" si="9"/>
        <v>9.2803118251448305E-5</v>
      </c>
      <c r="AQ43" s="28">
        <f t="shared" si="16"/>
        <v>5.2777485194729034E-4</v>
      </c>
      <c r="AR43" s="29">
        <f t="shared" si="17"/>
        <v>6.8858693486362997E-3</v>
      </c>
      <c r="AT43" s="12"/>
      <c r="AU43">
        <f t="shared" si="10"/>
        <v>0</v>
      </c>
      <c r="AV43">
        <f t="shared" si="11"/>
        <v>1</v>
      </c>
      <c r="AW43">
        <f t="shared" si="18"/>
        <v>0</v>
      </c>
      <c r="AX43">
        <f t="shared" si="5"/>
        <v>1</v>
      </c>
      <c r="AY43">
        <f t="shared" si="19"/>
        <v>0</v>
      </c>
      <c r="AZ43" s="28">
        <f t="shared" si="12"/>
        <v>0</v>
      </c>
      <c r="BA43" s="28">
        <f t="shared" si="13"/>
        <v>0</v>
      </c>
      <c r="BB43" s="28">
        <f t="shared" si="20"/>
        <v>0</v>
      </c>
      <c r="BC43" s="29">
        <f t="shared" si="21"/>
        <v>1.404521589627204E-3</v>
      </c>
      <c r="BE43" s="29">
        <f t="shared" si="22"/>
        <v>5.2777485194729034E-4</v>
      </c>
      <c r="BF43" s="29">
        <f t="shared" si="23"/>
        <v>8.2903909382635033E-3</v>
      </c>
      <c r="BH43" s="29"/>
    </row>
    <row r="44" spans="1:124" x14ac:dyDescent="0.25">
      <c r="A44" s="1">
        <v>46086</v>
      </c>
      <c r="B44" s="33">
        <v>45.95</v>
      </c>
      <c r="C44" s="33">
        <v>107.62</v>
      </c>
      <c r="D44" s="15">
        <v>-8.7013275013639205E-4</v>
      </c>
      <c r="E44" s="15">
        <v>-1.2072249225834901E-3</v>
      </c>
      <c r="F44" s="33">
        <v>0</v>
      </c>
      <c r="G44" s="33">
        <v>0.26784999999999998</v>
      </c>
      <c r="H44" s="33">
        <v>0</v>
      </c>
      <c r="I44" s="33">
        <v>0.57126999999999994</v>
      </c>
      <c r="J44" s="33">
        <v>0</v>
      </c>
      <c r="K44" s="33">
        <v>0</v>
      </c>
      <c r="L44" s="33">
        <v>45.95</v>
      </c>
      <c r="M44" s="33">
        <v>107.62</v>
      </c>
      <c r="N44" s="34">
        <v>2.3421109902067401</v>
      </c>
      <c r="O44" s="34">
        <v>2.3475193892851398</v>
      </c>
      <c r="P44" s="34">
        <v>2.3433951093878398</v>
      </c>
      <c r="Q44" s="34">
        <v>2.34191192538696</v>
      </c>
      <c r="R44" s="33">
        <v>107.86851593765201</v>
      </c>
      <c r="S44" s="33">
        <v>107.694983217547</v>
      </c>
      <c r="T44" s="33">
        <v>107.60383580135</v>
      </c>
      <c r="U44" s="15">
        <v>2.3065363529822598E-3</v>
      </c>
      <c r="V44" s="15">
        <v>6.9649793487236401E-4</v>
      </c>
      <c r="W44" s="15">
        <v>-1.50208257551081E-4</v>
      </c>
      <c r="X44" s="34">
        <v>2.3421109902067401</v>
      </c>
      <c r="Y44" s="34">
        <v>2.3475193892851398</v>
      </c>
      <c r="Z44" s="34">
        <v>2.3433951093878398</v>
      </c>
      <c r="AA44" s="34">
        <v>2.34191192538696</v>
      </c>
      <c r="AB44" s="33">
        <v>107.86851593765201</v>
      </c>
      <c r="AC44" s="33">
        <v>107.694983217547</v>
      </c>
      <c r="AD44" s="33">
        <v>107.60383580135</v>
      </c>
      <c r="AE44" s="15">
        <v>2.3065363529822598E-3</v>
      </c>
      <c r="AF44" s="15">
        <v>6.9649793487236401E-4</v>
      </c>
      <c r="AG44" s="15">
        <v>-1.50208257551081E-4</v>
      </c>
      <c r="AI44" s="12"/>
      <c r="AJ44">
        <f t="shared" si="6"/>
        <v>0</v>
      </c>
      <c r="AK44">
        <f t="shared" si="7"/>
        <v>0</v>
      </c>
      <c r="AL44">
        <f t="shared" si="14"/>
        <v>1</v>
      </c>
      <c r="AM44">
        <f t="shared" si="4"/>
        <v>1</v>
      </c>
      <c r="AN44">
        <f t="shared" si="15"/>
        <v>1</v>
      </c>
      <c r="AO44" s="28">
        <f t="shared" si="8"/>
        <v>-8.7013275013639205E-4</v>
      </c>
      <c r="AP44" s="28">
        <f t="shared" si="9"/>
        <v>1.2072249225834901E-3</v>
      </c>
      <c r="AQ44" s="28">
        <f t="shared" si="16"/>
        <v>3.3709217244709804E-4</v>
      </c>
      <c r="AR44" s="29">
        <f t="shared" si="17"/>
        <v>7.2229615210833977E-3</v>
      </c>
      <c r="AT44" s="12"/>
      <c r="AU44">
        <f t="shared" si="10"/>
        <v>0</v>
      </c>
      <c r="AV44">
        <f t="shared" si="11"/>
        <v>1</v>
      </c>
      <c r="AW44">
        <f t="shared" si="18"/>
        <v>0</v>
      </c>
      <c r="AX44">
        <f t="shared" si="5"/>
        <v>1</v>
      </c>
      <c r="AY44">
        <f t="shared" si="19"/>
        <v>0</v>
      </c>
      <c r="AZ44" s="28">
        <f t="shared" si="12"/>
        <v>0</v>
      </c>
      <c r="BA44" s="28">
        <f t="shared" si="13"/>
        <v>0</v>
      </c>
      <c r="BB44" s="28">
        <f t="shared" si="20"/>
        <v>0</v>
      </c>
      <c r="BC44" s="29">
        <f t="shared" si="21"/>
        <v>1.404521589627204E-3</v>
      </c>
      <c r="BE44" s="29">
        <f t="shared" si="22"/>
        <v>3.3709217244709804E-4</v>
      </c>
      <c r="BF44" s="29">
        <f t="shared" si="23"/>
        <v>8.6274831107106022E-3</v>
      </c>
      <c r="BH44" s="29"/>
    </row>
    <row r="45" spans="1:124" x14ac:dyDescent="0.25">
      <c r="A45" s="1">
        <v>46087</v>
      </c>
      <c r="B45" s="33">
        <v>45.91</v>
      </c>
      <c r="C45" s="33">
        <v>107.55</v>
      </c>
      <c r="D45" s="15">
        <v>-8.70890540565489E-4</v>
      </c>
      <c r="E45" s="15">
        <v>-6.5064834753459299E-4</v>
      </c>
      <c r="F45" s="33">
        <v>0</v>
      </c>
      <c r="G45" s="33">
        <v>0.26784999999999998</v>
      </c>
      <c r="H45" s="33">
        <v>0</v>
      </c>
      <c r="I45" s="33">
        <v>0.57126999999999994</v>
      </c>
      <c r="J45" s="33">
        <v>0</v>
      </c>
      <c r="K45" s="33">
        <v>0</v>
      </c>
      <c r="L45" s="33">
        <v>45.91</v>
      </c>
      <c r="M45" s="33">
        <v>107.55</v>
      </c>
      <c r="N45" s="34">
        <v>2.3426268786756701</v>
      </c>
      <c r="O45" s="34">
        <v>2.3475193892851398</v>
      </c>
      <c r="P45" s="34">
        <v>2.3431288430635302</v>
      </c>
      <c r="Q45" s="34">
        <v>2.3419857231752501</v>
      </c>
      <c r="R45" s="33">
        <v>107.77461516208101</v>
      </c>
      <c r="S45" s="33">
        <v>107.58526947199501</v>
      </c>
      <c r="T45" s="33">
        <v>107.517176494515</v>
      </c>
      <c r="U45" s="15">
        <v>2.0862941599512799E-3</v>
      </c>
      <c r="V45" s="15">
        <v>3.2788182428997398E-4</v>
      </c>
      <c r="W45" s="15">
        <v>-3.0523956536894199E-4</v>
      </c>
      <c r="X45" s="34">
        <v>2.3426268786756701</v>
      </c>
      <c r="Y45" s="34">
        <v>2.3475193892851398</v>
      </c>
      <c r="Z45" s="34">
        <v>2.3431288430635302</v>
      </c>
      <c r="AA45" s="34">
        <v>2.3419857231752501</v>
      </c>
      <c r="AB45" s="33">
        <v>107.77461516208101</v>
      </c>
      <c r="AC45" s="33">
        <v>107.58526947199501</v>
      </c>
      <c r="AD45" s="33">
        <v>107.517176494515</v>
      </c>
      <c r="AE45" s="15">
        <v>2.0862941599512799E-3</v>
      </c>
      <c r="AF45" s="15">
        <v>3.2788182428997398E-4</v>
      </c>
      <c r="AG45" s="15">
        <v>-3.0523956536894199E-4</v>
      </c>
      <c r="AI45" s="12"/>
      <c r="AJ45">
        <f t="shared" si="6"/>
        <v>0</v>
      </c>
      <c r="AK45">
        <f t="shared" si="7"/>
        <v>0</v>
      </c>
      <c r="AL45">
        <f t="shared" si="14"/>
        <v>1</v>
      </c>
      <c r="AM45">
        <f t="shared" si="4"/>
        <v>1</v>
      </c>
      <c r="AN45">
        <f t="shared" si="15"/>
        <v>1</v>
      </c>
      <c r="AO45" s="28">
        <f t="shared" si="8"/>
        <v>-8.70890540565489E-4</v>
      </c>
      <c r="AP45" s="28">
        <f t="shared" si="9"/>
        <v>6.5064834753459299E-4</v>
      </c>
      <c r="AQ45" s="28">
        <f t="shared" si="16"/>
        <v>-2.2024219303089601E-4</v>
      </c>
      <c r="AR45" s="29">
        <f t="shared" si="17"/>
        <v>7.002719328052502E-3</v>
      </c>
      <c r="AT45" s="12"/>
      <c r="AU45">
        <f t="shared" si="10"/>
        <v>0</v>
      </c>
      <c r="AV45">
        <f t="shared" si="11"/>
        <v>1</v>
      </c>
      <c r="AW45">
        <f t="shared" si="18"/>
        <v>0</v>
      </c>
      <c r="AX45">
        <f t="shared" si="5"/>
        <v>1</v>
      </c>
      <c r="AY45">
        <f t="shared" si="19"/>
        <v>0</v>
      </c>
      <c r="AZ45" s="28">
        <f t="shared" si="12"/>
        <v>0</v>
      </c>
      <c r="BA45" s="28">
        <f t="shared" si="13"/>
        <v>0</v>
      </c>
      <c r="BB45" s="28">
        <f t="shared" si="20"/>
        <v>0</v>
      </c>
      <c r="BC45" s="29">
        <f t="shared" si="21"/>
        <v>1.404521589627204E-3</v>
      </c>
      <c r="BE45" s="29">
        <f t="shared" si="22"/>
        <v>-2.2024219303089601E-4</v>
      </c>
      <c r="BF45" s="29">
        <f t="shared" si="23"/>
        <v>8.4072409176797064E-3</v>
      </c>
      <c r="BH45" s="29"/>
    </row>
    <row r="46" spans="1:124" x14ac:dyDescent="0.25">
      <c r="A46" s="1">
        <v>46090</v>
      </c>
      <c r="B46" s="33">
        <v>45.91</v>
      </c>
      <c r="C46" s="33">
        <v>107.68</v>
      </c>
      <c r="D46" s="15">
        <v>0</v>
      </c>
      <c r="E46" s="15">
        <v>1.2080101826786201E-3</v>
      </c>
      <c r="F46" s="33">
        <v>0</v>
      </c>
      <c r="G46" s="33">
        <v>0.26784999999999998</v>
      </c>
      <c r="H46" s="33">
        <v>0</v>
      </c>
      <c r="I46" s="33">
        <v>0.57126999999999994</v>
      </c>
      <c r="J46" s="33">
        <v>0</v>
      </c>
      <c r="K46" s="33">
        <v>0</v>
      </c>
      <c r="L46" s="33">
        <v>45.91</v>
      </c>
      <c r="M46" s="33">
        <v>107.68</v>
      </c>
      <c r="N46" s="34">
        <v>2.34545850577216</v>
      </c>
      <c r="O46" s="34">
        <v>2.3475193892851398</v>
      </c>
      <c r="P46" s="34">
        <v>2.3435141412022502</v>
      </c>
      <c r="Q46" s="34">
        <v>2.3423821561695299</v>
      </c>
      <c r="R46" s="33">
        <v>107.77461516208101</v>
      </c>
      <c r="S46" s="33">
        <v>107.573045185046</v>
      </c>
      <c r="T46" s="33">
        <v>107.520564550976</v>
      </c>
      <c r="U46" s="15">
        <v>8.7828397727255703E-4</v>
      </c>
      <c r="V46" s="15">
        <v>-9.9375898411327391E-4</v>
      </c>
      <c r="W46" s="15">
        <v>-1.4817384752432001E-3</v>
      </c>
      <c r="X46" s="34">
        <v>2.34545850577216</v>
      </c>
      <c r="Y46" s="34">
        <v>2.3475193892851398</v>
      </c>
      <c r="Z46" s="34">
        <v>2.3435141412022502</v>
      </c>
      <c r="AA46" s="34">
        <v>2.3423821561695299</v>
      </c>
      <c r="AB46" s="33">
        <v>107.77461516208101</v>
      </c>
      <c r="AC46" s="33">
        <v>107.573045185046</v>
      </c>
      <c r="AD46" s="33">
        <v>107.520564550976</v>
      </c>
      <c r="AE46" s="15">
        <v>8.7828397727255703E-4</v>
      </c>
      <c r="AF46" s="15">
        <v>-9.9375898411327391E-4</v>
      </c>
      <c r="AG46" s="15">
        <v>-1.4817384752432001E-3</v>
      </c>
      <c r="AI46" s="12"/>
      <c r="AJ46">
        <f t="shared" si="6"/>
        <v>1</v>
      </c>
      <c r="AK46">
        <f t="shared" si="7"/>
        <v>0</v>
      </c>
      <c r="AL46">
        <f t="shared" si="14"/>
        <v>1</v>
      </c>
      <c r="AM46">
        <f t="shared" si="4"/>
        <v>1</v>
      </c>
      <c r="AN46">
        <f t="shared" si="15"/>
        <v>1</v>
      </c>
      <c r="AO46" s="28">
        <f t="shared" si="8"/>
        <v>0</v>
      </c>
      <c r="AP46" s="28">
        <f t="shared" si="9"/>
        <v>-1.2080101826786201E-3</v>
      </c>
      <c r="AQ46" s="28">
        <f t="shared" si="16"/>
        <v>-1.2080101826786201E-3</v>
      </c>
      <c r="AR46" s="29">
        <f t="shared" si="17"/>
        <v>5.7947091453738817E-3</v>
      </c>
      <c r="AT46" s="12"/>
      <c r="AU46">
        <f t="shared" si="10"/>
        <v>0</v>
      </c>
      <c r="AV46">
        <f t="shared" si="11"/>
        <v>1</v>
      </c>
      <c r="AW46">
        <f t="shared" si="18"/>
        <v>0</v>
      </c>
      <c r="AX46">
        <f t="shared" si="5"/>
        <v>1</v>
      </c>
      <c r="AY46">
        <f t="shared" si="19"/>
        <v>0</v>
      </c>
      <c r="AZ46" s="28">
        <f t="shared" si="12"/>
        <v>0</v>
      </c>
      <c r="BA46" s="28">
        <f t="shared" si="13"/>
        <v>0</v>
      </c>
      <c r="BB46" s="28">
        <f t="shared" si="20"/>
        <v>0</v>
      </c>
      <c r="BC46" s="29">
        <f t="shared" si="21"/>
        <v>1.404521589627204E-3</v>
      </c>
      <c r="BE46" s="29">
        <f t="shared" si="22"/>
        <v>-1.2080101826786201E-3</v>
      </c>
      <c r="BF46" s="29">
        <f t="shared" si="23"/>
        <v>7.1992307350010861E-3</v>
      </c>
      <c r="BH46" s="29"/>
    </row>
    <row r="47" spans="1:124" x14ac:dyDescent="0.25">
      <c r="A47" s="1">
        <v>46091</v>
      </c>
      <c r="B47" s="33">
        <v>45.84</v>
      </c>
      <c r="C47" s="33">
        <v>107.47</v>
      </c>
      <c r="D47" s="15">
        <v>-1.5258858546464099E-3</v>
      </c>
      <c r="E47" s="15">
        <v>-1.95212704335586E-3</v>
      </c>
      <c r="F47" s="33">
        <v>0</v>
      </c>
      <c r="G47" s="33">
        <v>0.26784999999999998</v>
      </c>
      <c r="H47" s="33">
        <v>0</v>
      </c>
      <c r="I47" s="33">
        <v>0.57126999999999994</v>
      </c>
      <c r="J47" s="33">
        <v>0</v>
      </c>
      <c r="K47" s="33">
        <v>0</v>
      </c>
      <c r="L47" s="33">
        <v>45.84</v>
      </c>
      <c r="M47" s="33">
        <v>107.47</v>
      </c>
      <c r="N47" s="34">
        <v>2.34445898778359</v>
      </c>
      <c r="O47" s="34">
        <v>2.3475193892851398</v>
      </c>
      <c r="P47" s="34">
        <v>2.3436712468771601</v>
      </c>
      <c r="Q47" s="34">
        <v>2.3426962118493799</v>
      </c>
      <c r="R47" s="33">
        <v>107.610288804831</v>
      </c>
      <c r="S47" s="33">
        <v>107.426688232711</v>
      </c>
      <c r="T47" s="33">
        <v>107.37479803881099</v>
      </c>
      <c r="U47" s="15">
        <v>1.3045251659819001E-3</v>
      </c>
      <c r="V47" s="15">
        <v>-4.0309386088208202E-4</v>
      </c>
      <c r="W47" s="15">
        <v>-8.8623944623138304E-4</v>
      </c>
      <c r="X47" s="34">
        <v>2.34445898778359</v>
      </c>
      <c r="Y47" s="34">
        <v>2.3475193892851398</v>
      </c>
      <c r="Z47" s="34">
        <v>2.3436712468771601</v>
      </c>
      <c r="AA47" s="34">
        <v>2.3426962118493799</v>
      </c>
      <c r="AB47" s="33">
        <v>107.610288804831</v>
      </c>
      <c r="AC47" s="33">
        <v>107.426688232711</v>
      </c>
      <c r="AD47" s="33">
        <v>107.37479803881099</v>
      </c>
      <c r="AE47" s="15">
        <v>1.3045251659819001E-3</v>
      </c>
      <c r="AF47" s="15">
        <v>-4.0309386088208202E-4</v>
      </c>
      <c r="AG47" s="15">
        <v>-8.8623944623138304E-4</v>
      </c>
      <c r="AI47" s="12"/>
      <c r="AJ47">
        <f t="shared" si="6"/>
        <v>0</v>
      </c>
      <c r="AK47">
        <f t="shared" si="7"/>
        <v>0</v>
      </c>
      <c r="AL47">
        <f t="shared" si="14"/>
        <v>1</v>
      </c>
      <c r="AM47">
        <f t="shared" si="4"/>
        <v>1</v>
      </c>
      <c r="AN47">
        <f t="shared" si="15"/>
        <v>1</v>
      </c>
      <c r="AO47" s="28">
        <f t="shared" si="8"/>
        <v>-1.5258858546464099E-3</v>
      </c>
      <c r="AP47" s="28">
        <f t="shared" si="9"/>
        <v>1.95212704335586E-3</v>
      </c>
      <c r="AQ47" s="28">
        <f t="shared" si="16"/>
        <v>4.2624118870945014E-4</v>
      </c>
      <c r="AR47" s="29">
        <f t="shared" si="17"/>
        <v>6.2209503340833316E-3</v>
      </c>
      <c r="AT47" s="12"/>
      <c r="AU47">
        <f t="shared" si="10"/>
        <v>0</v>
      </c>
      <c r="AV47">
        <f t="shared" si="11"/>
        <v>1</v>
      </c>
      <c r="AW47">
        <f t="shared" si="18"/>
        <v>0</v>
      </c>
      <c r="AX47">
        <f t="shared" si="5"/>
        <v>1</v>
      </c>
      <c r="AY47">
        <f t="shared" si="19"/>
        <v>0</v>
      </c>
      <c r="AZ47" s="28">
        <f t="shared" si="12"/>
        <v>0</v>
      </c>
      <c r="BA47" s="28">
        <f t="shared" si="13"/>
        <v>0</v>
      </c>
      <c r="BB47" s="28">
        <f t="shared" si="20"/>
        <v>0</v>
      </c>
      <c r="BC47" s="29">
        <f t="shared" si="21"/>
        <v>1.404521589627204E-3</v>
      </c>
      <c r="BE47" s="29">
        <f t="shared" si="22"/>
        <v>4.2624118870945014E-4</v>
      </c>
      <c r="BF47" s="29">
        <f t="shared" si="23"/>
        <v>7.625471923710536E-3</v>
      </c>
      <c r="BH47" s="29"/>
    </row>
    <row r="48" spans="1:124" x14ac:dyDescent="0.25">
      <c r="A48" s="1">
        <v>46092</v>
      </c>
      <c r="B48" s="33">
        <v>45.77</v>
      </c>
      <c r="C48" s="33">
        <v>107.24</v>
      </c>
      <c r="D48" s="15">
        <v>-1.52821774093341E-3</v>
      </c>
      <c r="E48" s="15">
        <v>-2.1424254853033699E-3</v>
      </c>
      <c r="F48" s="33">
        <v>0</v>
      </c>
      <c r="G48" s="33">
        <v>0.26784999999999998</v>
      </c>
      <c r="H48" s="33">
        <v>0</v>
      </c>
      <c r="I48" s="33">
        <v>0.57126999999999994</v>
      </c>
      <c r="J48" s="33">
        <v>0</v>
      </c>
      <c r="K48" s="33">
        <v>0</v>
      </c>
      <c r="L48" s="33">
        <v>45.77</v>
      </c>
      <c r="M48" s="33">
        <v>107.24</v>
      </c>
      <c r="N48" s="34">
        <v>2.3430194450513402</v>
      </c>
      <c r="O48" s="34">
        <v>2.3475193892851398</v>
      </c>
      <c r="P48" s="34">
        <v>2.34364869235191</v>
      </c>
      <c r="Q48" s="34">
        <v>2.3428807702341201</v>
      </c>
      <c r="R48" s="33">
        <v>107.445962447581</v>
      </c>
      <c r="S48" s="33">
        <v>107.26983296956701</v>
      </c>
      <c r="T48" s="33">
        <v>107.225205616346</v>
      </c>
      <c r="U48" s="15">
        <v>1.9187329103520199E-3</v>
      </c>
      <c r="V48" s="15">
        <v>2.7815013742835798E-4</v>
      </c>
      <c r="W48" s="15">
        <v>-1.37965350926359E-4</v>
      </c>
      <c r="X48" s="34">
        <v>2.3430194450513402</v>
      </c>
      <c r="Y48" s="34">
        <v>2.3475193892851398</v>
      </c>
      <c r="Z48" s="34">
        <v>2.34364869235191</v>
      </c>
      <c r="AA48" s="34">
        <v>2.3428807702341201</v>
      </c>
      <c r="AB48" s="33">
        <v>107.445962447581</v>
      </c>
      <c r="AC48" s="33">
        <v>107.26983296956701</v>
      </c>
      <c r="AD48" s="33">
        <v>107.225205616346</v>
      </c>
      <c r="AE48" s="15">
        <v>1.9187329103520199E-3</v>
      </c>
      <c r="AF48" s="15">
        <v>2.7815013742835798E-4</v>
      </c>
      <c r="AG48" s="15">
        <v>-1.37965350926359E-4</v>
      </c>
      <c r="AI48" s="12"/>
      <c r="AJ48">
        <f t="shared" si="6"/>
        <v>0</v>
      </c>
      <c r="AK48">
        <f t="shared" si="7"/>
        <v>0</v>
      </c>
      <c r="AL48">
        <f t="shared" si="14"/>
        <v>1</v>
      </c>
      <c r="AM48">
        <f t="shared" si="4"/>
        <v>1</v>
      </c>
      <c r="AN48">
        <f t="shared" si="15"/>
        <v>1</v>
      </c>
      <c r="AO48" s="28">
        <f t="shared" si="8"/>
        <v>-1.52821774093341E-3</v>
      </c>
      <c r="AP48" s="28">
        <f t="shared" si="9"/>
        <v>2.1424254853033699E-3</v>
      </c>
      <c r="AQ48" s="28">
        <f t="shared" si="16"/>
        <v>6.1420774436995985E-4</v>
      </c>
      <c r="AR48" s="29">
        <f t="shared" si="17"/>
        <v>6.8351580784532916E-3</v>
      </c>
      <c r="AT48" s="12"/>
      <c r="AU48">
        <f t="shared" si="10"/>
        <v>0</v>
      </c>
      <c r="AV48">
        <f t="shared" si="11"/>
        <v>1</v>
      </c>
      <c r="AW48">
        <f t="shared" si="18"/>
        <v>0</v>
      </c>
      <c r="AX48">
        <f t="shared" si="5"/>
        <v>1</v>
      </c>
      <c r="AY48">
        <f t="shared" si="19"/>
        <v>0</v>
      </c>
      <c r="AZ48" s="28">
        <f t="shared" si="12"/>
        <v>0</v>
      </c>
      <c r="BA48" s="28">
        <f t="shared" si="13"/>
        <v>0</v>
      </c>
      <c r="BB48" s="28">
        <f t="shared" si="20"/>
        <v>0</v>
      </c>
      <c r="BC48" s="29">
        <f t="shared" si="21"/>
        <v>1.404521589627204E-3</v>
      </c>
      <c r="BE48" s="29">
        <f t="shared" si="22"/>
        <v>6.1420774436995985E-4</v>
      </c>
      <c r="BF48" s="29">
        <f t="shared" si="23"/>
        <v>8.2396796680804952E-3</v>
      </c>
      <c r="BH48" s="29"/>
    </row>
    <row r="49" spans="1:60" x14ac:dyDescent="0.25">
      <c r="A49" s="1">
        <v>46093</v>
      </c>
      <c r="B49" s="33">
        <v>45.61</v>
      </c>
      <c r="C49" s="33">
        <v>106.98</v>
      </c>
      <c r="D49" s="15">
        <v>-3.5018639419417698E-3</v>
      </c>
      <c r="E49" s="15">
        <v>-2.4274122646544601E-3</v>
      </c>
      <c r="F49" s="33">
        <v>0</v>
      </c>
      <c r="G49" s="33">
        <v>0.26784999999999998</v>
      </c>
      <c r="H49" s="33">
        <v>0</v>
      </c>
      <c r="I49" s="33">
        <v>0.57126999999999994</v>
      </c>
      <c r="J49" s="33">
        <v>0</v>
      </c>
      <c r="K49" s="33">
        <v>0</v>
      </c>
      <c r="L49" s="33">
        <v>45.61</v>
      </c>
      <c r="M49" s="33">
        <v>106.98</v>
      </c>
      <c r="N49" s="34">
        <v>2.34553825915369</v>
      </c>
      <c r="O49" s="34">
        <v>2.3475193892851398</v>
      </c>
      <c r="P49" s="34">
        <v>2.3437138207430599</v>
      </c>
      <c r="Q49" s="34">
        <v>2.34318003077263</v>
      </c>
      <c r="R49" s="33">
        <v>107.070359345295</v>
      </c>
      <c r="S49" s="33">
        <v>106.89381685817</v>
      </c>
      <c r="T49" s="33">
        <v>106.858791930378</v>
      </c>
      <c r="U49" s="15">
        <v>8.4428123306473201E-4</v>
      </c>
      <c r="V49" s="15">
        <v>-8.0592517363688198E-4</v>
      </c>
      <c r="W49" s="15">
        <v>-1.1336397994770799E-3</v>
      </c>
      <c r="X49" s="34">
        <v>2.34553825915369</v>
      </c>
      <c r="Y49" s="34">
        <v>2.3475193892851398</v>
      </c>
      <c r="Z49" s="34">
        <v>2.3437138207430599</v>
      </c>
      <c r="AA49" s="34">
        <v>2.34318003077263</v>
      </c>
      <c r="AB49" s="33">
        <v>107.070359345295</v>
      </c>
      <c r="AC49" s="33">
        <v>106.89381685817</v>
      </c>
      <c r="AD49" s="33">
        <v>106.858791930378</v>
      </c>
      <c r="AE49" s="15">
        <v>8.4428123306473201E-4</v>
      </c>
      <c r="AF49" s="15">
        <v>-8.0592517363688198E-4</v>
      </c>
      <c r="AG49" s="15">
        <v>-1.1336397994770799E-3</v>
      </c>
      <c r="AI49" s="12"/>
      <c r="AJ49">
        <f t="shared" si="6"/>
        <v>1</v>
      </c>
      <c r="AK49">
        <f t="shared" si="7"/>
        <v>0</v>
      </c>
      <c r="AL49">
        <f t="shared" si="14"/>
        <v>1</v>
      </c>
      <c r="AM49">
        <f t="shared" si="4"/>
        <v>1</v>
      </c>
      <c r="AN49">
        <f t="shared" si="15"/>
        <v>1</v>
      </c>
      <c r="AO49" s="28">
        <f t="shared" si="8"/>
        <v>-3.5018639419417698E-3</v>
      </c>
      <c r="AP49" s="28">
        <f t="shared" si="9"/>
        <v>2.4274122646544601E-3</v>
      </c>
      <c r="AQ49" s="28">
        <f t="shared" si="16"/>
        <v>-1.0744516772873097E-3</v>
      </c>
      <c r="AR49" s="29">
        <f t="shared" si="17"/>
        <v>5.7607064011659815E-3</v>
      </c>
      <c r="AT49" s="12"/>
      <c r="AU49">
        <f t="shared" si="10"/>
        <v>0</v>
      </c>
      <c r="AV49">
        <f t="shared" si="11"/>
        <v>1</v>
      </c>
      <c r="AW49">
        <f t="shared" si="18"/>
        <v>0</v>
      </c>
      <c r="AX49">
        <f t="shared" si="5"/>
        <v>1</v>
      </c>
      <c r="AY49">
        <f t="shared" si="19"/>
        <v>0</v>
      </c>
      <c r="AZ49" s="28">
        <f t="shared" si="12"/>
        <v>0</v>
      </c>
      <c r="BA49" s="28">
        <f t="shared" si="13"/>
        <v>0</v>
      </c>
      <c r="BB49" s="28">
        <f t="shared" si="20"/>
        <v>0</v>
      </c>
      <c r="BC49" s="29">
        <f t="shared" si="21"/>
        <v>1.404521589627204E-3</v>
      </c>
      <c r="BE49" s="29">
        <f t="shared" si="22"/>
        <v>-1.0744516772873097E-3</v>
      </c>
      <c r="BF49" s="29">
        <f t="shared" si="23"/>
        <v>7.1652279907931851E-3</v>
      </c>
      <c r="BH49" s="29"/>
    </row>
    <row r="50" spans="1:60" x14ac:dyDescent="0.25">
      <c r="A50" s="1">
        <v>46094</v>
      </c>
      <c r="B50" s="33">
        <v>45.73</v>
      </c>
      <c r="C50" s="33">
        <v>107.25</v>
      </c>
      <c r="D50" s="15">
        <v>2.6275469463546601E-3</v>
      </c>
      <c r="E50" s="15">
        <v>2.52065670502219E-3</v>
      </c>
      <c r="F50" s="33">
        <v>0</v>
      </c>
      <c r="G50" s="33">
        <v>0.26784999999999998</v>
      </c>
      <c r="H50" s="33">
        <v>0</v>
      </c>
      <c r="I50" s="33">
        <v>0.57126999999999994</v>
      </c>
      <c r="J50" s="33">
        <v>0</v>
      </c>
      <c r="K50" s="33">
        <v>0</v>
      </c>
      <c r="L50" s="33">
        <v>45.73</v>
      </c>
      <c r="M50" s="33">
        <v>107.25</v>
      </c>
      <c r="N50" s="34">
        <v>2.3452875574021399</v>
      </c>
      <c r="O50" s="34">
        <v>2.3475193892851398</v>
      </c>
      <c r="P50" s="34">
        <v>2.34400601734349</v>
      </c>
      <c r="Q50" s="34">
        <v>2.3434385632216501</v>
      </c>
      <c r="R50" s="33">
        <v>107.352061672009</v>
      </c>
      <c r="S50" s="33">
        <v>107.17803302258</v>
      </c>
      <c r="T50" s="33">
        <v>107.153622807232</v>
      </c>
      <c r="U50" s="15">
        <v>9.5117147439702698E-4</v>
      </c>
      <c r="V50" s="15">
        <v>-6.7124600368119003E-4</v>
      </c>
      <c r="W50" s="15">
        <v>-8.99025846643711E-4</v>
      </c>
      <c r="X50" s="34">
        <v>2.3452875574021399</v>
      </c>
      <c r="Y50" s="34">
        <v>2.3475193892851398</v>
      </c>
      <c r="Z50" s="34">
        <v>2.34400601734349</v>
      </c>
      <c r="AA50" s="34">
        <v>2.3434385632216501</v>
      </c>
      <c r="AB50" s="33">
        <v>107.352061672009</v>
      </c>
      <c r="AC50" s="33">
        <v>107.17803302258</v>
      </c>
      <c r="AD50" s="33">
        <v>107.153622807232</v>
      </c>
      <c r="AE50" s="15">
        <v>9.5117147439702698E-4</v>
      </c>
      <c r="AF50" s="15">
        <v>-6.7124600368119003E-4</v>
      </c>
      <c r="AG50" s="15">
        <v>-8.99025846643711E-4</v>
      </c>
      <c r="AI50" s="12"/>
      <c r="AJ50">
        <f t="shared" si="6"/>
        <v>0</v>
      </c>
      <c r="AK50">
        <f t="shared" si="7"/>
        <v>0</v>
      </c>
      <c r="AL50">
        <f t="shared" si="14"/>
        <v>1</v>
      </c>
      <c r="AM50">
        <f t="shared" si="4"/>
        <v>1</v>
      </c>
      <c r="AN50">
        <f t="shared" si="15"/>
        <v>1</v>
      </c>
      <c r="AO50" s="28">
        <f t="shared" si="8"/>
        <v>2.6275469463546601E-3</v>
      </c>
      <c r="AP50" s="28">
        <f t="shared" si="9"/>
        <v>-2.52065670502219E-3</v>
      </c>
      <c r="AQ50" s="28">
        <f t="shared" si="16"/>
        <v>1.0689024133247018E-4</v>
      </c>
      <c r="AR50" s="29">
        <f t="shared" si="17"/>
        <v>5.8675966424984512E-3</v>
      </c>
      <c r="AT50" s="12"/>
      <c r="AU50">
        <f t="shared" si="10"/>
        <v>0</v>
      </c>
      <c r="AV50">
        <f t="shared" si="11"/>
        <v>1</v>
      </c>
      <c r="AW50">
        <f t="shared" si="18"/>
        <v>0</v>
      </c>
      <c r="AX50">
        <f t="shared" si="5"/>
        <v>1</v>
      </c>
      <c r="AY50">
        <f t="shared" si="19"/>
        <v>0</v>
      </c>
      <c r="AZ50" s="28">
        <f t="shared" si="12"/>
        <v>0</v>
      </c>
      <c r="BA50" s="28">
        <f t="shared" si="13"/>
        <v>0</v>
      </c>
      <c r="BB50" s="28">
        <f t="shared" si="20"/>
        <v>0</v>
      </c>
      <c r="BC50" s="29">
        <f t="shared" si="21"/>
        <v>1.404521589627204E-3</v>
      </c>
      <c r="BE50" s="29">
        <f t="shared" si="22"/>
        <v>1.0689024133247018E-4</v>
      </c>
      <c r="BF50" s="29">
        <f t="shared" si="23"/>
        <v>7.2721182321256548E-3</v>
      </c>
      <c r="BH50" s="29"/>
    </row>
    <row r="51" spans="1:60" x14ac:dyDescent="0.25">
      <c r="A51" s="1">
        <v>46097</v>
      </c>
      <c r="B51" s="33">
        <v>45.74</v>
      </c>
      <c r="C51" s="33">
        <v>107.38</v>
      </c>
      <c r="D51" s="15">
        <v>2.1865092467132099E-4</v>
      </c>
      <c r="E51" s="15">
        <v>1.2113871862970799E-3</v>
      </c>
      <c r="F51" s="33">
        <v>0</v>
      </c>
      <c r="G51" s="33">
        <v>0.26784999999999998</v>
      </c>
      <c r="H51" s="33">
        <v>0</v>
      </c>
      <c r="I51" s="33">
        <v>0.57126999999999994</v>
      </c>
      <c r="J51" s="33">
        <v>0</v>
      </c>
      <c r="K51" s="33">
        <v>0</v>
      </c>
      <c r="L51" s="33">
        <v>45.74</v>
      </c>
      <c r="M51" s="33">
        <v>107.38</v>
      </c>
      <c r="N51" s="34">
        <v>2.3476169654569299</v>
      </c>
      <c r="O51" s="34">
        <v>2.3475193892851398</v>
      </c>
      <c r="P51" s="34">
        <v>2.3443155701039902</v>
      </c>
      <c r="Q51" s="34">
        <v>2.3438827081028299</v>
      </c>
      <c r="R51" s="33">
        <v>107.37553686590201</v>
      </c>
      <c r="S51" s="33">
        <v>107.214835233291</v>
      </c>
      <c r="T51" s="33">
        <v>107.188879881758</v>
      </c>
      <c r="U51" s="15">
        <v>-4.1564787228603998E-5</v>
      </c>
      <c r="V51" s="15">
        <v>-1.53931756225271E-3</v>
      </c>
      <c r="W51" s="15">
        <v>-1.78143418458738E-3</v>
      </c>
      <c r="X51" s="34">
        <v>2.3476169654569299</v>
      </c>
      <c r="Y51" s="34">
        <v>2.3475193892851398</v>
      </c>
      <c r="Z51" s="34">
        <v>2.3443155701039902</v>
      </c>
      <c r="AA51" s="34">
        <v>2.3438827081028299</v>
      </c>
      <c r="AB51" s="33">
        <v>107.37553686590201</v>
      </c>
      <c r="AC51" s="33">
        <v>107.214835233291</v>
      </c>
      <c r="AD51" s="33">
        <v>107.188879881758</v>
      </c>
      <c r="AE51" s="15">
        <v>-4.1564787228603998E-5</v>
      </c>
      <c r="AF51" s="15">
        <v>-1.53931756225271E-3</v>
      </c>
      <c r="AG51" s="15">
        <v>-1.78143418458738E-3</v>
      </c>
      <c r="AI51" s="12"/>
      <c r="AJ51">
        <f t="shared" si="6"/>
        <v>1</v>
      </c>
      <c r="AK51">
        <f t="shared" si="7"/>
        <v>0</v>
      </c>
      <c r="AL51">
        <f t="shared" si="14"/>
        <v>1</v>
      </c>
      <c r="AM51">
        <f t="shared" si="4"/>
        <v>1</v>
      </c>
      <c r="AN51">
        <f t="shared" si="15"/>
        <v>1</v>
      </c>
      <c r="AO51" s="28">
        <f t="shared" si="8"/>
        <v>2.1865092467132099E-4</v>
      </c>
      <c r="AP51" s="28">
        <f t="shared" si="9"/>
        <v>-1.2113871862970799E-3</v>
      </c>
      <c r="AQ51" s="28">
        <f t="shared" si="16"/>
        <v>-9.9273626162575896E-4</v>
      </c>
      <c r="AR51" s="29">
        <f t="shared" si="17"/>
        <v>4.8748603808726927E-3</v>
      </c>
      <c r="AT51" s="12"/>
      <c r="AU51">
        <f t="shared" si="10"/>
        <v>0</v>
      </c>
      <c r="AV51">
        <f t="shared" si="11"/>
        <v>1</v>
      </c>
      <c r="AW51">
        <f t="shared" si="18"/>
        <v>0</v>
      </c>
      <c r="AX51">
        <f t="shared" si="5"/>
        <v>1</v>
      </c>
      <c r="AY51">
        <f t="shared" si="19"/>
        <v>0</v>
      </c>
      <c r="AZ51" s="28">
        <f t="shared" si="12"/>
        <v>0</v>
      </c>
      <c r="BA51" s="28">
        <f t="shared" si="13"/>
        <v>0</v>
      </c>
      <c r="BB51" s="28">
        <f t="shared" si="20"/>
        <v>0</v>
      </c>
      <c r="BC51" s="29">
        <f t="shared" si="21"/>
        <v>1.404521589627204E-3</v>
      </c>
      <c r="BE51" s="29">
        <f t="shared" si="22"/>
        <v>-9.9273626162575896E-4</v>
      </c>
      <c r="BF51" s="29">
        <f t="shared" si="23"/>
        <v>6.2793819704998963E-3</v>
      </c>
      <c r="BH51" s="29"/>
    </row>
    <row r="52" spans="1:60" x14ac:dyDescent="0.25">
      <c r="A52" s="1">
        <v>46098</v>
      </c>
      <c r="B52" s="33">
        <v>45.74</v>
      </c>
      <c r="C52" s="33">
        <v>107.22</v>
      </c>
      <c r="D52" s="15">
        <v>0</v>
      </c>
      <c r="E52" s="15">
        <v>-1.4911465950317501E-3</v>
      </c>
      <c r="F52" s="33">
        <v>0</v>
      </c>
      <c r="G52" s="33">
        <v>0.26784999999999998</v>
      </c>
      <c r="H52" s="33">
        <v>0</v>
      </c>
      <c r="I52" s="33">
        <v>0.57126999999999994</v>
      </c>
      <c r="J52" s="33">
        <v>0</v>
      </c>
      <c r="K52" s="33">
        <v>0</v>
      </c>
      <c r="L52" s="33">
        <v>45.74</v>
      </c>
      <c r="M52" s="33">
        <v>107.22</v>
      </c>
      <c r="N52" s="34">
        <v>2.34411893310013</v>
      </c>
      <c r="O52" s="34">
        <v>2.3475193892851398</v>
      </c>
      <c r="P52" s="34">
        <v>2.3443137153174201</v>
      </c>
      <c r="Q52" s="34">
        <v>2.3440004576112798</v>
      </c>
      <c r="R52" s="33">
        <v>107.37553686590201</v>
      </c>
      <c r="S52" s="33">
        <v>107.228994176556</v>
      </c>
      <c r="T52" s="33">
        <v>107.209195068623</v>
      </c>
      <c r="U52" s="15">
        <v>1.4495818078031899E-3</v>
      </c>
      <c r="V52" s="15">
        <v>8.3881732313650399E-5</v>
      </c>
      <c r="W52" s="15">
        <v>-1.00778547266933E-4</v>
      </c>
      <c r="X52" s="34">
        <v>2.34411893310013</v>
      </c>
      <c r="Y52" s="34">
        <v>2.3475193892851398</v>
      </c>
      <c r="Z52" s="34">
        <v>2.3443137153174201</v>
      </c>
      <c r="AA52" s="34">
        <v>2.3440004576112798</v>
      </c>
      <c r="AB52" s="33">
        <v>107.37553686590201</v>
      </c>
      <c r="AC52" s="33">
        <v>107.228994176556</v>
      </c>
      <c r="AD52" s="33">
        <v>107.209195068623</v>
      </c>
      <c r="AE52" s="15">
        <v>1.4495818078031899E-3</v>
      </c>
      <c r="AF52" s="15">
        <v>8.3881732313650399E-5</v>
      </c>
      <c r="AG52" s="15">
        <v>-1.00778547266933E-4</v>
      </c>
      <c r="AI52" s="12"/>
      <c r="AJ52">
        <f t="shared" si="6"/>
        <v>0</v>
      </c>
      <c r="AK52">
        <f t="shared" si="7"/>
        <v>0</v>
      </c>
      <c r="AL52">
        <f t="shared" si="14"/>
        <v>1</v>
      </c>
      <c r="AM52">
        <f t="shared" si="4"/>
        <v>1</v>
      </c>
      <c r="AN52">
        <f t="shared" si="15"/>
        <v>1</v>
      </c>
      <c r="AO52" s="28">
        <f t="shared" si="8"/>
        <v>0</v>
      </c>
      <c r="AP52" s="28">
        <f t="shared" si="9"/>
        <v>1.4911465950317501E-3</v>
      </c>
      <c r="AQ52" s="28">
        <f t="shared" si="16"/>
        <v>1.4911465950317501E-3</v>
      </c>
      <c r="AR52" s="29">
        <f t="shared" si="17"/>
        <v>6.3660069759044428E-3</v>
      </c>
      <c r="AT52" s="12"/>
      <c r="AU52">
        <f t="shared" si="10"/>
        <v>0</v>
      </c>
      <c r="AV52">
        <f t="shared" si="11"/>
        <v>1</v>
      </c>
      <c r="AW52">
        <f t="shared" si="18"/>
        <v>0</v>
      </c>
      <c r="AX52">
        <f t="shared" si="5"/>
        <v>1</v>
      </c>
      <c r="AY52">
        <f t="shared" si="19"/>
        <v>0</v>
      </c>
      <c r="AZ52" s="28">
        <f t="shared" si="12"/>
        <v>0</v>
      </c>
      <c r="BA52" s="28">
        <f t="shared" si="13"/>
        <v>0</v>
      </c>
      <c r="BB52" s="28">
        <f t="shared" si="20"/>
        <v>0</v>
      </c>
      <c r="BC52" s="29">
        <f t="shared" si="21"/>
        <v>1.404521589627204E-3</v>
      </c>
      <c r="BE52" s="29">
        <f t="shared" si="22"/>
        <v>1.4911465950317501E-3</v>
      </c>
      <c r="BF52" s="29">
        <f t="shared" si="23"/>
        <v>7.7705285655316463E-3</v>
      </c>
      <c r="BH52" s="29"/>
    </row>
    <row r="53" spans="1:60" x14ac:dyDescent="0.25">
      <c r="A53" s="1">
        <v>46099</v>
      </c>
      <c r="B53" s="33">
        <v>45.64</v>
      </c>
      <c r="C53" s="33">
        <v>106.97</v>
      </c>
      <c r="D53" s="15">
        <v>-2.1886636007601799E-3</v>
      </c>
      <c r="E53" s="15">
        <v>-2.33437708135222E-3</v>
      </c>
      <c r="F53" s="33">
        <v>0</v>
      </c>
      <c r="G53" s="33">
        <v>0.26784999999999998</v>
      </c>
      <c r="H53" s="33">
        <v>0</v>
      </c>
      <c r="I53" s="33">
        <v>0.57126999999999994</v>
      </c>
      <c r="J53" s="33">
        <v>0</v>
      </c>
      <c r="K53" s="33">
        <v>0</v>
      </c>
      <c r="L53" s="33">
        <v>45.64</v>
      </c>
      <c r="M53" s="33">
        <v>106.97</v>
      </c>
      <c r="N53" s="34">
        <v>2.3437773882559099</v>
      </c>
      <c r="O53" s="34">
        <v>2.3475193892851398</v>
      </c>
      <c r="P53" s="34">
        <v>2.3444013910858299</v>
      </c>
      <c r="Q53" s="34">
        <v>2.3440721124912001</v>
      </c>
      <c r="R53" s="33">
        <v>107.14078492697401</v>
      </c>
      <c r="S53" s="33">
        <v>106.99447796708699</v>
      </c>
      <c r="T53" s="33">
        <v>106.980180885378</v>
      </c>
      <c r="U53" s="15">
        <v>1.5952952883950401E-3</v>
      </c>
      <c r="V53" s="15">
        <v>2.2880402790924199E-4</v>
      </c>
      <c r="W53" s="15">
        <v>9.5170617238933601E-5</v>
      </c>
      <c r="X53" s="34">
        <v>2.3437773882559099</v>
      </c>
      <c r="Y53" s="34">
        <v>2.3475193892851398</v>
      </c>
      <c r="Z53" s="34">
        <v>2.3444013910858299</v>
      </c>
      <c r="AA53" s="34">
        <v>2.3440721124912001</v>
      </c>
      <c r="AB53" s="33">
        <v>107.14078492697401</v>
      </c>
      <c r="AC53" s="33">
        <v>106.99447796708699</v>
      </c>
      <c r="AD53" s="33">
        <v>106.980180885378</v>
      </c>
      <c r="AE53" s="15">
        <v>1.5952952883950401E-3</v>
      </c>
      <c r="AF53" s="15">
        <v>2.2880402790924199E-4</v>
      </c>
      <c r="AG53" s="15">
        <v>9.5170617238933601E-5</v>
      </c>
      <c r="AI53" s="12"/>
      <c r="AJ53">
        <f t="shared" si="6"/>
        <v>0</v>
      </c>
      <c r="AK53">
        <f t="shared" si="7"/>
        <v>1</v>
      </c>
      <c r="AL53">
        <f t="shared" si="14"/>
        <v>1</v>
      </c>
      <c r="AM53">
        <f t="shared" si="4"/>
        <v>1</v>
      </c>
      <c r="AN53">
        <f t="shared" si="15"/>
        <v>1</v>
      </c>
      <c r="AO53" s="28">
        <f t="shared" si="8"/>
        <v>-2.1886636007601799E-3</v>
      </c>
      <c r="AP53" s="28">
        <f t="shared" si="9"/>
        <v>2.33437708135222E-3</v>
      </c>
      <c r="AQ53" s="28">
        <f t="shared" si="16"/>
        <v>1.4571348059204013E-4</v>
      </c>
      <c r="AR53" s="29">
        <f t="shared" si="17"/>
        <v>6.5117204564964833E-3</v>
      </c>
      <c r="AT53" s="12"/>
      <c r="AU53">
        <f t="shared" si="10"/>
        <v>0</v>
      </c>
      <c r="AV53">
        <f t="shared" si="11"/>
        <v>0</v>
      </c>
      <c r="AW53">
        <f t="shared" si="18"/>
        <v>0</v>
      </c>
      <c r="AX53">
        <f t="shared" si="5"/>
        <v>1</v>
      </c>
      <c r="AY53">
        <f t="shared" si="19"/>
        <v>0</v>
      </c>
      <c r="AZ53" s="28">
        <f t="shared" si="12"/>
        <v>0</v>
      </c>
      <c r="BA53" s="28">
        <f t="shared" si="13"/>
        <v>0</v>
      </c>
      <c r="BB53" s="28">
        <f t="shared" si="20"/>
        <v>0</v>
      </c>
      <c r="BC53" s="29">
        <f t="shared" si="21"/>
        <v>1.404521589627204E-3</v>
      </c>
      <c r="BE53" s="29">
        <f t="shared" si="22"/>
        <v>1.4571348059204013E-4</v>
      </c>
      <c r="BF53" s="29">
        <f t="shared" si="23"/>
        <v>7.9162420461236869E-3</v>
      </c>
      <c r="BH53" s="29"/>
    </row>
    <row r="54" spans="1:60" x14ac:dyDescent="0.25">
      <c r="A54" s="1">
        <v>46100</v>
      </c>
      <c r="B54" s="33">
        <v>45.63</v>
      </c>
      <c r="C54" s="33">
        <v>106.85</v>
      </c>
      <c r="D54" s="15">
        <v>-2.19130054563694E-4</v>
      </c>
      <c r="E54" s="15">
        <v>-1.12243955288293E-3</v>
      </c>
      <c r="F54" s="33">
        <v>0</v>
      </c>
      <c r="G54" s="33">
        <v>0.26784999999999998</v>
      </c>
      <c r="H54" s="33">
        <v>0</v>
      </c>
      <c r="I54" s="33">
        <v>0.57126999999999994</v>
      </c>
      <c r="J54" s="33">
        <v>0</v>
      </c>
      <c r="K54" s="33">
        <v>0</v>
      </c>
      <c r="L54" s="33">
        <v>45.63</v>
      </c>
      <c r="M54" s="33">
        <v>106.85</v>
      </c>
      <c r="N54" s="34">
        <v>2.34166118781503</v>
      </c>
      <c r="O54" s="34">
        <v>2.3475193892851398</v>
      </c>
      <c r="P54" s="34">
        <v>2.3443564108466601</v>
      </c>
      <c r="Q54" s="34">
        <v>2.3438757601172502</v>
      </c>
      <c r="R54" s="33">
        <v>107.117309733081</v>
      </c>
      <c r="S54" s="33">
        <v>106.975035475246</v>
      </c>
      <c r="T54" s="33">
        <v>106.960010492973</v>
      </c>
      <c r="U54" s="15">
        <v>2.4986047867145201E-3</v>
      </c>
      <c r="V54" s="15">
        <v>1.16951215951128E-3</v>
      </c>
      <c r="W54" s="15">
        <v>1.02904913037528E-3</v>
      </c>
      <c r="X54" s="34">
        <v>2.34166118781503</v>
      </c>
      <c r="Y54" s="34">
        <v>2.3475193892851398</v>
      </c>
      <c r="Z54" s="34">
        <v>2.3443564108466601</v>
      </c>
      <c r="AA54" s="34">
        <v>2.3438757601172502</v>
      </c>
      <c r="AB54" s="33">
        <v>107.117309733081</v>
      </c>
      <c r="AC54" s="33">
        <v>106.975035475246</v>
      </c>
      <c r="AD54" s="33">
        <v>106.960010492973</v>
      </c>
      <c r="AE54" s="15">
        <v>2.4986047867145201E-3</v>
      </c>
      <c r="AF54" s="15">
        <v>1.16951215951128E-3</v>
      </c>
      <c r="AG54" s="15">
        <v>1.02904913037528E-3</v>
      </c>
      <c r="AI54" s="12"/>
      <c r="AJ54">
        <f t="shared" si="6"/>
        <v>0</v>
      </c>
      <c r="AK54">
        <f t="shared" si="7"/>
        <v>1</v>
      </c>
      <c r="AL54">
        <f t="shared" si="14"/>
        <v>0</v>
      </c>
      <c r="AM54">
        <f t="shared" si="4"/>
        <v>1</v>
      </c>
      <c r="AN54">
        <f t="shared" si="15"/>
        <v>0</v>
      </c>
      <c r="AO54" s="28">
        <f t="shared" si="8"/>
        <v>0</v>
      </c>
      <c r="AP54" s="28">
        <f t="shared" si="9"/>
        <v>0</v>
      </c>
      <c r="AQ54" s="28">
        <f t="shared" si="16"/>
        <v>0</v>
      </c>
      <c r="AR54" s="29">
        <f t="shared" si="17"/>
        <v>6.5117204564964833E-3</v>
      </c>
      <c r="AT54" s="12"/>
      <c r="AU54">
        <f t="shared" si="10"/>
        <v>1</v>
      </c>
      <c r="AV54">
        <f t="shared" si="11"/>
        <v>0</v>
      </c>
      <c r="AW54">
        <f t="shared" si="18"/>
        <v>0</v>
      </c>
      <c r="AX54">
        <f t="shared" si="5"/>
        <v>1</v>
      </c>
      <c r="AY54">
        <f t="shared" si="19"/>
        <v>0</v>
      </c>
      <c r="AZ54" s="28">
        <f t="shared" si="12"/>
        <v>0</v>
      </c>
      <c r="BA54" s="28">
        <f t="shared" si="13"/>
        <v>0</v>
      </c>
      <c r="BB54" s="28">
        <f t="shared" si="20"/>
        <v>0</v>
      </c>
      <c r="BC54" s="29">
        <f t="shared" si="21"/>
        <v>1.404521589627204E-3</v>
      </c>
      <c r="BE54" s="29">
        <f t="shared" si="22"/>
        <v>0</v>
      </c>
      <c r="BF54" s="29">
        <f t="shared" si="23"/>
        <v>7.9162420461236869E-3</v>
      </c>
      <c r="BH54" s="29"/>
    </row>
    <row r="55" spans="1:60" x14ac:dyDescent="0.25">
      <c r="A55" s="1">
        <v>46101</v>
      </c>
      <c r="B55" s="33">
        <v>45.18</v>
      </c>
      <c r="C55" s="33">
        <v>105.91</v>
      </c>
      <c r="D55" s="15">
        <v>-9.9108838994540101E-3</v>
      </c>
      <c r="E55" s="15">
        <v>-8.8363049095787505E-3</v>
      </c>
      <c r="F55" s="33">
        <v>0</v>
      </c>
      <c r="G55" s="33">
        <v>0.26784999999999998</v>
      </c>
      <c r="H55" s="33">
        <v>0</v>
      </c>
      <c r="I55" s="33">
        <v>0.57126999999999994</v>
      </c>
      <c r="J55" s="33">
        <v>0</v>
      </c>
      <c r="K55" s="33">
        <v>0</v>
      </c>
      <c r="L55" s="33">
        <v>45.18</v>
      </c>
      <c r="M55" s="33">
        <v>105.91</v>
      </c>
      <c r="N55" s="34">
        <v>2.3441788401947701</v>
      </c>
      <c r="O55" s="34">
        <v>2.3475193892851398</v>
      </c>
      <c r="P55" s="34">
        <v>2.3445116069985699</v>
      </c>
      <c r="Q55" s="34">
        <v>2.3438202250310498</v>
      </c>
      <c r="R55" s="33">
        <v>106.060926007902</v>
      </c>
      <c r="S55" s="33">
        <v>105.91802264205199</v>
      </c>
      <c r="T55" s="33">
        <v>105.896306842097</v>
      </c>
      <c r="U55" s="15">
        <v>1.42402579683905E-3</v>
      </c>
      <c r="V55" s="15">
        <v>7.5746749235090503E-5</v>
      </c>
      <c r="W55" s="15">
        <v>-1.2929886862941801E-4</v>
      </c>
      <c r="X55" s="34">
        <v>2.3441788401947701</v>
      </c>
      <c r="Y55" s="34">
        <v>2.3475193892851398</v>
      </c>
      <c r="Z55" s="34">
        <v>2.3445116069985699</v>
      </c>
      <c r="AA55" s="34">
        <v>2.3438202250310498</v>
      </c>
      <c r="AB55" s="33">
        <v>106.060926007902</v>
      </c>
      <c r="AC55" s="33">
        <v>105.91802264205199</v>
      </c>
      <c r="AD55" s="33">
        <v>105.896306842097</v>
      </c>
      <c r="AE55" s="15">
        <v>1.42402579683905E-3</v>
      </c>
      <c r="AF55" s="15">
        <v>7.5746749235090503E-5</v>
      </c>
      <c r="AG55" s="15">
        <v>-1.2929886862941801E-4</v>
      </c>
      <c r="AI55" s="12"/>
      <c r="AJ55">
        <f t="shared" si="6"/>
        <v>0</v>
      </c>
      <c r="AK55">
        <f t="shared" si="7"/>
        <v>0</v>
      </c>
      <c r="AL55">
        <f t="shared" si="14"/>
        <v>0</v>
      </c>
      <c r="AM55">
        <f t="shared" si="4"/>
        <v>1</v>
      </c>
      <c r="AN55">
        <f t="shared" si="15"/>
        <v>0</v>
      </c>
      <c r="AO55" s="28">
        <f t="shared" si="8"/>
        <v>0</v>
      </c>
      <c r="AP55" s="28">
        <f t="shared" si="9"/>
        <v>0</v>
      </c>
      <c r="AQ55" s="28">
        <f t="shared" si="16"/>
        <v>0</v>
      </c>
      <c r="AR55" s="29">
        <f t="shared" si="17"/>
        <v>6.5117204564964833E-3</v>
      </c>
      <c r="AT55" s="12"/>
      <c r="AU55">
        <f t="shared" si="10"/>
        <v>0</v>
      </c>
      <c r="AV55">
        <f t="shared" si="11"/>
        <v>1</v>
      </c>
      <c r="AW55">
        <f t="shared" si="18"/>
        <v>1</v>
      </c>
      <c r="AX55">
        <f t="shared" si="5"/>
        <v>1</v>
      </c>
      <c r="AY55">
        <f t="shared" si="19"/>
        <v>1</v>
      </c>
      <c r="AZ55" s="28">
        <f t="shared" si="12"/>
        <v>9.9108838994540101E-3</v>
      </c>
      <c r="BA55" s="28">
        <f t="shared" si="13"/>
        <v>-8.8363049095787505E-3</v>
      </c>
      <c r="BB55" s="28">
        <f t="shared" si="20"/>
        <v>1.0745789898752595E-3</v>
      </c>
      <c r="BC55" s="29">
        <f t="shared" si="21"/>
        <v>2.4791005795024635E-3</v>
      </c>
      <c r="BE55" s="29">
        <f t="shared" si="22"/>
        <v>1.0745789898752595E-3</v>
      </c>
      <c r="BF55" s="29">
        <f t="shared" si="23"/>
        <v>8.9908210359989464E-3</v>
      </c>
      <c r="BH55" s="29"/>
    </row>
    <row r="56" spans="1:60" x14ac:dyDescent="0.25">
      <c r="A56" s="1">
        <v>46104</v>
      </c>
      <c r="B56" s="33">
        <v>45.35</v>
      </c>
      <c r="C56" s="33">
        <v>106.41</v>
      </c>
      <c r="D56" s="15">
        <v>3.7556655212884599E-3</v>
      </c>
      <c r="E56" s="15">
        <v>4.70988059806239E-3</v>
      </c>
      <c r="F56" s="33">
        <v>0</v>
      </c>
      <c r="G56" s="33">
        <v>0.26784999999999998</v>
      </c>
      <c r="H56" s="33">
        <v>0</v>
      </c>
      <c r="I56" s="33">
        <v>0.57126999999999994</v>
      </c>
      <c r="J56" s="33">
        <v>0</v>
      </c>
      <c r="K56" s="33">
        <v>0</v>
      </c>
      <c r="L56" s="33">
        <v>45.35</v>
      </c>
      <c r="M56" s="33">
        <v>106.41</v>
      </c>
      <c r="N56" s="34">
        <v>2.3464167585446498</v>
      </c>
      <c r="O56" s="34">
        <v>2.3475193892851398</v>
      </c>
      <c r="P56" s="34">
        <v>2.3446074322758199</v>
      </c>
      <c r="Q56" s="34">
        <v>2.3440607867390302</v>
      </c>
      <c r="R56" s="33">
        <v>106.460004304081</v>
      </c>
      <c r="S56" s="33">
        <v>106.323601377385</v>
      </c>
      <c r="T56" s="33">
        <v>106.29224720515801</v>
      </c>
      <c r="U56" s="15">
        <v>4.6981072006517901E-4</v>
      </c>
      <c r="V56" s="15">
        <v>-8.1227062208964599E-4</v>
      </c>
      <c r="W56" s="15">
        <v>-1.1072079248668799E-3</v>
      </c>
      <c r="X56" s="34">
        <v>2.3464167585446498</v>
      </c>
      <c r="Y56" s="34">
        <v>2.3475193892851398</v>
      </c>
      <c r="Z56" s="34">
        <v>2.3446074322758199</v>
      </c>
      <c r="AA56" s="34">
        <v>2.3440607867390302</v>
      </c>
      <c r="AB56" s="33">
        <v>106.460004304081</v>
      </c>
      <c r="AC56" s="33">
        <v>106.323601377385</v>
      </c>
      <c r="AD56" s="33">
        <v>106.29224720515801</v>
      </c>
      <c r="AE56" s="15">
        <v>4.6981072006517901E-4</v>
      </c>
      <c r="AF56" s="15">
        <v>-8.1227062208964599E-4</v>
      </c>
      <c r="AG56" s="15">
        <v>-1.1072079248668799E-3</v>
      </c>
      <c r="AI56" s="12"/>
      <c r="AJ56">
        <f t="shared" si="6"/>
        <v>1</v>
      </c>
      <c r="AK56">
        <f t="shared" si="7"/>
        <v>0</v>
      </c>
      <c r="AL56">
        <f t="shared" si="14"/>
        <v>0</v>
      </c>
      <c r="AM56">
        <f t="shared" si="4"/>
        <v>1</v>
      </c>
      <c r="AN56">
        <f t="shared" si="15"/>
        <v>0</v>
      </c>
      <c r="AO56" s="28">
        <f t="shared" si="8"/>
        <v>0</v>
      </c>
      <c r="AP56" s="28">
        <f t="shared" si="9"/>
        <v>0</v>
      </c>
      <c r="AQ56" s="28">
        <f t="shared" si="16"/>
        <v>0</v>
      </c>
      <c r="AR56" s="29">
        <f t="shared" si="17"/>
        <v>6.5117204564964833E-3</v>
      </c>
      <c r="AT56" s="12"/>
      <c r="AU56">
        <f t="shared" si="10"/>
        <v>0</v>
      </c>
      <c r="AV56">
        <f t="shared" si="11"/>
        <v>1</v>
      </c>
      <c r="AW56">
        <f t="shared" si="18"/>
        <v>0</v>
      </c>
      <c r="AX56">
        <f t="shared" si="5"/>
        <v>1</v>
      </c>
      <c r="AY56">
        <f t="shared" si="19"/>
        <v>0</v>
      </c>
      <c r="AZ56" s="28">
        <f t="shared" si="12"/>
        <v>0</v>
      </c>
      <c r="BA56" s="28">
        <f t="shared" si="13"/>
        <v>0</v>
      </c>
      <c r="BB56" s="28">
        <f t="shared" si="20"/>
        <v>0</v>
      </c>
      <c r="BC56" s="29">
        <f t="shared" si="21"/>
        <v>2.4791005795024635E-3</v>
      </c>
      <c r="BE56" s="29">
        <f t="shared" si="22"/>
        <v>0</v>
      </c>
      <c r="BF56" s="29">
        <f t="shared" si="23"/>
        <v>8.9908210359989464E-3</v>
      </c>
      <c r="BH56" s="29"/>
    </row>
    <row r="57" spans="1:60" x14ac:dyDescent="0.25">
      <c r="A57" s="1">
        <v>46105</v>
      </c>
      <c r="B57" s="33">
        <v>45.1</v>
      </c>
      <c r="C57" s="33">
        <v>105.67</v>
      </c>
      <c r="D57" s="15">
        <v>-5.5279300525129397E-3</v>
      </c>
      <c r="E57" s="15">
        <v>-6.9785270007006999E-3</v>
      </c>
      <c r="F57" s="33">
        <v>0</v>
      </c>
      <c r="G57" s="33">
        <v>0.26784999999999998</v>
      </c>
      <c r="H57" s="33">
        <v>0</v>
      </c>
      <c r="I57" s="33">
        <v>0.57126999999999994</v>
      </c>
      <c r="J57" s="33">
        <v>0</v>
      </c>
      <c r="K57" s="33">
        <v>0</v>
      </c>
      <c r="L57" s="33">
        <v>45.1</v>
      </c>
      <c r="M57" s="33">
        <v>105.67</v>
      </c>
      <c r="N57" s="34">
        <v>2.3430155210643</v>
      </c>
      <c r="O57" s="34">
        <v>2.3475193892851398</v>
      </c>
      <c r="P57" s="34">
        <v>2.3444630856038899</v>
      </c>
      <c r="Q57" s="34">
        <v>2.3440671662405199</v>
      </c>
      <c r="R57" s="33">
        <v>105.87312445676</v>
      </c>
      <c r="S57" s="33">
        <v>105.741795195639</v>
      </c>
      <c r="T57" s="33">
        <v>105.71714148193</v>
      </c>
      <c r="U57" s="15">
        <v>1.9204076682530901E-3</v>
      </c>
      <c r="V57" s="15">
        <v>6.7919766097318795E-4</v>
      </c>
      <c r="W57" s="15">
        <v>4.4602034335259201E-4</v>
      </c>
      <c r="X57" s="34">
        <v>2.3430155210643</v>
      </c>
      <c r="Y57" s="34">
        <v>2.3475193892851398</v>
      </c>
      <c r="Z57" s="34">
        <v>2.3444630856038899</v>
      </c>
      <c r="AA57" s="34">
        <v>2.3440671662405199</v>
      </c>
      <c r="AB57" s="33">
        <v>105.87312445676</v>
      </c>
      <c r="AC57" s="33">
        <v>105.741795195639</v>
      </c>
      <c r="AD57" s="33">
        <v>105.71714148193</v>
      </c>
      <c r="AE57" s="15">
        <v>1.9204076682530901E-3</v>
      </c>
      <c r="AF57" s="15">
        <v>6.7919766097318795E-4</v>
      </c>
      <c r="AG57" s="15">
        <v>4.4602034335259201E-4</v>
      </c>
      <c r="AI57" s="12"/>
      <c r="AJ57">
        <f t="shared" si="6"/>
        <v>0</v>
      </c>
      <c r="AK57">
        <f t="shared" si="7"/>
        <v>1</v>
      </c>
      <c r="AL57">
        <f t="shared" si="14"/>
        <v>1</v>
      </c>
      <c r="AM57">
        <f t="shared" si="4"/>
        <v>1</v>
      </c>
      <c r="AN57">
        <f t="shared" si="15"/>
        <v>1</v>
      </c>
      <c r="AO57" s="28">
        <f t="shared" si="8"/>
        <v>-5.5279300525129397E-3</v>
      </c>
      <c r="AP57" s="28">
        <f t="shared" si="9"/>
        <v>6.9785270007006999E-3</v>
      </c>
      <c r="AQ57" s="28">
        <f t="shared" si="16"/>
        <v>1.4505969481877603E-3</v>
      </c>
      <c r="AR57" s="29">
        <f t="shared" si="17"/>
        <v>7.9623174046842445E-3</v>
      </c>
      <c r="AT57" s="12"/>
      <c r="AU57">
        <f t="shared" si="10"/>
        <v>0</v>
      </c>
      <c r="AV57">
        <f t="shared" si="11"/>
        <v>0</v>
      </c>
      <c r="AW57">
        <f t="shared" si="18"/>
        <v>0</v>
      </c>
      <c r="AX57">
        <f t="shared" si="5"/>
        <v>1</v>
      </c>
      <c r="AY57">
        <f t="shared" si="19"/>
        <v>0</v>
      </c>
      <c r="AZ57" s="28">
        <f t="shared" si="12"/>
        <v>0</v>
      </c>
      <c r="BA57" s="28">
        <f t="shared" si="13"/>
        <v>0</v>
      </c>
      <c r="BB57" s="28">
        <f t="shared" si="20"/>
        <v>0</v>
      </c>
      <c r="BC57" s="29">
        <f t="shared" si="21"/>
        <v>2.4791005795024635E-3</v>
      </c>
      <c r="BE57" s="29">
        <f t="shared" si="22"/>
        <v>1.4505969481877603E-3</v>
      </c>
      <c r="BF57" s="29">
        <f t="shared" si="23"/>
        <v>1.0441417984186706E-2</v>
      </c>
      <c r="BH57" s="29"/>
    </row>
    <row r="58" spans="1:60" x14ac:dyDescent="0.25">
      <c r="A58" s="1">
        <v>46106</v>
      </c>
      <c r="B58" s="33">
        <v>45.2</v>
      </c>
      <c r="C58" s="33">
        <v>106</v>
      </c>
      <c r="D58" s="15">
        <v>2.21484032955282E-3</v>
      </c>
      <c r="E58" s="15">
        <v>3.1180636591277202E-3</v>
      </c>
      <c r="F58" s="33">
        <v>0</v>
      </c>
      <c r="G58" s="33">
        <v>0.26784999999999998</v>
      </c>
      <c r="H58" s="33">
        <v>0</v>
      </c>
      <c r="I58" s="33">
        <v>0.57126999999999994</v>
      </c>
      <c r="J58" s="33">
        <v>0</v>
      </c>
      <c r="K58" s="33">
        <v>0</v>
      </c>
      <c r="L58" s="33">
        <v>45.2</v>
      </c>
      <c r="M58" s="33">
        <v>106</v>
      </c>
      <c r="N58" s="34">
        <v>2.34513274336283</v>
      </c>
      <c r="O58" s="34">
        <v>2.3475193892851398</v>
      </c>
      <c r="P58" s="34">
        <v>2.3446744154350401</v>
      </c>
      <c r="Q58" s="34">
        <v>2.3441615538934699</v>
      </c>
      <c r="R58" s="33">
        <v>106.107876395688</v>
      </c>
      <c r="S58" s="33">
        <v>105.969731469295</v>
      </c>
      <c r="T58" s="33">
        <v>105.951835914071</v>
      </c>
      <c r="U58" s="15">
        <v>1.01718433867811E-3</v>
      </c>
      <c r="V58" s="15">
        <v>-2.8559295423914298E-4</v>
      </c>
      <c r="W58" s="15">
        <v>-4.5448143017492499E-4</v>
      </c>
      <c r="X58" s="34">
        <v>2.34513274336283</v>
      </c>
      <c r="Y58" s="34">
        <v>2.3475193892851398</v>
      </c>
      <c r="Z58" s="34">
        <v>2.3446744154350401</v>
      </c>
      <c r="AA58" s="34">
        <v>2.3441615538934699</v>
      </c>
      <c r="AB58" s="33">
        <v>106.107876395688</v>
      </c>
      <c r="AC58" s="33">
        <v>105.969731469295</v>
      </c>
      <c r="AD58" s="33">
        <v>105.951835914071</v>
      </c>
      <c r="AE58" s="15">
        <v>1.01718433867811E-3</v>
      </c>
      <c r="AF58" s="15">
        <v>-2.8559295423914298E-4</v>
      </c>
      <c r="AG58" s="15">
        <v>-4.5448143017492499E-4</v>
      </c>
      <c r="AI58" s="12"/>
      <c r="AJ58">
        <f t="shared" si="6"/>
        <v>0</v>
      </c>
      <c r="AK58">
        <f t="shared" si="7"/>
        <v>0</v>
      </c>
      <c r="AL58">
        <f t="shared" si="14"/>
        <v>0</v>
      </c>
      <c r="AM58">
        <f t="shared" si="4"/>
        <v>1</v>
      </c>
      <c r="AN58">
        <f t="shared" si="15"/>
        <v>0</v>
      </c>
      <c r="AO58" s="28">
        <f t="shared" si="8"/>
        <v>0</v>
      </c>
      <c r="AP58" s="28">
        <f t="shared" si="9"/>
        <v>0</v>
      </c>
      <c r="AQ58" s="28">
        <f t="shared" si="16"/>
        <v>0</v>
      </c>
      <c r="AR58" s="29">
        <f t="shared" si="17"/>
        <v>7.9623174046842445E-3</v>
      </c>
      <c r="AT58" s="12"/>
      <c r="AU58">
        <f t="shared" si="10"/>
        <v>0</v>
      </c>
      <c r="AV58">
        <f t="shared" si="11"/>
        <v>1</v>
      </c>
      <c r="AW58">
        <f t="shared" si="18"/>
        <v>0</v>
      </c>
      <c r="AX58">
        <f t="shared" si="5"/>
        <v>1</v>
      </c>
      <c r="AY58">
        <f t="shared" si="19"/>
        <v>0</v>
      </c>
      <c r="AZ58" s="28">
        <f t="shared" si="12"/>
        <v>0</v>
      </c>
      <c r="BA58" s="28">
        <f t="shared" si="13"/>
        <v>0</v>
      </c>
      <c r="BB58" s="28">
        <f t="shared" si="20"/>
        <v>0</v>
      </c>
      <c r="BC58" s="29">
        <f t="shared" si="21"/>
        <v>2.4791005795024635E-3</v>
      </c>
      <c r="BE58" s="29">
        <f t="shared" si="22"/>
        <v>0</v>
      </c>
      <c r="BF58" s="29">
        <f t="shared" si="23"/>
        <v>1.0441417984186706E-2</v>
      </c>
      <c r="BH58" s="29"/>
    </row>
    <row r="59" spans="1:60" x14ac:dyDescent="0.25">
      <c r="A59" s="1">
        <v>46107</v>
      </c>
      <c r="B59" s="33">
        <v>45.07</v>
      </c>
      <c r="C59" s="33">
        <v>105.6</v>
      </c>
      <c r="D59" s="15">
        <v>-2.8802501356286901E-3</v>
      </c>
      <c r="E59" s="15">
        <v>-3.7807228399060399E-3</v>
      </c>
      <c r="F59" s="33">
        <v>0</v>
      </c>
      <c r="G59" s="33">
        <v>0.26784999999999998</v>
      </c>
      <c r="H59" s="33">
        <v>0</v>
      </c>
      <c r="I59" s="33">
        <v>0.57126999999999994</v>
      </c>
      <c r="J59" s="33">
        <v>0</v>
      </c>
      <c r="K59" s="33">
        <v>0</v>
      </c>
      <c r="L59" s="33">
        <v>45.07</v>
      </c>
      <c r="M59" s="33">
        <v>105.6</v>
      </c>
      <c r="N59" s="34">
        <v>2.3430219658309199</v>
      </c>
      <c r="O59" s="34">
        <v>2.3475193892851398</v>
      </c>
      <c r="P59" s="34">
        <v>2.34442278610276</v>
      </c>
      <c r="Q59" s="34">
        <v>2.3440683034229099</v>
      </c>
      <c r="R59" s="33">
        <v>105.80269887508101</v>
      </c>
      <c r="S59" s="33">
        <v>105.674475903657</v>
      </c>
      <c r="T59" s="33">
        <v>105.651361233979</v>
      </c>
      <c r="U59" s="15">
        <v>1.91765704295548E-3</v>
      </c>
      <c r="V59" s="15">
        <v>7.0501565722584604E-4</v>
      </c>
      <c r="W59" s="15">
        <v>4.8625707963331901E-4</v>
      </c>
      <c r="X59" s="34">
        <v>2.3430219658309199</v>
      </c>
      <c r="Y59" s="34">
        <v>2.3475193892851398</v>
      </c>
      <c r="Z59" s="34">
        <v>2.34442278610276</v>
      </c>
      <c r="AA59" s="34">
        <v>2.3440683034229099</v>
      </c>
      <c r="AB59" s="33">
        <v>105.80269887508101</v>
      </c>
      <c r="AC59" s="33">
        <v>105.674475903657</v>
      </c>
      <c r="AD59" s="33">
        <v>105.651361233979</v>
      </c>
      <c r="AE59" s="15">
        <v>1.91765704295548E-3</v>
      </c>
      <c r="AF59" s="15">
        <v>7.0501565722584604E-4</v>
      </c>
      <c r="AG59" s="15">
        <v>4.8625707963331901E-4</v>
      </c>
      <c r="AI59" s="12"/>
      <c r="AJ59">
        <f t="shared" si="6"/>
        <v>0</v>
      </c>
      <c r="AK59">
        <f t="shared" si="7"/>
        <v>1</v>
      </c>
      <c r="AL59">
        <f t="shared" si="14"/>
        <v>0</v>
      </c>
      <c r="AM59">
        <f t="shared" si="4"/>
        <v>1</v>
      </c>
      <c r="AN59">
        <f t="shared" si="15"/>
        <v>0</v>
      </c>
      <c r="AO59" s="28">
        <f t="shared" si="8"/>
        <v>0</v>
      </c>
      <c r="AP59" s="28">
        <f t="shared" si="9"/>
        <v>0</v>
      </c>
      <c r="AQ59" s="28">
        <f t="shared" si="16"/>
        <v>0</v>
      </c>
      <c r="AR59" s="29">
        <f t="shared" si="17"/>
        <v>7.9623174046842445E-3</v>
      </c>
      <c r="AT59" s="12"/>
      <c r="AU59">
        <f t="shared" si="10"/>
        <v>0</v>
      </c>
      <c r="AV59">
        <f t="shared" si="11"/>
        <v>0</v>
      </c>
      <c r="AW59">
        <f t="shared" si="18"/>
        <v>0</v>
      </c>
      <c r="AX59">
        <f t="shared" si="5"/>
        <v>1</v>
      </c>
      <c r="AY59">
        <f t="shared" si="19"/>
        <v>0</v>
      </c>
      <c r="AZ59" s="28">
        <f t="shared" si="12"/>
        <v>0</v>
      </c>
      <c r="BA59" s="28">
        <f t="shared" si="13"/>
        <v>0</v>
      </c>
      <c r="BB59" s="28">
        <f t="shared" si="20"/>
        <v>0</v>
      </c>
      <c r="BC59" s="29">
        <f t="shared" si="21"/>
        <v>2.4791005795024635E-3</v>
      </c>
      <c r="BE59" s="29">
        <f t="shared" si="22"/>
        <v>0</v>
      </c>
      <c r="BF59" s="29">
        <f t="shared" si="23"/>
        <v>1.0441417984186706E-2</v>
      </c>
      <c r="BH59" s="29"/>
    </row>
    <row r="60" spans="1:60" x14ac:dyDescent="0.25">
      <c r="A60" s="1">
        <v>46108</v>
      </c>
      <c r="B60" s="33">
        <v>45.1</v>
      </c>
      <c r="C60" s="33">
        <v>105.64</v>
      </c>
      <c r="D60" s="15">
        <v>6.6540980607572001E-4</v>
      </c>
      <c r="E60" s="15">
        <v>3.7871615677046903E-4</v>
      </c>
      <c r="F60" s="33">
        <v>0</v>
      </c>
      <c r="G60" s="33">
        <v>0.26784999999999998</v>
      </c>
      <c r="H60" s="33">
        <v>0</v>
      </c>
      <c r="I60" s="33">
        <v>0.57126999999999994</v>
      </c>
      <c r="J60" s="33">
        <v>0</v>
      </c>
      <c r="K60" s="33">
        <v>0</v>
      </c>
      <c r="L60" s="33">
        <v>45.1</v>
      </c>
      <c r="M60" s="33">
        <v>105.64</v>
      </c>
      <c r="N60" s="34">
        <v>2.3423503325942301</v>
      </c>
      <c r="O60" s="34">
        <v>2.3475193892851398</v>
      </c>
      <c r="P60" s="34">
        <v>2.34412906362197</v>
      </c>
      <c r="Q60" s="34">
        <v>2.34406754048273</v>
      </c>
      <c r="R60" s="33">
        <v>105.87312445676</v>
      </c>
      <c r="S60" s="33">
        <v>105.733467653234</v>
      </c>
      <c r="T60" s="33">
        <v>105.717480484373</v>
      </c>
      <c r="U60" s="15">
        <v>2.2043506922610201E-3</v>
      </c>
      <c r="V60" s="15">
        <v>8.8438402761164495E-4</v>
      </c>
      <c r="W60" s="15">
        <v>7.3317005545897205E-4</v>
      </c>
      <c r="X60" s="34">
        <v>2.3423503325942301</v>
      </c>
      <c r="Y60" s="34">
        <v>2.3475193892851398</v>
      </c>
      <c r="Z60" s="34">
        <v>2.34412906362197</v>
      </c>
      <c r="AA60" s="34">
        <v>2.34406754048273</v>
      </c>
      <c r="AB60" s="33">
        <v>105.87312445676</v>
      </c>
      <c r="AC60" s="33">
        <v>105.733467653234</v>
      </c>
      <c r="AD60" s="33">
        <v>105.717480484373</v>
      </c>
      <c r="AE60" s="15">
        <v>2.2043506922610201E-3</v>
      </c>
      <c r="AF60" s="15">
        <v>8.8438402761164495E-4</v>
      </c>
      <c r="AG60" s="15">
        <v>7.3317005545897205E-4</v>
      </c>
      <c r="AI60" s="12"/>
      <c r="AJ60">
        <f t="shared" si="6"/>
        <v>0</v>
      </c>
      <c r="AK60">
        <f t="shared" si="7"/>
        <v>1</v>
      </c>
      <c r="AL60">
        <f t="shared" si="14"/>
        <v>0</v>
      </c>
      <c r="AM60">
        <f t="shared" si="4"/>
        <v>1</v>
      </c>
      <c r="AN60">
        <f t="shared" si="15"/>
        <v>0</v>
      </c>
      <c r="AO60" s="28">
        <f t="shared" si="8"/>
        <v>0</v>
      </c>
      <c r="AP60" s="28">
        <f t="shared" si="9"/>
        <v>0</v>
      </c>
      <c r="AQ60" s="28">
        <f t="shared" si="16"/>
        <v>0</v>
      </c>
      <c r="AR60" s="29">
        <f t="shared" si="17"/>
        <v>7.9623174046842445E-3</v>
      </c>
      <c r="AT60" s="12"/>
      <c r="AU60">
        <f t="shared" si="10"/>
        <v>0</v>
      </c>
      <c r="AV60">
        <f t="shared" si="11"/>
        <v>0</v>
      </c>
      <c r="AW60">
        <f t="shared" si="18"/>
        <v>0</v>
      </c>
      <c r="AX60">
        <f t="shared" si="5"/>
        <v>1</v>
      </c>
      <c r="AY60">
        <f t="shared" si="19"/>
        <v>0</v>
      </c>
      <c r="AZ60" s="28">
        <f t="shared" si="12"/>
        <v>0</v>
      </c>
      <c r="BA60" s="28">
        <f t="shared" si="13"/>
        <v>0</v>
      </c>
      <c r="BB60" s="28">
        <f t="shared" si="20"/>
        <v>0</v>
      </c>
      <c r="BC60" s="29">
        <f t="shared" si="21"/>
        <v>2.4791005795024635E-3</v>
      </c>
      <c r="BE60" s="29">
        <f t="shared" si="22"/>
        <v>0</v>
      </c>
      <c r="BF60" s="29">
        <f t="shared" si="23"/>
        <v>1.0441417984186706E-2</v>
      </c>
      <c r="BH60" s="29"/>
    </row>
    <row r="61" spans="1:60" x14ac:dyDescent="0.25">
      <c r="A61" s="1">
        <v>46111</v>
      </c>
      <c r="B61" s="33">
        <v>45.19</v>
      </c>
      <c r="C61" s="33">
        <v>105.95</v>
      </c>
      <c r="D61" s="15">
        <v>1.99357691455561E-3</v>
      </c>
      <c r="E61" s="15">
        <v>2.9301972853766102E-3</v>
      </c>
      <c r="F61" s="33">
        <v>0</v>
      </c>
      <c r="G61" s="33">
        <v>0.26784999999999998</v>
      </c>
      <c r="H61" s="33">
        <v>0</v>
      </c>
      <c r="I61" s="33">
        <v>0.57126999999999994</v>
      </c>
      <c r="J61" s="33">
        <v>0</v>
      </c>
      <c r="K61" s="33">
        <v>0</v>
      </c>
      <c r="L61" s="33">
        <v>45.19</v>
      </c>
      <c r="M61" s="33">
        <v>105.95</v>
      </c>
      <c r="N61" s="34">
        <v>2.34454525337464</v>
      </c>
      <c r="O61" s="34">
        <v>2.3475193892851398</v>
      </c>
      <c r="P61" s="34">
        <v>2.3438218924137399</v>
      </c>
      <c r="Q61" s="34">
        <v>2.3440687312588699</v>
      </c>
      <c r="R61" s="33">
        <v>106.084401201795</v>
      </c>
      <c r="S61" s="33">
        <v>105.931192385076</v>
      </c>
      <c r="T61" s="33">
        <v>105.928412154414</v>
      </c>
      <c r="U61" s="15">
        <v>1.26773032143989E-3</v>
      </c>
      <c r="V61" s="15">
        <v>-1.77529819996769E-4</v>
      </c>
      <c r="W61" s="15">
        <v>-2.0377579235607599E-4</v>
      </c>
      <c r="X61" s="34">
        <v>2.34454525337464</v>
      </c>
      <c r="Y61" s="34">
        <v>2.3475193892851398</v>
      </c>
      <c r="Z61" s="34">
        <v>2.3438218924137399</v>
      </c>
      <c r="AA61" s="34">
        <v>2.3440687312588699</v>
      </c>
      <c r="AB61" s="33">
        <v>106.084401201795</v>
      </c>
      <c r="AC61" s="33">
        <v>105.931192385076</v>
      </c>
      <c r="AD61" s="33">
        <v>105.928412154414</v>
      </c>
      <c r="AE61" s="15">
        <v>1.26773032143989E-3</v>
      </c>
      <c r="AF61" s="15">
        <v>-1.77529819996769E-4</v>
      </c>
      <c r="AG61" s="15">
        <v>-2.0377579235607599E-4</v>
      </c>
      <c r="AI61" s="12"/>
      <c r="AJ61">
        <f t="shared" si="6"/>
        <v>0</v>
      </c>
      <c r="AK61">
        <f t="shared" si="7"/>
        <v>0</v>
      </c>
      <c r="AL61">
        <f t="shared" si="14"/>
        <v>0</v>
      </c>
      <c r="AM61">
        <f t="shared" si="4"/>
        <v>1</v>
      </c>
      <c r="AN61">
        <f t="shared" si="15"/>
        <v>0</v>
      </c>
      <c r="AO61" s="28">
        <f t="shared" si="8"/>
        <v>0</v>
      </c>
      <c r="AP61" s="28">
        <f t="shared" si="9"/>
        <v>0</v>
      </c>
      <c r="AQ61" s="28">
        <f t="shared" si="16"/>
        <v>0</v>
      </c>
      <c r="AR61" s="29">
        <f t="shared" si="17"/>
        <v>7.9623174046842445E-3</v>
      </c>
      <c r="AT61" s="12"/>
      <c r="AU61">
        <f t="shared" si="10"/>
        <v>0</v>
      </c>
      <c r="AV61">
        <f t="shared" si="11"/>
        <v>1</v>
      </c>
      <c r="AW61">
        <f t="shared" si="18"/>
        <v>0</v>
      </c>
      <c r="AX61">
        <f t="shared" si="5"/>
        <v>1</v>
      </c>
      <c r="AY61">
        <f t="shared" si="19"/>
        <v>0</v>
      </c>
      <c r="AZ61" s="28">
        <f t="shared" si="12"/>
        <v>0</v>
      </c>
      <c r="BA61" s="28">
        <f t="shared" si="13"/>
        <v>0</v>
      </c>
      <c r="BB61" s="28">
        <f t="shared" si="20"/>
        <v>0</v>
      </c>
      <c r="BC61" s="29">
        <f t="shared" si="21"/>
        <v>2.4791005795024635E-3</v>
      </c>
      <c r="BE61" s="29">
        <f t="shared" si="22"/>
        <v>0</v>
      </c>
      <c r="BF61" s="29">
        <f t="shared" si="23"/>
        <v>1.0441417984186706E-2</v>
      </c>
      <c r="BH61" s="29"/>
    </row>
    <row r="62" spans="1:60" x14ac:dyDescent="0.25">
      <c r="A62" s="1">
        <v>46112</v>
      </c>
      <c r="B62" s="33">
        <v>45.34</v>
      </c>
      <c r="C62" s="33">
        <v>106.15</v>
      </c>
      <c r="D62" s="15">
        <v>3.3138216561947298E-3</v>
      </c>
      <c r="E62" s="15">
        <v>1.88590343495704E-3</v>
      </c>
      <c r="F62" s="33">
        <v>0</v>
      </c>
      <c r="G62" s="33">
        <v>0.26784999999999998</v>
      </c>
      <c r="H62" s="33">
        <v>0</v>
      </c>
      <c r="I62" s="33">
        <v>0.57126999999999994</v>
      </c>
      <c r="J62" s="33">
        <v>0</v>
      </c>
      <c r="K62" s="33">
        <v>0</v>
      </c>
      <c r="L62" s="33">
        <v>45.34</v>
      </c>
      <c r="M62" s="33">
        <v>106.15</v>
      </c>
      <c r="N62" s="34">
        <v>2.3411998235553502</v>
      </c>
      <c r="O62" s="34">
        <v>2.3475193892851398</v>
      </c>
      <c r="P62" s="34">
        <v>2.3435299814592598</v>
      </c>
      <c r="Q62" s="34">
        <v>2.3439218483883399</v>
      </c>
      <c r="R62" s="33">
        <v>106.436529110188</v>
      </c>
      <c r="S62" s="33">
        <v>106.26888460203899</v>
      </c>
      <c r="T62" s="33">
        <v>106.280076275277</v>
      </c>
      <c r="U62" s="15">
        <v>2.69564854267762E-3</v>
      </c>
      <c r="V62" s="15">
        <v>1.1193412927922601E-3</v>
      </c>
      <c r="W62" s="15">
        <v>1.2246504244128799E-3</v>
      </c>
      <c r="X62" s="34">
        <v>2.3411998235553502</v>
      </c>
      <c r="Y62" s="34">
        <v>2.3475193892851398</v>
      </c>
      <c r="Z62" s="34">
        <v>2.3435299814592598</v>
      </c>
      <c r="AA62" s="34">
        <v>2.3439218483883399</v>
      </c>
      <c r="AB62" s="33">
        <v>106.436529110188</v>
      </c>
      <c r="AC62" s="33">
        <v>106.26888460203899</v>
      </c>
      <c r="AD62" s="33">
        <v>106.280076275277</v>
      </c>
      <c r="AE62" s="15">
        <v>2.69564854267762E-3</v>
      </c>
      <c r="AF62" s="15">
        <v>1.1193412927922601E-3</v>
      </c>
      <c r="AG62" s="15">
        <v>1.2246504244128799E-3</v>
      </c>
      <c r="AI62" s="12"/>
      <c r="AJ62">
        <f t="shared" si="6"/>
        <v>0</v>
      </c>
      <c r="AK62">
        <f t="shared" si="7"/>
        <v>1</v>
      </c>
      <c r="AL62">
        <f t="shared" si="14"/>
        <v>0</v>
      </c>
      <c r="AM62">
        <f t="shared" si="4"/>
        <v>0</v>
      </c>
      <c r="AN62">
        <f t="shared" si="15"/>
        <v>0</v>
      </c>
      <c r="AO62" s="28">
        <f t="shared" si="8"/>
        <v>0</v>
      </c>
      <c r="AP62" s="28">
        <f t="shared" si="9"/>
        <v>0</v>
      </c>
      <c r="AQ62" s="28">
        <f t="shared" si="16"/>
        <v>0</v>
      </c>
      <c r="AR62" s="29">
        <f t="shared" si="17"/>
        <v>7.9623174046842445E-3</v>
      </c>
      <c r="AT62" s="12"/>
      <c r="AU62">
        <f t="shared" si="10"/>
        <v>1</v>
      </c>
      <c r="AV62">
        <f t="shared" si="11"/>
        <v>0</v>
      </c>
      <c r="AW62">
        <f t="shared" si="18"/>
        <v>0</v>
      </c>
      <c r="AX62">
        <f t="shared" si="5"/>
        <v>0</v>
      </c>
      <c r="AY62">
        <f t="shared" si="19"/>
        <v>0</v>
      </c>
      <c r="AZ62" s="28">
        <f t="shared" si="12"/>
        <v>0</v>
      </c>
      <c r="BA62" s="28">
        <f t="shared" si="13"/>
        <v>0</v>
      </c>
      <c r="BB62" s="28">
        <f t="shared" si="20"/>
        <v>0</v>
      </c>
      <c r="BC62" s="29">
        <f t="shared" si="21"/>
        <v>2.4791005795024635E-3</v>
      </c>
      <c r="BE62" s="29">
        <f t="shared" si="22"/>
        <v>0</v>
      </c>
      <c r="BF62" s="29">
        <f t="shared" si="23"/>
        <v>1.0441417984186706E-2</v>
      </c>
      <c r="BH62" s="29"/>
    </row>
    <row r="63" spans="1:60" x14ac:dyDescent="0.25">
      <c r="A63" s="1">
        <v>46113</v>
      </c>
      <c r="B63" s="33">
        <v>45.3</v>
      </c>
      <c r="C63" s="33">
        <v>106.31</v>
      </c>
      <c r="D63" s="15">
        <v>-8.8261259039470802E-4</v>
      </c>
      <c r="E63" s="15">
        <v>1.5061661512486299E-3</v>
      </c>
      <c r="F63" s="33">
        <v>0.13347000000000001</v>
      </c>
      <c r="G63" s="33">
        <v>0.40132000000000001</v>
      </c>
      <c r="H63" s="33">
        <v>0.28211999999999998</v>
      </c>
      <c r="I63" s="33">
        <v>0.85338999999999898</v>
      </c>
      <c r="J63" s="33">
        <v>0</v>
      </c>
      <c r="K63" s="33">
        <v>0</v>
      </c>
      <c r="L63" s="33">
        <v>45.3</v>
      </c>
      <c r="M63" s="33">
        <v>106.31</v>
      </c>
      <c r="N63" s="34">
        <v>2.34679911699779</v>
      </c>
      <c r="O63" s="34">
        <v>2.3475193892851398</v>
      </c>
      <c r="P63" s="34">
        <v>2.3438321543334499</v>
      </c>
      <c r="Q63" s="34">
        <v>2.3441167727096399</v>
      </c>
      <c r="R63" s="33">
        <v>106.342628334617</v>
      </c>
      <c r="S63" s="33">
        <v>106.16190816010401</v>
      </c>
      <c r="T63" s="33">
        <v>106.179659731992</v>
      </c>
      <c r="U63" s="15">
        <v>3.0686980103415999E-4</v>
      </c>
      <c r="V63" s="15">
        <v>-1.3939900588145701E-3</v>
      </c>
      <c r="W63" s="15">
        <v>-1.2267917838381099E-3</v>
      </c>
      <c r="X63" s="34">
        <v>2.34679911699779</v>
      </c>
      <c r="Y63" s="34">
        <v>2.3475193892851398</v>
      </c>
      <c r="Z63" s="34">
        <v>2.3438321543334499</v>
      </c>
      <c r="AA63" s="34">
        <v>2.3441167727096399</v>
      </c>
      <c r="AB63" s="33">
        <v>106.342628334617</v>
      </c>
      <c r="AC63" s="33">
        <v>106.16190816010401</v>
      </c>
      <c r="AD63" s="33">
        <v>106.179659731992</v>
      </c>
      <c r="AE63" s="15">
        <v>3.0686980103415999E-4</v>
      </c>
      <c r="AF63" s="15">
        <v>-1.3939900588145701E-3</v>
      </c>
      <c r="AG63" s="15">
        <v>-1.2267917838381099E-3</v>
      </c>
      <c r="AI63" s="12"/>
      <c r="AJ63">
        <f t="shared" si="6"/>
        <v>1</v>
      </c>
      <c r="AK63">
        <f t="shared" si="7"/>
        <v>0</v>
      </c>
      <c r="AL63">
        <f t="shared" si="14"/>
        <v>0</v>
      </c>
      <c r="AM63">
        <f t="shared" si="4"/>
        <v>1</v>
      </c>
      <c r="AN63">
        <f t="shared" si="15"/>
        <v>0</v>
      </c>
      <c r="AO63" s="28">
        <f t="shared" si="8"/>
        <v>0</v>
      </c>
      <c r="AP63" s="28">
        <f t="shared" si="9"/>
        <v>0</v>
      </c>
      <c r="AQ63" s="28">
        <f t="shared" si="16"/>
        <v>0</v>
      </c>
      <c r="AR63" s="29">
        <f t="shared" si="17"/>
        <v>7.9623174046842445E-3</v>
      </c>
      <c r="AT63" s="12"/>
      <c r="AU63">
        <f t="shared" si="10"/>
        <v>0</v>
      </c>
      <c r="AV63">
        <f t="shared" si="11"/>
        <v>1</v>
      </c>
      <c r="AW63">
        <f t="shared" si="18"/>
        <v>0</v>
      </c>
      <c r="AX63">
        <f t="shared" si="5"/>
        <v>1</v>
      </c>
      <c r="AY63">
        <f t="shared" si="19"/>
        <v>0</v>
      </c>
      <c r="AZ63" s="28">
        <f t="shared" si="12"/>
        <v>0</v>
      </c>
      <c r="BA63" s="28">
        <f t="shared" si="13"/>
        <v>0</v>
      </c>
      <c r="BB63" s="28">
        <f t="shared" si="20"/>
        <v>0</v>
      </c>
      <c r="BC63" s="29">
        <f t="shared" si="21"/>
        <v>2.4791005795024635E-3</v>
      </c>
      <c r="BE63" s="29">
        <f t="shared" si="22"/>
        <v>0</v>
      </c>
      <c r="BF63" s="29">
        <f t="shared" si="23"/>
        <v>1.0441417984186706E-2</v>
      </c>
      <c r="BH63" s="29"/>
    </row>
    <row r="64" spans="1:60" x14ac:dyDescent="0.25">
      <c r="A64" s="1">
        <v>46114</v>
      </c>
      <c r="B64" s="33">
        <v>45.36</v>
      </c>
      <c r="C64" s="33">
        <v>106.49</v>
      </c>
      <c r="D64" s="15">
        <v>1.3236269305083399E-3</v>
      </c>
      <c r="E64" s="15">
        <v>1.69172972677848E-3</v>
      </c>
      <c r="F64" s="33">
        <v>0</v>
      </c>
      <c r="G64" s="33">
        <v>0.40132000000000001</v>
      </c>
      <c r="H64" s="33">
        <v>0</v>
      </c>
      <c r="I64" s="33">
        <v>0.85338999999999898</v>
      </c>
      <c r="J64" s="33">
        <v>0</v>
      </c>
      <c r="K64" s="33">
        <v>0</v>
      </c>
      <c r="L64" s="33">
        <v>45.36</v>
      </c>
      <c r="M64" s="33">
        <v>106.49</v>
      </c>
      <c r="N64" s="34">
        <v>2.3476631393298</v>
      </c>
      <c r="O64" s="34">
        <v>2.3475193892851398</v>
      </c>
      <c r="P64" s="34">
        <v>2.3444323494849302</v>
      </c>
      <c r="Q64" s="34">
        <v>2.3443943801657898</v>
      </c>
      <c r="R64" s="33">
        <v>106.483479497974</v>
      </c>
      <c r="S64" s="33">
        <v>106.316226520565</v>
      </c>
      <c r="T64" s="33">
        <v>106.32913681010901</v>
      </c>
      <c r="U64" s="15">
        <v>-6.1232995235943204E-5</v>
      </c>
      <c r="V64" s="15">
        <v>-1.63316196992923E-3</v>
      </c>
      <c r="W64" s="15">
        <v>-1.51173642499783E-3</v>
      </c>
      <c r="X64" s="34">
        <v>2.3476631393298</v>
      </c>
      <c r="Y64" s="34">
        <v>2.3475193892851398</v>
      </c>
      <c r="Z64" s="34">
        <v>2.3444323494849302</v>
      </c>
      <c r="AA64" s="34">
        <v>2.3443943801657898</v>
      </c>
      <c r="AB64" s="33">
        <v>106.483479497974</v>
      </c>
      <c r="AC64" s="33">
        <v>106.316226520565</v>
      </c>
      <c r="AD64" s="33">
        <v>106.32913681010901</v>
      </c>
      <c r="AE64" s="15">
        <v>-6.1232995235943204E-5</v>
      </c>
      <c r="AF64" s="15">
        <v>-1.63316196992923E-3</v>
      </c>
      <c r="AG64" s="15">
        <v>-1.51173642499783E-3</v>
      </c>
      <c r="AI64" s="12"/>
      <c r="AJ64">
        <f t="shared" si="6"/>
        <v>1</v>
      </c>
      <c r="AK64">
        <f t="shared" si="7"/>
        <v>0</v>
      </c>
      <c r="AL64">
        <f t="shared" si="14"/>
        <v>1</v>
      </c>
      <c r="AM64">
        <f t="shared" si="4"/>
        <v>1</v>
      </c>
      <c r="AN64">
        <f t="shared" si="15"/>
        <v>1</v>
      </c>
      <c r="AO64" s="28">
        <f t="shared" si="8"/>
        <v>1.3236269305083399E-3</v>
      </c>
      <c r="AP64" s="28">
        <f t="shared" si="9"/>
        <v>-1.69172972677848E-3</v>
      </c>
      <c r="AQ64" s="28">
        <f t="shared" si="16"/>
        <v>-3.6810279627014003E-4</v>
      </c>
      <c r="AR64" s="29">
        <f t="shared" si="17"/>
        <v>7.594214608414104E-3</v>
      </c>
      <c r="AT64" s="12"/>
      <c r="AU64">
        <f t="shared" si="10"/>
        <v>0</v>
      </c>
      <c r="AV64">
        <f t="shared" si="11"/>
        <v>1</v>
      </c>
      <c r="AW64">
        <f t="shared" si="18"/>
        <v>0</v>
      </c>
      <c r="AX64">
        <f t="shared" si="5"/>
        <v>1</v>
      </c>
      <c r="AY64">
        <f t="shared" si="19"/>
        <v>0</v>
      </c>
      <c r="AZ64" s="28">
        <f t="shared" si="12"/>
        <v>0</v>
      </c>
      <c r="BA64" s="28">
        <f t="shared" si="13"/>
        <v>0</v>
      </c>
      <c r="BB64" s="28">
        <f t="shared" si="20"/>
        <v>0</v>
      </c>
      <c r="BC64" s="29">
        <f t="shared" si="21"/>
        <v>2.4791005795024635E-3</v>
      </c>
      <c r="BE64" s="29">
        <f t="shared" si="22"/>
        <v>-3.6810279627014003E-4</v>
      </c>
      <c r="BF64" s="29">
        <f t="shared" si="23"/>
        <v>1.0073315187916565E-2</v>
      </c>
      <c r="BH64" s="29"/>
    </row>
    <row r="65" spans="1:60" x14ac:dyDescent="0.25">
      <c r="A65" s="1">
        <v>46118</v>
      </c>
      <c r="B65" s="33">
        <v>45.33</v>
      </c>
      <c r="C65" s="33">
        <v>106.45</v>
      </c>
      <c r="D65" s="15">
        <v>-6.6159446673877301E-4</v>
      </c>
      <c r="E65" s="15">
        <v>-3.7569268780380101E-4</v>
      </c>
      <c r="F65" s="33">
        <v>0</v>
      </c>
      <c r="G65" s="33">
        <v>0.40132000000000001</v>
      </c>
      <c r="H65" s="33">
        <v>0</v>
      </c>
      <c r="I65" s="33">
        <v>0.85338999999999898</v>
      </c>
      <c r="J65" s="33">
        <v>0</v>
      </c>
      <c r="K65" s="33">
        <v>0</v>
      </c>
      <c r="L65" s="33">
        <v>45.33</v>
      </c>
      <c r="M65" s="33">
        <v>106.45</v>
      </c>
      <c r="N65" s="34">
        <v>2.3483344363556098</v>
      </c>
      <c r="O65" s="34">
        <v>2.3475193892851398</v>
      </c>
      <c r="P65" s="34">
        <v>2.3448479091010102</v>
      </c>
      <c r="Q65" s="34">
        <v>2.3446797580497898</v>
      </c>
      <c r="R65" s="33">
        <v>106.413053916295</v>
      </c>
      <c r="S65" s="33">
        <v>106.273118402151</v>
      </c>
      <c r="T65" s="33">
        <v>106.27139725291499</v>
      </c>
      <c r="U65" s="15">
        <v>-3.47134774170929E-4</v>
      </c>
      <c r="V65" s="15">
        <v>-1.66302224170648E-3</v>
      </c>
      <c r="W65" s="15">
        <v>-1.67921790058877E-3</v>
      </c>
      <c r="X65" s="34">
        <v>2.3483344363556098</v>
      </c>
      <c r="Y65" s="34">
        <v>2.3475193892851398</v>
      </c>
      <c r="Z65" s="34">
        <v>2.3448479091010102</v>
      </c>
      <c r="AA65" s="34">
        <v>2.3446797580497898</v>
      </c>
      <c r="AB65" s="33">
        <v>106.413053916295</v>
      </c>
      <c r="AC65" s="33">
        <v>106.273118402151</v>
      </c>
      <c r="AD65" s="33">
        <v>106.27139725291499</v>
      </c>
      <c r="AE65" s="15">
        <v>-3.47134774170929E-4</v>
      </c>
      <c r="AF65" s="15">
        <v>-1.66302224170648E-3</v>
      </c>
      <c r="AG65" s="15">
        <v>-1.67921790058877E-3</v>
      </c>
      <c r="AI65" s="12"/>
      <c r="AJ65">
        <f t="shared" si="6"/>
        <v>1</v>
      </c>
      <c r="AK65">
        <f t="shared" si="7"/>
        <v>0</v>
      </c>
      <c r="AL65">
        <f t="shared" si="14"/>
        <v>1</v>
      </c>
      <c r="AM65">
        <f t="shared" si="4"/>
        <v>1</v>
      </c>
      <c r="AN65">
        <f t="shared" si="15"/>
        <v>1</v>
      </c>
      <c r="AO65" s="28">
        <f t="shared" si="8"/>
        <v>-6.6159446673877301E-4</v>
      </c>
      <c r="AP65" s="28">
        <f t="shared" si="9"/>
        <v>3.7569268780380101E-4</v>
      </c>
      <c r="AQ65" s="28">
        <f t="shared" si="16"/>
        <v>-2.85901778934972E-4</v>
      </c>
      <c r="AR65" s="29">
        <f t="shared" si="17"/>
        <v>7.3083128294791321E-3</v>
      </c>
      <c r="AT65" s="12"/>
      <c r="AU65">
        <f t="shared" si="10"/>
        <v>0</v>
      </c>
      <c r="AV65">
        <f t="shared" si="11"/>
        <v>1</v>
      </c>
      <c r="AW65">
        <f t="shared" si="18"/>
        <v>0</v>
      </c>
      <c r="AX65">
        <f t="shared" si="5"/>
        <v>1</v>
      </c>
      <c r="AY65">
        <f t="shared" si="19"/>
        <v>0</v>
      </c>
      <c r="AZ65" s="28">
        <f t="shared" si="12"/>
        <v>0</v>
      </c>
      <c r="BA65" s="28">
        <f t="shared" si="13"/>
        <v>0</v>
      </c>
      <c r="BB65" s="28">
        <f t="shared" si="20"/>
        <v>0</v>
      </c>
      <c r="BC65" s="29">
        <f t="shared" si="21"/>
        <v>2.4791005795024635E-3</v>
      </c>
      <c r="BE65" s="29">
        <f t="shared" si="22"/>
        <v>-2.85901778934972E-4</v>
      </c>
      <c r="BF65" s="29">
        <f t="shared" si="23"/>
        <v>9.7874134089815934E-3</v>
      </c>
      <c r="BH65" s="29"/>
    </row>
    <row r="66" spans="1:60" x14ac:dyDescent="0.25">
      <c r="A66" s="1">
        <v>46119</v>
      </c>
      <c r="B66" s="33">
        <v>45.37</v>
      </c>
      <c r="C66" s="33">
        <v>106.57</v>
      </c>
      <c r="D66" s="15">
        <v>8.8202872311468595E-4</v>
      </c>
      <c r="E66" s="15">
        <v>1.12665489337627E-3</v>
      </c>
      <c r="F66" s="33">
        <v>0</v>
      </c>
      <c r="G66" s="33">
        <v>0.40132000000000001</v>
      </c>
      <c r="H66" s="33">
        <v>0</v>
      </c>
      <c r="I66" s="33">
        <v>0.85338999999999898</v>
      </c>
      <c r="J66" s="33">
        <v>0</v>
      </c>
      <c r="K66" s="33">
        <v>0</v>
      </c>
      <c r="L66" s="33">
        <v>45.37</v>
      </c>
      <c r="M66" s="33">
        <v>106.57</v>
      </c>
      <c r="N66" s="34">
        <v>2.34890897068547</v>
      </c>
      <c r="O66" s="34">
        <v>2.3475193892851398</v>
      </c>
      <c r="P66" s="34">
        <v>2.3450971303150898</v>
      </c>
      <c r="Q66" s="34">
        <v>2.3448522812954602</v>
      </c>
      <c r="R66" s="33">
        <v>106.50695469186699</v>
      </c>
      <c r="S66" s="33">
        <v>106.385749635913</v>
      </c>
      <c r="T66" s="33">
        <v>106.378120622719</v>
      </c>
      <c r="U66" s="15">
        <v>-5.9176094443252501E-4</v>
      </c>
      <c r="V66" s="15">
        <v>-1.7304102883090001E-3</v>
      </c>
      <c r="W66" s="15">
        <v>-1.8021237158561E-3</v>
      </c>
      <c r="X66" s="34">
        <v>2.34890897068547</v>
      </c>
      <c r="Y66" s="34">
        <v>2.3475193892851398</v>
      </c>
      <c r="Z66" s="34">
        <v>2.3450971303150898</v>
      </c>
      <c r="AA66" s="34">
        <v>2.3448522812954602</v>
      </c>
      <c r="AB66" s="33">
        <v>106.50695469186699</v>
      </c>
      <c r="AC66" s="33">
        <v>106.385749635913</v>
      </c>
      <c r="AD66" s="33">
        <v>106.378120622719</v>
      </c>
      <c r="AE66" s="15">
        <v>-5.9176094443252501E-4</v>
      </c>
      <c r="AF66" s="15">
        <v>-1.7304102883090001E-3</v>
      </c>
      <c r="AG66" s="15">
        <v>-1.8021237158561E-3</v>
      </c>
      <c r="AI66" s="12"/>
      <c r="AJ66">
        <f t="shared" si="6"/>
        <v>1</v>
      </c>
      <c r="AK66">
        <f t="shared" si="7"/>
        <v>0</v>
      </c>
      <c r="AL66">
        <f t="shared" si="14"/>
        <v>1</v>
      </c>
      <c r="AM66">
        <f t="shared" si="4"/>
        <v>1</v>
      </c>
      <c r="AN66">
        <f t="shared" si="15"/>
        <v>1</v>
      </c>
      <c r="AO66" s="28">
        <f t="shared" si="8"/>
        <v>8.8202872311468595E-4</v>
      </c>
      <c r="AP66" s="28">
        <f t="shared" si="9"/>
        <v>-1.12665489337627E-3</v>
      </c>
      <c r="AQ66" s="28">
        <f t="shared" si="16"/>
        <v>-2.4462617026158409E-4</v>
      </c>
      <c r="AR66" s="29">
        <f t="shared" si="17"/>
        <v>7.0636866592175482E-3</v>
      </c>
      <c r="AT66" s="12"/>
      <c r="AU66">
        <f t="shared" si="10"/>
        <v>0</v>
      </c>
      <c r="AV66">
        <f t="shared" si="11"/>
        <v>1</v>
      </c>
      <c r="AW66">
        <f t="shared" si="18"/>
        <v>0</v>
      </c>
      <c r="AX66">
        <f t="shared" si="5"/>
        <v>1</v>
      </c>
      <c r="AY66">
        <f t="shared" si="19"/>
        <v>0</v>
      </c>
      <c r="AZ66" s="28">
        <f t="shared" si="12"/>
        <v>0</v>
      </c>
      <c r="BA66" s="28">
        <f t="shared" si="13"/>
        <v>0</v>
      </c>
      <c r="BB66" s="28">
        <f t="shared" si="20"/>
        <v>0</v>
      </c>
      <c r="BC66" s="29">
        <f t="shared" si="21"/>
        <v>2.4791005795024635E-3</v>
      </c>
      <c r="BE66" s="29">
        <f t="shared" si="22"/>
        <v>-2.4462617026158409E-4</v>
      </c>
      <c r="BF66" s="29">
        <f t="shared" si="23"/>
        <v>9.5427872387200095E-3</v>
      </c>
      <c r="BH66" s="29"/>
    </row>
    <row r="67" spans="1:60" x14ac:dyDescent="0.25">
      <c r="A67" s="1">
        <v>46120</v>
      </c>
      <c r="B67" s="33">
        <v>45.48</v>
      </c>
      <c r="C67" s="33">
        <v>106.76</v>
      </c>
      <c r="D67" s="15">
        <v>2.4215752064628499E-3</v>
      </c>
      <c r="E67" s="15">
        <v>1.7812783034586201E-3</v>
      </c>
      <c r="F67" s="33">
        <v>0</v>
      </c>
      <c r="G67" s="33">
        <v>0.40132000000000001</v>
      </c>
      <c r="H67" s="33">
        <v>0</v>
      </c>
      <c r="I67" s="33">
        <v>0.85338999999999898</v>
      </c>
      <c r="J67" s="33">
        <v>0</v>
      </c>
      <c r="K67" s="33">
        <v>0</v>
      </c>
      <c r="L67" s="33">
        <v>45.48</v>
      </c>
      <c r="M67" s="33">
        <v>106.76</v>
      </c>
      <c r="N67" s="34">
        <v>2.3474054529463499</v>
      </c>
      <c r="O67" s="34">
        <v>2.3475193892851398</v>
      </c>
      <c r="P67" s="34">
        <v>2.3455361235033001</v>
      </c>
      <c r="Q67" s="34">
        <v>2.3449996045535899</v>
      </c>
      <c r="R67" s="33">
        <v>106.765181824688</v>
      </c>
      <c r="S67" s="33">
        <v>106.65501748673</v>
      </c>
      <c r="T67" s="33">
        <v>106.643881753317</v>
      </c>
      <c r="U67" s="15">
        <v>4.8535958571553299E-5</v>
      </c>
      <c r="V67" s="15">
        <v>-9.838344365230079E-4</v>
      </c>
      <c r="W67" s="15">
        <v>-1.08824879086766E-3</v>
      </c>
      <c r="X67" s="34">
        <v>2.3474054529463499</v>
      </c>
      <c r="Y67" s="34">
        <v>2.3475193892851398</v>
      </c>
      <c r="Z67" s="34">
        <v>2.3455361235033001</v>
      </c>
      <c r="AA67" s="34">
        <v>2.3449996045535899</v>
      </c>
      <c r="AB67" s="33">
        <v>106.765181824688</v>
      </c>
      <c r="AC67" s="33">
        <v>106.65501748673</v>
      </c>
      <c r="AD67" s="33">
        <v>106.643881753317</v>
      </c>
      <c r="AE67" s="15">
        <v>4.8535958571553299E-5</v>
      </c>
      <c r="AF67" s="15">
        <v>-9.838344365230079E-4</v>
      </c>
      <c r="AG67" s="15">
        <v>-1.08824879086766E-3</v>
      </c>
      <c r="AI67" s="12"/>
      <c r="AJ67">
        <f t="shared" si="6"/>
        <v>1</v>
      </c>
      <c r="AK67">
        <f t="shared" si="7"/>
        <v>0</v>
      </c>
      <c r="AL67">
        <f t="shared" si="14"/>
        <v>1</v>
      </c>
      <c r="AM67">
        <f t="shared" si="4"/>
        <v>1</v>
      </c>
      <c r="AN67">
        <f t="shared" si="15"/>
        <v>1</v>
      </c>
      <c r="AO67" s="28">
        <f t="shared" si="8"/>
        <v>2.4215752064628499E-3</v>
      </c>
      <c r="AP67" s="28">
        <f t="shared" si="9"/>
        <v>-1.7812783034586201E-3</v>
      </c>
      <c r="AQ67" s="28">
        <f t="shared" si="16"/>
        <v>6.4029690300422982E-4</v>
      </c>
      <c r="AR67" s="29">
        <f t="shared" si="17"/>
        <v>7.703983562221778E-3</v>
      </c>
      <c r="AT67" s="12"/>
      <c r="AU67">
        <f t="shared" si="10"/>
        <v>0</v>
      </c>
      <c r="AV67">
        <f t="shared" si="11"/>
        <v>1</v>
      </c>
      <c r="AW67">
        <f t="shared" si="18"/>
        <v>0</v>
      </c>
      <c r="AX67">
        <f t="shared" si="5"/>
        <v>1</v>
      </c>
      <c r="AY67">
        <f t="shared" si="19"/>
        <v>0</v>
      </c>
      <c r="AZ67" s="28">
        <f t="shared" si="12"/>
        <v>0</v>
      </c>
      <c r="BA67" s="28">
        <f t="shared" si="13"/>
        <v>0</v>
      </c>
      <c r="BB67" s="28">
        <f t="shared" si="20"/>
        <v>0</v>
      </c>
      <c r="BC67" s="29">
        <f t="shared" si="21"/>
        <v>2.4791005795024635E-3</v>
      </c>
      <c r="BE67" s="29">
        <f t="shared" si="22"/>
        <v>6.4029690300422982E-4</v>
      </c>
      <c r="BF67" s="29">
        <f t="shared" si="23"/>
        <v>1.0183084141724238E-2</v>
      </c>
      <c r="BH67" s="29"/>
    </row>
    <row r="68" spans="1:60" x14ac:dyDescent="0.25">
      <c r="A68" s="1">
        <v>46121</v>
      </c>
      <c r="B68" s="33">
        <v>45.55</v>
      </c>
      <c r="C68" s="33">
        <v>107</v>
      </c>
      <c r="D68" s="15">
        <v>1.53795482363203E-3</v>
      </c>
      <c r="E68" s="15">
        <v>2.2455099255828202E-3</v>
      </c>
      <c r="F68" s="33">
        <v>0</v>
      </c>
      <c r="G68" s="33">
        <v>0.40132000000000001</v>
      </c>
      <c r="H68" s="33">
        <v>0</v>
      </c>
      <c r="I68" s="33">
        <v>0.85338999999999898</v>
      </c>
      <c r="J68" s="33">
        <v>0</v>
      </c>
      <c r="K68" s="33">
        <v>0</v>
      </c>
      <c r="L68" s="33">
        <v>45.55</v>
      </c>
      <c r="M68" s="33">
        <v>107</v>
      </c>
      <c r="N68" s="34">
        <v>2.34906695938529</v>
      </c>
      <c r="O68" s="34">
        <v>2.3475193892851398</v>
      </c>
      <c r="P68" s="34">
        <v>2.3459295451055402</v>
      </c>
      <c r="Q68" s="34">
        <v>2.3453019802702899</v>
      </c>
      <c r="R68" s="33">
        <v>106.929508181938</v>
      </c>
      <c r="S68" s="33">
        <v>106.83917042557501</v>
      </c>
      <c r="T68" s="33">
        <v>106.814731987416</v>
      </c>
      <c r="U68" s="15">
        <v>-6.5901914337915799E-4</v>
      </c>
      <c r="V68" s="15">
        <v>-1.5042108929765501E-3</v>
      </c>
      <c r="W68" s="15">
        <v>-1.73297749157055E-3</v>
      </c>
      <c r="X68" s="34">
        <v>2.34906695938529</v>
      </c>
      <c r="Y68" s="34">
        <v>2.3475193892851398</v>
      </c>
      <c r="Z68" s="34">
        <v>2.3459295451055402</v>
      </c>
      <c r="AA68" s="34">
        <v>2.3453019802702899</v>
      </c>
      <c r="AB68" s="33">
        <v>106.929508181938</v>
      </c>
      <c r="AC68" s="33">
        <v>106.83917042557501</v>
      </c>
      <c r="AD68" s="33">
        <v>106.814731987416</v>
      </c>
      <c r="AE68" s="15">
        <v>-6.5901914337915799E-4</v>
      </c>
      <c r="AF68" s="15">
        <v>-1.5042108929765501E-3</v>
      </c>
      <c r="AG68" s="15">
        <v>-1.73297749157055E-3</v>
      </c>
      <c r="AI68" s="12"/>
      <c r="AJ68">
        <f t="shared" si="6"/>
        <v>1</v>
      </c>
      <c r="AK68">
        <f t="shared" si="7"/>
        <v>0</v>
      </c>
      <c r="AL68">
        <f t="shared" si="14"/>
        <v>1</v>
      </c>
      <c r="AM68">
        <f t="shared" si="4"/>
        <v>1</v>
      </c>
      <c r="AN68">
        <f t="shared" si="15"/>
        <v>1</v>
      </c>
      <c r="AO68" s="28">
        <f t="shared" si="8"/>
        <v>1.53795482363203E-3</v>
      </c>
      <c r="AP68" s="28">
        <f t="shared" si="9"/>
        <v>-2.2455099255828202E-3</v>
      </c>
      <c r="AQ68" s="28">
        <f t="shared" si="16"/>
        <v>-7.0755510195079016E-4</v>
      </c>
      <c r="AR68" s="29">
        <f t="shared" si="17"/>
        <v>6.9964284602709878E-3</v>
      </c>
      <c r="AT68" s="12"/>
      <c r="AU68">
        <f t="shared" si="10"/>
        <v>0</v>
      </c>
      <c r="AV68">
        <f t="shared" si="11"/>
        <v>1</v>
      </c>
      <c r="AW68">
        <f t="shared" si="18"/>
        <v>0</v>
      </c>
      <c r="AX68">
        <f t="shared" si="5"/>
        <v>1</v>
      </c>
      <c r="AY68">
        <f t="shared" si="19"/>
        <v>0</v>
      </c>
      <c r="AZ68" s="28">
        <f t="shared" si="12"/>
        <v>0</v>
      </c>
      <c r="BA68" s="28">
        <f t="shared" si="13"/>
        <v>0</v>
      </c>
      <c r="BB68" s="28">
        <f t="shared" si="20"/>
        <v>0</v>
      </c>
      <c r="BC68" s="29">
        <f t="shared" si="21"/>
        <v>2.4791005795024635E-3</v>
      </c>
      <c r="BE68" s="29">
        <f t="shared" si="22"/>
        <v>-7.0755510195079016E-4</v>
      </c>
      <c r="BF68" s="29">
        <f t="shared" si="23"/>
        <v>9.4755290397734483E-3</v>
      </c>
      <c r="BH68" s="29"/>
    </row>
    <row r="69" spans="1:60" x14ac:dyDescent="0.25">
      <c r="A69" s="1">
        <v>46122</v>
      </c>
      <c r="B69" s="33">
        <v>45.57</v>
      </c>
      <c r="C69" s="33">
        <v>106.84</v>
      </c>
      <c r="D69" s="15">
        <v>4.3898156982383901E-4</v>
      </c>
      <c r="E69" s="15">
        <v>-1.49644622014607E-3</v>
      </c>
      <c r="F69" s="33">
        <v>0</v>
      </c>
      <c r="G69" s="33">
        <v>0.40132000000000001</v>
      </c>
      <c r="H69" s="33">
        <v>0</v>
      </c>
      <c r="I69" s="33">
        <v>0.85338999999999898</v>
      </c>
      <c r="J69" s="33">
        <v>0</v>
      </c>
      <c r="K69" s="33">
        <v>0</v>
      </c>
      <c r="L69" s="33">
        <v>45.57</v>
      </c>
      <c r="M69" s="33">
        <v>106.84</v>
      </c>
      <c r="N69" s="34">
        <v>2.3445249067368801</v>
      </c>
      <c r="O69" s="34">
        <v>2.3475193892851398</v>
      </c>
      <c r="P69" s="34">
        <v>2.3460798391961402</v>
      </c>
      <c r="Q69" s="34">
        <v>2.3452513126494501</v>
      </c>
      <c r="R69" s="33">
        <v>106.976458569724</v>
      </c>
      <c r="S69" s="33">
        <v>106.90400937045899</v>
      </c>
      <c r="T69" s="33">
        <v>106.875411240917</v>
      </c>
      <c r="U69" s="15">
        <v>1.27640864659085E-3</v>
      </c>
      <c r="V69" s="15">
        <v>5.98934890029041E-4</v>
      </c>
      <c r="W69" s="15">
        <v>3.3138687599370799E-4</v>
      </c>
      <c r="X69" s="34">
        <v>2.3445249067368801</v>
      </c>
      <c r="Y69" s="34">
        <v>2.3475193892851398</v>
      </c>
      <c r="Z69" s="34">
        <v>2.3460798391961402</v>
      </c>
      <c r="AA69" s="34">
        <v>2.3452513126494501</v>
      </c>
      <c r="AB69" s="33">
        <v>106.976458569724</v>
      </c>
      <c r="AC69" s="33">
        <v>106.90400937045899</v>
      </c>
      <c r="AD69" s="33">
        <v>106.875411240917</v>
      </c>
      <c r="AE69" s="15">
        <v>1.27640864659085E-3</v>
      </c>
      <c r="AF69" s="15">
        <v>5.98934890029041E-4</v>
      </c>
      <c r="AG69" s="15">
        <v>3.3138687599370799E-4</v>
      </c>
      <c r="AI69" s="12"/>
      <c r="AJ69">
        <f t="shared" si="6"/>
        <v>0</v>
      </c>
      <c r="AK69">
        <f t="shared" si="7"/>
        <v>1</v>
      </c>
      <c r="AL69">
        <f t="shared" si="14"/>
        <v>1</v>
      </c>
      <c r="AM69">
        <f t="shared" si="4"/>
        <v>1</v>
      </c>
      <c r="AN69">
        <f t="shared" si="15"/>
        <v>1</v>
      </c>
      <c r="AO69" s="28">
        <f t="shared" si="8"/>
        <v>4.3898156982383901E-4</v>
      </c>
      <c r="AP69" s="28">
        <f t="shared" si="9"/>
        <v>1.49644622014607E-3</v>
      </c>
      <c r="AQ69" s="28">
        <f t="shared" si="16"/>
        <v>1.9354277899699089E-3</v>
      </c>
      <c r="AR69" s="29">
        <f t="shared" si="17"/>
        <v>8.9318562502408959E-3</v>
      </c>
      <c r="AT69" s="12"/>
      <c r="AU69">
        <f t="shared" si="10"/>
        <v>0</v>
      </c>
      <c r="AV69">
        <f t="shared" si="11"/>
        <v>0</v>
      </c>
      <c r="AW69">
        <f t="shared" si="18"/>
        <v>0</v>
      </c>
      <c r="AX69">
        <f t="shared" si="5"/>
        <v>1</v>
      </c>
      <c r="AY69">
        <f t="shared" si="19"/>
        <v>0</v>
      </c>
      <c r="AZ69" s="28">
        <f t="shared" si="12"/>
        <v>0</v>
      </c>
      <c r="BA69" s="28">
        <f t="shared" si="13"/>
        <v>0</v>
      </c>
      <c r="BB69" s="28">
        <f t="shared" si="20"/>
        <v>0</v>
      </c>
      <c r="BC69" s="29">
        <f t="shared" si="21"/>
        <v>2.4791005795024635E-3</v>
      </c>
      <c r="BE69" s="29">
        <f t="shared" si="22"/>
        <v>1.9354277899699089E-3</v>
      </c>
      <c r="BF69" s="29">
        <f t="shared" si="23"/>
        <v>1.1410956829743357E-2</v>
      </c>
      <c r="BH69" s="29"/>
    </row>
    <row r="70" spans="1:60" x14ac:dyDescent="0.25">
      <c r="A70" s="1">
        <v>46125</v>
      </c>
      <c r="B70" s="33">
        <v>45.6</v>
      </c>
      <c r="C70" s="33">
        <v>107</v>
      </c>
      <c r="D70" s="15">
        <v>6.58111244549324E-4</v>
      </c>
      <c r="E70" s="15">
        <v>1.4964462201460099E-3</v>
      </c>
      <c r="F70" s="33">
        <v>0</v>
      </c>
      <c r="G70" s="33">
        <v>0.40132000000000001</v>
      </c>
      <c r="H70" s="33">
        <v>0</v>
      </c>
      <c r="I70" s="33">
        <v>0.85338999999999898</v>
      </c>
      <c r="J70" s="33">
        <v>0</v>
      </c>
      <c r="K70" s="33">
        <v>0</v>
      </c>
      <c r="L70" s="33">
        <v>45.6</v>
      </c>
      <c r="M70" s="33">
        <v>107</v>
      </c>
      <c r="N70" s="34">
        <v>2.3464912280701702</v>
      </c>
      <c r="O70" s="34">
        <v>2.3475193892851398</v>
      </c>
      <c r="P70" s="34">
        <v>2.3464939287437301</v>
      </c>
      <c r="Q70" s="34">
        <v>2.3453114961828501</v>
      </c>
      <c r="R70" s="33">
        <v>107.046884151402</v>
      </c>
      <c r="S70" s="33">
        <v>106.981240667344</v>
      </c>
      <c r="T70" s="33">
        <v>106.943459856815</v>
      </c>
      <c r="U70" s="15">
        <v>4.3807367099385101E-4</v>
      </c>
      <c r="V70" s="15">
        <v>-1.7533623644129699E-4</v>
      </c>
      <c r="W70" s="15">
        <v>-5.2855221224314705E-4</v>
      </c>
      <c r="X70" s="34">
        <v>2.3464912280701702</v>
      </c>
      <c r="Y70" s="34">
        <v>2.3475193892851398</v>
      </c>
      <c r="Z70" s="34">
        <v>2.3464939287437301</v>
      </c>
      <c r="AA70" s="34">
        <v>2.3453114961828501</v>
      </c>
      <c r="AB70" s="33">
        <v>107.046884151402</v>
      </c>
      <c r="AC70" s="33">
        <v>106.981240667344</v>
      </c>
      <c r="AD70" s="33">
        <v>106.943459856815</v>
      </c>
      <c r="AE70" s="15">
        <v>4.3807367099385101E-4</v>
      </c>
      <c r="AF70" s="15">
        <v>-1.7533623644129699E-4</v>
      </c>
      <c r="AG70" s="15">
        <v>-5.2855221224314705E-4</v>
      </c>
      <c r="AI70" s="12"/>
      <c r="AJ70">
        <f t="shared" si="6"/>
        <v>0</v>
      </c>
      <c r="AK70">
        <f t="shared" si="7"/>
        <v>0</v>
      </c>
      <c r="AL70">
        <f t="shared" si="14"/>
        <v>0</v>
      </c>
      <c r="AM70">
        <f t="shared" si="4"/>
        <v>1</v>
      </c>
      <c r="AN70">
        <f t="shared" si="15"/>
        <v>0</v>
      </c>
      <c r="AO70" s="28">
        <f t="shared" si="8"/>
        <v>0</v>
      </c>
      <c r="AP70" s="28">
        <f t="shared" si="9"/>
        <v>0</v>
      </c>
      <c r="AQ70" s="28">
        <f t="shared" si="16"/>
        <v>0</v>
      </c>
      <c r="AR70" s="29">
        <f t="shared" si="17"/>
        <v>8.9318562502408959E-3</v>
      </c>
      <c r="AT70" s="12"/>
      <c r="AU70">
        <f t="shared" si="10"/>
        <v>0</v>
      </c>
      <c r="AV70">
        <f t="shared" si="11"/>
        <v>1</v>
      </c>
      <c r="AW70">
        <f t="shared" si="18"/>
        <v>0</v>
      </c>
      <c r="AX70">
        <f t="shared" si="5"/>
        <v>1</v>
      </c>
      <c r="AY70">
        <f t="shared" si="19"/>
        <v>0</v>
      </c>
      <c r="AZ70" s="28">
        <f t="shared" si="12"/>
        <v>0</v>
      </c>
      <c r="BA70" s="28">
        <f t="shared" si="13"/>
        <v>0</v>
      </c>
      <c r="BB70" s="28">
        <f t="shared" si="20"/>
        <v>0</v>
      </c>
      <c r="BC70" s="29">
        <f t="shared" si="21"/>
        <v>2.4791005795024635E-3</v>
      </c>
      <c r="BE70" s="29">
        <f t="shared" si="22"/>
        <v>0</v>
      </c>
      <c r="BF70" s="29">
        <f t="shared" si="23"/>
        <v>1.1410956829743357E-2</v>
      </c>
      <c r="BH70" s="29"/>
    </row>
    <row r="71" spans="1:60" x14ac:dyDescent="0.25">
      <c r="A71" s="1">
        <v>46126</v>
      </c>
      <c r="B71" s="33">
        <v>45.61</v>
      </c>
      <c r="C71" s="33">
        <v>107.08</v>
      </c>
      <c r="D71" s="15">
        <v>2.1927420326858601E-4</v>
      </c>
      <c r="E71" s="15">
        <v>7.4738419024559404E-4</v>
      </c>
      <c r="F71" s="33">
        <v>0</v>
      </c>
      <c r="G71" s="33">
        <v>0.40132000000000001</v>
      </c>
      <c r="H71" s="33">
        <v>0</v>
      </c>
      <c r="I71" s="33">
        <v>0.85338999999999898</v>
      </c>
      <c r="J71" s="33">
        <v>0</v>
      </c>
      <c r="K71" s="33">
        <v>0</v>
      </c>
      <c r="L71" s="33">
        <v>45.61</v>
      </c>
      <c r="M71" s="33">
        <v>107.08</v>
      </c>
      <c r="N71" s="34">
        <v>2.3477307607980702</v>
      </c>
      <c r="O71" s="34">
        <v>2.3475193892851398</v>
      </c>
      <c r="P71" s="34">
        <v>2.3468124794860801</v>
      </c>
      <c r="Q71" s="34">
        <v>2.3453171859499098</v>
      </c>
      <c r="R71" s="33">
        <v>107.070359345295</v>
      </c>
      <c r="S71" s="33">
        <v>107.023588090001</v>
      </c>
      <c r="T71" s="33">
        <v>106.9696573409</v>
      </c>
      <c r="U71" s="15">
        <v>-9.0036315983002205E-5</v>
      </c>
      <c r="V71" s="15">
        <v>-5.2695904638209599E-4</v>
      </c>
      <c r="W71" s="15">
        <v>-1.0310006588645901E-3</v>
      </c>
      <c r="X71" s="34">
        <v>2.3477307607980702</v>
      </c>
      <c r="Y71" s="34">
        <v>2.3475193892851398</v>
      </c>
      <c r="Z71" s="34">
        <v>2.3468124794860801</v>
      </c>
      <c r="AA71" s="34">
        <v>2.3453171859499098</v>
      </c>
      <c r="AB71" s="33">
        <v>107.070359345295</v>
      </c>
      <c r="AC71" s="33">
        <v>107.023588090001</v>
      </c>
      <c r="AD71" s="33">
        <v>106.9696573409</v>
      </c>
      <c r="AE71" s="15">
        <v>-9.0036315983002205E-5</v>
      </c>
      <c r="AF71" s="15">
        <v>-5.2695904638209599E-4</v>
      </c>
      <c r="AG71" s="15">
        <v>-1.0310006588645901E-3</v>
      </c>
      <c r="AI71" s="12"/>
      <c r="AJ71">
        <f t="shared" si="6"/>
        <v>1</v>
      </c>
      <c r="AK71">
        <f t="shared" si="7"/>
        <v>0</v>
      </c>
      <c r="AL71">
        <f t="shared" si="14"/>
        <v>0</v>
      </c>
      <c r="AM71">
        <f t="shared" si="4"/>
        <v>1</v>
      </c>
      <c r="AN71">
        <f t="shared" si="15"/>
        <v>0</v>
      </c>
      <c r="AO71" s="28">
        <f t="shared" si="8"/>
        <v>0</v>
      </c>
      <c r="AP71" s="28">
        <f t="shared" si="9"/>
        <v>0</v>
      </c>
      <c r="AQ71" s="28">
        <f t="shared" si="16"/>
        <v>0</v>
      </c>
      <c r="AR71" s="29">
        <f t="shared" si="17"/>
        <v>8.9318562502408959E-3</v>
      </c>
      <c r="AT71" s="12"/>
      <c r="AU71">
        <f t="shared" si="10"/>
        <v>0</v>
      </c>
      <c r="AV71">
        <f t="shared" si="11"/>
        <v>1</v>
      </c>
      <c r="AW71">
        <f t="shared" si="18"/>
        <v>0</v>
      </c>
      <c r="AX71">
        <f t="shared" si="5"/>
        <v>1</v>
      </c>
      <c r="AY71">
        <f t="shared" si="19"/>
        <v>0</v>
      </c>
      <c r="AZ71" s="28">
        <f t="shared" si="12"/>
        <v>0</v>
      </c>
      <c r="BA71" s="28">
        <f t="shared" si="13"/>
        <v>0</v>
      </c>
      <c r="BB71" s="28">
        <f t="shared" si="20"/>
        <v>0</v>
      </c>
      <c r="BC71" s="29">
        <f t="shared" si="21"/>
        <v>2.4791005795024635E-3</v>
      </c>
      <c r="BE71" s="29">
        <f t="shared" si="22"/>
        <v>0</v>
      </c>
      <c r="BF71" s="29">
        <f t="shared" si="23"/>
        <v>1.1410956829743357E-2</v>
      </c>
      <c r="BH71" s="29"/>
    </row>
    <row r="72" spans="1:60" x14ac:dyDescent="0.25">
      <c r="A72" s="1">
        <v>46127</v>
      </c>
      <c r="B72" s="33">
        <v>45.57</v>
      </c>
      <c r="C72" s="33">
        <v>106.88</v>
      </c>
      <c r="D72" s="15">
        <v>-8.7738544781781804E-4</v>
      </c>
      <c r="E72" s="15">
        <v>-1.8695088638162099E-3</v>
      </c>
      <c r="F72" s="33">
        <v>0</v>
      </c>
      <c r="G72" s="33">
        <v>0.40132000000000001</v>
      </c>
      <c r="H72" s="33">
        <v>0</v>
      </c>
      <c r="I72" s="33">
        <v>0.85338999999999898</v>
      </c>
      <c r="J72" s="33">
        <v>0</v>
      </c>
      <c r="K72" s="33">
        <v>0</v>
      </c>
      <c r="L72" s="33">
        <v>45.57</v>
      </c>
      <c r="M72" s="33">
        <v>106.88</v>
      </c>
      <c r="N72" s="34">
        <v>2.3454026771999099</v>
      </c>
      <c r="O72" s="34">
        <v>2.3475193892851398</v>
      </c>
      <c r="P72" s="34">
        <v>2.34723276485053</v>
      </c>
      <c r="Q72" s="34">
        <v>2.3453813731549</v>
      </c>
      <c r="R72" s="33">
        <v>106.976458569724</v>
      </c>
      <c r="S72" s="33">
        <v>106.94424469018</v>
      </c>
      <c r="T72" s="33">
        <v>106.876104163737</v>
      </c>
      <c r="U72" s="15">
        <v>9.0208710001544296E-4</v>
      </c>
      <c r="V72" s="15">
        <v>6.0091120356408202E-4</v>
      </c>
      <c r="W72" s="15">
        <v>-3.6451228170558403E-5</v>
      </c>
      <c r="X72" s="34">
        <v>2.3454026771999099</v>
      </c>
      <c r="Y72" s="34">
        <v>2.3475193892851398</v>
      </c>
      <c r="Z72" s="34">
        <v>2.34723276485053</v>
      </c>
      <c r="AA72" s="34">
        <v>2.3453813731549</v>
      </c>
      <c r="AB72" s="33">
        <v>106.976458569724</v>
      </c>
      <c r="AC72" s="33">
        <v>106.94424469018</v>
      </c>
      <c r="AD72" s="33">
        <v>106.876104163737</v>
      </c>
      <c r="AE72" s="15">
        <v>9.0208710001544296E-4</v>
      </c>
      <c r="AF72" s="15">
        <v>6.0091120356408202E-4</v>
      </c>
      <c r="AG72" s="15">
        <v>-3.6451228170558403E-5</v>
      </c>
      <c r="AI72" s="12"/>
      <c r="AJ72">
        <f t="shared" si="6"/>
        <v>0</v>
      </c>
      <c r="AK72">
        <f t="shared" si="7"/>
        <v>0</v>
      </c>
      <c r="AL72">
        <f t="shared" si="14"/>
        <v>1</v>
      </c>
      <c r="AM72">
        <f t="shared" si="4"/>
        <v>1</v>
      </c>
      <c r="AN72">
        <f t="shared" si="15"/>
        <v>1</v>
      </c>
      <c r="AO72" s="28">
        <f t="shared" si="8"/>
        <v>-8.7738544781781804E-4</v>
      </c>
      <c r="AP72" s="28">
        <f t="shared" si="9"/>
        <v>1.8695088638162099E-3</v>
      </c>
      <c r="AQ72" s="28">
        <f t="shared" si="16"/>
        <v>9.921234159983919E-4</v>
      </c>
      <c r="AR72" s="29">
        <f t="shared" si="17"/>
        <v>9.9239796662392871E-3</v>
      </c>
      <c r="AT72" s="12"/>
      <c r="AU72">
        <f t="shared" si="10"/>
        <v>0</v>
      </c>
      <c r="AV72">
        <f t="shared" si="11"/>
        <v>1</v>
      </c>
      <c r="AW72">
        <f t="shared" si="18"/>
        <v>0</v>
      </c>
      <c r="AX72">
        <f t="shared" si="5"/>
        <v>1</v>
      </c>
      <c r="AY72">
        <f t="shared" si="19"/>
        <v>0</v>
      </c>
      <c r="AZ72" s="28">
        <f t="shared" si="12"/>
        <v>0</v>
      </c>
      <c r="BA72" s="28">
        <f t="shared" si="13"/>
        <v>0</v>
      </c>
      <c r="BB72" s="28">
        <f t="shared" si="20"/>
        <v>0</v>
      </c>
      <c r="BC72" s="29">
        <f t="shared" si="21"/>
        <v>2.4791005795024635E-3</v>
      </c>
      <c r="BE72" s="29">
        <f t="shared" si="22"/>
        <v>9.921234159983919E-4</v>
      </c>
      <c r="BF72" s="29">
        <f t="shared" si="23"/>
        <v>1.2403080245741748E-2</v>
      </c>
      <c r="BH72" s="29"/>
    </row>
    <row r="73" spans="1:60" x14ac:dyDescent="0.25">
      <c r="A73" s="1">
        <v>46128</v>
      </c>
      <c r="B73" s="33">
        <v>45.6</v>
      </c>
      <c r="C73" s="33">
        <v>106.98</v>
      </c>
      <c r="D73" s="15">
        <v>6.58111244549324E-4</v>
      </c>
      <c r="E73" s="15">
        <v>9.3519131476854601E-4</v>
      </c>
      <c r="F73" s="33">
        <v>0</v>
      </c>
      <c r="G73" s="33">
        <v>0.40132000000000001</v>
      </c>
      <c r="H73" s="33">
        <v>0</v>
      </c>
      <c r="I73" s="33">
        <v>0.85338999999999898</v>
      </c>
      <c r="J73" s="33">
        <v>0</v>
      </c>
      <c r="K73" s="33">
        <v>0</v>
      </c>
      <c r="L73" s="33">
        <v>45.6</v>
      </c>
      <c r="M73" s="33">
        <v>106.98</v>
      </c>
      <c r="N73" s="34">
        <v>2.3460526315789401</v>
      </c>
      <c r="O73" s="34">
        <v>2.3475193892851398</v>
      </c>
      <c r="P73" s="34">
        <v>2.3471581163086501</v>
      </c>
      <c r="Q73" s="34">
        <v>2.34549513532105</v>
      </c>
      <c r="R73" s="33">
        <v>107.046884151402</v>
      </c>
      <c r="S73" s="33">
        <v>107.033814077184</v>
      </c>
      <c r="T73" s="33">
        <v>106.949390615863</v>
      </c>
      <c r="U73" s="15">
        <v>6.2500702979612999E-4</v>
      </c>
      <c r="V73" s="15">
        <v>5.0290284812453095E-4</v>
      </c>
      <c r="W73" s="15">
        <v>-2.86163432310072E-4</v>
      </c>
      <c r="X73" s="34">
        <v>2.3460526315789401</v>
      </c>
      <c r="Y73" s="34">
        <v>2.3475193892851398</v>
      </c>
      <c r="Z73" s="34">
        <v>2.3471581163086501</v>
      </c>
      <c r="AA73" s="34">
        <v>2.34549513532105</v>
      </c>
      <c r="AB73" s="33">
        <v>107.046884151402</v>
      </c>
      <c r="AC73" s="33">
        <v>107.033814077184</v>
      </c>
      <c r="AD73" s="33">
        <v>106.949390615863</v>
      </c>
      <c r="AE73" s="15">
        <v>6.2500702979612999E-4</v>
      </c>
      <c r="AF73" s="15">
        <v>5.0290284812453095E-4</v>
      </c>
      <c r="AG73" s="15">
        <v>-2.86163432310072E-4</v>
      </c>
      <c r="AI73" s="12"/>
      <c r="AJ73">
        <f t="shared" si="6"/>
        <v>0</v>
      </c>
      <c r="AK73">
        <f t="shared" si="7"/>
        <v>0</v>
      </c>
      <c r="AL73">
        <f t="shared" si="14"/>
        <v>1</v>
      </c>
      <c r="AM73">
        <f t="shared" si="4"/>
        <v>1</v>
      </c>
      <c r="AN73">
        <f t="shared" si="15"/>
        <v>1</v>
      </c>
      <c r="AO73" s="28">
        <f t="shared" si="8"/>
        <v>6.58111244549324E-4</v>
      </c>
      <c r="AP73" s="28">
        <f t="shared" si="9"/>
        <v>-9.3519131476854601E-4</v>
      </c>
      <c r="AQ73" s="28">
        <f t="shared" si="16"/>
        <v>-2.7708007021922201E-4</v>
      </c>
      <c r="AR73" s="29">
        <f t="shared" si="17"/>
        <v>9.6468995960200653E-3</v>
      </c>
      <c r="AT73" s="12"/>
      <c r="AU73">
        <f t="shared" si="10"/>
        <v>0</v>
      </c>
      <c r="AV73">
        <f t="shared" si="11"/>
        <v>1</v>
      </c>
      <c r="AW73">
        <f t="shared" si="18"/>
        <v>0</v>
      </c>
      <c r="AX73">
        <f t="shared" si="5"/>
        <v>1</v>
      </c>
      <c r="AY73">
        <f t="shared" si="19"/>
        <v>0</v>
      </c>
      <c r="AZ73" s="28">
        <f t="shared" si="12"/>
        <v>0</v>
      </c>
      <c r="BA73" s="28">
        <f t="shared" si="13"/>
        <v>0</v>
      </c>
      <c r="BB73" s="28">
        <f t="shared" si="20"/>
        <v>0</v>
      </c>
      <c r="BC73" s="29">
        <f t="shared" si="21"/>
        <v>2.4791005795024635E-3</v>
      </c>
      <c r="BE73" s="29">
        <f t="shared" si="22"/>
        <v>-2.7708007021922201E-4</v>
      </c>
      <c r="BF73" s="29">
        <f t="shared" si="23"/>
        <v>1.2126000175522527E-2</v>
      </c>
      <c r="BH73" s="29"/>
    </row>
    <row r="74" spans="1:60" x14ac:dyDescent="0.25">
      <c r="A74" s="1">
        <v>46129</v>
      </c>
      <c r="B74" s="33">
        <v>45.76</v>
      </c>
      <c r="C74" s="33">
        <v>107.37</v>
      </c>
      <c r="D74" s="15">
        <v>3.5026305512020702E-3</v>
      </c>
      <c r="E74" s="15">
        <v>3.6389123429400099E-3</v>
      </c>
      <c r="F74" s="33">
        <v>0</v>
      </c>
      <c r="G74" s="33">
        <v>0.40132000000000001</v>
      </c>
      <c r="H74" s="33">
        <v>0</v>
      </c>
      <c r="I74" s="33">
        <v>0.85338999999999898</v>
      </c>
      <c r="J74" s="33">
        <v>0</v>
      </c>
      <c r="K74" s="33">
        <v>0</v>
      </c>
      <c r="L74" s="33">
        <v>45.76</v>
      </c>
      <c r="M74" s="33">
        <v>107.37</v>
      </c>
      <c r="N74" s="34">
        <v>2.3463723776223699</v>
      </c>
      <c r="O74" s="34">
        <v>2.3475193892851398</v>
      </c>
      <c r="P74" s="34">
        <v>2.3470290401379099</v>
      </c>
      <c r="Q74" s="34">
        <v>2.34573069481142</v>
      </c>
      <c r="R74" s="33">
        <v>107.422487253688</v>
      </c>
      <c r="S74" s="33">
        <v>107.405955402283</v>
      </c>
      <c r="T74" s="33">
        <v>107.329857392291</v>
      </c>
      <c r="U74" s="15">
        <v>4.8872523805796903E-4</v>
      </c>
      <c r="V74" s="15">
        <v>3.3481776442347699E-4</v>
      </c>
      <c r="W74" s="15">
        <v>-3.7394163800486999E-4</v>
      </c>
      <c r="X74" s="34">
        <v>2.3463723776223699</v>
      </c>
      <c r="Y74" s="34">
        <v>2.3475193892851398</v>
      </c>
      <c r="Z74" s="34">
        <v>2.3470290401379099</v>
      </c>
      <c r="AA74" s="34">
        <v>2.34573069481142</v>
      </c>
      <c r="AB74" s="33">
        <v>107.422487253688</v>
      </c>
      <c r="AC74" s="33">
        <v>107.405955402283</v>
      </c>
      <c r="AD74" s="33">
        <v>107.329857392291</v>
      </c>
      <c r="AE74" s="15">
        <v>4.8872523805796903E-4</v>
      </c>
      <c r="AF74" s="15">
        <v>3.3481776442347699E-4</v>
      </c>
      <c r="AG74" s="15">
        <v>-3.7394163800486999E-4</v>
      </c>
      <c r="AI74" s="12"/>
      <c r="AJ74">
        <f t="shared" si="6"/>
        <v>0</v>
      </c>
      <c r="AK74">
        <f t="shared" si="7"/>
        <v>0</v>
      </c>
      <c r="AL74">
        <f t="shared" si="14"/>
        <v>1</v>
      </c>
      <c r="AM74">
        <f t="shared" si="4"/>
        <v>1</v>
      </c>
      <c r="AN74">
        <f t="shared" si="15"/>
        <v>1</v>
      </c>
      <c r="AO74" s="28">
        <f t="shared" si="8"/>
        <v>3.5026305512020702E-3</v>
      </c>
      <c r="AP74" s="28">
        <f t="shared" si="9"/>
        <v>-3.6389123429400099E-3</v>
      </c>
      <c r="AQ74" s="28">
        <f t="shared" si="16"/>
        <v>-1.3628179173793978E-4</v>
      </c>
      <c r="AR74" s="29">
        <f t="shared" si="17"/>
        <v>9.510617804282126E-3</v>
      </c>
      <c r="AT74" s="12"/>
      <c r="AU74">
        <f t="shared" si="10"/>
        <v>0</v>
      </c>
      <c r="AV74">
        <f t="shared" si="11"/>
        <v>1</v>
      </c>
      <c r="AW74">
        <f t="shared" si="18"/>
        <v>0</v>
      </c>
      <c r="AX74">
        <f t="shared" si="5"/>
        <v>1</v>
      </c>
      <c r="AY74">
        <f t="shared" si="19"/>
        <v>0</v>
      </c>
      <c r="AZ74" s="28">
        <f t="shared" si="12"/>
        <v>0</v>
      </c>
      <c r="BA74" s="28">
        <f t="shared" si="13"/>
        <v>0</v>
      </c>
      <c r="BB74" s="28">
        <f t="shared" si="20"/>
        <v>0</v>
      </c>
      <c r="BC74" s="29">
        <f t="shared" si="21"/>
        <v>2.4791005795024635E-3</v>
      </c>
      <c r="BE74" s="29">
        <f t="shared" si="22"/>
        <v>-1.3628179173793978E-4</v>
      </c>
      <c r="BF74" s="29">
        <f t="shared" si="23"/>
        <v>1.1989718383784587E-2</v>
      </c>
      <c r="BH74" s="29"/>
    </row>
    <row r="75" spans="1:60" x14ac:dyDescent="0.25">
      <c r="A75" s="1">
        <v>46132</v>
      </c>
      <c r="B75" s="33">
        <v>45.74</v>
      </c>
      <c r="C75" s="33">
        <v>107.42</v>
      </c>
      <c r="D75" s="15">
        <v>-4.3715847690724502E-4</v>
      </c>
      <c r="E75" s="15">
        <v>4.6557103126916398E-4</v>
      </c>
      <c r="F75" s="33">
        <v>0</v>
      </c>
      <c r="G75" s="33">
        <v>0.40132000000000001</v>
      </c>
      <c r="H75" s="33">
        <v>0</v>
      </c>
      <c r="I75" s="33">
        <v>0.85338999999999898</v>
      </c>
      <c r="J75" s="33">
        <v>0</v>
      </c>
      <c r="K75" s="33">
        <v>0</v>
      </c>
      <c r="L75" s="33">
        <v>45.74</v>
      </c>
      <c r="M75" s="33">
        <v>107.42</v>
      </c>
      <c r="N75" s="34">
        <v>2.34849147354613</v>
      </c>
      <c r="O75" s="34">
        <v>2.3475193892851398</v>
      </c>
      <c r="P75" s="34">
        <v>2.3470447438569599</v>
      </c>
      <c r="Q75" s="34">
        <v>2.3459463264789799</v>
      </c>
      <c r="R75" s="33">
        <v>107.37553686590201</v>
      </c>
      <c r="S75" s="33">
        <v>107.353108295908</v>
      </c>
      <c r="T75" s="33">
        <v>107.29372198067399</v>
      </c>
      <c r="U75" s="15">
        <v>-4.1400427011847001E-4</v>
      </c>
      <c r="V75" s="15">
        <v>-6.2290578914285597E-4</v>
      </c>
      <c r="W75" s="15">
        <v>-1.1762455861699401E-3</v>
      </c>
      <c r="X75" s="34">
        <v>2.34849147354613</v>
      </c>
      <c r="Y75" s="34">
        <v>2.3475193892851398</v>
      </c>
      <c r="Z75" s="34">
        <v>2.3470447438569599</v>
      </c>
      <c r="AA75" s="34">
        <v>2.3459463264789799</v>
      </c>
      <c r="AB75" s="33">
        <v>107.37553686590201</v>
      </c>
      <c r="AC75" s="33">
        <v>107.353108295908</v>
      </c>
      <c r="AD75" s="33">
        <v>107.29372198067399</v>
      </c>
      <c r="AE75" s="15">
        <v>-4.1400427011847001E-4</v>
      </c>
      <c r="AF75" s="15">
        <v>-6.2290578914285597E-4</v>
      </c>
      <c r="AG75" s="15">
        <v>-1.1762455861699401E-3</v>
      </c>
      <c r="AI75" s="12"/>
      <c r="AJ75">
        <f t="shared" si="6"/>
        <v>1</v>
      </c>
      <c r="AK75">
        <f t="shared" si="7"/>
        <v>0</v>
      </c>
      <c r="AL75">
        <f t="shared" si="14"/>
        <v>1</v>
      </c>
      <c r="AM75">
        <f t="shared" si="4"/>
        <v>1</v>
      </c>
      <c r="AN75">
        <f t="shared" si="15"/>
        <v>1</v>
      </c>
      <c r="AO75" s="28">
        <f t="shared" si="8"/>
        <v>-4.3715847690724502E-4</v>
      </c>
      <c r="AP75" s="28">
        <f t="shared" si="9"/>
        <v>-4.6557103126916398E-4</v>
      </c>
      <c r="AQ75" s="28">
        <f t="shared" si="16"/>
        <v>-9.0272950817640906E-4</v>
      </c>
      <c r="AR75" s="29">
        <f t="shared" si="17"/>
        <v>8.6078882961057174E-3</v>
      </c>
      <c r="AT75" s="12"/>
      <c r="AU75">
        <f t="shared" si="10"/>
        <v>0</v>
      </c>
      <c r="AV75">
        <f t="shared" si="11"/>
        <v>1</v>
      </c>
      <c r="AW75">
        <f t="shared" si="18"/>
        <v>0</v>
      </c>
      <c r="AX75">
        <f t="shared" si="5"/>
        <v>1</v>
      </c>
      <c r="AY75">
        <f t="shared" si="19"/>
        <v>0</v>
      </c>
      <c r="AZ75" s="28">
        <f t="shared" si="12"/>
        <v>0</v>
      </c>
      <c r="BA75" s="28">
        <f t="shared" si="13"/>
        <v>0</v>
      </c>
      <c r="BB75" s="28">
        <f t="shared" si="20"/>
        <v>0</v>
      </c>
      <c r="BC75" s="29">
        <f t="shared" si="21"/>
        <v>2.4791005795024635E-3</v>
      </c>
      <c r="BE75" s="29">
        <f t="shared" si="22"/>
        <v>-9.0272950817640906E-4</v>
      </c>
      <c r="BF75" s="29">
        <f t="shared" si="23"/>
        <v>1.1086988875608179E-2</v>
      </c>
      <c r="BH75" s="29"/>
    </row>
    <row r="76" spans="1:60" x14ac:dyDescent="0.25">
      <c r="A76" s="1">
        <v>46133</v>
      </c>
      <c r="B76" s="33">
        <v>45.66</v>
      </c>
      <c r="C76" s="33">
        <v>107.24</v>
      </c>
      <c r="D76" s="15">
        <v>-1.7505474929856899E-3</v>
      </c>
      <c r="E76" s="15">
        <v>-1.6770711095548201E-3</v>
      </c>
      <c r="F76" s="33">
        <v>0</v>
      </c>
      <c r="G76" s="33">
        <v>0.40132000000000001</v>
      </c>
      <c r="H76" s="33">
        <v>0</v>
      </c>
      <c r="I76" s="33">
        <v>0.85338999999999898</v>
      </c>
      <c r="J76" s="33">
        <v>0</v>
      </c>
      <c r="K76" s="33">
        <v>0</v>
      </c>
      <c r="L76" s="33">
        <v>45.66</v>
      </c>
      <c r="M76" s="33">
        <v>107.24</v>
      </c>
      <c r="N76" s="34">
        <v>2.34866403854577</v>
      </c>
      <c r="O76" s="34">
        <v>2.3475193892851398</v>
      </c>
      <c r="P76" s="34">
        <v>2.34702025064299</v>
      </c>
      <c r="Q76" s="34">
        <v>2.3460586904790399</v>
      </c>
      <c r="R76" s="33">
        <v>107.187735314759</v>
      </c>
      <c r="S76" s="33">
        <v>107.166063004508</v>
      </c>
      <c r="T76" s="33">
        <v>107.11590926703001</v>
      </c>
      <c r="U76" s="15">
        <v>-4.8748065354941298E-4</v>
      </c>
      <c r="V76" s="15">
        <v>-6.8969130243682003E-4</v>
      </c>
      <c r="W76" s="15">
        <v>-1.15780103525649E-3</v>
      </c>
      <c r="X76" s="34">
        <v>2.34866403854577</v>
      </c>
      <c r="Y76" s="34">
        <v>2.3475193892851398</v>
      </c>
      <c r="Z76" s="34">
        <v>2.34702025064299</v>
      </c>
      <c r="AA76" s="34">
        <v>2.3460586904790399</v>
      </c>
      <c r="AB76" s="33">
        <v>107.187735314759</v>
      </c>
      <c r="AC76" s="33">
        <v>107.166063004508</v>
      </c>
      <c r="AD76" s="33">
        <v>107.11590926703001</v>
      </c>
      <c r="AE76" s="15">
        <v>-4.8748065354941298E-4</v>
      </c>
      <c r="AF76" s="15">
        <v>-6.8969130243682003E-4</v>
      </c>
      <c r="AG76" s="15">
        <v>-1.15780103525649E-3</v>
      </c>
      <c r="AI76" s="12"/>
      <c r="AJ76">
        <f t="shared" si="6"/>
        <v>1</v>
      </c>
      <c r="AK76">
        <f t="shared" si="7"/>
        <v>0</v>
      </c>
      <c r="AL76">
        <f t="shared" si="14"/>
        <v>1</v>
      </c>
      <c r="AM76">
        <f t="shared" si="4"/>
        <v>1</v>
      </c>
      <c r="AN76">
        <f t="shared" si="15"/>
        <v>1</v>
      </c>
      <c r="AO76" s="28">
        <f t="shared" si="8"/>
        <v>-1.7505474929856899E-3</v>
      </c>
      <c r="AP76" s="28">
        <f t="shared" si="9"/>
        <v>1.6770711095548201E-3</v>
      </c>
      <c r="AQ76" s="28">
        <f t="shared" si="16"/>
        <v>-7.3476383430869791E-5</v>
      </c>
      <c r="AR76" s="29">
        <f t="shared" si="17"/>
        <v>8.5344119126748476E-3</v>
      </c>
      <c r="AT76" s="12"/>
      <c r="AU76">
        <f t="shared" si="10"/>
        <v>0</v>
      </c>
      <c r="AV76">
        <f t="shared" si="11"/>
        <v>1</v>
      </c>
      <c r="AW76">
        <f t="shared" si="18"/>
        <v>0</v>
      </c>
      <c r="AX76">
        <f t="shared" si="5"/>
        <v>1</v>
      </c>
      <c r="AY76">
        <f t="shared" si="19"/>
        <v>0</v>
      </c>
      <c r="AZ76" s="28">
        <f t="shared" si="12"/>
        <v>0</v>
      </c>
      <c r="BA76" s="28">
        <f t="shared" si="13"/>
        <v>0</v>
      </c>
      <c r="BB76" s="28">
        <f t="shared" si="20"/>
        <v>0</v>
      </c>
      <c r="BC76" s="29">
        <f t="shared" si="21"/>
        <v>2.4791005795024635E-3</v>
      </c>
      <c r="BE76" s="29">
        <f t="shared" si="22"/>
        <v>-7.3476383430869791E-5</v>
      </c>
      <c r="BF76" s="29">
        <f t="shared" si="23"/>
        <v>1.1013512492177309E-2</v>
      </c>
      <c r="BH76" s="29"/>
    </row>
    <row r="77" spans="1:60" x14ac:dyDescent="0.25">
      <c r="A77" s="1">
        <v>46134</v>
      </c>
      <c r="B77" s="33">
        <v>45.7</v>
      </c>
      <c r="C77" s="33">
        <v>107.31</v>
      </c>
      <c r="D77" s="15">
        <v>8.7565679850966404E-4</v>
      </c>
      <c r="E77" s="15">
        <v>6.5252857127765798E-4</v>
      </c>
      <c r="F77" s="33">
        <v>0</v>
      </c>
      <c r="G77" s="33">
        <v>0.40132000000000001</v>
      </c>
      <c r="H77" s="33">
        <v>0</v>
      </c>
      <c r="I77" s="33">
        <v>0.85338999999999898</v>
      </c>
      <c r="J77" s="33">
        <v>0</v>
      </c>
      <c r="K77" s="33">
        <v>0</v>
      </c>
      <c r="L77" s="33">
        <v>45.7</v>
      </c>
      <c r="M77" s="33">
        <v>107.31</v>
      </c>
      <c r="N77" s="34">
        <v>2.3481400437636699</v>
      </c>
      <c r="O77" s="34">
        <v>2.3475193892851398</v>
      </c>
      <c r="P77" s="34">
        <v>2.34709370972472</v>
      </c>
      <c r="Q77" s="34">
        <v>2.34631491661401</v>
      </c>
      <c r="R77" s="33">
        <v>107.28163609033101</v>
      </c>
      <c r="S77" s="33">
        <v>107.258825454384</v>
      </c>
      <c r="T77" s="33">
        <v>107.214882154892</v>
      </c>
      <c r="U77" s="15">
        <v>-2.6435242631729498E-4</v>
      </c>
      <c r="V77" s="15">
        <v>-4.7699889746055202E-4</v>
      </c>
      <c r="W77" s="15">
        <v>-8.8677686602478697E-4</v>
      </c>
      <c r="X77" s="34">
        <v>2.3481400437636699</v>
      </c>
      <c r="Y77" s="34">
        <v>2.3475193892851398</v>
      </c>
      <c r="Z77" s="34">
        <v>2.34709370972472</v>
      </c>
      <c r="AA77" s="34">
        <v>2.34631491661401</v>
      </c>
      <c r="AB77" s="33">
        <v>107.28163609033101</v>
      </c>
      <c r="AC77" s="33">
        <v>107.258825454384</v>
      </c>
      <c r="AD77" s="33">
        <v>107.214882154892</v>
      </c>
      <c r="AE77" s="15">
        <v>-2.6435242631729498E-4</v>
      </c>
      <c r="AF77" s="15">
        <v>-4.7699889746055202E-4</v>
      </c>
      <c r="AG77" s="15">
        <v>-8.8677686602478697E-4</v>
      </c>
      <c r="AI77" s="12"/>
      <c r="AJ77">
        <f t="shared" si="6"/>
        <v>0</v>
      </c>
      <c r="AK77">
        <f t="shared" si="7"/>
        <v>0</v>
      </c>
      <c r="AL77">
        <f t="shared" si="14"/>
        <v>1</v>
      </c>
      <c r="AM77">
        <f t="shared" si="4"/>
        <v>1</v>
      </c>
      <c r="AN77">
        <f t="shared" si="15"/>
        <v>1</v>
      </c>
      <c r="AO77" s="28">
        <f t="shared" si="8"/>
        <v>8.7565679850966404E-4</v>
      </c>
      <c r="AP77" s="28">
        <f t="shared" si="9"/>
        <v>-6.5252857127765798E-4</v>
      </c>
      <c r="AQ77" s="28">
        <f t="shared" si="16"/>
        <v>2.2312822723200606E-4</v>
      </c>
      <c r="AR77" s="29">
        <f t="shared" si="17"/>
        <v>8.7575401399068529E-3</v>
      </c>
      <c r="AT77" s="12"/>
      <c r="AU77">
        <f t="shared" si="10"/>
        <v>0</v>
      </c>
      <c r="AV77">
        <f t="shared" si="11"/>
        <v>1</v>
      </c>
      <c r="AW77">
        <f t="shared" si="18"/>
        <v>0</v>
      </c>
      <c r="AX77">
        <f t="shared" si="5"/>
        <v>1</v>
      </c>
      <c r="AY77">
        <f t="shared" si="19"/>
        <v>0</v>
      </c>
      <c r="AZ77" s="28">
        <f t="shared" si="12"/>
        <v>0</v>
      </c>
      <c r="BA77" s="28">
        <f t="shared" si="13"/>
        <v>0</v>
      </c>
      <c r="BB77" s="28">
        <f t="shared" si="20"/>
        <v>0</v>
      </c>
      <c r="BC77" s="29">
        <f t="shared" si="21"/>
        <v>2.4791005795024635E-3</v>
      </c>
      <c r="BE77" s="29">
        <f t="shared" si="22"/>
        <v>2.2312822723200606E-4</v>
      </c>
      <c r="BF77" s="29">
        <f t="shared" si="23"/>
        <v>1.1236640719409314E-2</v>
      </c>
      <c r="BH77" s="29"/>
    </row>
    <row r="78" spans="1:60" x14ac:dyDescent="0.25">
      <c r="A78" s="1">
        <v>46135</v>
      </c>
      <c r="B78" s="33">
        <v>45.7</v>
      </c>
      <c r="C78" s="33">
        <v>107.33</v>
      </c>
      <c r="D78" s="15">
        <v>0</v>
      </c>
      <c r="E78" s="15">
        <v>1.8635855439682399E-4</v>
      </c>
      <c r="F78" s="33">
        <v>0</v>
      </c>
      <c r="G78" s="33">
        <v>0.40132000000000001</v>
      </c>
      <c r="H78" s="33">
        <v>0</v>
      </c>
      <c r="I78" s="33">
        <v>0.85338999999999898</v>
      </c>
      <c r="J78" s="33">
        <v>0</v>
      </c>
      <c r="K78" s="33">
        <v>0</v>
      </c>
      <c r="L78" s="33">
        <v>45.7</v>
      </c>
      <c r="M78" s="33">
        <v>107.33</v>
      </c>
      <c r="N78" s="34">
        <v>2.3485776805251599</v>
      </c>
      <c r="O78" s="34">
        <v>2.3475193892851398</v>
      </c>
      <c r="P78" s="34">
        <v>2.3470447818387101</v>
      </c>
      <c r="Q78" s="34">
        <v>2.3464871634721298</v>
      </c>
      <c r="R78" s="33">
        <v>107.28163609033101</v>
      </c>
      <c r="S78" s="33">
        <v>107.262182534419</v>
      </c>
      <c r="T78" s="33">
        <v>107.22659168926</v>
      </c>
      <c r="U78" s="15">
        <v>-4.5071098071420098E-4</v>
      </c>
      <c r="V78" s="15">
        <v>-6.3205907164824498E-4</v>
      </c>
      <c r="W78" s="15">
        <v>-9.6392581493055199E-4</v>
      </c>
      <c r="X78" s="34">
        <v>2.3485776805251599</v>
      </c>
      <c r="Y78" s="34">
        <v>2.3475193892851398</v>
      </c>
      <c r="Z78" s="34">
        <v>2.3470447818387101</v>
      </c>
      <c r="AA78" s="34">
        <v>2.3464871634721298</v>
      </c>
      <c r="AB78" s="33">
        <v>107.28163609033101</v>
      </c>
      <c r="AC78" s="33">
        <v>107.262182534419</v>
      </c>
      <c r="AD78" s="33">
        <v>107.22659168926</v>
      </c>
      <c r="AE78" s="15">
        <v>-4.5071098071420098E-4</v>
      </c>
      <c r="AF78" s="15">
        <v>-6.3205907164824498E-4</v>
      </c>
      <c r="AG78" s="15">
        <v>-9.6392581493055199E-4</v>
      </c>
      <c r="AI78" s="12"/>
      <c r="AJ78">
        <f t="shared" si="6"/>
        <v>0</v>
      </c>
      <c r="AK78">
        <f t="shared" si="7"/>
        <v>0</v>
      </c>
      <c r="AL78">
        <f t="shared" si="14"/>
        <v>1</v>
      </c>
      <c r="AM78">
        <f t="shared" si="4"/>
        <v>1</v>
      </c>
      <c r="AN78">
        <f t="shared" si="15"/>
        <v>1</v>
      </c>
      <c r="AO78" s="28">
        <f t="shared" si="8"/>
        <v>0</v>
      </c>
      <c r="AP78" s="28">
        <f t="shared" si="9"/>
        <v>-1.8635855439682399E-4</v>
      </c>
      <c r="AQ78" s="28">
        <f t="shared" si="16"/>
        <v>-1.8635855439682399E-4</v>
      </c>
      <c r="AR78" s="29">
        <f t="shared" si="17"/>
        <v>8.5711815855100282E-3</v>
      </c>
      <c r="AT78" s="12"/>
      <c r="AU78">
        <f t="shared" si="10"/>
        <v>0</v>
      </c>
      <c r="AV78">
        <f t="shared" si="11"/>
        <v>1</v>
      </c>
      <c r="AW78">
        <f t="shared" si="18"/>
        <v>0</v>
      </c>
      <c r="AX78">
        <f t="shared" si="5"/>
        <v>1</v>
      </c>
      <c r="AY78">
        <f t="shared" si="19"/>
        <v>0</v>
      </c>
      <c r="AZ78" s="28">
        <f t="shared" si="12"/>
        <v>0</v>
      </c>
      <c r="BA78" s="28">
        <f t="shared" si="13"/>
        <v>0</v>
      </c>
      <c r="BB78" s="28">
        <f t="shared" si="20"/>
        <v>0</v>
      </c>
      <c r="BC78" s="29">
        <f t="shared" si="21"/>
        <v>2.4791005795024635E-3</v>
      </c>
      <c r="BE78" s="29">
        <f t="shared" si="22"/>
        <v>-1.8635855439682399E-4</v>
      </c>
      <c r="BF78" s="29">
        <f t="shared" si="23"/>
        <v>1.105028216501249E-2</v>
      </c>
      <c r="BH78" s="29"/>
    </row>
    <row r="79" spans="1:60" x14ac:dyDescent="0.25">
      <c r="A79" s="1">
        <v>46136</v>
      </c>
      <c r="B79" s="33">
        <v>45.75</v>
      </c>
      <c r="C79" s="33">
        <v>107.37</v>
      </c>
      <c r="D79" s="15">
        <v>1.0934938213712801E-3</v>
      </c>
      <c r="E79" s="15">
        <v>3.7261295261118398E-4</v>
      </c>
      <c r="F79" s="33">
        <v>0</v>
      </c>
      <c r="G79" s="33">
        <v>0.40132000000000001</v>
      </c>
      <c r="H79" s="33">
        <v>0</v>
      </c>
      <c r="I79" s="33">
        <v>0.85338999999999898</v>
      </c>
      <c r="J79" s="33">
        <v>0</v>
      </c>
      <c r="K79" s="33">
        <v>0</v>
      </c>
      <c r="L79" s="33">
        <v>45.75</v>
      </c>
      <c r="M79" s="33">
        <v>107.37</v>
      </c>
      <c r="N79" s="34">
        <v>2.3468852459016301</v>
      </c>
      <c r="O79" s="34">
        <v>2.3475193892851398</v>
      </c>
      <c r="P79" s="34">
        <v>2.3472808157551799</v>
      </c>
      <c r="Q79" s="34">
        <v>2.34668032747566</v>
      </c>
      <c r="R79" s="33">
        <v>107.399012059795</v>
      </c>
      <c r="S79" s="33">
        <v>107.377298769121</v>
      </c>
      <c r="T79" s="33">
        <v>107.351787728849</v>
      </c>
      <c r="U79" s="15">
        <v>2.7016988804596501E-4</v>
      </c>
      <c r="V79" s="15">
        <v>6.7975421956009805E-5</v>
      </c>
      <c r="W79" s="15">
        <v>-1.6963598697947101E-4</v>
      </c>
      <c r="X79" s="34">
        <v>2.3468852459016301</v>
      </c>
      <c r="Y79" s="34">
        <v>2.3475193892851398</v>
      </c>
      <c r="Z79" s="34">
        <v>2.3472808157551799</v>
      </c>
      <c r="AA79" s="34">
        <v>2.34668032747566</v>
      </c>
      <c r="AB79" s="33">
        <v>107.399012059795</v>
      </c>
      <c r="AC79" s="33">
        <v>107.377298769121</v>
      </c>
      <c r="AD79" s="33">
        <v>107.351787728849</v>
      </c>
      <c r="AE79" s="15">
        <v>2.7016988804596501E-4</v>
      </c>
      <c r="AF79" s="15">
        <v>6.7975421956009805E-5</v>
      </c>
      <c r="AG79" s="15">
        <v>-1.6963598697947101E-4</v>
      </c>
      <c r="AI79" s="12"/>
      <c r="AJ79">
        <f t="shared" si="6"/>
        <v>0</v>
      </c>
      <c r="AK79">
        <f t="shared" si="7"/>
        <v>0</v>
      </c>
      <c r="AL79">
        <f t="shared" si="14"/>
        <v>1</v>
      </c>
      <c r="AM79">
        <f t="shared" si="4"/>
        <v>1</v>
      </c>
      <c r="AN79">
        <f t="shared" si="15"/>
        <v>1</v>
      </c>
      <c r="AO79" s="28">
        <f t="shared" si="8"/>
        <v>1.0934938213712801E-3</v>
      </c>
      <c r="AP79" s="28">
        <f t="shared" si="9"/>
        <v>-3.7261295261118398E-4</v>
      </c>
      <c r="AQ79" s="28">
        <f t="shared" si="16"/>
        <v>7.2088086876009611E-4</v>
      </c>
      <c r="AR79" s="29">
        <f t="shared" si="17"/>
        <v>9.2920624542701252E-3</v>
      </c>
      <c r="AT79" s="12"/>
      <c r="AU79">
        <f t="shared" si="10"/>
        <v>0</v>
      </c>
      <c r="AV79">
        <f t="shared" si="11"/>
        <v>1</v>
      </c>
      <c r="AW79">
        <f t="shared" si="18"/>
        <v>0</v>
      </c>
      <c r="AX79">
        <f t="shared" si="5"/>
        <v>1</v>
      </c>
      <c r="AY79">
        <f t="shared" si="19"/>
        <v>0</v>
      </c>
      <c r="AZ79" s="28">
        <f t="shared" si="12"/>
        <v>0</v>
      </c>
      <c r="BA79" s="28">
        <f t="shared" si="13"/>
        <v>0</v>
      </c>
      <c r="BB79" s="28">
        <f t="shared" si="20"/>
        <v>0</v>
      </c>
      <c r="BC79" s="29">
        <f t="shared" si="21"/>
        <v>2.4791005795024635E-3</v>
      </c>
      <c r="BE79" s="29">
        <f t="shared" si="22"/>
        <v>7.2088086876009611E-4</v>
      </c>
      <c r="BF79" s="29">
        <f t="shared" si="23"/>
        <v>1.1771163033772587E-2</v>
      </c>
      <c r="BH79" s="29"/>
    </row>
    <row r="80" spans="1:60" x14ac:dyDescent="0.25">
      <c r="A80" s="1">
        <v>46139</v>
      </c>
      <c r="B80" s="33">
        <v>45.74</v>
      </c>
      <c r="C80" s="33">
        <v>107.41</v>
      </c>
      <c r="D80" s="15">
        <v>-2.18603126895156E-4</v>
      </c>
      <c r="E80" s="15">
        <v>3.72474163911375E-4</v>
      </c>
      <c r="F80" s="33">
        <v>0</v>
      </c>
      <c r="G80" s="33">
        <v>0.40132000000000001</v>
      </c>
      <c r="H80" s="33">
        <v>0</v>
      </c>
      <c r="I80" s="33">
        <v>0.85338999999999898</v>
      </c>
      <c r="J80" s="33">
        <v>0</v>
      </c>
      <c r="K80" s="33">
        <v>0</v>
      </c>
      <c r="L80" s="33">
        <v>45.74</v>
      </c>
      <c r="M80" s="33">
        <v>107.41</v>
      </c>
      <c r="N80" s="34">
        <v>2.3482728465238298</v>
      </c>
      <c r="O80" s="34">
        <v>2.3475193892851398</v>
      </c>
      <c r="P80" s="34">
        <v>2.3474589776005499</v>
      </c>
      <c r="Q80" s="34">
        <v>2.34697645317214</v>
      </c>
      <c r="R80" s="33">
        <v>107.37553686590201</v>
      </c>
      <c r="S80" s="33">
        <v>107.364624512642</v>
      </c>
      <c r="T80" s="33">
        <v>107.337158178736</v>
      </c>
      <c r="U80" s="15">
        <v>-3.2090740276074099E-4</v>
      </c>
      <c r="V80" s="15">
        <v>-4.2254049458443E-4</v>
      </c>
      <c r="W80" s="15">
        <v>-6.7839616295197998E-4</v>
      </c>
      <c r="X80" s="34">
        <v>2.3482728465238298</v>
      </c>
      <c r="Y80" s="34">
        <v>2.3475193892851398</v>
      </c>
      <c r="Z80" s="34">
        <v>2.3474589776005499</v>
      </c>
      <c r="AA80" s="34">
        <v>2.34697645317214</v>
      </c>
      <c r="AB80" s="33">
        <v>107.37553686590201</v>
      </c>
      <c r="AC80" s="33">
        <v>107.364624512642</v>
      </c>
      <c r="AD80" s="33">
        <v>107.337158178736</v>
      </c>
      <c r="AE80" s="15">
        <v>-3.2090740276074099E-4</v>
      </c>
      <c r="AF80" s="15">
        <v>-4.2254049458443E-4</v>
      </c>
      <c r="AG80" s="15">
        <v>-6.7839616295197998E-4</v>
      </c>
      <c r="AI80" s="12"/>
      <c r="AJ80">
        <f t="shared" si="6"/>
        <v>0</v>
      </c>
      <c r="AK80">
        <f t="shared" si="7"/>
        <v>0</v>
      </c>
      <c r="AL80">
        <f t="shared" si="14"/>
        <v>1</v>
      </c>
      <c r="AM80">
        <f t="shared" si="4"/>
        <v>1</v>
      </c>
      <c r="AN80">
        <f t="shared" si="15"/>
        <v>1</v>
      </c>
      <c r="AO80" s="28">
        <f t="shared" si="8"/>
        <v>-2.18603126895156E-4</v>
      </c>
      <c r="AP80" s="28">
        <f t="shared" si="9"/>
        <v>-3.72474163911375E-4</v>
      </c>
      <c r="AQ80" s="28">
        <f t="shared" si="16"/>
        <v>-5.9107729080653095E-4</v>
      </c>
      <c r="AR80" s="29">
        <f t="shared" si="17"/>
        <v>8.7009851634635947E-3</v>
      </c>
      <c r="AT80" s="12"/>
      <c r="AU80">
        <f t="shared" si="10"/>
        <v>0</v>
      </c>
      <c r="AV80">
        <f t="shared" si="11"/>
        <v>1</v>
      </c>
      <c r="AW80">
        <f t="shared" si="18"/>
        <v>0</v>
      </c>
      <c r="AX80">
        <f t="shared" si="5"/>
        <v>1</v>
      </c>
      <c r="AY80">
        <f t="shared" si="19"/>
        <v>0</v>
      </c>
      <c r="AZ80" s="28">
        <f t="shared" si="12"/>
        <v>0</v>
      </c>
      <c r="BA80" s="28">
        <f t="shared" si="13"/>
        <v>0</v>
      </c>
      <c r="BB80" s="28">
        <f t="shared" si="20"/>
        <v>0</v>
      </c>
      <c r="BC80" s="29">
        <f t="shared" si="21"/>
        <v>2.4791005795024635E-3</v>
      </c>
      <c r="BE80" s="29">
        <f t="shared" si="22"/>
        <v>-5.9107729080653095E-4</v>
      </c>
      <c r="BF80" s="29">
        <f t="shared" si="23"/>
        <v>1.1180085742966056E-2</v>
      </c>
      <c r="BH80" s="29"/>
    </row>
    <row r="81" spans="1:60" x14ac:dyDescent="0.25">
      <c r="A81" s="1">
        <v>46140</v>
      </c>
      <c r="B81" s="33">
        <v>45.66</v>
      </c>
      <c r="C81" s="33">
        <v>107.3</v>
      </c>
      <c r="D81" s="15">
        <v>-1.7505474929856899E-3</v>
      </c>
      <c r="E81" s="15">
        <v>-1.0246379733028601E-3</v>
      </c>
      <c r="F81" s="33">
        <v>0</v>
      </c>
      <c r="G81" s="33">
        <v>0.40132000000000001</v>
      </c>
      <c r="H81" s="33">
        <v>0</v>
      </c>
      <c r="I81" s="33">
        <v>0.85338999999999898</v>
      </c>
      <c r="J81" s="33">
        <v>0</v>
      </c>
      <c r="K81" s="33">
        <v>0</v>
      </c>
      <c r="L81" s="33">
        <v>45.66</v>
      </c>
      <c r="M81" s="33">
        <v>107.3</v>
      </c>
      <c r="N81" s="34">
        <v>2.3499780989925498</v>
      </c>
      <c r="O81" s="34">
        <v>2.3475193892851398</v>
      </c>
      <c r="P81" s="34">
        <v>2.3476837114200002</v>
      </c>
      <c r="Q81" s="34">
        <v>2.3472480954530401</v>
      </c>
      <c r="R81" s="33">
        <v>107.187735314759</v>
      </c>
      <c r="S81" s="33">
        <v>107.184976917241</v>
      </c>
      <c r="T81" s="33">
        <v>107.16294485184</v>
      </c>
      <c r="U81" s="15">
        <v>-1.04681692244367E-3</v>
      </c>
      <c r="V81" s="15">
        <v>-1.0725515179530801E-3</v>
      </c>
      <c r="W81" s="15">
        <v>-1.27812445093778E-3</v>
      </c>
      <c r="X81" s="34">
        <v>2.3499780989925498</v>
      </c>
      <c r="Y81" s="34">
        <v>2.3475193892851398</v>
      </c>
      <c r="Z81" s="34">
        <v>2.3476837114200002</v>
      </c>
      <c r="AA81" s="34">
        <v>2.3472480954530401</v>
      </c>
      <c r="AB81" s="33">
        <v>107.187735314759</v>
      </c>
      <c r="AC81" s="33">
        <v>107.184976917241</v>
      </c>
      <c r="AD81" s="33">
        <v>107.16294485184</v>
      </c>
      <c r="AE81" s="15">
        <v>-1.04681692244367E-3</v>
      </c>
      <c r="AF81" s="15">
        <v>-1.0725515179530801E-3</v>
      </c>
      <c r="AG81" s="15">
        <v>-1.27812445093778E-3</v>
      </c>
      <c r="AI81" s="12"/>
      <c r="AJ81">
        <f t="shared" si="6"/>
        <v>1</v>
      </c>
      <c r="AK81">
        <f t="shared" si="7"/>
        <v>0</v>
      </c>
      <c r="AL81">
        <f t="shared" si="14"/>
        <v>1</v>
      </c>
      <c r="AM81">
        <f t="shared" si="4"/>
        <v>1</v>
      </c>
      <c r="AN81">
        <f t="shared" si="15"/>
        <v>1</v>
      </c>
      <c r="AO81" s="28">
        <f t="shared" si="8"/>
        <v>-1.7505474929856899E-3</v>
      </c>
      <c r="AP81" s="28">
        <f t="shared" si="9"/>
        <v>1.0246379733028601E-3</v>
      </c>
      <c r="AQ81" s="28">
        <f t="shared" si="16"/>
        <v>-7.2590951968282981E-4</v>
      </c>
      <c r="AR81" s="29">
        <f t="shared" si="17"/>
        <v>7.9750756437807647E-3</v>
      </c>
      <c r="AT81" s="12"/>
      <c r="AU81">
        <f t="shared" si="10"/>
        <v>0</v>
      </c>
      <c r="AV81">
        <f t="shared" si="11"/>
        <v>1</v>
      </c>
      <c r="AW81">
        <f t="shared" si="18"/>
        <v>0</v>
      </c>
      <c r="AX81">
        <f t="shared" si="5"/>
        <v>1</v>
      </c>
      <c r="AY81">
        <f t="shared" si="19"/>
        <v>0</v>
      </c>
      <c r="AZ81" s="28">
        <f t="shared" si="12"/>
        <v>0</v>
      </c>
      <c r="BA81" s="28">
        <f t="shared" si="13"/>
        <v>0</v>
      </c>
      <c r="BB81" s="28">
        <f t="shared" si="20"/>
        <v>0</v>
      </c>
      <c r="BC81" s="29">
        <f t="shared" si="21"/>
        <v>2.4791005795024635E-3</v>
      </c>
      <c r="BE81" s="29">
        <f t="shared" si="22"/>
        <v>-7.2590951968282981E-4</v>
      </c>
      <c r="BF81" s="29">
        <f t="shared" si="23"/>
        <v>1.0454176223283226E-2</v>
      </c>
      <c r="BH81" s="29"/>
    </row>
    <row r="82" spans="1:60" x14ac:dyDescent="0.25">
      <c r="A82" s="1">
        <v>46141</v>
      </c>
      <c r="B82" s="33">
        <v>45.52</v>
      </c>
      <c r="C82" s="33">
        <v>107.04</v>
      </c>
      <c r="D82" s="15">
        <v>-3.0708512835738401E-3</v>
      </c>
      <c r="E82" s="15">
        <v>-2.4260532567343799E-3</v>
      </c>
      <c r="F82" s="33">
        <v>0</v>
      </c>
      <c r="G82" s="33">
        <v>0.40132000000000001</v>
      </c>
      <c r="H82" s="33">
        <v>0</v>
      </c>
      <c r="I82" s="33">
        <v>0.85338999999999898</v>
      </c>
      <c r="J82" s="33">
        <v>0</v>
      </c>
      <c r="K82" s="33">
        <v>0</v>
      </c>
      <c r="L82" s="33">
        <v>45.52</v>
      </c>
      <c r="M82" s="33">
        <v>107.04</v>
      </c>
      <c r="N82" s="34">
        <v>2.3514938488576398</v>
      </c>
      <c r="O82" s="34">
        <v>2.3475193892851398</v>
      </c>
      <c r="P82" s="34">
        <v>2.34829282858577</v>
      </c>
      <c r="Q82" s="34">
        <v>2.34776279671815</v>
      </c>
      <c r="R82" s="33">
        <v>106.859082600259</v>
      </c>
      <c r="S82" s="33">
        <v>106.866562543838</v>
      </c>
      <c r="T82" s="33">
        <v>106.846733305022</v>
      </c>
      <c r="U82" s="15">
        <v>-1.69161494928318E-3</v>
      </c>
      <c r="V82" s="15">
        <v>-1.6216191977062801E-3</v>
      </c>
      <c r="W82" s="15">
        <v>-1.8071878006712899E-3</v>
      </c>
      <c r="X82" s="34">
        <v>2.3514938488576398</v>
      </c>
      <c r="Y82" s="34">
        <v>2.3475193892851398</v>
      </c>
      <c r="Z82" s="34">
        <v>2.34829282858577</v>
      </c>
      <c r="AA82" s="34">
        <v>2.34776279671815</v>
      </c>
      <c r="AB82" s="33">
        <v>106.859082600259</v>
      </c>
      <c r="AC82" s="33">
        <v>106.866562543838</v>
      </c>
      <c r="AD82" s="33">
        <v>106.846733305022</v>
      </c>
      <c r="AE82" s="15">
        <v>-1.69161494928318E-3</v>
      </c>
      <c r="AF82" s="15">
        <v>-1.6216191977062801E-3</v>
      </c>
      <c r="AG82" s="15">
        <v>-1.8071878006712899E-3</v>
      </c>
      <c r="AI82" s="12"/>
      <c r="AJ82">
        <f t="shared" si="6"/>
        <v>1</v>
      </c>
      <c r="AK82">
        <f t="shared" si="7"/>
        <v>0</v>
      </c>
      <c r="AL82">
        <f t="shared" si="14"/>
        <v>1</v>
      </c>
      <c r="AM82">
        <f t="shared" si="4"/>
        <v>1</v>
      </c>
      <c r="AN82">
        <f t="shared" si="15"/>
        <v>1</v>
      </c>
      <c r="AO82" s="28">
        <f t="shared" si="8"/>
        <v>-3.0708512835738401E-3</v>
      </c>
      <c r="AP82" s="28">
        <f t="shared" si="9"/>
        <v>2.4260532567343799E-3</v>
      </c>
      <c r="AQ82" s="28">
        <f t="shared" si="16"/>
        <v>-6.4479802683946015E-4</v>
      </c>
      <c r="AR82" s="29">
        <f t="shared" si="17"/>
        <v>7.330277616941305E-3</v>
      </c>
      <c r="AT82" s="12"/>
      <c r="AU82">
        <f t="shared" si="10"/>
        <v>0</v>
      </c>
      <c r="AV82">
        <f t="shared" si="11"/>
        <v>1</v>
      </c>
      <c r="AW82">
        <f t="shared" si="18"/>
        <v>0</v>
      </c>
      <c r="AX82">
        <f t="shared" si="5"/>
        <v>1</v>
      </c>
      <c r="AY82">
        <f t="shared" si="19"/>
        <v>0</v>
      </c>
      <c r="AZ82" s="28">
        <f t="shared" si="12"/>
        <v>0</v>
      </c>
      <c r="BA82" s="28">
        <f t="shared" si="13"/>
        <v>0</v>
      </c>
      <c r="BB82" s="28">
        <f t="shared" si="20"/>
        <v>0</v>
      </c>
      <c r="BC82" s="29">
        <f t="shared" si="21"/>
        <v>2.4791005795024635E-3</v>
      </c>
      <c r="BE82" s="29">
        <f t="shared" si="22"/>
        <v>-6.4479802683946015E-4</v>
      </c>
      <c r="BF82" s="29">
        <f t="shared" si="23"/>
        <v>9.8093781964437663E-3</v>
      </c>
      <c r="BH82" s="29"/>
    </row>
    <row r="83" spans="1:60" x14ac:dyDescent="0.25">
      <c r="A83" s="1">
        <v>46142</v>
      </c>
      <c r="B83" s="33">
        <v>45.58</v>
      </c>
      <c r="C83" s="33">
        <v>107.13</v>
      </c>
      <c r="D83" s="15">
        <v>1.3172339994625599E-3</v>
      </c>
      <c r="E83" s="15">
        <v>8.4045389454832497E-4</v>
      </c>
      <c r="F83" s="33">
        <v>0</v>
      </c>
      <c r="G83" s="33">
        <v>0.40132000000000001</v>
      </c>
      <c r="H83" s="33">
        <v>0</v>
      </c>
      <c r="I83" s="33">
        <v>0.85338999999999898</v>
      </c>
      <c r="J83" s="33">
        <v>0</v>
      </c>
      <c r="K83" s="33">
        <v>0</v>
      </c>
      <c r="L83" s="33">
        <v>45.58</v>
      </c>
      <c r="M83" s="33">
        <v>107.13</v>
      </c>
      <c r="N83" s="34">
        <v>2.35037297060114</v>
      </c>
      <c r="O83" s="34">
        <v>2.3475193892851398</v>
      </c>
      <c r="P83" s="34">
        <v>2.3487248624879902</v>
      </c>
      <c r="Q83" s="34">
        <v>2.3479414893983201</v>
      </c>
      <c r="R83" s="33">
        <v>106.99993376361699</v>
      </c>
      <c r="S83" s="33">
        <v>107.03518712693899</v>
      </c>
      <c r="T83" s="33">
        <v>107.01102827441299</v>
      </c>
      <c r="U83" s="15">
        <v>-1.21483484436892E-3</v>
      </c>
      <c r="V83" s="15">
        <v>-8.8541821877328596E-4</v>
      </c>
      <c r="W83" s="15">
        <v>-1.11115313852732E-3</v>
      </c>
      <c r="X83" s="34">
        <v>2.35037297060114</v>
      </c>
      <c r="Y83" s="34">
        <v>2.3475193892851398</v>
      </c>
      <c r="Z83" s="34">
        <v>2.3487248624879902</v>
      </c>
      <c r="AA83" s="34">
        <v>2.3479414893983201</v>
      </c>
      <c r="AB83" s="33">
        <v>106.99993376361699</v>
      </c>
      <c r="AC83" s="33">
        <v>107.03518712693899</v>
      </c>
      <c r="AD83" s="33">
        <v>107.01102827441299</v>
      </c>
      <c r="AE83" s="15">
        <v>-1.21483484436892E-3</v>
      </c>
      <c r="AF83" s="15">
        <v>-8.8541821877328596E-4</v>
      </c>
      <c r="AG83" s="15">
        <v>-1.11115313852732E-3</v>
      </c>
      <c r="AI83" s="12"/>
      <c r="AJ83">
        <f t="shared" si="6"/>
        <v>1</v>
      </c>
      <c r="AK83">
        <f t="shared" si="7"/>
        <v>0</v>
      </c>
      <c r="AL83">
        <f t="shared" si="14"/>
        <v>1</v>
      </c>
      <c r="AM83">
        <f t="shared" si="4"/>
        <v>0</v>
      </c>
      <c r="AN83">
        <f t="shared" si="15"/>
        <v>1</v>
      </c>
      <c r="AO83" s="28">
        <f t="shared" si="8"/>
        <v>1.3172339994625599E-3</v>
      </c>
      <c r="AP83" s="28">
        <f t="shared" si="9"/>
        <v>-8.4045389454832497E-4</v>
      </c>
      <c r="AQ83" s="28">
        <f t="shared" si="16"/>
        <v>4.7678010491423496E-4</v>
      </c>
      <c r="AR83" s="29">
        <f t="shared" si="17"/>
        <v>7.8070577218555398E-3</v>
      </c>
      <c r="AT83" s="12"/>
      <c r="AU83">
        <f t="shared" si="10"/>
        <v>0</v>
      </c>
      <c r="AV83">
        <f t="shared" si="11"/>
        <v>1</v>
      </c>
      <c r="AW83">
        <f t="shared" si="18"/>
        <v>0</v>
      </c>
      <c r="AX83">
        <f t="shared" si="5"/>
        <v>0</v>
      </c>
      <c r="AY83">
        <f t="shared" si="19"/>
        <v>0</v>
      </c>
      <c r="AZ83" s="28">
        <f t="shared" si="12"/>
        <v>0</v>
      </c>
      <c r="BA83" s="28">
        <f t="shared" si="13"/>
        <v>0</v>
      </c>
      <c r="BB83" s="28">
        <f t="shared" si="20"/>
        <v>0</v>
      </c>
      <c r="BC83" s="29">
        <f t="shared" si="21"/>
        <v>2.4791005795024635E-3</v>
      </c>
      <c r="BE83" s="29">
        <f t="shared" si="22"/>
        <v>4.7678010491423496E-4</v>
      </c>
      <c r="BF83" s="29">
        <f t="shared" si="23"/>
        <v>1.0286158301358001E-2</v>
      </c>
      <c r="BH83" s="29"/>
    </row>
    <row r="84" spans="1:60" x14ac:dyDescent="0.25">
      <c r="A84" s="1">
        <v>46143</v>
      </c>
      <c r="B84" s="33">
        <v>45.43</v>
      </c>
      <c r="C84" s="33">
        <v>106.81</v>
      </c>
      <c r="D84" s="15">
        <v>-3.2963440462262399E-3</v>
      </c>
      <c r="E84" s="15">
        <v>-2.99149517286259E-3</v>
      </c>
      <c r="F84" s="33">
        <v>0.13463</v>
      </c>
      <c r="G84" s="33">
        <v>0.53595000000000004</v>
      </c>
      <c r="H84" s="33">
        <v>0.28893000000000002</v>
      </c>
      <c r="I84" s="33">
        <v>1.14231999999999</v>
      </c>
      <c r="J84" s="33">
        <v>0</v>
      </c>
      <c r="K84" s="33">
        <v>0</v>
      </c>
      <c r="L84" s="33">
        <v>45.43</v>
      </c>
      <c r="M84" s="33">
        <v>106.81</v>
      </c>
      <c r="N84" s="34">
        <v>2.3510895883777199</v>
      </c>
      <c r="O84" s="34">
        <v>2.3475193892851398</v>
      </c>
      <c r="P84" s="34">
        <v>2.3491965835635198</v>
      </c>
      <c r="Q84" s="34">
        <v>2.3481128118507102</v>
      </c>
      <c r="R84" s="33">
        <v>106.64780585522399</v>
      </c>
      <c r="S84" s="33">
        <v>106.702570502829</v>
      </c>
      <c r="T84" s="33">
        <v>106.666981863365</v>
      </c>
      <c r="U84" s="15">
        <v>-1.5196837177324401E-3</v>
      </c>
      <c r="V84" s="15">
        <v>-1.0063061484689799E-3</v>
      </c>
      <c r="W84" s="15">
        <v>-1.3398930112530801E-3</v>
      </c>
      <c r="X84" s="34">
        <v>2.3510895883777199</v>
      </c>
      <c r="Y84" s="34">
        <v>2.3475193892851398</v>
      </c>
      <c r="Z84" s="34">
        <v>2.3491965835635198</v>
      </c>
      <c r="AA84" s="34">
        <v>2.3481128118507102</v>
      </c>
      <c r="AB84" s="33">
        <v>106.64780585522399</v>
      </c>
      <c r="AC84" s="33">
        <v>106.702570502829</v>
      </c>
      <c r="AD84" s="33">
        <v>106.666981863365</v>
      </c>
      <c r="AE84" s="15">
        <v>-1.5196837177324401E-3</v>
      </c>
      <c r="AF84" s="15">
        <v>-1.0063061484689799E-3</v>
      </c>
      <c r="AG84" s="15">
        <v>-1.3398930112530801E-3</v>
      </c>
      <c r="AI84" s="12"/>
      <c r="AJ84">
        <f t="shared" si="6"/>
        <v>1</v>
      </c>
      <c r="AK84">
        <f t="shared" si="7"/>
        <v>0</v>
      </c>
      <c r="AL84">
        <f t="shared" si="14"/>
        <v>0</v>
      </c>
      <c r="AM84">
        <f t="shared" si="4"/>
        <v>1</v>
      </c>
      <c r="AN84">
        <f t="shared" si="15"/>
        <v>0</v>
      </c>
      <c r="AO84" s="28">
        <f t="shared" si="8"/>
        <v>0</v>
      </c>
      <c r="AP84" s="28">
        <f t="shared" si="9"/>
        <v>0</v>
      </c>
      <c r="AQ84" s="28">
        <f t="shared" si="16"/>
        <v>0</v>
      </c>
      <c r="AR84" s="29">
        <f t="shared" si="17"/>
        <v>7.8070577218555398E-3</v>
      </c>
      <c r="AT84" s="12"/>
      <c r="AU84">
        <f t="shared" si="10"/>
        <v>0</v>
      </c>
      <c r="AV84">
        <f t="shared" si="11"/>
        <v>1</v>
      </c>
      <c r="AW84">
        <f t="shared" si="18"/>
        <v>0</v>
      </c>
      <c r="AX84">
        <f t="shared" si="5"/>
        <v>1</v>
      </c>
      <c r="AY84">
        <f t="shared" si="19"/>
        <v>0</v>
      </c>
      <c r="AZ84" s="28">
        <f t="shared" si="12"/>
        <v>0</v>
      </c>
      <c r="BA84" s="28">
        <f t="shared" si="13"/>
        <v>0</v>
      </c>
      <c r="BB84" s="28">
        <f t="shared" si="20"/>
        <v>0</v>
      </c>
      <c r="BC84" s="29">
        <f t="shared" si="21"/>
        <v>2.4791005795024635E-3</v>
      </c>
      <c r="BE84" s="29">
        <f t="shared" si="22"/>
        <v>0</v>
      </c>
      <c r="BF84" s="29">
        <f t="shared" si="23"/>
        <v>1.0286158301358001E-2</v>
      </c>
      <c r="BH84" s="29"/>
    </row>
    <row r="85" spans="1:60" x14ac:dyDescent="0.25">
      <c r="A85" s="1">
        <v>46146</v>
      </c>
      <c r="B85" s="33">
        <v>45.43</v>
      </c>
      <c r="C85" s="33">
        <v>106.69</v>
      </c>
      <c r="D85" s="15">
        <v>0</v>
      </c>
      <c r="E85" s="15">
        <v>-1.1241218982342299E-3</v>
      </c>
      <c r="F85" s="33">
        <v>0</v>
      </c>
      <c r="G85" s="33">
        <v>0.53595000000000004</v>
      </c>
      <c r="H85" s="33">
        <v>0</v>
      </c>
      <c r="I85" s="33">
        <v>1.14231999999999</v>
      </c>
      <c r="J85" s="33">
        <v>0</v>
      </c>
      <c r="K85" s="33">
        <v>0</v>
      </c>
      <c r="L85" s="33">
        <v>45.43</v>
      </c>
      <c r="M85" s="33">
        <v>106.69</v>
      </c>
      <c r="N85" s="34">
        <v>2.3484481620074802</v>
      </c>
      <c r="O85" s="34">
        <v>2.3475193892851398</v>
      </c>
      <c r="P85" s="34">
        <v>2.3491922524096598</v>
      </c>
      <c r="Q85" s="34">
        <v>2.3481184981333101</v>
      </c>
      <c r="R85" s="33">
        <v>106.64780585522399</v>
      </c>
      <c r="S85" s="33">
        <v>106.724000791291</v>
      </c>
      <c r="T85" s="33">
        <v>106.674765042378</v>
      </c>
      <c r="U85" s="15">
        <v>-3.9556181949822802E-4</v>
      </c>
      <c r="V85" s="15">
        <v>3.1863693527767499E-4</v>
      </c>
      <c r="W85" s="15">
        <v>-1.42806687361864E-4</v>
      </c>
      <c r="X85" s="34">
        <v>2.3484481620074802</v>
      </c>
      <c r="Y85" s="34">
        <v>2.3475193892851398</v>
      </c>
      <c r="Z85" s="34">
        <v>2.3491922524096598</v>
      </c>
      <c r="AA85" s="34">
        <v>2.3481184981333101</v>
      </c>
      <c r="AB85" s="33">
        <v>106.64780585522399</v>
      </c>
      <c r="AC85" s="33">
        <v>106.724000791291</v>
      </c>
      <c r="AD85" s="33">
        <v>106.674765042378</v>
      </c>
      <c r="AE85" s="15">
        <v>-3.9556181949822802E-4</v>
      </c>
      <c r="AF85" s="15">
        <v>3.1863693527767499E-4</v>
      </c>
      <c r="AG85" s="15">
        <v>-1.42806687361864E-4</v>
      </c>
      <c r="AI85" s="12"/>
      <c r="AJ85">
        <f t="shared" si="6"/>
        <v>0</v>
      </c>
      <c r="AK85">
        <f t="shared" si="7"/>
        <v>0</v>
      </c>
      <c r="AL85">
        <f t="shared" si="14"/>
        <v>1</v>
      </c>
      <c r="AM85">
        <f t="shared" ref="AM85:AM148" si="24">IF(F86+H86&gt;0,0,1)</f>
        <v>1</v>
      </c>
      <c r="AN85">
        <f t="shared" si="15"/>
        <v>1</v>
      </c>
      <c r="AO85" s="28">
        <f t="shared" si="8"/>
        <v>0</v>
      </c>
      <c r="AP85" s="28">
        <f t="shared" si="9"/>
        <v>1.1241218982342299E-3</v>
      </c>
      <c r="AQ85" s="28">
        <f t="shared" si="16"/>
        <v>1.1241218982342299E-3</v>
      </c>
      <c r="AR85" s="29">
        <f t="shared" si="17"/>
        <v>8.9311796200897704E-3</v>
      </c>
      <c r="AT85" s="12"/>
      <c r="AU85">
        <f t="shared" si="10"/>
        <v>0</v>
      </c>
      <c r="AV85">
        <f t="shared" si="11"/>
        <v>1</v>
      </c>
      <c r="AW85">
        <f t="shared" si="18"/>
        <v>0</v>
      </c>
      <c r="AX85">
        <f t="shared" ref="AX85:AX148" si="25">IF(F86+H86&gt;0,0,1)</f>
        <v>1</v>
      </c>
      <c r="AY85">
        <f t="shared" si="19"/>
        <v>0</v>
      </c>
      <c r="AZ85" s="28">
        <f t="shared" si="12"/>
        <v>0</v>
      </c>
      <c r="BA85" s="28">
        <f t="shared" si="13"/>
        <v>0</v>
      </c>
      <c r="BB85" s="28">
        <f t="shared" si="20"/>
        <v>0</v>
      </c>
      <c r="BC85" s="29">
        <f t="shared" si="21"/>
        <v>2.4791005795024635E-3</v>
      </c>
      <c r="BE85" s="29">
        <f t="shared" si="22"/>
        <v>1.1241218982342299E-3</v>
      </c>
      <c r="BF85" s="29">
        <f t="shared" si="23"/>
        <v>1.1410280199592232E-2</v>
      </c>
      <c r="BH85" s="29"/>
    </row>
    <row r="86" spans="1:60" x14ac:dyDescent="0.25">
      <c r="A86" s="1">
        <v>46147</v>
      </c>
      <c r="B86" s="33">
        <v>45.41</v>
      </c>
      <c r="C86" s="33">
        <v>106.77</v>
      </c>
      <c r="D86" s="15">
        <v>-4.40334661452278E-4</v>
      </c>
      <c r="E86" s="15">
        <v>7.4955498684113402E-4</v>
      </c>
      <c r="F86" s="33">
        <v>0</v>
      </c>
      <c r="G86" s="33">
        <v>0.53595000000000004</v>
      </c>
      <c r="H86" s="33">
        <v>0</v>
      </c>
      <c r="I86" s="33">
        <v>1.14231999999999</v>
      </c>
      <c r="J86" s="33">
        <v>0</v>
      </c>
      <c r="K86" s="33">
        <v>0</v>
      </c>
      <c r="L86" s="33">
        <v>45.41</v>
      </c>
      <c r="M86" s="33">
        <v>106.77</v>
      </c>
      <c r="N86" s="34">
        <v>2.3512442193349399</v>
      </c>
      <c r="O86" s="34">
        <v>2.3475193892851398</v>
      </c>
      <c r="P86" s="34">
        <v>2.34945027048858</v>
      </c>
      <c r="Q86" s="34">
        <v>2.3482352605657799</v>
      </c>
      <c r="R86" s="33">
        <v>106.600855467438</v>
      </c>
      <c r="S86" s="33">
        <v>106.676820181922</v>
      </c>
      <c r="T86" s="33">
        <v>106.628061000233</v>
      </c>
      <c r="U86" s="15">
        <v>-1.58545146779153E-3</v>
      </c>
      <c r="V86" s="15">
        <v>-8.7309638922729402E-4</v>
      </c>
      <c r="W86" s="15">
        <v>-1.3302746991477601E-3</v>
      </c>
      <c r="X86" s="34">
        <v>2.3512442193349399</v>
      </c>
      <c r="Y86" s="34">
        <v>2.3475193892851398</v>
      </c>
      <c r="Z86" s="34">
        <v>2.34945027048858</v>
      </c>
      <c r="AA86" s="34">
        <v>2.3482352605657799</v>
      </c>
      <c r="AB86" s="33">
        <v>106.600855467438</v>
      </c>
      <c r="AC86" s="33">
        <v>106.676820181922</v>
      </c>
      <c r="AD86" s="33">
        <v>106.628061000233</v>
      </c>
      <c r="AE86" s="15">
        <v>-1.58545146779153E-3</v>
      </c>
      <c r="AF86" s="15">
        <v>-8.7309638922729402E-4</v>
      </c>
      <c r="AG86" s="15">
        <v>-1.3302746991477601E-3</v>
      </c>
      <c r="AI86" s="12"/>
      <c r="AJ86">
        <f t="shared" ref="AJ86:AJ149" si="26">IF($AG86&lt;AI$21,1,0)</f>
        <v>1</v>
      </c>
      <c r="AK86">
        <f t="shared" ref="AK86:AK149" si="27">IF($AG86&gt;AI$22,1,0)</f>
        <v>0</v>
      </c>
      <c r="AL86">
        <f t="shared" si="14"/>
        <v>1</v>
      </c>
      <c r="AM86">
        <f t="shared" si="24"/>
        <v>1</v>
      </c>
      <c r="AN86">
        <f t="shared" si="15"/>
        <v>1</v>
      </c>
      <c r="AO86" s="28">
        <f t="shared" ref="AO86:AO149" si="28">AN86*D86</f>
        <v>-4.40334661452278E-4</v>
      </c>
      <c r="AP86" s="28">
        <f t="shared" ref="AP86:AP149" si="29">-AN86*$E86</f>
        <v>-7.4955498684113402E-4</v>
      </c>
      <c r="AQ86" s="28">
        <f t="shared" si="16"/>
        <v>-1.189889648293412E-3</v>
      </c>
      <c r="AR86" s="29">
        <f t="shared" si="17"/>
        <v>7.7412899717963588E-3</v>
      </c>
      <c r="AT86" s="12"/>
      <c r="AU86">
        <f t="shared" ref="AU86:AU149" si="30">IF($AG86&gt;AT$21,1,0)</f>
        <v>0</v>
      </c>
      <c r="AV86">
        <f t="shared" ref="AV86:AV149" si="31">IF($AG86&lt;AT$22,1,0)</f>
        <v>1</v>
      </c>
      <c r="AW86">
        <f t="shared" si="18"/>
        <v>0</v>
      </c>
      <c r="AX86">
        <f t="shared" si="25"/>
        <v>1</v>
      </c>
      <c r="AY86">
        <f t="shared" si="19"/>
        <v>0</v>
      </c>
      <c r="AZ86" s="28">
        <f t="shared" ref="AZ86:AZ149" si="32">-AY86*D86</f>
        <v>0</v>
      </c>
      <c r="BA86" s="28">
        <f t="shared" ref="BA86:BA149" si="33">AY86*$E86</f>
        <v>0</v>
      </c>
      <c r="BB86" s="28">
        <f t="shared" si="20"/>
        <v>0</v>
      </c>
      <c r="BC86" s="29">
        <f t="shared" si="21"/>
        <v>2.4791005795024635E-3</v>
      </c>
      <c r="BE86" s="29">
        <f t="shared" si="22"/>
        <v>-1.189889648293412E-3</v>
      </c>
      <c r="BF86" s="29">
        <f t="shared" si="23"/>
        <v>1.022039055129882E-2</v>
      </c>
      <c r="BH86" s="29"/>
    </row>
    <row r="87" spans="1:60" x14ac:dyDescent="0.25">
      <c r="A87" s="1">
        <v>46148</v>
      </c>
      <c r="B87" s="33">
        <v>45.52</v>
      </c>
      <c r="C87" s="33">
        <v>106.99</v>
      </c>
      <c r="D87" s="15">
        <v>2.41944470821597E-3</v>
      </c>
      <c r="E87" s="15">
        <v>2.0583839603040902E-3</v>
      </c>
      <c r="F87" s="33">
        <v>0</v>
      </c>
      <c r="G87" s="33">
        <v>0.53595000000000004</v>
      </c>
      <c r="H87" s="33">
        <v>0</v>
      </c>
      <c r="I87" s="33">
        <v>1.14231999999999</v>
      </c>
      <c r="J87" s="33">
        <v>0</v>
      </c>
      <c r="K87" s="33">
        <v>0</v>
      </c>
      <c r="L87" s="33">
        <v>45.52</v>
      </c>
      <c r="M87" s="33">
        <v>106.99</v>
      </c>
      <c r="N87" s="34">
        <v>2.3503954305799599</v>
      </c>
      <c r="O87" s="34">
        <v>2.3475193892851398</v>
      </c>
      <c r="P87" s="34">
        <v>2.3496758091702001</v>
      </c>
      <c r="Q87" s="34">
        <v>2.3483847594474598</v>
      </c>
      <c r="R87" s="33">
        <v>106.859082600259</v>
      </c>
      <c r="S87" s="33">
        <v>106.94697631264</v>
      </c>
      <c r="T87" s="33">
        <v>106.891669060954</v>
      </c>
      <c r="U87" s="15">
        <v>-1.22439071987987E-3</v>
      </c>
      <c r="V87" s="15">
        <v>-4.0220899333366297E-4</v>
      </c>
      <c r="W87" s="15">
        <v>-9.1948923350990402E-4</v>
      </c>
      <c r="X87" s="34">
        <v>2.3503954305799599</v>
      </c>
      <c r="Y87" s="34">
        <v>2.3475193892851398</v>
      </c>
      <c r="Z87" s="34">
        <v>2.3496758091702001</v>
      </c>
      <c r="AA87" s="34">
        <v>2.3483847594474598</v>
      </c>
      <c r="AB87" s="33">
        <v>106.859082600259</v>
      </c>
      <c r="AC87" s="33">
        <v>106.94697631264</v>
      </c>
      <c r="AD87" s="33">
        <v>106.891669060954</v>
      </c>
      <c r="AE87" s="15">
        <v>-1.22439071987987E-3</v>
      </c>
      <c r="AF87" s="15">
        <v>-4.0220899333366297E-4</v>
      </c>
      <c r="AG87" s="15">
        <v>-9.1948923350990402E-4</v>
      </c>
      <c r="AI87" s="12"/>
      <c r="AJ87">
        <f t="shared" si="26"/>
        <v>0</v>
      </c>
      <c r="AK87">
        <f t="shared" si="27"/>
        <v>0</v>
      </c>
      <c r="AL87">
        <f t="shared" ref="AL87:AL150" si="34">AN87</f>
        <v>1</v>
      </c>
      <c r="AM87">
        <f t="shared" si="24"/>
        <v>1</v>
      </c>
      <c r="AN87">
        <f t="shared" ref="AN87:AN150" si="35">IF(AJ86,1,IF(AK86,0,AL86))*AM86</f>
        <v>1</v>
      </c>
      <c r="AO87" s="28">
        <f t="shared" si="28"/>
        <v>2.41944470821597E-3</v>
      </c>
      <c r="AP87" s="28">
        <f t="shared" si="29"/>
        <v>-2.0583839603040902E-3</v>
      </c>
      <c r="AQ87" s="28">
        <f t="shared" ref="AQ87:AQ150" si="36">AO87+AP87</f>
        <v>3.6106074791187985E-4</v>
      </c>
      <c r="AR87" s="29">
        <f t="shared" ref="AR87:AR150" si="37">AR86+AQ87</f>
        <v>8.1023507197082387E-3</v>
      </c>
      <c r="AT87" s="12"/>
      <c r="AU87">
        <f t="shared" si="30"/>
        <v>0</v>
      </c>
      <c r="AV87">
        <f t="shared" si="31"/>
        <v>1</v>
      </c>
      <c r="AW87">
        <f t="shared" ref="AW87:AW150" si="38">AY87</f>
        <v>0</v>
      </c>
      <c r="AX87">
        <f t="shared" si="25"/>
        <v>1</v>
      </c>
      <c r="AY87">
        <f t="shared" ref="AY87:AY150" si="39">IF(AU86,1,IF(AV86,0,AW86))*AX86</f>
        <v>0</v>
      </c>
      <c r="AZ87" s="28">
        <f t="shared" si="32"/>
        <v>0</v>
      </c>
      <c r="BA87" s="28">
        <f t="shared" si="33"/>
        <v>0</v>
      </c>
      <c r="BB87" s="28">
        <f t="shared" ref="BB87:BB150" si="40">AZ87+BA87</f>
        <v>0</v>
      </c>
      <c r="BC87" s="29">
        <f t="shared" ref="BC87:BC150" si="41">BC86+BB87</f>
        <v>2.4791005795024635E-3</v>
      </c>
      <c r="BE87" s="29">
        <f t="shared" ref="BE87:BE150" si="42">AQ87+BB87</f>
        <v>3.6106074791187985E-4</v>
      </c>
      <c r="BF87" s="29">
        <f t="shared" ref="BF87:BF150" si="43">BF86+BE87</f>
        <v>1.05814512992107E-2</v>
      </c>
      <c r="BH87" s="29"/>
    </row>
    <row r="88" spans="1:60" x14ac:dyDescent="0.25">
      <c r="A88" s="1">
        <v>46149</v>
      </c>
      <c r="B88" s="33">
        <v>45.48</v>
      </c>
      <c r="C88" s="33">
        <v>106.99</v>
      </c>
      <c r="D88" s="15">
        <v>-8.7912093574035103E-4</v>
      </c>
      <c r="E88" s="15">
        <v>0</v>
      </c>
      <c r="F88" s="33">
        <v>0</v>
      </c>
      <c r="G88" s="33">
        <v>0.53595000000000004</v>
      </c>
      <c r="H88" s="33">
        <v>0</v>
      </c>
      <c r="I88" s="33">
        <v>1.14231999999999</v>
      </c>
      <c r="J88" s="33">
        <v>0</v>
      </c>
      <c r="K88" s="33">
        <v>0</v>
      </c>
      <c r="L88" s="33">
        <v>45.48</v>
      </c>
      <c r="M88" s="33">
        <v>106.99</v>
      </c>
      <c r="N88" s="34">
        <v>2.3524626209322701</v>
      </c>
      <c r="O88" s="34">
        <v>2.3475193892851398</v>
      </c>
      <c r="P88" s="34">
        <v>2.3500643032109201</v>
      </c>
      <c r="Q88" s="34">
        <v>2.34855454252481</v>
      </c>
      <c r="R88" s="33">
        <v>106.765181824688</v>
      </c>
      <c r="S88" s="33">
        <v>106.863255801061</v>
      </c>
      <c r="T88" s="33">
        <v>106.80453885967</v>
      </c>
      <c r="U88" s="15">
        <v>-2.1035116556201898E-3</v>
      </c>
      <c r="V88" s="15">
        <v>-1.1853381731695199E-3</v>
      </c>
      <c r="W88" s="15">
        <v>-1.7349478414082299E-3</v>
      </c>
      <c r="X88" s="34">
        <v>2.3524626209322701</v>
      </c>
      <c r="Y88" s="34">
        <v>2.3475193892851398</v>
      </c>
      <c r="Z88" s="34">
        <v>2.3500643032109201</v>
      </c>
      <c r="AA88" s="34">
        <v>2.34855454252481</v>
      </c>
      <c r="AB88" s="33">
        <v>106.765181824688</v>
      </c>
      <c r="AC88" s="33">
        <v>106.863255801061</v>
      </c>
      <c r="AD88" s="33">
        <v>106.80453885967</v>
      </c>
      <c r="AE88" s="15">
        <v>-2.1035116556201898E-3</v>
      </c>
      <c r="AF88" s="15">
        <v>-1.1853381731695199E-3</v>
      </c>
      <c r="AG88" s="15">
        <v>-1.7349478414082299E-3</v>
      </c>
      <c r="AI88" s="12"/>
      <c r="AJ88">
        <f t="shared" si="26"/>
        <v>1</v>
      </c>
      <c r="AK88">
        <f t="shared" si="27"/>
        <v>0</v>
      </c>
      <c r="AL88">
        <f t="shared" si="34"/>
        <v>1</v>
      </c>
      <c r="AM88">
        <f t="shared" si="24"/>
        <v>1</v>
      </c>
      <c r="AN88">
        <f t="shared" si="35"/>
        <v>1</v>
      </c>
      <c r="AO88" s="28">
        <f t="shared" si="28"/>
        <v>-8.7912093574035103E-4</v>
      </c>
      <c r="AP88" s="28">
        <f t="shared" si="29"/>
        <v>0</v>
      </c>
      <c r="AQ88" s="28">
        <f t="shared" si="36"/>
        <v>-8.7912093574035103E-4</v>
      </c>
      <c r="AR88" s="29">
        <f t="shared" si="37"/>
        <v>7.2232297839678874E-3</v>
      </c>
      <c r="AT88" s="12"/>
      <c r="AU88">
        <f t="shared" si="30"/>
        <v>0</v>
      </c>
      <c r="AV88">
        <f t="shared" si="31"/>
        <v>1</v>
      </c>
      <c r="AW88">
        <f t="shared" si="38"/>
        <v>0</v>
      </c>
      <c r="AX88">
        <f t="shared" si="25"/>
        <v>1</v>
      </c>
      <c r="AY88">
        <f t="shared" si="39"/>
        <v>0</v>
      </c>
      <c r="AZ88" s="28">
        <f t="shared" si="32"/>
        <v>0</v>
      </c>
      <c r="BA88" s="28">
        <f t="shared" si="33"/>
        <v>0</v>
      </c>
      <c r="BB88" s="28">
        <f t="shared" si="40"/>
        <v>0</v>
      </c>
      <c r="BC88" s="29">
        <f t="shared" si="41"/>
        <v>2.4791005795024635E-3</v>
      </c>
      <c r="BE88" s="29">
        <f t="shared" si="42"/>
        <v>-8.7912093574035103E-4</v>
      </c>
      <c r="BF88" s="29">
        <f t="shared" si="43"/>
        <v>9.7023303634703496E-3</v>
      </c>
      <c r="BH88" s="29"/>
    </row>
    <row r="89" spans="1:60" x14ac:dyDescent="0.25">
      <c r="A89" s="1">
        <v>46150</v>
      </c>
      <c r="B89" s="33">
        <v>45.51</v>
      </c>
      <c r="C89" s="33">
        <v>107</v>
      </c>
      <c r="D89" s="15">
        <v>6.5941314621537398E-4</v>
      </c>
      <c r="E89" s="15">
        <v>9.3462311391120104E-5</v>
      </c>
      <c r="F89" s="33">
        <v>0</v>
      </c>
      <c r="G89" s="33">
        <v>0.53595000000000004</v>
      </c>
      <c r="H89" s="33">
        <v>0</v>
      </c>
      <c r="I89" s="33">
        <v>1.14231999999999</v>
      </c>
      <c r="J89" s="33">
        <v>0</v>
      </c>
      <c r="K89" s="33">
        <v>0</v>
      </c>
      <c r="L89" s="33">
        <v>45.51</v>
      </c>
      <c r="M89" s="33">
        <v>107</v>
      </c>
      <c r="N89" s="34">
        <v>2.3511316194242999</v>
      </c>
      <c r="O89" s="34">
        <v>2.3475193892851398</v>
      </c>
      <c r="P89" s="34">
        <v>2.3504889405631801</v>
      </c>
      <c r="Q89" s="34">
        <v>2.34888487815918</v>
      </c>
      <c r="R89" s="33">
        <v>106.835607406367</v>
      </c>
      <c r="S89" s="33">
        <v>106.95142643912899</v>
      </c>
      <c r="T89" s="33">
        <v>106.882717230304</v>
      </c>
      <c r="U89" s="15">
        <v>-1.53756082079602E-3</v>
      </c>
      <c r="V89" s="15">
        <v>-4.5406158317301499E-4</v>
      </c>
      <c r="W89" s="15">
        <v>-1.09670180900619E-3</v>
      </c>
      <c r="X89" s="34">
        <v>2.3511316194242999</v>
      </c>
      <c r="Y89" s="34">
        <v>2.3475193892851398</v>
      </c>
      <c r="Z89" s="34">
        <v>2.3504889405631801</v>
      </c>
      <c r="AA89" s="34">
        <v>2.34888487815918</v>
      </c>
      <c r="AB89" s="33">
        <v>106.835607406367</v>
      </c>
      <c r="AC89" s="33">
        <v>106.95142643912899</v>
      </c>
      <c r="AD89" s="33">
        <v>106.882717230304</v>
      </c>
      <c r="AE89" s="15">
        <v>-1.53756082079602E-3</v>
      </c>
      <c r="AF89" s="15">
        <v>-4.5406158317301499E-4</v>
      </c>
      <c r="AG89" s="15">
        <v>-1.09670180900619E-3</v>
      </c>
      <c r="AI89" s="12"/>
      <c r="AJ89">
        <f t="shared" si="26"/>
        <v>1</v>
      </c>
      <c r="AK89">
        <f t="shared" si="27"/>
        <v>0</v>
      </c>
      <c r="AL89">
        <f t="shared" si="34"/>
        <v>1</v>
      </c>
      <c r="AM89">
        <f t="shared" si="24"/>
        <v>1</v>
      </c>
      <c r="AN89">
        <f t="shared" si="35"/>
        <v>1</v>
      </c>
      <c r="AO89" s="28">
        <f t="shared" si="28"/>
        <v>6.5941314621537398E-4</v>
      </c>
      <c r="AP89" s="28">
        <f t="shared" si="29"/>
        <v>-9.3462311391120104E-5</v>
      </c>
      <c r="AQ89" s="28">
        <f t="shared" si="36"/>
        <v>5.6595083482425385E-4</v>
      </c>
      <c r="AR89" s="29">
        <f t="shared" si="37"/>
        <v>7.7891806187921414E-3</v>
      </c>
      <c r="AT89" s="12"/>
      <c r="AU89">
        <f t="shared" si="30"/>
        <v>0</v>
      </c>
      <c r="AV89">
        <f t="shared" si="31"/>
        <v>1</v>
      </c>
      <c r="AW89">
        <f t="shared" si="38"/>
        <v>0</v>
      </c>
      <c r="AX89">
        <f t="shared" si="25"/>
        <v>1</v>
      </c>
      <c r="AY89">
        <f t="shared" si="39"/>
        <v>0</v>
      </c>
      <c r="AZ89" s="28">
        <f t="shared" si="32"/>
        <v>0</v>
      </c>
      <c r="BA89" s="28">
        <f t="shared" si="33"/>
        <v>0</v>
      </c>
      <c r="BB89" s="28">
        <f t="shared" si="40"/>
        <v>0</v>
      </c>
      <c r="BC89" s="29">
        <f t="shared" si="41"/>
        <v>2.4791005795024635E-3</v>
      </c>
      <c r="BE89" s="29">
        <f t="shared" si="42"/>
        <v>5.6595083482425385E-4</v>
      </c>
      <c r="BF89" s="29">
        <f t="shared" si="43"/>
        <v>1.0268281198294604E-2</v>
      </c>
      <c r="BH89" s="29"/>
    </row>
    <row r="90" spans="1:60" x14ac:dyDescent="0.25">
      <c r="A90" s="1">
        <v>46153</v>
      </c>
      <c r="B90" s="33">
        <v>45.5</v>
      </c>
      <c r="C90" s="33">
        <v>106.94</v>
      </c>
      <c r="D90" s="15">
        <v>-2.19756071645778E-4</v>
      </c>
      <c r="E90" s="15">
        <v>-5.6090494132067297E-4</v>
      </c>
      <c r="F90" s="33">
        <v>0</v>
      </c>
      <c r="G90" s="33">
        <v>0.53595000000000004</v>
      </c>
      <c r="H90" s="33">
        <v>0</v>
      </c>
      <c r="I90" s="33">
        <v>1.14231999999999</v>
      </c>
      <c r="J90" s="33">
        <v>0</v>
      </c>
      <c r="K90" s="33">
        <v>0</v>
      </c>
      <c r="L90" s="33">
        <v>45.5</v>
      </c>
      <c r="M90" s="33">
        <v>106.94</v>
      </c>
      <c r="N90" s="34">
        <v>2.3503296703296699</v>
      </c>
      <c r="O90" s="34">
        <v>2.3475193892851398</v>
      </c>
      <c r="P90" s="34">
        <v>2.3506946229437702</v>
      </c>
      <c r="Q90" s="34">
        <v>2.3490768002721598</v>
      </c>
      <c r="R90" s="33">
        <v>106.812132212474</v>
      </c>
      <c r="S90" s="33">
        <v>106.94724679562501</v>
      </c>
      <c r="T90" s="33">
        <v>106.874261956243</v>
      </c>
      <c r="U90" s="15">
        <v>-1.1964119511209399E-3</v>
      </c>
      <c r="V90" s="15">
        <v>6.7762765067665395E-5</v>
      </c>
      <c r="W90" s="15">
        <v>-6.1490796008539903E-4</v>
      </c>
      <c r="X90" s="34">
        <v>2.3503296703296699</v>
      </c>
      <c r="Y90" s="34">
        <v>2.3475193892851398</v>
      </c>
      <c r="Z90" s="34">
        <v>2.3506946229437702</v>
      </c>
      <c r="AA90" s="34">
        <v>2.3490768002721598</v>
      </c>
      <c r="AB90" s="33">
        <v>106.812132212474</v>
      </c>
      <c r="AC90" s="33">
        <v>106.94724679562501</v>
      </c>
      <c r="AD90" s="33">
        <v>106.874261956243</v>
      </c>
      <c r="AE90" s="15">
        <v>-1.1964119511209399E-3</v>
      </c>
      <c r="AF90" s="15">
        <v>6.7762765067665395E-5</v>
      </c>
      <c r="AG90" s="15">
        <v>-6.1490796008539903E-4</v>
      </c>
      <c r="AI90" s="12"/>
      <c r="AJ90">
        <f t="shared" si="26"/>
        <v>0</v>
      </c>
      <c r="AK90">
        <f t="shared" si="27"/>
        <v>0</v>
      </c>
      <c r="AL90">
        <f t="shared" si="34"/>
        <v>1</v>
      </c>
      <c r="AM90">
        <f t="shared" si="24"/>
        <v>1</v>
      </c>
      <c r="AN90">
        <f t="shared" si="35"/>
        <v>1</v>
      </c>
      <c r="AO90" s="28">
        <f t="shared" si="28"/>
        <v>-2.19756071645778E-4</v>
      </c>
      <c r="AP90" s="28">
        <f t="shared" si="29"/>
        <v>5.6090494132067297E-4</v>
      </c>
      <c r="AQ90" s="28">
        <f t="shared" si="36"/>
        <v>3.4114886967489497E-4</v>
      </c>
      <c r="AR90" s="29">
        <f t="shared" si="37"/>
        <v>8.1303294884670363E-3</v>
      </c>
      <c r="AT90" s="12"/>
      <c r="AU90">
        <f t="shared" si="30"/>
        <v>0</v>
      </c>
      <c r="AV90">
        <f t="shared" si="31"/>
        <v>1</v>
      </c>
      <c r="AW90">
        <f t="shared" si="38"/>
        <v>0</v>
      </c>
      <c r="AX90">
        <f t="shared" si="25"/>
        <v>1</v>
      </c>
      <c r="AY90">
        <f t="shared" si="39"/>
        <v>0</v>
      </c>
      <c r="AZ90" s="28">
        <f t="shared" si="32"/>
        <v>0</v>
      </c>
      <c r="BA90" s="28">
        <f t="shared" si="33"/>
        <v>0</v>
      </c>
      <c r="BB90" s="28">
        <f t="shared" si="40"/>
        <v>0</v>
      </c>
      <c r="BC90" s="29">
        <f t="shared" si="41"/>
        <v>2.4791005795024635E-3</v>
      </c>
      <c r="BE90" s="29">
        <f t="shared" si="42"/>
        <v>3.4114886967489497E-4</v>
      </c>
      <c r="BF90" s="29">
        <f t="shared" si="43"/>
        <v>1.0609430067969499E-2</v>
      </c>
      <c r="BH90" s="29"/>
    </row>
    <row r="91" spans="1:60" x14ac:dyDescent="0.25">
      <c r="A91" s="1">
        <v>46154</v>
      </c>
      <c r="B91" s="33">
        <v>45.43</v>
      </c>
      <c r="C91" s="33">
        <v>106.72</v>
      </c>
      <c r="D91" s="15">
        <v>-1.5396461855928601E-3</v>
      </c>
      <c r="E91" s="15">
        <v>-2.05934735327192E-3</v>
      </c>
      <c r="F91" s="33">
        <v>0</v>
      </c>
      <c r="G91" s="33">
        <v>0.53595000000000004</v>
      </c>
      <c r="H91" s="33">
        <v>0</v>
      </c>
      <c r="I91" s="33">
        <v>1.14231999999999</v>
      </c>
      <c r="J91" s="33">
        <v>0</v>
      </c>
      <c r="K91" s="33">
        <v>0</v>
      </c>
      <c r="L91" s="33">
        <v>45.43</v>
      </c>
      <c r="M91" s="33">
        <v>106.72</v>
      </c>
      <c r="N91" s="34">
        <v>2.34910851860004</v>
      </c>
      <c r="O91" s="34">
        <v>2.3475193892851398</v>
      </c>
      <c r="P91" s="34">
        <v>2.35060766490452</v>
      </c>
      <c r="Q91" s="34">
        <v>2.3491456881622601</v>
      </c>
      <c r="R91" s="33">
        <v>106.64780585522399</v>
      </c>
      <c r="S91" s="33">
        <v>106.792056720335</v>
      </c>
      <c r="T91" s="33">
        <v>106.718559036364</v>
      </c>
      <c r="U91" s="15">
        <v>-6.7671078344191699E-4</v>
      </c>
      <c r="V91" s="15">
        <v>6.7496631504541504E-4</v>
      </c>
      <c r="W91" s="15">
        <v>-1.3502374099921301E-5</v>
      </c>
      <c r="X91" s="34">
        <v>2.34910851860004</v>
      </c>
      <c r="Y91" s="34">
        <v>2.3475193892851398</v>
      </c>
      <c r="Z91" s="34">
        <v>2.35060766490452</v>
      </c>
      <c r="AA91" s="34">
        <v>2.3491456881622601</v>
      </c>
      <c r="AB91" s="33">
        <v>106.64780585522399</v>
      </c>
      <c r="AC91" s="33">
        <v>106.792056720335</v>
      </c>
      <c r="AD91" s="33">
        <v>106.718559036364</v>
      </c>
      <c r="AE91" s="15">
        <v>-6.7671078344191699E-4</v>
      </c>
      <c r="AF91" s="15">
        <v>6.7496631504541504E-4</v>
      </c>
      <c r="AG91" s="15">
        <v>-1.3502374099921301E-5</v>
      </c>
      <c r="AI91" s="12"/>
      <c r="AJ91">
        <f t="shared" si="26"/>
        <v>0</v>
      </c>
      <c r="AK91">
        <f t="shared" si="27"/>
        <v>0</v>
      </c>
      <c r="AL91">
        <f t="shared" si="34"/>
        <v>1</v>
      </c>
      <c r="AM91">
        <f t="shared" si="24"/>
        <v>1</v>
      </c>
      <c r="AN91">
        <f t="shared" si="35"/>
        <v>1</v>
      </c>
      <c r="AO91" s="28">
        <f t="shared" si="28"/>
        <v>-1.5396461855928601E-3</v>
      </c>
      <c r="AP91" s="28">
        <f t="shared" si="29"/>
        <v>2.05934735327192E-3</v>
      </c>
      <c r="AQ91" s="28">
        <f t="shared" si="36"/>
        <v>5.1970116767905989E-4</v>
      </c>
      <c r="AR91" s="29">
        <f t="shared" si="37"/>
        <v>8.6500306561460953E-3</v>
      </c>
      <c r="AT91" s="12"/>
      <c r="AU91">
        <f t="shared" si="30"/>
        <v>0</v>
      </c>
      <c r="AV91">
        <f t="shared" si="31"/>
        <v>1</v>
      </c>
      <c r="AW91">
        <f t="shared" si="38"/>
        <v>0</v>
      </c>
      <c r="AX91">
        <f t="shared" si="25"/>
        <v>1</v>
      </c>
      <c r="AY91">
        <f t="shared" si="39"/>
        <v>0</v>
      </c>
      <c r="AZ91" s="28">
        <f t="shared" si="32"/>
        <v>0</v>
      </c>
      <c r="BA91" s="28">
        <f t="shared" si="33"/>
        <v>0</v>
      </c>
      <c r="BB91" s="28">
        <f t="shared" si="40"/>
        <v>0</v>
      </c>
      <c r="BC91" s="29">
        <f t="shared" si="41"/>
        <v>2.4791005795024635E-3</v>
      </c>
      <c r="BE91" s="29">
        <f t="shared" si="42"/>
        <v>5.1970116767905989E-4</v>
      </c>
      <c r="BF91" s="29">
        <f t="shared" si="43"/>
        <v>1.112913123564856E-2</v>
      </c>
      <c r="BH91" s="29"/>
    </row>
    <row r="92" spans="1:60" x14ac:dyDescent="0.25">
      <c r="A92" s="1">
        <v>46155</v>
      </c>
      <c r="B92" s="33">
        <v>45.38</v>
      </c>
      <c r="C92" s="33">
        <v>106.64</v>
      </c>
      <c r="D92" s="15">
        <v>-1.10120041961619E-3</v>
      </c>
      <c r="E92" s="15">
        <v>-7.4990629686034896E-4</v>
      </c>
      <c r="F92" s="33">
        <v>0</v>
      </c>
      <c r="G92" s="33">
        <v>0.53595000000000004</v>
      </c>
      <c r="H92" s="33">
        <v>0</v>
      </c>
      <c r="I92" s="33">
        <v>1.14231999999999</v>
      </c>
      <c r="J92" s="33">
        <v>0</v>
      </c>
      <c r="K92" s="33">
        <v>0</v>
      </c>
      <c r="L92" s="33">
        <v>45.38</v>
      </c>
      <c r="M92" s="33">
        <v>106.64</v>
      </c>
      <c r="N92" s="34">
        <v>2.3499338915821899</v>
      </c>
      <c r="O92" s="34">
        <v>2.3475193892851398</v>
      </c>
      <c r="P92" s="34">
        <v>2.3504516691769699</v>
      </c>
      <c r="Q92" s="34">
        <v>2.34937224888137</v>
      </c>
      <c r="R92" s="33">
        <v>106.53042988576</v>
      </c>
      <c r="S92" s="33">
        <v>106.670575833367</v>
      </c>
      <c r="T92" s="33">
        <v>106.604231328803</v>
      </c>
      <c r="U92" s="15">
        <v>-1.02800490619774E-3</v>
      </c>
      <c r="V92" s="15">
        <v>2.8667902148850902E-4</v>
      </c>
      <c r="W92" s="15">
        <v>-3.3547141049656399E-4</v>
      </c>
      <c r="X92" s="34">
        <v>2.3499338915821899</v>
      </c>
      <c r="Y92" s="34">
        <v>2.3475193892851398</v>
      </c>
      <c r="Z92" s="34">
        <v>2.3504516691769699</v>
      </c>
      <c r="AA92" s="34">
        <v>2.34937224888137</v>
      </c>
      <c r="AB92" s="33">
        <v>106.53042988576</v>
      </c>
      <c r="AC92" s="33">
        <v>106.670575833367</v>
      </c>
      <c r="AD92" s="33">
        <v>106.604231328803</v>
      </c>
      <c r="AE92" s="15">
        <v>-1.02800490619774E-3</v>
      </c>
      <c r="AF92" s="15">
        <v>2.8667902148850902E-4</v>
      </c>
      <c r="AG92" s="15">
        <v>-3.3547141049656399E-4</v>
      </c>
      <c r="AI92" s="12"/>
      <c r="AJ92">
        <f t="shared" si="26"/>
        <v>0</v>
      </c>
      <c r="AK92">
        <f t="shared" si="27"/>
        <v>0</v>
      </c>
      <c r="AL92">
        <f t="shared" si="34"/>
        <v>1</v>
      </c>
      <c r="AM92">
        <f t="shared" si="24"/>
        <v>1</v>
      </c>
      <c r="AN92">
        <f t="shared" si="35"/>
        <v>1</v>
      </c>
      <c r="AO92" s="28">
        <f t="shared" si="28"/>
        <v>-1.10120041961619E-3</v>
      </c>
      <c r="AP92" s="28">
        <f t="shared" si="29"/>
        <v>7.4990629686034896E-4</v>
      </c>
      <c r="AQ92" s="28">
        <f t="shared" si="36"/>
        <v>-3.5129412275584102E-4</v>
      </c>
      <c r="AR92" s="29">
        <f t="shared" si="37"/>
        <v>8.2987365333902548E-3</v>
      </c>
      <c r="AT92" s="12"/>
      <c r="AU92">
        <f t="shared" si="30"/>
        <v>0</v>
      </c>
      <c r="AV92">
        <f t="shared" si="31"/>
        <v>1</v>
      </c>
      <c r="AW92">
        <f t="shared" si="38"/>
        <v>0</v>
      </c>
      <c r="AX92">
        <f t="shared" si="25"/>
        <v>1</v>
      </c>
      <c r="AY92">
        <f t="shared" si="39"/>
        <v>0</v>
      </c>
      <c r="AZ92" s="28">
        <f t="shared" si="32"/>
        <v>0</v>
      </c>
      <c r="BA92" s="28">
        <f t="shared" si="33"/>
        <v>0</v>
      </c>
      <c r="BB92" s="28">
        <f t="shared" si="40"/>
        <v>0</v>
      </c>
      <c r="BC92" s="29">
        <f t="shared" si="41"/>
        <v>2.4791005795024635E-3</v>
      </c>
      <c r="BE92" s="29">
        <f t="shared" si="42"/>
        <v>-3.5129412275584102E-4</v>
      </c>
      <c r="BF92" s="29">
        <f t="shared" si="43"/>
        <v>1.077783711289272E-2</v>
      </c>
      <c r="BH92" s="29"/>
    </row>
    <row r="93" spans="1:60" x14ac:dyDescent="0.25">
      <c r="A93" s="1">
        <v>46156</v>
      </c>
      <c r="B93" s="33">
        <v>45.38</v>
      </c>
      <c r="C93" s="33">
        <v>106.66</v>
      </c>
      <c r="D93" s="15">
        <v>0</v>
      </c>
      <c r="E93" s="15">
        <v>1.87529302002869E-4</v>
      </c>
      <c r="F93" s="33">
        <v>0</v>
      </c>
      <c r="G93" s="33">
        <v>0.53595000000000004</v>
      </c>
      <c r="H93" s="33">
        <v>0</v>
      </c>
      <c r="I93" s="33">
        <v>1.14231999999999</v>
      </c>
      <c r="J93" s="33">
        <v>0</v>
      </c>
      <c r="K93" s="33">
        <v>0</v>
      </c>
      <c r="L93" s="33">
        <v>45.38</v>
      </c>
      <c r="M93" s="33">
        <v>106.66</v>
      </c>
      <c r="N93" s="34">
        <v>2.3503746143675599</v>
      </c>
      <c r="O93" s="34">
        <v>2.3475193892851398</v>
      </c>
      <c r="P93" s="34">
        <v>2.3504518335536102</v>
      </c>
      <c r="Q93" s="34">
        <v>2.3495883480208</v>
      </c>
      <c r="R93" s="33">
        <v>106.53042988576</v>
      </c>
      <c r="S93" s="33">
        <v>106.663496747251</v>
      </c>
      <c r="T93" s="33">
        <v>106.61451265423599</v>
      </c>
      <c r="U93" s="15">
        <v>-1.21553420820057E-3</v>
      </c>
      <c r="V93" s="15">
        <v>3.2783517097557001E-5</v>
      </c>
      <c r="W93" s="15">
        <v>-4.2656148535387699E-4</v>
      </c>
      <c r="X93" s="34">
        <v>2.3503746143675599</v>
      </c>
      <c r="Y93" s="34">
        <v>2.3475193892851398</v>
      </c>
      <c r="Z93" s="34">
        <v>2.3504518335536102</v>
      </c>
      <c r="AA93" s="34">
        <v>2.3495883480208</v>
      </c>
      <c r="AB93" s="33">
        <v>106.53042988576</v>
      </c>
      <c r="AC93" s="33">
        <v>106.663496747251</v>
      </c>
      <c r="AD93" s="33">
        <v>106.61451265423599</v>
      </c>
      <c r="AE93" s="15">
        <v>-1.21553420820057E-3</v>
      </c>
      <c r="AF93" s="15">
        <v>3.2783517097557001E-5</v>
      </c>
      <c r="AG93" s="15">
        <v>-4.2656148535387699E-4</v>
      </c>
      <c r="AI93" s="12"/>
      <c r="AJ93">
        <f t="shared" si="26"/>
        <v>0</v>
      </c>
      <c r="AK93">
        <f t="shared" si="27"/>
        <v>0</v>
      </c>
      <c r="AL93">
        <f t="shared" si="34"/>
        <v>1</v>
      </c>
      <c r="AM93">
        <f t="shared" si="24"/>
        <v>1</v>
      </c>
      <c r="AN93">
        <f t="shared" si="35"/>
        <v>1</v>
      </c>
      <c r="AO93" s="28">
        <f t="shared" si="28"/>
        <v>0</v>
      </c>
      <c r="AP93" s="28">
        <f t="shared" si="29"/>
        <v>-1.87529302002869E-4</v>
      </c>
      <c r="AQ93" s="28">
        <f t="shared" si="36"/>
        <v>-1.87529302002869E-4</v>
      </c>
      <c r="AR93" s="29">
        <f t="shared" si="37"/>
        <v>8.1112072313873854E-3</v>
      </c>
      <c r="AT93" s="12"/>
      <c r="AU93">
        <f t="shared" si="30"/>
        <v>0</v>
      </c>
      <c r="AV93">
        <f t="shared" si="31"/>
        <v>1</v>
      </c>
      <c r="AW93">
        <f t="shared" si="38"/>
        <v>0</v>
      </c>
      <c r="AX93">
        <f t="shared" si="25"/>
        <v>1</v>
      </c>
      <c r="AY93">
        <f t="shared" si="39"/>
        <v>0</v>
      </c>
      <c r="AZ93" s="28">
        <f t="shared" si="32"/>
        <v>0</v>
      </c>
      <c r="BA93" s="28">
        <f t="shared" si="33"/>
        <v>0</v>
      </c>
      <c r="BB93" s="28">
        <f t="shared" si="40"/>
        <v>0</v>
      </c>
      <c r="BC93" s="29">
        <f t="shared" si="41"/>
        <v>2.4791005795024635E-3</v>
      </c>
      <c r="BE93" s="29">
        <f t="shared" si="42"/>
        <v>-1.87529302002869E-4</v>
      </c>
      <c r="BF93" s="29">
        <f t="shared" si="43"/>
        <v>1.059030781088985E-2</v>
      </c>
      <c r="BH93" s="29"/>
    </row>
    <row r="94" spans="1:60" x14ac:dyDescent="0.25">
      <c r="A94" s="1">
        <v>46157</v>
      </c>
      <c r="B94" s="33">
        <v>45.16</v>
      </c>
      <c r="C94" s="33">
        <v>106.12</v>
      </c>
      <c r="D94" s="15">
        <v>-4.8597400702345504E-3</v>
      </c>
      <c r="E94" s="15">
        <v>-5.0756759029171898E-3</v>
      </c>
      <c r="F94" s="33">
        <v>0</v>
      </c>
      <c r="G94" s="33">
        <v>0.53595000000000004</v>
      </c>
      <c r="H94" s="33">
        <v>0</v>
      </c>
      <c r="I94" s="33">
        <v>1.14231999999999</v>
      </c>
      <c r="J94" s="33">
        <v>0</v>
      </c>
      <c r="K94" s="33">
        <v>0</v>
      </c>
      <c r="L94" s="33">
        <v>45.16</v>
      </c>
      <c r="M94" s="33">
        <v>106.12</v>
      </c>
      <c r="N94" s="34">
        <v>2.3498671390611099</v>
      </c>
      <c r="O94" s="34">
        <v>2.3475193892851398</v>
      </c>
      <c r="P94" s="34">
        <v>2.3503295886219502</v>
      </c>
      <c r="Q94" s="34">
        <v>2.3497630860927399</v>
      </c>
      <c r="R94" s="33">
        <v>106.01397562011699</v>
      </c>
      <c r="S94" s="33">
        <v>106.146404803281</v>
      </c>
      <c r="T94" s="33">
        <v>106.107409796619</v>
      </c>
      <c r="U94" s="15">
        <v>-9.995983755179791E-4</v>
      </c>
      <c r="V94" s="15">
        <v>2.4878928384382298E-4</v>
      </c>
      <c r="W94" s="15">
        <v>-1.18648231227821E-4</v>
      </c>
      <c r="X94" s="34">
        <v>2.3498671390611099</v>
      </c>
      <c r="Y94" s="34">
        <v>2.3475193892851398</v>
      </c>
      <c r="Z94" s="34">
        <v>2.3503295886219502</v>
      </c>
      <c r="AA94" s="34">
        <v>2.3497630860927399</v>
      </c>
      <c r="AB94" s="33">
        <v>106.01397562011699</v>
      </c>
      <c r="AC94" s="33">
        <v>106.146404803281</v>
      </c>
      <c r="AD94" s="33">
        <v>106.107409796619</v>
      </c>
      <c r="AE94" s="15">
        <v>-9.995983755179791E-4</v>
      </c>
      <c r="AF94" s="15">
        <v>2.4878928384382298E-4</v>
      </c>
      <c r="AG94" s="15">
        <v>-1.18648231227821E-4</v>
      </c>
      <c r="AI94" s="12"/>
      <c r="AJ94">
        <f t="shared" si="26"/>
        <v>0</v>
      </c>
      <c r="AK94">
        <f t="shared" si="27"/>
        <v>0</v>
      </c>
      <c r="AL94">
        <f t="shared" si="34"/>
        <v>1</v>
      </c>
      <c r="AM94">
        <f t="shared" si="24"/>
        <v>1</v>
      </c>
      <c r="AN94">
        <f t="shared" si="35"/>
        <v>1</v>
      </c>
      <c r="AO94" s="28">
        <f t="shared" si="28"/>
        <v>-4.8597400702345504E-3</v>
      </c>
      <c r="AP94" s="28">
        <f t="shared" si="29"/>
        <v>5.0756759029171898E-3</v>
      </c>
      <c r="AQ94" s="28">
        <f t="shared" si="36"/>
        <v>2.1593583268263942E-4</v>
      </c>
      <c r="AR94" s="29">
        <f t="shared" si="37"/>
        <v>8.3271430640700257E-3</v>
      </c>
      <c r="AT94" s="12"/>
      <c r="AU94">
        <f t="shared" si="30"/>
        <v>0</v>
      </c>
      <c r="AV94">
        <f t="shared" si="31"/>
        <v>1</v>
      </c>
      <c r="AW94">
        <f t="shared" si="38"/>
        <v>0</v>
      </c>
      <c r="AX94">
        <f t="shared" si="25"/>
        <v>1</v>
      </c>
      <c r="AY94">
        <f t="shared" si="39"/>
        <v>0</v>
      </c>
      <c r="AZ94" s="28">
        <f t="shared" si="32"/>
        <v>0</v>
      </c>
      <c r="BA94" s="28">
        <f t="shared" si="33"/>
        <v>0</v>
      </c>
      <c r="BB94" s="28">
        <f t="shared" si="40"/>
        <v>0</v>
      </c>
      <c r="BC94" s="29">
        <f t="shared" si="41"/>
        <v>2.4791005795024635E-3</v>
      </c>
      <c r="BE94" s="29">
        <f t="shared" si="42"/>
        <v>2.1593583268263942E-4</v>
      </c>
      <c r="BF94" s="29">
        <f t="shared" si="43"/>
        <v>1.0806243643572491E-2</v>
      </c>
      <c r="BH94" s="29"/>
    </row>
    <row r="95" spans="1:60" x14ac:dyDescent="0.25">
      <c r="A95" s="1">
        <v>46160</v>
      </c>
      <c r="B95" s="33">
        <v>45.18</v>
      </c>
      <c r="C95" s="33">
        <v>106.08</v>
      </c>
      <c r="D95" s="15">
        <v>4.4277175839599098E-4</v>
      </c>
      <c r="E95" s="15">
        <v>-3.7700283198656301E-4</v>
      </c>
      <c r="F95" s="33">
        <v>0</v>
      </c>
      <c r="G95" s="33">
        <v>0.53595000000000004</v>
      </c>
      <c r="H95" s="33">
        <v>0</v>
      </c>
      <c r="I95" s="33">
        <v>1.14231999999999</v>
      </c>
      <c r="J95" s="33">
        <v>0</v>
      </c>
      <c r="K95" s="33">
        <v>0</v>
      </c>
      <c r="L95" s="33">
        <v>45.18</v>
      </c>
      <c r="M95" s="33">
        <v>106.08</v>
      </c>
      <c r="N95" s="34">
        <v>2.3479415670650701</v>
      </c>
      <c r="O95" s="34">
        <v>2.3475193892851398</v>
      </c>
      <c r="P95" s="34">
        <v>2.3502789291277102</v>
      </c>
      <c r="Q95" s="34">
        <v>2.3497355907686801</v>
      </c>
      <c r="R95" s="33">
        <v>106.060926007902</v>
      </c>
      <c r="S95" s="33">
        <v>106.18789081393901</v>
      </c>
      <c r="T95" s="33">
        <v>106.16229622967001</v>
      </c>
      <c r="U95" s="15">
        <v>-1.79823785135415E-4</v>
      </c>
      <c r="V95" s="15">
        <v>1.0165534016219899E-3</v>
      </c>
      <c r="W95" s="15">
        <v>7.7549324763602804E-4</v>
      </c>
      <c r="X95" s="34">
        <v>2.3479415670650701</v>
      </c>
      <c r="Y95" s="34">
        <v>2.3475193892851398</v>
      </c>
      <c r="Z95" s="34">
        <v>2.3502789291277102</v>
      </c>
      <c r="AA95" s="34">
        <v>2.3497355907686801</v>
      </c>
      <c r="AB95" s="33">
        <v>106.060926007902</v>
      </c>
      <c r="AC95" s="33">
        <v>106.18789081393901</v>
      </c>
      <c r="AD95" s="33">
        <v>106.16229622967001</v>
      </c>
      <c r="AE95" s="15">
        <v>-1.79823785135415E-4</v>
      </c>
      <c r="AF95" s="15">
        <v>1.0165534016219899E-3</v>
      </c>
      <c r="AG95" s="15">
        <v>7.7549324763602804E-4</v>
      </c>
      <c r="AI95" s="12"/>
      <c r="AJ95">
        <f t="shared" si="26"/>
        <v>0</v>
      </c>
      <c r="AK95">
        <f t="shared" si="27"/>
        <v>1</v>
      </c>
      <c r="AL95">
        <f t="shared" si="34"/>
        <v>1</v>
      </c>
      <c r="AM95">
        <f t="shared" si="24"/>
        <v>1</v>
      </c>
      <c r="AN95">
        <f t="shared" si="35"/>
        <v>1</v>
      </c>
      <c r="AO95" s="28">
        <f t="shared" si="28"/>
        <v>4.4277175839599098E-4</v>
      </c>
      <c r="AP95" s="28">
        <f t="shared" si="29"/>
        <v>3.7700283198656301E-4</v>
      </c>
      <c r="AQ95" s="28">
        <f t="shared" si="36"/>
        <v>8.1977459038255394E-4</v>
      </c>
      <c r="AR95" s="29">
        <f t="shared" si="37"/>
        <v>9.1469176544525799E-3</v>
      </c>
      <c r="AT95" s="12"/>
      <c r="AU95">
        <f t="shared" si="30"/>
        <v>0</v>
      </c>
      <c r="AV95">
        <f t="shared" si="31"/>
        <v>0</v>
      </c>
      <c r="AW95">
        <f t="shared" si="38"/>
        <v>0</v>
      </c>
      <c r="AX95">
        <f t="shared" si="25"/>
        <v>1</v>
      </c>
      <c r="AY95">
        <f t="shared" si="39"/>
        <v>0</v>
      </c>
      <c r="AZ95" s="28">
        <f t="shared" si="32"/>
        <v>0</v>
      </c>
      <c r="BA95" s="28">
        <f t="shared" si="33"/>
        <v>0</v>
      </c>
      <c r="BB95" s="28">
        <f t="shared" si="40"/>
        <v>0</v>
      </c>
      <c r="BC95" s="29">
        <f t="shared" si="41"/>
        <v>2.4791005795024635E-3</v>
      </c>
      <c r="BE95" s="29">
        <f t="shared" si="42"/>
        <v>8.1977459038255394E-4</v>
      </c>
      <c r="BF95" s="29">
        <f t="shared" si="43"/>
        <v>1.1626018233955045E-2</v>
      </c>
      <c r="BH95" s="29"/>
    </row>
    <row r="96" spans="1:60" x14ac:dyDescent="0.25">
      <c r="A96" s="1">
        <v>46161</v>
      </c>
      <c r="B96" s="33">
        <v>45.07</v>
      </c>
      <c r="C96" s="33">
        <v>105.67</v>
      </c>
      <c r="D96" s="15">
        <v>-2.4376743373002601E-3</v>
      </c>
      <c r="E96" s="15">
        <v>-3.8724959846129499E-3</v>
      </c>
      <c r="F96" s="33">
        <v>0</v>
      </c>
      <c r="G96" s="33">
        <v>0.53595000000000004</v>
      </c>
      <c r="H96" s="33">
        <v>0</v>
      </c>
      <c r="I96" s="33">
        <v>1.14231999999999</v>
      </c>
      <c r="J96" s="33">
        <v>0</v>
      </c>
      <c r="K96" s="33">
        <v>0</v>
      </c>
      <c r="L96" s="33">
        <v>45.07</v>
      </c>
      <c r="M96" s="33">
        <v>105.67</v>
      </c>
      <c r="N96" s="34">
        <v>2.34457510539161</v>
      </c>
      <c r="O96" s="34">
        <v>2.3475193892851398</v>
      </c>
      <c r="P96" s="34">
        <v>2.3496120177333801</v>
      </c>
      <c r="Q96" s="34">
        <v>2.3495311441109799</v>
      </c>
      <c r="R96" s="33">
        <v>105.80269887508101</v>
      </c>
      <c r="S96" s="33">
        <v>105.927071335786</v>
      </c>
      <c r="T96" s="33">
        <v>105.90258307594399</v>
      </c>
      <c r="U96" s="15">
        <v>1.2549978621772501E-3</v>
      </c>
      <c r="V96" s="15">
        <v>2.4298206080355799E-3</v>
      </c>
      <c r="W96" s="15">
        <v>2.1986135089311501E-3</v>
      </c>
      <c r="X96" s="34">
        <v>2.34457510539161</v>
      </c>
      <c r="Y96" s="34">
        <v>2.3475193892851398</v>
      </c>
      <c r="Z96" s="34">
        <v>2.3496120177333801</v>
      </c>
      <c r="AA96" s="34">
        <v>2.3495311441109799</v>
      </c>
      <c r="AB96" s="33">
        <v>105.80269887508101</v>
      </c>
      <c r="AC96" s="33">
        <v>105.927071335786</v>
      </c>
      <c r="AD96" s="33">
        <v>105.90258307594399</v>
      </c>
      <c r="AE96" s="15">
        <v>1.2549978621772501E-3</v>
      </c>
      <c r="AF96" s="15">
        <v>2.4298206080355799E-3</v>
      </c>
      <c r="AG96" s="15">
        <v>2.1986135089311501E-3</v>
      </c>
      <c r="AI96" s="12"/>
      <c r="AJ96">
        <f t="shared" si="26"/>
        <v>0</v>
      </c>
      <c r="AK96">
        <f t="shared" si="27"/>
        <v>1</v>
      </c>
      <c r="AL96">
        <f t="shared" si="34"/>
        <v>0</v>
      </c>
      <c r="AM96">
        <f t="shared" si="24"/>
        <v>1</v>
      </c>
      <c r="AN96">
        <f t="shared" si="35"/>
        <v>0</v>
      </c>
      <c r="AO96" s="28">
        <f t="shared" si="28"/>
        <v>0</v>
      </c>
      <c r="AP96" s="28">
        <f t="shared" si="29"/>
        <v>0</v>
      </c>
      <c r="AQ96" s="28">
        <f t="shared" si="36"/>
        <v>0</v>
      </c>
      <c r="AR96" s="29">
        <f t="shared" si="37"/>
        <v>9.1469176544525799E-3</v>
      </c>
      <c r="AT96" s="12"/>
      <c r="AU96">
        <f t="shared" si="30"/>
        <v>1</v>
      </c>
      <c r="AV96">
        <f t="shared" si="31"/>
        <v>0</v>
      </c>
      <c r="AW96">
        <f t="shared" si="38"/>
        <v>0</v>
      </c>
      <c r="AX96">
        <f t="shared" si="25"/>
        <v>1</v>
      </c>
      <c r="AY96">
        <f t="shared" si="39"/>
        <v>0</v>
      </c>
      <c r="AZ96" s="28">
        <f t="shared" si="32"/>
        <v>0</v>
      </c>
      <c r="BA96" s="28">
        <f t="shared" si="33"/>
        <v>0</v>
      </c>
      <c r="BB96" s="28">
        <f t="shared" si="40"/>
        <v>0</v>
      </c>
      <c r="BC96" s="29">
        <f t="shared" si="41"/>
        <v>2.4791005795024635E-3</v>
      </c>
      <c r="BE96" s="29">
        <f t="shared" si="42"/>
        <v>0</v>
      </c>
      <c r="BF96" s="29">
        <f t="shared" si="43"/>
        <v>1.1626018233955045E-2</v>
      </c>
      <c r="BH96" s="29"/>
    </row>
    <row r="97" spans="1:60" x14ac:dyDescent="0.25">
      <c r="A97" s="1">
        <v>46162</v>
      </c>
      <c r="B97" s="33">
        <v>45.15</v>
      </c>
      <c r="C97" s="33">
        <v>105.93</v>
      </c>
      <c r="D97" s="15">
        <v>1.7734431604375699E-3</v>
      </c>
      <c r="E97" s="15">
        <v>2.4574681554654599E-3</v>
      </c>
      <c r="F97" s="33">
        <v>0</v>
      </c>
      <c r="G97" s="33">
        <v>0.53595000000000004</v>
      </c>
      <c r="H97" s="33">
        <v>0</v>
      </c>
      <c r="I97" s="33">
        <v>1.14231999999999</v>
      </c>
      <c r="J97" s="33">
        <v>0</v>
      </c>
      <c r="K97" s="33">
        <v>0</v>
      </c>
      <c r="L97" s="33">
        <v>45.15</v>
      </c>
      <c r="M97" s="33">
        <v>105.93</v>
      </c>
      <c r="N97" s="34">
        <v>2.34617940199335</v>
      </c>
      <c r="O97" s="34">
        <v>2.3475193892851398</v>
      </c>
      <c r="P97" s="34">
        <v>2.34919041487472</v>
      </c>
      <c r="Q97" s="34">
        <v>2.3494331120224601</v>
      </c>
      <c r="R97" s="33">
        <v>105.990500426224</v>
      </c>
      <c r="S97" s="33">
        <v>106.084982600662</v>
      </c>
      <c r="T97" s="33">
        <v>106.08133115661001</v>
      </c>
      <c r="U97" s="15">
        <v>5.7097286714927501E-4</v>
      </c>
      <c r="V97" s="15">
        <v>1.4619969434852399E-3</v>
      </c>
      <c r="W97" s="15">
        <v>1.4275763609988799E-3</v>
      </c>
      <c r="X97" s="34">
        <v>2.34617940199335</v>
      </c>
      <c r="Y97" s="34">
        <v>2.3475193892851398</v>
      </c>
      <c r="Z97" s="34">
        <v>2.34919041487472</v>
      </c>
      <c r="AA97" s="34">
        <v>2.3494331120224601</v>
      </c>
      <c r="AB97" s="33">
        <v>105.990500426224</v>
      </c>
      <c r="AC97" s="33">
        <v>106.084982600662</v>
      </c>
      <c r="AD97" s="33">
        <v>106.08133115661001</v>
      </c>
      <c r="AE97" s="15">
        <v>5.7097286714927501E-4</v>
      </c>
      <c r="AF97" s="15">
        <v>1.4619969434852399E-3</v>
      </c>
      <c r="AG97" s="15">
        <v>1.4275763609988799E-3</v>
      </c>
      <c r="AI97" s="12"/>
      <c r="AJ97">
        <f t="shared" si="26"/>
        <v>0</v>
      </c>
      <c r="AK97">
        <f t="shared" si="27"/>
        <v>1</v>
      </c>
      <c r="AL97">
        <f t="shared" si="34"/>
        <v>0</v>
      </c>
      <c r="AM97">
        <f t="shared" si="24"/>
        <v>1</v>
      </c>
      <c r="AN97">
        <f t="shared" si="35"/>
        <v>0</v>
      </c>
      <c r="AO97" s="28">
        <f t="shared" si="28"/>
        <v>0</v>
      </c>
      <c r="AP97" s="28">
        <f t="shared" si="29"/>
        <v>0</v>
      </c>
      <c r="AQ97" s="28">
        <f t="shared" si="36"/>
        <v>0</v>
      </c>
      <c r="AR97" s="29">
        <f t="shared" si="37"/>
        <v>9.1469176544525799E-3</v>
      </c>
      <c r="AT97" s="12"/>
      <c r="AU97">
        <f t="shared" si="30"/>
        <v>1</v>
      </c>
      <c r="AV97">
        <f t="shared" si="31"/>
        <v>0</v>
      </c>
      <c r="AW97">
        <f t="shared" si="38"/>
        <v>1</v>
      </c>
      <c r="AX97">
        <f t="shared" si="25"/>
        <v>1</v>
      </c>
      <c r="AY97">
        <f t="shared" si="39"/>
        <v>1</v>
      </c>
      <c r="AZ97" s="28">
        <f t="shared" si="32"/>
        <v>-1.7734431604375699E-3</v>
      </c>
      <c r="BA97" s="28">
        <f t="shared" si="33"/>
        <v>2.4574681554654599E-3</v>
      </c>
      <c r="BB97" s="28">
        <f t="shared" si="40"/>
        <v>6.8402499502789003E-4</v>
      </c>
      <c r="BC97" s="29">
        <f t="shared" si="41"/>
        <v>3.1631255745303536E-3</v>
      </c>
      <c r="BE97" s="29">
        <f t="shared" si="42"/>
        <v>6.8402499502789003E-4</v>
      </c>
      <c r="BF97" s="29">
        <f t="shared" si="43"/>
        <v>1.2310043228982935E-2</v>
      </c>
      <c r="BH97" s="29"/>
    </row>
    <row r="98" spans="1:60" x14ac:dyDescent="0.25">
      <c r="A98" s="1">
        <v>46163</v>
      </c>
      <c r="B98" s="33">
        <v>45.19</v>
      </c>
      <c r="C98" s="33">
        <v>106.08</v>
      </c>
      <c r="D98" s="15">
        <v>8.8554356019386496E-4</v>
      </c>
      <c r="E98" s="15">
        <v>1.41502782914747E-3</v>
      </c>
      <c r="F98" s="33">
        <v>0</v>
      </c>
      <c r="G98" s="33">
        <v>0.53595000000000004</v>
      </c>
      <c r="H98" s="33">
        <v>0</v>
      </c>
      <c r="I98" s="33">
        <v>1.14231999999999</v>
      </c>
      <c r="J98" s="33">
        <v>0</v>
      </c>
      <c r="K98" s="33">
        <v>0</v>
      </c>
      <c r="L98" s="33">
        <v>45.19</v>
      </c>
      <c r="M98" s="33">
        <v>106.08</v>
      </c>
      <c r="N98" s="34">
        <v>2.3474219960168101</v>
      </c>
      <c r="O98" s="34">
        <v>2.3475193892851398</v>
      </c>
      <c r="P98" s="34">
        <v>2.34868635238317</v>
      </c>
      <c r="Q98" s="34">
        <v>2.3493753277970399</v>
      </c>
      <c r="R98" s="33">
        <v>106.084401201795</v>
      </c>
      <c r="S98" s="33">
        <v>106.159914848188</v>
      </c>
      <c r="T98" s="33">
        <v>106.17088233229499</v>
      </c>
      <c r="U98" s="15">
        <v>4.1488598195607903E-5</v>
      </c>
      <c r="V98" s="15">
        <v>7.5306147783223295E-4</v>
      </c>
      <c r="W98" s="15">
        <v>8.56367114715358E-4</v>
      </c>
      <c r="X98" s="34">
        <v>2.3474219960168101</v>
      </c>
      <c r="Y98" s="34">
        <v>2.3475193892851398</v>
      </c>
      <c r="Z98" s="34">
        <v>2.34868635238317</v>
      </c>
      <c r="AA98" s="34">
        <v>2.3493753277970399</v>
      </c>
      <c r="AB98" s="33">
        <v>106.084401201795</v>
      </c>
      <c r="AC98" s="33">
        <v>106.159914848188</v>
      </c>
      <c r="AD98" s="33">
        <v>106.17088233229499</v>
      </c>
      <c r="AE98" s="15">
        <v>4.1488598195607903E-5</v>
      </c>
      <c r="AF98" s="15">
        <v>7.5306147783223295E-4</v>
      </c>
      <c r="AG98" s="15">
        <v>8.56367114715358E-4</v>
      </c>
      <c r="AI98" s="12"/>
      <c r="AJ98">
        <f t="shared" si="26"/>
        <v>0</v>
      </c>
      <c r="AK98">
        <f t="shared" si="27"/>
        <v>1</v>
      </c>
      <c r="AL98">
        <f t="shared" si="34"/>
        <v>0</v>
      </c>
      <c r="AM98">
        <f t="shared" si="24"/>
        <v>1</v>
      </c>
      <c r="AN98">
        <f t="shared" si="35"/>
        <v>0</v>
      </c>
      <c r="AO98" s="28">
        <f t="shared" si="28"/>
        <v>0</v>
      </c>
      <c r="AP98" s="28">
        <f t="shared" si="29"/>
        <v>0</v>
      </c>
      <c r="AQ98" s="28">
        <f t="shared" si="36"/>
        <v>0</v>
      </c>
      <c r="AR98" s="29">
        <f t="shared" si="37"/>
        <v>9.1469176544525799E-3</v>
      </c>
      <c r="AT98" s="12"/>
      <c r="AU98">
        <f t="shared" si="30"/>
        <v>0</v>
      </c>
      <c r="AV98">
        <f t="shared" si="31"/>
        <v>0</v>
      </c>
      <c r="AW98">
        <f t="shared" si="38"/>
        <v>1</v>
      </c>
      <c r="AX98">
        <f t="shared" si="25"/>
        <v>1</v>
      </c>
      <c r="AY98">
        <f t="shared" si="39"/>
        <v>1</v>
      </c>
      <c r="AZ98" s="28">
        <f t="shared" si="32"/>
        <v>-8.8554356019386496E-4</v>
      </c>
      <c r="BA98" s="28">
        <f t="shared" si="33"/>
        <v>1.41502782914747E-3</v>
      </c>
      <c r="BB98" s="28">
        <f t="shared" si="40"/>
        <v>5.2948426895360503E-4</v>
      </c>
      <c r="BC98" s="29">
        <f t="shared" si="41"/>
        <v>3.6926098434839584E-3</v>
      </c>
      <c r="BE98" s="29">
        <f t="shared" si="42"/>
        <v>5.2948426895360503E-4</v>
      </c>
      <c r="BF98" s="29">
        <f t="shared" si="43"/>
        <v>1.2839527497936539E-2</v>
      </c>
      <c r="BH98" s="29"/>
    </row>
    <row r="99" spans="1:60" x14ac:dyDescent="0.25">
      <c r="A99" s="1">
        <v>46164</v>
      </c>
      <c r="B99" s="33">
        <v>45.19</v>
      </c>
      <c r="C99" s="33">
        <v>106.17</v>
      </c>
      <c r="D99" s="15">
        <v>0</v>
      </c>
      <c r="E99" s="15">
        <v>8.4805658792932298E-4</v>
      </c>
      <c r="F99" s="33">
        <v>0</v>
      </c>
      <c r="G99" s="33">
        <v>0.53595000000000004</v>
      </c>
      <c r="H99" s="33">
        <v>0</v>
      </c>
      <c r="I99" s="33">
        <v>1.14231999999999</v>
      </c>
      <c r="J99" s="33">
        <v>0</v>
      </c>
      <c r="K99" s="33">
        <v>0</v>
      </c>
      <c r="L99" s="33">
        <v>45.19</v>
      </c>
      <c r="M99" s="33">
        <v>106.17</v>
      </c>
      <c r="N99" s="34">
        <v>2.3494135870767798</v>
      </c>
      <c r="O99" s="34">
        <v>2.3475193892851398</v>
      </c>
      <c r="P99" s="34">
        <v>2.3485145491484198</v>
      </c>
      <c r="Q99" s="34">
        <v>2.3495017448558002</v>
      </c>
      <c r="R99" s="33">
        <v>106.084401201795</v>
      </c>
      <c r="S99" s="33">
        <v>106.13713626419499</v>
      </c>
      <c r="T99" s="33">
        <v>106.168271063148</v>
      </c>
      <c r="U99" s="15">
        <v>-8.0656798973382702E-4</v>
      </c>
      <c r="V99" s="15">
        <v>-3.0958673029162002E-4</v>
      </c>
      <c r="W99" s="15">
        <v>-1.62847407844816E-5</v>
      </c>
      <c r="X99" s="34">
        <v>2.3494135870767798</v>
      </c>
      <c r="Y99" s="34">
        <v>2.3475193892851398</v>
      </c>
      <c r="Z99" s="34">
        <v>2.3485145491484198</v>
      </c>
      <c r="AA99" s="34">
        <v>2.3495017448558002</v>
      </c>
      <c r="AB99" s="33">
        <v>106.084401201795</v>
      </c>
      <c r="AC99" s="33">
        <v>106.13713626419499</v>
      </c>
      <c r="AD99" s="33">
        <v>106.168271063148</v>
      </c>
      <c r="AE99" s="15">
        <v>-8.0656798973382702E-4</v>
      </c>
      <c r="AF99" s="15">
        <v>-3.0958673029162002E-4</v>
      </c>
      <c r="AG99" s="15">
        <v>-1.62847407844816E-5</v>
      </c>
      <c r="AI99" s="12"/>
      <c r="AJ99">
        <f t="shared" si="26"/>
        <v>0</v>
      </c>
      <c r="AK99">
        <f t="shared" si="27"/>
        <v>0</v>
      </c>
      <c r="AL99">
        <f t="shared" si="34"/>
        <v>0</v>
      </c>
      <c r="AM99">
        <f t="shared" si="24"/>
        <v>1</v>
      </c>
      <c r="AN99">
        <f t="shared" si="35"/>
        <v>0</v>
      </c>
      <c r="AO99" s="28">
        <f t="shared" si="28"/>
        <v>0</v>
      </c>
      <c r="AP99" s="28">
        <f t="shared" si="29"/>
        <v>0</v>
      </c>
      <c r="AQ99" s="28">
        <f t="shared" si="36"/>
        <v>0</v>
      </c>
      <c r="AR99" s="29">
        <f t="shared" si="37"/>
        <v>9.1469176544525799E-3</v>
      </c>
      <c r="AT99" s="12"/>
      <c r="AU99">
        <f t="shared" si="30"/>
        <v>0</v>
      </c>
      <c r="AV99">
        <f t="shared" si="31"/>
        <v>1</v>
      </c>
      <c r="AW99">
        <f t="shared" si="38"/>
        <v>1</v>
      </c>
      <c r="AX99">
        <f t="shared" si="25"/>
        <v>1</v>
      </c>
      <c r="AY99">
        <f t="shared" si="39"/>
        <v>1</v>
      </c>
      <c r="AZ99" s="28">
        <f t="shared" si="32"/>
        <v>0</v>
      </c>
      <c r="BA99" s="28">
        <f t="shared" si="33"/>
        <v>8.4805658792932298E-4</v>
      </c>
      <c r="BB99" s="28">
        <f t="shared" si="40"/>
        <v>8.4805658792932298E-4</v>
      </c>
      <c r="BC99" s="29">
        <f t="shared" si="41"/>
        <v>4.5406664314132815E-3</v>
      </c>
      <c r="BE99" s="29">
        <f t="shared" si="42"/>
        <v>8.4805658792932298E-4</v>
      </c>
      <c r="BF99" s="29">
        <f t="shared" si="43"/>
        <v>1.3687584085865862E-2</v>
      </c>
      <c r="BH99" s="29"/>
    </row>
    <row r="100" spans="1:60" x14ac:dyDescent="0.25">
      <c r="A100" s="1">
        <v>46168</v>
      </c>
      <c r="B100" s="33">
        <v>45.4</v>
      </c>
      <c r="C100" s="33">
        <v>106.65</v>
      </c>
      <c r="D100" s="15">
        <v>4.6362816241139601E-3</v>
      </c>
      <c r="E100" s="15">
        <v>4.5108618918779601E-3</v>
      </c>
      <c r="F100" s="33">
        <v>0</v>
      </c>
      <c r="G100" s="33">
        <v>0.53595000000000004</v>
      </c>
      <c r="H100" s="33">
        <v>0</v>
      </c>
      <c r="I100" s="33">
        <v>1.14231999999999</v>
      </c>
      <c r="J100" s="33">
        <v>0</v>
      </c>
      <c r="K100" s="33">
        <v>0</v>
      </c>
      <c r="L100" s="33">
        <v>45.4</v>
      </c>
      <c r="M100" s="33">
        <v>106.65</v>
      </c>
      <c r="N100" s="34">
        <v>2.3491189427312702</v>
      </c>
      <c r="O100" s="34">
        <v>2.3475193892851398</v>
      </c>
      <c r="P100" s="34">
        <v>2.3483934763885799</v>
      </c>
      <c r="Q100" s="34">
        <v>2.3495440496661701</v>
      </c>
      <c r="R100" s="33">
        <v>106.577380273545</v>
      </c>
      <c r="S100" s="33">
        <v>106.622560531338</v>
      </c>
      <c r="T100" s="33">
        <v>106.667379216453</v>
      </c>
      <c r="U100" s="15">
        <v>-6.8114825749766503E-4</v>
      </c>
      <c r="V100" s="15">
        <v>-2.5731832303808801E-4</v>
      </c>
      <c r="W100" s="15">
        <v>1.62942340242985E-4</v>
      </c>
      <c r="X100" s="34">
        <v>2.3491189427312702</v>
      </c>
      <c r="Y100" s="34">
        <v>2.3475193892851398</v>
      </c>
      <c r="Z100" s="34">
        <v>2.3483934763885799</v>
      </c>
      <c r="AA100" s="34">
        <v>2.3495440496661701</v>
      </c>
      <c r="AB100" s="33">
        <v>106.577380273545</v>
      </c>
      <c r="AC100" s="33">
        <v>106.622560531338</v>
      </c>
      <c r="AD100" s="33">
        <v>106.667379216453</v>
      </c>
      <c r="AE100" s="15">
        <v>-6.8114825749766503E-4</v>
      </c>
      <c r="AF100" s="15">
        <v>-2.5731832303808801E-4</v>
      </c>
      <c r="AG100" s="15">
        <v>1.62942340242985E-4</v>
      </c>
      <c r="AI100" s="12"/>
      <c r="AJ100">
        <f t="shared" si="26"/>
        <v>0</v>
      </c>
      <c r="AK100">
        <f t="shared" si="27"/>
        <v>1</v>
      </c>
      <c r="AL100">
        <f t="shared" si="34"/>
        <v>0</v>
      </c>
      <c r="AM100">
        <f t="shared" si="24"/>
        <v>1</v>
      </c>
      <c r="AN100">
        <f t="shared" si="35"/>
        <v>0</v>
      </c>
      <c r="AO100" s="28">
        <f t="shared" si="28"/>
        <v>0</v>
      </c>
      <c r="AP100" s="28">
        <f t="shared" si="29"/>
        <v>0</v>
      </c>
      <c r="AQ100" s="28">
        <f t="shared" si="36"/>
        <v>0</v>
      </c>
      <c r="AR100" s="29">
        <f t="shared" si="37"/>
        <v>9.1469176544525799E-3</v>
      </c>
      <c r="AT100" s="12"/>
      <c r="AU100">
        <f t="shared" si="30"/>
        <v>0</v>
      </c>
      <c r="AV100">
        <f t="shared" si="31"/>
        <v>0</v>
      </c>
      <c r="AW100">
        <f t="shared" si="38"/>
        <v>0</v>
      </c>
      <c r="AX100">
        <f t="shared" si="25"/>
        <v>1</v>
      </c>
      <c r="AY100">
        <f t="shared" si="39"/>
        <v>0</v>
      </c>
      <c r="AZ100" s="28">
        <f t="shared" si="32"/>
        <v>0</v>
      </c>
      <c r="BA100" s="28">
        <f t="shared" si="33"/>
        <v>0</v>
      </c>
      <c r="BB100" s="28">
        <f t="shared" si="40"/>
        <v>0</v>
      </c>
      <c r="BC100" s="29">
        <f t="shared" si="41"/>
        <v>4.5406664314132815E-3</v>
      </c>
      <c r="BE100" s="29">
        <f t="shared" si="42"/>
        <v>0</v>
      </c>
      <c r="BF100" s="29">
        <f t="shared" si="43"/>
        <v>1.3687584085865862E-2</v>
      </c>
      <c r="BH100" s="29"/>
    </row>
    <row r="101" spans="1:60" x14ac:dyDescent="0.25">
      <c r="A101" s="1">
        <v>46169</v>
      </c>
      <c r="B101" s="33">
        <v>45.46</v>
      </c>
      <c r="C101" s="33">
        <v>106.89</v>
      </c>
      <c r="D101" s="15">
        <v>1.3207133770948699E-3</v>
      </c>
      <c r="E101" s="15">
        <v>2.2478233684947099E-3</v>
      </c>
      <c r="F101" s="33">
        <v>0</v>
      </c>
      <c r="G101" s="33">
        <v>0.53595000000000004</v>
      </c>
      <c r="H101" s="33">
        <v>0</v>
      </c>
      <c r="I101" s="33">
        <v>1.14231999999999</v>
      </c>
      <c r="J101" s="33">
        <v>0</v>
      </c>
      <c r="K101" s="33">
        <v>0</v>
      </c>
      <c r="L101" s="33">
        <v>45.46</v>
      </c>
      <c r="M101" s="33">
        <v>106.89</v>
      </c>
      <c r="N101" s="34">
        <v>2.35129784425868</v>
      </c>
      <c r="O101" s="34">
        <v>2.3475193892851398</v>
      </c>
      <c r="P101" s="34">
        <v>2.3486124089544398</v>
      </c>
      <c r="Q101" s="34">
        <v>2.3496100369294801</v>
      </c>
      <c r="R101" s="33">
        <v>106.718231436902</v>
      </c>
      <c r="S101" s="33">
        <v>106.75796743662499</v>
      </c>
      <c r="T101" s="33">
        <v>106.810272497824</v>
      </c>
      <c r="U101" s="15">
        <v>-1.60825824889751E-3</v>
      </c>
      <c r="V101" s="15">
        <v>-1.23598255361306E-3</v>
      </c>
      <c r="W101" s="15">
        <v>-7.4616194862775302E-4</v>
      </c>
      <c r="X101" s="34">
        <v>2.35129784425868</v>
      </c>
      <c r="Y101" s="34">
        <v>2.3475193892851398</v>
      </c>
      <c r="Z101" s="34">
        <v>2.3486124089544398</v>
      </c>
      <c r="AA101" s="34">
        <v>2.3496100369294801</v>
      </c>
      <c r="AB101" s="33">
        <v>106.718231436902</v>
      </c>
      <c r="AC101" s="33">
        <v>106.75796743662499</v>
      </c>
      <c r="AD101" s="33">
        <v>106.810272497824</v>
      </c>
      <c r="AE101" s="15">
        <v>-1.60825824889751E-3</v>
      </c>
      <c r="AF101" s="15">
        <v>-1.23598255361306E-3</v>
      </c>
      <c r="AG101" s="15">
        <v>-7.4616194862775302E-4</v>
      </c>
      <c r="AI101" s="12"/>
      <c r="AJ101">
        <f t="shared" si="26"/>
        <v>0</v>
      </c>
      <c r="AK101">
        <f t="shared" si="27"/>
        <v>0</v>
      </c>
      <c r="AL101">
        <f t="shared" si="34"/>
        <v>0</v>
      </c>
      <c r="AM101">
        <f t="shared" si="24"/>
        <v>1</v>
      </c>
      <c r="AN101">
        <f t="shared" si="35"/>
        <v>0</v>
      </c>
      <c r="AO101" s="28">
        <f t="shared" si="28"/>
        <v>0</v>
      </c>
      <c r="AP101" s="28">
        <f t="shared" si="29"/>
        <v>0</v>
      </c>
      <c r="AQ101" s="28">
        <f t="shared" si="36"/>
        <v>0</v>
      </c>
      <c r="AR101" s="29">
        <f t="shared" si="37"/>
        <v>9.1469176544525799E-3</v>
      </c>
      <c r="AT101" s="12"/>
      <c r="AU101">
        <f t="shared" si="30"/>
        <v>0</v>
      </c>
      <c r="AV101">
        <f t="shared" si="31"/>
        <v>1</v>
      </c>
      <c r="AW101">
        <f t="shared" si="38"/>
        <v>0</v>
      </c>
      <c r="AX101">
        <f t="shared" si="25"/>
        <v>1</v>
      </c>
      <c r="AY101">
        <f t="shared" si="39"/>
        <v>0</v>
      </c>
      <c r="AZ101" s="28">
        <f t="shared" si="32"/>
        <v>0</v>
      </c>
      <c r="BA101" s="28">
        <f t="shared" si="33"/>
        <v>0</v>
      </c>
      <c r="BB101" s="28">
        <f t="shared" si="40"/>
        <v>0</v>
      </c>
      <c r="BC101" s="29">
        <f t="shared" si="41"/>
        <v>4.5406664314132815E-3</v>
      </c>
      <c r="BE101" s="29">
        <f t="shared" si="42"/>
        <v>0</v>
      </c>
      <c r="BF101" s="29">
        <f t="shared" si="43"/>
        <v>1.3687584085865862E-2</v>
      </c>
      <c r="BH101" s="29"/>
    </row>
    <row r="102" spans="1:60" x14ac:dyDescent="0.25">
      <c r="A102" s="1">
        <v>46170</v>
      </c>
      <c r="B102" s="33">
        <v>45.53</v>
      </c>
      <c r="C102" s="33">
        <v>107.03</v>
      </c>
      <c r="D102" s="15">
        <v>1.53863092229351E-3</v>
      </c>
      <c r="E102" s="15">
        <v>1.3089007104298499E-3</v>
      </c>
      <c r="F102" s="33">
        <v>0</v>
      </c>
      <c r="G102" s="33">
        <v>0.53595000000000004</v>
      </c>
      <c r="H102" s="33">
        <v>0</v>
      </c>
      <c r="I102" s="33">
        <v>1.14231999999999</v>
      </c>
      <c r="J102" s="33">
        <v>0</v>
      </c>
      <c r="K102" s="33">
        <v>0</v>
      </c>
      <c r="L102" s="33">
        <v>45.53</v>
      </c>
      <c r="M102" s="33">
        <v>107.03</v>
      </c>
      <c r="N102" s="34">
        <v>2.3507577421480299</v>
      </c>
      <c r="O102" s="34">
        <v>2.3475193892851398</v>
      </c>
      <c r="P102" s="34">
        <v>2.3486947940110299</v>
      </c>
      <c r="Q102" s="34">
        <v>2.3495732315939999</v>
      </c>
      <c r="R102" s="33">
        <v>106.88255779415201</v>
      </c>
      <c r="S102" s="33">
        <v>106.932322979696</v>
      </c>
      <c r="T102" s="33">
        <v>106.977744981399</v>
      </c>
      <c r="U102" s="15">
        <v>-1.3785280370338499E-3</v>
      </c>
      <c r="V102" s="15">
        <v>-9.1303016091014903E-4</v>
      </c>
      <c r="W102" s="15">
        <v>-4.88346995512629E-4</v>
      </c>
      <c r="X102" s="34">
        <v>2.3507577421480299</v>
      </c>
      <c r="Y102" s="34">
        <v>2.3475193892851398</v>
      </c>
      <c r="Z102" s="34">
        <v>2.3486947940110299</v>
      </c>
      <c r="AA102" s="34">
        <v>2.3495732315939999</v>
      </c>
      <c r="AB102" s="33">
        <v>106.88255779415201</v>
      </c>
      <c r="AC102" s="33">
        <v>106.932322979696</v>
      </c>
      <c r="AD102" s="33">
        <v>106.977744981399</v>
      </c>
      <c r="AE102" s="15">
        <v>-1.3785280370338499E-3</v>
      </c>
      <c r="AF102" s="15">
        <v>-9.1303016091014903E-4</v>
      </c>
      <c r="AG102" s="15">
        <v>-4.88346995512629E-4</v>
      </c>
      <c r="AI102" s="12"/>
      <c r="AJ102">
        <f t="shared" si="26"/>
        <v>0</v>
      </c>
      <c r="AK102">
        <f t="shared" si="27"/>
        <v>0</v>
      </c>
      <c r="AL102">
        <f t="shared" si="34"/>
        <v>0</v>
      </c>
      <c r="AM102">
        <f t="shared" si="24"/>
        <v>1</v>
      </c>
      <c r="AN102">
        <f t="shared" si="35"/>
        <v>0</v>
      </c>
      <c r="AO102" s="28">
        <f t="shared" si="28"/>
        <v>0</v>
      </c>
      <c r="AP102" s="28">
        <f t="shared" si="29"/>
        <v>0</v>
      </c>
      <c r="AQ102" s="28">
        <f t="shared" si="36"/>
        <v>0</v>
      </c>
      <c r="AR102" s="29">
        <f t="shared" si="37"/>
        <v>9.1469176544525799E-3</v>
      </c>
      <c r="AT102" s="12"/>
      <c r="AU102">
        <f t="shared" si="30"/>
        <v>0</v>
      </c>
      <c r="AV102">
        <f t="shared" si="31"/>
        <v>1</v>
      </c>
      <c r="AW102">
        <f t="shared" si="38"/>
        <v>0</v>
      </c>
      <c r="AX102">
        <f t="shared" si="25"/>
        <v>1</v>
      </c>
      <c r="AY102">
        <f t="shared" si="39"/>
        <v>0</v>
      </c>
      <c r="AZ102" s="28">
        <f t="shared" si="32"/>
        <v>0</v>
      </c>
      <c r="BA102" s="28">
        <f t="shared" si="33"/>
        <v>0</v>
      </c>
      <c r="BB102" s="28">
        <f t="shared" si="40"/>
        <v>0</v>
      </c>
      <c r="BC102" s="29">
        <f t="shared" si="41"/>
        <v>4.5406664314132815E-3</v>
      </c>
      <c r="BE102" s="29">
        <f t="shared" si="42"/>
        <v>0</v>
      </c>
      <c r="BF102" s="29">
        <f t="shared" si="43"/>
        <v>1.3687584085865862E-2</v>
      </c>
      <c r="BH102" s="29"/>
    </row>
    <row r="103" spans="1:60" x14ac:dyDescent="0.25">
      <c r="A103" s="1">
        <v>46171</v>
      </c>
      <c r="B103" s="33">
        <v>45.59</v>
      </c>
      <c r="C103" s="33">
        <v>107.17</v>
      </c>
      <c r="D103" s="15">
        <v>1.3169448786593599E-3</v>
      </c>
      <c r="E103" s="15">
        <v>1.30718972862142E-3</v>
      </c>
      <c r="F103" s="33">
        <v>0</v>
      </c>
      <c r="G103" s="33">
        <v>0.53595000000000004</v>
      </c>
      <c r="H103" s="33">
        <v>0</v>
      </c>
      <c r="I103" s="33">
        <v>1.14231999999999</v>
      </c>
      <c r="J103" s="33">
        <v>0</v>
      </c>
      <c r="K103" s="33">
        <v>0</v>
      </c>
      <c r="L103" s="33">
        <v>45.59</v>
      </c>
      <c r="M103" s="33">
        <v>107.17</v>
      </c>
      <c r="N103" s="34">
        <v>2.3507348102654002</v>
      </c>
      <c r="O103" s="34">
        <v>2.3475193892851398</v>
      </c>
      <c r="P103" s="34">
        <v>2.34873081360081</v>
      </c>
      <c r="Q103" s="34">
        <v>2.3495913235772101</v>
      </c>
      <c r="R103" s="33">
        <v>107.02340895750901</v>
      </c>
      <c r="S103" s="33">
        <v>107.07699565896201</v>
      </c>
      <c r="T103" s="33">
        <v>107.11704362837</v>
      </c>
      <c r="U103" s="15">
        <v>-1.36877288699591E-3</v>
      </c>
      <c r="V103" s="15">
        <v>-8.6819744279659401E-4</v>
      </c>
      <c r="W103" s="15">
        <v>-4.9425641243388803E-4</v>
      </c>
      <c r="X103" s="34">
        <v>2.3507348102654002</v>
      </c>
      <c r="Y103" s="34">
        <v>2.3475193892851398</v>
      </c>
      <c r="Z103" s="34">
        <v>2.34873081360081</v>
      </c>
      <c r="AA103" s="34">
        <v>2.3495913235772101</v>
      </c>
      <c r="AB103" s="33">
        <v>107.02340895750901</v>
      </c>
      <c r="AC103" s="33">
        <v>107.07699565896201</v>
      </c>
      <c r="AD103" s="33">
        <v>107.11704362837</v>
      </c>
      <c r="AE103" s="15">
        <v>-1.36877288699591E-3</v>
      </c>
      <c r="AF103" s="15">
        <v>-8.6819744279659401E-4</v>
      </c>
      <c r="AG103" s="15">
        <v>-4.9425641243388803E-4</v>
      </c>
      <c r="AI103" s="12"/>
      <c r="AJ103">
        <f t="shared" si="26"/>
        <v>0</v>
      </c>
      <c r="AK103">
        <f t="shared" si="27"/>
        <v>0</v>
      </c>
      <c r="AL103">
        <f t="shared" si="34"/>
        <v>0</v>
      </c>
      <c r="AM103">
        <f t="shared" si="24"/>
        <v>0</v>
      </c>
      <c r="AN103">
        <f t="shared" si="35"/>
        <v>0</v>
      </c>
      <c r="AO103" s="28">
        <f t="shared" si="28"/>
        <v>0</v>
      </c>
      <c r="AP103" s="28">
        <f t="shared" si="29"/>
        <v>0</v>
      </c>
      <c r="AQ103" s="28">
        <f t="shared" si="36"/>
        <v>0</v>
      </c>
      <c r="AR103" s="29">
        <f t="shared" si="37"/>
        <v>9.1469176544525799E-3</v>
      </c>
      <c r="AT103" s="12"/>
      <c r="AU103">
        <f t="shared" si="30"/>
        <v>0</v>
      </c>
      <c r="AV103">
        <f t="shared" si="31"/>
        <v>1</v>
      </c>
      <c r="AW103">
        <f t="shared" si="38"/>
        <v>0</v>
      </c>
      <c r="AX103">
        <f t="shared" si="25"/>
        <v>0</v>
      </c>
      <c r="AY103">
        <f t="shared" si="39"/>
        <v>0</v>
      </c>
      <c r="AZ103" s="28">
        <f t="shared" si="32"/>
        <v>0</v>
      </c>
      <c r="BA103" s="28">
        <f t="shared" si="33"/>
        <v>0</v>
      </c>
      <c r="BB103" s="28">
        <f t="shared" si="40"/>
        <v>0</v>
      </c>
      <c r="BC103" s="29">
        <f t="shared" si="41"/>
        <v>4.5406664314132815E-3</v>
      </c>
      <c r="BE103" s="29">
        <f t="shared" si="42"/>
        <v>0</v>
      </c>
      <c r="BF103" s="29">
        <f t="shared" si="43"/>
        <v>1.3687584085865862E-2</v>
      </c>
      <c r="BH103" s="29"/>
    </row>
    <row r="104" spans="1:60" x14ac:dyDescent="0.25">
      <c r="A104" s="1">
        <v>46174</v>
      </c>
      <c r="B104" s="33">
        <v>45.49</v>
      </c>
      <c r="C104" s="33">
        <v>106.94</v>
      </c>
      <c r="D104" s="15">
        <v>-2.1958726434373301E-3</v>
      </c>
      <c r="E104" s="15">
        <v>-2.1484292043202E-3</v>
      </c>
      <c r="F104" s="33">
        <v>0.13396</v>
      </c>
      <c r="G104" s="33">
        <v>0.66991000000000001</v>
      </c>
      <c r="H104" s="33">
        <v>0.27983999999999998</v>
      </c>
      <c r="I104" s="33">
        <v>1.4221599999999901</v>
      </c>
      <c r="J104" s="33">
        <v>0</v>
      </c>
      <c r="K104" s="33">
        <v>0</v>
      </c>
      <c r="L104" s="33">
        <v>45.49</v>
      </c>
      <c r="M104" s="33">
        <v>106.94</v>
      </c>
      <c r="N104" s="34">
        <v>2.3508463398549102</v>
      </c>
      <c r="O104" s="34">
        <v>2.3475193892851398</v>
      </c>
      <c r="P104" s="34">
        <v>2.3488287336801901</v>
      </c>
      <c r="Q104" s="34">
        <v>2.3495791611510701</v>
      </c>
      <c r="R104" s="33">
        <v>106.78865701858101</v>
      </c>
      <c r="S104" s="33">
        <v>106.843764710701</v>
      </c>
      <c r="T104" s="33">
        <v>106.88290930952699</v>
      </c>
      <c r="U104" s="15">
        <v>-1.4162163261129299E-3</v>
      </c>
      <c r="V104" s="15">
        <v>-9.0030499677406898E-4</v>
      </c>
      <c r="W104" s="15">
        <v>-5.3399976656728497E-4</v>
      </c>
      <c r="X104" s="34">
        <v>2.3508463398549102</v>
      </c>
      <c r="Y104" s="34">
        <v>2.3475193892851398</v>
      </c>
      <c r="Z104" s="34">
        <v>2.3488287336801901</v>
      </c>
      <c r="AA104" s="34">
        <v>2.3495791611510701</v>
      </c>
      <c r="AB104" s="33">
        <v>106.78865701858101</v>
      </c>
      <c r="AC104" s="33">
        <v>106.843764710701</v>
      </c>
      <c r="AD104" s="33">
        <v>106.88290930952699</v>
      </c>
      <c r="AE104" s="15">
        <v>-1.4162163261129299E-3</v>
      </c>
      <c r="AF104" s="15">
        <v>-9.0030499677406898E-4</v>
      </c>
      <c r="AG104" s="15">
        <v>-5.3399976656728497E-4</v>
      </c>
      <c r="AI104" s="12"/>
      <c r="AJ104">
        <f t="shared" si="26"/>
        <v>0</v>
      </c>
      <c r="AK104">
        <f t="shared" si="27"/>
        <v>0</v>
      </c>
      <c r="AL104">
        <f t="shared" si="34"/>
        <v>0</v>
      </c>
      <c r="AM104">
        <f t="shared" si="24"/>
        <v>1</v>
      </c>
      <c r="AN104">
        <f t="shared" si="35"/>
        <v>0</v>
      </c>
      <c r="AO104" s="28">
        <f t="shared" si="28"/>
        <v>0</v>
      </c>
      <c r="AP104" s="28">
        <f t="shared" si="29"/>
        <v>0</v>
      </c>
      <c r="AQ104" s="28">
        <f t="shared" si="36"/>
        <v>0</v>
      </c>
      <c r="AR104" s="29">
        <f t="shared" si="37"/>
        <v>9.1469176544525799E-3</v>
      </c>
      <c r="AT104" s="12"/>
      <c r="AU104">
        <f t="shared" si="30"/>
        <v>0</v>
      </c>
      <c r="AV104">
        <f t="shared" si="31"/>
        <v>1</v>
      </c>
      <c r="AW104">
        <f t="shared" si="38"/>
        <v>0</v>
      </c>
      <c r="AX104">
        <f t="shared" si="25"/>
        <v>1</v>
      </c>
      <c r="AY104">
        <f t="shared" si="39"/>
        <v>0</v>
      </c>
      <c r="AZ104" s="28">
        <f t="shared" si="32"/>
        <v>0</v>
      </c>
      <c r="BA104" s="28">
        <f t="shared" si="33"/>
        <v>0</v>
      </c>
      <c r="BB104" s="28">
        <f t="shared" si="40"/>
        <v>0</v>
      </c>
      <c r="BC104" s="29">
        <f t="shared" si="41"/>
        <v>4.5406664314132815E-3</v>
      </c>
      <c r="BE104" s="29">
        <f t="shared" si="42"/>
        <v>0</v>
      </c>
      <c r="BF104" s="29">
        <f t="shared" si="43"/>
        <v>1.3687584085865862E-2</v>
      </c>
      <c r="BH104" s="29"/>
    </row>
    <row r="105" spans="1:60" x14ac:dyDescent="0.25">
      <c r="A105" s="1">
        <v>46175</v>
      </c>
      <c r="B105" s="33">
        <v>45.59</v>
      </c>
      <c r="C105" s="33">
        <v>107.1</v>
      </c>
      <c r="D105" s="15">
        <v>2.1958726434374502E-3</v>
      </c>
      <c r="E105" s="15">
        <v>1.49504793311746E-3</v>
      </c>
      <c r="F105" s="33">
        <v>0</v>
      </c>
      <c r="G105" s="33">
        <v>0.66991000000000001</v>
      </c>
      <c r="H105" s="33">
        <v>0</v>
      </c>
      <c r="I105" s="33">
        <v>1.4221599999999901</v>
      </c>
      <c r="J105" s="33">
        <v>0</v>
      </c>
      <c r="K105" s="33">
        <v>0</v>
      </c>
      <c r="L105" s="33">
        <v>45.59</v>
      </c>
      <c r="M105" s="33">
        <v>107.1</v>
      </c>
      <c r="N105" s="34">
        <v>2.3491993858302198</v>
      </c>
      <c r="O105" s="34">
        <v>2.3475193892851398</v>
      </c>
      <c r="P105" s="34">
        <v>2.3489545155567102</v>
      </c>
      <c r="Q105" s="34">
        <v>2.3496167223422102</v>
      </c>
      <c r="R105" s="33">
        <v>107.02340895750901</v>
      </c>
      <c r="S105" s="33">
        <v>107.08310196847999</v>
      </c>
      <c r="T105" s="33">
        <v>107.117313956877</v>
      </c>
      <c r="U105" s="15">
        <v>-7.1539161579319303E-4</v>
      </c>
      <c r="V105" s="15">
        <v>-1.5779052034969101E-4</v>
      </c>
      <c r="W105" s="15">
        <v>1.6164852966821201E-4</v>
      </c>
      <c r="X105" s="34">
        <v>2.3491993858302198</v>
      </c>
      <c r="Y105" s="34">
        <v>2.3475193892851398</v>
      </c>
      <c r="Z105" s="34">
        <v>2.3489545155567102</v>
      </c>
      <c r="AA105" s="34">
        <v>2.3496167223422102</v>
      </c>
      <c r="AB105" s="33">
        <v>107.02340895750901</v>
      </c>
      <c r="AC105" s="33">
        <v>107.08310196847999</v>
      </c>
      <c r="AD105" s="33">
        <v>107.117313956877</v>
      </c>
      <c r="AE105" s="15">
        <v>-7.1539161579319303E-4</v>
      </c>
      <c r="AF105" s="15">
        <v>-1.5779052034969101E-4</v>
      </c>
      <c r="AG105" s="15">
        <v>1.6164852966821201E-4</v>
      </c>
      <c r="AI105" s="12"/>
      <c r="AJ105">
        <f t="shared" si="26"/>
        <v>0</v>
      </c>
      <c r="AK105">
        <f t="shared" si="27"/>
        <v>1</v>
      </c>
      <c r="AL105">
        <f t="shared" si="34"/>
        <v>0</v>
      </c>
      <c r="AM105">
        <f t="shared" si="24"/>
        <v>1</v>
      </c>
      <c r="AN105">
        <f t="shared" si="35"/>
        <v>0</v>
      </c>
      <c r="AO105" s="28">
        <f t="shared" si="28"/>
        <v>0</v>
      </c>
      <c r="AP105" s="28">
        <f t="shared" si="29"/>
        <v>0</v>
      </c>
      <c r="AQ105" s="28">
        <f t="shared" si="36"/>
        <v>0</v>
      </c>
      <c r="AR105" s="29">
        <f t="shared" si="37"/>
        <v>9.1469176544525799E-3</v>
      </c>
      <c r="AT105" s="12"/>
      <c r="AU105">
        <f t="shared" si="30"/>
        <v>0</v>
      </c>
      <c r="AV105">
        <f t="shared" si="31"/>
        <v>0</v>
      </c>
      <c r="AW105">
        <f t="shared" si="38"/>
        <v>0</v>
      </c>
      <c r="AX105">
        <f t="shared" si="25"/>
        <v>1</v>
      </c>
      <c r="AY105">
        <f t="shared" si="39"/>
        <v>0</v>
      </c>
      <c r="AZ105" s="28">
        <f t="shared" si="32"/>
        <v>0</v>
      </c>
      <c r="BA105" s="28">
        <f t="shared" si="33"/>
        <v>0</v>
      </c>
      <c r="BB105" s="28">
        <f t="shared" si="40"/>
        <v>0</v>
      </c>
      <c r="BC105" s="29">
        <f t="shared" si="41"/>
        <v>4.5406664314132815E-3</v>
      </c>
      <c r="BE105" s="29">
        <f t="shared" si="42"/>
        <v>0</v>
      </c>
      <c r="BF105" s="29">
        <f t="shared" si="43"/>
        <v>1.3687584085865862E-2</v>
      </c>
      <c r="BH105" s="29"/>
    </row>
    <row r="106" spans="1:60" x14ac:dyDescent="0.25">
      <c r="A106" s="1">
        <v>46176</v>
      </c>
      <c r="B106" s="33">
        <v>45.58</v>
      </c>
      <c r="C106" s="33">
        <v>107.01</v>
      </c>
      <c r="D106" s="15">
        <v>-2.1937040781198699E-4</v>
      </c>
      <c r="E106" s="15">
        <v>-8.4068941479312404E-4</v>
      </c>
      <c r="F106" s="33">
        <v>0</v>
      </c>
      <c r="G106" s="33">
        <v>0.66991000000000001</v>
      </c>
      <c r="H106" s="33">
        <v>0</v>
      </c>
      <c r="I106" s="33">
        <v>1.4221599999999901</v>
      </c>
      <c r="J106" s="33">
        <v>0</v>
      </c>
      <c r="K106" s="33">
        <v>0</v>
      </c>
      <c r="L106" s="33">
        <v>45.58</v>
      </c>
      <c r="M106" s="33">
        <v>107.01</v>
      </c>
      <c r="N106" s="34">
        <v>2.3477402369460201</v>
      </c>
      <c r="O106" s="34">
        <v>2.3475193892851398</v>
      </c>
      <c r="P106" s="34">
        <v>2.3492710287121499</v>
      </c>
      <c r="Q106" s="34">
        <v>2.3494415232227599</v>
      </c>
      <c r="R106" s="33">
        <v>106.99993376361699</v>
      </c>
      <c r="S106" s="33">
        <v>107.06534681907399</v>
      </c>
      <c r="T106" s="33">
        <v>107.095530204358</v>
      </c>
      <c r="U106" s="15">
        <v>-9.4072608812057696E-5</v>
      </c>
      <c r="V106" s="15">
        <v>5.1707794597089104E-4</v>
      </c>
      <c r="W106" s="15">
        <v>7.9895375730035505E-4</v>
      </c>
      <c r="X106" s="34">
        <v>2.3477402369460201</v>
      </c>
      <c r="Y106" s="34">
        <v>2.3475193892851398</v>
      </c>
      <c r="Z106" s="34">
        <v>2.3492710287121499</v>
      </c>
      <c r="AA106" s="34">
        <v>2.3494415232227599</v>
      </c>
      <c r="AB106" s="33">
        <v>106.99993376361699</v>
      </c>
      <c r="AC106" s="33">
        <v>107.06534681907399</v>
      </c>
      <c r="AD106" s="33">
        <v>107.095530204358</v>
      </c>
      <c r="AE106" s="15">
        <v>-9.4072608812057696E-5</v>
      </c>
      <c r="AF106" s="15">
        <v>5.1707794597089104E-4</v>
      </c>
      <c r="AG106" s="15">
        <v>7.9895375730035505E-4</v>
      </c>
      <c r="AI106" s="12"/>
      <c r="AJ106">
        <f t="shared" si="26"/>
        <v>0</v>
      </c>
      <c r="AK106">
        <f t="shared" si="27"/>
        <v>1</v>
      </c>
      <c r="AL106">
        <f t="shared" si="34"/>
        <v>0</v>
      </c>
      <c r="AM106">
        <f t="shared" si="24"/>
        <v>1</v>
      </c>
      <c r="AN106">
        <f t="shared" si="35"/>
        <v>0</v>
      </c>
      <c r="AO106" s="28">
        <f t="shared" si="28"/>
        <v>0</v>
      </c>
      <c r="AP106" s="28">
        <f t="shared" si="29"/>
        <v>0</v>
      </c>
      <c r="AQ106" s="28">
        <f t="shared" si="36"/>
        <v>0</v>
      </c>
      <c r="AR106" s="29">
        <f t="shared" si="37"/>
        <v>9.1469176544525799E-3</v>
      </c>
      <c r="AT106" s="12"/>
      <c r="AU106">
        <f t="shared" si="30"/>
        <v>0</v>
      </c>
      <c r="AV106">
        <f t="shared" si="31"/>
        <v>0</v>
      </c>
      <c r="AW106">
        <f t="shared" si="38"/>
        <v>0</v>
      </c>
      <c r="AX106">
        <f t="shared" si="25"/>
        <v>1</v>
      </c>
      <c r="AY106">
        <f t="shared" si="39"/>
        <v>0</v>
      </c>
      <c r="AZ106" s="28">
        <f t="shared" si="32"/>
        <v>0</v>
      </c>
      <c r="BA106" s="28">
        <f t="shared" si="33"/>
        <v>0</v>
      </c>
      <c r="BB106" s="28">
        <f t="shared" si="40"/>
        <v>0</v>
      </c>
      <c r="BC106" s="29">
        <f t="shared" si="41"/>
        <v>4.5406664314132815E-3</v>
      </c>
      <c r="BE106" s="29">
        <f t="shared" si="42"/>
        <v>0</v>
      </c>
      <c r="BF106" s="29">
        <f t="shared" si="43"/>
        <v>1.3687584085865862E-2</v>
      </c>
      <c r="BH106" s="29"/>
    </row>
    <row r="107" spans="1:60" x14ac:dyDescent="0.25">
      <c r="A107" s="1">
        <v>46177</v>
      </c>
      <c r="B107" s="33">
        <v>45.63</v>
      </c>
      <c r="C107" s="33">
        <v>107.19</v>
      </c>
      <c r="D107" s="15">
        <v>1.09637112177315E-3</v>
      </c>
      <c r="E107" s="15">
        <v>1.6806726645182399E-3</v>
      </c>
      <c r="F107" s="33">
        <v>0</v>
      </c>
      <c r="G107" s="33">
        <v>0.66991000000000001</v>
      </c>
      <c r="H107" s="33">
        <v>0</v>
      </c>
      <c r="I107" s="33">
        <v>1.4221599999999901</v>
      </c>
      <c r="J107" s="33">
        <v>0</v>
      </c>
      <c r="K107" s="33">
        <v>0</v>
      </c>
      <c r="L107" s="33">
        <v>45.63</v>
      </c>
      <c r="M107" s="33">
        <v>107.19</v>
      </c>
      <c r="N107" s="34">
        <v>2.3491124260355001</v>
      </c>
      <c r="O107" s="34">
        <v>2.3475193892851398</v>
      </c>
      <c r="P107" s="34">
        <v>2.3495643311163601</v>
      </c>
      <c r="Q107" s="34">
        <v>2.3493773729955398</v>
      </c>
      <c r="R107" s="33">
        <v>107.117309733081</v>
      </c>
      <c r="S107" s="33">
        <v>107.19723704013499</v>
      </c>
      <c r="T107" s="33">
        <v>107.205016704654</v>
      </c>
      <c r="U107" s="15">
        <v>-6.7837415155708202E-4</v>
      </c>
      <c r="V107" s="15">
        <v>6.7513721789226995E-5</v>
      </c>
      <c r="W107" s="15">
        <v>1.40084456348628E-4</v>
      </c>
      <c r="X107" s="34">
        <v>2.3491124260355001</v>
      </c>
      <c r="Y107" s="34">
        <v>2.3475193892851398</v>
      </c>
      <c r="Z107" s="34">
        <v>2.3495643311163601</v>
      </c>
      <c r="AA107" s="34">
        <v>2.3493773729955398</v>
      </c>
      <c r="AB107" s="33">
        <v>107.117309733081</v>
      </c>
      <c r="AC107" s="33">
        <v>107.19723704013499</v>
      </c>
      <c r="AD107" s="33">
        <v>107.205016704654</v>
      </c>
      <c r="AE107" s="15">
        <v>-6.7837415155708202E-4</v>
      </c>
      <c r="AF107" s="15">
        <v>6.7513721789226995E-5</v>
      </c>
      <c r="AG107" s="15">
        <v>1.40084456348628E-4</v>
      </c>
      <c r="AI107" s="12"/>
      <c r="AJ107">
        <f t="shared" si="26"/>
        <v>0</v>
      </c>
      <c r="AK107">
        <f t="shared" si="27"/>
        <v>1</v>
      </c>
      <c r="AL107">
        <f t="shared" si="34"/>
        <v>0</v>
      </c>
      <c r="AM107">
        <f t="shared" si="24"/>
        <v>1</v>
      </c>
      <c r="AN107">
        <f t="shared" si="35"/>
        <v>0</v>
      </c>
      <c r="AO107" s="28">
        <f t="shared" si="28"/>
        <v>0</v>
      </c>
      <c r="AP107" s="28">
        <f t="shared" si="29"/>
        <v>0</v>
      </c>
      <c r="AQ107" s="28">
        <f t="shared" si="36"/>
        <v>0</v>
      </c>
      <c r="AR107" s="29">
        <f t="shared" si="37"/>
        <v>9.1469176544525799E-3</v>
      </c>
      <c r="AT107" s="12"/>
      <c r="AU107">
        <f t="shared" si="30"/>
        <v>0</v>
      </c>
      <c r="AV107">
        <f t="shared" si="31"/>
        <v>0</v>
      </c>
      <c r="AW107">
        <f t="shared" si="38"/>
        <v>0</v>
      </c>
      <c r="AX107">
        <f t="shared" si="25"/>
        <v>1</v>
      </c>
      <c r="AY107">
        <f t="shared" si="39"/>
        <v>0</v>
      </c>
      <c r="AZ107" s="28">
        <f t="shared" si="32"/>
        <v>0</v>
      </c>
      <c r="BA107" s="28">
        <f t="shared" si="33"/>
        <v>0</v>
      </c>
      <c r="BB107" s="28">
        <f t="shared" si="40"/>
        <v>0</v>
      </c>
      <c r="BC107" s="29">
        <f t="shared" si="41"/>
        <v>4.5406664314132815E-3</v>
      </c>
      <c r="BE107" s="29">
        <f t="shared" si="42"/>
        <v>0</v>
      </c>
      <c r="BF107" s="29">
        <f t="shared" si="43"/>
        <v>1.3687584085865862E-2</v>
      </c>
      <c r="BH107" s="29"/>
    </row>
    <row r="108" spans="1:60" x14ac:dyDescent="0.25">
      <c r="A108" s="1">
        <v>46178</v>
      </c>
      <c r="B108" s="33">
        <v>45.56</v>
      </c>
      <c r="C108" s="33">
        <v>106.97</v>
      </c>
      <c r="D108" s="15">
        <v>-1.53525636032977E-3</v>
      </c>
      <c r="E108" s="15">
        <v>-2.0545393853886101E-3</v>
      </c>
      <c r="F108" s="33">
        <v>0</v>
      </c>
      <c r="G108" s="33">
        <v>0.66991000000000001</v>
      </c>
      <c r="H108" s="33">
        <v>0</v>
      </c>
      <c r="I108" s="33">
        <v>1.4221599999999901</v>
      </c>
      <c r="J108" s="33">
        <v>0</v>
      </c>
      <c r="K108" s="33">
        <v>0</v>
      </c>
      <c r="L108" s="33">
        <v>45.56</v>
      </c>
      <c r="M108" s="33">
        <v>106.97</v>
      </c>
      <c r="N108" s="34">
        <v>2.3478928884986798</v>
      </c>
      <c r="O108" s="34">
        <v>2.3475193892851398</v>
      </c>
      <c r="P108" s="34">
        <v>2.3496114203645502</v>
      </c>
      <c r="Q108" s="34">
        <v>2.3491488863738601</v>
      </c>
      <c r="R108" s="33">
        <v>106.952983375831</v>
      </c>
      <c r="S108" s="33">
        <v>107.046150925661</v>
      </c>
      <c r="T108" s="33">
        <v>107.037633113677</v>
      </c>
      <c r="U108" s="15">
        <v>-1.59091126498303E-4</v>
      </c>
      <c r="V108" s="15">
        <v>7.1163721565988805E-4</v>
      </c>
      <c r="W108" s="15">
        <v>6.3206265070692397E-4</v>
      </c>
      <c r="X108" s="34">
        <v>2.3478928884986798</v>
      </c>
      <c r="Y108" s="34">
        <v>2.3475193892851398</v>
      </c>
      <c r="Z108" s="34">
        <v>2.3496114203645502</v>
      </c>
      <c r="AA108" s="34">
        <v>2.3491488863738601</v>
      </c>
      <c r="AB108" s="33">
        <v>106.952983375831</v>
      </c>
      <c r="AC108" s="33">
        <v>107.046150925661</v>
      </c>
      <c r="AD108" s="33">
        <v>107.037633113677</v>
      </c>
      <c r="AE108" s="15">
        <v>-1.59091126498303E-4</v>
      </c>
      <c r="AF108" s="15">
        <v>7.1163721565988805E-4</v>
      </c>
      <c r="AG108" s="15">
        <v>6.3206265070692397E-4</v>
      </c>
      <c r="AI108" s="12"/>
      <c r="AJ108">
        <f t="shared" si="26"/>
        <v>0</v>
      </c>
      <c r="AK108">
        <f t="shared" si="27"/>
        <v>1</v>
      </c>
      <c r="AL108">
        <f t="shared" si="34"/>
        <v>0</v>
      </c>
      <c r="AM108">
        <f t="shared" si="24"/>
        <v>1</v>
      </c>
      <c r="AN108">
        <f t="shared" si="35"/>
        <v>0</v>
      </c>
      <c r="AO108" s="28">
        <f t="shared" si="28"/>
        <v>0</v>
      </c>
      <c r="AP108" s="28">
        <f t="shared" si="29"/>
        <v>0</v>
      </c>
      <c r="AQ108" s="28">
        <f t="shared" si="36"/>
        <v>0</v>
      </c>
      <c r="AR108" s="29">
        <f t="shared" si="37"/>
        <v>9.1469176544525799E-3</v>
      </c>
      <c r="AT108" s="12"/>
      <c r="AU108">
        <f t="shared" si="30"/>
        <v>0</v>
      </c>
      <c r="AV108">
        <f t="shared" si="31"/>
        <v>0</v>
      </c>
      <c r="AW108">
        <f t="shared" si="38"/>
        <v>0</v>
      </c>
      <c r="AX108">
        <f t="shared" si="25"/>
        <v>1</v>
      </c>
      <c r="AY108">
        <f t="shared" si="39"/>
        <v>0</v>
      </c>
      <c r="AZ108" s="28">
        <f t="shared" si="32"/>
        <v>0</v>
      </c>
      <c r="BA108" s="28">
        <f t="shared" si="33"/>
        <v>0</v>
      </c>
      <c r="BB108" s="28">
        <f t="shared" si="40"/>
        <v>0</v>
      </c>
      <c r="BC108" s="29">
        <f t="shared" si="41"/>
        <v>4.5406664314132815E-3</v>
      </c>
      <c r="BE108" s="29">
        <f t="shared" si="42"/>
        <v>0</v>
      </c>
      <c r="BF108" s="29">
        <f t="shared" si="43"/>
        <v>1.3687584085865862E-2</v>
      </c>
      <c r="BH108" s="29"/>
    </row>
    <row r="109" spans="1:60" x14ac:dyDescent="0.25">
      <c r="A109" s="1">
        <v>46181</v>
      </c>
      <c r="B109" s="33">
        <v>45.56</v>
      </c>
      <c r="C109" s="33">
        <v>106.94</v>
      </c>
      <c r="D109" s="15">
        <v>0</v>
      </c>
      <c r="E109" s="15">
        <v>-2.80491797453932E-4</v>
      </c>
      <c r="F109" s="33">
        <v>0</v>
      </c>
      <c r="G109" s="33">
        <v>0.66991000000000001</v>
      </c>
      <c r="H109" s="33">
        <v>0</v>
      </c>
      <c r="I109" s="33">
        <v>1.4221599999999901</v>
      </c>
      <c r="J109" s="33">
        <v>0</v>
      </c>
      <c r="K109" s="33">
        <v>0</v>
      </c>
      <c r="L109" s="33">
        <v>45.56</v>
      </c>
      <c r="M109" s="33">
        <v>106.94</v>
      </c>
      <c r="N109" s="34">
        <v>2.34723441615452</v>
      </c>
      <c r="O109" s="34">
        <v>2.3475193892851398</v>
      </c>
      <c r="P109" s="34">
        <v>2.3493935032723199</v>
      </c>
      <c r="Q109" s="34">
        <v>2.3489540262103699</v>
      </c>
      <c r="R109" s="33">
        <v>106.952983375831</v>
      </c>
      <c r="S109" s="33">
        <v>107.048296311809</v>
      </c>
      <c r="T109" s="33">
        <v>107.02722326319299</v>
      </c>
      <c r="U109" s="15">
        <v>1.21400670955685E-4</v>
      </c>
      <c r="V109" s="15">
        <v>1.0121705057835699E-3</v>
      </c>
      <c r="W109" s="15">
        <v>8.1529560177079797E-4</v>
      </c>
      <c r="X109" s="34">
        <v>2.34723441615452</v>
      </c>
      <c r="Y109" s="34">
        <v>2.3475193892851398</v>
      </c>
      <c r="Z109" s="34">
        <v>2.3493935032723199</v>
      </c>
      <c r="AA109" s="34">
        <v>2.3489540262103699</v>
      </c>
      <c r="AB109" s="33">
        <v>106.952983375831</v>
      </c>
      <c r="AC109" s="33">
        <v>107.048296311809</v>
      </c>
      <c r="AD109" s="33">
        <v>107.02722326319299</v>
      </c>
      <c r="AE109" s="15">
        <v>1.21400670955685E-4</v>
      </c>
      <c r="AF109" s="15">
        <v>1.0121705057835699E-3</v>
      </c>
      <c r="AG109" s="15">
        <v>8.1529560177079797E-4</v>
      </c>
      <c r="AI109" s="12"/>
      <c r="AJ109">
        <f t="shared" si="26"/>
        <v>0</v>
      </c>
      <c r="AK109">
        <f t="shared" si="27"/>
        <v>1</v>
      </c>
      <c r="AL109">
        <f t="shared" si="34"/>
        <v>0</v>
      </c>
      <c r="AM109">
        <f t="shared" si="24"/>
        <v>1</v>
      </c>
      <c r="AN109">
        <f t="shared" si="35"/>
        <v>0</v>
      </c>
      <c r="AO109" s="28">
        <f t="shared" si="28"/>
        <v>0</v>
      </c>
      <c r="AP109" s="28">
        <f t="shared" si="29"/>
        <v>0</v>
      </c>
      <c r="AQ109" s="28">
        <f t="shared" si="36"/>
        <v>0</v>
      </c>
      <c r="AR109" s="29">
        <f t="shared" si="37"/>
        <v>9.1469176544525799E-3</v>
      </c>
      <c r="AT109" s="12"/>
      <c r="AU109">
        <f t="shared" si="30"/>
        <v>0</v>
      </c>
      <c r="AV109">
        <f t="shared" si="31"/>
        <v>0</v>
      </c>
      <c r="AW109">
        <f t="shared" si="38"/>
        <v>0</v>
      </c>
      <c r="AX109">
        <f t="shared" si="25"/>
        <v>1</v>
      </c>
      <c r="AY109">
        <f t="shared" si="39"/>
        <v>0</v>
      </c>
      <c r="AZ109" s="28">
        <f t="shared" si="32"/>
        <v>0</v>
      </c>
      <c r="BA109" s="28">
        <f t="shared" si="33"/>
        <v>0</v>
      </c>
      <c r="BB109" s="28">
        <f t="shared" si="40"/>
        <v>0</v>
      </c>
      <c r="BC109" s="29">
        <f t="shared" si="41"/>
        <v>4.5406664314132815E-3</v>
      </c>
      <c r="BE109" s="29">
        <f t="shared" si="42"/>
        <v>0</v>
      </c>
      <c r="BF109" s="29">
        <f t="shared" si="43"/>
        <v>1.3687584085865862E-2</v>
      </c>
      <c r="BH109" s="29"/>
    </row>
    <row r="110" spans="1:60" x14ac:dyDescent="0.25">
      <c r="A110" s="1">
        <v>46182</v>
      </c>
      <c r="B110" s="33">
        <v>45.59</v>
      </c>
      <c r="C110" s="33">
        <v>107.04</v>
      </c>
      <c r="D110" s="15">
        <v>6.5825564636871404E-4</v>
      </c>
      <c r="E110" s="15">
        <v>9.3466685933290704E-4</v>
      </c>
      <c r="F110" s="33">
        <v>0</v>
      </c>
      <c r="G110" s="33">
        <v>0.66991000000000001</v>
      </c>
      <c r="H110" s="33">
        <v>0</v>
      </c>
      <c r="I110" s="33">
        <v>1.4221599999999901</v>
      </c>
      <c r="J110" s="33">
        <v>0</v>
      </c>
      <c r="K110" s="33">
        <v>0</v>
      </c>
      <c r="L110" s="33">
        <v>45.59</v>
      </c>
      <c r="M110" s="33">
        <v>107.04</v>
      </c>
      <c r="N110" s="34">
        <v>2.34788330774292</v>
      </c>
      <c r="O110" s="34">
        <v>2.3475193892851398</v>
      </c>
      <c r="P110" s="34">
        <v>2.3492699397734902</v>
      </c>
      <c r="Q110" s="34">
        <v>2.3488317080810299</v>
      </c>
      <c r="R110" s="33">
        <v>107.02340895750901</v>
      </c>
      <c r="S110" s="33">
        <v>107.10884981418501</v>
      </c>
      <c r="T110" s="33">
        <v>107.08881405493101</v>
      </c>
      <c r="U110" s="15">
        <v>-1.55010542008638E-4</v>
      </c>
      <c r="V110" s="15">
        <v>6.4300897826375899E-4</v>
      </c>
      <c r="W110" s="15">
        <v>4.5593168758795301E-4</v>
      </c>
      <c r="X110" s="34">
        <v>2.34788330774292</v>
      </c>
      <c r="Y110" s="34">
        <v>2.3475193892851398</v>
      </c>
      <c r="Z110" s="34">
        <v>2.3492699397734902</v>
      </c>
      <c r="AA110" s="34">
        <v>2.3488317080810299</v>
      </c>
      <c r="AB110" s="33">
        <v>107.02340895750901</v>
      </c>
      <c r="AC110" s="33">
        <v>107.10884981418501</v>
      </c>
      <c r="AD110" s="33">
        <v>107.08881405493101</v>
      </c>
      <c r="AE110" s="15">
        <v>-1.55010542008638E-4</v>
      </c>
      <c r="AF110" s="15">
        <v>6.4300897826375899E-4</v>
      </c>
      <c r="AG110" s="15">
        <v>4.5593168758795301E-4</v>
      </c>
      <c r="AI110" s="12"/>
      <c r="AJ110">
        <f t="shared" si="26"/>
        <v>0</v>
      </c>
      <c r="AK110">
        <f t="shared" si="27"/>
        <v>1</v>
      </c>
      <c r="AL110">
        <f t="shared" si="34"/>
        <v>0</v>
      </c>
      <c r="AM110">
        <f t="shared" si="24"/>
        <v>1</v>
      </c>
      <c r="AN110">
        <f t="shared" si="35"/>
        <v>0</v>
      </c>
      <c r="AO110" s="28">
        <f t="shared" si="28"/>
        <v>0</v>
      </c>
      <c r="AP110" s="28">
        <f t="shared" si="29"/>
        <v>0</v>
      </c>
      <c r="AQ110" s="28">
        <f t="shared" si="36"/>
        <v>0</v>
      </c>
      <c r="AR110" s="29">
        <f t="shared" si="37"/>
        <v>9.1469176544525799E-3</v>
      </c>
      <c r="AT110" s="12"/>
      <c r="AU110">
        <f t="shared" si="30"/>
        <v>0</v>
      </c>
      <c r="AV110">
        <f t="shared" si="31"/>
        <v>0</v>
      </c>
      <c r="AW110">
        <f t="shared" si="38"/>
        <v>0</v>
      </c>
      <c r="AX110">
        <f t="shared" si="25"/>
        <v>1</v>
      </c>
      <c r="AY110">
        <f t="shared" si="39"/>
        <v>0</v>
      </c>
      <c r="AZ110" s="28">
        <f t="shared" si="32"/>
        <v>0</v>
      </c>
      <c r="BA110" s="28">
        <f t="shared" si="33"/>
        <v>0</v>
      </c>
      <c r="BB110" s="28">
        <f t="shared" si="40"/>
        <v>0</v>
      </c>
      <c r="BC110" s="29">
        <f t="shared" si="41"/>
        <v>4.5406664314132815E-3</v>
      </c>
      <c r="BE110" s="29">
        <f t="shared" si="42"/>
        <v>0</v>
      </c>
      <c r="BF110" s="29">
        <f t="shared" si="43"/>
        <v>1.3687584085865862E-2</v>
      </c>
      <c r="BH110" s="29"/>
    </row>
    <row r="111" spans="1:60" x14ac:dyDescent="0.25">
      <c r="A111" s="1">
        <v>46183</v>
      </c>
      <c r="B111" s="33">
        <v>45.5</v>
      </c>
      <c r="C111" s="33">
        <v>106.82</v>
      </c>
      <c r="D111" s="15">
        <v>-1.9760682684453901E-3</v>
      </c>
      <c r="E111" s="15">
        <v>-2.0574214682941702E-3</v>
      </c>
      <c r="F111" s="33">
        <v>0</v>
      </c>
      <c r="G111" s="33">
        <v>0.66991000000000001</v>
      </c>
      <c r="H111" s="33">
        <v>0</v>
      </c>
      <c r="I111" s="33">
        <v>1.4221599999999901</v>
      </c>
      <c r="J111" s="33">
        <v>0</v>
      </c>
      <c r="K111" s="33">
        <v>0</v>
      </c>
      <c r="L111" s="33">
        <v>45.5</v>
      </c>
      <c r="M111" s="33">
        <v>106.82</v>
      </c>
      <c r="N111" s="34">
        <v>2.3476923076923</v>
      </c>
      <c r="O111" s="34">
        <v>2.3475193892851398</v>
      </c>
      <c r="P111" s="34">
        <v>2.34890938611685</v>
      </c>
      <c r="Q111" s="34">
        <v>2.3487608975356502</v>
      </c>
      <c r="R111" s="33">
        <v>106.812132212474</v>
      </c>
      <c r="S111" s="33">
        <v>106.891782259693</v>
      </c>
      <c r="T111" s="33">
        <v>106.871842717687</v>
      </c>
      <c r="U111" s="15">
        <v>-7.3657342159669294E-5</v>
      </c>
      <c r="V111" s="15">
        <v>6.7176700914092704E-4</v>
      </c>
      <c r="W111" s="15">
        <v>4.8521008612266398E-4</v>
      </c>
      <c r="X111" s="34">
        <v>2.3476923076923</v>
      </c>
      <c r="Y111" s="34">
        <v>2.3475193892851398</v>
      </c>
      <c r="Z111" s="34">
        <v>2.34890938611685</v>
      </c>
      <c r="AA111" s="34">
        <v>2.3487608975356502</v>
      </c>
      <c r="AB111" s="33">
        <v>106.812132212474</v>
      </c>
      <c r="AC111" s="33">
        <v>106.891782259693</v>
      </c>
      <c r="AD111" s="33">
        <v>106.871842717687</v>
      </c>
      <c r="AE111" s="15">
        <v>-7.3657342159669294E-5</v>
      </c>
      <c r="AF111" s="15">
        <v>6.7176700914092704E-4</v>
      </c>
      <c r="AG111" s="15">
        <v>4.8521008612266398E-4</v>
      </c>
      <c r="AI111" s="12"/>
      <c r="AJ111">
        <f t="shared" si="26"/>
        <v>0</v>
      </c>
      <c r="AK111">
        <f t="shared" si="27"/>
        <v>1</v>
      </c>
      <c r="AL111">
        <f t="shared" si="34"/>
        <v>0</v>
      </c>
      <c r="AM111">
        <f t="shared" si="24"/>
        <v>1</v>
      </c>
      <c r="AN111">
        <f t="shared" si="35"/>
        <v>0</v>
      </c>
      <c r="AO111" s="28">
        <f t="shared" si="28"/>
        <v>0</v>
      </c>
      <c r="AP111" s="28">
        <f t="shared" si="29"/>
        <v>0</v>
      </c>
      <c r="AQ111" s="28">
        <f t="shared" si="36"/>
        <v>0</v>
      </c>
      <c r="AR111" s="29">
        <f t="shared" si="37"/>
        <v>9.1469176544525799E-3</v>
      </c>
      <c r="AT111" s="12"/>
      <c r="AU111">
        <f t="shared" si="30"/>
        <v>0</v>
      </c>
      <c r="AV111">
        <f t="shared" si="31"/>
        <v>0</v>
      </c>
      <c r="AW111">
        <f t="shared" si="38"/>
        <v>0</v>
      </c>
      <c r="AX111">
        <f t="shared" si="25"/>
        <v>1</v>
      </c>
      <c r="AY111">
        <f t="shared" si="39"/>
        <v>0</v>
      </c>
      <c r="AZ111" s="28">
        <f t="shared" si="32"/>
        <v>0</v>
      </c>
      <c r="BA111" s="28">
        <f t="shared" si="33"/>
        <v>0</v>
      </c>
      <c r="BB111" s="28">
        <f t="shared" si="40"/>
        <v>0</v>
      </c>
      <c r="BC111" s="29">
        <f t="shared" si="41"/>
        <v>4.5406664314132815E-3</v>
      </c>
      <c r="BE111" s="29">
        <f t="shared" si="42"/>
        <v>0</v>
      </c>
      <c r="BF111" s="29">
        <f t="shared" si="43"/>
        <v>1.3687584085865862E-2</v>
      </c>
      <c r="BH111" s="29"/>
    </row>
    <row r="112" spans="1:60" x14ac:dyDescent="0.25">
      <c r="A112" s="1">
        <v>46184</v>
      </c>
      <c r="B112" s="33">
        <v>45.61</v>
      </c>
      <c r="C112" s="33">
        <v>107.06</v>
      </c>
      <c r="D112" s="15">
        <v>2.41466476670441E-3</v>
      </c>
      <c r="E112" s="15">
        <v>2.2442500536110702E-3</v>
      </c>
      <c r="F112" s="33">
        <v>0</v>
      </c>
      <c r="G112" s="33">
        <v>0.66991000000000001</v>
      </c>
      <c r="H112" s="33">
        <v>0</v>
      </c>
      <c r="I112" s="33">
        <v>1.4221599999999901</v>
      </c>
      <c r="J112" s="33">
        <v>0</v>
      </c>
      <c r="K112" s="33">
        <v>0</v>
      </c>
      <c r="L112" s="33">
        <v>45.61</v>
      </c>
      <c r="M112" s="33">
        <v>107.06</v>
      </c>
      <c r="N112" s="34">
        <v>2.3472922604691902</v>
      </c>
      <c r="O112" s="34">
        <v>2.3475193892851398</v>
      </c>
      <c r="P112" s="34">
        <v>2.34856283794897</v>
      </c>
      <c r="Q112" s="34">
        <v>2.3486288159800002</v>
      </c>
      <c r="R112" s="33">
        <v>107.070359345295</v>
      </c>
      <c r="S112" s="33">
        <v>107.133757100789</v>
      </c>
      <c r="T112" s="33">
        <v>107.126984536601</v>
      </c>
      <c r="U112" s="15">
        <v>9.6757370933477004E-5</v>
      </c>
      <c r="V112" s="15">
        <v>6.8869517677217298E-4</v>
      </c>
      <c r="W112" s="15">
        <v>6.2547721029663497E-4</v>
      </c>
      <c r="X112" s="34">
        <v>2.3472922604691902</v>
      </c>
      <c r="Y112" s="34">
        <v>2.3475193892851398</v>
      </c>
      <c r="Z112" s="34">
        <v>2.34856283794897</v>
      </c>
      <c r="AA112" s="34">
        <v>2.3486288159800002</v>
      </c>
      <c r="AB112" s="33">
        <v>107.070359345295</v>
      </c>
      <c r="AC112" s="33">
        <v>107.133757100789</v>
      </c>
      <c r="AD112" s="33">
        <v>107.126984536601</v>
      </c>
      <c r="AE112" s="15">
        <v>9.6757370933477004E-5</v>
      </c>
      <c r="AF112" s="15">
        <v>6.8869517677217298E-4</v>
      </c>
      <c r="AG112" s="15">
        <v>6.2547721029663497E-4</v>
      </c>
      <c r="AI112" s="12"/>
      <c r="AJ112">
        <f t="shared" si="26"/>
        <v>0</v>
      </c>
      <c r="AK112">
        <f t="shared" si="27"/>
        <v>1</v>
      </c>
      <c r="AL112">
        <f t="shared" si="34"/>
        <v>0</v>
      </c>
      <c r="AM112">
        <f t="shared" si="24"/>
        <v>1</v>
      </c>
      <c r="AN112">
        <f t="shared" si="35"/>
        <v>0</v>
      </c>
      <c r="AO112" s="28">
        <f t="shared" si="28"/>
        <v>0</v>
      </c>
      <c r="AP112" s="28">
        <f t="shared" si="29"/>
        <v>0</v>
      </c>
      <c r="AQ112" s="28">
        <f t="shared" si="36"/>
        <v>0</v>
      </c>
      <c r="AR112" s="29">
        <f t="shared" si="37"/>
        <v>9.1469176544525799E-3</v>
      </c>
      <c r="AT112" s="12"/>
      <c r="AU112">
        <f t="shared" si="30"/>
        <v>0</v>
      </c>
      <c r="AV112">
        <f t="shared" si="31"/>
        <v>0</v>
      </c>
      <c r="AW112">
        <f t="shared" si="38"/>
        <v>0</v>
      </c>
      <c r="AX112">
        <f t="shared" si="25"/>
        <v>1</v>
      </c>
      <c r="AY112">
        <f t="shared" si="39"/>
        <v>0</v>
      </c>
      <c r="AZ112" s="28">
        <f t="shared" si="32"/>
        <v>0</v>
      </c>
      <c r="BA112" s="28">
        <f t="shared" si="33"/>
        <v>0</v>
      </c>
      <c r="BB112" s="28">
        <f t="shared" si="40"/>
        <v>0</v>
      </c>
      <c r="BC112" s="29">
        <f t="shared" si="41"/>
        <v>4.5406664314132815E-3</v>
      </c>
      <c r="BE112" s="29">
        <f t="shared" si="42"/>
        <v>0</v>
      </c>
      <c r="BF112" s="29">
        <f t="shared" si="43"/>
        <v>1.3687584085865862E-2</v>
      </c>
      <c r="BH112" s="29"/>
    </row>
    <row r="113" spans="1:60" x14ac:dyDescent="0.25">
      <c r="A113" s="1">
        <v>46185</v>
      </c>
      <c r="B113" s="33">
        <v>45.55</v>
      </c>
      <c r="C113" s="33">
        <v>107.05</v>
      </c>
      <c r="D113" s="15">
        <v>-1.3163670176418001E-3</v>
      </c>
      <c r="E113" s="15">
        <v>-9.3409929543425399E-5</v>
      </c>
      <c r="F113" s="33">
        <v>0</v>
      </c>
      <c r="G113" s="33">
        <v>0.66991000000000001</v>
      </c>
      <c r="H113" s="33">
        <v>0</v>
      </c>
      <c r="I113" s="33">
        <v>1.4221599999999901</v>
      </c>
      <c r="J113" s="33">
        <v>0</v>
      </c>
      <c r="K113" s="33">
        <v>0</v>
      </c>
      <c r="L113" s="33">
        <v>45.55</v>
      </c>
      <c r="M113" s="33">
        <v>107.05</v>
      </c>
      <c r="N113" s="34">
        <v>2.3501646542261199</v>
      </c>
      <c r="O113" s="34">
        <v>2.3475193892851398</v>
      </c>
      <c r="P113" s="34">
        <v>2.3485058223450399</v>
      </c>
      <c r="Q113" s="34">
        <v>2.3486183179729299</v>
      </c>
      <c r="R113" s="33">
        <v>106.929508181938</v>
      </c>
      <c r="S113" s="33">
        <v>106.977037268575</v>
      </c>
      <c r="T113" s="33">
        <v>106.980042567889</v>
      </c>
      <c r="U113" s="15">
        <v>-1.1261997171647599E-3</v>
      </c>
      <c r="V113" s="15">
        <v>-6.8180857130955197E-4</v>
      </c>
      <c r="W113" s="15">
        <v>-6.5371602755290802E-4</v>
      </c>
      <c r="X113" s="34">
        <v>2.3501646542261199</v>
      </c>
      <c r="Y113" s="34">
        <v>2.3475193892851398</v>
      </c>
      <c r="Z113" s="34">
        <v>2.3485058223450399</v>
      </c>
      <c r="AA113" s="34">
        <v>2.3486183179729299</v>
      </c>
      <c r="AB113" s="33">
        <v>106.929508181938</v>
      </c>
      <c r="AC113" s="33">
        <v>106.977037268575</v>
      </c>
      <c r="AD113" s="33">
        <v>106.980042567889</v>
      </c>
      <c r="AE113" s="15">
        <v>-1.1261997171647599E-3</v>
      </c>
      <c r="AF113" s="15">
        <v>-6.8180857130955197E-4</v>
      </c>
      <c r="AG113" s="15">
        <v>-6.5371602755290802E-4</v>
      </c>
      <c r="AI113" s="12"/>
      <c r="AJ113">
        <f t="shared" si="26"/>
        <v>0</v>
      </c>
      <c r="AK113">
        <f t="shared" si="27"/>
        <v>0</v>
      </c>
      <c r="AL113">
        <f t="shared" si="34"/>
        <v>0</v>
      </c>
      <c r="AM113">
        <f t="shared" si="24"/>
        <v>1</v>
      </c>
      <c r="AN113">
        <f t="shared" si="35"/>
        <v>0</v>
      </c>
      <c r="AO113" s="28">
        <f t="shared" si="28"/>
        <v>0</v>
      </c>
      <c r="AP113" s="28">
        <f t="shared" si="29"/>
        <v>0</v>
      </c>
      <c r="AQ113" s="28">
        <f t="shared" si="36"/>
        <v>0</v>
      </c>
      <c r="AR113" s="29">
        <f t="shared" si="37"/>
        <v>9.1469176544525799E-3</v>
      </c>
      <c r="AT113" s="12"/>
      <c r="AU113">
        <f t="shared" si="30"/>
        <v>0</v>
      </c>
      <c r="AV113">
        <f t="shared" si="31"/>
        <v>1</v>
      </c>
      <c r="AW113">
        <f t="shared" si="38"/>
        <v>0</v>
      </c>
      <c r="AX113">
        <f t="shared" si="25"/>
        <v>1</v>
      </c>
      <c r="AY113">
        <f t="shared" si="39"/>
        <v>0</v>
      </c>
      <c r="AZ113" s="28">
        <f t="shared" si="32"/>
        <v>0</v>
      </c>
      <c r="BA113" s="28">
        <f t="shared" si="33"/>
        <v>0</v>
      </c>
      <c r="BB113" s="28">
        <f t="shared" si="40"/>
        <v>0</v>
      </c>
      <c r="BC113" s="29">
        <f t="shared" si="41"/>
        <v>4.5406664314132815E-3</v>
      </c>
      <c r="BE113" s="29">
        <f t="shared" si="42"/>
        <v>0</v>
      </c>
      <c r="BF113" s="29">
        <f t="shared" si="43"/>
        <v>1.3687584085865862E-2</v>
      </c>
      <c r="BH113" s="29"/>
    </row>
    <row r="114" spans="1:60" x14ac:dyDescent="0.25">
      <c r="A114" s="1">
        <v>46188</v>
      </c>
      <c r="B114" s="33">
        <v>45.59</v>
      </c>
      <c r="C114" s="33">
        <v>107.17</v>
      </c>
      <c r="D114" s="15">
        <v>8.7777051938291097E-4</v>
      </c>
      <c r="E114" s="15">
        <v>1.12034368921394E-3</v>
      </c>
      <c r="F114" s="33">
        <v>0</v>
      </c>
      <c r="G114" s="33">
        <v>0.66991000000000001</v>
      </c>
      <c r="H114" s="33">
        <v>0</v>
      </c>
      <c r="I114" s="33">
        <v>1.4221599999999901</v>
      </c>
      <c r="J114" s="33">
        <v>0</v>
      </c>
      <c r="K114" s="33">
        <v>0</v>
      </c>
      <c r="L114" s="33">
        <v>45.59</v>
      </c>
      <c r="M114" s="33">
        <v>107.17</v>
      </c>
      <c r="N114" s="34">
        <v>2.3507348102654002</v>
      </c>
      <c r="O114" s="34">
        <v>2.3475193892851398</v>
      </c>
      <c r="P114" s="34">
        <v>2.3484946693860902</v>
      </c>
      <c r="Q114" s="34">
        <v>2.3486617015331399</v>
      </c>
      <c r="R114" s="33">
        <v>107.02340895750901</v>
      </c>
      <c r="S114" s="33">
        <v>107.06838044071</v>
      </c>
      <c r="T114" s="33">
        <v>107.073509116385</v>
      </c>
      <c r="U114" s="15">
        <v>-1.36877288699591E-3</v>
      </c>
      <c r="V114" s="15">
        <v>-9.4865884162795798E-4</v>
      </c>
      <c r="W114" s="15">
        <v>-9.0075905250224203E-4</v>
      </c>
      <c r="X114" s="34">
        <v>2.3507348102654002</v>
      </c>
      <c r="Y114" s="34">
        <v>2.3475193892851398</v>
      </c>
      <c r="Z114" s="34">
        <v>2.3484946693860902</v>
      </c>
      <c r="AA114" s="34">
        <v>2.3486617015331399</v>
      </c>
      <c r="AB114" s="33">
        <v>107.02340895750901</v>
      </c>
      <c r="AC114" s="33">
        <v>107.06838044071</v>
      </c>
      <c r="AD114" s="33">
        <v>107.073509116385</v>
      </c>
      <c r="AE114" s="15">
        <v>-1.36877288699591E-3</v>
      </c>
      <c r="AF114" s="15">
        <v>-9.4865884162795798E-4</v>
      </c>
      <c r="AG114" s="15">
        <v>-9.0075905250224203E-4</v>
      </c>
      <c r="AI114" s="12"/>
      <c r="AJ114">
        <f t="shared" si="26"/>
        <v>0</v>
      </c>
      <c r="AK114">
        <f t="shared" si="27"/>
        <v>0</v>
      </c>
      <c r="AL114">
        <f t="shared" si="34"/>
        <v>0</v>
      </c>
      <c r="AM114">
        <f t="shared" si="24"/>
        <v>1</v>
      </c>
      <c r="AN114">
        <f t="shared" si="35"/>
        <v>0</v>
      </c>
      <c r="AO114" s="28">
        <f t="shared" si="28"/>
        <v>0</v>
      </c>
      <c r="AP114" s="28">
        <f t="shared" si="29"/>
        <v>0</v>
      </c>
      <c r="AQ114" s="28">
        <f t="shared" si="36"/>
        <v>0</v>
      </c>
      <c r="AR114" s="29">
        <f t="shared" si="37"/>
        <v>9.1469176544525799E-3</v>
      </c>
      <c r="AT114" s="12"/>
      <c r="AU114">
        <f t="shared" si="30"/>
        <v>0</v>
      </c>
      <c r="AV114">
        <f t="shared" si="31"/>
        <v>1</v>
      </c>
      <c r="AW114">
        <f t="shared" si="38"/>
        <v>0</v>
      </c>
      <c r="AX114">
        <f t="shared" si="25"/>
        <v>1</v>
      </c>
      <c r="AY114">
        <f t="shared" si="39"/>
        <v>0</v>
      </c>
      <c r="AZ114" s="28">
        <f t="shared" si="32"/>
        <v>0</v>
      </c>
      <c r="BA114" s="28">
        <f t="shared" si="33"/>
        <v>0</v>
      </c>
      <c r="BB114" s="28">
        <f t="shared" si="40"/>
        <v>0</v>
      </c>
      <c r="BC114" s="29">
        <f t="shared" si="41"/>
        <v>4.5406664314132815E-3</v>
      </c>
      <c r="BE114" s="29">
        <f t="shared" si="42"/>
        <v>0</v>
      </c>
      <c r="BF114" s="29">
        <f t="shared" si="43"/>
        <v>1.3687584085865862E-2</v>
      </c>
      <c r="BH114" s="29"/>
    </row>
    <row r="115" spans="1:60" x14ac:dyDescent="0.25">
      <c r="A115" s="1">
        <v>46189</v>
      </c>
      <c r="B115" s="33">
        <v>45.59</v>
      </c>
      <c r="C115" s="33">
        <v>107.17</v>
      </c>
      <c r="D115" s="15">
        <v>0</v>
      </c>
      <c r="E115" s="15">
        <v>0</v>
      </c>
      <c r="F115" s="33">
        <v>0</v>
      </c>
      <c r="G115" s="33">
        <v>0.66991000000000001</v>
      </c>
      <c r="H115" s="33">
        <v>0</v>
      </c>
      <c r="I115" s="33">
        <v>1.4221599999999901</v>
      </c>
      <c r="J115" s="33">
        <v>0</v>
      </c>
      <c r="K115" s="33">
        <v>0</v>
      </c>
      <c r="L115" s="33">
        <v>45.59</v>
      </c>
      <c r="M115" s="33">
        <v>107.17</v>
      </c>
      <c r="N115" s="34">
        <v>2.3507348102654002</v>
      </c>
      <c r="O115" s="34">
        <v>2.3475193892851398</v>
      </c>
      <c r="P115" s="34">
        <v>2.3486482118296101</v>
      </c>
      <c r="Q115" s="34">
        <v>2.3488013636931599</v>
      </c>
      <c r="R115" s="33">
        <v>107.02340895750901</v>
      </c>
      <c r="S115" s="33">
        <v>107.067871977311</v>
      </c>
      <c r="T115" s="33">
        <v>107.075486972896</v>
      </c>
      <c r="U115" s="15">
        <v>-1.36877288699591E-3</v>
      </c>
      <c r="V115" s="15">
        <v>-9.5340781236781199E-4</v>
      </c>
      <c r="W115" s="15">
        <v>-8.8228727307447096E-4</v>
      </c>
      <c r="X115" s="34">
        <v>2.3507348102654002</v>
      </c>
      <c r="Y115" s="34">
        <v>2.3475193892851398</v>
      </c>
      <c r="Z115" s="34">
        <v>2.3486482118296101</v>
      </c>
      <c r="AA115" s="34">
        <v>2.3488013636931599</v>
      </c>
      <c r="AB115" s="33">
        <v>107.02340895750901</v>
      </c>
      <c r="AC115" s="33">
        <v>107.067871977311</v>
      </c>
      <c r="AD115" s="33">
        <v>107.075486972896</v>
      </c>
      <c r="AE115" s="15">
        <v>-1.36877288699591E-3</v>
      </c>
      <c r="AF115" s="15">
        <v>-9.5340781236781199E-4</v>
      </c>
      <c r="AG115" s="15">
        <v>-8.8228727307447096E-4</v>
      </c>
      <c r="AI115" s="12"/>
      <c r="AJ115">
        <f t="shared" si="26"/>
        <v>0</v>
      </c>
      <c r="AK115">
        <f t="shared" si="27"/>
        <v>0</v>
      </c>
      <c r="AL115">
        <f t="shared" si="34"/>
        <v>0</v>
      </c>
      <c r="AM115">
        <f t="shared" si="24"/>
        <v>1</v>
      </c>
      <c r="AN115">
        <f t="shared" si="35"/>
        <v>0</v>
      </c>
      <c r="AO115" s="28">
        <f t="shared" si="28"/>
        <v>0</v>
      </c>
      <c r="AP115" s="28">
        <f t="shared" si="29"/>
        <v>0</v>
      </c>
      <c r="AQ115" s="28">
        <f t="shared" si="36"/>
        <v>0</v>
      </c>
      <c r="AR115" s="29">
        <f t="shared" si="37"/>
        <v>9.1469176544525799E-3</v>
      </c>
      <c r="AT115" s="12"/>
      <c r="AU115">
        <f t="shared" si="30"/>
        <v>0</v>
      </c>
      <c r="AV115">
        <f t="shared" si="31"/>
        <v>1</v>
      </c>
      <c r="AW115">
        <f t="shared" si="38"/>
        <v>0</v>
      </c>
      <c r="AX115">
        <f t="shared" si="25"/>
        <v>1</v>
      </c>
      <c r="AY115">
        <f t="shared" si="39"/>
        <v>0</v>
      </c>
      <c r="AZ115" s="28">
        <f t="shared" si="32"/>
        <v>0</v>
      </c>
      <c r="BA115" s="28">
        <f t="shared" si="33"/>
        <v>0</v>
      </c>
      <c r="BB115" s="28">
        <f t="shared" si="40"/>
        <v>0</v>
      </c>
      <c r="BC115" s="29">
        <f t="shared" si="41"/>
        <v>4.5406664314132815E-3</v>
      </c>
      <c r="BE115" s="29">
        <f t="shared" si="42"/>
        <v>0</v>
      </c>
      <c r="BF115" s="29">
        <f t="shared" si="43"/>
        <v>1.3687584085865862E-2</v>
      </c>
      <c r="BH115" s="29"/>
    </row>
    <row r="116" spans="1:60" x14ac:dyDescent="0.25">
      <c r="A116" s="1">
        <v>46190</v>
      </c>
      <c r="B116" s="33">
        <v>45.54</v>
      </c>
      <c r="C116" s="33">
        <v>106.98</v>
      </c>
      <c r="D116" s="15">
        <v>-1.0973335897565401E-3</v>
      </c>
      <c r="E116" s="15">
        <v>-1.7744576218016201E-3</v>
      </c>
      <c r="F116" s="33">
        <v>0</v>
      </c>
      <c r="G116" s="33">
        <v>0.66991000000000001</v>
      </c>
      <c r="H116" s="33">
        <v>0</v>
      </c>
      <c r="I116" s="33">
        <v>1.4221599999999901</v>
      </c>
      <c r="J116" s="33">
        <v>0</v>
      </c>
      <c r="K116" s="33">
        <v>0</v>
      </c>
      <c r="L116" s="33">
        <v>45.54</v>
      </c>
      <c r="M116" s="33">
        <v>106.98</v>
      </c>
      <c r="N116" s="34">
        <v>2.34914361001317</v>
      </c>
      <c r="O116" s="34">
        <v>2.3475193892851398</v>
      </c>
      <c r="P116" s="34">
        <v>2.3487885491363198</v>
      </c>
      <c r="Q116" s="34">
        <v>2.3490297889242302</v>
      </c>
      <c r="R116" s="33">
        <v>106.906032988045</v>
      </c>
      <c r="S116" s="33">
        <v>106.95743956672</v>
      </c>
      <c r="T116" s="33">
        <v>106.96441410258601</v>
      </c>
      <c r="U116" s="15">
        <v>-6.9164885495086195E-4</v>
      </c>
      <c r="V116" s="15">
        <v>-2.10906827798319E-4</v>
      </c>
      <c r="W116" s="15">
        <v>-1.45700438185029E-4</v>
      </c>
      <c r="X116" s="34">
        <v>2.34914361001317</v>
      </c>
      <c r="Y116" s="34">
        <v>2.3475193892851398</v>
      </c>
      <c r="Z116" s="34">
        <v>2.3487885491363198</v>
      </c>
      <c r="AA116" s="34">
        <v>2.3490297889242302</v>
      </c>
      <c r="AB116" s="33">
        <v>106.906032988045</v>
      </c>
      <c r="AC116" s="33">
        <v>106.95743956672</v>
      </c>
      <c r="AD116" s="33">
        <v>106.96441410258601</v>
      </c>
      <c r="AE116" s="15">
        <v>-6.9164885495086195E-4</v>
      </c>
      <c r="AF116" s="15">
        <v>-2.10906827798319E-4</v>
      </c>
      <c r="AG116" s="15">
        <v>-1.45700438185029E-4</v>
      </c>
      <c r="AI116" s="12"/>
      <c r="AJ116">
        <f t="shared" si="26"/>
        <v>0</v>
      </c>
      <c r="AK116">
        <f t="shared" si="27"/>
        <v>0</v>
      </c>
      <c r="AL116">
        <f t="shared" si="34"/>
        <v>0</v>
      </c>
      <c r="AM116">
        <f t="shared" si="24"/>
        <v>1</v>
      </c>
      <c r="AN116">
        <f t="shared" si="35"/>
        <v>0</v>
      </c>
      <c r="AO116" s="28">
        <f t="shared" si="28"/>
        <v>0</v>
      </c>
      <c r="AP116" s="28">
        <f t="shared" si="29"/>
        <v>0</v>
      </c>
      <c r="AQ116" s="28">
        <f t="shared" si="36"/>
        <v>0</v>
      </c>
      <c r="AR116" s="29">
        <f t="shared" si="37"/>
        <v>9.1469176544525799E-3</v>
      </c>
      <c r="AT116" s="12"/>
      <c r="AU116">
        <f t="shared" si="30"/>
        <v>0</v>
      </c>
      <c r="AV116">
        <f t="shared" si="31"/>
        <v>1</v>
      </c>
      <c r="AW116">
        <f t="shared" si="38"/>
        <v>0</v>
      </c>
      <c r="AX116">
        <f t="shared" si="25"/>
        <v>1</v>
      </c>
      <c r="AY116">
        <f t="shared" si="39"/>
        <v>0</v>
      </c>
      <c r="AZ116" s="28">
        <f t="shared" si="32"/>
        <v>0</v>
      </c>
      <c r="BA116" s="28">
        <f t="shared" si="33"/>
        <v>0</v>
      </c>
      <c r="BB116" s="28">
        <f t="shared" si="40"/>
        <v>0</v>
      </c>
      <c r="BC116" s="29">
        <f t="shared" si="41"/>
        <v>4.5406664314132815E-3</v>
      </c>
      <c r="BE116" s="29">
        <f t="shared" si="42"/>
        <v>0</v>
      </c>
      <c r="BF116" s="29">
        <f t="shared" si="43"/>
        <v>1.3687584085865862E-2</v>
      </c>
      <c r="BH116" s="29"/>
    </row>
    <row r="117" spans="1:60" x14ac:dyDescent="0.25">
      <c r="A117" s="1">
        <v>46191</v>
      </c>
      <c r="B117" s="33">
        <v>45.67</v>
      </c>
      <c r="C117" s="33">
        <v>107.33</v>
      </c>
      <c r="D117" s="15">
        <v>2.85056656131407E-3</v>
      </c>
      <c r="E117" s="15">
        <v>3.2662993903288902E-3</v>
      </c>
      <c r="F117" s="33">
        <v>0</v>
      </c>
      <c r="G117" s="33">
        <v>0.66991000000000001</v>
      </c>
      <c r="H117" s="33">
        <v>0</v>
      </c>
      <c r="I117" s="33">
        <v>1.4221599999999901</v>
      </c>
      <c r="J117" s="33">
        <v>0</v>
      </c>
      <c r="K117" s="33">
        <v>0</v>
      </c>
      <c r="L117" s="33">
        <v>45.67</v>
      </c>
      <c r="M117" s="33">
        <v>107.33</v>
      </c>
      <c r="N117" s="34">
        <v>2.35012042916575</v>
      </c>
      <c r="O117" s="34">
        <v>2.3475193892851398</v>
      </c>
      <c r="P117" s="34">
        <v>2.3488893494493501</v>
      </c>
      <c r="Q117" s="34">
        <v>2.3492268402828498</v>
      </c>
      <c r="R117" s="33">
        <v>107.211210508652</v>
      </c>
      <c r="S117" s="33">
        <v>107.269173039056</v>
      </c>
      <c r="T117" s="33">
        <v>107.28019046017</v>
      </c>
      <c r="U117" s="15">
        <v>-1.1073816839656601E-3</v>
      </c>
      <c r="V117" s="15">
        <v>-5.66889067758835E-4</v>
      </c>
      <c r="W117" s="15">
        <v>-4.64186165787764E-4</v>
      </c>
      <c r="X117" s="34">
        <v>2.35012042916575</v>
      </c>
      <c r="Y117" s="34">
        <v>2.3475193892851398</v>
      </c>
      <c r="Z117" s="34">
        <v>2.3488893494493501</v>
      </c>
      <c r="AA117" s="34">
        <v>2.3492268402828498</v>
      </c>
      <c r="AB117" s="33">
        <v>107.211210508652</v>
      </c>
      <c r="AC117" s="33">
        <v>107.269173039056</v>
      </c>
      <c r="AD117" s="33">
        <v>107.28019046017</v>
      </c>
      <c r="AE117" s="15">
        <v>-1.1073816839656601E-3</v>
      </c>
      <c r="AF117" s="15">
        <v>-5.66889067758835E-4</v>
      </c>
      <c r="AG117" s="15">
        <v>-4.64186165787764E-4</v>
      </c>
      <c r="AI117" s="12"/>
      <c r="AJ117">
        <f t="shared" si="26"/>
        <v>0</v>
      </c>
      <c r="AK117">
        <f t="shared" si="27"/>
        <v>0</v>
      </c>
      <c r="AL117">
        <f t="shared" si="34"/>
        <v>0</v>
      </c>
      <c r="AM117">
        <f t="shared" si="24"/>
        <v>1</v>
      </c>
      <c r="AN117">
        <f t="shared" si="35"/>
        <v>0</v>
      </c>
      <c r="AO117" s="28">
        <f t="shared" si="28"/>
        <v>0</v>
      </c>
      <c r="AP117" s="28">
        <f t="shared" si="29"/>
        <v>0</v>
      </c>
      <c r="AQ117" s="28">
        <f t="shared" si="36"/>
        <v>0</v>
      </c>
      <c r="AR117" s="29">
        <f t="shared" si="37"/>
        <v>9.1469176544525799E-3</v>
      </c>
      <c r="AT117" s="12"/>
      <c r="AU117">
        <f t="shared" si="30"/>
        <v>0</v>
      </c>
      <c r="AV117">
        <f t="shared" si="31"/>
        <v>1</v>
      </c>
      <c r="AW117">
        <f t="shared" si="38"/>
        <v>0</v>
      </c>
      <c r="AX117">
        <f t="shared" si="25"/>
        <v>1</v>
      </c>
      <c r="AY117">
        <f t="shared" si="39"/>
        <v>0</v>
      </c>
      <c r="AZ117" s="28">
        <f t="shared" si="32"/>
        <v>0</v>
      </c>
      <c r="BA117" s="28">
        <f t="shared" si="33"/>
        <v>0</v>
      </c>
      <c r="BB117" s="28">
        <f t="shared" si="40"/>
        <v>0</v>
      </c>
      <c r="BC117" s="29">
        <f t="shared" si="41"/>
        <v>4.5406664314132815E-3</v>
      </c>
      <c r="BE117" s="29">
        <f t="shared" si="42"/>
        <v>0</v>
      </c>
      <c r="BF117" s="29">
        <f t="shared" si="43"/>
        <v>1.3687584085865862E-2</v>
      </c>
      <c r="BH117" s="29"/>
    </row>
    <row r="118" spans="1:60" x14ac:dyDescent="0.25">
      <c r="A118" s="1">
        <v>46195</v>
      </c>
      <c r="B118" s="33">
        <v>45.67</v>
      </c>
      <c r="C118" s="33">
        <v>107.32</v>
      </c>
      <c r="D118" s="15">
        <v>0</v>
      </c>
      <c r="E118" s="15">
        <v>-9.3174936009717202E-5</v>
      </c>
      <c r="F118" s="33">
        <v>0</v>
      </c>
      <c r="G118" s="33">
        <v>0.66991000000000001</v>
      </c>
      <c r="H118" s="33">
        <v>0</v>
      </c>
      <c r="I118" s="33">
        <v>1.4221599999999901</v>
      </c>
      <c r="J118" s="33">
        <v>0</v>
      </c>
      <c r="K118" s="33">
        <v>0</v>
      </c>
      <c r="L118" s="33">
        <v>45.67</v>
      </c>
      <c r="M118" s="33">
        <v>107.32</v>
      </c>
      <c r="N118" s="34">
        <v>2.3499014670462</v>
      </c>
      <c r="O118" s="34">
        <v>2.3475193892851398</v>
      </c>
      <c r="P118" s="34">
        <v>2.3490902073041</v>
      </c>
      <c r="Q118" s="34">
        <v>2.3493508138343202</v>
      </c>
      <c r="R118" s="33">
        <v>107.211210508652</v>
      </c>
      <c r="S118" s="33">
        <v>107.273776589351</v>
      </c>
      <c r="T118" s="33">
        <v>107.289189795718</v>
      </c>
      <c r="U118" s="15">
        <v>-1.0142067479559801E-3</v>
      </c>
      <c r="V118" s="15">
        <v>-4.3079917878026901E-4</v>
      </c>
      <c r="W118" s="15">
        <v>-2.87128473135639E-4</v>
      </c>
      <c r="X118" s="34">
        <v>2.3499014670462</v>
      </c>
      <c r="Y118" s="34">
        <v>2.3475193892851398</v>
      </c>
      <c r="Z118" s="34">
        <v>2.3490902073041</v>
      </c>
      <c r="AA118" s="34">
        <v>2.3493508138343202</v>
      </c>
      <c r="AB118" s="33">
        <v>107.211210508652</v>
      </c>
      <c r="AC118" s="33">
        <v>107.273776589351</v>
      </c>
      <c r="AD118" s="33">
        <v>107.289189795718</v>
      </c>
      <c r="AE118" s="15">
        <v>-1.0142067479559801E-3</v>
      </c>
      <c r="AF118" s="15">
        <v>-4.3079917878026901E-4</v>
      </c>
      <c r="AG118" s="15">
        <v>-2.87128473135639E-4</v>
      </c>
      <c r="AI118" s="12"/>
      <c r="AJ118">
        <f t="shared" si="26"/>
        <v>0</v>
      </c>
      <c r="AK118">
        <f t="shared" si="27"/>
        <v>0</v>
      </c>
      <c r="AL118">
        <f t="shared" si="34"/>
        <v>0</v>
      </c>
      <c r="AM118">
        <f t="shared" si="24"/>
        <v>1</v>
      </c>
      <c r="AN118">
        <f t="shared" si="35"/>
        <v>0</v>
      </c>
      <c r="AO118" s="28">
        <f t="shared" si="28"/>
        <v>0</v>
      </c>
      <c r="AP118" s="28">
        <f t="shared" si="29"/>
        <v>0</v>
      </c>
      <c r="AQ118" s="28">
        <f t="shared" si="36"/>
        <v>0</v>
      </c>
      <c r="AR118" s="29">
        <f t="shared" si="37"/>
        <v>9.1469176544525799E-3</v>
      </c>
      <c r="AT118" s="12"/>
      <c r="AU118">
        <f t="shared" si="30"/>
        <v>0</v>
      </c>
      <c r="AV118">
        <f t="shared" si="31"/>
        <v>1</v>
      </c>
      <c r="AW118">
        <f t="shared" si="38"/>
        <v>0</v>
      </c>
      <c r="AX118">
        <f t="shared" si="25"/>
        <v>1</v>
      </c>
      <c r="AY118">
        <f t="shared" si="39"/>
        <v>0</v>
      </c>
      <c r="AZ118" s="28">
        <f t="shared" si="32"/>
        <v>0</v>
      </c>
      <c r="BA118" s="28">
        <f t="shared" si="33"/>
        <v>0</v>
      </c>
      <c r="BB118" s="28">
        <f t="shared" si="40"/>
        <v>0</v>
      </c>
      <c r="BC118" s="29">
        <f t="shared" si="41"/>
        <v>4.5406664314132815E-3</v>
      </c>
      <c r="BE118" s="29">
        <f t="shared" si="42"/>
        <v>0</v>
      </c>
      <c r="BF118" s="29">
        <f t="shared" si="43"/>
        <v>1.3687584085865862E-2</v>
      </c>
      <c r="BH118" s="29"/>
    </row>
    <row r="119" spans="1:60" x14ac:dyDescent="0.25">
      <c r="A119" s="1">
        <v>46196</v>
      </c>
      <c r="B119" s="33">
        <v>45.61</v>
      </c>
      <c r="C119" s="33">
        <v>107.26</v>
      </c>
      <c r="D119" s="15">
        <v>-1.31463647329854E-3</v>
      </c>
      <c r="E119" s="15">
        <v>-5.5923200264414998E-4</v>
      </c>
      <c r="F119" s="33">
        <v>0</v>
      </c>
      <c r="G119" s="33">
        <v>0.66991000000000001</v>
      </c>
      <c r="H119" s="33">
        <v>0</v>
      </c>
      <c r="I119" s="33">
        <v>1.4221599999999901</v>
      </c>
      <c r="J119" s="33">
        <v>0</v>
      </c>
      <c r="K119" s="33">
        <v>0</v>
      </c>
      <c r="L119" s="33">
        <v>45.61</v>
      </c>
      <c r="M119" s="33">
        <v>107.26</v>
      </c>
      <c r="N119" s="34">
        <v>2.35167726375794</v>
      </c>
      <c r="O119" s="34">
        <v>2.3475193892851398</v>
      </c>
      <c r="P119" s="34">
        <v>2.3495344920644401</v>
      </c>
      <c r="Q119" s="34">
        <v>2.34946399766838</v>
      </c>
      <c r="R119" s="33">
        <v>107.070359345295</v>
      </c>
      <c r="S119" s="33">
        <v>107.14200435514</v>
      </c>
      <c r="T119" s="33">
        <v>107.153890618983</v>
      </c>
      <c r="U119" s="15">
        <v>-1.7696112186103899E-3</v>
      </c>
      <c r="V119" s="15">
        <v>-1.10069546343787E-3</v>
      </c>
      <c r="W119" s="15">
        <v>-9.8976227120626593E-4</v>
      </c>
      <c r="X119" s="34">
        <v>2.35167726375794</v>
      </c>
      <c r="Y119" s="34">
        <v>2.3475193892851398</v>
      </c>
      <c r="Z119" s="34">
        <v>2.3495344920644401</v>
      </c>
      <c r="AA119" s="34">
        <v>2.34946399766838</v>
      </c>
      <c r="AB119" s="33">
        <v>107.070359345295</v>
      </c>
      <c r="AC119" s="33">
        <v>107.14200435514</v>
      </c>
      <c r="AD119" s="33">
        <v>107.153890618983</v>
      </c>
      <c r="AE119" s="15">
        <v>-1.7696112186103899E-3</v>
      </c>
      <c r="AF119" s="15">
        <v>-1.10069546343787E-3</v>
      </c>
      <c r="AG119" s="15">
        <v>-9.8976227120626593E-4</v>
      </c>
      <c r="AI119" s="12"/>
      <c r="AJ119">
        <f t="shared" si="26"/>
        <v>0</v>
      </c>
      <c r="AK119">
        <f t="shared" si="27"/>
        <v>0</v>
      </c>
      <c r="AL119">
        <f t="shared" si="34"/>
        <v>0</v>
      </c>
      <c r="AM119">
        <f t="shared" si="24"/>
        <v>1</v>
      </c>
      <c r="AN119">
        <f t="shared" si="35"/>
        <v>0</v>
      </c>
      <c r="AO119" s="28">
        <f t="shared" si="28"/>
        <v>0</v>
      </c>
      <c r="AP119" s="28">
        <f t="shared" si="29"/>
        <v>0</v>
      </c>
      <c r="AQ119" s="28">
        <f t="shared" si="36"/>
        <v>0</v>
      </c>
      <c r="AR119" s="29">
        <f t="shared" si="37"/>
        <v>9.1469176544525799E-3</v>
      </c>
      <c r="AT119" s="12"/>
      <c r="AU119">
        <f t="shared" si="30"/>
        <v>0</v>
      </c>
      <c r="AV119">
        <f t="shared" si="31"/>
        <v>1</v>
      </c>
      <c r="AW119">
        <f t="shared" si="38"/>
        <v>0</v>
      </c>
      <c r="AX119">
        <f t="shared" si="25"/>
        <v>1</v>
      </c>
      <c r="AY119">
        <f t="shared" si="39"/>
        <v>0</v>
      </c>
      <c r="AZ119" s="28">
        <f t="shared" si="32"/>
        <v>0</v>
      </c>
      <c r="BA119" s="28">
        <f t="shared" si="33"/>
        <v>0</v>
      </c>
      <c r="BB119" s="28">
        <f t="shared" si="40"/>
        <v>0</v>
      </c>
      <c r="BC119" s="29">
        <f t="shared" si="41"/>
        <v>4.5406664314132815E-3</v>
      </c>
      <c r="BE119" s="29">
        <f t="shared" si="42"/>
        <v>0</v>
      </c>
      <c r="BF119" s="29">
        <f t="shared" si="43"/>
        <v>1.3687584085865862E-2</v>
      </c>
      <c r="BH119" s="29"/>
    </row>
    <row r="120" spans="1:60" x14ac:dyDescent="0.25">
      <c r="A120" s="1">
        <v>46197</v>
      </c>
      <c r="B120" s="33">
        <v>45.71</v>
      </c>
      <c r="C120" s="33">
        <v>107.46</v>
      </c>
      <c r="D120" s="15">
        <v>2.1901016200439301E-3</v>
      </c>
      <c r="E120" s="15">
        <v>1.8628917458961101E-3</v>
      </c>
      <c r="F120" s="33">
        <v>0</v>
      </c>
      <c r="G120" s="33">
        <v>0.66991000000000001</v>
      </c>
      <c r="H120" s="33">
        <v>0</v>
      </c>
      <c r="I120" s="33">
        <v>1.4221599999999901</v>
      </c>
      <c r="J120" s="33">
        <v>0</v>
      </c>
      <c r="K120" s="33">
        <v>0</v>
      </c>
      <c r="L120" s="33">
        <v>45.71</v>
      </c>
      <c r="M120" s="33">
        <v>107.46</v>
      </c>
      <c r="N120" s="34">
        <v>2.3509078976154001</v>
      </c>
      <c r="O120" s="34">
        <v>2.3475193892851398</v>
      </c>
      <c r="P120" s="34">
        <v>2.3498369510516901</v>
      </c>
      <c r="Q120" s="34">
        <v>2.3495534454125901</v>
      </c>
      <c r="R120" s="33">
        <v>107.305111284224</v>
      </c>
      <c r="S120" s="33">
        <v>107.397221632265</v>
      </c>
      <c r="T120" s="33">
        <v>107.39399933342099</v>
      </c>
      <c r="U120" s="15">
        <v>-1.4424013444626501E-3</v>
      </c>
      <c r="V120" s="15">
        <v>-5.8437290628450404E-4</v>
      </c>
      <c r="W120" s="15">
        <v>-6.1437691510368101E-4</v>
      </c>
      <c r="X120" s="34">
        <v>2.3509078976154001</v>
      </c>
      <c r="Y120" s="34">
        <v>2.3475193892851398</v>
      </c>
      <c r="Z120" s="34">
        <v>2.3498369510516901</v>
      </c>
      <c r="AA120" s="34">
        <v>2.3495534454125901</v>
      </c>
      <c r="AB120" s="33">
        <v>107.305111284224</v>
      </c>
      <c r="AC120" s="33">
        <v>107.397221632265</v>
      </c>
      <c r="AD120" s="33">
        <v>107.39399933342099</v>
      </c>
      <c r="AE120" s="15">
        <v>-1.4424013444626501E-3</v>
      </c>
      <c r="AF120" s="15">
        <v>-5.8437290628450404E-4</v>
      </c>
      <c r="AG120" s="15">
        <v>-6.1437691510368101E-4</v>
      </c>
      <c r="AI120" s="12"/>
      <c r="AJ120">
        <f t="shared" si="26"/>
        <v>0</v>
      </c>
      <c r="AK120">
        <f t="shared" si="27"/>
        <v>0</v>
      </c>
      <c r="AL120">
        <f t="shared" si="34"/>
        <v>0</v>
      </c>
      <c r="AM120">
        <f t="shared" si="24"/>
        <v>1</v>
      </c>
      <c r="AN120">
        <f t="shared" si="35"/>
        <v>0</v>
      </c>
      <c r="AO120" s="28">
        <f t="shared" si="28"/>
        <v>0</v>
      </c>
      <c r="AP120" s="28">
        <f t="shared" si="29"/>
        <v>0</v>
      </c>
      <c r="AQ120" s="28">
        <f t="shared" si="36"/>
        <v>0</v>
      </c>
      <c r="AR120" s="29">
        <f t="shared" si="37"/>
        <v>9.1469176544525799E-3</v>
      </c>
      <c r="AT120" s="12"/>
      <c r="AU120">
        <f t="shared" si="30"/>
        <v>0</v>
      </c>
      <c r="AV120">
        <f t="shared" si="31"/>
        <v>1</v>
      </c>
      <c r="AW120">
        <f t="shared" si="38"/>
        <v>0</v>
      </c>
      <c r="AX120">
        <f t="shared" si="25"/>
        <v>1</v>
      </c>
      <c r="AY120">
        <f t="shared" si="39"/>
        <v>0</v>
      </c>
      <c r="AZ120" s="28">
        <f t="shared" si="32"/>
        <v>0</v>
      </c>
      <c r="BA120" s="28">
        <f t="shared" si="33"/>
        <v>0</v>
      </c>
      <c r="BB120" s="28">
        <f t="shared" si="40"/>
        <v>0</v>
      </c>
      <c r="BC120" s="29">
        <f t="shared" si="41"/>
        <v>4.5406664314132815E-3</v>
      </c>
      <c r="BE120" s="29">
        <f t="shared" si="42"/>
        <v>0</v>
      </c>
      <c r="BF120" s="29">
        <f t="shared" si="43"/>
        <v>1.3687584085865862E-2</v>
      </c>
      <c r="BH120" s="29"/>
    </row>
    <row r="121" spans="1:60" x14ac:dyDescent="0.25">
      <c r="A121" s="1">
        <v>46198</v>
      </c>
      <c r="B121" s="33">
        <v>45.73</v>
      </c>
      <c r="C121" s="33">
        <v>107.58</v>
      </c>
      <c r="D121" s="15">
        <v>4.3744532631082202E-4</v>
      </c>
      <c r="E121" s="15">
        <v>1.1160715444211199E-3</v>
      </c>
      <c r="F121" s="33">
        <v>0</v>
      </c>
      <c r="G121" s="33">
        <v>0.66991000000000001</v>
      </c>
      <c r="H121" s="33">
        <v>0</v>
      </c>
      <c r="I121" s="33">
        <v>1.4221599999999901</v>
      </c>
      <c r="J121" s="33">
        <v>0</v>
      </c>
      <c r="K121" s="33">
        <v>0</v>
      </c>
      <c r="L121" s="33">
        <v>45.73</v>
      </c>
      <c r="M121" s="33">
        <v>107.58</v>
      </c>
      <c r="N121" s="34">
        <v>2.3525038268095302</v>
      </c>
      <c r="O121" s="34">
        <v>2.3475193892851398</v>
      </c>
      <c r="P121" s="34">
        <v>2.3503181029634099</v>
      </c>
      <c r="Q121" s="34">
        <v>2.3496137445401302</v>
      </c>
      <c r="R121" s="33">
        <v>107.352061672009</v>
      </c>
      <c r="S121" s="33">
        <v>107.458043771593</v>
      </c>
      <c r="T121" s="33">
        <v>107.445079058717</v>
      </c>
      <c r="U121" s="15">
        <v>-2.1210275625730799E-3</v>
      </c>
      <c r="V121" s="15">
        <v>-1.1342759573388899E-3</v>
      </c>
      <c r="W121" s="15">
        <v>-1.25493230445009E-3</v>
      </c>
      <c r="X121" s="34">
        <v>2.3525038268095302</v>
      </c>
      <c r="Y121" s="34">
        <v>2.3475193892851398</v>
      </c>
      <c r="Z121" s="34">
        <v>2.3503181029634099</v>
      </c>
      <c r="AA121" s="34">
        <v>2.3496137445401302</v>
      </c>
      <c r="AB121" s="33">
        <v>107.352061672009</v>
      </c>
      <c r="AC121" s="33">
        <v>107.458043771593</v>
      </c>
      <c r="AD121" s="33">
        <v>107.445079058717</v>
      </c>
      <c r="AE121" s="15">
        <v>-2.1210275625730799E-3</v>
      </c>
      <c r="AF121" s="15">
        <v>-1.1342759573388899E-3</v>
      </c>
      <c r="AG121" s="15">
        <v>-1.25493230445009E-3</v>
      </c>
      <c r="AI121" s="12"/>
      <c r="AJ121">
        <f t="shared" si="26"/>
        <v>1</v>
      </c>
      <c r="AK121">
        <f t="shared" si="27"/>
        <v>0</v>
      </c>
      <c r="AL121">
        <f t="shared" si="34"/>
        <v>0</v>
      </c>
      <c r="AM121">
        <f t="shared" si="24"/>
        <v>1</v>
      </c>
      <c r="AN121">
        <f t="shared" si="35"/>
        <v>0</v>
      </c>
      <c r="AO121" s="28">
        <f t="shared" si="28"/>
        <v>0</v>
      </c>
      <c r="AP121" s="28">
        <f t="shared" si="29"/>
        <v>0</v>
      </c>
      <c r="AQ121" s="28">
        <f t="shared" si="36"/>
        <v>0</v>
      </c>
      <c r="AR121" s="29">
        <f t="shared" si="37"/>
        <v>9.1469176544525799E-3</v>
      </c>
      <c r="AT121" s="12"/>
      <c r="AU121">
        <f t="shared" si="30"/>
        <v>0</v>
      </c>
      <c r="AV121">
        <f t="shared" si="31"/>
        <v>1</v>
      </c>
      <c r="AW121">
        <f t="shared" si="38"/>
        <v>0</v>
      </c>
      <c r="AX121">
        <f t="shared" si="25"/>
        <v>1</v>
      </c>
      <c r="AY121">
        <f t="shared" si="39"/>
        <v>0</v>
      </c>
      <c r="AZ121" s="28">
        <f t="shared" si="32"/>
        <v>0</v>
      </c>
      <c r="BA121" s="28">
        <f t="shared" si="33"/>
        <v>0</v>
      </c>
      <c r="BB121" s="28">
        <f t="shared" si="40"/>
        <v>0</v>
      </c>
      <c r="BC121" s="29">
        <f t="shared" si="41"/>
        <v>4.5406664314132815E-3</v>
      </c>
      <c r="BE121" s="29">
        <f t="shared" si="42"/>
        <v>0</v>
      </c>
      <c r="BF121" s="29">
        <f t="shared" si="43"/>
        <v>1.3687584085865862E-2</v>
      </c>
      <c r="BH121" s="29"/>
    </row>
    <row r="122" spans="1:60" x14ac:dyDescent="0.25">
      <c r="A122" s="1">
        <v>46199</v>
      </c>
      <c r="B122" s="33">
        <v>45.76</v>
      </c>
      <c r="C122" s="33">
        <v>107.6</v>
      </c>
      <c r="D122" s="15">
        <v>6.5580940157859702E-4</v>
      </c>
      <c r="E122" s="15">
        <v>1.8589088258745499E-4</v>
      </c>
      <c r="F122" s="33">
        <v>0</v>
      </c>
      <c r="G122" s="33">
        <v>0.66991000000000001</v>
      </c>
      <c r="H122" s="33">
        <v>0</v>
      </c>
      <c r="I122" s="33">
        <v>1.4221599999999901</v>
      </c>
      <c r="J122" s="33">
        <v>0</v>
      </c>
      <c r="K122" s="33">
        <v>0</v>
      </c>
      <c r="L122" s="33">
        <v>45.76</v>
      </c>
      <c r="M122" s="33">
        <v>107.6</v>
      </c>
      <c r="N122" s="34">
        <v>2.3513986013985999</v>
      </c>
      <c r="O122" s="34">
        <v>2.3475193892851398</v>
      </c>
      <c r="P122" s="34">
        <v>2.3507287370563499</v>
      </c>
      <c r="Q122" s="34">
        <v>2.3496457875026602</v>
      </c>
      <c r="R122" s="33">
        <v>107.422487253688</v>
      </c>
      <c r="S122" s="33">
        <v>107.550556391605</v>
      </c>
      <c r="T122" s="33">
        <v>107.518324950156</v>
      </c>
      <c r="U122" s="15">
        <v>-1.65110904358175E-3</v>
      </c>
      <c r="V122" s="15">
        <v>-4.5961869765770598E-4</v>
      </c>
      <c r="W122" s="15">
        <v>-7.5935003479526205E-4</v>
      </c>
      <c r="X122" s="34">
        <v>2.3513986013985999</v>
      </c>
      <c r="Y122" s="34">
        <v>2.3475193892851398</v>
      </c>
      <c r="Z122" s="34">
        <v>2.3507287370563499</v>
      </c>
      <c r="AA122" s="34">
        <v>2.3496457875026602</v>
      </c>
      <c r="AB122" s="33">
        <v>107.422487253688</v>
      </c>
      <c r="AC122" s="33">
        <v>107.550556391605</v>
      </c>
      <c r="AD122" s="33">
        <v>107.518324950156</v>
      </c>
      <c r="AE122" s="15">
        <v>-1.65110904358175E-3</v>
      </c>
      <c r="AF122" s="15">
        <v>-4.5961869765770598E-4</v>
      </c>
      <c r="AG122" s="15">
        <v>-7.5935003479526205E-4</v>
      </c>
      <c r="AI122" s="12"/>
      <c r="AJ122">
        <f t="shared" si="26"/>
        <v>0</v>
      </c>
      <c r="AK122">
        <f t="shared" si="27"/>
        <v>0</v>
      </c>
      <c r="AL122">
        <f t="shared" si="34"/>
        <v>1</v>
      </c>
      <c r="AM122">
        <f t="shared" si="24"/>
        <v>1</v>
      </c>
      <c r="AN122">
        <f t="shared" si="35"/>
        <v>1</v>
      </c>
      <c r="AO122" s="28">
        <f t="shared" si="28"/>
        <v>6.5580940157859702E-4</v>
      </c>
      <c r="AP122" s="28">
        <f t="shared" si="29"/>
        <v>-1.8589088258745499E-4</v>
      </c>
      <c r="AQ122" s="28">
        <f t="shared" si="36"/>
        <v>4.69918518991142E-4</v>
      </c>
      <c r="AR122" s="29">
        <f t="shared" si="37"/>
        <v>9.6168361734437213E-3</v>
      </c>
      <c r="AT122" s="12"/>
      <c r="AU122">
        <f t="shared" si="30"/>
        <v>0</v>
      </c>
      <c r="AV122">
        <f t="shared" si="31"/>
        <v>1</v>
      </c>
      <c r="AW122">
        <f t="shared" si="38"/>
        <v>0</v>
      </c>
      <c r="AX122">
        <f t="shared" si="25"/>
        <v>1</v>
      </c>
      <c r="AY122">
        <f t="shared" si="39"/>
        <v>0</v>
      </c>
      <c r="AZ122" s="28">
        <f t="shared" si="32"/>
        <v>0</v>
      </c>
      <c r="BA122" s="28">
        <f t="shared" si="33"/>
        <v>0</v>
      </c>
      <c r="BB122" s="28">
        <f t="shared" si="40"/>
        <v>0</v>
      </c>
      <c r="BC122" s="29">
        <f t="shared" si="41"/>
        <v>4.5406664314132815E-3</v>
      </c>
      <c r="BE122" s="29">
        <f t="shared" si="42"/>
        <v>4.69918518991142E-4</v>
      </c>
      <c r="BF122" s="29">
        <f t="shared" si="43"/>
        <v>1.4157502604857004E-2</v>
      </c>
      <c r="BH122" s="29"/>
    </row>
    <row r="123" spans="1:60" x14ac:dyDescent="0.25">
      <c r="A123" s="1">
        <v>46202</v>
      </c>
      <c r="B123" s="33">
        <v>45.81</v>
      </c>
      <c r="C123" s="33">
        <v>107.71</v>
      </c>
      <c r="D123" s="15">
        <v>1.09206082710846E-3</v>
      </c>
      <c r="E123" s="15">
        <v>1.02178263499485E-3</v>
      </c>
      <c r="F123" s="33">
        <v>0</v>
      </c>
      <c r="G123" s="33">
        <v>0.66991000000000001</v>
      </c>
      <c r="H123" s="33">
        <v>0</v>
      </c>
      <c r="I123" s="33">
        <v>1.4221599999999901</v>
      </c>
      <c r="J123" s="33">
        <v>0</v>
      </c>
      <c r="K123" s="33">
        <v>0</v>
      </c>
      <c r="L123" s="33">
        <v>45.81</v>
      </c>
      <c r="M123" s="33">
        <v>107.71</v>
      </c>
      <c r="N123" s="34">
        <v>2.3512333551626199</v>
      </c>
      <c r="O123" s="34">
        <v>2.3475193892851398</v>
      </c>
      <c r="P123" s="34">
        <v>2.3508356071500001</v>
      </c>
      <c r="Q123" s="34">
        <v>2.34967071474752</v>
      </c>
      <c r="R123" s="33">
        <v>107.539863223152</v>
      </c>
      <c r="S123" s="33">
        <v>107.686883444551</v>
      </c>
      <c r="T123" s="33">
        <v>107.63727352549699</v>
      </c>
      <c r="U123" s="15">
        <v>-1.5808308514682801E-3</v>
      </c>
      <c r="V123" s="15">
        <v>-2.1464150425378999E-4</v>
      </c>
      <c r="W123" s="15">
        <v>-6.7543439094650503E-4</v>
      </c>
      <c r="X123" s="34">
        <v>2.3512333551626199</v>
      </c>
      <c r="Y123" s="34">
        <v>2.3475193892851398</v>
      </c>
      <c r="Z123" s="34">
        <v>2.3508356071500001</v>
      </c>
      <c r="AA123" s="34">
        <v>2.34967071474752</v>
      </c>
      <c r="AB123" s="33">
        <v>107.539863223152</v>
      </c>
      <c r="AC123" s="33">
        <v>107.686883444551</v>
      </c>
      <c r="AD123" s="33">
        <v>107.63727352549699</v>
      </c>
      <c r="AE123" s="15">
        <v>-1.5808308514682801E-3</v>
      </c>
      <c r="AF123" s="15">
        <v>-2.1464150425378999E-4</v>
      </c>
      <c r="AG123" s="15">
        <v>-6.7543439094650503E-4</v>
      </c>
      <c r="AI123" s="12"/>
      <c r="AJ123">
        <f t="shared" si="26"/>
        <v>0</v>
      </c>
      <c r="AK123">
        <f t="shared" si="27"/>
        <v>0</v>
      </c>
      <c r="AL123">
        <f t="shared" si="34"/>
        <v>1</v>
      </c>
      <c r="AM123">
        <f t="shared" si="24"/>
        <v>1</v>
      </c>
      <c r="AN123">
        <f t="shared" si="35"/>
        <v>1</v>
      </c>
      <c r="AO123" s="28">
        <f t="shared" si="28"/>
        <v>1.09206082710846E-3</v>
      </c>
      <c r="AP123" s="28">
        <f t="shared" si="29"/>
        <v>-1.02178263499485E-3</v>
      </c>
      <c r="AQ123" s="28">
        <f t="shared" si="36"/>
        <v>7.0278192113609967E-5</v>
      </c>
      <c r="AR123" s="29">
        <f t="shared" si="37"/>
        <v>9.6871143655573311E-3</v>
      </c>
      <c r="AT123" s="12"/>
      <c r="AU123">
        <f t="shared" si="30"/>
        <v>0</v>
      </c>
      <c r="AV123">
        <f t="shared" si="31"/>
        <v>1</v>
      </c>
      <c r="AW123">
        <f t="shared" si="38"/>
        <v>0</v>
      </c>
      <c r="AX123">
        <f t="shared" si="25"/>
        <v>1</v>
      </c>
      <c r="AY123">
        <f t="shared" si="39"/>
        <v>0</v>
      </c>
      <c r="AZ123" s="28">
        <f t="shared" si="32"/>
        <v>0</v>
      </c>
      <c r="BA123" s="28">
        <f t="shared" si="33"/>
        <v>0</v>
      </c>
      <c r="BB123" s="28">
        <f t="shared" si="40"/>
        <v>0</v>
      </c>
      <c r="BC123" s="29">
        <f t="shared" si="41"/>
        <v>4.5406664314132815E-3</v>
      </c>
      <c r="BE123" s="29">
        <f t="shared" si="42"/>
        <v>7.0278192113609967E-5</v>
      </c>
      <c r="BF123" s="29">
        <f t="shared" si="43"/>
        <v>1.4227780796970613E-2</v>
      </c>
      <c r="BH123" s="29"/>
    </row>
    <row r="124" spans="1:60" x14ac:dyDescent="0.25">
      <c r="A124" s="1">
        <v>46203</v>
      </c>
      <c r="B124" s="33">
        <v>45.8</v>
      </c>
      <c r="C124" s="33">
        <v>107.62</v>
      </c>
      <c r="D124" s="15">
        <v>-2.18316778511629E-4</v>
      </c>
      <c r="E124" s="15">
        <v>-8.3592630140509497E-4</v>
      </c>
      <c r="F124" s="33">
        <v>0</v>
      </c>
      <c r="G124" s="33">
        <v>0.66991000000000001</v>
      </c>
      <c r="H124" s="33">
        <v>0</v>
      </c>
      <c r="I124" s="33">
        <v>1.4221599999999901</v>
      </c>
      <c r="J124" s="33">
        <v>0</v>
      </c>
      <c r="K124" s="33">
        <v>0</v>
      </c>
      <c r="L124" s="33">
        <v>45.8</v>
      </c>
      <c r="M124" s="33">
        <v>107.62</v>
      </c>
      <c r="N124" s="34">
        <v>2.3497816593886398</v>
      </c>
      <c r="O124" s="34">
        <v>2.3475193892851398</v>
      </c>
      <c r="P124" s="34">
        <v>2.3507402920623299</v>
      </c>
      <c r="Q124" s="34">
        <v>2.3496174807242101</v>
      </c>
      <c r="R124" s="33">
        <v>107.51638802925901</v>
      </c>
      <c r="S124" s="33">
        <v>107.66827080746999</v>
      </c>
      <c r="T124" s="33">
        <v>107.61491873543601</v>
      </c>
      <c r="U124" s="15">
        <v>-9.6322132857473502E-4</v>
      </c>
      <c r="V124" s="15">
        <v>4.4842952287273998E-4</v>
      </c>
      <c r="W124" s="15">
        <v>-4.7215987017206899E-5</v>
      </c>
      <c r="X124" s="34">
        <v>2.3497816593886398</v>
      </c>
      <c r="Y124" s="34">
        <v>2.3475193892851398</v>
      </c>
      <c r="Z124" s="34">
        <v>2.3507402920623299</v>
      </c>
      <c r="AA124" s="34">
        <v>2.3496174807242101</v>
      </c>
      <c r="AB124" s="33">
        <v>107.51638802925901</v>
      </c>
      <c r="AC124" s="33">
        <v>107.66827080746999</v>
      </c>
      <c r="AD124" s="33">
        <v>107.61491873543601</v>
      </c>
      <c r="AE124" s="15">
        <v>-9.6322132857473502E-4</v>
      </c>
      <c r="AF124" s="15">
        <v>4.4842952287273998E-4</v>
      </c>
      <c r="AG124" s="15">
        <v>-4.7215987017206899E-5</v>
      </c>
      <c r="AI124" s="12"/>
      <c r="AJ124">
        <f t="shared" si="26"/>
        <v>0</v>
      </c>
      <c r="AK124">
        <f t="shared" si="27"/>
        <v>0</v>
      </c>
      <c r="AL124">
        <f t="shared" si="34"/>
        <v>1</v>
      </c>
      <c r="AM124">
        <f t="shared" si="24"/>
        <v>0</v>
      </c>
      <c r="AN124">
        <f t="shared" si="35"/>
        <v>1</v>
      </c>
      <c r="AO124" s="28">
        <f t="shared" si="28"/>
        <v>-2.18316778511629E-4</v>
      </c>
      <c r="AP124" s="28">
        <f t="shared" si="29"/>
        <v>8.3592630140509497E-4</v>
      </c>
      <c r="AQ124" s="28">
        <f t="shared" si="36"/>
        <v>6.1760952289346602E-4</v>
      </c>
      <c r="AR124" s="29">
        <f t="shared" si="37"/>
        <v>1.0304723888450797E-2</v>
      </c>
      <c r="AT124" s="12"/>
      <c r="AU124">
        <f t="shared" si="30"/>
        <v>0</v>
      </c>
      <c r="AV124">
        <f t="shared" si="31"/>
        <v>1</v>
      </c>
      <c r="AW124">
        <f t="shared" si="38"/>
        <v>0</v>
      </c>
      <c r="AX124">
        <f t="shared" si="25"/>
        <v>0</v>
      </c>
      <c r="AY124">
        <f t="shared" si="39"/>
        <v>0</v>
      </c>
      <c r="AZ124" s="28">
        <f t="shared" si="32"/>
        <v>0</v>
      </c>
      <c r="BA124" s="28">
        <f t="shared" si="33"/>
        <v>0</v>
      </c>
      <c r="BB124" s="28">
        <f t="shared" si="40"/>
        <v>0</v>
      </c>
      <c r="BC124" s="29">
        <f t="shared" si="41"/>
        <v>4.5406664314132815E-3</v>
      </c>
      <c r="BE124" s="29">
        <f t="shared" si="42"/>
        <v>6.1760952289346602E-4</v>
      </c>
      <c r="BF124" s="29">
        <f t="shared" si="43"/>
        <v>1.484539031986408E-2</v>
      </c>
      <c r="BH124" s="29"/>
    </row>
    <row r="125" spans="1:60" x14ac:dyDescent="0.25">
      <c r="A125" s="1">
        <v>46204</v>
      </c>
      <c r="B125" s="33">
        <v>45.64</v>
      </c>
      <c r="C125" s="33">
        <v>107.34</v>
      </c>
      <c r="D125" s="15">
        <v>-3.4995661262643201E-3</v>
      </c>
      <c r="E125" s="15">
        <v>-2.60513731259082E-3</v>
      </c>
      <c r="F125" s="33">
        <v>0.13542999999999999</v>
      </c>
      <c r="G125" s="33">
        <v>0.80533999999999994</v>
      </c>
      <c r="H125" s="33">
        <v>0.28858</v>
      </c>
      <c r="I125" s="33">
        <v>1.7107399999999999</v>
      </c>
      <c r="J125" s="33">
        <v>0</v>
      </c>
      <c r="K125" s="33">
        <v>0</v>
      </c>
      <c r="L125" s="33">
        <v>45.64</v>
      </c>
      <c r="M125" s="33">
        <v>107.34</v>
      </c>
      <c r="N125" s="34">
        <v>2.3518843120070101</v>
      </c>
      <c r="O125" s="34">
        <v>2.3475193892851398</v>
      </c>
      <c r="P125" s="34">
        <v>2.3508552422364901</v>
      </c>
      <c r="Q125" s="34">
        <v>2.3497517270330501</v>
      </c>
      <c r="R125" s="33">
        <v>107.14078492697401</v>
      </c>
      <c r="S125" s="33">
        <v>107.28778692972401</v>
      </c>
      <c r="T125" s="33">
        <v>107.236541820253</v>
      </c>
      <c r="U125" s="15">
        <v>-1.8576501422482301E-3</v>
      </c>
      <c r="V125" s="15">
        <v>-4.86545307596824E-4</v>
      </c>
      <c r="W125" s="15">
        <v>-9.6430100780169796E-4</v>
      </c>
      <c r="X125" s="34">
        <v>2.3518843120070101</v>
      </c>
      <c r="Y125" s="34">
        <v>2.3475193892851398</v>
      </c>
      <c r="Z125" s="34">
        <v>2.3508552422364901</v>
      </c>
      <c r="AA125" s="34">
        <v>2.3497517270330501</v>
      </c>
      <c r="AB125" s="33">
        <v>107.14078492697401</v>
      </c>
      <c r="AC125" s="33">
        <v>107.28778692972401</v>
      </c>
      <c r="AD125" s="33">
        <v>107.236541820253</v>
      </c>
      <c r="AE125" s="15">
        <v>-1.8576501422482301E-3</v>
      </c>
      <c r="AF125" s="15">
        <v>-4.86545307596824E-4</v>
      </c>
      <c r="AG125" s="15">
        <v>-9.6430100780169796E-4</v>
      </c>
      <c r="AI125" s="12"/>
      <c r="AJ125">
        <f t="shared" si="26"/>
        <v>0</v>
      </c>
      <c r="AK125">
        <f t="shared" si="27"/>
        <v>0</v>
      </c>
      <c r="AL125">
        <f t="shared" si="34"/>
        <v>0</v>
      </c>
      <c r="AM125">
        <f t="shared" si="24"/>
        <v>1</v>
      </c>
      <c r="AN125">
        <f t="shared" si="35"/>
        <v>0</v>
      </c>
      <c r="AO125" s="28">
        <f t="shared" si="28"/>
        <v>0</v>
      </c>
      <c r="AP125" s="28">
        <f t="shared" si="29"/>
        <v>0</v>
      </c>
      <c r="AQ125" s="28">
        <f t="shared" si="36"/>
        <v>0</v>
      </c>
      <c r="AR125" s="29">
        <f t="shared" si="37"/>
        <v>1.0304723888450797E-2</v>
      </c>
      <c r="AT125" s="12"/>
      <c r="AU125">
        <f t="shared" si="30"/>
        <v>0</v>
      </c>
      <c r="AV125">
        <f t="shared" si="31"/>
        <v>1</v>
      </c>
      <c r="AW125">
        <f t="shared" si="38"/>
        <v>0</v>
      </c>
      <c r="AX125">
        <f t="shared" si="25"/>
        <v>1</v>
      </c>
      <c r="AY125">
        <f t="shared" si="39"/>
        <v>0</v>
      </c>
      <c r="AZ125" s="28">
        <f t="shared" si="32"/>
        <v>0</v>
      </c>
      <c r="BA125" s="28">
        <f t="shared" si="33"/>
        <v>0</v>
      </c>
      <c r="BB125" s="28">
        <f t="shared" si="40"/>
        <v>0</v>
      </c>
      <c r="BC125" s="29">
        <f t="shared" si="41"/>
        <v>4.5406664314132815E-3</v>
      </c>
      <c r="BE125" s="29">
        <f t="shared" si="42"/>
        <v>0</v>
      </c>
      <c r="BF125" s="29">
        <f t="shared" si="43"/>
        <v>1.484539031986408E-2</v>
      </c>
      <c r="BH125" s="29"/>
    </row>
    <row r="126" spans="1:60" x14ac:dyDescent="0.25">
      <c r="A126" s="1">
        <v>46205</v>
      </c>
      <c r="B126" s="33">
        <v>45.73</v>
      </c>
      <c r="C126" s="33">
        <v>107.5</v>
      </c>
      <c r="D126" s="15">
        <v>1.9700126760887702E-3</v>
      </c>
      <c r="E126" s="15">
        <v>1.48948081903466E-3</v>
      </c>
      <c r="F126" s="33">
        <v>0</v>
      </c>
      <c r="G126" s="33">
        <v>0.80533999999999994</v>
      </c>
      <c r="H126" s="33">
        <v>0</v>
      </c>
      <c r="I126" s="33">
        <v>1.7107399999999999</v>
      </c>
      <c r="J126" s="33">
        <v>0</v>
      </c>
      <c r="K126" s="33">
        <v>0</v>
      </c>
      <c r="L126" s="33">
        <v>45.73</v>
      </c>
      <c r="M126" s="33">
        <v>107.5</v>
      </c>
      <c r="N126" s="34">
        <v>2.3507544281653101</v>
      </c>
      <c r="O126" s="34">
        <v>2.3475193892851398</v>
      </c>
      <c r="P126" s="34">
        <v>2.3510163240517001</v>
      </c>
      <c r="Q126" s="34">
        <v>2.34990243659401</v>
      </c>
      <c r="R126" s="33">
        <v>107.352061672009</v>
      </c>
      <c r="S126" s="33">
        <v>107.504610227474</v>
      </c>
      <c r="T126" s="33">
        <v>107.454146477221</v>
      </c>
      <c r="U126" s="15">
        <v>-1.37711828519402E-3</v>
      </c>
      <c r="V126" s="15">
        <v>4.2884917402655997E-5</v>
      </c>
      <c r="W126" s="15">
        <v>-4.2663539387892998E-4</v>
      </c>
      <c r="X126" s="34">
        <v>2.3507544281653101</v>
      </c>
      <c r="Y126" s="34">
        <v>2.3475193892851398</v>
      </c>
      <c r="Z126" s="34">
        <v>2.3510163240517001</v>
      </c>
      <c r="AA126" s="34">
        <v>2.34990243659401</v>
      </c>
      <c r="AB126" s="33">
        <v>107.352061672009</v>
      </c>
      <c r="AC126" s="33">
        <v>107.504610227474</v>
      </c>
      <c r="AD126" s="33">
        <v>107.454146477221</v>
      </c>
      <c r="AE126" s="15">
        <v>-1.37711828519402E-3</v>
      </c>
      <c r="AF126" s="15">
        <v>4.2884917402655997E-5</v>
      </c>
      <c r="AG126" s="15">
        <v>-4.2663539387892998E-4</v>
      </c>
      <c r="AI126" s="12"/>
      <c r="AJ126">
        <f t="shared" si="26"/>
        <v>0</v>
      </c>
      <c r="AK126">
        <f t="shared" si="27"/>
        <v>0</v>
      </c>
      <c r="AL126">
        <f t="shared" si="34"/>
        <v>0</v>
      </c>
      <c r="AM126">
        <f t="shared" si="24"/>
        <v>1</v>
      </c>
      <c r="AN126">
        <f t="shared" si="35"/>
        <v>0</v>
      </c>
      <c r="AO126" s="28">
        <f t="shared" si="28"/>
        <v>0</v>
      </c>
      <c r="AP126" s="28">
        <f t="shared" si="29"/>
        <v>0</v>
      </c>
      <c r="AQ126" s="28">
        <f t="shared" si="36"/>
        <v>0</v>
      </c>
      <c r="AR126" s="29">
        <f t="shared" si="37"/>
        <v>1.0304723888450797E-2</v>
      </c>
      <c r="AT126" s="12"/>
      <c r="AU126">
        <f t="shared" si="30"/>
        <v>0</v>
      </c>
      <c r="AV126">
        <f t="shared" si="31"/>
        <v>1</v>
      </c>
      <c r="AW126">
        <f t="shared" si="38"/>
        <v>0</v>
      </c>
      <c r="AX126">
        <f t="shared" si="25"/>
        <v>1</v>
      </c>
      <c r="AY126">
        <f t="shared" si="39"/>
        <v>0</v>
      </c>
      <c r="AZ126" s="28">
        <f t="shared" si="32"/>
        <v>0</v>
      </c>
      <c r="BA126" s="28">
        <f t="shared" si="33"/>
        <v>0</v>
      </c>
      <c r="BB126" s="28">
        <f t="shared" si="40"/>
        <v>0</v>
      </c>
      <c r="BC126" s="29">
        <f t="shared" si="41"/>
        <v>4.5406664314132815E-3</v>
      </c>
      <c r="BE126" s="29">
        <f t="shared" si="42"/>
        <v>0</v>
      </c>
      <c r="BF126" s="29">
        <f t="shared" si="43"/>
        <v>1.484539031986408E-2</v>
      </c>
      <c r="BH126" s="29"/>
    </row>
    <row r="127" spans="1:60" x14ac:dyDescent="0.25">
      <c r="A127" s="1">
        <v>46209</v>
      </c>
      <c r="B127" s="33">
        <v>45.72</v>
      </c>
      <c r="C127" s="33">
        <v>107.57</v>
      </c>
      <c r="D127" s="15">
        <v>-2.1869874335385999E-4</v>
      </c>
      <c r="E127" s="15">
        <v>6.5095087619645303E-4</v>
      </c>
      <c r="F127" s="33">
        <v>0</v>
      </c>
      <c r="G127" s="33">
        <v>0.80533999999999994</v>
      </c>
      <c r="H127" s="33">
        <v>0</v>
      </c>
      <c r="I127" s="33">
        <v>1.7107399999999999</v>
      </c>
      <c r="J127" s="33">
        <v>0</v>
      </c>
      <c r="K127" s="33">
        <v>0</v>
      </c>
      <c r="L127" s="33">
        <v>45.72</v>
      </c>
      <c r="M127" s="33">
        <v>107.57</v>
      </c>
      <c r="N127" s="34">
        <v>2.3527996500437398</v>
      </c>
      <c r="O127" s="34">
        <v>2.3475193892851398</v>
      </c>
      <c r="P127" s="34">
        <v>2.3512842461395</v>
      </c>
      <c r="Q127" s="34">
        <v>2.35008679779442</v>
      </c>
      <c r="R127" s="33">
        <v>107.32858647811599</v>
      </c>
      <c r="S127" s="33">
        <v>107.488466335643</v>
      </c>
      <c r="T127" s="33">
        <v>107.437539401078</v>
      </c>
      <c r="U127" s="15">
        <v>-2.2467679047444501E-3</v>
      </c>
      <c r="V127" s="15">
        <v>-7.5824653315655001E-4</v>
      </c>
      <c r="W127" s="15">
        <v>-1.2321485660361201E-3</v>
      </c>
      <c r="X127" s="34">
        <v>2.3527996500437398</v>
      </c>
      <c r="Y127" s="34">
        <v>2.3475193892851398</v>
      </c>
      <c r="Z127" s="34">
        <v>2.3512842461395</v>
      </c>
      <c r="AA127" s="34">
        <v>2.35008679779442</v>
      </c>
      <c r="AB127" s="33">
        <v>107.32858647811599</v>
      </c>
      <c r="AC127" s="33">
        <v>107.488466335643</v>
      </c>
      <c r="AD127" s="33">
        <v>107.437539401078</v>
      </c>
      <c r="AE127" s="15">
        <v>-2.2467679047444501E-3</v>
      </c>
      <c r="AF127" s="15">
        <v>-7.5824653315655001E-4</v>
      </c>
      <c r="AG127" s="15">
        <v>-1.2321485660361201E-3</v>
      </c>
      <c r="AI127" s="12"/>
      <c r="AJ127">
        <f t="shared" si="26"/>
        <v>1</v>
      </c>
      <c r="AK127">
        <f t="shared" si="27"/>
        <v>0</v>
      </c>
      <c r="AL127">
        <f t="shared" si="34"/>
        <v>0</v>
      </c>
      <c r="AM127">
        <f t="shared" si="24"/>
        <v>1</v>
      </c>
      <c r="AN127">
        <f t="shared" si="35"/>
        <v>0</v>
      </c>
      <c r="AO127" s="28">
        <f t="shared" si="28"/>
        <v>0</v>
      </c>
      <c r="AP127" s="28">
        <f t="shared" si="29"/>
        <v>0</v>
      </c>
      <c r="AQ127" s="28">
        <f t="shared" si="36"/>
        <v>0</v>
      </c>
      <c r="AR127" s="29">
        <f t="shared" si="37"/>
        <v>1.0304723888450797E-2</v>
      </c>
      <c r="AT127" s="12"/>
      <c r="AU127">
        <f t="shared" si="30"/>
        <v>0</v>
      </c>
      <c r="AV127">
        <f t="shared" si="31"/>
        <v>1</v>
      </c>
      <c r="AW127">
        <f t="shared" si="38"/>
        <v>0</v>
      </c>
      <c r="AX127">
        <f t="shared" si="25"/>
        <v>1</v>
      </c>
      <c r="AY127">
        <f t="shared" si="39"/>
        <v>0</v>
      </c>
      <c r="AZ127" s="28">
        <f t="shared" si="32"/>
        <v>0</v>
      </c>
      <c r="BA127" s="28">
        <f t="shared" si="33"/>
        <v>0</v>
      </c>
      <c r="BB127" s="28">
        <f t="shared" si="40"/>
        <v>0</v>
      </c>
      <c r="BC127" s="29">
        <f t="shared" si="41"/>
        <v>4.5406664314132815E-3</v>
      </c>
      <c r="BE127" s="29">
        <f t="shared" si="42"/>
        <v>0</v>
      </c>
      <c r="BF127" s="29">
        <f t="shared" si="43"/>
        <v>1.484539031986408E-2</v>
      </c>
      <c r="BH127" s="29"/>
    </row>
    <row r="128" spans="1:60" x14ac:dyDescent="0.25">
      <c r="A128" s="1">
        <v>46210</v>
      </c>
      <c r="B128" s="33">
        <v>45.6</v>
      </c>
      <c r="C128" s="33">
        <v>107.24</v>
      </c>
      <c r="D128" s="15">
        <v>-2.62812240626946E-3</v>
      </c>
      <c r="E128" s="15">
        <v>-3.0724850761555201E-3</v>
      </c>
      <c r="F128" s="33">
        <v>0</v>
      </c>
      <c r="G128" s="33">
        <v>0.80533999999999994</v>
      </c>
      <c r="H128" s="33">
        <v>0</v>
      </c>
      <c r="I128" s="33">
        <v>1.7107399999999999</v>
      </c>
      <c r="J128" s="33">
        <v>0</v>
      </c>
      <c r="K128" s="33">
        <v>0</v>
      </c>
      <c r="L128" s="33">
        <v>45.6</v>
      </c>
      <c r="M128" s="33">
        <v>107.24</v>
      </c>
      <c r="N128" s="34">
        <v>2.3517543859649099</v>
      </c>
      <c r="O128" s="34">
        <v>2.3475193892851398</v>
      </c>
      <c r="P128" s="34">
        <v>2.3514695380313699</v>
      </c>
      <c r="Q128" s="34">
        <v>2.3502798726677301</v>
      </c>
      <c r="R128" s="33">
        <v>107.046884151402</v>
      </c>
      <c r="S128" s="33">
        <v>107.21856162396099</v>
      </c>
      <c r="T128" s="33">
        <v>107.16395797942501</v>
      </c>
      <c r="U128" s="15">
        <v>-1.80240523485835E-3</v>
      </c>
      <c r="V128" s="15">
        <v>-1.9993024244597E-4</v>
      </c>
      <c r="W128" s="15">
        <v>-7.0933414176839102E-4</v>
      </c>
      <c r="X128" s="34">
        <v>2.3517543859649099</v>
      </c>
      <c r="Y128" s="34">
        <v>2.3475193892851398</v>
      </c>
      <c r="Z128" s="34">
        <v>2.3514695380313699</v>
      </c>
      <c r="AA128" s="34">
        <v>2.3502798726677301</v>
      </c>
      <c r="AB128" s="33">
        <v>107.046884151402</v>
      </c>
      <c r="AC128" s="33">
        <v>107.21856162396099</v>
      </c>
      <c r="AD128" s="33">
        <v>107.16395797942501</v>
      </c>
      <c r="AE128" s="15">
        <v>-1.80240523485835E-3</v>
      </c>
      <c r="AF128" s="15">
        <v>-1.9993024244597E-4</v>
      </c>
      <c r="AG128" s="15">
        <v>-7.0933414176839102E-4</v>
      </c>
      <c r="AI128" s="12"/>
      <c r="AJ128">
        <f t="shared" si="26"/>
        <v>0</v>
      </c>
      <c r="AK128">
        <f t="shared" si="27"/>
        <v>0</v>
      </c>
      <c r="AL128">
        <f t="shared" si="34"/>
        <v>1</v>
      </c>
      <c r="AM128">
        <f t="shared" si="24"/>
        <v>1</v>
      </c>
      <c r="AN128">
        <f t="shared" si="35"/>
        <v>1</v>
      </c>
      <c r="AO128" s="28">
        <f t="shared" si="28"/>
        <v>-2.62812240626946E-3</v>
      </c>
      <c r="AP128" s="28">
        <f t="shared" si="29"/>
        <v>3.0724850761555201E-3</v>
      </c>
      <c r="AQ128" s="28">
        <f t="shared" si="36"/>
        <v>4.4436266988606005E-4</v>
      </c>
      <c r="AR128" s="29">
        <f t="shared" si="37"/>
        <v>1.0749086558336857E-2</v>
      </c>
      <c r="AT128" s="12"/>
      <c r="AU128">
        <f t="shared" si="30"/>
        <v>0</v>
      </c>
      <c r="AV128">
        <f t="shared" si="31"/>
        <v>1</v>
      </c>
      <c r="AW128">
        <f t="shared" si="38"/>
        <v>0</v>
      </c>
      <c r="AX128">
        <f t="shared" si="25"/>
        <v>1</v>
      </c>
      <c r="AY128">
        <f t="shared" si="39"/>
        <v>0</v>
      </c>
      <c r="AZ128" s="28">
        <f t="shared" si="32"/>
        <v>0</v>
      </c>
      <c r="BA128" s="28">
        <f t="shared" si="33"/>
        <v>0</v>
      </c>
      <c r="BB128" s="28">
        <f t="shared" si="40"/>
        <v>0</v>
      </c>
      <c r="BC128" s="29">
        <f t="shared" si="41"/>
        <v>4.5406664314132815E-3</v>
      </c>
      <c r="BE128" s="29">
        <f t="shared" si="42"/>
        <v>4.4436266988606005E-4</v>
      </c>
      <c r="BF128" s="29">
        <f t="shared" si="43"/>
        <v>1.528975298975014E-2</v>
      </c>
      <c r="BH128" s="29"/>
    </row>
    <row r="129" spans="1:60" x14ac:dyDescent="0.25">
      <c r="A129" s="1">
        <v>46211</v>
      </c>
      <c r="B129" s="33">
        <v>45.55</v>
      </c>
      <c r="C129" s="33">
        <v>106.91</v>
      </c>
      <c r="D129" s="15">
        <v>-1.09709281437321E-3</v>
      </c>
      <c r="E129" s="15">
        <v>-3.0819543423500099E-3</v>
      </c>
      <c r="F129" s="33">
        <v>0</v>
      </c>
      <c r="G129" s="33">
        <v>0.80533999999999994</v>
      </c>
      <c r="H129" s="33">
        <v>0</v>
      </c>
      <c r="I129" s="33">
        <v>1.7107399999999999</v>
      </c>
      <c r="J129" s="33">
        <v>0</v>
      </c>
      <c r="K129" s="33">
        <v>0</v>
      </c>
      <c r="L129" s="33">
        <v>45.55</v>
      </c>
      <c r="M129" s="33">
        <v>106.91</v>
      </c>
      <c r="N129" s="34">
        <v>2.3470911086717798</v>
      </c>
      <c r="O129" s="34">
        <v>2.3475193892851398</v>
      </c>
      <c r="P129" s="34">
        <v>2.3510109225227498</v>
      </c>
      <c r="Q129" s="34">
        <v>2.3502727072936</v>
      </c>
      <c r="R129" s="33">
        <v>106.929508181938</v>
      </c>
      <c r="S129" s="33">
        <v>107.10943745732899</v>
      </c>
      <c r="T129" s="33">
        <v>107.055248200015</v>
      </c>
      <c r="U129" s="15">
        <v>1.82456293118476E-4</v>
      </c>
      <c r="V129" s="15">
        <v>1.8637327284604501E-3</v>
      </c>
      <c r="W129" s="15">
        <v>1.35768049763862E-3</v>
      </c>
      <c r="X129" s="34">
        <v>2.3470911086717798</v>
      </c>
      <c r="Y129" s="34">
        <v>2.3475193892851398</v>
      </c>
      <c r="Z129" s="34">
        <v>2.3510109225227498</v>
      </c>
      <c r="AA129" s="34">
        <v>2.3502727072936</v>
      </c>
      <c r="AB129" s="33">
        <v>106.929508181938</v>
      </c>
      <c r="AC129" s="33">
        <v>107.10943745732899</v>
      </c>
      <c r="AD129" s="33">
        <v>107.055248200015</v>
      </c>
      <c r="AE129" s="15">
        <v>1.82456293118476E-4</v>
      </c>
      <c r="AF129" s="15">
        <v>1.8637327284604501E-3</v>
      </c>
      <c r="AG129" s="15">
        <v>1.35768049763862E-3</v>
      </c>
      <c r="AI129" s="12"/>
      <c r="AJ129">
        <f t="shared" si="26"/>
        <v>0</v>
      </c>
      <c r="AK129">
        <f t="shared" si="27"/>
        <v>1</v>
      </c>
      <c r="AL129">
        <f t="shared" si="34"/>
        <v>1</v>
      </c>
      <c r="AM129">
        <f t="shared" si="24"/>
        <v>1</v>
      </c>
      <c r="AN129">
        <f t="shared" si="35"/>
        <v>1</v>
      </c>
      <c r="AO129" s="28">
        <f t="shared" si="28"/>
        <v>-1.09709281437321E-3</v>
      </c>
      <c r="AP129" s="28">
        <f t="shared" si="29"/>
        <v>3.0819543423500099E-3</v>
      </c>
      <c r="AQ129" s="28">
        <f t="shared" si="36"/>
        <v>1.9848615279768E-3</v>
      </c>
      <c r="AR129" s="29">
        <f t="shared" si="37"/>
        <v>1.2733948086313658E-2</v>
      </c>
      <c r="AT129" s="12"/>
      <c r="AU129">
        <f t="shared" si="30"/>
        <v>1</v>
      </c>
      <c r="AV129">
        <f t="shared" si="31"/>
        <v>0</v>
      </c>
      <c r="AW129">
        <f t="shared" si="38"/>
        <v>0</v>
      </c>
      <c r="AX129">
        <f t="shared" si="25"/>
        <v>1</v>
      </c>
      <c r="AY129">
        <f t="shared" si="39"/>
        <v>0</v>
      </c>
      <c r="AZ129" s="28">
        <f t="shared" si="32"/>
        <v>0</v>
      </c>
      <c r="BA129" s="28">
        <f t="shared" si="33"/>
        <v>0</v>
      </c>
      <c r="BB129" s="28">
        <f t="shared" si="40"/>
        <v>0</v>
      </c>
      <c r="BC129" s="29">
        <f t="shared" si="41"/>
        <v>4.5406664314132815E-3</v>
      </c>
      <c r="BE129" s="29">
        <f t="shared" si="42"/>
        <v>1.9848615279768E-3</v>
      </c>
      <c r="BF129" s="29">
        <f t="shared" si="43"/>
        <v>1.7274614517726938E-2</v>
      </c>
      <c r="BH129" s="29"/>
    </row>
    <row r="130" spans="1:60" x14ac:dyDescent="0.25">
      <c r="A130" s="1">
        <v>46212</v>
      </c>
      <c r="B130" s="33">
        <v>45.55</v>
      </c>
      <c r="C130" s="33">
        <v>106.94</v>
      </c>
      <c r="D130" s="15">
        <v>0</v>
      </c>
      <c r="E130" s="15">
        <v>2.8057049517705599E-4</v>
      </c>
      <c r="F130" s="33">
        <v>0</v>
      </c>
      <c r="G130" s="33">
        <v>0.80533999999999994</v>
      </c>
      <c r="H130" s="33">
        <v>0</v>
      </c>
      <c r="I130" s="33">
        <v>1.7107399999999999</v>
      </c>
      <c r="J130" s="33">
        <v>0</v>
      </c>
      <c r="K130" s="33">
        <v>0</v>
      </c>
      <c r="L130" s="33">
        <v>45.55</v>
      </c>
      <c r="M130" s="33">
        <v>106.94</v>
      </c>
      <c r="N130" s="34">
        <v>2.34774972557629</v>
      </c>
      <c r="O130" s="34">
        <v>2.3475193892851398</v>
      </c>
      <c r="P130" s="34">
        <v>2.3506951053188399</v>
      </c>
      <c r="Q130" s="34">
        <v>2.3502660281852599</v>
      </c>
      <c r="R130" s="33">
        <v>106.929508181938</v>
      </c>
      <c r="S130" s="33">
        <v>107.08854752091101</v>
      </c>
      <c r="T130" s="33">
        <v>107.054921817223</v>
      </c>
      <c r="U130" s="15">
        <v>-9.8114202058465503E-5</v>
      </c>
      <c r="V130" s="15">
        <v>1.3881096375659701E-3</v>
      </c>
      <c r="W130" s="15">
        <v>1.07406126552477E-3</v>
      </c>
      <c r="X130" s="34">
        <v>2.34774972557629</v>
      </c>
      <c r="Y130" s="34">
        <v>2.3475193892851398</v>
      </c>
      <c r="Z130" s="34">
        <v>2.3506951053188399</v>
      </c>
      <c r="AA130" s="34">
        <v>2.3502660281852599</v>
      </c>
      <c r="AB130" s="33">
        <v>106.929508181938</v>
      </c>
      <c r="AC130" s="33">
        <v>107.08854752091101</v>
      </c>
      <c r="AD130" s="33">
        <v>107.054921817223</v>
      </c>
      <c r="AE130" s="15">
        <v>-9.8114202058465503E-5</v>
      </c>
      <c r="AF130" s="15">
        <v>1.3881096375659701E-3</v>
      </c>
      <c r="AG130" s="15">
        <v>1.07406126552477E-3</v>
      </c>
      <c r="AI130" s="12"/>
      <c r="AJ130">
        <f t="shared" si="26"/>
        <v>0</v>
      </c>
      <c r="AK130">
        <f t="shared" si="27"/>
        <v>1</v>
      </c>
      <c r="AL130">
        <f t="shared" si="34"/>
        <v>0</v>
      </c>
      <c r="AM130">
        <f t="shared" si="24"/>
        <v>1</v>
      </c>
      <c r="AN130">
        <f t="shared" si="35"/>
        <v>0</v>
      </c>
      <c r="AO130" s="28">
        <f t="shared" si="28"/>
        <v>0</v>
      </c>
      <c r="AP130" s="28">
        <f t="shared" si="29"/>
        <v>0</v>
      </c>
      <c r="AQ130" s="28">
        <f t="shared" si="36"/>
        <v>0</v>
      </c>
      <c r="AR130" s="29">
        <f t="shared" si="37"/>
        <v>1.2733948086313658E-2</v>
      </c>
      <c r="AT130" s="12"/>
      <c r="AU130">
        <f t="shared" si="30"/>
        <v>1</v>
      </c>
      <c r="AV130">
        <f t="shared" si="31"/>
        <v>0</v>
      </c>
      <c r="AW130">
        <f t="shared" si="38"/>
        <v>1</v>
      </c>
      <c r="AX130">
        <f t="shared" si="25"/>
        <v>1</v>
      </c>
      <c r="AY130">
        <f t="shared" si="39"/>
        <v>1</v>
      </c>
      <c r="AZ130" s="28">
        <f t="shared" si="32"/>
        <v>0</v>
      </c>
      <c r="BA130" s="28">
        <f t="shared" si="33"/>
        <v>2.8057049517705599E-4</v>
      </c>
      <c r="BB130" s="28">
        <f t="shared" si="40"/>
        <v>2.8057049517705599E-4</v>
      </c>
      <c r="BC130" s="29">
        <f t="shared" si="41"/>
        <v>4.821236926590337E-3</v>
      </c>
      <c r="BE130" s="29">
        <f t="shared" si="42"/>
        <v>2.8057049517705599E-4</v>
      </c>
      <c r="BF130" s="29">
        <f t="shared" si="43"/>
        <v>1.7555185012903995E-2</v>
      </c>
      <c r="BH130" s="29"/>
    </row>
    <row r="131" spans="1:60" x14ac:dyDescent="0.25">
      <c r="A131" s="1">
        <v>46213</v>
      </c>
      <c r="B131" s="33">
        <v>45.54</v>
      </c>
      <c r="C131" s="33">
        <v>107.01</v>
      </c>
      <c r="D131" s="15">
        <v>-2.1956307037376201E-4</v>
      </c>
      <c r="E131" s="15">
        <v>6.5435851832442696E-4</v>
      </c>
      <c r="F131" s="33">
        <v>0</v>
      </c>
      <c r="G131" s="33">
        <v>0.80533999999999994</v>
      </c>
      <c r="H131" s="33">
        <v>0</v>
      </c>
      <c r="I131" s="33">
        <v>1.7107399999999999</v>
      </c>
      <c r="J131" s="33">
        <v>0</v>
      </c>
      <c r="K131" s="33">
        <v>0</v>
      </c>
      <c r="L131" s="33">
        <v>45.54</v>
      </c>
      <c r="M131" s="33">
        <v>107.01</v>
      </c>
      <c r="N131" s="34">
        <v>2.3498023715415002</v>
      </c>
      <c r="O131" s="34">
        <v>2.3475193892851398</v>
      </c>
      <c r="P131" s="34">
        <v>2.3504249597920399</v>
      </c>
      <c r="Q131" s="34">
        <v>2.3503715313777298</v>
      </c>
      <c r="R131" s="33">
        <v>106.906032988045</v>
      </c>
      <c r="S131" s="33">
        <v>107.05065509622</v>
      </c>
      <c r="T131" s="33">
        <v>107.031114923557</v>
      </c>
      <c r="U131" s="15">
        <v>-9.7203579075664701E-4</v>
      </c>
      <c r="V131" s="15">
        <v>3.7984651304413699E-4</v>
      </c>
      <c r="W131" s="15">
        <v>1.97297828814031E-4</v>
      </c>
      <c r="X131" s="34">
        <v>2.3498023715415002</v>
      </c>
      <c r="Y131" s="34">
        <v>2.3475193892851398</v>
      </c>
      <c r="Z131" s="34">
        <v>2.3504249597920399</v>
      </c>
      <c r="AA131" s="34">
        <v>2.3503715313777298</v>
      </c>
      <c r="AB131" s="33">
        <v>106.906032988045</v>
      </c>
      <c r="AC131" s="33">
        <v>107.05065509622</v>
      </c>
      <c r="AD131" s="33">
        <v>107.031114923557</v>
      </c>
      <c r="AE131" s="15">
        <v>-9.7203579075664701E-4</v>
      </c>
      <c r="AF131" s="15">
        <v>3.7984651304413699E-4</v>
      </c>
      <c r="AG131" s="15">
        <v>1.97297828814031E-4</v>
      </c>
      <c r="AI131" s="12"/>
      <c r="AJ131">
        <f t="shared" si="26"/>
        <v>0</v>
      </c>
      <c r="AK131">
        <f t="shared" si="27"/>
        <v>1</v>
      </c>
      <c r="AL131">
        <f t="shared" si="34"/>
        <v>0</v>
      </c>
      <c r="AM131">
        <f t="shared" si="24"/>
        <v>1</v>
      </c>
      <c r="AN131">
        <f t="shared" si="35"/>
        <v>0</v>
      </c>
      <c r="AO131" s="28">
        <f t="shared" si="28"/>
        <v>0</v>
      </c>
      <c r="AP131" s="28">
        <f t="shared" si="29"/>
        <v>0</v>
      </c>
      <c r="AQ131" s="28">
        <f t="shared" si="36"/>
        <v>0</v>
      </c>
      <c r="AR131" s="29">
        <f t="shared" si="37"/>
        <v>1.2733948086313658E-2</v>
      </c>
      <c r="AT131" s="12"/>
      <c r="AU131">
        <f t="shared" si="30"/>
        <v>0</v>
      </c>
      <c r="AV131">
        <f t="shared" si="31"/>
        <v>0</v>
      </c>
      <c r="AW131">
        <f t="shared" si="38"/>
        <v>1</v>
      </c>
      <c r="AX131">
        <f t="shared" si="25"/>
        <v>1</v>
      </c>
      <c r="AY131">
        <f t="shared" si="39"/>
        <v>1</v>
      </c>
      <c r="AZ131" s="28">
        <f t="shared" si="32"/>
        <v>2.1956307037376201E-4</v>
      </c>
      <c r="BA131" s="28">
        <f t="shared" si="33"/>
        <v>6.5435851832442696E-4</v>
      </c>
      <c r="BB131" s="28">
        <f t="shared" si="40"/>
        <v>8.7392158869818899E-4</v>
      </c>
      <c r="BC131" s="29">
        <f t="shared" si="41"/>
        <v>5.6951585152885259E-3</v>
      </c>
      <c r="BE131" s="29">
        <f t="shared" si="42"/>
        <v>8.7392158869818899E-4</v>
      </c>
      <c r="BF131" s="29">
        <f t="shared" si="43"/>
        <v>1.8429106601602185E-2</v>
      </c>
      <c r="BH131" s="29"/>
    </row>
    <row r="132" spans="1:60" x14ac:dyDescent="0.25">
      <c r="A132" s="1">
        <v>46216</v>
      </c>
      <c r="B132" s="33">
        <v>45.54</v>
      </c>
      <c r="C132" s="33">
        <v>106.9</v>
      </c>
      <c r="D132" s="15">
        <v>0</v>
      </c>
      <c r="E132" s="15">
        <v>-1.02847000791034E-3</v>
      </c>
      <c r="F132" s="33">
        <v>0</v>
      </c>
      <c r="G132" s="33">
        <v>0.80533999999999994</v>
      </c>
      <c r="H132" s="33">
        <v>0</v>
      </c>
      <c r="I132" s="33">
        <v>1.7107399999999999</v>
      </c>
      <c r="J132" s="33">
        <v>0</v>
      </c>
      <c r="K132" s="33">
        <v>0</v>
      </c>
      <c r="L132" s="33">
        <v>45.54</v>
      </c>
      <c r="M132" s="33">
        <v>106.9</v>
      </c>
      <c r="N132" s="34">
        <v>2.3473869126042999</v>
      </c>
      <c r="O132" s="34">
        <v>2.3475193892851398</v>
      </c>
      <c r="P132" s="34">
        <v>2.3500237909126098</v>
      </c>
      <c r="Q132" s="34">
        <v>2.3503762639844799</v>
      </c>
      <c r="R132" s="33">
        <v>106.906032988045</v>
      </c>
      <c r="S132" s="33">
        <v>107.03835266892899</v>
      </c>
      <c r="T132" s="33">
        <v>107.035919538941</v>
      </c>
      <c r="U132" s="15">
        <v>5.6434217153635502E-5</v>
      </c>
      <c r="V132" s="15">
        <v>1.29338836623447E-3</v>
      </c>
      <c r="W132" s="15">
        <v>1.27065672302565E-3</v>
      </c>
      <c r="X132" s="34">
        <v>2.3473869126042999</v>
      </c>
      <c r="Y132" s="34">
        <v>2.3475193892851398</v>
      </c>
      <c r="Z132" s="34">
        <v>2.3500237909126098</v>
      </c>
      <c r="AA132" s="34">
        <v>2.3503762639844799</v>
      </c>
      <c r="AB132" s="33">
        <v>106.906032988045</v>
      </c>
      <c r="AC132" s="33">
        <v>107.03835266892899</v>
      </c>
      <c r="AD132" s="33">
        <v>107.035919538941</v>
      </c>
      <c r="AE132" s="15">
        <v>5.6434217153635502E-5</v>
      </c>
      <c r="AF132" s="15">
        <v>1.29338836623447E-3</v>
      </c>
      <c r="AG132" s="15">
        <v>1.27065672302565E-3</v>
      </c>
      <c r="AI132" s="12"/>
      <c r="AJ132">
        <f t="shared" si="26"/>
        <v>0</v>
      </c>
      <c r="AK132">
        <f t="shared" si="27"/>
        <v>1</v>
      </c>
      <c r="AL132">
        <f t="shared" si="34"/>
        <v>0</v>
      </c>
      <c r="AM132">
        <f t="shared" si="24"/>
        <v>1</v>
      </c>
      <c r="AN132">
        <f t="shared" si="35"/>
        <v>0</v>
      </c>
      <c r="AO132" s="28">
        <f t="shared" si="28"/>
        <v>0</v>
      </c>
      <c r="AP132" s="28">
        <f t="shared" si="29"/>
        <v>0</v>
      </c>
      <c r="AQ132" s="28">
        <f t="shared" si="36"/>
        <v>0</v>
      </c>
      <c r="AR132" s="29">
        <f t="shared" si="37"/>
        <v>1.2733948086313658E-2</v>
      </c>
      <c r="AT132" s="12"/>
      <c r="AU132">
        <f t="shared" si="30"/>
        <v>1</v>
      </c>
      <c r="AV132">
        <f t="shared" si="31"/>
        <v>0</v>
      </c>
      <c r="AW132">
        <f t="shared" si="38"/>
        <v>1</v>
      </c>
      <c r="AX132">
        <f t="shared" si="25"/>
        <v>1</v>
      </c>
      <c r="AY132">
        <f t="shared" si="39"/>
        <v>1</v>
      </c>
      <c r="AZ132" s="28">
        <f t="shared" si="32"/>
        <v>0</v>
      </c>
      <c r="BA132" s="28">
        <f t="shared" si="33"/>
        <v>-1.02847000791034E-3</v>
      </c>
      <c r="BB132" s="28">
        <f t="shared" si="40"/>
        <v>-1.02847000791034E-3</v>
      </c>
      <c r="BC132" s="29">
        <f t="shared" si="41"/>
        <v>4.6666885073781859E-3</v>
      </c>
      <c r="BE132" s="29">
        <f t="shared" si="42"/>
        <v>-1.02847000791034E-3</v>
      </c>
      <c r="BF132" s="29">
        <f t="shared" si="43"/>
        <v>1.7400636593691846E-2</v>
      </c>
      <c r="BH132" s="29"/>
    </row>
    <row r="133" spans="1:60" x14ac:dyDescent="0.25">
      <c r="A133" s="1">
        <v>46217</v>
      </c>
      <c r="B133" s="33">
        <v>45.57</v>
      </c>
      <c r="C133" s="33">
        <v>106.95</v>
      </c>
      <c r="D133" s="15">
        <v>6.5854464019754195E-4</v>
      </c>
      <c r="E133" s="15">
        <v>4.6761749741509997E-4</v>
      </c>
      <c r="F133" s="33">
        <v>0</v>
      </c>
      <c r="G133" s="33">
        <v>0.80533999999999994</v>
      </c>
      <c r="H133" s="33">
        <v>0</v>
      </c>
      <c r="I133" s="33">
        <v>1.7107399999999999</v>
      </c>
      <c r="J133" s="33">
        <v>0</v>
      </c>
      <c r="K133" s="33">
        <v>0</v>
      </c>
      <c r="L133" s="33">
        <v>45.57</v>
      </c>
      <c r="M133" s="33">
        <v>106.95</v>
      </c>
      <c r="N133" s="34">
        <v>2.3469387755101998</v>
      </c>
      <c r="O133" s="34">
        <v>2.3475193892851398</v>
      </c>
      <c r="P133" s="34">
        <v>2.3495943329473699</v>
      </c>
      <c r="Q133" s="34">
        <v>2.3502149700486799</v>
      </c>
      <c r="R133" s="33">
        <v>106.976458569724</v>
      </c>
      <c r="S133" s="33">
        <v>107.090584151887</v>
      </c>
      <c r="T133" s="33">
        <v>107.10664634977201</v>
      </c>
      <c r="U133" s="15">
        <v>2.4736135993627998E-4</v>
      </c>
      <c r="V133" s="15">
        <v>1.3136216448007801E-3</v>
      </c>
      <c r="W133" s="15">
        <v>1.4635974206559199E-3</v>
      </c>
      <c r="X133" s="34">
        <v>2.3469387755101998</v>
      </c>
      <c r="Y133" s="34">
        <v>2.3475193892851398</v>
      </c>
      <c r="Z133" s="34">
        <v>2.3495943329473699</v>
      </c>
      <c r="AA133" s="34">
        <v>2.3502149700486799</v>
      </c>
      <c r="AB133" s="33">
        <v>106.976458569724</v>
      </c>
      <c r="AC133" s="33">
        <v>107.090584151887</v>
      </c>
      <c r="AD133" s="33">
        <v>107.10664634977201</v>
      </c>
      <c r="AE133" s="15">
        <v>2.4736135993627998E-4</v>
      </c>
      <c r="AF133" s="15">
        <v>1.3136216448007801E-3</v>
      </c>
      <c r="AG133" s="15">
        <v>1.4635974206559199E-3</v>
      </c>
      <c r="AI133" s="12"/>
      <c r="AJ133">
        <f t="shared" si="26"/>
        <v>0</v>
      </c>
      <c r="AK133">
        <f t="shared" si="27"/>
        <v>1</v>
      </c>
      <c r="AL133">
        <f t="shared" si="34"/>
        <v>0</v>
      </c>
      <c r="AM133">
        <f t="shared" si="24"/>
        <v>1</v>
      </c>
      <c r="AN133">
        <f t="shared" si="35"/>
        <v>0</v>
      </c>
      <c r="AO133" s="28">
        <f t="shared" si="28"/>
        <v>0</v>
      </c>
      <c r="AP133" s="28">
        <f t="shared" si="29"/>
        <v>0</v>
      </c>
      <c r="AQ133" s="28">
        <f t="shared" si="36"/>
        <v>0</v>
      </c>
      <c r="AR133" s="29">
        <f t="shared" si="37"/>
        <v>1.2733948086313658E-2</v>
      </c>
      <c r="AT133" s="12"/>
      <c r="AU133">
        <f t="shared" si="30"/>
        <v>1</v>
      </c>
      <c r="AV133">
        <f t="shared" si="31"/>
        <v>0</v>
      </c>
      <c r="AW133">
        <f t="shared" si="38"/>
        <v>1</v>
      </c>
      <c r="AX133">
        <f t="shared" si="25"/>
        <v>1</v>
      </c>
      <c r="AY133">
        <f t="shared" si="39"/>
        <v>1</v>
      </c>
      <c r="AZ133" s="28">
        <f t="shared" si="32"/>
        <v>-6.5854464019754195E-4</v>
      </c>
      <c r="BA133" s="28">
        <f t="shared" si="33"/>
        <v>4.6761749741509997E-4</v>
      </c>
      <c r="BB133" s="28">
        <f t="shared" si="40"/>
        <v>-1.9092714278244198E-4</v>
      </c>
      <c r="BC133" s="29">
        <f t="shared" si="41"/>
        <v>4.4757613645957442E-3</v>
      </c>
      <c r="BE133" s="29">
        <f t="shared" si="42"/>
        <v>-1.9092714278244198E-4</v>
      </c>
      <c r="BF133" s="29">
        <f t="shared" si="43"/>
        <v>1.7209709450909404E-2</v>
      </c>
      <c r="BH133" s="29"/>
    </row>
    <row r="134" spans="1:60" x14ac:dyDescent="0.25">
      <c r="A134" s="1">
        <v>46218</v>
      </c>
      <c r="B134" s="33">
        <v>45.49</v>
      </c>
      <c r="C134" s="33">
        <v>106.76</v>
      </c>
      <c r="D134" s="15">
        <v>-1.75708369387841E-3</v>
      </c>
      <c r="E134" s="15">
        <v>-1.7781109920911699E-3</v>
      </c>
      <c r="F134" s="33">
        <v>0</v>
      </c>
      <c r="G134" s="33">
        <v>0.80533999999999994</v>
      </c>
      <c r="H134" s="33">
        <v>0</v>
      </c>
      <c r="I134" s="33">
        <v>1.7107399999999999</v>
      </c>
      <c r="J134" s="33">
        <v>0</v>
      </c>
      <c r="K134" s="33">
        <v>0</v>
      </c>
      <c r="L134" s="33">
        <v>45.49</v>
      </c>
      <c r="M134" s="33">
        <v>106.76</v>
      </c>
      <c r="N134" s="34">
        <v>2.3468894262475199</v>
      </c>
      <c r="O134" s="34">
        <v>2.3475193892851398</v>
      </c>
      <c r="P134" s="34">
        <v>2.34930510963326</v>
      </c>
      <c r="Q134" s="34">
        <v>2.3500227008477901</v>
      </c>
      <c r="R134" s="33">
        <v>106.78865701858101</v>
      </c>
      <c r="S134" s="33">
        <v>106.883046205775</v>
      </c>
      <c r="T134" s="33">
        <v>106.911278987514</v>
      </c>
      <c r="U134" s="15">
        <v>2.6838865814899298E-4</v>
      </c>
      <c r="V134" s="15">
        <v>1.1518860226573801E-3</v>
      </c>
      <c r="W134" s="15">
        <v>1.4159976343898701E-3</v>
      </c>
      <c r="X134" s="34">
        <v>2.3468894262475199</v>
      </c>
      <c r="Y134" s="34">
        <v>2.3475193892851398</v>
      </c>
      <c r="Z134" s="34">
        <v>2.34930510963326</v>
      </c>
      <c r="AA134" s="34">
        <v>2.3500227008477901</v>
      </c>
      <c r="AB134" s="33">
        <v>106.78865701858101</v>
      </c>
      <c r="AC134" s="33">
        <v>106.883046205775</v>
      </c>
      <c r="AD134" s="33">
        <v>106.911278987514</v>
      </c>
      <c r="AE134" s="15">
        <v>2.6838865814899298E-4</v>
      </c>
      <c r="AF134" s="15">
        <v>1.1518860226573801E-3</v>
      </c>
      <c r="AG134" s="15">
        <v>1.4159976343898701E-3</v>
      </c>
      <c r="AI134" s="12"/>
      <c r="AJ134">
        <f t="shared" si="26"/>
        <v>0</v>
      </c>
      <c r="AK134">
        <f t="shared" si="27"/>
        <v>1</v>
      </c>
      <c r="AL134">
        <f t="shared" si="34"/>
        <v>0</v>
      </c>
      <c r="AM134">
        <f t="shared" si="24"/>
        <v>1</v>
      </c>
      <c r="AN134">
        <f t="shared" si="35"/>
        <v>0</v>
      </c>
      <c r="AO134" s="28">
        <f t="shared" si="28"/>
        <v>0</v>
      </c>
      <c r="AP134" s="28">
        <f t="shared" si="29"/>
        <v>0</v>
      </c>
      <c r="AQ134" s="28">
        <f t="shared" si="36"/>
        <v>0</v>
      </c>
      <c r="AR134" s="29">
        <f t="shared" si="37"/>
        <v>1.2733948086313658E-2</v>
      </c>
      <c r="AT134" s="12"/>
      <c r="AU134">
        <f t="shared" si="30"/>
        <v>1</v>
      </c>
      <c r="AV134">
        <f t="shared" si="31"/>
        <v>0</v>
      </c>
      <c r="AW134">
        <f t="shared" si="38"/>
        <v>1</v>
      </c>
      <c r="AX134">
        <f t="shared" si="25"/>
        <v>1</v>
      </c>
      <c r="AY134">
        <f t="shared" si="39"/>
        <v>1</v>
      </c>
      <c r="AZ134" s="28">
        <f t="shared" si="32"/>
        <v>1.75708369387841E-3</v>
      </c>
      <c r="BA134" s="28">
        <f t="shared" si="33"/>
        <v>-1.7781109920911699E-3</v>
      </c>
      <c r="BB134" s="28">
        <f t="shared" si="40"/>
        <v>-2.1027298212759893E-5</v>
      </c>
      <c r="BC134" s="29">
        <f t="shared" si="41"/>
        <v>4.4547340663829843E-3</v>
      </c>
      <c r="BE134" s="29">
        <f t="shared" si="42"/>
        <v>-2.1027298212759893E-5</v>
      </c>
      <c r="BF134" s="29">
        <f t="shared" si="43"/>
        <v>1.7188682152696644E-2</v>
      </c>
      <c r="BH134" s="29"/>
    </row>
    <row r="135" spans="1:60" x14ac:dyDescent="0.25">
      <c r="A135" s="1">
        <v>46219</v>
      </c>
      <c r="B135" s="33">
        <v>45.42</v>
      </c>
      <c r="C135" s="33">
        <v>106.62</v>
      </c>
      <c r="D135" s="15">
        <v>-1.5399849045002901E-3</v>
      </c>
      <c r="E135" s="15">
        <v>-1.3122131417083801E-3</v>
      </c>
      <c r="F135" s="33">
        <v>0</v>
      </c>
      <c r="G135" s="33">
        <v>0.80533999999999994</v>
      </c>
      <c r="H135" s="33">
        <v>0</v>
      </c>
      <c r="I135" s="33">
        <v>1.7107399999999999</v>
      </c>
      <c r="J135" s="33">
        <v>0</v>
      </c>
      <c r="K135" s="33">
        <v>0</v>
      </c>
      <c r="L135" s="33">
        <v>45.42</v>
      </c>
      <c r="M135" s="33">
        <v>106.62</v>
      </c>
      <c r="N135" s="34">
        <v>2.3474240422721202</v>
      </c>
      <c r="O135" s="34">
        <v>2.3475193892851398</v>
      </c>
      <c r="P135" s="34">
        <v>2.3488590826597702</v>
      </c>
      <c r="Q135" s="34">
        <v>2.3498571624481301</v>
      </c>
      <c r="R135" s="33">
        <v>106.624330661331</v>
      </c>
      <c r="S135" s="33">
        <v>106.70543807954201</v>
      </c>
      <c r="T135" s="33">
        <v>106.738031072506</v>
      </c>
      <c r="U135" s="15">
        <v>4.0616895357075E-5</v>
      </c>
      <c r="V135" s="15">
        <v>8.0101168318301604E-4</v>
      </c>
      <c r="W135" s="15">
        <v>1.10641332744012E-3</v>
      </c>
      <c r="X135" s="34">
        <v>2.3474240422721202</v>
      </c>
      <c r="Y135" s="34">
        <v>2.3475193892851398</v>
      </c>
      <c r="Z135" s="34">
        <v>2.3488590826597702</v>
      </c>
      <c r="AA135" s="34">
        <v>2.3498571624481301</v>
      </c>
      <c r="AB135" s="33">
        <v>106.624330661331</v>
      </c>
      <c r="AC135" s="33">
        <v>106.70543807954201</v>
      </c>
      <c r="AD135" s="33">
        <v>106.738031072506</v>
      </c>
      <c r="AE135" s="15">
        <v>4.0616895357075E-5</v>
      </c>
      <c r="AF135" s="15">
        <v>8.0101168318301604E-4</v>
      </c>
      <c r="AG135" s="15">
        <v>1.10641332744012E-3</v>
      </c>
      <c r="AI135" s="12"/>
      <c r="AJ135">
        <f t="shared" si="26"/>
        <v>0</v>
      </c>
      <c r="AK135">
        <f t="shared" si="27"/>
        <v>1</v>
      </c>
      <c r="AL135">
        <f t="shared" si="34"/>
        <v>0</v>
      </c>
      <c r="AM135">
        <f t="shared" si="24"/>
        <v>1</v>
      </c>
      <c r="AN135">
        <f t="shared" si="35"/>
        <v>0</v>
      </c>
      <c r="AO135" s="28">
        <f t="shared" si="28"/>
        <v>0</v>
      </c>
      <c r="AP135" s="28">
        <f t="shared" si="29"/>
        <v>0</v>
      </c>
      <c r="AQ135" s="28">
        <f t="shared" si="36"/>
        <v>0</v>
      </c>
      <c r="AR135" s="29">
        <f t="shared" si="37"/>
        <v>1.2733948086313658E-2</v>
      </c>
      <c r="AT135" s="12"/>
      <c r="AU135">
        <f t="shared" si="30"/>
        <v>1</v>
      </c>
      <c r="AV135">
        <f t="shared" si="31"/>
        <v>0</v>
      </c>
      <c r="AW135">
        <f t="shared" si="38"/>
        <v>1</v>
      </c>
      <c r="AX135">
        <f t="shared" si="25"/>
        <v>1</v>
      </c>
      <c r="AY135">
        <f t="shared" si="39"/>
        <v>1</v>
      </c>
      <c r="AZ135" s="28">
        <f t="shared" si="32"/>
        <v>1.5399849045002901E-3</v>
      </c>
      <c r="BA135" s="28">
        <f t="shared" si="33"/>
        <v>-1.3122131417083801E-3</v>
      </c>
      <c r="BB135" s="28">
        <f t="shared" si="40"/>
        <v>2.2777176279191002E-4</v>
      </c>
      <c r="BC135" s="29">
        <f t="shared" si="41"/>
        <v>4.6825058291748945E-3</v>
      </c>
      <c r="BE135" s="29">
        <f t="shared" si="42"/>
        <v>2.2777176279191002E-4</v>
      </c>
      <c r="BF135" s="29">
        <f t="shared" si="43"/>
        <v>1.7416453915488555E-2</v>
      </c>
      <c r="BH135" s="29"/>
    </row>
    <row r="136" spans="1:60" x14ac:dyDescent="0.25">
      <c r="A136" s="1">
        <v>46220</v>
      </c>
      <c r="B136" s="33">
        <v>45.39</v>
      </c>
      <c r="C136" s="33">
        <v>106.58</v>
      </c>
      <c r="D136" s="15">
        <v>-6.60720209038245E-4</v>
      </c>
      <c r="E136" s="15">
        <v>-3.7523452597883103E-4</v>
      </c>
      <c r="F136" s="33">
        <v>0</v>
      </c>
      <c r="G136" s="33">
        <v>0.80533999999999994</v>
      </c>
      <c r="H136" s="33">
        <v>0</v>
      </c>
      <c r="I136" s="33">
        <v>1.7107399999999999</v>
      </c>
      <c r="J136" s="33">
        <v>0</v>
      </c>
      <c r="K136" s="33">
        <v>0</v>
      </c>
      <c r="L136" s="33">
        <v>45.39</v>
      </c>
      <c r="M136" s="33">
        <v>106.58</v>
      </c>
      <c r="N136" s="34">
        <v>2.3480942938973302</v>
      </c>
      <c r="O136" s="34">
        <v>2.3475193892851398</v>
      </c>
      <c r="P136" s="34">
        <v>2.3485930692329702</v>
      </c>
      <c r="Q136" s="34">
        <v>2.3498046966423298</v>
      </c>
      <c r="R136" s="33">
        <v>106.553905079652</v>
      </c>
      <c r="S136" s="33">
        <v>106.61471376192701</v>
      </c>
      <c r="T136" s="33">
        <v>106.66001660352001</v>
      </c>
      <c r="U136" s="15">
        <v>-2.4486878770231101E-4</v>
      </c>
      <c r="V136" s="15">
        <v>3.2565312358164998E-4</v>
      </c>
      <c r="W136" s="15">
        <v>7.50483971543208E-4</v>
      </c>
      <c r="X136" s="34">
        <v>2.3480942938973302</v>
      </c>
      <c r="Y136" s="34">
        <v>2.3475193892851398</v>
      </c>
      <c r="Z136" s="34">
        <v>2.3485930692329702</v>
      </c>
      <c r="AA136" s="34">
        <v>2.3498046966423298</v>
      </c>
      <c r="AB136" s="33">
        <v>106.553905079652</v>
      </c>
      <c r="AC136" s="33">
        <v>106.61471376192701</v>
      </c>
      <c r="AD136" s="33">
        <v>106.66001660352001</v>
      </c>
      <c r="AE136" s="15">
        <v>-2.4486878770231101E-4</v>
      </c>
      <c r="AF136" s="15">
        <v>3.2565312358164998E-4</v>
      </c>
      <c r="AG136" s="15">
        <v>7.50483971543208E-4</v>
      </c>
      <c r="AI136" s="12"/>
      <c r="AJ136">
        <f t="shared" si="26"/>
        <v>0</v>
      </c>
      <c r="AK136">
        <f t="shared" si="27"/>
        <v>1</v>
      </c>
      <c r="AL136">
        <f t="shared" si="34"/>
        <v>0</v>
      </c>
      <c r="AM136">
        <f t="shared" si="24"/>
        <v>1</v>
      </c>
      <c r="AN136">
        <f t="shared" si="35"/>
        <v>0</v>
      </c>
      <c r="AO136" s="28">
        <f t="shared" si="28"/>
        <v>0</v>
      </c>
      <c r="AP136" s="28">
        <f t="shared" si="29"/>
        <v>0</v>
      </c>
      <c r="AQ136" s="28">
        <f t="shared" si="36"/>
        <v>0</v>
      </c>
      <c r="AR136" s="29">
        <f t="shared" si="37"/>
        <v>1.2733948086313658E-2</v>
      </c>
      <c r="AT136" s="12"/>
      <c r="AU136">
        <f t="shared" si="30"/>
        <v>0</v>
      </c>
      <c r="AV136">
        <f t="shared" si="31"/>
        <v>0</v>
      </c>
      <c r="AW136">
        <f t="shared" si="38"/>
        <v>1</v>
      </c>
      <c r="AX136">
        <f t="shared" si="25"/>
        <v>1</v>
      </c>
      <c r="AY136">
        <f t="shared" si="39"/>
        <v>1</v>
      </c>
      <c r="AZ136" s="28">
        <f t="shared" si="32"/>
        <v>6.60720209038245E-4</v>
      </c>
      <c r="BA136" s="28">
        <f t="shared" si="33"/>
        <v>-3.7523452597883103E-4</v>
      </c>
      <c r="BB136" s="28">
        <f t="shared" si="40"/>
        <v>2.8548568305941397E-4</v>
      </c>
      <c r="BC136" s="29">
        <f t="shared" si="41"/>
        <v>4.9679915122343085E-3</v>
      </c>
      <c r="BE136" s="29">
        <f t="shared" si="42"/>
        <v>2.8548568305941397E-4</v>
      </c>
      <c r="BF136" s="29">
        <f t="shared" si="43"/>
        <v>1.7701939598547968E-2</v>
      </c>
      <c r="BH136" s="29"/>
    </row>
    <row r="137" spans="1:60" x14ac:dyDescent="0.25">
      <c r="A137" s="1">
        <v>46223</v>
      </c>
      <c r="B137" s="33">
        <v>45.32</v>
      </c>
      <c r="C137" s="33">
        <v>106.4</v>
      </c>
      <c r="D137" s="15">
        <v>-1.5433803085686401E-3</v>
      </c>
      <c r="E137" s="15">
        <v>-1.69029996109206E-3</v>
      </c>
      <c r="F137" s="33">
        <v>0</v>
      </c>
      <c r="G137" s="33">
        <v>0.80533999999999994</v>
      </c>
      <c r="H137" s="33">
        <v>0</v>
      </c>
      <c r="I137" s="33">
        <v>1.7107399999999999</v>
      </c>
      <c r="J137" s="33">
        <v>0</v>
      </c>
      <c r="K137" s="33">
        <v>0</v>
      </c>
      <c r="L137" s="33">
        <v>45.32</v>
      </c>
      <c r="M137" s="33">
        <v>106.4</v>
      </c>
      <c r="N137" s="34">
        <v>2.3477493380405998</v>
      </c>
      <c r="O137" s="34">
        <v>2.3475193892851398</v>
      </c>
      <c r="P137" s="34">
        <v>2.3480880380326501</v>
      </c>
      <c r="Q137" s="34">
        <v>2.34968614208608</v>
      </c>
      <c r="R137" s="33">
        <v>106.38957872240201</v>
      </c>
      <c r="S137" s="33">
        <v>106.438237897638</v>
      </c>
      <c r="T137" s="33">
        <v>106.49314885183</v>
      </c>
      <c r="U137" s="15">
        <v>-9.7949135178813096E-5</v>
      </c>
      <c r="V137" s="15">
        <v>3.5931417613156399E-4</v>
      </c>
      <c r="W137" s="15">
        <v>8.7507614291290896E-4</v>
      </c>
      <c r="X137" s="34">
        <v>2.3477493380405998</v>
      </c>
      <c r="Y137" s="34">
        <v>2.3475193892851398</v>
      </c>
      <c r="Z137" s="34">
        <v>2.3480880380326501</v>
      </c>
      <c r="AA137" s="34">
        <v>2.34968614208608</v>
      </c>
      <c r="AB137" s="33">
        <v>106.38957872240201</v>
      </c>
      <c r="AC137" s="33">
        <v>106.438237897638</v>
      </c>
      <c r="AD137" s="33">
        <v>106.49314885183</v>
      </c>
      <c r="AE137" s="15">
        <v>-9.7949135178813096E-5</v>
      </c>
      <c r="AF137" s="15">
        <v>3.5931417613156399E-4</v>
      </c>
      <c r="AG137" s="15">
        <v>8.7507614291290896E-4</v>
      </c>
      <c r="AI137" s="12"/>
      <c r="AJ137">
        <f t="shared" si="26"/>
        <v>0</v>
      </c>
      <c r="AK137">
        <f t="shared" si="27"/>
        <v>1</v>
      </c>
      <c r="AL137">
        <f t="shared" si="34"/>
        <v>0</v>
      </c>
      <c r="AM137">
        <f t="shared" si="24"/>
        <v>1</v>
      </c>
      <c r="AN137">
        <f t="shared" si="35"/>
        <v>0</v>
      </c>
      <c r="AO137" s="28">
        <f t="shared" si="28"/>
        <v>0</v>
      </c>
      <c r="AP137" s="28">
        <f t="shared" si="29"/>
        <v>0</v>
      </c>
      <c r="AQ137" s="28">
        <f t="shared" si="36"/>
        <v>0</v>
      </c>
      <c r="AR137" s="29">
        <f t="shared" si="37"/>
        <v>1.2733948086313658E-2</v>
      </c>
      <c r="AT137" s="12"/>
      <c r="AU137">
        <f t="shared" si="30"/>
        <v>0</v>
      </c>
      <c r="AV137">
        <f t="shared" si="31"/>
        <v>0</v>
      </c>
      <c r="AW137">
        <f t="shared" si="38"/>
        <v>1</v>
      </c>
      <c r="AX137">
        <f t="shared" si="25"/>
        <v>1</v>
      </c>
      <c r="AY137">
        <f t="shared" si="39"/>
        <v>1</v>
      </c>
      <c r="AZ137" s="28">
        <f t="shared" si="32"/>
        <v>1.5433803085686401E-3</v>
      </c>
      <c r="BA137" s="28">
        <f t="shared" si="33"/>
        <v>-1.69029996109206E-3</v>
      </c>
      <c r="BB137" s="28">
        <f t="shared" si="40"/>
        <v>-1.4691965252341998E-4</v>
      </c>
      <c r="BC137" s="29">
        <f t="shared" si="41"/>
        <v>4.821071859710889E-3</v>
      </c>
      <c r="BE137" s="29">
        <f t="shared" si="42"/>
        <v>-1.4691965252341998E-4</v>
      </c>
      <c r="BF137" s="29">
        <f t="shared" si="43"/>
        <v>1.7555019946024548E-2</v>
      </c>
      <c r="BH137" s="29"/>
    </row>
    <row r="138" spans="1:60" x14ac:dyDescent="0.25">
      <c r="A138" s="1">
        <v>46224</v>
      </c>
      <c r="B138" s="33">
        <v>45.23</v>
      </c>
      <c r="C138" s="33">
        <v>106.17</v>
      </c>
      <c r="D138" s="15">
        <v>-1.9878526700538302E-3</v>
      </c>
      <c r="E138" s="15">
        <v>-2.1639938820623801E-3</v>
      </c>
      <c r="F138" s="33">
        <v>0</v>
      </c>
      <c r="G138" s="33">
        <v>0.80533999999999994</v>
      </c>
      <c r="H138" s="33">
        <v>0</v>
      </c>
      <c r="I138" s="33">
        <v>1.7107399999999999</v>
      </c>
      <c r="J138" s="33">
        <v>0</v>
      </c>
      <c r="K138" s="33">
        <v>0</v>
      </c>
      <c r="L138" s="33">
        <v>45.23</v>
      </c>
      <c r="M138" s="33">
        <v>106.17</v>
      </c>
      <c r="N138" s="34">
        <v>2.34733583904488</v>
      </c>
      <c r="O138" s="34">
        <v>2.3475193892851398</v>
      </c>
      <c r="P138" s="34">
        <v>2.3476461833406499</v>
      </c>
      <c r="Q138" s="34">
        <v>2.3495578606860099</v>
      </c>
      <c r="R138" s="33">
        <v>106.178301977367</v>
      </c>
      <c r="S138" s="33">
        <v>106.20402196021701</v>
      </c>
      <c r="T138" s="33">
        <v>106.27630420655299</v>
      </c>
      <c r="U138" s="15">
        <v>7.8192076829822994E-5</v>
      </c>
      <c r="V138" s="15">
        <v>3.20396630380417E-4</v>
      </c>
      <c r="W138" s="15">
        <v>1.0007631417519099E-3</v>
      </c>
      <c r="X138" s="34">
        <v>2.34733583904488</v>
      </c>
      <c r="Y138" s="34">
        <v>2.3475193892851398</v>
      </c>
      <c r="Z138" s="34">
        <v>2.3476461833406499</v>
      </c>
      <c r="AA138" s="34">
        <v>2.3495578606860099</v>
      </c>
      <c r="AB138" s="33">
        <v>106.178301977367</v>
      </c>
      <c r="AC138" s="33">
        <v>106.20402196021701</v>
      </c>
      <c r="AD138" s="33">
        <v>106.27630420655299</v>
      </c>
      <c r="AE138" s="15">
        <v>7.8192076829822994E-5</v>
      </c>
      <c r="AF138" s="15">
        <v>3.20396630380417E-4</v>
      </c>
      <c r="AG138" s="15">
        <v>1.0007631417519099E-3</v>
      </c>
      <c r="AI138" s="12"/>
      <c r="AJ138">
        <f t="shared" si="26"/>
        <v>0</v>
      </c>
      <c r="AK138">
        <f t="shared" si="27"/>
        <v>1</v>
      </c>
      <c r="AL138">
        <f t="shared" si="34"/>
        <v>0</v>
      </c>
      <c r="AM138">
        <f t="shared" si="24"/>
        <v>1</v>
      </c>
      <c r="AN138">
        <f t="shared" si="35"/>
        <v>0</v>
      </c>
      <c r="AO138" s="28">
        <f t="shared" si="28"/>
        <v>0</v>
      </c>
      <c r="AP138" s="28">
        <f t="shared" si="29"/>
        <v>0</v>
      </c>
      <c r="AQ138" s="28">
        <f t="shared" si="36"/>
        <v>0</v>
      </c>
      <c r="AR138" s="29">
        <f t="shared" si="37"/>
        <v>1.2733948086313658E-2</v>
      </c>
      <c r="AT138" s="12"/>
      <c r="AU138">
        <f t="shared" si="30"/>
        <v>1</v>
      </c>
      <c r="AV138">
        <f t="shared" si="31"/>
        <v>0</v>
      </c>
      <c r="AW138">
        <f t="shared" si="38"/>
        <v>1</v>
      </c>
      <c r="AX138">
        <f t="shared" si="25"/>
        <v>1</v>
      </c>
      <c r="AY138">
        <f t="shared" si="39"/>
        <v>1</v>
      </c>
      <c r="AZ138" s="28">
        <f t="shared" si="32"/>
        <v>1.9878526700538302E-3</v>
      </c>
      <c r="BA138" s="28">
        <f t="shared" si="33"/>
        <v>-2.1639938820623801E-3</v>
      </c>
      <c r="BB138" s="28">
        <f t="shared" si="40"/>
        <v>-1.7614121200854992E-4</v>
      </c>
      <c r="BC138" s="29">
        <f t="shared" si="41"/>
        <v>4.6449306477023391E-3</v>
      </c>
      <c r="BE138" s="29">
        <f t="shared" si="42"/>
        <v>-1.7614121200854992E-4</v>
      </c>
      <c r="BF138" s="29">
        <f t="shared" si="43"/>
        <v>1.7378878734015998E-2</v>
      </c>
      <c r="BH138" s="29"/>
    </row>
    <row r="139" spans="1:60" x14ac:dyDescent="0.25">
      <c r="A139" s="1">
        <v>46225</v>
      </c>
      <c r="B139" s="33">
        <v>45.1</v>
      </c>
      <c r="C139" s="33">
        <v>105.88</v>
      </c>
      <c r="D139" s="15">
        <v>-2.8783369811190098E-3</v>
      </c>
      <c r="E139" s="15">
        <v>-2.7352056665812799E-3</v>
      </c>
      <c r="F139" s="33">
        <v>0</v>
      </c>
      <c r="G139" s="33">
        <v>0.80533999999999994</v>
      </c>
      <c r="H139" s="33">
        <v>0</v>
      </c>
      <c r="I139" s="33">
        <v>1.7107399999999999</v>
      </c>
      <c r="J139" s="33">
        <v>0</v>
      </c>
      <c r="K139" s="33">
        <v>0</v>
      </c>
      <c r="L139" s="33">
        <v>45.1</v>
      </c>
      <c r="M139" s="33">
        <v>105.88</v>
      </c>
      <c r="N139" s="34">
        <v>2.3476718403547601</v>
      </c>
      <c r="O139" s="34">
        <v>2.3475193892851398</v>
      </c>
      <c r="P139" s="34">
        <v>2.3477042565089499</v>
      </c>
      <c r="Q139" s="34">
        <v>2.3493575895158498</v>
      </c>
      <c r="R139" s="33">
        <v>105.87312445676</v>
      </c>
      <c r="S139" s="33">
        <v>105.878842868663</v>
      </c>
      <c r="T139" s="33">
        <v>105.96505951693899</v>
      </c>
      <c r="U139" s="15">
        <v>-6.4939237708069601E-5</v>
      </c>
      <c r="V139" s="15">
        <v>-1.09287652006531E-5</v>
      </c>
      <c r="W139" s="15">
        <v>8.0303521549421298E-4</v>
      </c>
      <c r="X139" s="34">
        <v>2.3476718403547601</v>
      </c>
      <c r="Y139" s="34">
        <v>2.3475193892851398</v>
      </c>
      <c r="Z139" s="34">
        <v>2.3477042565089499</v>
      </c>
      <c r="AA139" s="34">
        <v>2.3493575895158498</v>
      </c>
      <c r="AB139" s="33">
        <v>105.87312445676</v>
      </c>
      <c r="AC139" s="33">
        <v>105.878842868663</v>
      </c>
      <c r="AD139" s="33">
        <v>105.96505951693899</v>
      </c>
      <c r="AE139" s="15">
        <v>-6.4939237708069601E-5</v>
      </c>
      <c r="AF139" s="15">
        <v>-1.09287652006531E-5</v>
      </c>
      <c r="AG139" s="15">
        <v>8.0303521549421298E-4</v>
      </c>
      <c r="AI139" s="12"/>
      <c r="AJ139">
        <f t="shared" si="26"/>
        <v>0</v>
      </c>
      <c r="AK139">
        <f t="shared" si="27"/>
        <v>1</v>
      </c>
      <c r="AL139">
        <f t="shared" si="34"/>
        <v>0</v>
      </c>
      <c r="AM139">
        <f t="shared" si="24"/>
        <v>1</v>
      </c>
      <c r="AN139">
        <f t="shared" si="35"/>
        <v>0</v>
      </c>
      <c r="AO139" s="28">
        <f t="shared" si="28"/>
        <v>0</v>
      </c>
      <c r="AP139" s="28">
        <f t="shared" si="29"/>
        <v>0</v>
      </c>
      <c r="AQ139" s="28">
        <f t="shared" si="36"/>
        <v>0</v>
      </c>
      <c r="AR139" s="29">
        <f t="shared" si="37"/>
        <v>1.2733948086313658E-2</v>
      </c>
      <c r="AT139" s="12"/>
      <c r="AU139">
        <f t="shared" si="30"/>
        <v>0</v>
      </c>
      <c r="AV139">
        <f t="shared" si="31"/>
        <v>0</v>
      </c>
      <c r="AW139">
        <f t="shared" si="38"/>
        <v>1</v>
      </c>
      <c r="AX139">
        <f t="shared" si="25"/>
        <v>1</v>
      </c>
      <c r="AY139">
        <f t="shared" si="39"/>
        <v>1</v>
      </c>
      <c r="AZ139" s="28">
        <f t="shared" si="32"/>
        <v>2.8783369811190098E-3</v>
      </c>
      <c r="BA139" s="28">
        <f t="shared" si="33"/>
        <v>-2.7352056665812799E-3</v>
      </c>
      <c r="BB139" s="28">
        <f t="shared" si="40"/>
        <v>1.4313131453772996E-4</v>
      </c>
      <c r="BC139" s="29">
        <f t="shared" si="41"/>
        <v>4.7880619622400686E-3</v>
      </c>
      <c r="BE139" s="29">
        <f t="shared" si="42"/>
        <v>1.4313131453772996E-4</v>
      </c>
      <c r="BF139" s="29">
        <f t="shared" si="43"/>
        <v>1.7522010048553728E-2</v>
      </c>
      <c r="BH139" s="29"/>
    </row>
    <row r="140" spans="1:60" x14ac:dyDescent="0.25">
      <c r="A140" s="1">
        <v>46226</v>
      </c>
      <c r="B140" s="33">
        <v>44.84</v>
      </c>
      <c r="C140" s="33">
        <v>105.26</v>
      </c>
      <c r="D140" s="15">
        <v>-5.78164830467347E-3</v>
      </c>
      <c r="E140" s="15">
        <v>-5.8728974332675496E-3</v>
      </c>
      <c r="F140" s="33">
        <v>0</v>
      </c>
      <c r="G140" s="33">
        <v>0.80533999999999994</v>
      </c>
      <c r="H140" s="33">
        <v>0</v>
      </c>
      <c r="I140" s="33">
        <v>1.7107399999999999</v>
      </c>
      <c r="J140" s="33">
        <v>0</v>
      </c>
      <c r="K140" s="33">
        <v>0</v>
      </c>
      <c r="L140" s="33">
        <v>44.84</v>
      </c>
      <c r="M140" s="33">
        <v>105.26</v>
      </c>
      <c r="N140" s="34">
        <v>2.34745762711864</v>
      </c>
      <c r="O140" s="34">
        <v>2.3475193892851398</v>
      </c>
      <c r="P140" s="34">
        <v>2.3476750466631802</v>
      </c>
      <c r="Q140" s="34">
        <v>2.3491850759910098</v>
      </c>
      <c r="R140" s="33">
        <v>105.262769415546</v>
      </c>
      <c r="S140" s="33">
        <v>105.27105886186099</v>
      </c>
      <c r="T140" s="33">
        <v>105.345194313891</v>
      </c>
      <c r="U140" s="15">
        <v>2.63098908859613E-5</v>
      </c>
      <c r="V140" s="15">
        <v>1.0505682089336499E-4</v>
      </c>
      <c r="W140" s="15">
        <v>8.0904289958782605E-4</v>
      </c>
      <c r="X140" s="34">
        <v>2.34745762711864</v>
      </c>
      <c r="Y140" s="34">
        <v>2.3475193892851398</v>
      </c>
      <c r="Z140" s="34">
        <v>2.3476750466631802</v>
      </c>
      <c r="AA140" s="34">
        <v>2.3491850759910098</v>
      </c>
      <c r="AB140" s="33">
        <v>105.262769415546</v>
      </c>
      <c r="AC140" s="33">
        <v>105.27105886186099</v>
      </c>
      <c r="AD140" s="33">
        <v>105.345194313891</v>
      </c>
      <c r="AE140" s="15">
        <v>2.63098908859613E-5</v>
      </c>
      <c r="AF140" s="15">
        <v>1.0505682089336499E-4</v>
      </c>
      <c r="AG140" s="15">
        <v>8.0904289958782605E-4</v>
      </c>
      <c r="AI140" s="12"/>
      <c r="AJ140">
        <f t="shared" si="26"/>
        <v>0</v>
      </c>
      <c r="AK140">
        <f t="shared" si="27"/>
        <v>1</v>
      </c>
      <c r="AL140">
        <f t="shared" si="34"/>
        <v>0</v>
      </c>
      <c r="AM140">
        <f t="shared" si="24"/>
        <v>1</v>
      </c>
      <c r="AN140">
        <f t="shared" si="35"/>
        <v>0</v>
      </c>
      <c r="AO140" s="28">
        <f t="shared" si="28"/>
        <v>0</v>
      </c>
      <c r="AP140" s="28">
        <f t="shared" si="29"/>
        <v>0</v>
      </c>
      <c r="AQ140" s="28">
        <f t="shared" si="36"/>
        <v>0</v>
      </c>
      <c r="AR140" s="29">
        <f t="shared" si="37"/>
        <v>1.2733948086313658E-2</v>
      </c>
      <c r="AT140" s="12"/>
      <c r="AU140">
        <f t="shared" si="30"/>
        <v>0</v>
      </c>
      <c r="AV140">
        <f t="shared" si="31"/>
        <v>0</v>
      </c>
      <c r="AW140">
        <f t="shared" si="38"/>
        <v>1</v>
      </c>
      <c r="AX140">
        <f t="shared" si="25"/>
        <v>1</v>
      </c>
      <c r="AY140">
        <f t="shared" si="39"/>
        <v>1</v>
      </c>
      <c r="AZ140" s="28">
        <f t="shared" si="32"/>
        <v>5.78164830467347E-3</v>
      </c>
      <c r="BA140" s="28">
        <f t="shared" si="33"/>
        <v>-5.8728974332675496E-3</v>
      </c>
      <c r="BB140" s="28">
        <f t="shared" si="40"/>
        <v>-9.1249128594079673E-5</v>
      </c>
      <c r="BC140" s="29">
        <f t="shared" si="41"/>
        <v>4.6968128336459889E-3</v>
      </c>
      <c r="BE140" s="29">
        <f t="shared" si="42"/>
        <v>-9.1249128594079673E-5</v>
      </c>
      <c r="BF140" s="29">
        <f t="shared" si="43"/>
        <v>1.7430760919959647E-2</v>
      </c>
      <c r="BH140" s="29"/>
    </row>
    <row r="141" spans="1:60" x14ac:dyDescent="0.25">
      <c r="A141" s="1">
        <v>46227</v>
      </c>
      <c r="B141" s="33">
        <v>44.89</v>
      </c>
      <c r="C141" s="33">
        <v>105.55</v>
      </c>
      <c r="D141" s="15">
        <v>1.1144545898816101E-3</v>
      </c>
      <c r="E141" s="15">
        <v>2.7512943686967299E-3</v>
      </c>
      <c r="F141" s="33">
        <v>0</v>
      </c>
      <c r="G141" s="33">
        <v>0.80533999999999994</v>
      </c>
      <c r="H141" s="33">
        <v>0</v>
      </c>
      <c r="I141" s="33">
        <v>1.7107399999999999</v>
      </c>
      <c r="J141" s="33">
        <v>0</v>
      </c>
      <c r="K141" s="33">
        <v>0</v>
      </c>
      <c r="L141" s="33">
        <v>44.89</v>
      </c>
      <c r="M141" s="33">
        <v>105.55</v>
      </c>
      <c r="N141" s="34">
        <v>2.35130318556471</v>
      </c>
      <c r="O141" s="34">
        <v>2.3475193892851398</v>
      </c>
      <c r="P141" s="34">
        <v>2.34782512806551</v>
      </c>
      <c r="Q141" s="34">
        <v>2.3491250439287699</v>
      </c>
      <c r="R141" s="33">
        <v>105.38014538501</v>
      </c>
      <c r="S141" s="33">
        <v>105.38713284471</v>
      </c>
      <c r="T141" s="33">
        <v>105.454918061236</v>
      </c>
      <c r="U141" s="15">
        <v>-1.61052988792908E-3</v>
      </c>
      <c r="V141" s="15">
        <v>-1.54422491154427E-3</v>
      </c>
      <c r="W141" s="15">
        <v>-9.0122965921745301E-4</v>
      </c>
      <c r="X141" s="34">
        <v>2.35130318556471</v>
      </c>
      <c r="Y141" s="34">
        <v>2.3475193892851398</v>
      </c>
      <c r="Z141" s="34">
        <v>2.34782512806551</v>
      </c>
      <c r="AA141" s="34">
        <v>2.3491250439287699</v>
      </c>
      <c r="AB141" s="33">
        <v>105.38014538501</v>
      </c>
      <c r="AC141" s="33">
        <v>105.38713284471</v>
      </c>
      <c r="AD141" s="33">
        <v>105.454918061236</v>
      </c>
      <c r="AE141" s="15">
        <v>-1.61052988792908E-3</v>
      </c>
      <c r="AF141" s="15">
        <v>-1.54422491154427E-3</v>
      </c>
      <c r="AG141" s="15">
        <v>-9.0122965921745301E-4</v>
      </c>
      <c r="AI141" s="12"/>
      <c r="AJ141">
        <f t="shared" si="26"/>
        <v>0</v>
      </c>
      <c r="AK141">
        <f t="shared" si="27"/>
        <v>0</v>
      </c>
      <c r="AL141">
        <f t="shared" si="34"/>
        <v>0</v>
      </c>
      <c r="AM141">
        <f t="shared" si="24"/>
        <v>1</v>
      </c>
      <c r="AN141">
        <f t="shared" si="35"/>
        <v>0</v>
      </c>
      <c r="AO141" s="28">
        <f t="shared" si="28"/>
        <v>0</v>
      </c>
      <c r="AP141" s="28">
        <f t="shared" si="29"/>
        <v>0</v>
      </c>
      <c r="AQ141" s="28">
        <f t="shared" si="36"/>
        <v>0</v>
      </c>
      <c r="AR141" s="29">
        <f t="shared" si="37"/>
        <v>1.2733948086313658E-2</v>
      </c>
      <c r="AT141" s="12"/>
      <c r="AU141">
        <f t="shared" si="30"/>
        <v>0</v>
      </c>
      <c r="AV141">
        <f t="shared" si="31"/>
        <v>1</v>
      </c>
      <c r="AW141">
        <f t="shared" si="38"/>
        <v>1</v>
      </c>
      <c r="AX141">
        <f t="shared" si="25"/>
        <v>1</v>
      </c>
      <c r="AY141">
        <f t="shared" si="39"/>
        <v>1</v>
      </c>
      <c r="AZ141" s="28">
        <f t="shared" si="32"/>
        <v>-1.1144545898816101E-3</v>
      </c>
      <c r="BA141" s="28">
        <f t="shared" si="33"/>
        <v>2.7512943686967299E-3</v>
      </c>
      <c r="BB141" s="28">
        <f t="shared" si="40"/>
        <v>1.6368397788151198E-3</v>
      </c>
      <c r="BC141" s="29">
        <f t="shared" si="41"/>
        <v>6.3336526124611082E-3</v>
      </c>
      <c r="BE141" s="29">
        <f t="shared" si="42"/>
        <v>1.6368397788151198E-3</v>
      </c>
      <c r="BF141" s="29">
        <f t="shared" si="43"/>
        <v>1.9067600698774768E-2</v>
      </c>
      <c r="BH141" s="29"/>
    </row>
    <row r="142" spans="1:60" x14ac:dyDescent="0.25">
      <c r="A142" s="1">
        <v>46230</v>
      </c>
      <c r="B142" s="33">
        <v>45.02</v>
      </c>
      <c r="C142" s="33">
        <v>105.8</v>
      </c>
      <c r="D142" s="15">
        <v>2.89178268474541E-3</v>
      </c>
      <c r="E142" s="15">
        <v>2.3657451298694501E-3</v>
      </c>
      <c r="F142" s="33">
        <v>0</v>
      </c>
      <c r="G142" s="33">
        <v>0.80533999999999994</v>
      </c>
      <c r="H142" s="33">
        <v>0</v>
      </c>
      <c r="I142" s="33">
        <v>1.7107399999999999</v>
      </c>
      <c r="J142" s="33">
        <v>0</v>
      </c>
      <c r="K142" s="33">
        <v>0</v>
      </c>
      <c r="L142" s="33">
        <v>45.02</v>
      </c>
      <c r="M142" s="33">
        <v>105.8</v>
      </c>
      <c r="N142" s="34">
        <v>2.3500666370501899</v>
      </c>
      <c r="O142" s="34">
        <v>2.3475193892851398</v>
      </c>
      <c r="P142" s="34">
        <v>2.3480931005100998</v>
      </c>
      <c r="Q142" s="34">
        <v>2.3490584457113499</v>
      </c>
      <c r="R142" s="33">
        <v>105.685322905617</v>
      </c>
      <c r="S142" s="33">
        <v>105.69908726550899</v>
      </c>
      <c r="T142" s="33">
        <v>105.757609477673</v>
      </c>
      <c r="U142" s="15">
        <v>-1.08449233305305E-3</v>
      </c>
      <c r="V142" s="15">
        <v>-9.54261727113528E-4</v>
      </c>
      <c r="W142" s="15">
        <v>-4.0074685092541298E-4</v>
      </c>
      <c r="X142" s="34">
        <v>2.3500666370501899</v>
      </c>
      <c r="Y142" s="34">
        <v>2.3475193892851398</v>
      </c>
      <c r="Z142" s="34">
        <v>2.3480931005100998</v>
      </c>
      <c r="AA142" s="34">
        <v>2.3490584457113499</v>
      </c>
      <c r="AB142" s="33">
        <v>105.685322905617</v>
      </c>
      <c r="AC142" s="33">
        <v>105.69908726550899</v>
      </c>
      <c r="AD142" s="33">
        <v>105.757609477673</v>
      </c>
      <c r="AE142" s="15">
        <v>-1.08449233305305E-3</v>
      </c>
      <c r="AF142" s="15">
        <v>-9.54261727113528E-4</v>
      </c>
      <c r="AG142" s="15">
        <v>-4.0074685092541298E-4</v>
      </c>
      <c r="AI142" s="12"/>
      <c r="AJ142">
        <f t="shared" si="26"/>
        <v>0</v>
      </c>
      <c r="AK142">
        <f t="shared" si="27"/>
        <v>0</v>
      </c>
      <c r="AL142">
        <f t="shared" si="34"/>
        <v>0</v>
      </c>
      <c r="AM142">
        <f t="shared" si="24"/>
        <v>1</v>
      </c>
      <c r="AN142">
        <f t="shared" si="35"/>
        <v>0</v>
      </c>
      <c r="AO142" s="28">
        <f t="shared" si="28"/>
        <v>0</v>
      </c>
      <c r="AP142" s="28">
        <f t="shared" si="29"/>
        <v>0</v>
      </c>
      <c r="AQ142" s="28">
        <f t="shared" si="36"/>
        <v>0</v>
      </c>
      <c r="AR142" s="29">
        <f t="shared" si="37"/>
        <v>1.2733948086313658E-2</v>
      </c>
      <c r="AT142" s="12"/>
      <c r="AU142">
        <f t="shared" si="30"/>
        <v>0</v>
      </c>
      <c r="AV142">
        <f t="shared" si="31"/>
        <v>1</v>
      </c>
      <c r="AW142">
        <f t="shared" si="38"/>
        <v>0</v>
      </c>
      <c r="AX142">
        <f t="shared" si="25"/>
        <v>1</v>
      </c>
      <c r="AY142">
        <f t="shared" si="39"/>
        <v>0</v>
      </c>
      <c r="AZ142" s="28">
        <f t="shared" si="32"/>
        <v>0</v>
      </c>
      <c r="BA142" s="28">
        <f t="shared" si="33"/>
        <v>0</v>
      </c>
      <c r="BB142" s="28">
        <f t="shared" si="40"/>
        <v>0</v>
      </c>
      <c r="BC142" s="29">
        <f t="shared" si="41"/>
        <v>6.3336526124611082E-3</v>
      </c>
      <c r="BE142" s="29">
        <f t="shared" si="42"/>
        <v>0</v>
      </c>
      <c r="BF142" s="29">
        <f t="shared" si="43"/>
        <v>1.9067600698774768E-2</v>
      </c>
      <c r="BH142" s="29"/>
    </row>
    <row r="143" spans="1:60" x14ac:dyDescent="0.25">
      <c r="A143" s="1">
        <v>46231</v>
      </c>
      <c r="B143" s="33">
        <v>45.09</v>
      </c>
      <c r="C143" s="33">
        <v>106</v>
      </c>
      <c r="D143" s="15">
        <v>1.55365695440661E-3</v>
      </c>
      <c r="E143" s="15">
        <v>1.8885746878681501E-3</v>
      </c>
      <c r="F143" s="33">
        <v>0</v>
      </c>
      <c r="G143" s="33">
        <v>0.80533999999999994</v>
      </c>
      <c r="H143" s="33">
        <v>0</v>
      </c>
      <c r="I143" s="33">
        <v>1.7107399999999999</v>
      </c>
      <c r="J143" s="33">
        <v>0</v>
      </c>
      <c r="K143" s="33">
        <v>0</v>
      </c>
      <c r="L143" s="33">
        <v>45.09</v>
      </c>
      <c r="M143" s="33">
        <v>106</v>
      </c>
      <c r="N143" s="34">
        <v>2.3508538478598302</v>
      </c>
      <c r="O143" s="34">
        <v>2.3475193892851398</v>
      </c>
      <c r="P143" s="34">
        <v>2.3484846077450601</v>
      </c>
      <c r="Q143" s="34">
        <v>2.3490394703462099</v>
      </c>
      <c r="R143" s="33">
        <v>105.849649262867</v>
      </c>
      <c r="S143" s="33">
        <v>105.875517902</v>
      </c>
      <c r="T143" s="33">
        <v>105.919045317125</v>
      </c>
      <c r="U143" s="15">
        <v>-1.4194100665145301E-3</v>
      </c>
      <c r="V143" s="15">
        <v>-1.1750495154451801E-3</v>
      </c>
      <c r="W143" s="15">
        <v>-7.6401520865328697E-4</v>
      </c>
      <c r="X143" s="34">
        <v>2.3508538478598302</v>
      </c>
      <c r="Y143" s="34">
        <v>2.3475193892851398</v>
      </c>
      <c r="Z143" s="34">
        <v>2.3484846077450601</v>
      </c>
      <c r="AA143" s="34">
        <v>2.3490394703462099</v>
      </c>
      <c r="AB143" s="33">
        <v>105.849649262867</v>
      </c>
      <c r="AC143" s="33">
        <v>105.875517902</v>
      </c>
      <c r="AD143" s="33">
        <v>105.919045317125</v>
      </c>
      <c r="AE143" s="15">
        <v>-1.4194100665145301E-3</v>
      </c>
      <c r="AF143" s="15">
        <v>-1.1750495154451801E-3</v>
      </c>
      <c r="AG143" s="15">
        <v>-7.6401520865328697E-4</v>
      </c>
      <c r="AI143" s="12"/>
      <c r="AJ143">
        <f t="shared" si="26"/>
        <v>0</v>
      </c>
      <c r="AK143">
        <f t="shared" si="27"/>
        <v>0</v>
      </c>
      <c r="AL143">
        <f t="shared" si="34"/>
        <v>0</v>
      </c>
      <c r="AM143">
        <f t="shared" si="24"/>
        <v>1</v>
      </c>
      <c r="AN143">
        <f t="shared" si="35"/>
        <v>0</v>
      </c>
      <c r="AO143" s="28">
        <f t="shared" si="28"/>
        <v>0</v>
      </c>
      <c r="AP143" s="28">
        <f t="shared" si="29"/>
        <v>0</v>
      </c>
      <c r="AQ143" s="28">
        <f t="shared" si="36"/>
        <v>0</v>
      </c>
      <c r="AR143" s="29">
        <f t="shared" si="37"/>
        <v>1.2733948086313658E-2</v>
      </c>
      <c r="AT143" s="12"/>
      <c r="AU143">
        <f t="shared" si="30"/>
        <v>0</v>
      </c>
      <c r="AV143">
        <f t="shared" si="31"/>
        <v>1</v>
      </c>
      <c r="AW143">
        <f t="shared" si="38"/>
        <v>0</v>
      </c>
      <c r="AX143">
        <f t="shared" si="25"/>
        <v>1</v>
      </c>
      <c r="AY143">
        <f t="shared" si="39"/>
        <v>0</v>
      </c>
      <c r="AZ143" s="28">
        <f t="shared" si="32"/>
        <v>0</v>
      </c>
      <c r="BA143" s="28">
        <f t="shared" si="33"/>
        <v>0</v>
      </c>
      <c r="BB143" s="28">
        <f t="shared" si="40"/>
        <v>0</v>
      </c>
      <c r="BC143" s="29">
        <f t="shared" si="41"/>
        <v>6.3336526124611082E-3</v>
      </c>
      <c r="BE143" s="29">
        <f t="shared" si="42"/>
        <v>0</v>
      </c>
      <c r="BF143" s="29">
        <f t="shared" si="43"/>
        <v>1.9067600698774768E-2</v>
      </c>
      <c r="BH143" s="29"/>
    </row>
    <row r="144" spans="1:60" x14ac:dyDescent="0.25">
      <c r="A144" s="1">
        <v>46232</v>
      </c>
      <c r="B144" s="33">
        <v>45</v>
      </c>
      <c r="C144" s="33">
        <v>105.77</v>
      </c>
      <c r="D144" s="15">
        <v>-1.9980026626731E-3</v>
      </c>
      <c r="E144" s="15">
        <v>-2.1721687721056901E-3</v>
      </c>
      <c r="F144" s="33">
        <v>0</v>
      </c>
      <c r="G144" s="33">
        <v>0.80533999999999994</v>
      </c>
      <c r="H144" s="33">
        <v>0</v>
      </c>
      <c r="I144" s="33">
        <v>1.7107399999999999</v>
      </c>
      <c r="J144" s="33">
        <v>0</v>
      </c>
      <c r="K144" s="33">
        <v>0</v>
      </c>
      <c r="L144" s="33">
        <v>45</v>
      </c>
      <c r="M144" s="33">
        <v>105.77</v>
      </c>
      <c r="N144" s="34">
        <v>2.3504444444444399</v>
      </c>
      <c r="O144" s="34">
        <v>2.3475193892851398</v>
      </c>
      <c r="P144" s="34">
        <v>2.3488401095647502</v>
      </c>
      <c r="Q144" s="34">
        <v>2.3490726095990002</v>
      </c>
      <c r="R144" s="33">
        <v>105.638372517831</v>
      </c>
      <c r="S144" s="33">
        <v>105.681807348527</v>
      </c>
      <c r="T144" s="33">
        <v>105.706776165579</v>
      </c>
      <c r="U144" s="15">
        <v>-1.24524395708201E-3</v>
      </c>
      <c r="V144" s="15">
        <v>-8.3416318537969897E-4</v>
      </c>
      <c r="W144" s="15">
        <v>-5.9792699179737495E-4</v>
      </c>
      <c r="X144" s="34">
        <v>2.3504444444444399</v>
      </c>
      <c r="Y144" s="34">
        <v>2.3475193892851398</v>
      </c>
      <c r="Z144" s="34">
        <v>2.3488401095647502</v>
      </c>
      <c r="AA144" s="34">
        <v>2.3490726095990002</v>
      </c>
      <c r="AB144" s="33">
        <v>105.638372517831</v>
      </c>
      <c r="AC144" s="33">
        <v>105.681807348527</v>
      </c>
      <c r="AD144" s="33">
        <v>105.706776165579</v>
      </c>
      <c r="AE144" s="15">
        <v>-1.24524395708201E-3</v>
      </c>
      <c r="AF144" s="15">
        <v>-8.3416318537969897E-4</v>
      </c>
      <c r="AG144" s="15">
        <v>-5.9792699179737495E-4</v>
      </c>
      <c r="AI144" s="12"/>
      <c r="AJ144">
        <f t="shared" si="26"/>
        <v>0</v>
      </c>
      <c r="AK144">
        <f t="shared" si="27"/>
        <v>0</v>
      </c>
      <c r="AL144">
        <f t="shared" si="34"/>
        <v>0</v>
      </c>
      <c r="AM144">
        <f t="shared" si="24"/>
        <v>1</v>
      </c>
      <c r="AN144">
        <f t="shared" si="35"/>
        <v>0</v>
      </c>
      <c r="AO144" s="28">
        <f t="shared" si="28"/>
        <v>0</v>
      </c>
      <c r="AP144" s="28">
        <f t="shared" si="29"/>
        <v>0</v>
      </c>
      <c r="AQ144" s="28">
        <f t="shared" si="36"/>
        <v>0</v>
      </c>
      <c r="AR144" s="29">
        <f t="shared" si="37"/>
        <v>1.2733948086313658E-2</v>
      </c>
      <c r="AT144" s="12"/>
      <c r="AU144">
        <f t="shared" si="30"/>
        <v>0</v>
      </c>
      <c r="AV144">
        <f t="shared" si="31"/>
        <v>1</v>
      </c>
      <c r="AW144">
        <f t="shared" si="38"/>
        <v>0</v>
      </c>
      <c r="AX144">
        <f t="shared" si="25"/>
        <v>1</v>
      </c>
      <c r="AY144">
        <f t="shared" si="39"/>
        <v>0</v>
      </c>
      <c r="AZ144" s="28">
        <f t="shared" si="32"/>
        <v>0</v>
      </c>
      <c r="BA144" s="28">
        <f t="shared" si="33"/>
        <v>0</v>
      </c>
      <c r="BB144" s="28">
        <f t="shared" si="40"/>
        <v>0</v>
      </c>
      <c r="BC144" s="29">
        <f t="shared" si="41"/>
        <v>6.3336526124611082E-3</v>
      </c>
      <c r="BE144" s="29">
        <f t="shared" si="42"/>
        <v>0</v>
      </c>
      <c r="BF144" s="29">
        <f t="shared" si="43"/>
        <v>1.9067600698774768E-2</v>
      </c>
      <c r="BH144" s="29"/>
    </row>
    <row r="145" spans="1:60" x14ac:dyDescent="0.25">
      <c r="A145" s="1">
        <v>46233</v>
      </c>
      <c r="B145" s="33">
        <v>45</v>
      </c>
      <c r="C145" s="33">
        <v>105.76</v>
      </c>
      <c r="D145" s="15">
        <v>0</v>
      </c>
      <c r="E145" s="15">
        <v>-9.4549236585236894E-5</v>
      </c>
      <c r="F145" s="33">
        <v>0</v>
      </c>
      <c r="G145" s="33">
        <v>0.80533999999999994</v>
      </c>
      <c r="H145" s="33">
        <v>0</v>
      </c>
      <c r="I145" s="33">
        <v>1.7107399999999999</v>
      </c>
      <c r="J145" s="33">
        <v>0</v>
      </c>
      <c r="K145" s="33">
        <v>0</v>
      </c>
      <c r="L145" s="33">
        <v>45</v>
      </c>
      <c r="M145" s="33">
        <v>105.76</v>
      </c>
      <c r="N145" s="34">
        <v>2.3502222222222202</v>
      </c>
      <c r="O145" s="34">
        <v>2.3475193892851398</v>
      </c>
      <c r="P145" s="34">
        <v>2.3491199275597601</v>
      </c>
      <c r="Q145" s="34">
        <v>2.3489895051097598</v>
      </c>
      <c r="R145" s="33">
        <v>105.638372517831</v>
      </c>
      <c r="S145" s="33">
        <v>105.697804930413</v>
      </c>
      <c r="T145" s="33">
        <v>105.70826743195499</v>
      </c>
      <c r="U145" s="15">
        <v>-1.15069472049676E-3</v>
      </c>
      <c r="V145" s="15">
        <v>-5.8825042092928298E-4</v>
      </c>
      <c r="W145" s="15">
        <v>-4.8927027875061795E-4</v>
      </c>
      <c r="X145" s="34">
        <v>2.3502222222222202</v>
      </c>
      <c r="Y145" s="34">
        <v>2.3475193892851398</v>
      </c>
      <c r="Z145" s="34">
        <v>2.3491199275597601</v>
      </c>
      <c r="AA145" s="34">
        <v>2.3489895051097598</v>
      </c>
      <c r="AB145" s="33">
        <v>105.638372517831</v>
      </c>
      <c r="AC145" s="33">
        <v>105.697804930413</v>
      </c>
      <c r="AD145" s="33">
        <v>105.70826743195499</v>
      </c>
      <c r="AE145" s="15">
        <v>-1.15069472049676E-3</v>
      </c>
      <c r="AF145" s="15">
        <v>-5.8825042092928298E-4</v>
      </c>
      <c r="AG145" s="15">
        <v>-4.8927027875061795E-4</v>
      </c>
      <c r="AI145" s="12"/>
      <c r="AJ145">
        <f t="shared" si="26"/>
        <v>0</v>
      </c>
      <c r="AK145">
        <f t="shared" si="27"/>
        <v>0</v>
      </c>
      <c r="AL145">
        <f t="shared" si="34"/>
        <v>0</v>
      </c>
      <c r="AM145">
        <f t="shared" si="24"/>
        <v>1</v>
      </c>
      <c r="AN145">
        <f t="shared" si="35"/>
        <v>0</v>
      </c>
      <c r="AO145" s="28">
        <f t="shared" si="28"/>
        <v>0</v>
      </c>
      <c r="AP145" s="28">
        <f t="shared" si="29"/>
        <v>0</v>
      </c>
      <c r="AQ145" s="28">
        <f t="shared" si="36"/>
        <v>0</v>
      </c>
      <c r="AR145" s="29">
        <f t="shared" si="37"/>
        <v>1.2733948086313658E-2</v>
      </c>
      <c r="AT145" s="12"/>
      <c r="AU145">
        <f t="shared" si="30"/>
        <v>0</v>
      </c>
      <c r="AV145">
        <f t="shared" si="31"/>
        <v>1</v>
      </c>
      <c r="AW145">
        <f t="shared" si="38"/>
        <v>0</v>
      </c>
      <c r="AX145">
        <f t="shared" si="25"/>
        <v>1</v>
      </c>
      <c r="AY145">
        <f t="shared" si="39"/>
        <v>0</v>
      </c>
      <c r="AZ145" s="28">
        <f t="shared" si="32"/>
        <v>0</v>
      </c>
      <c r="BA145" s="28">
        <f t="shared" si="33"/>
        <v>0</v>
      </c>
      <c r="BB145" s="28">
        <f t="shared" si="40"/>
        <v>0</v>
      </c>
      <c r="BC145" s="29">
        <f t="shared" si="41"/>
        <v>6.3336526124611082E-3</v>
      </c>
      <c r="BE145" s="29">
        <f t="shared" si="42"/>
        <v>0</v>
      </c>
      <c r="BF145" s="29">
        <f t="shared" si="43"/>
        <v>1.9067600698774768E-2</v>
      </c>
      <c r="BH145" s="29"/>
    </row>
    <row r="146" spans="1:60" x14ac:dyDescent="0.25">
      <c r="A146" s="1">
        <v>46234</v>
      </c>
      <c r="B146" s="33">
        <v>44.9</v>
      </c>
      <c r="C146" s="33">
        <v>105.64</v>
      </c>
      <c r="D146" s="15">
        <v>-2.2246950221111602E-3</v>
      </c>
      <c r="E146" s="15">
        <v>-1.1352886744446899E-3</v>
      </c>
      <c r="F146" s="33">
        <v>0</v>
      </c>
      <c r="G146" s="33">
        <v>0.80533999999999994</v>
      </c>
      <c r="H146" s="33">
        <v>0</v>
      </c>
      <c r="I146" s="33">
        <v>1.7107399999999999</v>
      </c>
      <c r="J146" s="33">
        <v>0</v>
      </c>
      <c r="K146" s="33">
        <v>0</v>
      </c>
      <c r="L146" s="33">
        <v>44.9</v>
      </c>
      <c r="M146" s="33">
        <v>105.64</v>
      </c>
      <c r="N146" s="34">
        <v>2.3527839643652499</v>
      </c>
      <c r="O146" s="34">
        <v>2.3475193892851398</v>
      </c>
      <c r="P146" s="34">
        <v>2.34958889460655</v>
      </c>
      <c r="Q146" s="34">
        <v>2.3490909819197601</v>
      </c>
      <c r="R146" s="33">
        <v>105.403620578903</v>
      </c>
      <c r="S146" s="33">
        <v>105.475484747433</v>
      </c>
      <c r="T146" s="33">
        <v>105.46962877942801</v>
      </c>
      <c r="U146" s="15">
        <v>-2.24010106816314E-3</v>
      </c>
      <c r="V146" s="15">
        <v>-1.55853357762376E-3</v>
      </c>
      <c r="W146" s="15">
        <v>-1.6140548258615E-3</v>
      </c>
      <c r="X146" s="34">
        <v>2.3527839643652499</v>
      </c>
      <c r="Y146" s="34">
        <v>2.3475193892851398</v>
      </c>
      <c r="Z146" s="34">
        <v>2.34958889460655</v>
      </c>
      <c r="AA146" s="34">
        <v>2.3490909819197601</v>
      </c>
      <c r="AB146" s="33">
        <v>105.403620578903</v>
      </c>
      <c r="AC146" s="33">
        <v>105.475484747433</v>
      </c>
      <c r="AD146" s="33">
        <v>105.46962877942801</v>
      </c>
      <c r="AE146" s="15">
        <v>-2.24010106816314E-3</v>
      </c>
      <c r="AF146" s="15">
        <v>-1.55853357762376E-3</v>
      </c>
      <c r="AG146" s="15">
        <v>-1.6140548258615E-3</v>
      </c>
      <c r="AI146" s="12"/>
      <c r="AJ146">
        <f t="shared" si="26"/>
        <v>1</v>
      </c>
      <c r="AK146">
        <f t="shared" si="27"/>
        <v>0</v>
      </c>
      <c r="AL146">
        <f t="shared" si="34"/>
        <v>0</v>
      </c>
      <c r="AM146">
        <f t="shared" si="24"/>
        <v>0</v>
      </c>
      <c r="AN146">
        <f t="shared" si="35"/>
        <v>0</v>
      </c>
      <c r="AO146" s="28">
        <f t="shared" si="28"/>
        <v>0</v>
      </c>
      <c r="AP146" s="28">
        <f t="shared" si="29"/>
        <v>0</v>
      </c>
      <c r="AQ146" s="28">
        <f t="shared" si="36"/>
        <v>0</v>
      </c>
      <c r="AR146" s="29">
        <f t="shared" si="37"/>
        <v>1.2733948086313658E-2</v>
      </c>
      <c r="AT146" s="12"/>
      <c r="AU146">
        <f t="shared" si="30"/>
        <v>0</v>
      </c>
      <c r="AV146">
        <f t="shared" si="31"/>
        <v>1</v>
      </c>
      <c r="AW146">
        <f t="shared" si="38"/>
        <v>0</v>
      </c>
      <c r="AX146">
        <f t="shared" si="25"/>
        <v>0</v>
      </c>
      <c r="AY146">
        <f t="shared" si="39"/>
        <v>0</v>
      </c>
      <c r="AZ146" s="28">
        <f t="shared" si="32"/>
        <v>0</v>
      </c>
      <c r="BA146" s="28">
        <f t="shared" si="33"/>
        <v>0</v>
      </c>
      <c r="BB146" s="28">
        <f t="shared" si="40"/>
        <v>0</v>
      </c>
      <c r="BC146" s="29">
        <f t="shared" si="41"/>
        <v>6.3336526124611082E-3</v>
      </c>
      <c r="BE146" s="29">
        <f t="shared" si="42"/>
        <v>0</v>
      </c>
      <c r="BF146" s="29">
        <f t="shared" si="43"/>
        <v>1.9067600698774768E-2</v>
      </c>
      <c r="BH146" s="29"/>
    </row>
    <row r="147" spans="1:60" x14ac:dyDescent="0.25">
      <c r="A147" s="1">
        <v>46237</v>
      </c>
      <c r="B147" s="33">
        <v>44.83</v>
      </c>
      <c r="C147" s="33">
        <v>105.45</v>
      </c>
      <c r="D147" s="15">
        <v>-1.5602365808604899E-3</v>
      </c>
      <c r="E147" s="15">
        <v>-1.80018050414785E-3</v>
      </c>
      <c r="F147" s="33">
        <v>0.1351</v>
      </c>
      <c r="G147" s="33">
        <v>0.94043999999999905</v>
      </c>
      <c r="H147" s="33">
        <v>0.2863</v>
      </c>
      <c r="I147" s="33">
        <v>1.9970399999999999</v>
      </c>
      <c r="J147" s="33">
        <v>0</v>
      </c>
      <c r="K147" s="33">
        <v>0</v>
      </c>
      <c r="L147" s="33">
        <v>44.83</v>
      </c>
      <c r="M147" s="33">
        <v>105.45</v>
      </c>
      <c r="N147" s="34">
        <v>2.3522194958732898</v>
      </c>
      <c r="O147" s="34">
        <v>2.3475193892851398</v>
      </c>
      <c r="P147" s="34">
        <v>2.3500359103898201</v>
      </c>
      <c r="Q147" s="34">
        <v>2.34906197421124</v>
      </c>
      <c r="R147" s="33">
        <v>105.239294221653</v>
      </c>
      <c r="S147" s="33">
        <v>105.33207014521101</v>
      </c>
      <c r="T147" s="33">
        <v>105.309748719463</v>
      </c>
      <c r="U147" s="15">
        <v>-2.0001571448758099E-3</v>
      </c>
      <c r="V147" s="15">
        <v>-1.1189743701811401E-3</v>
      </c>
      <c r="W147" s="15">
        <v>-1.3309116384095699E-3</v>
      </c>
      <c r="X147" s="34">
        <v>2.3522194958732898</v>
      </c>
      <c r="Y147" s="34">
        <v>2.3475193892851398</v>
      </c>
      <c r="Z147" s="34">
        <v>2.3500359103898201</v>
      </c>
      <c r="AA147" s="34">
        <v>2.34906197421124</v>
      </c>
      <c r="AB147" s="33">
        <v>105.239294221653</v>
      </c>
      <c r="AC147" s="33">
        <v>105.33207014521101</v>
      </c>
      <c r="AD147" s="33">
        <v>105.309748719463</v>
      </c>
      <c r="AE147" s="15">
        <v>-2.0001571448758099E-3</v>
      </c>
      <c r="AF147" s="15">
        <v>-1.1189743701811401E-3</v>
      </c>
      <c r="AG147" s="15">
        <v>-1.3309116384095699E-3</v>
      </c>
      <c r="AI147" s="12"/>
      <c r="AJ147">
        <f t="shared" si="26"/>
        <v>1</v>
      </c>
      <c r="AK147">
        <f t="shared" si="27"/>
        <v>0</v>
      </c>
      <c r="AL147">
        <f t="shared" si="34"/>
        <v>0</v>
      </c>
      <c r="AM147">
        <f t="shared" si="24"/>
        <v>1</v>
      </c>
      <c r="AN147">
        <f t="shared" si="35"/>
        <v>0</v>
      </c>
      <c r="AO147" s="28">
        <f t="shared" si="28"/>
        <v>0</v>
      </c>
      <c r="AP147" s="28">
        <f t="shared" si="29"/>
        <v>0</v>
      </c>
      <c r="AQ147" s="28">
        <f t="shared" si="36"/>
        <v>0</v>
      </c>
      <c r="AR147" s="29">
        <f t="shared" si="37"/>
        <v>1.2733948086313658E-2</v>
      </c>
      <c r="AT147" s="12"/>
      <c r="AU147">
        <f t="shared" si="30"/>
        <v>0</v>
      </c>
      <c r="AV147">
        <f t="shared" si="31"/>
        <v>1</v>
      </c>
      <c r="AW147">
        <f t="shared" si="38"/>
        <v>0</v>
      </c>
      <c r="AX147">
        <f t="shared" si="25"/>
        <v>1</v>
      </c>
      <c r="AY147">
        <f t="shared" si="39"/>
        <v>0</v>
      </c>
      <c r="AZ147" s="28">
        <f t="shared" si="32"/>
        <v>0</v>
      </c>
      <c r="BA147" s="28">
        <f t="shared" si="33"/>
        <v>0</v>
      </c>
      <c r="BB147" s="28">
        <f t="shared" si="40"/>
        <v>0</v>
      </c>
      <c r="BC147" s="29">
        <f t="shared" si="41"/>
        <v>6.3336526124611082E-3</v>
      </c>
      <c r="BE147" s="29">
        <f t="shared" si="42"/>
        <v>0</v>
      </c>
      <c r="BF147" s="29">
        <f t="shared" si="43"/>
        <v>1.9067600698774768E-2</v>
      </c>
      <c r="BH147" s="29"/>
    </row>
    <row r="148" spans="1:60" x14ac:dyDescent="0.25">
      <c r="A148" s="1">
        <v>46238</v>
      </c>
      <c r="B148" s="33">
        <v>44.94</v>
      </c>
      <c r="C148" s="33">
        <v>105.76</v>
      </c>
      <c r="D148" s="15">
        <v>2.4507085898350001E-3</v>
      </c>
      <c r="E148" s="15">
        <v>2.9354691785926199E-3</v>
      </c>
      <c r="F148" s="33">
        <v>0</v>
      </c>
      <c r="G148" s="33">
        <v>0.94043999999999905</v>
      </c>
      <c r="H148" s="33">
        <v>0</v>
      </c>
      <c r="I148" s="33">
        <v>1.9970399999999999</v>
      </c>
      <c r="J148" s="33">
        <v>0</v>
      </c>
      <c r="K148" s="33">
        <v>0</v>
      </c>
      <c r="L148" s="33">
        <v>44.94</v>
      </c>
      <c r="M148" s="33">
        <v>105.76</v>
      </c>
      <c r="N148" s="34">
        <v>2.35336003560302</v>
      </c>
      <c r="O148" s="34">
        <v>2.3475193892851398</v>
      </c>
      <c r="P148" s="34">
        <v>2.3506383300456402</v>
      </c>
      <c r="Q148" s="34">
        <v>2.3491422566931401</v>
      </c>
      <c r="R148" s="33">
        <v>105.497521354474</v>
      </c>
      <c r="S148" s="33">
        <v>105.610613812918</v>
      </c>
      <c r="T148" s="33">
        <v>105.56684512105301</v>
      </c>
      <c r="U148" s="15">
        <v>-2.4849177336334401E-3</v>
      </c>
      <c r="V148" s="15">
        <v>-1.41350028993154E-3</v>
      </c>
      <c r="W148" s="15">
        <v>-1.8280207857572599E-3</v>
      </c>
      <c r="X148" s="34">
        <v>2.35336003560302</v>
      </c>
      <c r="Y148" s="34">
        <v>2.3475193892851398</v>
      </c>
      <c r="Z148" s="34">
        <v>2.3506383300456402</v>
      </c>
      <c r="AA148" s="34">
        <v>2.3491422566931401</v>
      </c>
      <c r="AB148" s="33">
        <v>105.497521354474</v>
      </c>
      <c r="AC148" s="33">
        <v>105.610613812918</v>
      </c>
      <c r="AD148" s="33">
        <v>105.56684512105301</v>
      </c>
      <c r="AE148" s="15">
        <v>-2.4849177336334401E-3</v>
      </c>
      <c r="AF148" s="15">
        <v>-1.41350028993154E-3</v>
      </c>
      <c r="AG148" s="15">
        <v>-1.8280207857572599E-3</v>
      </c>
      <c r="AI148" s="12"/>
      <c r="AJ148">
        <f t="shared" si="26"/>
        <v>1</v>
      </c>
      <c r="AK148">
        <f t="shared" si="27"/>
        <v>0</v>
      </c>
      <c r="AL148">
        <f t="shared" si="34"/>
        <v>1</v>
      </c>
      <c r="AM148">
        <f t="shared" si="24"/>
        <v>1</v>
      </c>
      <c r="AN148">
        <f t="shared" si="35"/>
        <v>1</v>
      </c>
      <c r="AO148" s="28">
        <f t="shared" si="28"/>
        <v>2.4507085898350001E-3</v>
      </c>
      <c r="AP148" s="28">
        <f t="shared" si="29"/>
        <v>-2.9354691785926199E-3</v>
      </c>
      <c r="AQ148" s="28">
        <f t="shared" si="36"/>
        <v>-4.8476058875761979E-4</v>
      </c>
      <c r="AR148" s="29">
        <f t="shared" si="37"/>
        <v>1.2249187497556038E-2</v>
      </c>
      <c r="AT148" s="12"/>
      <c r="AU148">
        <f t="shared" si="30"/>
        <v>0</v>
      </c>
      <c r="AV148">
        <f t="shared" si="31"/>
        <v>1</v>
      </c>
      <c r="AW148">
        <f t="shared" si="38"/>
        <v>0</v>
      </c>
      <c r="AX148">
        <f t="shared" si="25"/>
        <v>1</v>
      </c>
      <c r="AY148">
        <f t="shared" si="39"/>
        <v>0</v>
      </c>
      <c r="AZ148" s="28">
        <f t="shared" si="32"/>
        <v>0</v>
      </c>
      <c r="BA148" s="28">
        <f t="shared" si="33"/>
        <v>0</v>
      </c>
      <c r="BB148" s="28">
        <f t="shared" si="40"/>
        <v>0</v>
      </c>
      <c r="BC148" s="29">
        <f t="shared" si="41"/>
        <v>6.3336526124611082E-3</v>
      </c>
      <c r="BE148" s="29">
        <f t="shared" si="42"/>
        <v>-4.8476058875761979E-4</v>
      </c>
      <c r="BF148" s="29">
        <f t="shared" si="43"/>
        <v>1.8582840110017148E-2</v>
      </c>
      <c r="BH148" s="29"/>
    </row>
    <row r="149" spans="1:60" x14ac:dyDescent="0.25">
      <c r="A149" s="1">
        <v>46239</v>
      </c>
      <c r="B149" s="33">
        <v>44.98</v>
      </c>
      <c r="C149" s="33">
        <v>105.82</v>
      </c>
      <c r="D149" s="15">
        <v>8.8967977398644903E-4</v>
      </c>
      <c r="E149" s="15">
        <v>5.6716137260940497E-4</v>
      </c>
      <c r="F149" s="33">
        <v>0</v>
      </c>
      <c r="G149" s="33">
        <v>0.94043999999999905</v>
      </c>
      <c r="H149" s="33">
        <v>0</v>
      </c>
      <c r="I149" s="33">
        <v>1.9970399999999999</v>
      </c>
      <c r="J149" s="33">
        <v>0</v>
      </c>
      <c r="K149" s="33">
        <v>0</v>
      </c>
      <c r="L149" s="33">
        <v>44.98</v>
      </c>
      <c r="M149" s="33">
        <v>105.82</v>
      </c>
      <c r="N149" s="34">
        <v>2.35260115606936</v>
      </c>
      <c r="O149" s="34">
        <v>2.3475193892851398</v>
      </c>
      <c r="P149" s="34">
        <v>2.3511312616171001</v>
      </c>
      <c r="Q149" s="34">
        <v>2.3494177590630199</v>
      </c>
      <c r="R149" s="33">
        <v>105.591422130045</v>
      </c>
      <c r="S149" s="33">
        <v>105.731712085452</v>
      </c>
      <c r="T149" s="33">
        <v>105.66441870605701</v>
      </c>
      <c r="U149" s="15">
        <v>-2.1623993322562401E-3</v>
      </c>
      <c r="V149" s="15">
        <v>-8.3466986678946997E-4</v>
      </c>
      <c r="W149" s="15">
        <v>-1.4713265682737601E-3</v>
      </c>
      <c r="X149" s="34">
        <v>2.35260115606936</v>
      </c>
      <c r="Y149" s="34">
        <v>2.3475193892851398</v>
      </c>
      <c r="Z149" s="34">
        <v>2.3511312616171001</v>
      </c>
      <c r="AA149" s="34">
        <v>2.3494177590630199</v>
      </c>
      <c r="AB149" s="33">
        <v>105.591422130045</v>
      </c>
      <c r="AC149" s="33">
        <v>105.731712085452</v>
      </c>
      <c r="AD149" s="33">
        <v>105.66441870605701</v>
      </c>
      <c r="AE149" s="15">
        <v>-2.1623993322562401E-3</v>
      </c>
      <c r="AF149" s="15">
        <v>-8.3466986678946997E-4</v>
      </c>
      <c r="AG149" s="15">
        <v>-1.4713265682737601E-3</v>
      </c>
      <c r="AI149" s="12"/>
      <c r="AJ149">
        <f t="shared" si="26"/>
        <v>1</v>
      </c>
      <c r="AK149">
        <f t="shared" si="27"/>
        <v>0</v>
      </c>
      <c r="AL149">
        <f t="shared" si="34"/>
        <v>1</v>
      </c>
      <c r="AM149">
        <f t="shared" ref="AM149:AM176" si="44">IF(F150+H150&gt;0,0,1)</f>
        <v>1</v>
      </c>
      <c r="AN149">
        <f t="shared" si="35"/>
        <v>1</v>
      </c>
      <c r="AO149" s="28">
        <f t="shared" si="28"/>
        <v>8.8967977398644903E-4</v>
      </c>
      <c r="AP149" s="28">
        <f t="shared" si="29"/>
        <v>-5.6716137260940497E-4</v>
      </c>
      <c r="AQ149" s="28">
        <f t="shared" si="36"/>
        <v>3.2251840137704406E-4</v>
      </c>
      <c r="AR149" s="29">
        <f t="shared" si="37"/>
        <v>1.2571705898933081E-2</v>
      </c>
      <c r="AT149" s="12"/>
      <c r="AU149">
        <f t="shared" si="30"/>
        <v>0</v>
      </c>
      <c r="AV149">
        <f t="shared" si="31"/>
        <v>1</v>
      </c>
      <c r="AW149">
        <f t="shared" si="38"/>
        <v>0</v>
      </c>
      <c r="AX149">
        <f t="shared" ref="AX149:AX176" si="45">IF(F150+H150&gt;0,0,1)</f>
        <v>1</v>
      </c>
      <c r="AY149">
        <f t="shared" si="39"/>
        <v>0</v>
      </c>
      <c r="AZ149" s="28">
        <f t="shared" si="32"/>
        <v>0</v>
      </c>
      <c r="BA149" s="28">
        <f t="shared" si="33"/>
        <v>0</v>
      </c>
      <c r="BB149" s="28">
        <f t="shared" si="40"/>
        <v>0</v>
      </c>
      <c r="BC149" s="29">
        <f t="shared" si="41"/>
        <v>6.3336526124611082E-3</v>
      </c>
      <c r="BE149" s="29">
        <f t="shared" si="42"/>
        <v>3.2251840137704406E-4</v>
      </c>
      <c r="BF149" s="29">
        <f t="shared" si="43"/>
        <v>1.8905358511394191E-2</v>
      </c>
      <c r="BH149" s="29"/>
    </row>
    <row r="150" spans="1:60" x14ac:dyDescent="0.25">
      <c r="A150" s="1">
        <v>46240</v>
      </c>
      <c r="B150" s="33">
        <v>44.94</v>
      </c>
      <c r="C150" s="33">
        <v>105.66</v>
      </c>
      <c r="D150" s="15">
        <v>-8.8967977398647798E-4</v>
      </c>
      <c r="E150" s="15">
        <v>-1.5131457398158601E-3</v>
      </c>
      <c r="F150" s="33">
        <v>0</v>
      </c>
      <c r="G150" s="33">
        <v>0.94043999999999905</v>
      </c>
      <c r="H150" s="33">
        <v>0</v>
      </c>
      <c r="I150" s="33">
        <v>1.9970399999999999</v>
      </c>
      <c r="J150" s="33">
        <v>0</v>
      </c>
      <c r="K150" s="33">
        <v>0</v>
      </c>
      <c r="L150" s="33">
        <v>44.94</v>
      </c>
      <c r="M150" s="33">
        <v>105.66</v>
      </c>
      <c r="N150" s="34">
        <v>2.3511348464619402</v>
      </c>
      <c r="O150" s="34">
        <v>2.3475193892851398</v>
      </c>
      <c r="P150" s="34">
        <v>2.3514989835514299</v>
      </c>
      <c r="Q150" s="34">
        <v>2.3495870151073102</v>
      </c>
      <c r="R150" s="33">
        <v>105.497521354474</v>
      </c>
      <c r="S150" s="33">
        <v>105.65983889707201</v>
      </c>
      <c r="T150" s="33">
        <v>105.582834092292</v>
      </c>
      <c r="U150" s="15">
        <v>-1.5389333664270501E-3</v>
      </c>
      <c r="V150" s="15">
        <v>-1.5247307428834301E-6</v>
      </c>
      <c r="W150" s="15">
        <v>-7.3058962185855501E-4</v>
      </c>
      <c r="X150" s="34">
        <v>2.3511348464619402</v>
      </c>
      <c r="Y150" s="34">
        <v>2.3475193892851398</v>
      </c>
      <c r="Z150" s="34">
        <v>2.3514989835514299</v>
      </c>
      <c r="AA150" s="34">
        <v>2.3495870151073102</v>
      </c>
      <c r="AB150" s="33">
        <v>105.497521354474</v>
      </c>
      <c r="AC150" s="33">
        <v>105.65983889707201</v>
      </c>
      <c r="AD150" s="33">
        <v>105.582834092292</v>
      </c>
      <c r="AE150" s="15">
        <v>-1.5389333664270501E-3</v>
      </c>
      <c r="AF150" s="15">
        <v>-1.5247307428834301E-6</v>
      </c>
      <c r="AG150" s="15">
        <v>-7.3058962185855501E-4</v>
      </c>
      <c r="AI150" s="12"/>
      <c r="AJ150">
        <f t="shared" ref="AJ150:AJ176" si="46">IF($AG150&lt;AI$21,1,0)</f>
        <v>0</v>
      </c>
      <c r="AK150">
        <f t="shared" ref="AK150:AK176" si="47">IF($AG150&gt;AI$22,1,0)</f>
        <v>0</v>
      </c>
      <c r="AL150">
        <f t="shared" si="34"/>
        <v>1</v>
      </c>
      <c r="AM150">
        <f t="shared" si="44"/>
        <v>1</v>
      </c>
      <c r="AN150">
        <f t="shared" si="35"/>
        <v>1</v>
      </c>
      <c r="AO150" s="28">
        <f t="shared" ref="AO150:AO176" si="48">AN150*D150</f>
        <v>-8.8967977398647798E-4</v>
      </c>
      <c r="AP150" s="28">
        <f t="shared" ref="AP150:AP176" si="49">-AN150*$E150</f>
        <v>1.5131457398158601E-3</v>
      </c>
      <c r="AQ150" s="28">
        <f t="shared" si="36"/>
        <v>6.234659658293821E-4</v>
      </c>
      <c r="AR150" s="29">
        <f t="shared" si="37"/>
        <v>1.3195171864762463E-2</v>
      </c>
      <c r="AT150" s="12"/>
      <c r="AU150">
        <f t="shared" ref="AU150:AU176" si="50">IF($AG150&gt;AT$21,1,0)</f>
        <v>0</v>
      </c>
      <c r="AV150">
        <f t="shared" ref="AV150:AV176" si="51">IF($AG150&lt;AT$22,1,0)</f>
        <v>1</v>
      </c>
      <c r="AW150">
        <f t="shared" si="38"/>
        <v>0</v>
      </c>
      <c r="AX150">
        <f t="shared" si="45"/>
        <v>1</v>
      </c>
      <c r="AY150">
        <f t="shared" si="39"/>
        <v>0</v>
      </c>
      <c r="AZ150" s="28">
        <f t="shared" ref="AZ150:AZ176" si="52">-AY150*D150</f>
        <v>0</v>
      </c>
      <c r="BA150" s="28">
        <f t="shared" ref="BA150:BA176" si="53">AY150*$E150</f>
        <v>0</v>
      </c>
      <c r="BB150" s="28">
        <f t="shared" si="40"/>
        <v>0</v>
      </c>
      <c r="BC150" s="29">
        <f t="shared" si="41"/>
        <v>6.3336526124611082E-3</v>
      </c>
      <c r="BE150" s="29">
        <f t="shared" si="42"/>
        <v>6.234659658293821E-4</v>
      </c>
      <c r="BF150" s="29">
        <f t="shared" si="43"/>
        <v>1.9528824477223573E-2</v>
      </c>
      <c r="BH150" s="29"/>
    </row>
    <row r="151" spans="1:60" x14ac:dyDescent="0.25">
      <c r="A151" s="1">
        <v>46241</v>
      </c>
      <c r="B151" s="33">
        <v>45.06</v>
      </c>
      <c r="C151" s="33">
        <v>105.94</v>
      </c>
      <c r="D151" s="15">
        <v>2.6666682469152899E-3</v>
      </c>
      <c r="E151" s="15">
        <v>2.6465043802109201E-3</v>
      </c>
      <c r="F151" s="33">
        <v>0</v>
      </c>
      <c r="G151" s="33">
        <v>0.94043999999999905</v>
      </c>
      <c r="H151" s="33">
        <v>0</v>
      </c>
      <c r="I151" s="33">
        <v>1.9970399999999999</v>
      </c>
      <c r="J151" s="33">
        <v>0</v>
      </c>
      <c r="K151" s="33">
        <v>0</v>
      </c>
      <c r="L151" s="33">
        <v>45.06</v>
      </c>
      <c r="M151" s="33">
        <v>105.94</v>
      </c>
      <c r="N151" s="34">
        <v>2.3510874389702598</v>
      </c>
      <c r="O151" s="34">
        <v>2.3475193892851398</v>
      </c>
      <c r="P151" s="34">
        <v>2.3514774088919799</v>
      </c>
      <c r="Q151" s="34">
        <v>2.3496512684787398</v>
      </c>
      <c r="R151" s="33">
        <v>105.779223681188</v>
      </c>
      <c r="S151" s="33">
        <v>105.958544198827</v>
      </c>
      <c r="T151" s="33">
        <v>105.872390900735</v>
      </c>
      <c r="U151" s="15">
        <v>-1.5187694997224901E-3</v>
      </c>
      <c r="V151" s="15">
        <v>1.7502903519170401E-4</v>
      </c>
      <c r="W151" s="15">
        <v>-6.3838665219909303E-4</v>
      </c>
      <c r="X151" s="34">
        <v>2.3510874389702598</v>
      </c>
      <c r="Y151" s="34">
        <v>2.3475193892851398</v>
      </c>
      <c r="Z151" s="34">
        <v>2.3514774088919799</v>
      </c>
      <c r="AA151" s="34">
        <v>2.3496512684787398</v>
      </c>
      <c r="AB151" s="33">
        <v>105.779223681188</v>
      </c>
      <c r="AC151" s="33">
        <v>105.958544198827</v>
      </c>
      <c r="AD151" s="33">
        <v>105.872390900735</v>
      </c>
      <c r="AE151" s="15">
        <v>-1.5187694997224901E-3</v>
      </c>
      <c r="AF151" s="15">
        <v>1.7502903519170401E-4</v>
      </c>
      <c r="AG151" s="15">
        <v>-6.3838665219909303E-4</v>
      </c>
      <c r="AI151" s="12"/>
      <c r="AJ151">
        <f t="shared" si="46"/>
        <v>0</v>
      </c>
      <c r="AK151">
        <f t="shared" si="47"/>
        <v>0</v>
      </c>
      <c r="AL151">
        <f t="shared" ref="AL151:AL176" si="54">AN151</f>
        <v>1</v>
      </c>
      <c r="AM151">
        <f t="shared" si="44"/>
        <v>1</v>
      </c>
      <c r="AN151">
        <f t="shared" ref="AN151:AN176" si="55">IF(AJ150,1,IF(AK150,0,AL150))*AM150</f>
        <v>1</v>
      </c>
      <c r="AO151" s="28">
        <f t="shared" si="48"/>
        <v>2.6666682469152899E-3</v>
      </c>
      <c r="AP151" s="28">
        <f t="shared" si="49"/>
        <v>-2.6465043802109201E-3</v>
      </c>
      <c r="AQ151" s="28">
        <f t="shared" ref="AQ151:AQ176" si="56">AO151+AP151</f>
        <v>2.0163866704369857E-5</v>
      </c>
      <c r="AR151" s="29">
        <f t="shared" ref="AR151:AR176" si="57">AR150+AQ151</f>
        <v>1.3215335731466833E-2</v>
      </c>
      <c r="AT151" s="12"/>
      <c r="AU151">
        <f t="shared" si="50"/>
        <v>0</v>
      </c>
      <c r="AV151">
        <f t="shared" si="51"/>
        <v>1</v>
      </c>
      <c r="AW151">
        <f t="shared" ref="AW151:AW176" si="58">AY151</f>
        <v>0</v>
      </c>
      <c r="AX151">
        <f t="shared" si="45"/>
        <v>1</v>
      </c>
      <c r="AY151">
        <f t="shared" ref="AY151:AY176" si="59">IF(AU150,1,IF(AV150,0,AW150))*AX150</f>
        <v>0</v>
      </c>
      <c r="AZ151" s="28">
        <f t="shared" si="52"/>
        <v>0</v>
      </c>
      <c r="BA151" s="28">
        <f t="shared" si="53"/>
        <v>0</v>
      </c>
      <c r="BB151" s="28">
        <f t="shared" ref="BB151:BB176" si="60">AZ151+BA151</f>
        <v>0</v>
      </c>
      <c r="BC151" s="29">
        <f t="shared" ref="BC151:BC176" si="61">BC150+BB151</f>
        <v>6.3336526124611082E-3</v>
      </c>
      <c r="BE151" s="29">
        <f t="shared" ref="BE151:BE176" si="62">AQ151+BB151</f>
        <v>2.0163866704369857E-5</v>
      </c>
      <c r="BF151" s="29">
        <f t="shared" ref="BF151:BF176" si="63">BF150+BE151</f>
        <v>1.9548988343927945E-2</v>
      </c>
      <c r="BH151" s="29"/>
    </row>
    <row r="152" spans="1:60" x14ac:dyDescent="0.25">
      <c r="A152" s="1">
        <v>46244</v>
      </c>
      <c r="B152" s="33">
        <v>45.03</v>
      </c>
      <c r="C152" s="33">
        <v>105.85</v>
      </c>
      <c r="D152" s="15">
        <v>-6.6600069061814495E-4</v>
      </c>
      <c r="E152" s="15">
        <v>-8.4989853550647497E-4</v>
      </c>
      <c r="F152" s="33">
        <v>0</v>
      </c>
      <c r="G152" s="33">
        <v>0.94043999999999905</v>
      </c>
      <c r="H152" s="33">
        <v>0</v>
      </c>
      <c r="I152" s="33">
        <v>1.9970399999999999</v>
      </c>
      <c r="J152" s="33">
        <v>0</v>
      </c>
      <c r="K152" s="33">
        <v>0</v>
      </c>
      <c r="L152" s="33">
        <v>45.03</v>
      </c>
      <c r="M152" s="33">
        <v>105.85</v>
      </c>
      <c r="N152" s="34">
        <v>2.35065511880968</v>
      </c>
      <c r="O152" s="34">
        <v>2.3475193892851398</v>
      </c>
      <c r="P152" s="34">
        <v>2.3515362570679299</v>
      </c>
      <c r="Q152" s="34">
        <v>2.3498146787890102</v>
      </c>
      <c r="R152" s="33">
        <v>105.70879809951001</v>
      </c>
      <c r="S152" s="33">
        <v>105.887027722406</v>
      </c>
      <c r="T152" s="33">
        <v>105.80479661959799</v>
      </c>
      <c r="U152" s="15">
        <v>-1.3348716548340701E-3</v>
      </c>
      <c r="V152" s="15">
        <v>3.4975198416515902E-4</v>
      </c>
      <c r="W152" s="15">
        <v>-4.27142515182406E-4</v>
      </c>
      <c r="X152" s="34">
        <v>2.35065511880968</v>
      </c>
      <c r="Y152" s="34">
        <v>2.3475193892851398</v>
      </c>
      <c r="Z152" s="34">
        <v>2.3515362570679299</v>
      </c>
      <c r="AA152" s="34">
        <v>2.3498146787890102</v>
      </c>
      <c r="AB152" s="33">
        <v>105.70879809951001</v>
      </c>
      <c r="AC152" s="33">
        <v>105.887027722406</v>
      </c>
      <c r="AD152" s="33">
        <v>105.80479661959799</v>
      </c>
      <c r="AE152" s="15">
        <v>-1.3348716548340701E-3</v>
      </c>
      <c r="AF152" s="15">
        <v>3.4975198416515902E-4</v>
      </c>
      <c r="AG152" s="15">
        <v>-4.27142515182406E-4</v>
      </c>
      <c r="AI152" s="12"/>
      <c r="AJ152">
        <f t="shared" si="46"/>
        <v>0</v>
      </c>
      <c r="AK152">
        <f t="shared" si="47"/>
        <v>0</v>
      </c>
      <c r="AL152">
        <f t="shared" si="54"/>
        <v>1</v>
      </c>
      <c r="AM152">
        <f t="shared" si="44"/>
        <v>1</v>
      </c>
      <c r="AN152">
        <f t="shared" si="55"/>
        <v>1</v>
      </c>
      <c r="AO152" s="28">
        <f t="shared" si="48"/>
        <v>-6.6600069061814495E-4</v>
      </c>
      <c r="AP152" s="28">
        <f t="shared" si="49"/>
        <v>8.4989853550647497E-4</v>
      </c>
      <c r="AQ152" s="28">
        <f t="shared" si="56"/>
        <v>1.8389784488833001E-4</v>
      </c>
      <c r="AR152" s="29">
        <f t="shared" si="57"/>
        <v>1.3399233576355163E-2</v>
      </c>
      <c r="AT152" s="12"/>
      <c r="AU152">
        <f t="shared" si="50"/>
        <v>0</v>
      </c>
      <c r="AV152">
        <f t="shared" si="51"/>
        <v>1</v>
      </c>
      <c r="AW152">
        <f t="shared" si="58"/>
        <v>0</v>
      </c>
      <c r="AX152">
        <f t="shared" si="45"/>
        <v>1</v>
      </c>
      <c r="AY152">
        <f t="shared" si="59"/>
        <v>0</v>
      </c>
      <c r="AZ152" s="28">
        <f t="shared" si="52"/>
        <v>0</v>
      </c>
      <c r="BA152" s="28">
        <f t="shared" si="53"/>
        <v>0</v>
      </c>
      <c r="BB152" s="28">
        <f t="shared" si="60"/>
        <v>0</v>
      </c>
      <c r="BC152" s="29">
        <f t="shared" si="61"/>
        <v>6.3336526124611082E-3</v>
      </c>
      <c r="BE152" s="29">
        <f t="shared" si="62"/>
        <v>1.8389784488833001E-4</v>
      </c>
      <c r="BF152" s="29">
        <f t="shared" si="63"/>
        <v>1.9732886188816273E-2</v>
      </c>
      <c r="BH152" s="29"/>
    </row>
    <row r="153" spans="1:60" x14ac:dyDescent="0.25">
      <c r="A153" s="1">
        <v>46245</v>
      </c>
      <c r="B153" s="33">
        <v>45.07</v>
      </c>
      <c r="C153" s="33">
        <v>105.93</v>
      </c>
      <c r="D153" s="15">
        <v>8.8790238907660599E-4</v>
      </c>
      <c r="E153" s="15">
        <v>7.5550102753079503E-4</v>
      </c>
      <c r="F153" s="33">
        <v>0</v>
      </c>
      <c r="G153" s="33">
        <v>0.94043999999999905</v>
      </c>
      <c r="H153" s="33">
        <v>0</v>
      </c>
      <c r="I153" s="33">
        <v>1.9970399999999999</v>
      </c>
      <c r="J153" s="33">
        <v>0</v>
      </c>
      <c r="K153" s="33">
        <v>0</v>
      </c>
      <c r="L153" s="33">
        <v>45.07</v>
      </c>
      <c r="M153" s="33">
        <v>105.93</v>
      </c>
      <c r="N153" s="34">
        <v>2.3503439094741498</v>
      </c>
      <c r="O153" s="34">
        <v>2.3475193892851398</v>
      </c>
      <c r="P153" s="34">
        <v>2.3514852632293599</v>
      </c>
      <c r="Q153" s="34">
        <v>2.34998493548721</v>
      </c>
      <c r="R153" s="33">
        <v>105.80269887508101</v>
      </c>
      <c r="S153" s="33">
        <v>105.983739106051</v>
      </c>
      <c r="T153" s="33">
        <v>105.906147573021</v>
      </c>
      <c r="U153" s="15">
        <v>-1.20247029328816E-3</v>
      </c>
      <c r="V153" s="15">
        <v>5.0717907607542999E-4</v>
      </c>
      <c r="W153" s="15">
        <v>-2.25196949180479E-4</v>
      </c>
      <c r="X153" s="34">
        <v>2.3503439094741498</v>
      </c>
      <c r="Y153" s="34">
        <v>2.3475193892851398</v>
      </c>
      <c r="Z153" s="34">
        <v>2.3514852632293599</v>
      </c>
      <c r="AA153" s="34">
        <v>2.34998493548721</v>
      </c>
      <c r="AB153" s="33">
        <v>105.80269887508101</v>
      </c>
      <c r="AC153" s="33">
        <v>105.983739106051</v>
      </c>
      <c r="AD153" s="33">
        <v>105.906147573021</v>
      </c>
      <c r="AE153" s="15">
        <v>-1.20247029328816E-3</v>
      </c>
      <c r="AF153" s="15">
        <v>5.0717907607542999E-4</v>
      </c>
      <c r="AG153" s="15">
        <v>-2.25196949180479E-4</v>
      </c>
      <c r="AI153" s="12"/>
      <c r="AJ153">
        <f t="shared" si="46"/>
        <v>0</v>
      </c>
      <c r="AK153">
        <f t="shared" si="47"/>
        <v>0</v>
      </c>
      <c r="AL153">
        <f t="shared" si="54"/>
        <v>1</v>
      </c>
      <c r="AM153">
        <f t="shared" si="44"/>
        <v>1</v>
      </c>
      <c r="AN153">
        <f t="shared" si="55"/>
        <v>1</v>
      </c>
      <c r="AO153" s="28">
        <f t="shared" si="48"/>
        <v>8.8790238907660599E-4</v>
      </c>
      <c r="AP153" s="28">
        <f t="shared" si="49"/>
        <v>-7.5550102753079503E-4</v>
      </c>
      <c r="AQ153" s="28">
        <f t="shared" si="56"/>
        <v>1.3240136154581096E-4</v>
      </c>
      <c r="AR153" s="29">
        <f t="shared" si="57"/>
        <v>1.3531634937900975E-2</v>
      </c>
      <c r="AT153" s="12"/>
      <c r="AU153">
        <f t="shared" si="50"/>
        <v>0</v>
      </c>
      <c r="AV153">
        <f t="shared" si="51"/>
        <v>1</v>
      </c>
      <c r="AW153">
        <f t="shared" si="58"/>
        <v>0</v>
      </c>
      <c r="AX153">
        <f t="shared" si="45"/>
        <v>1</v>
      </c>
      <c r="AY153">
        <f t="shared" si="59"/>
        <v>0</v>
      </c>
      <c r="AZ153" s="28">
        <f t="shared" si="52"/>
        <v>0</v>
      </c>
      <c r="BA153" s="28">
        <f t="shared" si="53"/>
        <v>0</v>
      </c>
      <c r="BB153" s="28">
        <f t="shared" si="60"/>
        <v>0</v>
      </c>
      <c r="BC153" s="29">
        <f t="shared" si="61"/>
        <v>6.3336526124611082E-3</v>
      </c>
      <c r="BE153" s="29">
        <f t="shared" si="62"/>
        <v>1.3240136154581096E-4</v>
      </c>
      <c r="BF153" s="29">
        <f t="shared" si="63"/>
        <v>1.9865287550362085E-2</v>
      </c>
      <c r="BH153" s="29"/>
    </row>
    <row r="154" spans="1:60" x14ac:dyDescent="0.25">
      <c r="A154" s="1">
        <v>46246</v>
      </c>
      <c r="B154" s="33">
        <v>45.07</v>
      </c>
      <c r="C154" s="33">
        <v>105.98</v>
      </c>
      <c r="D154" s="15">
        <v>0</v>
      </c>
      <c r="E154" s="15">
        <v>4.7189845621123302E-4</v>
      </c>
      <c r="F154" s="33">
        <v>0</v>
      </c>
      <c r="G154" s="33">
        <v>0.94043999999999905</v>
      </c>
      <c r="H154" s="33">
        <v>0</v>
      </c>
      <c r="I154" s="33">
        <v>1.9970399999999999</v>
      </c>
      <c r="J154" s="33">
        <v>0</v>
      </c>
      <c r="K154" s="33">
        <v>0</v>
      </c>
      <c r="L154" s="33">
        <v>45.07</v>
      </c>
      <c r="M154" s="33">
        <v>105.98</v>
      </c>
      <c r="N154" s="34">
        <v>2.3514532948746298</v>
      </c>
      <c r="O154" s="34">
        <v>2.3475193892851398</v>
      </c>
      <c r="P154" s="34">
        <v>2.3515861482723799</v>
      </c>
      <c r="Q154" s="34">
        <v>2.3502131289185701</v>
      </c>
      <c r="R154" s="33">
        <v>105.80269887508101</v>
      </c>
      <c r="S154" s="33">
        <v>105.981440813747</v>
      </c>
      <c r="T154" s="33">
        <v>105.913821042408</v>
      </c>
      <c r="U154" s="15">
        <v>-1.67436874949944E-3</v>
      </c>
      <c r="V154" s="15">
        <v>1.35950552329127E-5</v>
      </c>
      <c r="W154" s="15">
        <v>-6.2464265751101895E-4</v>
      </c>
      <c r="X154" s="34">
        <v>2.3514532948746298</v>
      </c>
      <c r="Y154" s="34">
        <v>2.3475193892851398</v>
      </c>
      <c r="Z154" s="34">
        <v>2.3515861482723799</v>
      </c>
      <c r="AA154" s="34">
        <v>2.3502131289185701</v>
      </c>
      <c r="AB154" s="33">
        <v>105.80269887508101</v>
      </c>
      <c r="AC154" s="33">
        <v>105.981440813747</v>
      </c>
      <c r="AD154" s="33">
        <v>105.913821042408</v>
      </c>
      <c r="AE154" s="15">
        <v>-1.67436874949944E-3</v>
      </c>
      <c r="AF154" s="15">
        <v>1.35950552329127E-5</v>
      </c>
      <c r="AG154" s="15">
        <v>-6.2464265751101895E-4</v>
      </c>
      <c r="AI154" s="12"/>
      <c r="AJ154">
        <f t="shared" si="46"/>
        <v>0</v>
      </c>
      <c r="AK154">
        <f t="shared" si="47"/>
        <v>0</v>
      </c>
      <c r="AL154">
        <f t="shared" si="54"/>
        <v>1</v>
      </c>
      <c r="AM154">
        <f t="shared" si="44"/>
        <v>1</v>
      </c>
      <c r="AN154">
        <f t="shared" si="55"/>
        <v>1</v>
      </c>
      <c r="AO154" s="28">
        <f t="shared" si="48"/>
        <v>0</v>
      </c>
      <c r="AP154" s="28">
        <f t="shared" si="49"/>
        <v>-4.7189845621123302E-4</v>
      </c>
      <c r="AQ154" s="28">
        <f t="shared" si="56"/>
        <v>-4.7189845621123302E-4</v>
      </c>
      <c r="AR154" s="29">
        <f t="shared" si="57"/>
        <v>1.3059736481689741E-2</v>
      </c>
      <c r="AT154" s="12"/>
      <c r="AU154">
        <f t="shared" si="50"/>
        <v>0</v>
      </c>
      <c r="AV154">
        <f t="shared" si="51"/>
        <v>1</v>
      </c>
      <c r="AW154">
        <f t="shared" si="58"/>
        <v>0</v>
      </c>
      <c r="AX154">
        <f t="shared" si="45"/>
        <v>1</v>
      </c>
      <c r="AY154">
        <f t="shared" si="59"/>
        <v>0</v>
      </c>
      <c r="AZ154" s="28">
        <f t="shared" si="52"/>
        <v>0</v>
      </c>
      <c r="BA154" s="28">
        <f t="shared" si="53"/>
        <v>0</v>
      </c>
      <c r="BB154" s="28">
        <f t="shared" si="60"/>
        <v>0</v>
      </c>
      <c r="BC154" s="29">
        <f t="shared" si="61"/>
        <v>6.3336526124611082E-3</v>
      </c>
      <c r="BE154" s="29">
        <f t="shared" si="62"/>
        <v>-4.7189845621123302E-4</v>
      </c>
      <c r="BF154" s="29">
        <f t="shared" si="63"/>
        <v>1.9393389094150851E-2</v>
      </c>
      <c r="BH154" s="29"/>
    </row>
    <row r="155" spans="1:60" x14ac:dyDescent="0.25">
      <c r="A155" s="1">
        <v>46247</v>
      </c>
      <c r="B155" s="33">
        <v>45.15</v>
      </c>
      <c r="C155" s="33">
        <v>106.16</v>
      </c>
      <c r="D155" s="15">
        <v>1.7734431604375699E-3</v>
      </c>
      <c r="E155" s="15">
        <v>1.6969929593358599E-3</v>
      </c>
      <c r="F155" s="33">
        <v>0</v>
      </c>
      <c r="G155" s="33">
        <v>0.94043999999999905</v>
      </c>
      <c r="H155" s="33">
        <v>0</v>
      </c>
      <c r="I155" s="33">
        <v>1.9970399999999999</v>
      </c>
      <c r="J155" s="33">
        <v>0</v>
      </c>
      <c r="K155" s="33">
        <v>0</v>
      </c>
      <c r="L155" s="33">
        <v>45.15</v>
      </c>
      <c r="M155" s="33">
        <v>106.16</v>
      </c>
      <c r="N155" s="34">
        <v>2.3512735326688801</v>
      </c>
      <c r="O155" s="34">
        <v>2.3475193892851398</v>
      </c>
      <c r="P155" s="34">
        <v>2.3516912793170501</v>
      </c>
      <c r="Q155" s="34">
        <v>2.3504056034384</v>
      </c>
      <c r="R155" s="33">
        <v>105.990500426224</v>
      </c>
      <c r="S155" s="33">
        <v>106.17411459449799</v>
      </c>
      <c r="T155" s="33">
        <v>106.112122770673</v>
      </c>
      <c r="U155" s="15">
        <v>-1.5979185483978901E-3</v>
      </c>
      <c r="V155" s="15">
        <v>1.32947025925985E-4</v>
      </c>
      <c r="W155" s="15">
        <v>-4.51092960427384E-4</v>
      </c>
      <c r="X155" s="34">
        <v>2.3512735326688801</v>
      </c>
      <c r="Y155" s="34">
        <v>2.3475193892851398</v>
      </c>
      <c r="Z155" s="34">
        <v>2.3516912793170501</v>
      </c>
      <c r="AA155" s="34">
        <v>2.3504056034384</v>
      </c>
      <c r="AB155" s="33">
        <v>105.990500426224</v>
      </c>
      <c r="AC155" s="33">
        <v>106.17411459449799</v>
      </c>
      <c r="AD155" s="33">
        <v>106.112122770673</v>
      </c>
      <c r="AE155" s="15">
        <v>-1.5979185483978901E-3</v>
      </c>
      <c r="AF155" s="15">
        <v>1.32947025925985E-4</v>
      </c>
      <c r="AG155" s="15">
        <v>-4.51092960427384E-4</v>
      </c>
      <c r="AI155" s="12"/>
      <c r="AJ155">
        <f t="shared" si="46"/>
        <v>0</v>
      </c>
      <c r="AK155">
        <f t="shared" si="47"/>
        <v>0</v>
      </c>
      <c r="AL155">
        <f t="shared" si="54"/>
        <v>1</v>
      </c>
      <c r="AM155">
        <f t="shared" si="44"/>
        <v>1</v>
      </c>
      <c r="AN155">
        <f t="shared" si="55"/>
        <v>1</v>
      </c>
      <c r="AO155" s="28">
        <f t="shared" si="48"/>
        <v>1.7734431604375699E-3</v>
      </c>
      <c r="AP155" s="28">
        <f t="shared" si="49"/>
        <v>-1.6969929593358599E-3</v>
      </c>
      <c r="AQ155" s="28">
        <f t="shared" si="56"/>
        <v>7.645020110170998E-5</v>
      </c>
      <c r="AR155" s="29">
        <f t="shared" si="57"/>
        <v>1.3136186682791451E-2</v>
      </c>
      <c r="AT155" s="12"/>
      <c r="AU155">
        <f t="shared" si="50"/>
        <v>0</v>
      </c>
      <c r="AV155">
        <f t="shared" si="51"/>
        <v>1</v>
      </c>
      <c r="AW155">
        <f t="shared" si="58"/>
        <v>0</v>
      </c>
      <c r="AX155">
        <f t="shared" si="45"/>
        <v>1</v>
      </c>
      <c r="AY155">
        <f t="shared" si="59"/>
        <v>0</v>
      </c>
      <c r="AZ155" s="28">
        <f t="shared" si="52"/>
        <v>0</v>
      </c>
      <c r="BA155" s="28">
        <f t="shared" si="53"/>
        <v>0</v>
      </c>
      <c r="BB155" s="28">
        <f t="shared" si="60"/>
        <v>0</v>
      </c>
      <c r="BC155" s="29">
        <f t="shared" si="61"/>
        <v>6.3336526124611082E-3</v>
      </c>
      <c r="BE155" s="29">
        <f t="shared" si="62"/>
        <v>7.645020110170998E-5</v>
      </c>
      <c r="BF155" s="29">
        <f t="shared" si="63"/>
        <v>1.9469839295252561E-2</v>
      </c>
      <c r="BH155" s="29"/>
    </row>
    <row r="156" spans="1:60" x14ac:dyDescent="0.25">
      <c r="A156" s="1">
        <v>46248</v>
      </c>
      <c r="B156" s="33">
        <v>45.09</v>
      </c>
      <c r="C156" s="33">
        <v>105.86</v>
      </c>
      <c r="D156" s="15">
        <v>-1.32978743000146E-3</v>
      </c>
      <c r="E156" s="15">
        <v>-2.82992359411056E-3</v>
      </c>
      <c r="F156" s="33">
        <v>0</v>
      </c>
      <c r="G156" s="33">
        <v>0.94043999999999905</v>
      </c>
      <c r="H156" s="33">
        <v>0</v>
      </c>
      <c r="I156" s="33">
        <v>1.9970399999999999</v>
      </c>
      <c r="J156" s="33">
        <v>0</v>
      </c>
      <c r="K156" s="33">
        <v>0</v>
      </c>
      <c r="L156" s="33">
        <v>45.09</v>
      </c>
      <c r="M156" s="33">
        <v>105.86</v>
      </c>
      <c r="N156" s="34">
        <v>2.3477489465513401</v>
      </c>
      <c r="O156" s="34">
        <v>2.3475193892851398</v>
      </c>
      <c r="P156" s="34">
        <v>2.35118777753565</v>
      </c>
      <c r="Q156" s="34">
        <v>2.3503883360711</v>
      </c>
      <c r="R156" s="33">
        <v>105.849649262867</v>
      </c>
      <c r="S156" s="33">
        <v>106.037759784405</v>
      </c>
      <c r="T156" s="33">
        <v>105.979788659037</v>
      </c>
      <c r="U156" s="15">
        <v>-9.7782384288926195E-5</v>
      </c>
      <c r="V156" s="15">
        <v>1.6777886305716001E-3</v>
      </c>
      <c r="W156" s="15">
        <v>1.13093647386785E-3</v>
      </c>
      <c r="X156" s="34">
        <v>2.3477489465513401</v>
      </c>
      <c r="Y156" s="34">
        <v>2.3475193892851398</v>
      </c>
      <c r="Z156" s="34">
        <v>2.35118777753565</v>
      </c>
      <c r="AA156" s="34">
        <v>2.3503883360711</v>
      </c>
      <c r="AB156" s="33">
        <v>105.849649262867</v>
      </c>
      <c r="AC156" s="33">
        <v>106.037759784405</v>
      </c>
      <c r="AD156" s="33">
        <v>105.979788659037</v>
      </c>
      <c r="AE156" s="15">
        <v>-9.7782384288926195E-5</v>
      </c>
      <c r="AF156" s="15">
        <v>1.6777886305716001E-3</v>
      </c>
      <c r="AG156" s="15">
        <v>1.13093647386785E-3</v>
      </c>
      <c r="AI156" s="12"/>
      <c r="AJ156">
        <f t="shared" si="46"/>
        <v>0</v>
      </c>
      <c r="AK156">
        <f t="shared" si="47"/>
        <v>1</v>
      </c>
      <c r="AL156">
        <f t="shared" si="54"/>
        <v>1</v>
      </c>
      <c r="AM156">
        <f t="shared" si="44"/>
        <v>1</v>
      </c>
      <c r="AN156">
        <f t="shared" si="55"/>
        <v>1</v>
      </c>
      <c r="AO156" s="28">
        <f t="shared" si="48"/>
        <v>-1.32978743000146E-3</v>
      </c>
      <c r="AP156" s="28">
        <f t="shared" si="49"/>
        <v>2.82992359411056E-3</v>
      </c>
      <c r="AQ156" s="28">
        <f t="shared" si="56"/>
        <v>1.5001361641091E-3</v>
      </c>
      <c r="AR156" s="29">
        <f t="shared" si="57"/>
        <v>1.4636322846900552E-2</v>
      </c>
      <c r="AT156" s="12"/>
      <c r="AU156">
        <f t="shared" si="50"/>
        <v>1</v>
      </c>
      <c r="AV156">
        <f t="shared" si="51"/>
        <v>0</v>
      </c>
      <c r="AW156">
        <f t="shared" si="58"/>
        <v>0</v>
      </c>
      <c r="AX156">
        <f t="shared" si="45"/>
        <v>1</v>
      </c>
      <c r="AY156">
        <f t="shared" si="59"/>
        <v>0</v>
      </c>
      <c r="AZ156" s="28">
        <f t="shared" si="52"/>
        <v>0</v>
      </c>
      <c r="BA156" s="28">
        <f t="shared" si="53"/>
        <v>0</v>
      </c>
      <c r="BB156" s="28">
        <f t="shared" si="60"/>
        <v>0</v>
      </c>
      <c r="BC156" s="29">
        <f t="shared" si="61"/>
        <v>6.3336526124611082E-3</v>
      </c>
      <c r="BE156" s="29">
        <f t="shared" si="62"/>
        <v>1.5001361641091E-3</v>
      </c>
      <c r="BF156" s="29">
        <f t="shared" si="63"/>
        <v>2.0969975459361662E-2</v>
      </c>
      <c r="BH156" s="29"/>
    </row>
    <row r="157" spans="1:60" x14ac:dyDescent="0.25">
      <c r="A157" s="1">
        <v>46251</v>
      </c>
      <c r="B157" s="33">
        <v>44.92</v>
      </c>
      <c r="C157" s="33">
        <v>105.56</v>
      </c>
      <c r="D157" s="15">
        <v>-3.7773625627504398E-3</v>
      </c>
      <c r="E157" s="15">
        <v>-2.8379547947181998E-3</v>
      </c>
      <c r="F157" s="33">
        <v>0</v>
      </c>
      <c r="G157" s="33">
        <v>0.94043999999999905</v>
      </c>
      <c r="H157" s="33">
        <v>0</v>
      </c>
      <c r="I157" s="33">
        <v>1.9970399999999999</v>
      </c>
      <c r="J157" s="33">
        <v>0</v>
      </c>
      <c r="K157" s="33">
        <v>0</v>
      </c>
      <c r="L157" s="33">
        <v>44.92</v>
      </c>
      <c r="M157" s="33">
        <v>105.56</v>
      </c>
      <c r="N157" s="34">
        <v>2.3499554764024899</v>
      </c>
      <c r="O157" s="34">
        <v>2.3475193892851398</v>
      </c>
      <c r="P157" s="34">
        <v>2.3509613755885699</v>
      </c>
      <c r="Q157" s="34">
        <v>2.3504986429892001</v>
      </c>
      <c r="R157" s="33">
        <v>105.45057096668801</v>
      </c>
      <c r="S157" s="33">
        <v>105.61535496690099</v>
      </c>
      <c r="T157" s="33">
        <v>105.579444056314</v>
      </c>
      <c r="U157" s="15">
        <v>-1.0371901523211001E-3</v>
      </c>
      <c r="V157" s="15">
        <v>5.2425595002152895E-4</v>
      </c>
      <c r="W157" s="15">
        <v>1.8418213097087899E-4</v>
      </c>
      <c r="X157" s="34">
        <v>2.3499554764024899</v>
      </c>
      <c r="Y157" s="34">
        <v>2.3475193892851398</v>
      </c>
      <c r="Z157" s="34">
        <v>2.3509613755885699</v>
      </c>
      <c r="AA157" s="34">
        <v>2.3504986429892001</v>
      </c>
      <c r="AB157" s="33">
        <v>105.45057096668801</v>
      </c>
      <c r="AC157" s="33">
        <v>105.61535496690099</v>
      </c>
      <c r="AD157" s="33">
        <v>105.579444056314</v>
      </c>
      <c r="AE157" s="15">
        <v>-1.0371901523211001E-3</v>
      </c>
      <c r="AF157" s="15">
        <v>5.2425595002152895E-4</v>
      </c>
      <c r="AG157" s="15">
        <v>1.8418213097087899E-4</v>
      </c>
      <c r="AI157" s="12"/>
      <c r="AJ157">
        <f t="shared" si="46"/>
        <v>0</v>
      </c>
      <c r="AK157">
        <f t="shared" si="47"/>
        <v>1</v>
      </c>
      <c r="AL157">
        <f t="shared" si="54"/>
        <v>0</v>
      </c>
      <c r="AM157">
        <f t="shared" si="44"/>
        <v>1</v>
      </c>
      <c r="AN157">
        <f t="shared" si="55"/>
        <v>0</v>
      </c>
      <c r="AO157" s="28">
        <f t="shared" si="48"/>
        <v>0</v>
      </c>
      <c r="AP157" s="28">
        <f t="shared" si="49"/>
        <v>0</v>
      </c>
      <c r="AQ157" s="28">
        <f t="shared" si="56"/>
        <v>0</v>
      </c>
      <c r="AR157" s="29">
        <f t="shared" si="57"/>
        <v>1.4636322846900552E-2</v>
      </c>
      <c r="AT157" s="12"/>
      <c r="AU157">
        <f t="shared" si="50"/>
        <v>0</v>
      </c>
      <c r="AV157">
        <f t="shared" si="51"/>
        <v>0</v>
      </c>
      <c r="AW157">
        <f t="shared" si="58"/>
        <v>1</v>
      </c>
      <c r="AX157">
        <f t="shared" si="45"/>
        <v>1</v>
      </c>
      <c r="AY157">
        <f t="shared" si="59"/>
        <v>1</v>
      </c>
      <c r="AZ157" s="28">
        <f t="shared" si="52"/>
        <v>3.7773625627504398E-3</v>
      </c>
      <c r="BA157" s="28">
        <f t="shared" si="53"/>
        <v>-2.8379547947181998E-3</v>
      </c>
      <c r="BB157" s="28">
        <f t="shared" si="60"/>
        <v>9.3940776803223998E-4</v>
      </c>
      <c r="BC157" s="29">
        <f t="shared" si="61"/>
        <v>7.2730603804933482E-3</v>
      </c>
      <c r="BE157" s="29">
        <f t="shared" si="62"/>
        <v>9.3940776803223998E-4</v>
      </c>
      <c r="BF157" s="29">
        <f t="shared" si="63"/>
        <v>2.19093832273939E-2</v>
      </c>
      <c r="BH157" s="29"/>
    </row>
    <row r="158" spans="1:60" x14ac:dyDescent="0.25">
      <c r="A158" s="1">
        <v>46252</v>
      </c>
      <c r="B158" s="33">
        <v>44.84</v>
      </c>
      <c r="C158" s="33">
        <v>105.37</v>
      </c>
      <c r="D158" s="15">
        <v>-1.78253166628319E-3</v>
      </c>
      <c r="E158" s="15">
        <v>-1.8015460236870901E-3</v>
      </c>
      <c r="F158" s="33">
        <v>0</v>
      </c>
      <c r="G158" s="33">
        <v>0.94043999999999905</v>
      </c>
      <c r="H158" s="33">
        <v>0</v>
      </c>
      <c r="I158" s="33">
        <v>1.9970399999999999</v>
      </c>
      <c r="J158" s="33">
        <v>0</v>
      </c>
      <c r="K158" s="33">
        <v>0</v>
      </c>
      <c r="L158" s="33">
        <v>44.84</v>
      </c>
      <c r="M158" s="33">
        <v>105.37</v>
      </c>
      <c r="N158" s="34">
        <v>2.3499107939339798</v>
      </c>
      <c r="O158" s="34">
        <v>2.3475193892851398</v>
      </c>
      <c r="P158" s="34">
        <v>2.3506164514216699</v>
      </c>
      <c r="Q158" s="34">
        <v>2.3506273907336501</v>
      </c>
      <c r="R158" s="33">
        <v>105.262769415546</v>
      </c>
      <c r="S158" s="33">
        <v>105.41710808139101</v>
      </c>
      <c r="T158" s="33">
        <v>105.396359151635</v>
      </c>
      <c r="U158" s="15">
        <v>-1.0181757949173499E-3</v>
      </c>
      <c r="V158" s="15">
        <v>4.46973086779037E-4</v>
      </c>
      <c r="W158" s="15">
        <v>2.5012674583693999E-4</v>
      </c>
      <c r="X158" s="34">
        <v>2.3499107939339798</v>
      </c>
      <c r="Y158" s="34">
        <v>2.3475193892851398</v>
      </c>
      <c r="Z158" s="34">
        <v>2.3506164514216699</v>
      </c>
      <c r="AA158" s="34">
        <v>2.3506273907336501</v>
      </c>
      <c r="AB158" s="33">
        <v>105.262769415546</v>
      </c>
      <c r="AC158" s="33">
        <v>105.41710808139101</v>
      </c>
      <c r="AD158" s="33">
        <v>105.396359151635</v>
      </c>
      <c r="AE158" s="15">
        <v>-1.0181757949173499E-3</v>
      </c>
      <c r="AF158" s="15">
        <v>4.46973086779037E-4</v>
      </c>
      <c r="AG158" s="15">
        <v>2.5012674583693999E-4</v>
      </c>
      <c r="AI158" s="12"/>
      <c r="AJ158">
        <f t="shared" si="46"/>
        <v>0</v>
      </c>
      <c r="AK158">
        <f t="shared" si="47"/>
        <v>1</v>
      </c>
      <c r="AL158">
        <f t="shared" si="54"/>
        <v>0</v>
      </c>
      <c r="AM158">
        <f t="shared" si="44"/>
        <v>1</v>
      </c>
      <c r="AN158">
        <f t="shared" si="55"/>
        <v>0</v>
      </c>
      <c r="AO158" s="28">
        <f t="shared" si="48"/>
        <v>0</v>
      </c>
      <c r="AP158" s="28">
        <f t="shared" si="49"/>
        <v>0</v>
      </c>
      <c r="AQ158" s="28">
        <f t="shared" si="56"/>
        <v>0</v>
      </c>
      <c r="AR158" s="29">
        <f t="shared" si="57"/>
        <v>1.4636322846900552E-2</v>
      </c>
      <c r="AT158" s="12"/>
      <c r="AU158">
        <f t="shared" si="50"/>
        <v>0</v>
      </c>
      <c r="AV158">
        <f t="shared" si="51"/>
        <v>0</v>
      </c>
      <c r="AW158">
        <f t="shared" si="58"/>
        <v>1</v>
      </c>
      <c r="AX158">
        <f t="shared" si="45"/>
        <v>1</v>
      </c>
      <c r="AY158">
        <f t="shared" si="59"/>
        <v>1</v>
      </c>
      <c r="AZ158" s="28">
        <f t="shared" si="52"/>
        <v>1.78253166628319E-3</v>
      </c>
      <c r="BA158" s="28">
        <f t="shared" si="53"/>
        <v>-1.8015460236870901E-3</v>
      </c>
      <c r="BB158" s="28">
        <f t="shared" si="60"/>
        <v>-1.9014357403900018E-5</v>
      </c>
      <c r="BC158" s="29">
        <f t="shared" si="61"/>
        <v>7.254046023089448E-3</v>
      </c>
      <c r="BE158" s="29">
        <f t="shared" si="62"/>
        <v>-1.9014357403900018E-5</v>
      </c>
      <c r="BF158" s="29">
        <f t="shared" si="63"/>
        <v>2.1890368869990001E-2</v>
      </c>
      <c r="BH158" s="29"/>
    </row>
    <row r="159" spans="1:60" x14ac:dyDescent="0.25">
      <c r="A159" s="1">
        <v>46253</v>
      </c>
      <c r="B159" s="33">
        <v>44.93</v>
      </c>
      <c r="C159" s="33">
        <v>105.68</v>
      </c>
      <c r="D159" s="15">
        <v>2.00512487810936E-3</v>
      </c>
      <c r="E159" s="15">
        <v>2.93769460263359E-3</v>
      </c>
      <c r="F159" s="33">
        <v>0</v>
      </c>
      <c r="G159" s="33">
        <v>0.94043999999999905</v>
      </c>
      <c r="H159" s="33">
        <v>0</v>
      </c>
      <c r="I159" s="33">
        <v>1.9970399999999999</v>
      </c>
      <c r="J159" s="33">
        <v>0</v>
      </c>
      <c r="K159" s="33">
        <v>0</v>
      </c>
      <c r="L159" s="33">
        <v>44.93</v>
      </c>
      <c r="M159" s="33">
        <v>105.68</v>
      </c>
      <c r="N159" s="34">
        <v>2.3521032717560599</v>
      </c>
      <c r="O159" s="34">
        <v>2.3475193892851398</v>
      </c>
      <c r="P159" s="34">
        <v>2.3505666629903401</v>
      </c>
      <c r="Q159" s="34">
        <v>2.3508489623037199</v>
      </c>
      <c r="R159" s="33">
        <v>105.474046160581</v>
      </c>
      <c r="S159" s="33">
        <v>105.613197162375</v>
      </c>
      <c r="T159" s="33">
        <v>105.61368866566301</v>
      </c>
      <c r="U159" s="15">
        <v>-1.95074551944171E-3</v>
      </c>
      <c r="V159" s="15">
        <v>-6.3232362184033797E-4</v>
      </c>
      <c r="W159" s="15">
        <v>-6.2766982707893103E-4</v>
      </c>
      <c r="X159" s="34">
        <v>2.3521032717560599</v>
      </c>
      <c r="Y159" s="34">
        <v>2.3475193892851398</v>
      </c>
      <c r="Z159" s="34">
        <v>2.3505666629903401</v>
      </c>
      <c r="AA159" s="34">
        <v>2.3508489623037199</v>
      </c>
      <c r="AB159" s="33">
        <v>105.474046160581</v>
      </c>
      <c r="AC159" s="33">
        <v>105.613197162375</v>
      </c>
      <c r="AD159" s="33">
        <v>105.61368866566301</v>
      </c>
      <c r="AE159" s="15">
        <v>-1.95074551944171E-3</v>
      </c>
      <c r="AF159" s="15">
        <v>-6.3232362184033797E-4</v>
      </c>
      <c r="AG159" s="15">
        <v>-6.2766982707893103E-4</v>
      </c>
      <c r="AI159" s="12"/>
      <c r="AJ159">
        <f t="shared" si="46"/>
        <v>0</v>
      </c>
      <c r="AK159">
        <f t="shared" si="47"/>
        <v>0</v>
      </c>
      <c r="AL159">
        <f t="shared" si="54"/>
        <v>0</v>
      </c>
      <c r="AM159">
        <f t="shared" si="44"/>
        <v>1</v>
      </c>
      <c r="AN159">
        <f t="shared" si="55"/>
        <v>0</v>
      </c>
      <c r="AO159" s="28">
        <f t="shared" si="48"/>
        <v>0</v>
      </c>
      <c r="AP159" s="28">
        <f t="shared" si="49"/>
        <v>0</v>
      </c>
      <c r="AQ159" s="28">
        <f t="shared" si="56"/>
        <v>0</v>
      </c>
      <c r="AR159" s="29">
        <f t="shared" si="57"/>
        <v>1.4636322846900552E-2</v>
      </c>
      <c r="AT159" s="12"/>
      <c r="AU159">
        <f t="shared" si="50"/>
        <v>0</v>
      </c>
      <c r="AV159">
        <f t="shared" si="51"/>
        <v>1</v>
      </c>
      <c r="AW159">
        <f t="shared" si="58"/>
        <v>1</v>
      </c>
      <c r="AX159">
        <f t="shared" si="45"/>
        <v>1</v>
      </c>
      <c r="AY159">
        <f t="shared" si="59"/>
        <v>1</v>
      </c>
      <c r="AZ159" s="28">
        <f t="shared" si="52"/>
        <v>-2.00512487810936E-3</v>
      </c>
      <c r="BA159" s="28">
        <f t="shared" si="53"/>
        <v>2.93769460263359E-3</v>
      </c>
      <c r="BB159" s="28">
        <f t="shared" si="60"/>
        <v>9.3256972452422995E-4</v>
      </c>
      <c r="BC159" s="29">
        <f t="shared" si="61"/>
        <v>8.1866157476136771E-3</v>
      </c>
      <c r="BE159" s="29">
        <f t="shared" si="62"/>
        <v>9.3256972452422995E-4</v>
      </c>
      <c r="BF159" s="29">
        <f t="shared" si="63"/>
        <v>2.282293859451423E-2</v>
      </c>
      <c r="BH159" s="29"/>
    </row>
    <row r="160" spans="1:60" x14ac:dyDescent="0.25">
      <c r="A160" s="1">
        <v>46254</v>
      </c>
      <c r="B160" s="33">
        <v>44.91</v>
      </c>
      <c r="C160" s="33">
        <v>105.47</v>
      </c>
      <c r="D160" s="15">
        <v>-4.4523598242200599E-4</v>
      </c>
      <c r="E160" s="15">
        <v>-1.98910792554704E-3</v>
      </c>
      <c r="F160" s="33">
        <v>0</v>
      </c>
      <c r="G160" s="33">
        <v>0.94043999999999905</v>
      </c>
      <c r="H160" s="33">
        <v>0</v>
      </c>
      <c r="I160" s="33">
        <v>1.9970399999999999</v>
      </c>
      <c r="J160" s="33">
        <v>0</v>
      </c>
      <c r="K160" s="33">
        <v>0</v>
      </c>
      <c r="L160" s="33">
        <v>44.91</v>
      </c>
      <c r="M160" s="33">
        <v>105.47</v>
      </c>
      <c r="N160" s="34">
        <v>2.3484747272322402</v>
      </c>
      <c r="O160" s="34">
        <v>2.3475193892851398</v>
      </c>
      <c r="P160" s="34">
        <v>2.3503006510673701</v>
      </c>
      <c r="Q160" s="34">
        <v>2.3508998173093998</v>
      </c>
      <c r="R160" s="33">
        <v>105.427095772795</v>
      </c>
      <c r="S160" s="33">
        <v>105.563948834896</v>
      </c>
      <c r="T160" s="33">
        <v>105.57662689706</v>
      </c>
      <c r="U160" s="15">
        <v>-4.0687357631643802E-4</v>
      </c>
      <c r="V160" s="15">
        <v>8.9036708663791503E-4</v>
      </c>
      <c r="W160" s="15">
        <v>1.01045828308447E-3</v>
      </c>
      <c r="X160" s="34">
        <v>2.3484747272322402</v>
      </c>
      <c r="Y160" s="34">
        <v>2.3475193892851398</v>
      </c>
      <c r="Z160" s="34">
        <v>2.3503006510673701</v>
      </c>
      <c r="AA160" s="34">
        <v>2.3508998173093998</v>
      </c>
      <c r="AB160" s="33">
        <v>105.427095772795</v>
      </c>
      <c r="AC160" s="33">
        <v>105.563948834896</v>
      </c>
      <c r="AD160" s="33">
        <v>105.57662689706</v>
      </c>
      <c r="AE160" s="15">
        <v>-4.0687357631643802E-4</v>
      </c>
      <c r="AF160" s="15">
        <v>8.9036708663791503E-4</v>
      </c>
      <c r="AG160" s="15">
        <v>1.01045828308447E-3</v>
      </c>
      <c r="AI160" s="12"/>
      <c r="AJ160">
        <f t="shared" si="46"/>
        <v>0</v>
      </c>
      <c r="AK160">
        <f t="shared" si="47"/>
        <v>1</v>
      </c>
      <c r="AL160">
        <f t="shared" si="54"/>
        <v>0</v>
      </c>
      <c r="AM160">
        <f t="shared" si="44"/>
        <v>1</v>
      </c>
      <c r="AN160">
        <f t="shared" si="55"/>
        <v>0</v>
      </c>
      <c r="AO160" s="28">
        <f t="shared" si="48"/>
        <v>0</v>
      </c>
      <c r="AP160" s="28">
        <f t="shared" si="49"/>
        <v>0</v>
      </c>
      <c r="AQ160" s="28">
        <f t="shared" si="56"/>
        <v>0</v>
      </c>
      <c r="AR160" s="29">
        <f t="shared" si="57"/>
        <v>1.4636322846900552E-2</v>
      </c>
      <c r="AT160" s="12"/>
      <c r="AU160">
        <f t="shared" si="50"/>
        <v>1</v>
      </c>
      <c r="AV160">
        <f t="shared" si="51"/>
        <v>0</v>
      </c>
      <c r="AW160">
        <f t="shared" si="58"/>
        <v>0</v>
      </c>
      <c r="AX160">
        <f t="shared" si="45"/>
        <v>1</v>
      </c>
      <c r="AY160">
        <f t="shared" si="59"/>
        <v>0</v>
      </c>
      <c r="AZ160" s="28">
        <f t="shared" si="52"/>
        <v>0</v>
      </c>
      <c r="BA160" s="28">
        <f t="shared" si="53"/>
        <v>0</v>
      </c>
      <c r="BB160" s="28">
        <f t="shared" si="60"/>
        <v>0</v>
      </c>
      <c r="BC160" s="29">
        <f t="shared" si="61"/>
        <v>8.1866157476136771E-3</v>
      </c>
      <c r="BE160" s="29">
        <f t="shared" si="62"/>
        <v>0</v>
      </c>
      <c r="BF160" s="29">
        <f t="shared" si="63"/>
        <v>2.282293859451423E-2</v>
      </c>
      <c r="BH160" s="29"/>
    </row>
    <row r="161" spans="1:60" x14ac:dyDescent="0.25">
      <c r="A161" s="1">
        <v>46255</v>
      </c>
      <c r="B161" s="33">
        <v>44.87</v>
      </c>
      <c r="C161" s="33">
        <v>105.34</v>
      </c>
      <c r="D161" s="15">
        <v>-8.9106711175464205E-4</v>
      </c>
      <c r="E161" s="15">
        <v>-1.23333823327956E-3</v>
      </c>
      <c r="F161" s="33">
        <v>0</v>
      </c>
      <c r="G161" s="33">
        <v>0.94043999999999905</v>
      </c>
      <c r="H161" s="33">
        <v>0</v>
      </c>
      <c r="I161" s="33">
        <v>1.9970399999999999</v>
      </c>
      <c r="J161" s="33">
        <v>0</v>
      </c>
      <c r="K161" s="33">
        <v>0</v>
      </c>
      <c r="L161" s="33">
        <v>44.87</v>
      </c>
      <c r="M161" s="33">
        <v>105.34</v>
      </c>
      <c r="N161" s="34">
        <v>2.3476710496991302</v>
      </c>
      <c r="O161" s="34">
        <v>2.3475193892851398</v>
      </c>
      <c r="P161" s="34">
        <v>2.34995901214026</v>
      </c>
      <c r="Q161" s="34">
        <v>2.3507182105161202</v>
      </c>
      <c r="R161" s="33">
        <v>105.333194997224</v>
      </c>
      <c r="S161" s="33">
        <v>105.457990213393</v>
      </c>
      <c r="T161" s="33">
        <v>105.484874802672</v>
      </c>
      <c r="U161" s="15">
        <v>-6.4602454791724899E-5</v>
      </c>
      <c r="V161" s="15">
        <v>1.11946252993888E-3</v>
      </c>
      <c r="W161" s="15">
        <v>1.3743617835669901E-3</v>
      </c>
      <c r="X161" s="34">
        <v>2.3476710496991302</v>
      </c>
      <c r="Y161" s="34">
        <v>2.3475193892851398</v>
      </c>
      <c r="Z161" s="34">
        <v>2.34995901214026</v>
      </c>
      <c r="AA161" s="34">
        <v>2.3507182105161202</v>
      </c>
      <c r="AB161" s="33">
        <v>105.333194997224</v>
      </c>
      <c r="AC161" s="33">
        <v>105.457990213393</v>
      </c>
      <c r="AD161" s="33">
        <v>105.484874802672</v>
      </c>
      <c r="AE161" s="15">
        <v>-6.4602454791724899E-5</v>
      </c>
      <c r="AF161" s="15">
        <v>1.11946252993888E-3</v>
      </c>
      <c r="AG161" s="15">
        <v>1.3743617835669901E-3</v>
      </c>
      <c r="AI161" s="12"/>
      <c r="AJ161">
        <f t="shared" si="46"/>
        <v>0</v>
      </c>
      <c r="AK161">
        <f t="shared" si="47"/>
        <v>1</v>
      </c>
      <c r="AL161">
        <f t="shared" si="54"/>
        <v>0</v>
      </c>
      <c r="AM161">
        <f t="shared" si="44"/>
        <v>1</v>
      </c>
      <c r="AN161">
        <f t="shared" si="55"/>
        <v>0</v>
      </c>
      <c r="AO161" s="28">
        <f t="shared" si="48"/>
        <v>0</v>
      </c>
      <c r="AP161" s="28">
        <f t="shared" si="49"/>
        <v>0</v>
      </c>
      <c r="AQ161" s="28">
        <f t="shared" si="56"/>
        <v>0</v>
      </c>
      <c r="AR161" s="29">
        <f t="shared" si="57"/>
        <v>1.4636322846900552E-2</v>
      </c>
      <c r="AT161" s="12"/>
      <c r="AU161">
        <f t="shared" si="50"/>
        <v>1</v>
      </c>
      <c r="AV161">
        <f t="shared" si="51"/>
        <v>0</v>
      </c>
      <c r="AW161">
        <f t="shared" si="58"/>
        <v>1</v>
      </c>
      <c r="AX161">
        <f t="shared" si="45"/>
        <v>1</v>
      </c>
      <c r="AY161">
        <f t="shared" si="59"/>
        <v>1</v>
      </c>
      <c r="AZ161" s="28">
        <f t="shared" si="52"/>
        <v>8.9106711175464205E-4</v>
      </c>
      <c r="BA161" s="28">
        <f t="shared" si="53"/>
        <v>-1.23333823327956E-3</v>
      </c>
      <c r="BB161" s="28">
        <f t="shared" si="60"/>
        <v>-3.4227112152491795E-4</v>
      </c>
      <c r="BC161" s="29">
        <f t="shared" si="61"/>
        <v>7.8443446260887586E-3</v>
      </c>
      <c r="BE161" s="29">
        <f t="shared" si="62"/>
        <v>-3.4227112152491795E-4</v>
      </c>
      <c r="BF161" s="29">
        <f t="shared" si="63"/>
        <v>2.2480667472989314E-2</v>
      </c>
      <c r="BH161" s="29"/>
    </row>
    <row r="162" spans="1:60" x14ac:dyDescent="0.25">
      <c r="A162" s="1">
        <v>46258</v>
      </c>
      <c r="B162" s="33">
        <v>44.84</v>
      </c>
      <c r="C162" s="33">
        <v>105.41</v>
      </c>
      <c r="D162" s="15">
        <v>-6.6882178393268905E-4</v>
      </c>
      <c r="E162" s="15">
        <v>6.6429421185456097E-4</v>
      </c>
      <c r="F162" s="33">
        <v>0</v>
      </c>
      <c r="G162" s="33">
        <v>0.94043999999999905</v>
      </c>
      <c r="H162" s="33">
        <v>0</v>
      </c>
      <c r="I162" s="33">
        <v>1.9970399999999999</v>
      </c>
      <c r="J162" s="33">
        <v>0</v>
      </c>
      <c r="K162" s="33">
        <v>0</v>
      </c>
      <c r="L162" s="33">
        <v>44.84</v>
      </c>
      <c r="M162" s="33">
        <v>105.41</v>
      </c>
      <c r="N162" s="34">
        <v>2.35080285459411</v>
      </c>
      <c r="O162" s="34">
        <v>2.3475193892851398</v>
      </c>
      <c r="P162" s="34">
        <v>2.3499737857187002</v>
      </c>
      <c r="Q162" s="34">
        <v>2.3507550213933102</v>
      </c>
      <c r="R162" s="33">
        <v>105.262769415546</v>
      </c>
      <c r="S162" s="33">
        <v>105.372162104369</v>
      </c>
      <c r="T162" s="33">
        <v>105.406204559543</v>
      </c>
      <c r="U162" s="15">
        <v>-1.3977184505788601E-3</v>
      </c>
      <c r="V162" s="15">
        <v>-3.5902370162020202E-4</v>
      </c>
      <c r="W162" s="15">
        <v>-3.60071035842752E-5</v>
      </c>
      <c r="X162" s="34">
        <v>2.35080285459411</v>
      </c>
      <c r="Y162" s="34">
        <v>2.3475193892851398</v>
      </c>
      <c r="Z162" s="34">
        <v>2.3499737857187002</v>
      </c>
      <c r="AA162" s="34">
        <v>2.3507550213933102</v>
      </c>
      <c r="AB162" s="33">
        <v>105.262769415546</v>
      </c>
      <c r="AC162" s="33">
        <v>105.372162104369</v>
      </c>
      <c r="AD162" s="33">
        <v>105.406204559543</v>
      </c>
      <c r="AE162" s="15">
        <v>-1.3977184505788601E-3</v>
      </c>
      <c r="AF162" s="15">
        <v>-3.5902370162020202E-4</v>
      </c>
      <c r="AG162" s="15">
        <v>-3.60071035842752E-5</v>
      </c>
      <c r="AI162" s="12"/>
      <c r="AJ162">
        <f t="shared" si="46"/>
        <v>0</v>
      </c>
      <c r="AK162">
        <f t="shared" si="47"/>
        <v>0</v>
      </c>
      <c r="AL162">
        <f t="shared" si="54"/>
        <v>0</v>
      </c>
      <c r="AM162">
        <f t="shared" si="44"/>
        <v>1</v>
      </c>
      <c r="AN162">
        <f t="shared" si="55"/>
        <v>0</v>
      </c>
      <c r="AO162" s="28">
        <f t="shared" si="48"/>
        <v>0</v>
      </c>
      <c r="AP162" s="28">
        <f t="shared" si="49"/>
        <v>0</v>
      </c>
      <c r="AQ162" s="28">
        <f t="shared" si="56"/>
        <v>0</v>
      </c>
      <c r="AR162" s="29">
        <f t="shared" si="57"/>
        <v>1.4636322846900552E-2</v>
      </c>
      <c r="AT162" s="12"/>
      <c r="AU162">
        <f t="shared" si="50"/>
        <v>0</v>
      </c>
      <c r="AV162">
        <f t="shared" si="51"/>
        <v>1</v>
      </c>
      <c r="AW162">
        <f t="shared" si="58"/>
        <v>1</v>
      </c>
      <c r="AX162">
        <f t="shared" si="45"/>
        <v>1</v>
      </c>
      <c r="AY162">
        <f t="shared" si="59"/>
        <v>1</v>
      </c>
      <c r="AZ162" s="28">
        <f t="shared" si="52"/>
        <v>6.6882178393268905E-4</v>
      </c>
      <c r="BA162" s="28">
        <f t="shared" si="53"/>
        <v>6.6429421185456097E-4</v>
      </c>
      <c r="BB162" s="28">
        <f t="shared" si="60"/>
        <v>1.3331159957872501E-3</v>
      </c>
      <c r="BC162" s="29">
        <f t="shared" si="61"/>
        <v>9.1774606218760092E-3</v>
      </c>
      <c r="BE162" s="29">
        <f t="shared" si="62"/>
        <v>1.3331159957872501E-3</v>
      </c>
      <c r="BF162" s="29">
        <f t="shared" si="63"/>
        <v>2.3813783468776564E-2</v>
      </c>
      <c r="BH162" s="29"/>
    </row>
    <row r="163" spans="1:60" x14ac:dyDescent="0.25">
      <c r="A163" s="1">
        <v>46259</v>
      </c>
      <c r="B163" s="33">
        <v>44.87</v>
      </c>
      <c r="C163" s="33">
        <v>105.58</v>
      </c>
      <c r="D163" s="15">
        <v>6.6882178393265002E-4</v>
      </c>
      <c r="E163" s="15">
        <v>1.6114511283723001E-3</v>
      </c>
      <c r="F163" s="33">
        <v>0</v>
      </c>
      <c r="G163" s="33">
        <v>0.94043999999999905</v>
      </c>
      <c r="H163" s="33">
        <v>0</v>
      </c>
      <c r="I163" s="33">
        <v>1.9970399999999999</v>
      </c>
      <c r="J163" s="33">
        <v>0</v>
      </c>
      <c r="K163" s="33">
        <v>0</v>
      </c>
      <c r="L163" s="33">
        <v>44.87</v>
      </c>
      <c r="M163" s="33">
        <v>105.58</v>
      </c>
      <c r="N163" s="34">
        <v>2.3530198350791101</v>
      </c>
      <c r="O163" s="34">
        <v>2.3475193892851398</v>
      </c>
      <c r="P163" s="34">
        <v>2.3502413782792</v>
      </c>
      <c r="Q163" s="34">
        <v>2.35086332075428</v>
      </c>
      <c r="R163" s="33">
        <v>105.333194997224</v>
      </c>
      <c r="S163" s="33">
        <v>105.443323765198</v>
      </c>
      <c r="T163" s="33">
        <v>105.478377809918</v>
      </c>
      <c r="U163" s="15">
        <v>-2.3403477950185098E-3</v>
      </c>
      <c r="V163" s="15">
        <v>-1.2953663270455699E-3</v>
      </c>
      <c r="W163" s="15">
        <v>-9.6297715342380801E-4</v>
      </c>
      <c r="X163" s="34">
        <v>2.3530198350791101</v>
      </c>
      <c r="Y163" s="34">
        <v>2.3475193892851398</v>
      </c>
      <c r="Z163" s="34">
        <v>2.3502413782792</v>
      </c>
      <c r="AA163" s="34">
        <v>2.35086332075428</v>
      </c>
      <c r="AB163" s="33">
        <v>105.333194997224</v>
      </c>
      <c r="AC163" s="33">
        <v>105.443323765198</v>
      </c>
      <c r="AD163" s="33">
        <v>105.478377809918</v>
      </c>
      <c r="AE163" s="15">
        <v>-2.3403477950185098E-3</v>
      </c>
      <c r="AF163" s="15">
        <v>-1.2953663270455699E-3</v>
      </c>
      <c r="AG163" s="15">
        <v>-9.6297715342380801E-4</v>
      </c>
      <c r="AI163" s="12"/>
      <c r="AJ163">
        <f t="shared" si="46"/>
        <v>0</v>
      </c>
      <c r="AK163">
        <f t="shared" si="47"/>
        <v>0</v>
      </c>
      <c r="AL163">
        <f t="shared" si="54"/>
        <v>0</v>
      </c>
      <c r="AM163">
        <f t="shared" si="44"/>
        <v>1</v>
      </c>
      <c r="AN163">
        <f t="shared" si="55"/>
        <v>0</v>
      </c>
      <c r="AO163" s="28">
        <f t="shared" si="48"/>
        <v>0</v>
      </c>
      <c r="AP163" s="28">
        <f t="shared" si="49"/>
        <v>0</v>
      </c>
      <c r="AQ163" s="28">
        <f t="shared" si="56"/>
        <v>0</v>
      </c>
      <c r="AR163" s="29">
        <f t="shared" si="57"/>
        <v>1.4636322846900552E-2</v>
      </c>
      <c r="AT163" s="12"/>
      <c r="AU163">
        <f t="shared" si="50"/>
        <v>0</v>
      </c>
      <c r="AV163">
        <f t="shared" si="51"/>
        <v>1</v>
      </c>
      <c r="AW163">
        <f t="shared" si="58"/>
        <v>0</v>
      </c>
      <c r="AX163">
        <f t="shared" si="45"/>
        <v>1</v>
      </c>
      <c r="AY163">
        <f t="shared" si="59"/>
        <v>0</v>
      </c>
      <c r="AZ163" s="28">
        <f t="shared" si="52"/>
        <v>0</v>
      </c>
      <c r="BA163" s="28">
        <f t="shared" si="53"/>
        <v>0</v>
      </c>
      <c r="BB163" s="28">
        <f t="shared" si="60"/>
        <v>0</v>
      </c>
      <c r="BC163" s="29">
        <f t="shared" si="61"/>
        <v>9.1774606218760092E-3</v>
      </c>
      <c r="BE163" s="29">
        <f t="shared" si="62"/>
        <v>0</v>
      </c>
      <c r="BF163" s="29">
        <f t="shared" si="63"/>
        <v>2.3813783468776564E-2</v>
      </c>
      <c r="BH163" s="29"/>
    </row>
    <row r="164" spans="1:60" x14ac:dyDescent="0.25">
      <c r="A164" s="1">
        <v>46260</v>
      </c>
      <c r="B164" s="33">
        <v>44.8</v>
      </c>
      <c r="C164" s="33">
        <v>105.45</v>
      </c>
      <c r="D164" s="15">
        <v>-1.56128056695246E-3</v>
      </c>
      <c r="E164" s="15">
        <v>-1.23205247068658E-3</v>
      </c>
      <c r="F164" s="33">
        <v>0</v>
      </c>
      <c r="G164" s="33">
        <v>0.94043999999999905</v>
      </c>
      <c r="H164" s="33">
        <v>0</v>
      </c>
      <c r="I164" s="33">
        <v>1.9970399999999999</v>
      </c>
      <c r="J164" s="33">
        <v>0</v>
      </c>
      <c r="K164" s="33">
        <v>0</v>
      </c>
      <c r="L164" s="33">
        <v>44.8</v>
      </c>
      <c r="M164" s="33">
        <v>105.45</v>
      </c>
      <c r="N164" s="34">
        <v>2.3537946428571401</v>
      </c>
      <c r="O164" s="34">
        <v>2.3475193892851398</v>
      </c>
      <c r="P164" s="34">
        <v>2.3504755130774502</v>
      </c>
      <c r="Q164" s="34">
        <v>2.3510308306749099</v>
      </c>
      <c r="R164" s="33">
        <v>105.16886863997399</v>
      </c>
      <c r="S164" s="33">
        <v>105.290813746908</v>
      </c>
      <c r="T164" s="33">
        <v>105.318676769791</v>
      </c>
      <c r="U164" s="15">
        <v>-2.66957589128456E-3</v>
      </c>
      <c r="V164" s="15">
        <v>-1.5107304611526201E-3</v>
      </c>
      <c r="W164" s="15">
        <v>-1.24613627807132E-3</v>
      </c>
      <c r="X164" s="34">
        <v>2.3537946428571401</v>
      </c>
      <c r="Y164" s="34">
        <v>2.3475193892851398</v>
      </c>
      <c r="Z164" s="34">
        <v>2.3504755130774502</v>
      </c>
      <c r="AA164" s="34">
        <v>2.3510308306749099</v>
      </c>
      <c r="AB164" s="33">
        <v>105.16886863997399</v>
      </c>
      <c r="AC164" s="33">
        <v>105.290813746908</v>
      </c>
      <c r="AD164" s="33">
        <v>105.318676769791</v>
      </c>
      <c r="AE164" s="15">
        <v>-2.66957589128456E-3</v>
      </c>
      <c r="AF164" s="15">
        <v>-1.5107304611526201E-3</v>
      </c>
      <c r="AG164" s="15">
        <v>-1.24613627807132E-3</v>
      </c>
      <c r="AI164" s="12"/>
      <c r="AJ164">
        <f t="shared" si="46"/>
        <v>1</v>
      </c>
      <c r="AK164">
        <f t="shared" si="47"/>
        <v>0</v>
      </c>
      <c r="AL164">
        <f t="shared" si="54"/>
        <v>0</v>
      </c>
      <c r="AM164">
        <f t="shared" si="44"/>
        <v>1</v>
      </c>
      <c r="AN164">
        <f t="shared" si="55"/>
        <v>0</v>
      </c>
      <c r="AO164" s="28">
        <f t="shared" si="48"/>
        <v>0</v>
      </c>
      <c r="AP164" s="28">
        <f t="shared" si="49"/>
        <v>0</v>
      </c>
      <c r="AQ164" s="28">
        <f t="shared" si="56"/>
        <v>0</v>
      </c>
      <c r="AR164" s="29">
        <f t="shared" si="57"/>
        <v>1.4636322846900552E-2</v>
      </c>
      <c r="AT164" s="12"/>
      <c r="AU164">
        <f t="shared" si="50"/>
        <v>0</v>
      </c>
      <c r="AV164">
        <f t="shared" si="51"/>
        <v>1</v>
      </c>
      <c r="AW164">
        <f t="shared" si="58"/>
        <v>0</v>
      </c>
      <c r="AX164">
        <f t="shared" si="45"/>
        <v>1</v>
      </c>
      <c r="AY164">
        <f t="shared" si="59"/>
        <v>0</v>
      </c>
      <c r="AZ164" s="28">
        <f t="shared" si="52"/>
        <v>0</v>
      </c>
      <c r="BA164" s="28">
        <f t="shared" si="53"/>
        <v>0</v>
      </c>
      <c r="BB164" s="28">
        <f t="shared" si="60"/>
        <v>0</v>
      </c>
      <c r="BC164" s="29">
        <f t="shared" si="61"/>
        <v>9.1774606218760092E-3</v>
      </c>
      <c r="BE164" s="29">
        <f t="shared" si="62"/>
        <v>0</v>
      </c>
      <c r="BF164" s="29">
        <f t="shared" si="63"/>
        <v>2.3813783468776564E-2</v>
      </c>
      <c r="BH164" s="29"/>
    </row>
    <row r="165" spans="1:60" x14ac:dyDescent="0.25">
      <c r="A165" s="1">
        <v>46261</v>
      </c>
      <c r="B165" s="33">
        <v>44.77</v>
      </c>
      <c r="C165" s="33">
        <v>105.39</v>
      </c>
      <c r="D165" s="15">
        <v>-6.6986716806522698E-4</v>
      </c>
      <c r="E165" s="15">
        <v>-5.6915197893829203E-4</v>
      </c>
      <c r="F165" s="33">
        <v>0</v>
      </c>
      <c r="G165" s="33">
        <v>0.94043999999999905</v>
      </c>
      <c r="H165" s="33">
        <v>0</v>
      </c>
      <c r="I165" s="33">
        <v>1.9970399999999999</v>
      </c>
      <c r="J165" s="33">
        <v>0</v>
      </c>
      <c r="K165" s="33">
        <v>0</v>
      </c>
      <c r="L165" s="33">
        <v>44.77</v>
      </c>
      <c r="M165" s="33">
        <v>105.39</v>
      </c>
      <c r="N165" s="34">
        <v>2.3540317176680801</v>
      </c>
      <c r="O165" s="34">
        <v>2.3475193892851398</v>
      </c>
      <c r="P165" s="34">
        <v>2.3507513315773698</v>
      </c>
      <c r="Q165" s="34">
        <v>2.35122130544721</v>
      </c>
      <c r="R165" s="33">
        <v>105.098443058296</v>
      </c>
      <c r="S165" s="33">
        <v>105.23078872047699</v>
      </c>
      <c r="T165" s="33">
        <v>105.25565028931599</v>
      </c>
      <c r="U165" s="15">
        <v>-2.7702910804113701E-3</v>
      </c>
      <c r="V165" s="15">
        <v>-1.51182901568742E-3</v>
      </c>
      <c r="W165" s="15">
        <v>-1.27559936525317E-3</v>
      </c>
      <c r="X165" s="34">
        <v>2.3540317176680801</v>
      </c>
      <c r="Y165" s="34">
        <v>2.3475193892851398</v>
      </c>
      <c r="Z165" s="34">
        <v>2.3507513315773698</v>
      </c>
      <c r="AA165" s="34">
        <v>2.35122130544721</v>
      </c>
      <c r="AB165" s="33">
        <v>105.098443058296</v>
      </c>
      <c r="AC165" s="33">
        <v>105.23078872047699</v>
      </c>
      <c r="AD165" s="33">
        <v>105.25565028931599</v>
      </c>
      <c r="AE165" s="15">
        <v>-2.7702910804113701E-3</v>
      </c>
      <c r="AF165" s="15">
        <v>-1.51182901568742E-3</v>
      </c>
      <c r="AG165" s="15">
        <v>-1.27559936525317E-3</v>
      </c>
      <c r="AI165" s="12"/>
      <c r="AJ165">
        <f t="shared" si="46"/>
        <v>1</v>
      </c>
      <c r="AK165">
        <f t="shared" si="47"/>
        <v>0</v>
      </c>
      <c r="AL165">
        <f t="shared" si="54"/>
        <v>1</v>
      </c>
      <c r="AM165">
        <f t="shared" si="44"/>
        <v>1</v>
      </c>
      <c r="AN165">
        <f t="shared" si="55"/>
        <v>1</v>
      </c>
      <c r="AO165" s="28">
        <f t="shared" si="48"/>
        <v>-6.6986716806522698E-4</v>
      </c>
      <c r="AP165" s="28">
        <f t="shared" si="49"/>
        <v>5.6915197893829203E-4</v>
      </c>
      <c r="AQ165" s="28">
        <f t="shared" si="56"/>
        <v>-1.0071518912693495E-4</v>
      </c>
      <c r="AR165" s="29">
        <f t="shared" si="57"/>
        <v>1.4535607657773616E-2</v>
      </c>
      <c r="AT165" s="12"/>
      <c r="AU165">
        <f t="shared" si="50"/>
        <v>0</v>
      </c>
      <c r="AV165">
        <f t="shared" si="51"/>
        <v>1</v>
      </c>
      <c r="AW165">
        <f t="shared" si="58"/>
        <v>0</v>
      </c>
      <c r="AX165">
        <f t="shared" si="45"/>
        <v>1</v>
      </c>
      <c r="AY165">
        <f t="shared" si="59"/>
        <v>0</v>
      </c>
      <c r="AZ165" s="28">
        <f t="shared" si="52"/>
        <v>0</v>
      </c>
      <c r="BA165" s="28">
        <f t="shared" si="53"/>
        <v>0</v>
      </c>
      <c r="BB165" s="28">
        <f t="shared" si="60"/>
        <v>0</v>
      </c>
      <c r="BC165" s="29">
        <f t="shared" si="61"/>
        <v>9.1774606218760092E-3</v>
      </c>
      <c r="BE165" s="29">
        <f t="shared" si="62"/>
        <v>-1.0071518912693495E-4</v>
      </c>
      <c r="BF165" s="29">
        <f t="shared" si="63"/>
        <v>2.371306827964963E-2</v>
      </c>
      <c r="BH165" s="29"/>
    </row>
    <row r="166" spans="1:60" x14ac:dyDescent="0.25">
      <c r="A166" s="1">
        <v>46262</v>
      </c>
      <c r="B166" s="33">
        <v>44.7</v>
      </c>
      <c r="C166" s="33">
        <v>105.22</v>
      </c>
      <c r="D166" s="15">
        <v>-1.5647706333510099E-3</v>
      </c>
      <c r="E166" s="15">
        <v>-1.61435864318414E-3</v>
      </c>
      <c r="F166" s="33">
        <v>0</v>
      </c>
      <c r="G166" s="33">
        <v>0.94043999999999905</v>
      </c>
      <c r="H166" s="33">
        <v>0</v>
      </c>
      <c r="I166" s="33">
        <v>1.9970399999999999</v>
      </c>
      <c r="J166" s="33">
        <v>0</v>
      </c>
      <c r="K166" s="33">
        <v>0</v>
      </c>
      <c r="L166" s="33">
        <v>44.7</v>
      </c>
      <c r="M166" s="33">
        <v>105.22</v>
      </c>
      <c r="N166" s="34">
        <v>2.35391498881431</v>
      </c>
      <c r="O166" s="34">
        <v>2.3475193892851398</v>
      </c>
      <c r="P166" s="34">
        <v>2.3513679358036601</v>
      </c>
      <c r="Q166" s="34">
        <v>2.3512778566696602</v>
      </c>
      <c r="R166" s="33">
        <v>104.93411670104599</v>
      </c>
      <c r="S166" s="33">
        <v>105.07858452150801</v>
      </c>
      <c r="T166" s="33">
        <v>105.09959235349</v>
      </c>
      <c r="U166" s="15">
        <v>-2.7207030705782898E-3</v>
      </c>
      <c r="V166" s="15">
        <v>-1.3449020603615699E-3</v>
      </c>
      <c r="W166" s="15">
        <v>-1.14499708103266E-3</v>
      </c>
      <c r="X166" s="34">
        <v>2.35391498881431</v>
      </c>
      <c r="Y166" s="34">
        <v>2.3475193892851398</v>
      </c>
      <c r="Z166" s="34">
        <v>2.3513679358036601</v>
      </c>
      <c r="AA166" s="34">
        <v>2.3512778566696602</v>
      </c>
      <c r="AB166" s="33">
        <v>104.93411670104599</v>
      </c>
      <c r="AC166" s="33">
        <v>105.07858452150801</v>
      </c>
      <c r="AD166" s="33">
        <v>105.09959235349</v>
      </c>
      <c r="AE166" s="15">
        <v>-2.7207030705782898E-3</v>
      </c>
      <c r="AF166" s="15">
        <v>-1.3449020603615699E-3</v>
      </c>
      <c r="AG166" s="15">
        <v>-1.14499708103266E-3</v>
      </c>
      <c r="AI166" s="12"/>
      <c r="AJ166">
        <f t="shared" si="46"/>
        <v>1</v>
      </c>
      <c r="AK166">
        <f t="shared" si="47"/>
        <v>0</v>
      </c>
      <c r="AL166">
        <f t="shared" si="54"/>
        <v>1</v>
      </c>
      <c r="AM166">
        <f t="shared" si="44"/>
        <v>1</v>
      </c>
      <c r="AN166">
        <f t="shared" si="55"/>
        <v>1</v>
      </c>
      <c r="AO166" s="28">
        <f t="shared" si="48"/>
        <v>-1.5647706333510099E-3</v>
      </c>
      <c r="AP166" s="28">
        <f t="shared" si="49"/>
        <v>1.61435864318414E-3</v>
      </c>
      <c r="AQ166" s="28">
        <f t="shared" si="56"/>
        <v>4.9588009833130119E-5</v>
      </c>
      <c r="AR166" s="29">
        <f t="shared" si="57"/>
        <v>1.4585195667606746E-2</v>
      </c>
      <c r="AT166" s="12"/>
      <c r="AU166">
        <f t="shared" si="50"/>
        <v>0</v>
      </c>
      <c r="AV166">
        <f t="shared" si="51"/>
        <v>1</v>
      </c>
      <c r="AW166">
        <f t="shared" si="58"/>
        <v>0</v>
      </c>
      <c r="AX166">
        <f t="shared" si="45"/>
        <v>1</v>
      </c>
      <c r="AY166">
        <f t="shared" si="59"/>
        <v>0</v>
      </c>
      <c r="AZ166" s="28">
        <f t="shared" si="52"/>
        <v>0</v>
      </c>
      <c r="BA166" s="28">
        <f t="shared" si="53"/>
        <v>0</v>
      </c>
      <c r="BB166" s="28">
        <f t="shared" si="60"/>
        <v>0</v>
      </c>
      <c r="BC166" s="29">
        <f t="shared" si="61"/>
        <v>9.1774606218760092E-3</v>
      </c>
      <c r="BE166" s="29">
        <f t="shared" si="62"/>
        <v>4.9588009833130119E-5</v>
      </c>
      <c r="BF166" s="29">
        <f t="shared" si="63"/>
        <v>2.3762656289482761E-2</v>
      </c>
      <c r="BH166" s="29"/>
    </row>
    <row r="167" spans="1:60" x14ac:dyDescent="0.25">
      <c r="A167" s="1">
        <v>46265</v>
      </c>
      <c r="B167" s="33">
        <v>44.66</v>
      </c>
      <c r="C167" s="33">
        <v>105.1</v>
      </c>
      <c r="D167" s="15">
        <v>-8.9525520751149905E-4</v>
      </c>
      <c r="E167" s="15">
        <v>-1.14111841975572E-3</v>
      </c>
      <c r="F167" s="33">
        <v>0</v>
      </c>
      <c r="G167" s="33">
        <v>0.94043999999999905</v>
      </c>
      <c r="H167" s="33">
        <v>0</v>
      </c>
      <c r="I167" s="33">
        <v>1.9970399999999999</v>
      </c>
      <c r="J167" s="33">
        <v>0</v>
      </c>
      <c r="K167" s="33">
        <v>0</v>
      </c>
      <c r="L167" s="33">
        <v>44.66</v>
      </c>
      <c r="M167" s="33">
        <v>105.1</v>
      </c>
      <c r="N167" s="34">
        <v>2.3533363188535601</v>
      </c>
      <c r="O167" s="34">
        <v>2.3475193892851398</v>
      </c>
      <c r="P167" s="34">
        <v>2.3517060200487698</v>
      </c>
      <c r="Q167" s="34">
        <v>2.3513336978186699</v>
      </c>
      <c r="R167" s="33">
        <v>104.840215925474</v>
      </c>
      <c r="S167" s="33">
        <v>105.012092012991</v>
      </c>
      <c r="T167" s="33">
        <v>105.008069078867</v>
      </c>
      <c r="U167" s="15">
        <v>-2.4748398583340002E-3</v>
      </c>
      <c r="V167" s="15">
        <v>-8.3677232752535596E-4</v>
      </c>
      <c r="W167" s="15">
        <v>-8.7508230790300898E-4</v>
      </c>
      <c r="X167" s="34">
        <v>2.3533363188535601</v>
      </c>
      <c r="Y167" s="34">
        <v>2.3475193892851398</v>
      </c>
      <c r="Z167" s="34">
        <v>2.3517060200487698</v>
      </c>
      <c r="AA167" s="34">
        <v>2.3513336978186699</v>
      </c>
      <c r="AB167" s="33">
        <v>104.840215925474</v>
      </c>
      <c r="AC167" s="33">
        <v>105.012092012991</v>
      </c>
      <c r="AD167" s="33">
        <v>105.008069078867</v>
      </c>
      <c r="AE167" s="15">
        <v>-2.4748398583340002E-3</v>
      </c>
      <c r="AF167" s="15">
        <v>-8.3677232752535596E-4</v>
      </c>
      <c r="AG167" s="15">
        <v>-8.7508230790300898E-4</v>
      </c>
      <c r="AI167" s="12"/>
      <c r="AJ167">
        <f t="shared" si="46"/>
        <v>0</v>
      </c>
      <c r="AK167">
        <f t="shared" si="47"/>
        <v>0</v>
      </c>
      <c r="AL167">
        <f t="shared" si="54"/>
        <v>1</v>
      </c>
      <c r="AM167">
        <f t="shared" si="44"/>
        <v>0</v>
      </c>
      <c r="AN167">
        <f t="shared" si="55"/>
        <v>1</v>
      </c>
      <c r="AO167" s="28">
        <f t="shared" si="48"/>
        <v>-8.9525520751149905E-4</v>
      </c>
      <c r="AP167" s="28">
        <f t="shared" si="49"/>
        <v>1.14111841975572E-3</v>
      </c>
      <c r="AQ167" s="28">
        <f t="shared" si="56"/>
        <v>2.4586321224422092E-4</v>
      </c>
      <c r="AR167" s="29">
        <f t="shared" si="57"/>
        <v>1.4831058879850968E-2</v>
      </c>
      <c r="AT167" s="12"/>
      <c r="AU167">
        <f t="shared" si="50"/>
        <v>0</v>
      </c>
      <c r="AV167">
        <f t="shared" si="51"/>
        <v>1</v>
      </c>
      <c r="AW167">
        <f t="shared" si="58"/>
        <v>0</v>
      </c>
      <c r="AX167">
        <f t="shared" si="45"/>
        <v>0</v>
      </c>
      <c r="AY167">
        <f t="shared" si="59"/>
        <v>0</v>
      </c>
      <c r="AZ167" s="28">
        <f t="shared" si="52"/>
        <v>0</v>
      </c>
      <c r="BA167" s="28">
        <f t="shared" si="53"/>
        <v>0</v>
      </c>
      <c r="BB167" s="28">
        <f t="shared" si="60"/>
        <v>0</v>
      </c>
      <c r="BC167" s="29">
        <f t="shared" si="61"/>
        <v>9.1774606218760092E-3</v>
      </c>
      <c r="BE167" s="29">
        <f t="shared" si="62"/>
        <v>2.4586321224422092E-4</v>
      </c>
      <c r="BF167" s="29">
        <f t="shared" si="63"/>
        <v>2.4008519501726982E-2</v>
      </c>
      <c r="BH167" s="29"/>
    </row>
    <row r="168" spans="1:60" x14ac:dyDescent="0.25">
      <c r="A168" s="1">
        <v>46266</v>
      </c>
      <c r="B168" s="33">
        <v>44.31</v>
      </c>
      <c r="C168" s="33">
        <v>104.33</v>
      </c>
      <c r="D168" s="15">
        <v>-7.8678612006135608E-3</v>
      </c>
      <c r="E168" s="15">
        <v>-7.3533254030274404E-3</v>
      </c>
      <c r="F168" s="33">
        <v>0.13560700000000001</v>
      </c>
      <c r="G168" s="33">
        <v>1.076047</v>
      </c>
      <c r="H168" s="33">
        <v>0.28987299999999999</v>
      </c>
      <c r="I168" s="33">
        <v>2.28691299999999</v>
      </c>
      <c r="J168" s="33">
        <v>0</v>
      </c>
      <c r="K168" s="33">
        <v>0</v>
      </c>
      <c r="L168" s="33">
        <v>44.31</v>
      </c>
      <c r="M168" s="33">
        <v>104.33</v>
      </c>
      <c r="N168" s="34">
        <v>2.35454750620627</v>
      </c>
      <c r="O168" s="34">
        <v>2.3475193892851398</v>
      </c>
      <c r="P168" s="34">
        <v>2.352169691276</v>
      </c>
      <c r="Q168" s="34">
        <v>2.35139307134884</v>
      </c>
      <c r="R168" s="33">
        <v>104.018584139224</v>
      </c>
      <c r="S168" s="33">
        <v>104.204093748361</v>
      </c>
      <c r="T168" s="33">
        <v>104.187596150345</v>
      </c>
      <c r="U168" s="15">
        <v>-2.9893756559201401E-3</v>
      </c>
      <c r="V168" s="15">
        <v>-1.2075365200456001E-3</v>
      </c>
      <c r="W168" s="15">
        <v>-1.36586911054501E-3</v>
      </c>
      <c r="X168" s="34">
        <v>2.35454750620627</v>
      </c>
      <c r="Y168" s="34">
        <v>2.3475193892851398</v>
      </c>
      <c r="Z168" s="34">
        <v>2.352169691276</v>
      </c>
      <c r="AA168" s="34">
        <v>2.35139307134884</v>
      </c>
      <c r="AB168" s="33">
        <v>104.018584139224</v>
      </c>
      <c r="AC168" s="33">
        <v>104.204093748361</v>
      </c>
      <c r="AD168" s="33">
        <v>104.187596150345</v>
      </c>
      <c r="AE168" s="15">
        <v>-2.9893756559201401E-3</v>
      </c>
      <c r="AF168" s="15">
        <v>-1.2075365200456001E-3</v>
      </c>
      <c r="AG168" s="15">
        <v>-1.36586911054501E-3</v>
      </c>
      <c r="AI168" s="12"/>
      <c r="AJ168">
        <f t="shared" si="46"/>
        <v>1</v>
      </c>
      <c r="AK168">
        <f t="shared" si="47"/>
        <v>0</v>
      </c>
      <c r="AL168">
        <f t="shared" si="54"/>
        <v>0</v>
      </c>
      <c r="AM168">
        <f t="shared" si="44"/>
        <v>1</v>
      </c>
      <c r="AN168">
        <f t="shared" si="55"/>
        <v>0</v>
      </c>
      <c r="AO168" s="28">
        <f t="shared" si="48"/>
        <v>0</v>
      </c>
      <c r="AP168" s="28">
        <f t="shared" si="49"/>
        <v>0</v>
      </c>
      <c r="AQ168" s="28">
        <f t="shared" si="56"/>
        <v>0</v>
      </c>
      <c r="AR168" s="29">
        <f t="shared" si="57"/>
        <v>1.4831058879850968E-2</v>
      </c>
      <c r="AT168" s="12"/>
      <c r="AU168">
        <f t="shared" si="50"/>
        <v>0</v>
      </c>
      <c r="AV168">
        <f t="shared" si="51"/>
        <v>1</v>
      </c>
      <c r="AW168">
        <f t="shared" si="58"/>
        <v>0</v>
      </c>
      <c r="AX168">
        <f t="shared" si="45"/>
        <v>1</v>
      </c>
      <c r="AY168">
        <f t="shared" si="59"/>
        <v>0</v>
      </c>
      <c r="AZ168" s="28">
        <f t="shared" si="52"/>
        <v>0</v>
      </c>
      <c r="BA168" s="28">
        <f t="shared" si="53"/>
        <v>0</v>
      </c>
      <c r="BB168" s="28">
        <f t="shared" si="60"/>
        <v>0</v>
      </c>
      <c r="BC168" s="29">
        <f t="shared" si="61"/>
        <v>9.1774606218760092E-3</v>
      </c>
      <c r="BE168" s="29">
        <f t="shared" si="62"/>
        <v>0</v>
      </c>
      <c r="BF168" s="29">
        <f t="shared" si="63"/>
        <v>2.4008519501726982E-2</v>
      </c>
      <c r="BH168" s="29"/>
    </row>
    <row r="169" spans="1:60" x14ac:dyDescent="0.25">
      <c r="A169" s="1">
        <v>46267</v>
      </c>
      <c r="B169" s="33">
        <v>44.29</v>
      </c>
      <c r="C169" s="33">
        <v>104.22</v>
      </c>
      <c r="D169" s="15">
        <v>-4.5146727629131301E-4</v>
      </c>
      <c r="E169" s="15">
        <v>-1.0549029988094301E-3</v>
      </c>
      <c r="F169" s="33">
        <v>0</v>
      </c>
      <c r="G169" s="33">
        <v>1.076047</v>
      </c>
      <c r="H169" s="33">
        <v>0</v>
      </c>
      <c r="I169" s="33">
        <v>2.28691299999999</v>
      </c>
      <c r="J169" s="33">
        <v>0</v>
      </c>
      <c r="K169" s="33">
        <v>0</v>
      </c>
      <c r="L169" s="33">
        <v>44.29</v>
      </c>
      <c r="M169" s="33">
        <v>104.22</v>
      </c>
      <c r="N169" s="34">
        <v>2.3531271167306298</v>
      </c>
      <c r="O169" s="34">
        <v>2.3475193892851398</v>
      </c>
      <c r="P169" s="34">
        <v>2.3522720757734601</v>
      </c>
      <c r="Q169" s="34">
        <v>2.3514193693819001</v>
      </c>
      <c r="R169" s="33">
        <v>103.971633751439</v>
      </c>
      <c r="S169" s="33">
        <v>104.17759562661401</v>
      </c>
      <c r="T169" s="33">
        <v>104.14319913004</v>
      </c>
      <c r="U169" s="15">
        <v>-2.3859399334020702E-3</v>
      </c>
      <c r="V169" s="15">
        <v>-4.0695646073546002E-4</v>
      </c>
      <c r="W169" s="15">
        <v>-7.37182705569761E-4</v>
      </c>
      <c r="X169" s="34">
        <v>2.3531271167306298</v>
      </c>
      <c r="Y169" s="34">
        <v>2.3475193892851398</v>
      </c>
      <c r="Z169" s="34">
        <v>2.3522720757734601</v>
      </c>
      <c r="AA169" s="34">
        <v>2.3514193693819001</v>
      </c>
      <c r="AB169" s="33">
        <v>103.971633751439</v>
      </c>
      <c r="AC169" s="33">
        <v>104.17759562661401</v>
      </c>
      <c r="AD169" s="33">
        <v>104.14319913004</v>
      </c>
      <c r="AE169" s="15">
        <v>-2.3859399334020702E-3</v>
      </c>
      <c r="AF169" s="15">
        <v>-4.0695646073546002E-4</v>
      </c>
      <c r="AG169" s="15">
        <v>-7.37182705569761E-4</v>
      </c>
      <c r="AI169" s="12"/>
      <c r="AJ169">
        <f t="shared" si="46"/>
        <v>0</v>
      </c>
      <c r="AK169">
        <f t="shared" si="47"/>
        <v>0</v>
      </c>
      <c r="AL169">
        <f t="shared" si="54"/>
        <v>1</v>
      </c>
      <c r="AM169">
        <f t="shared" si="44"/>
        <v>1</v>
      </c>
      <c r="AN169">
        <f t="shared" si="55"/>
        <v>1</v>
      </c>
      <c r="AO169" s="28">
        <f t="shared" si="48"/>
        <v>-4.5146727629131301E-4</v>
      </c>
      <c r="AP169" s="28">
        <f t="shared" si="49"/>
        <v>1.0549029988094301E-3</v>
      </c>
      <c r="AQ169" s="28">
        <f t="shared" si="56"/>
        <v>6.0343572251811699E-4</v>
      </c>
      <c r="AR169" s="29">
        <f t="shared" si="57"/>
        <v>1.5434494602369085E-2</v>
      </c>
      <c r="AT169" s="12"/>
      <c r="AU169">
        <f t="shared" si="50"/>
        <v>0</v>
      </c>
      <c r="AV169">
        <f t="shared" si="51"/>
        <v>1</v>
      </c>
      <c r="AW169">
        <f t="shared" si="58"/>
        <v>0</v>
      </c>
      <c r="AX169">
        <f t="shared" si="45"/>
        <v>1</v>
      </c>
      <c r="AY169">
        <f t="shared" si="59"/>
        <v>0</v>
      </c>
      <c r="AZ169" s="28">
        <f t="shared" si="52"/>
        <v>0</v>
      </c>
      <c r="BA169" s="28">
        <f t="shared" si="53"/>
        <v>0</v>
      </c>
      <c r="BB169" s="28">
        <f t="shared" si="60"/>
        <v>0</v>
      </c>
      <c r="BC169" s="29">
        <f t="shared" si="61"/>
        <v>9.1774606218760092E-3</v>
      </c>
      <c r="BE169" s="29">
        <f t="shared" si="62"/>
        <v>6.0343572251811699E-4</v>
      </c>
      <c r="BF169" s="29">
        <f t="shared" si="63"/>
        <v>2.46119552242451E-2</v>
      </c>
      <c r="BH169" s="29"/>
    </row>
    <row r="170" spans="1:60" x14ac:dyDescent="0.25">
      <c r="A170" s="1">
        <v>46268</v>
      </c>
      <c r="B170" s="33">
        <v>44.21</v>
      </c>
      <c r="C170" s="33">
        <v>104</v>
      </c>
      <c r="D170" s="15">
        <v>-1.80791009695492E-3</v>
      </c>
      <c r="E170" s="15">
        <v>-2.1131503396958902E-3</v>
      </c>
      <c r="F170" s="33">
        <v>0</v>
      </c>
      <c r="G170" s="33">
        <v>1.076047</v>
      </c>
      <c r="H170" s="33">
        <v>0</v>
      </c>
      <c r="I170" s="33">
        <v>2.28691299999999</v>
      </c>
      <c r="J170" s="33">
        <v>0</v>
      </c>
      <c r="K170" s="33">
        <v>0</v>
      </c>
      <c r="L170" s="33">
        <v>44.21</v>
      </c>
      <c r="M170" s="33">
        <v>104</v>
      </c>
      <c r="N170" s="34">
        <v>2.35240895724949</v>
      </c>
      <c r="O170" s="34">
        <v>2.3475193892851398</v>
      </c>
      <c r="P170" s="34">
        <v>2.3526654987751798</v>
      </c>
      <c r="Q170" s="34">
        <v>2.3514830749212798</v>
      </c>
      <c r="R170" s="33">
        <v>103.783832200296</v>
      </c>
      <c r="S170" s="33">
        <v>103.993948469944</v>
      </c>
      <c r="T170" s="33">
        <v>103.956250320373</v>
      </c>
      <c r="U170" s="15">
        <v>-2.0806996906609799E-3</v>
      </c>
      <c r="V170" s="15">
        <v>-5.8189481967759703E-5</v>
      </c>
      <c r="W170" s="15">
        <v>-4.2075850284925499E-4</v>
      </c>
      <c r="X170" s="34">
        <v>2.35240895724949</v>
      </c>
      <c r="Y170" s="34">
        <v>2.3475193892851398</v>
      </c>
      <c r="Z170" s="34">
        <v>2.3526654987751798</v>
      </c>
      <c r="AA170" s="34">
        <v>2.3514830749212798</v>
      </c>
      <c r="AB170" s="33">
        <v>103.783832200296</v>
      </c>
      <c r="AC170" s="33">
        <v>103.993948469944</v>
      </c>
      <c r="AD170" s="33">
        <v>103.956250320373</v>
      </c>
      <c r="AE170" s="15">
        <v>-2.0806996906609799E-3</v>
      </c>
      <c r="AF170" s="15">
        <v>-5.8189481967759703E-5</v>
      </c>
      <c r="AG170" s="15">
        <v>-4.2075850284925499E-4</v>
      </c>
      <c r="AI170" s="12"/>
      <c r="AJ170">
        <f t="shared" si="46"/>
        <v>0</v>
      </c>
      <c r="AK170">
        <f t="shared" si="47"/>
        <v>0</v>
      </c>
      <c r="AL170">
        <f t="shared" si="54"/>
        <v>1</v>
      </c>
      <c r="AM170">
        <f t="shared" si="44"/>
        <v>1</v>
      </c>
      <c r="AN170">
        <f t="shared" si="55"/>
        <v>1</v>
      </c>
      <c r="AO170" s="28">
        <f t="shared" si="48"/>
        <v>-1.80791009695492E-3</v>
      </c>
      <c r="AP170" s="28">
        <f t="shared" si="49"/>
        <v>2.1131503396958902E-3</v>
      </c>
      <c r="AQ170" s="28">
        <f t="shared" si="56"/>
        <v>3.0524024274097014E-4</v>
      </c>
      <c r="AR170" s="29">
        <f t="shared" si="57"/>
        <v>1.5739734845110057E-2</v>
      </c>
      <c r="AT170" s="12"/>
      <c r="AU170">
        <f t="shared" si="50"/>
        <v>0</v>
      </c>
      <c r="AV170">
        <f t="shared" si="51"/>
        <v>1</v>
      </c>
      <c r="AW170">
        <f t="shared" si="58"/>
        <v>0</v>
      </c>
      <c r="AX170">
        <f t="shared" si="45"/>
        <v>1</v>
      </c>
      <c r="AY170">
        <f t="shared" si="59"/>
        <v>0</v>
      </c>
      <c r="AZ170" s="28">
        <f t="shared" si="52"/>
        <v>0</v>
      </c>
      <c r="BA170" s="28">
        <f t="shared" si="53"/>
        <v>0</v>
      </c>
      <c r="BB170" s="28">
        <f t="shared" si="60"/>
        <v>0</v>
      </c>
      <c r="BC170" s="29">
        <f t="shared" si="61"/>
        <v>9.1774606218760092E-3</v>
      </c>
      <c r="BE170" s="29">
        <f t="shared" si="62"/>
        <v>3.0524024274097014E-4</v>
      </c>
      <c r="BF170" s="29">
        <f t="shared" si="63"/>
        <v>2.4917195466986071E-2</v>
      </c>
      <c r="BH170" s="29"/>
    </row>
    <row r="171" spans="1:60" x14ac:dyDescent="0.25">
      <c r="A171" s="1">
        <v>46269</v>
      </c>
      <c r="B171" s="33">
        <v>44.22</v>
      </c>
      <c r="C171" s="33">
        <v>104.03</v>
      </c>
      <c r="D171" s="15">
        <v>2.26167591148317E-4</v>
      </c>
      <c r="E171" s="15">
        <v>2.8841994143116598E-4</v>
      </c>
      <c r="F171" s="33">
        <v>0</v>
      </c>
      <c r="G171" s="33">
        <v>1.076047</v>
      </c>
      <c r="H171" s="33">
        <v>0</v>
      </c>
      <c r="I171" s="33">
        <v>2.28691299999999</v>
      </c>
      <c r="J171" s="33">
        <v>0</v>
      </c>
      <c r="K171" s="33">
        <v>0</v>
      </c>
      <c r="L171" s="33">
        <v>44.22</v>
      </c>
      <c r="M171" s="33">
        <v>104.03</v>
      </c>
      <c r="N171" s="34">
        <v>2.3525554047942099</v>
      </c>
      <c r="O171" s="34">
        <v>2.3475193892851398</v>
      </c>
      <c r="P171" s="34">
        <v>2.3531539342846899</v>
      </c>
      <c r="Q171" s="34">
        <v>2.3515564732124701</v>
      </c>
      <c r="R171" s="33">
        <v>103.807307394189</v>
      </c>
      <c r="S171" s="33">
        <v>104.034868355838</v>
      </c>
      <c r="T171" s="33">
        <v>103.982581573019</v>
      </c>
      <c r="U171" s="15">
        <v>-2.14295204094398E-3</v>
      </c>
      <c r="V171" s="15">
        <v>4.6796519547997002E-5</v>
      </c>
      <c r="W171" s="15">
        <v>-4.5591884340611099E-4</v>
      </c>
      <c r="X171" s="34">
        <v>2.3525554047942099</v>
      </c>
      <c r="Y171" s="34">
        <v>2.3475193892851398</v>
      </c>
      <c r="Z171" s="34">
        <v>2.3531539342846899</v>
      </c>
      <c r="AA171" s="34">
        <v>2.3515564732124701</v>
      </c>
      <c r="AB171" s="33">
        <v>103.807307394189</v>
      </c>
      <c r="AC171" s="33">
        <v>104.034868355838</v>
      </c>
      <c r="AD171" s="33">
        <v>103.982581573019</v>
      </c>
      <c r="AE171" s="15">
        <v>-2.14295204094398E-3</v>
      </c>
      <c r="AF171" s="15">
        <v>4.6796519547997002E-5</v>
      </c>
      <c r="AG171" s="15">
        <v>-4.5591884340611099E-4</v>
      </c>
      <c r="AI171" s="12"/>
      <c r="AJ171">
        <f t="shared" si="46"/>
        <v>0</v>
      </c>
      <c r="AK171">
        <f t="shared" si="47"/>
        <v>0</v>
      </c>
      <c r="AL171">
        <f t="shared" si="54"/>
        <v>1</v>
      </c>
      <c r="AM171">
        <f t="shared" si="44"/>
        <v>1</v>
      </c>
      <c r="AN171">
        <f t="shared" si="55"/>
        <v>1</v>
      </c>
      <c r="AO171" s="28">
        <f t="shared" si="48"/>
        <v>2.26167591148317E-4</v>
      </c>
      <c r="AP171" s="28">
        <f t="shared" si="49"/>
        <v>-2.8841994143116598E-4</v>
      </c>
      <c r="AQ171" s="28">
        <f t="shared" si="56"/>
        <v>-6.2252350282848977E-5</v>
      </c>
      <c r="AR171" s="29">
        <f t="shared" si="57"/>
        <v>1.5677482494827207E-2</v>
      </c>
      <c r="AT171" s="12"/>
      <c r="AU171">
        <f t="shared" si="50"/>
        <v>0</v>
      </c>
      <c r="AV171">
        <f t="shared" si="51"/>
        <v>1</v>
      </c>
      <c r="AW171">
        <f t="shared" si="58"/>
        <v>0</v>
      </c>
      <c r="AX171">
        <f t="shared" si="45"/>
        <v>1</v>
      </c>
      <c r="AY171">
        <f t="shared" si="59"/>
        <v>0</v>
      </c>
      <c r="AZ171" s="28">
        <f t="shared" si="52"/>
        <v>0</v>
      </c>
      <c r="BA171" s="28">
        <f t="shared" si="53"/>
        <v>0</v>
      </c>
      <c r="BB171" s="28">
        <f t="shared" si="60"/>
        <v>0</v>
      </c>
      <c r="BC171" s="29">
        <f t="shared" si="61"/>
        <v>9.1774606218760092E-3</v>
      </c>
      <c r="BE171" s="29">
        <f t="shared" si="62"/>
        <v>-6.2252350282848977E-5</v>
      </c>
      <c r="BF171" s="29">
        <f t="shared" si="63"/>
        <v>2.4854943116703221E-2</v>
      </c>
      <c r="BH171" s="29"/>
    </row>
    <row r="172" spans="1:60" x14ac:dyDescent="0.25">
      <c r="A172" s="1">
        <v>46273</v>
      </c>
      <c r="B172" s="33">
        <v>44.25</v>
      </c>
      <c r="C172" s="33">
        <v>104.02</v>
      </c>
      <c r="D172" s="15">
        <v>6.7819602463833905E-4</v>
      </c>
      <c r="E172" s="15">
        <v>-9.6130737877448802E-5</v>
      </c>
      <c r="F172" s="33">
        <v>0</v>
      </c>
      <c r="G172" s="33">
        <v>1.076047</v>
      </c>
      <c r="H172" s="33">
        <v>0</v>
      </c>
      <c r="I172" s="33">
        <v>2.28691299999999</v>
      </c>
      <c r="J172" s="33">
        <v>0</v>
      </c>
      <c r="K172" s="33">
        <v>0</v>
      </c>
      <c r="L172" s="33">
        <v>44.25</v>
      </c>
      <c r="M172" s="33">
        <v>104.02</v>
      </c>
      <c r="N172" s="34">
        <v>2.3507344632768299</v>
      </c>
      <c r="O172" s="34">
        <v>2.3475193892851398</v>
      </c>
      <c r="P172" s="34">
        <v>2.3531470951529601</v>
      </c>
      <c r="Q172" s="34">
        <v>2.3515604404358301</v>
      </c>
      <c r="R172" s="33">
        <v>103.877732975867</v>
      </c>
      <c r="S172" s="33">
        <v>104.12706159209699</v>
      </c>
      <c r="T172" s="33">
        <v>104.056373939652</v>
      </c>
      <c r="U172" s="15">
        <v>-1.3686252784280901E-3</v>
      </c>
      <c r="V172" s="15">
        <v>1.02871114989855E-3</v>
      </c>
      <c r="W172" s="15">
        <v>3.4962104859847701E-4</v>
      </c>
      <c r="X172" s="34">
        <v>2.3507344632768299</v>
      </c>
      <c r="Y172" s="34">
        <v>2.3475193892851398</v>
      </c>
      <c r="Z172" s="34">
        <v>2.3531470951529601</v>
      </c>
      <c r="AA172" s="34">
        <v>2.3515604404358301</v>
      </c>
      <c r="AB172" s="33">
        <v>103.877732975867</v>
      </c>
      <c r="AC172" s="33">
        <v>104.12706159209699</v>
      </c>
      <c r="AD172" s="33">
        <v>104.056373939652</v>
      </c>
      <c r="AE172" s="15">
        <v>-1.3686252784280901E-3</v>
      </c>
      <c r="AF172" s="15">
        <v>1.02871114989855E-3</v>
      </c>
      <c r="AG172" s="15">
        <v>3.4962104859847701E-4</v>
      </c>
      <c r="AI172" s="12"/>
      <c r="AJ172">
        <f t="shared" si="46"/>
        <v>0</v>
      </c>
      <c r="AK172">
        <f t="shared" si="47"/>
        <v>1</v>
      </c>
      <c r="AL172">
        <f t="shared" si="54"/>
        <v>1</v>
      </c>
      <c r="AM172">
        <f t="shared" si="44"/>
        <v>1</v>
      </c>
      <c r="AN172">
        <f t="shared" si="55"/>
        <v>1</v>
      </c>
      <c r="AO172" s="28">
        <f t="shared" si="48"/>
        <v>6.7819602463833905E-4</v>
      </c>
      <c r="AP172" s="28">
        <f t="shared" si="49"/>
        <v>9.6130737877448802E-5</v>
      </c>
      <c r="AQ172" s="28">
        <f t="shared" si="56"/>
        <v>7.743267625157878E-4</v>
      </c>
      <c r="AR172" s="29">
        <f t="shared" si="57"/>
        <v>1.6451809257342995E-2</v>
      </c>
      <c r="AT172" s="12"/>
      <c r="AU172">
        <f t="shared" si="50"/>
        <v>0</v>
      </c>
      <c r="AV172">
        <f t="shared" si="51"/>
        <v>0</v>
      </c>
      <c r="AW172">
        <f t="shared" si="58"/>
        <v>0</v>
      </c>
      <c r="AX172">
        <f t="shared" si="45"/>
        <v>1</v>
      </c>
      <c r="AY172">
        <f t="shared" si="59"/>
        <v>0</v>
      </c>
      <c r="AZ172" s="28">
        <f t="shared" si="52"/>
        <v>0</v>
      </c>
      <c r="BA172" s="28">
        <f t="shared" si="53"/>
        <v>0</v>
      </c>
      <c r="BB172" s="28">
        <f t="shared" si="60"/>
        <v>0</v>
      </c>
      <c r="BC172" s="29">
        <f t="shared" si="61"/>
        <v>9.1774606218760092E-3</v>
      </c>
      <c r="BE172" s="29">
        <f t="shared" si="62"/>
        <v>7.743267625157878E-4</v>
      </c>
      <c r="BF172" s="29">
        <f t="shared" si="63"/>
        <v>2.562926987921901E-2</v>
      </c>
      <c r="BH172" s="29"/>
    </row>
    <row r="173" spans="1:60" x14ac:dyDescent="0.25">
      <c r="A173" s="1">
        <v>46274</v>
      </c>
      <c r="B173" s="33">
        <v>44.04</v>
      </c>
      <c r="C173" s="33">
        <v>103.48</v>
      </c>
      <c r="D173" s="15">
        <v>-4.7570595994593399E-3</v>
      </c>
      <c r="E173" s="15">
        <v>-5.2048310270979004E-3</v>
      </c>
      <c r="F173" s="33">
        <v>0</v>
      </c>
      <c r="G173" s="33">
        <v>1.076047</v>
      </c>
      <c r="H173" s="33">
        <v>0</v>
      </c>
      <c r="I173" s="33">
        <v>2.28691299999999</v>
      </c>
      <c r="J173" s="33">
        <v>0</v>
      </c>
      <c r="K173" s="33">
        <v>0</v>
      </c>
      <c r="L173" s="33">
        <v>44.04</v>
      </c>
      <c r="M173" s="33">
        <v>103.48</v>
      </c>
      <c r="N173" s="34">
        <v>2.34968210717529</v>
      </c>
      <c r="O173" s="34">
        <v>2.3475193892851398</v>
      </c>
      <c r="P173" s="34">
        <v>2.35281332236258</v>
      </c>
      <c r="Q173" s="34">
        <v>2.35152735032089</v>
      </c>
      <c r="R173" s="33">
        <v>103.38475390411701</v>
      </c>
      <c r="S173" s="33">
        <v>103.63259807053601</v>
      </c>
      <c r="T173" s="33">
        <v>103.56272179679399</v>
      </c>
      <c r="U173" s="15">
        <v>-9.2085385078950201E-4</v>
      </c>
      <c r="V173" s="15">
        <v>1.47357620512936E-3</v>
      </c>
      <c r="W173" s="15">
        <v>7.9907953757543096E-4</v>
      </c>
      <c r="X173" s="34">
        <v>2.34968210717529</v>
      </c>
      <c r="Y173" s="34">
        <v>2.3475193892851398</v>
      </c>
      <c r="Z173" s="34">
        <v>2.35281332236258</v>
      </c>
      <c r="AA173" s="34">
        <v>2.35152735032089</v>
      </c>
      <c r="AB173" s="33">
        <v>103.38475390411701</v>
      </c>
      <c r="AC173" s="33">
        <v>103.63259807053601</v>
      </c>
      <c r="AD173" s="33">
        <v>103.56272179679399</v>
      </c>
      <c r="AE173" s="15">
        <v>-9.2085385078950201E-4</v>
      </c>
      <c r="AF173" s="15">
        <v>1.47357620512936E-3</v>
      </c>
      <c r="AG173" s="15">
        <v>7.9907953757543096E-4</v>
      </c>
      <c r="AI173" s="12"/>
      <c r="AJ173">
        <f t="shared" si="46"/>
        <v>0</v>
      </c>
      <c r="AK173">
        <f t="shared" si="47"/>
        <v>1</v>
      </c>
      <c r="AL173">
        <f t="shared" si="54"/>
        <v>0</v>
      </c>
      <c r="AM173">
        <f t="shared" si="44"/>
        <v>1</v>
      </c>
      <c r="AN173">
        <f t="shared" si="55"/>
        <v>0</v>
      </c>
      <c r="AO173" s="28">
        <f t="shared" si="48"/>
        <v>0</v>
      </c>
      <c r="AP173" s="28">
        <f t="shared" si="49"/>
        <v>0</v>
      </c>
      <c r="AQ173" s="28">
        <f t="shared" si="56"/>
        <v>0</v>
      </c>
      <c r="AR173" s="29">
        <f t="shared" si="57"/>
        <v>1.6451809257342995E-2</v>
      </c>
      <c r="AT173" s="12"/>
      <c r="AU173">
        <f t="shared" si="50"/>
        <v>0</v>
      </c>
      <c r="AV173">
        <f t="shared" si="51"/>
        <v>0</v>
      </c>
      <c r="AW173">
        <f t="shared" si="58"/>
        <v>0</v>
      </c>
      <c r="AX173">
        <f t="shared" si="45"/>
        <v>1</v>
      </c>
      <c r="AY173">
        <f t="shared" si="59"/>
        <v>0</v>
      </c>
      <c r="AZ173" s="28">
        <f t="shared" si="52"/>
        <v>0</v>
      </c>
      <c r="BA173" s="28">
        <f t="shared" si="53"/>
        <v>0</v>
      </c>
      <c r="BB173" s="28">
        <f t="shared" si="60"/>
        <v>0</v>
      </c>
      <c r="BC173" s="29">
        <f t="shared" si="61"/>
        <v>9.1774606218760092E-3</v>
      </c>
      <c r="BE173" s="29">
        <f t="shared" si="62"/>
        <v>0</v>
      </c>
      <c r="BF173" s="29">
        <f t="shared" si="63"/>
        <v>2.562926987921901E-2</v>
      </c>
      <c r="BH173" s="29"/>
    </row>
    <row r="174" spans="1:60" x14ac:dyDescent="0.25">
      <c r="A174" s="1">
        <v>46275</v>
      </c>
      <c r="B174" s="33">
        <v>43.68</v>
      </c>
      <c r="C174" s="33">
        <v>102.72</v>
      </c>
      <c r="D174" s="15">
        <v>-8.20798041782962E-3</v>
      </c>
      <c r="E174" s="15">
        <v>-7.3715173761774002E-3</v>
      </c>
      <c r="F174" s="33">
        <v>0</v>
      </c>
      <c r="G174" s="33">
        <v>1.076047</v>
      </c>
      <c r="H174" s="33">
        <v>0</v>
      </c>
      <c r="I174" s="33">
        <v>2.28691299999999</v>
      </c>
      <c r="J174" s="33">
        <v>0</v>
      </c>
      <c r="K174" s="33">
        <v>0</v>
      </c>
      <c r="L174" s="33">
        <v>43.68</v>
      </c>
      <c r="M174" s="33">
        <v>102.72</v>
      </c>
      <c r="N174" s="34">
        <v>2.35164835164835</v>
      </c>
      <c r="O174" s="34">
        <v>2.3475193892851398</v>
      </c>
      <c r="P174" s="34">
        <v>2.3525986932417</v>
      </c>
      <c r="Q174" s="34">
        <v>2.3515371031595702</v>
      </c>
      <c r="R174" s="33">
        <v>102.539646923975</v>
      </c>
      <c r="S174" s="33">
        <v>102.770885920797</v>
      </c>
      <c r="T174" s="33">
        <v>102.71471466201599</v>
      </c>
      <c r="U174" s="15">
        <v>-1.7573168924416901E-3</v>
      </c>
      <c r="V174" s="15">
        <v>4.9526208045492202E-4</v>
      </c>
      <c r="W174" s="15">
        <v>-5.1455159302090197E-5</v>
      </c>
      <c r="X174" s="34">
        <v>2.35164835164835</v>
      </c>
      <c r="Y174" s="34">
        <v>2.3475193892851398</v>
      </c>
      <c r="Z174" s="34">
        <v>2.3525986932417</v>
      </c>
      <c r="AA174" s="34">
        <v>2.3515371031595702</v>
      </c>
      <c r="AB174" s="33">
        <v>102.539646923975</v>
      </c>
      <c r="AC174" s="33">
        <v>102.770885920797</v>
      </c>
      <c r="AD174" s="33">
        <v>102.71471466201599</v>
      </c>
      <c r="AE174" s="15">
        <v>-1.7573168924416901E-3</v>
      </c>
      <c r="AF174" s="15">
        <v>4.9526208045492202E-4</v>
      </c>
      <c r="AG174" s="15">
        <v>-5.1455159302090197E-5</v>
      </c>
      <c r="AI174" s="12"/>
      <c r="AJ174">
        <f t="shared" si="46"/>
        <v>0</v>
      </c>
      <c r="AK174">
        <f t="shared" si="47"/>
        <v>0</v>
      </c>
      <c r="AL174">
        <f t="shared" si="54"/>
        <v>0</v>
      </c>
      <c r="AM174">
        <f t="shared" si="44"/>
        <v>1</v>
      </c>
      <c r="AN174">
        <f t="shared" si="55"/>
        <v>0</v>
      </c>
      <c r="AO174" s="28">
        <f t="shared" si="48"/>
        <v>0</v>
      </c>
      <c r="AP174" s="28">
        <f t="shared" si="49"/>
        <v>0</v>
      </c>
      <c r="AQ174" s="28">
        <f t="shared" si="56"/>
        <v>0</v>
      </c>
      <c r="AR174" s="29">
        <f t="shared" si="57"/>
        <v>1.6451809257342995E-2</v>
      </c>
      <c r="AT174" s="12"/>
      <c r="AU174">
        <f t="shared" si="50"/>
        <v>0</v>
      </c>
      <c r="AV174">
        <f t="shared" si="51"/>
        <v>1</v>
      </c>
      <c r="AW174">
        <f t="shared" si="58"/>
        <v>0</v>
      </c>
      <c r="AX174">
        <f t="shared" si="45"/>
        <v>1</v>
      </c>
      <c r="AY174">
        <f t="shared" si="59"/>
        <v>0</v>
      </c>
      <c r="AZ174" s="28">
        <f t="shared" si="52"/>
        <v>0</v>
      </c>
      <c r="BA174" s="28">
        <f t="shared" si="53"/>
        <v>0</v>
      </c>
      <c r="BB174" s="28">
        <f t="shared" si="60"/>
        <v>0</v>
      </c>
      <c r="BC174" s="29">
        <f t="shared" si="61"/>
        <v>9.1774606218760092E-3</v>
      </c>
      <c r="BE174" s="29">
        <f t="shared" si="62"/>
        <v>0</v>
      </c>
      <c r="BF174" s="29">
        <f t="shared" si="63"/>
        <v>2.562926987921901E-2</v>
      </c>
      <c r="BH174" s="29"/>
    </row>
    <row r="175" spans="1:60" x14ac:dyDescent="0.25">
      <c r="A175" s="1">
        <v>46276</v>
      </c>
      <c r="B175" s="33">
        <v>43.79</v>
      </c>
      <c r="C175" s="33">
        <v>103.17</v>
      </c>
      <c r="D175" s="15">
        <v>2.5151493766573702E-3</v>
      </c>
      <c r="E175" s="15">
        <v>4.37127317063355E-3</v>
      </c>
      <c r="F175" s="33">
        <v>0</v>
      </c>
      <c r="G175" s="33">
        <v>1.076047</v>
      </c>
      <c r="H175" s="33">
        <v>0</v>
      </c>
      <c r="I175" s="33">
        <v>2.28691299999999</v>
      </c>
      <c r="J175" s="33">
        <v>0</v>
      </c>
      <c r="K175" s="33">
        <v>0</v>
      </c>
      <c r="L175" s="33">
        <v>43.79</v>
      </c>
      <c r="M175" s="33">
        <v>103.17</v>
      </c>
      <c r="N175" s="34">
        <v>2.3560173555606299</v>
      </c>
      <c r="O175" s="34">
        <v>2.3475193892851398</v>
      </c>
      <c r="P175" s="34">
        <v>2.3527972570309599</v>
      </c>
      <c r="Q175" s="34">
        <v>2.35177429430416</v>
      </c>
      <c r="R175" s="33">
        <v>102.797874056796</v>
      </c>
      <c r="S175" s="33">
        <v>103.020296777054</v>
      </c>
      <c r="T175" s="33">
        <v>102.973809747357</v>
      </c>
      <c r="U175" s="15">
        <v>-3.6134406864178101E-3</v>
      </c>
      <c r="V175" s="15">
        <v>-1.45208820774389E-3</v>
      </c>
      <c r="W175" s="15">
        <v>-1.9034315133348799E-3</v>
      </c>
      <c r="X175" s="34">
        <v>2.3560173555606299</v>
      </c>
      <c r="Y175" s="34">
        <v>2.3475193892851398</v>
      </c>
      <c r="Z175" s="34">
        <v>2.3527972570309599</v>
      </c>
      <c r="AA175" s="34">
        <v>2.35177429430416</v>
      </c>
      <c r="AB175" s="33">
        <v>102.797874056796</v>
      </c>
      <c r="AC175" s="33">
        <v>103.020296777054</v>
      </c>
      <c r="AD175" s="33">
        <v>102.973809747357</v>
      </c>
      <c r="AE175" s="15">
        <v>-3.6134406864178101E-3</v>
      </c>
      <c r="AF175" s="15">
        <v>-1.45208820774389E-3</v>
      </c>
      <c r="AG175" s="15">
        <v>-1.9034315133348799E-3</v>
      </c>
      <c r="AI175" s="12"/>
      <c r="AJ175">
        <f t="shared" si="46"/>
        <v>1</v>
      </c>
      <c r="AK175">
        <f t="shared" si="47"/>
        <v>0</v>
      </c>
      <c r="AL175">
        <f t="shared" si="54"/>
        <v>0</v>
      </c>
      <c r="AM175">
        <f t="shared" si="44"/>
        <v>1</v>
      </c>
      <c r="AN175">
        <f t="shared" si="55"/>
        <v>0</v>
      </c>
      <c r="AO175" s="28">
        <f t="shared" si="48"/>
        <v>0</v>
      </c>
      <c r="AP175" s="28">
        <f t="shared" si="49"/>
        <v>0</v>
      </c>
      <c r="AQ175" s="28">
        <f t="shared" si="56"/>
        <v>0</v>
      </c>
      <c r="AR175" s="29">
        <f t="shared" si="57"/>
        <v>1.6451809257342995E-2</v>
      </c>
      <c r="AT175" s="12"/>
      <c r="AU175">
        <f t="shared" si="50"/>
        <v>0</v>
      </c>
      <c r="AV175">
        <f t="shared" si="51"/>
        <v>1</v>
      </c>
      <c r="AW175">
        <f t="shared" si="58"/>
        <v>0</v>
      </c>
      <c r="AX175">
        <f t="shared" si="45"/>
        <v>1</v>
      </c>
      <c r="AY175">
        <f t="shared" si="59"/>
        <v>0</v>
      </c>
      <c r="AZ175" s="28">
        <f t="shared" si="52"/>
        <v>0</v>
      </c>
      <c r="BA175" s="28">
        <f t="shared" si="53"/>
        <v>0</v>
      </c>
      <c r="BB175" s="28">
        <f t="shared" si="60"/>
        <v>0</v>
      </c>
      <c r="BC175" s="29">
        <f t="shared" si="61"/>
        <v>9.1774606218760092E-3</v>
      </c>
      <c r="BE175" s="29">
        <f t="shared" si="62"/>
        <v>0</v>
      </c>
      <c r="BF175" s="29">
        <f t="shared" si="63"/>
        <v>2.562926987921901E-2</v>
      </c>
      <c r="BH175" s="29"/>
    </row>
    <row r="176" spans="1:60" x14ac:dyDescent="0.25">
      <c r="A176" s="1">
        <v>46279</v>
      </c>
      <c r="B176" s="33">
        <v>43.76</v>
      </c>
      <c r="C176" s="33">
        <v>103.11</v>
      </c>
      <c r="D176" s="15">
        <v>-6.8532269958128302E-4</v>
      </c>
      <c r="E176" s="15">
        <v>-5.8173358243229203E-4</v>
      </c>
      <c r="F176" s="33">
        <v>0</v>
      </c>
      <c r="G176" s="33">
        <v>1.076047</v>
      </c>
      <c r="H176" s="33">
        <v>0</v>
      </c>
      <c r="I176" s="33">
        <v>2.28691299999999</v>
      </c>
      <c r="J176" s="33">
        <v>0</v>
      </c>
      <c r="K176" s="33">
        <v>0</v>
      </c>
      <c r="L176" s="33">
        <v>43.76</v>
      </c>
      <c r="M176" s="33">
        <v>103.11</v>
      </c>
      <c r="N176" s="34">
        <v>2.3562614259597798</v>
      </c>
      <c r="O176" s="34">
        <v>2.3475193892851398</v>
      </c>
      <c r="P176" s="34">
        <v>2.3530319007455001</v>
      </c>
      <c r="Q176" s="34">
        <v>2.3521999182745801</v>
      </c>
      <c r="R176" s="33">
        <v>102.727448475118</v>
      </c>
      <c r="S176" s="33">
        <v>102.95840796767401</v>
      </c>
      <c r="T176" s="33">
        <v>102.91364311875</v>
      </c>
      <c r="U176" s="15">
        <v>-3.7170298035667701E-3</v>
      </c>
      <c r="V176" s="15">
        <v>-1.4712789909496599E-3</v>
      </c>
      <c r="W176" s="15">
        <v>-1.90615929057053E-3</v>
      </c>
      <c r="X176" s="34">
        <v>2.3562614259597798</v>
      </c>
      <c r="Y176" s="34">
        <v>2.3475193892851398</v>
      </c>
      <c r="Z176" s="34">
        <v>2.3530319007455001</v>
      </c>
      <c r="AA176" s="34">
        <v>2.3521999182745801</v>
      </c>
      <c r="AB176" s="33">
        <v>102.727448475118</v>
      </c>
      <c r="AC176" s="33">
        <v>102.95840796767401</v>
      </c>
      <c r="AD176" s="33">
        <v>102.91364311875</v>
      </c>
      <c r="AE176" s="15">
        <v>-3.7170298035667701E-3</v>
      </c>
      <c r="AF176" s="15">
        <v>-1.4712789909496599E-3</v>
      </c>
      <c r="AG176" s="15">
        <v>-1.90615929057053E-3</v>
      </c>
      <c r="AI176" s="12"/>
      <c r="AJ176">
        <f t="shared" si="46"/>
        <v>1</v>
      </c>
      <c r="AK176">
        <f t="shared" si="47"/>
        <v>0</v>
      </c>
      <c r="AL176">
        <f t="shared" si="54"/>
        <v>1</v>
      </c>
      <c r="AM176">
        <f t="shared" si="44"/>
        <v>1</v>
      </c>
      <c r="AN176">
        <f t="shared" si="55"/>
        <v>1</v>
      </c>
      <c r="AO176" s="28">
        <f t="shared" si="48"/>
        <v>-6.8532269958128302E-4</v>
      </c>
      <c r="AP176" s="28">
        <f t="shared" si="49"/>
        <v>5.8173358243229203E-4</v>
      </c>
      <c r="AQ176" s="28">
        <f t="shared" si="56"/>
        <v>-1.0358911714899099E-4</v>
      </c>
      <c r="AR176" s="29">
        <f t="shared" si="57"/>
        <v>1.6348220140194006E-2</v>
      </c>
      <c r="AT176" s="12"/>
      <c r="AU176">
        <f t="shared" si="50"/>
        <v>0</v>
      </c>
      <c r="AV176">
        <f t="shared" si="51"/>
        <v>1</v>
      </c>
      <c r="AW176">
        <f t="shared" si="58"/>
        <v>0</v>
      </c>
      <c r="AX176">
        <f t="shared" si="45"/>
        <v>1</v>
      </c>
      <c r="AY176">
        <f t="shared" si="59"/>
        <v>0</v>
      </c>
      <c r="AZ176" s="28">
        <f t="shared" si="52"/>
        <v>0</v>
      </c>
      <c r="BA176" s="28">
        <f t="shared" si="53"/>
        <v>0</v>
      </c>
      <c r="BB176" s="28">
        <f t="shared" si="60"/>
        <v>0</v>
      </c>
      <c r="BC176" s="29">
        <f t="shared" si="61"/>
        <v>9.1774606218760092E-3</v>
      </c>
      <c r="BE176" s="29">
        <f t="shared" si="62"/>
        <v>-1.0358911714899099E-4</v>
      </c>
      <c r="BF176" s="29">
        <f t="shared" si="63"/>
        <v>2.552568076207002E-2</v>
      </c>
      <c r="BH176" s="29"/>
    </row>
    <row r="177" spans="85:100" x14ac:dyDescent="0.25">
      <c r="CG177" s="28"/>
      <c r="CH177" s="28"/>
      <c r="CI177" s="28"/>
      <c r="CJ177" s="29"/>
      <c r="CL177" s="28"/>
      <c r="CS177" s="28"/>
      <c r="CT177" s="28"/>
      <c r="CU177" s="28"/>
      <c r="CV177" s="29"/>
    </row>
    <row r="178" spans="85:100" x14ac:dyDescent="0.25">
      <c r="CG178" s="28"/>
      <c r="CH178" s="28"/>
      <c r="CI178" s="28"/>
      <c r="CJ178" s="29"/>
      <c r="CL178" s="28"/>
      <c r="CS178" s="28"/>
      <c r="CT178" s="28"/>
      <c r="CU178" s="28"/>
      <c r="CV178" s="29"/>
    </row>
    <row r="179" spans="85:100" x14ac:dyDescent="0.25">
      <c r="CG179" s="28"/>
      <c r="CH179" s="28"/>
      <c r="CI179" s="28"/>
      <c r="CJ179" s="29"/>
      <c r="CL179" s="28"/>
      <c r="CS179" s="28"/>
      <c r="CT179" s="28"/>
      <c r="CU179" s="28"/>
      <c r="CV179" s="29"/>
    </row>
  </sheetData>
  <conditionalFormatting sqref="AJ2:AQ9">
    <cfRule type="top10" dxfId="2" priority="3" rank="3"/>
  </conditionalFormatting>
  <conditionalFormatting sqref="AU2:BB9">
    <cfRule type="top10" dxfId="1" priority="2" rank="3"/>
  </conditionalFormatting>
  <conditionalFormatting sqref="DM33:DT33 DM26:DP32 DR26:DT32">
    <cfRule type="top10" dxfId="0" priority="1" rank="3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Hyland</cp:lastModifiedBy>
  <dcterms:created xsi:type="dcterms:W3CDTF">2026-09-24T00:39:31Z</dcterms:created>
  <dcterms:modified xsi:type="dcterms:W3CDTF">2026-09-24T01:02:07Z</dcterms:modified>
</cp:coreProperties>
</file>